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319EA03E-6EC0-48FC-AD22-620BF149922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 AC-06" sheetId="21" r:id="rId1"/>
    <sheet name="Sheet3" sheetId="3" r:id="rId2"/>
    <sheet name="Sheet1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" i="21" l="1"/>
  <c r="P105" i="21" s="1"/>
  <c r="P106" i="21" s="1"/>
  <c r="O104" i="21"/>
  <c r="O105" i="21" s="1"/>
  <c r="O106" i="21" s="1"/>
  <c r="N104" i="21"/>
  <c r="N105" i="21" s="1"/>
  <c r="N106" i="21" s="1"/>
  <c r="M104" i="21"/>
  <c r="M105" i="21" s="1"/>
  <c r="M106" i="21" s="1"/>
  <c r="L104" i="21"/>
  <c r="L105" i="21" s="1"/>
  <c r="L106" i="21" s="1"/>
  <c r="K104" i="21"/>
  <c r="K105" i="21" s="1"/>
  <c r="K106" i="21" s="1"/>
  <c r="J104" i="21"/>
  <c r="J105" i="21" s="1"/>
  <c r="J106" i="21" s="1"/>
  <c r="I104" i="21"/>
  <c r="I105" i="21" s="1"/>
  <c r="I106" i="21" s="1"/>
  <c r="H104" i="21"/>
  <c r="H105" i="21" s="1"/>
  <c r="H106" i="21" s="1"/>
  <c r="G104" i="21"/>
  <c r="G105" i="21" s="1"/>
  <c r="G106" i="21" s="1"/>
  <c r="F104" i="21"/>
  <c r="F105" i="21" s="1"/>
  <c r="F106" i="21" s="1"/>
  <c r="E104" i="21"/>
  <c r="E105" i="21" s="1"/>
  <c r="E106" i="21" s="1"/>
  <c r="L92" i="21"/>
  <c r="L97" i="21" s="1"/>
  <c r="M92" i="21"/>
  <c r="M97" i="21" s="1"/>
  <c r="N92" i="21"/>
  <c r="O92" i="21"/>
  <c r="L93" i="21"/>
  <c r="M93" i="21"/>
  <c r="N93" i="21"/>
  <c r="O93" i="21"/>
  <c r="L94" i="21"/>
  <c r="M94" i="21"/>
  <c r="N94" i="21"/>
  <c r="O94" i="21"/>
  <c r="L95" i="21"/>
  <c r="M95" i="21"/>
  <c r="N95" i="21"/>
  <c r="O95" i="21"/>
  <c r="L96" i="21"/>
  <c r="M96" i="21"/>
  <c r="N96" i="21"/>
  <c r="O96" i="21"/>
  <c r="N97" i="21"/>
  <c r="N100" i="21" s="1"/>
  <c r="O97" i="21"/>
  <c r="O100" i="21" s="1"/>
  <c r="N98" i="21"/>
  <c r="K93" i="21"/>
  <c r="K92" i="21" s="1"/>
  <c r="K94" i="21"/>
  <c r="K95" i="21"/>
  <c r="K96" i="21"/>
  <c r="J93" i="21"/>
  <c r="J92" i="21" s="1"/>
  <c r="J94" i="21"/>
  <c r="J95" i="21"/>
  <c r="J96" i="21"/>
  <c r="I93" i="21"/>
  <c r="I92" i="21" s="1"/>
  <c r="I94" i="21"/>
  <c r="I95" i="21"/>
  <c r="I96" i="21"/>
  <c r="H93" i="21"/>
  <c r="H92" i="21" s="1"/>
  <c r="H94" i="21"/>
  <c r="H95" i="21"/>
  <c r="H96" i="21"/>
  <c r="P83" i="21"/>
  <c r="Q83" i="21"/>
  <c r="S83" i="21"/>
  <c r="T83" i="21"/>
  <c r="V83" i="21"/>
  <c r="P84" i="21"/>
  <c r="Q84" i="21"/>
  <c r="S84" i="21"/>
  <c r="T84" i="21"/>
  <c r="V84" i="21"/>
  <c r="P85" i="21"/>
  <c r="S85" i="21"/>
  <c r="T85" i="21"/>
  <c r="V85" i="21"/>
  <c r="E96" i="21"/>
  <c r="F96" i="21"/>
  <c r="G96" i="21"/>
  <c r="V91" i="21"/>
  <c r="V75" i="21"/>
  <c r="V76" i="21"/>
  <c r="V77" i="21"/>
  <c r="V78" i="21"/>
  <c r="V79" i="21"/>
  <c r="V80" i="21"/>
  <c r="V81" i="21"/>
  <c r="V82" i="21"/>
  <c r="V86" i="21"/>
  <c r="V87" i="21"/>
  <c r="V88" i="21"/>
  <c r="V89" i="21"/>
  <c r="V90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25" i="21"/>
  <c r="D96" i="21"/>
  <c r="E95" i="21"/>
  <c r="F95" i="21"/>
  <c r="G95" i="21"/>
  <c r="E94" i="21"/>
  <c r="F94" i="21"/>
  <c r="G94" i="21"/>
  <c r="E93" i="21"/>
  <c r="E92" i="21" s="1"/>
  <c r="E97" i="21" s="1"/>
  <c r="F93" i="21"/>
  <c r="F92" i="21" s="1"/>
  <c r="F97" i="21" s="1"/>
  <c r="G93" i="21"/>
  <c r="G92" i="21" s="1"/>
  <c r="G97" i="21" s="1"/>
  <c r="D93" i="21"/>
  <c r="D92" i="21" s="1"/>
  <c r="S80" i="21"/>
  <c r="T80" i="21"/>
  <c r="S81" i="21"/>
  <c r="T81" i="21"/>
  <c r="S82" i="21"/>
  <c r="W82" i="21" s="1"/>
  <c r="T82" i="21"/>
  <c r="S86" i="21"/>
  <c r="T86" i="21"/>
  <c r="S87" i="21"/>
  <c r="T87" i="21"/>
  <c r="W87" i="21" s="1"/>
  <c r="S88" i="21"/>
  <c r="T88" i="21"/>
  <c r="S89" i="21"/>
  <c r="T89" i="21"/>
  <c r="S90" i="21"/>
  <c r="T90" i="21"/>
  <c r="S91" i="21"/>
  <c r="T91" i="21"/>
  <c r="S26" i="21"/>
  <c r="T26" i="21"/>
  <c r="S27" i="21"/>
  <c r="U27" i="21" s="1"/>
  <c r="T27" i="21"/>
  <c r="S28" i="21"/>
  <c r="T28" i="21"/>
  <c r="S29" i="21"/>
  <c r="T29" i="21"/>
  <c r="S30" i="21"/>
  <c r="T30" i="21"/>
  <c r="S31" i="21"/>
  <c r="T31" i="21"/>
  <c r="S32" i="21"/>
  <c r="T32" i="21"/>
  <c r="S33" i="21"/>
  <c r="T33" i="21"/>
  <c r="S34" i="21"/>
  <c r="T34" i="21"/>
  <c r="S35" i="21"/>
  <c r="T35" i="21"/>
  <c r="U35" i="21" s="1"/>
  <c r="S36" i="21"/>
  <c r="T36" i="21"/>
  <c r="S37" i="21"/>
  <c r="T37" i="21"/>
  <c r="S38" i="21"/>
  <c r="T38" i="21"/>
  <c r="S39" i="21"/>
  <c r="T39" i="21"/>
  <c r="S40" i="21"/>
  <c r="T40" i="21"/>
  <c r="S41" i="21"/>
  <c r="T41" i="21"/>
  <c r="S42" i="21"/>
  <c r="T42" i="21"/>
  <c r="S43" i="21"/>
  <c r="U43" i="21" s="1"/>
  <c r="T43" i="21"/>
  <c r="S44" i="21"/>
  <c r="T44" i="21"/>
  <c r="S45" i="21"/>
  <c r="T45" i="21"/>
  <c r="S46" i="21"/>
  <c r="T46" i="21"/>
  <c r="S47" i="21"/>
  <c r="T47" i="21"/>
  <c r="S48" i="21"/>
  <c r="T48" i="21"/>
  <c r="S49" i="21"/>
  <c r="T49" i="21"/>
  <c r="S50" i="21"/>
  <c r="T50" i="21"/>
  <c r="S51" i="21"/>
  <c r="T51" i="21"/>
  <c r="S52" i="21"/>
  <c r="T52" i="21"/>
  <c r="S53" i="21"/>
  <c r="T53" i="21"/>
  <c r="S54" i="21"/>
  <c r="T54" i="21"/>
  <c r="S55" i="21"/>
  <c r="T55" i="21"/>
  <c r="S56" i="21"/>
  <c r="T56" i="21"/>
  <c r="S57" i="21"/>
  <c r="T57" i="21"/>
  <c r="S58" i="21"/>
  <c r="T58" i="21"/>
  <c r="S59" i="21"/>
  <c r="T59" i="21"/>
  <c r="S60" i="21"/>
  <c r="T60" i="21"/>
  <c r="S61" i="21"/>
  <c r="T61" i="21"/>
  <c r="S62" i="21"/>
  <c r="T62" i="21"/>
  <c r="S63" i="21"/>
  <c r="T63" i="21"/>
  <c r="S64" i="21"/>
  <c r="T64" i="21"/>
  <c r="S65" i="21"/>
  <c r="T65" i="21"/>
  <c r="S66" i="21"/>
  <c r="T66" i="21"/>
  <c r="S67" i="21"/>
  <c r="T67" i="21"/>
  <c r="S68" i="21"/>
  <c r="T68" i="21"/>
  <c r="S69" i="21"/>
  <c r="T69" i="21"/>
  <c r="S70" i="21"/>
  <c r="T70" i="21"/>
  <c r="S71" i="21"/>
  <c r="T71" i="21"/>
  <c r="S72" i="21"/>
  <c r="T72" i="21"/>
  <c r="S73" i="21"/>
  <c r="T73" i="21"/>
  <c r="S74" i="21"/>
  <c r="T74" i="21"/>
  <c r="S75" i="21"/>
  <c r="T75" i="21"/>
  <c r="U75" i="21" s="1"/>
  <c r="S76" i="21"/>
  <c r="T76" i="21"/>
  <c r="S77" i="21"/>
  <c r="T77" i="21"/>
  <c r="S78" i="21"/>
  <c r="T78" i="21"/>
  <c r="S79" i="21"/>
  <c r="T79" i="21"/>
  <c r="S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25" i="21"/>
  <c r="P80" i="21"/>
  <c r="P81" i="21"/>
  <c r="U81" i="21" s="1"/>
  <c r="P82" i="21"/>
  <c r="P86" i="21"/>
  <c r="U86" i="21" s="1"/>
  <c r="P87" i="21"/>
  <c r="P88" i="21"/>
  <c r="P89" i="21"/>
  <c r="U89" i="21" s="1"/>
  <c r="P90" i="21"/>
  <c r="P91" i="21"/>
  <c r="U91" i="21" s="1"/>
  <c r="P26" i="21"/>
  <c r="P27" i="21"/>
  <c r="P28" i="21"/>
  <c r="U28" i="21" s="1"/>
  <c r="P29" i="21"/>
  <c r="P30" i="21"/>
  <c r="U30" i="21" s="1"/>
  <c r="P31" i="21"/>
  <c r="U31" i="21" s="1"/>
  <c r="P32" i="21"/>
  <c r="U32" i="21" s="1"/>
  <c r="P33" i="21"/>
  <c r="P34" i="21"/>
  <c r="U34" i="21" s="1"/>
  <c r="P35" i="21"/>
  <c r="P36" i="21"/>
  <c r="U36" i="21" s="1"/>
  <c r="P37" i="21"/>
  <c r="P38" i="21"/>
  <c r="P39" i="21"/>
  <c r="U39" i="21" s="1"/>
  <c r="P40" i="21"/>
  <c r="U40" i="21" s="1"/>
  <c r="P41" i="21"/>
  <c r="U41" i="21" s="1"/>
  <c r="P42" i="21"/>
  <c r="P43" i="21"/>
  <c r="P44" i="21"/>
  <c r="U44" i="21" s="1"/>
  <c r="P45" i="21"/>
  <c r="P46" i="21"/>
  <c r="U46" i="21" s="1"/>
  <c r="P47" i="21"/>
  <c r="U47" i="21" s="1"/>
  <c r="P48" i="21"/>
  <c r="U48" i="21" s="1"/>
  <c r="P49" i="21"/>
  <c r="P50" i="21"/>
  <c r="U50" i="21" s="1"/>
  <c r="P51" i="21"/>
  <c r="P52" i="21"/>
  <c r="U52" i="21" s="1"/>
  <c r="P53" i="21"/>
  <c r="P54" i="21"/>
  <c r="P55" i="21"/>
  <c r="U55" i="21" s="1"/>
  <c r="P56" i="21"/>
  <c r="U56" i="21" s="1"/>
  <c r="P57" i="21"/>
  <c r="U57" i="21" s="1"/>
  <c r="P58" i="21"/>
  <c r="P59" i="21"/>
  <c r="P60" i="21"/>
  <c r="P61" i="21"/>
  <c r="U61" i="21" s="1"/>
  <c r="P62" i="21"/>
  <c r="U62" i="21" s="1"/>
  <c r="P63" i="21"/>
  <c r="U63" i="21" s="1"/>
  <c r="P64" i="21"/>
  <c r="U64" i="21" s="1"/>
  <c r="P65" i="21"/>
  <c r="P66" i="21"/>
  <c r="U66" i="21" s="1"/>
  <c r="P67" i="21"/>
  <c r="P68" i="21"/>
  <c r="U68" i="21" s="1"/>
  <c r="P69" i="21"/>
  <c r="P70" i="21"/>
  <c r="P71" i="21"/>
  <c r="U71" i="21" s="1"/>
  <c r="P72" i="21"/>
  <c r="U72" i="21" s="1"/>
  <c r="P73" i="21"/>
  <c r="U73" i="21" s="1"/>
  <c r="P74" i="21"/>
  <c r="U74" i="21" s="1"/>
  <c r="P75" i="21"/>
  <c r="P76" i="21"/>
  <c r="U76" i="21" s="1"/>
  <c r="P77" i="21"/>
  <c r="U77" i="21" s="1"/>
  <c r="P78" i="21"/>
  <c r="P79" i="21"/>
  <c r="U79" i="21" s="1"/>
  <c r="P25" i="21"/>
  <c r="U25" i="21" s="1"/>
  <c r="D102" i="21"/>
  <c r="D95" i="21"/>
  <c r="T94" i="21"/>
  <c r="D94" i="21"/>
  <c r="W91" i="21"/>
  <c r="Q91" i="21"/>
  <c r="W90" i="21"/>
  <c r="Q90" i="21"/>
  <c r="U90" i="21"/>
  <c r="W89" i="21"/>
  <c r="Q89" i="21"/>
  <c r="Q88" i="21"/>
  <c r="Q87" i="21"/>
  <c r="W86" i="21"/>
  <c r="Q86" i="21"/>
  <c r="Q82" i="21"/>
  <c r="W81" i="21"/>
  <c r="Q81" i="21"/>
  <c r="U67" i="21"/>
  <c r="U65" i="21"/>
  <c r="U49" i="21"/>
  <c r="U45" i="21"/>
  <c r="U42" i="21"/>
  <c r="U33" i="21"/>
  <c r="U29" i="21"/>
  <c r="U26" i="21"/>
  <c r="T25" i="21"/>
  <c r="U69" i="21" l="1"/>
  <c r="U53" i="21"/>
  <c r="U37" i="21"/>
  <c r="U87" i="21"/>
  <c r="U54" i="21"/>
  <c r="U38" i="21"/>
  <c r="U88" i="21"/>
  <c r="U83" i="21"/>
  <c r="U82" i="21"/>
  <c r="W83" i="21"/>
  <c r="U51" i="21"/>
  <c r="U58" i="21"/>
  <c r="O99" i="21"/>
  <c r="O98" i="21"/>
  <c r="U60" i="21"/>
  <c r="U59" i="21"/>
  <c r="W85" i="21"/>
  <c r="L98" i="21"/>
  <c r="L99" i="21"/>
  <c r="L100" i="21"/>
  <c r="M98" i="21"/>
  <c r="M99" i="21"/>
  <c r="M100" i="21"/>
  <c r="W88" i="21"/>
  <c r="N99" i="21"/>
  <c r="U70" i="21"/>
  <c r="D105" i="21" s="1"/>
  <c r="D106" i="21" s="1"/>
  <c r="U80" i="21"/>
  <c r="U78" i="21"/>
  <c r="W25" i="21"/>
  <c r="W84" i="21"/>
  <c r="U84" i="21"/>
  <c r="U85" i="21"/>
  <c r="P95" i="21"/>
  <c r="D97" i="21"/>
  <c r="D99" i="21" s="1"/>
  <c r="H97" i="21"/>
  <c r="H98" i="21" s="1"/>
  <c r="I97" i="21"/>
  <c r="I98" i="21" s="1"/>
  <c r="J97" i="21"/>
  <c r="J100" i="21" s="1"/>
  <c r="K97" i="21"/>
  <c r="K100" i="21" s="1"/>
  <c r="W79" i="21"/>
  <c r="W78" i="21"/>
  <c r="W77" i="21"/>
  <c r="W76" i="21"/>
  <c r="W75" i="21"/>
  <c r="W74" i="21"/>
  <c r="W73" i="21"/>
  <c r="W72" i="21"/>
  <c r="W71" i="21"/>
  <c r="W70" i="21"/>
  <c r="W69" i="21"/>
  <c r="W68" i="21"/>
  <c r="W67" i="21"/>
  <c r="W66" i="21"/>
  <c r="W65" i="21"/>
  <c r="W64" i="21"/>
  <c r="W63" i="21"/>
  <c r="W62" i="21"/>
  <c r="W61" i="21"/>
  <c r="W60" i="21"/>
  <c r="W59" i="21"/>
  <c r="W58" i="21"/>
  <c r="W57" i="21"/>
  <c r="W56" i="21"/>
  <c r="W55" i="21"/>
  <c r="W54" i="21"/>
  <c r="W53" i="21"/>
  <c r="W52" i="21"/>
  <c r="W51" i="21"/>
  <c r="W50" i="21"/>
  <c r="W49" i="21"/>
  <c r="W48" i="21"/>
  <c r="W47" i="21"/>
  <c r="W46" i="21"/>
  <c r="W45" i="21"/>
  <c r="W44" i="21"/>
  <c r="W43" i="21"/>
  <c r="W42" i="21"/>
  <c r="W41" i="21"/>
  <c r="W40" i="21"/>
  <c r="W39" i="21"/>
  <c r="W38" i="21"/>
  <c r="W37" i="21"/>
  <c r="W36" i="21"/>
  <c r="W35" i="21"/>
  <c r="W34" i="21"/>
  <c r="W33" i="21"/>
  <c r="W32" i="21"/>
  <c r="W31" i="21"/>
  <c r="W30" i="21"/>
  <c r="W29" i="21"/>
  <c r="W28" i="21"/>
  <c r="W27" i="21"/>
  <c r="W80" i="21"/>
  <c r="G99" i="21"/>
  <c r="G98" i="21"/>
  <c r="F99" i="21"/>
  <c r="F98" i="21"/>
  <c r="E99" i="21"/>
  <c r="E98" i="21"/>
  <c r="W26" i="21"/>
  <c r="I99" i="21" l="1"/>
  <c r="K99" i="21"/>
  <c r="K98" i="21"/>
  <c r="H100" i="21"/>
  <c r="H99" i="21"/>
  <c r="I100" i="21"/>
  <c r="J98" i="21"/>
  <c r="D98" i="21"/>
  <c r="J99" i="21"/>
  <c r="E100" i="21"/>
  <c r="F100" i="21"/>
  <c r="G100" i="21"/>
  <c r="D100" i="21"/>
</calcChain>
</file>

<file path=xl/sharedStrings.xml><?xml version="1.0" encoding="utf-8"?>
<sst xmlns="http://schemas.openxmlformats.org/spreadsheetml/2006/main" count="43" uniqueCount="43">
  <si>
    <t xml:space="preserve">DEPARTMENT: </t>
  </si>
  <si>
    <t>SECTION:</t>
  </si>
  <si>
    <t xml:space="preserve">EXAM NAME: </t>
  </si>
  <si>
    <t>% OF PASS IN EACH COURSE</t>
  </si>
  <si>
    <t>.S.No</t>
  </si>
  <si>
    <t>Sl.No.</t>
  </si>
  <si>
    <t>Reg. No.</t>
  </si>
  <si>
    <t>Name  Of  The Student</t>
  </si>
  <si>
    <t>Marks Obtained</t>
  </si>
  <si>
    <t>Course</t>
  </si>
  <si>
    <t>Total Marks</t>
  </si>
  <si>
    <t>Average %</t>
  </si>
  <si>
    <t>No. Of Courses Absent In This Exam</t>
  </si>
  <si>
    <t>Attendance % Till This Exam</t>
  </si>
  <si>
    <t>COURSE CODE &amp; NAME</t>
  </si>
  <si>
    <t xml:space="preserve">NO. OF STUDENTS PASSED </t>
  </si>
  <si>
    <t>NO. OF STUDENTS FAILED</t>
  </si>
  <si>
    <t>STANDARD DEVIATION</t>
  </si>
  <si>
    <t>AVERAGE MARK</t>
  </si>
  <si>
    <t>DEGREE:</t>
  </si>
  <si>
    <t>No. of subjects failed:</t>
  </si>
  <si>
    <t>No. of students</t>
  </si>
  <si>
    <t>NO.OF STUDENTS ABSENT</t>
  </si>
  <si>
    <t>ACADEMIC YEAR:</t>
  </si>
  <si>
    <t>No. Of Courses Failed In This Exam</t>
  </si>
  <si>
    <t>-</t>
  </si>
  <si>
    <t>FAILURE ANALYSIS</t>
  </si>
  <si>
    <t>Percentage (%)</t>
  </si>
  <si>
    <t xml:space="preserve">SECTION </t>
  </si>
  <si>
    <t>SEMESTER NO.</t>
  </si>
  <si>
    <t>NAME OF THE COURSE TEACHER</t>
  </si>
  <si>
    <t>SECTION</t>
  </si>
  <si>
    <t>BATCH PASSING OUT YEAR:</t>
  </si>
  <si>
    <t>NO.OF STUDENTS WITHHELD</t>
  </si>
  <si>
    <t xml:space="preserve">ALL PASS % IN  </t>
  </si>
  <si>
    <t>CONTINUOUS ASSESSMENT  REPORT</t>
  </si>
  <si>
    <t>COEFFICIENT OF VARIATION (%)</t>
  </si>
  <si>
    <t>AB</t>
  </si>
  <si>
    <t>WH</t>
  </si>
  <si>
    <t>Nil (All PASS)</t>
  </si>
  <si>
    <t>TOTAL NO. OF STUDENTS APPEARED FOR THE COURSE</t>
  </si>
  <si>
    <t xml:space="preserve">KONGU ENGINEERING COLLEGE
(Autonomous)
PERUNDURAI – 638060
INTERNAL QUALITY ASSURANCE CELL
</t>
  </si>
  <si>
    <t>Department:______________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</si>
</sst>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Calibri"/>
      <family val="2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u/>
      <sz val="16"/>
      <color indexed="8"/>
      <name val="Calibri"/>
      <family val="2"/>
    </font>
    <font>
      <b/>
      <sz val="8"/>
      <color indexed="8"/>
      <name val="Arial"/>
      <family val="2"/>
    </font>
    <font>
      <sz val="10"/>
      <color indexed="8"/>
      <name val="Times New Roman"/>
      <family val="1"/>
    </font>
    <font>
      <b/>
      <sz val="20"/>
      <color indexed="8"/>
      <name val="Times New Roman"/>
      <family val="1"/>
    </font>
    <font>
      <sz val="10"/>
      <color indexed="8"/>
      <name val="Calibri"/>
      <family val="2"/>
    </font>
    <font>
      <b/>
      <sz val="16"/>
      <color indexed="8"/>
      <name val="Tahoma"/>
      <family val="2"/>
    </font>
    <font>
      <b/>
      <sz val="10"/>
      <name val="Arial"/>
      <family val="2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8">
    <xf numFmtId="0" fontId="0" fillId="0" borderId="0" xfId="0"/>
    <xf numFmtId="0" fontId="10" fillId="0" borderId="1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/>
    <xf numFmtId="0" fontId="9" fillId="0" borderId="1" xfId="0" applyFont="1" applyBorder="1"/>
    <xf numFmtId="0" fontId="8" fillId="0" borderId="0" xfId="0" applyFont="1"/>
    <xf numFmtId="0" fontId="7" fillId="0" borderId="0" xfId="0" applyFont="1" applyAlignment="1" applyProtection="1">
      <alignment horizontal="left" vertical="center"/>
      <protection locked="0"/>
    </xf>
    <xf numFmtId="0" fontId="19" fillId="0" borderId="0" xfId="0" applyFont="1"/>
    <xf numFmtId="0" fontId="16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textRotation="90" wrapText="1"/>
    </xf>
    <xf numFmtId="0" fontId="9" fillId="0" borderId="5" xfId="0" applyFont="1" applyBorder="1" applyAlignment="1">
      <alignment horizontal="center" textRotation="90" wrapText="1"/>
    </xf>
    <xf numFmtId="0" fontId="9" fillId="0" borderId="6" xfId="0" applyFont="1" applyBorder="1" applyAlignment="1">
      <alignment horizontal="center" textRotation="90" wrapText="1"/>
    </xf>
    <xf numFmtId="0" fontId="13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/>
    <xf numFmtId="9" fontId="9" fillId="0" borderId="0" xfId="0" applyNumberFormat="1" applyFont="1"/>
    <xf numFmtId="0" fontId="14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10" fontId="18" fillId="0" borderId="0" xfId="1" applyNumberFormat="1" applyFont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9" fillId="0" borderId="13" xfId="0" applyFont="1" applyBorder="1" applyAlignment="1" applyProtection="1">
      <alignment horizontal="left"/>
      <protection locked="0"/>
    </xf>
    <xf numFmtId="0" fontId="9" fillId="0" borderId="14" xfId="0" applyFont="1" applyBorder="1" applyAlignment="1" applyProtection="1">
      <alignment horizontal="left"/>
      <protection locked="0"/>
    </xf>
    <xf numFmtId="0" fontId="9" fillId="0" borderId="15" xfId="0" applyFont="1" applyBorder="1" applyAlignment="1" applyProtection="1">
      <alignment horizontal="left"/>
      <protection locked="0"/>
    </xf>
    <xf numFmtId="0" fontId="12" fillId="0" borderId="16" xfId="0" applyFont="1" applyBorder="1" applyAlignment="1">
      <alignment horizontal="left" vertical="center" readingOrder="2"/>
    </xf>
    <xf numFmtId="0" fontId="5" fillId="0" borderId="17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shrinkToFit="1"/>
    </xf>
    <xf numFmtId="9" fontId="11" fillId="0" borderId="17" xfId="1" applyFont="1" applyBorder="1" applyAlignment="1" applyProtection="1">
      <alignment horizontal="center" shrinkToFit="1"/>
    </xf>
    <xf numFmtId="164" fontId="9" fillId="0" borderId="17" xfId="0" applyNumberFormat="1" applyFont="1" applyBorder="1" applyAlignment="1">
      <alignment horizontal="center" shrinkToFit="1"/>
    </xf>
    <xf numFmtId="9" fontId="0" fillId="0" borderId="0" xfId="0" applyNumberFormat="1"/>
    <xf numFmtId="0" fontId="1" fillId="0" borderId="18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>
      <alignment horizontal="center" vertical="top" wrapText="1"/>
    </xf>
    <xf numFmtId="164" fontId="9" fillId="0" borderId="18" xfId="0" applyNumberFormat="1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1" fillId="0" borderId="20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>
      <alignment horizontal="center" vertical="top" wrapText="1"/>
    </xf>
    <xf numFmtId="164" fontId="9" fillId="0" borderId="20" xfId="0" applyNumberFormat="1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shrinkToFit="1"/>
    </xf>
    <xf numFmtId="0" fontId="10" fillId="0" borderId="0" xfId="0" applyFont="1" applyAlignment="1" applyProtection="1">
      <alignment horizontal="left" vertical="center"/>
      <protection locked="0"/>
    </xf>
    <xf numFmtId="0" fontId="20" fillId="0" borderId="8" xfId="0" applyFont="1" applyBorder="1" applyAlignment="1">
      <alignment horizontal="left" vertical="center" wrapText="1"/>
    </xf>
    <xf numFmtId="9" fontId="9" fillId="0" borderId="12" xfId="1" applyFont="1" applyBorder="1" applyAlignment="1" applyProtection="1">
      <alignment horizontal="center" shrinkToFit="1"/>
    </xf>
    <xf numFmtId="0" fontId="9" fillId="0" borderId="18" xfId="0" applyFont="1" applyBorder="1" applyAlignment="1" applyProtection="1">
      <alignment horizontal="center" vertical="top" wrapText="1"/>
      <protection locked="0"/>
    </xf>
    <xf numFmtId="0" fontId="9" fillId="0" borderId="20" xfId="0" applyFont="1" applyBorder="1" applyAlignment="1" applyProtection="1">
      <alignment horizontal="center" vertical="top" wrapText="1"/>
      <protection locked="0"/>
    </xf>
    <xf numFmtId="0" fontId="4" fillId="0" borderId="24" xfId="0" applyFont="1" applyBorder="1" applyAlignment="1">
      <alignment vertical="center" shrinkToFit="1"/>
    </xf>
    <xf numFmtId="0" fontId="3" fillId="0" borderId="24" xfId="0" applyFont="1" applyBorder="1" applyAlignment="1">
      <alignment vertical="center" shrinkToFit="1"/>
    </xf>
    <xf numFmtId="0" fontId="1" fillId="0" borderId="25" xfId="0" applyFont="1" applyBorder="1" applyAlignment="1" applyProtection="1">
      <alignment horizontal="center" vertical="center"/>
      <protection locked="0"/>
    </xf>
    <xf numFmtId="0" fontId="21" fillId="0" borderId="17" xfId="0" applyFont="1" applyBorder="1" applyAlignment="1">
      <alignment horizontal="center" vertical="center" wrapText="1" shrinkToFit="1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wrapText="1"/>
      <protection locked="0"/>
    </xf>
    <xf numFmtId="0" fontId="8" fillId="0" borderId="28" xfId="0" applyFont="1" applyBorder="1" applyAlignment="1" applyProtection="1">
      <alignment horizontal="center" wrapText="1"/>
      <protection locked="0"/>
    </xf>
    <xf numFmtId="0" fontId="3" fillId="0" borderId="28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25" xfId="0" applyFont="1" applyBorder="1" applyAlignment="1">
      <alignment horizontal="center" vertical="top" wrapText="1"/>
    </xf>
    <xf numFmtId="164" fontId="9" fillId="0" borderId="25" xfId="0" applyNumberFormat="1" applyFont="1" applyBorder="1" applyAlignment="1">
      <alignment horizontal="center" vertical="top" wrapText="1"/>
    </xf>
    <xf numFmtId="0" fontId="9" fillId="0" borderId="25" xfId="0" applyFont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shrinkToFit="1"/>
    </xf>
    <xf numFmtId="9" fontId="5" fillId="0" borderId="17" xfId="1" applyFont="1" applyBorder="1" applyAlignment="1" applyProtection="1">
      <alignment horizontal="center" shrinkToFit="1"/>
    </xf>
    <xf numFmtId="0" fontId="9" fillId="0" borderId="43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>
      <alignment horizontal="right"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15" fillId="0" borderId="58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9" fillId="0" borderId="5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right" vertical="center" wrapText="1"/>
    </xf>
    <xf numFmtId="0" fontId="7" fillId="0" borderId="8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6" fillId="0" borderId="52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" fillId="0" borderId="54" xfId="0" applyFont="1" applyBorder="1" applyAlignment="1" applyProtection="1">
      <alignment horizontal="left" vertical="center"/>
      <protection locked="0"/>
    </xf>
    <xf numFmtId="0" fontId="1" fillId="0" borderId="55" xfId="0" applyFont="1" applyBorder="1" applyAlignment="1" applyProtection="1">
      <alignment horizontal="left" vertical="center"/>
      <protection locked="0"/>
    </xf>
    <xf numFmtId="0" fontId="1" fillId="0" borderId="56" xfId="0" applyFont="1" applyBorder="1" applyAlignment="1" applyProtection="1">
      <alignment horizontal="left" vertical="center"/>
      <protection locked="0"/>
    </xf>
    <xf numFmtId="0" fontId="9" fillId="0" borderId="54" xfId="0" applyFont="1" applyBorder="1" applyAlignment="1" applyProtection="1">
      <alignment horizontal="left"/>
      <protection locked="0"/>
    </xf>
    <xf numFmtId="0" fontId="9" fillId="0" borderId="55" xfId="0" applyFont="1" applyBorder="1" applyAlignment="1" applyProtection="1">
      <alignment horizontal="left"/>
      <protection locked="0"/>
    </xf>
    <xf numFmtId="0" fontId="9" fillId="0" borderId="57" xfId="0" applyFont="1" applyBorder="1" applyAlignment="1" applyProtection="1">
      <alignment horizontal="left"/>
      <protection locked="0"/>
    </xf>
    <xf numFmtId="0" fontId="16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0" fontId="1" fillId="0" borderId="46" xfId="0" applyFont="1" applyBorder="1" applyAlignment="1" applyProtection="1">
      <alignment horizontal="left" vertical="center"/>
      <protection locked="0"/>
    </xf>
    <xf numFmtId="0" fontId="9" fillId="0" borderId="44" xfId="0" applyFont="1" applyBorder="1" applyAlignment="1" applyProtection="1">
      <alignment horizontal="left"/>
      <protection locked="0"/>
    </xf>
    <xf numFmtId="0" fontId="9" fillId="0" borderId="45" xfId="0" applyFont="1" applyBorder="1" applyAlignment="1" applyProtection="1">
      <alignment horizontal="left"/>
      <protection locked="0"/>
    </xf>
    <xf numFmtId="0" fontId="9" fillId="0" borderId="47" xfId="0" applyFont="1" applyBorder="1" applyAlignment="1" applyProtection="1">
      <alignment horizontal="left"/>
      <protection locked="0"/>
    </xf>
    <xf numFmtId="14" fontId="16" fillId="0" borderId="48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7" fillId="0" borderId="17" xfId="0" applyFont="1" applyBorder="1" applyAlignment="1">
      <alignment horizontal="center" shrinkToFit="1"/>
    </xf>
    <xf numFmtId="0" fontId="9" fillId="0" borderId="17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10" fontId="18" fillId="0" borderId="30" xfId="1" applyNumberFormat="1" applyFont="1" applyBorder="1" applyAlignment="1" applyProtection="1">
      <alignment horizontal="center" vertical="center" wrapText="1"/>
    </xf>
    <xf numFmtId="10" fontId="18" fillId="0" borderId="0" xfId="1" applyNumberFormat="1" applyFont="1" applyBorder="1" applyAlignment="1" applyProtection="1">
      <alignment horizontal="center" vertical="center" wrapText="1"/>
    </xf>
    <xf numFmtId="10" fontId="18" fillId="0" borderId="8" xfId="1" applyNumberFormat="1" applyFont="1" applyBorder="1" applyAlignment="1" applyProtection="1">
      <alignment horizontal="center" vertical="center" wrapText="1"/>
    </xf>
    <xf numFmtId="10" fontId="18" fillId="0" borderId="31" xfId="1" applyNumberFormat="1" applyFont="1" applyBorder="1" applyAlignment="1" applyProtection="1">
      <alignment horizontal="center" vertical="center" wrapText="1"/>
    </xf>
    <xf numFmtId="10" fontId="18" fillId="0" borderId="32" xfId="1" applyNumberFormat="1" applyFont="1" applyBorder="1" applyAlignment="1" applyProtection="1">
      <alignment horizontal="center" vertical="center" wrapText="1"/>
    </xf>
    <xf numFmtId="10" fontId="18" fillId="0" borderId="33" xfId="1" applyNumberFormat="1" applyFont="1" applyBorder="1" applyAlignment="1" applyProtection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7" fillId="0" borderId="23" xfId="0" applyFont="1" applyBorder="1" applyAlignment="1">
      <alignment textRotation="90" wrapText="1"/>
    </xf>
    <xf numFmtId="0" fontId="17" fillId="0" borderId="17" xfId="0" applyFont="1" applyBorder="1" applyAlignment="1">
      <alignment textRotation="90" wrapText="1"/>
    </xf>
    <xf numFmtId="0" fontId="17" fillId="0" borderId="12" xfId="0" applyFont="1" applyBorder="1" applyAlignment="1">
      <alignment textRotation="90" wrapText="1"/>
    </xf>
    <xf numFmtId="0" fontId="9" fillId="0" borderId="34" xfId="0" applyFont="1" applyBorder="1" applyAlignment="1">
      <alignment textRotation="90" wrapText="1"/>
    </xf>
    <xf numFmtId="0" fontId="9" fillId="0" borderId="35" xfId="0" applyFont="1" applyBorder="1" applyAlignment="1">
      <alignment textRotation="90" wrapText="1"/>
    </xf>
    <xf numFmtId="0" fontId="9" fillId="0" borderId="36" xfId="0" applyFont="1" applyBorder="1" applyAlignment="1">
      <alignment textRotation="90" wrapText="1"/>
    </xf>
    <xf numFmtId="0" fontId="9" fillId="0" borderId="1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2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" fillId="0" borderId="39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40" xfId="0" applyFont="1" applyBorder="1" applyAlignment="1" applyProtection="1">
      <alignment horizontal="center"/>
      <protection locked="0"/>
    </xf>
    <xf numFmtId="0" fontId="1" fillId="0" borderId="41" xfId="0" applyFont="1" applyBorder="1" applyAlignment="1" applyProtection="1">
      <alignment horizontal="center" vertic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b/>
        <i val="0"/>
        <u/>
        <color indexed="10"/>
        <name val="Cambria"/>
        <scheme val="none"/>
      </font>
    </dxf>
    <dxf>
      <font>
        <b/>
        <i val="0"/>
        <u/>
        <color indexed="10"/>
        <name val="Cambria"/>
        <scheme val="none"/>
      </font>
    </dxf>
    <dxf>
      <font>
        <b/>
        <i val="0"/>
        <strike val="0"/>
        <u/>
        <color rgb="FFFF0000"/>
        <name val="Cambria"/>
        <scheme val="none"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238125</xdr:rowOff>
    </xdr:from>
    <xdr:to>
      <xdr:col>1</xdr:col>
      <xdr:colOff>752475</xdr:colOff>
      <xdr:row>2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619125"/>
          <a:ext cx="69532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85726</xdr:colOff>
      <xdr:row>2</xdr:row>
      <xdr:rowOff>152400</xdr:rowOff>
    </xdr:from>
    <xdr:to>
      <xdr:col>18</xdr:col>
      <xdr:colOff>276226</xdr:colOff>
      <xdr:row>2</xdr:row>
      <xdr:rowOff>828675</xdr:rowOff>
    </xdr:to>
    <xdr:pic>
      <xdr:nvPicPr>
        <xdr:cNvPr id="3" name="Picture 2" descr="C:\Documents and Settings\MBA\Desktop\ISO_900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020176" y="533400"/>
          <a:ext cx="5715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</xdr:col>
      <xdr:colOff>0</xdr:colOff>
      <xdr:row>0</xdr:row>
      <xdr:rowOff>95250</xdr:rowOff>
    </xdr:from>
    <xdr:to>
      <xdr:col>18</xdr:col>
      <xdr:colOff>361950</xdr:colOff>
      <xdr:row>1</xdr:row>
      <xdr:rowOff>152400</xdr:rowOff>
    </xdr:to>
    <xdr:sp macro="" textlink="">
      <xdr:nvSpPr>
        <xdr:cNvPr id="1026" name="Rectangle 3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/>
        </xdr:cNvSpPr>
      </xdr:nvSpPr>
      <xdr:spPr bwMode="auto">
        <a:xfrm>
          <a:off x="7791450" y="95250"/>
          <a:ext cx="18859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1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AC-06, Rev.1, 07.07.2025</a:t>
          </a:r>
        </a:p>
        <a:p>
          <a:pPr algn="l" rtl="1">
            <a:defRPr sz="1000"/>
          </a:pPr>
          <a:endParaRPr lang="en-US" sz="1100" b="0" i="0" strike="noStrike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G120"/>
  <sheetViews>
    <sheetView tabSelected="1" showWhiteSpace="0" view="pageLayout" zoomScaleSheetLayoutView="68" workbookViewId="0">
      <selection activeCell="S6" sqref="S6:T6"/>
    </sheetView>
  </sheetViews>
  <sheetFormatPr defaultRowHeight="15" x14ac:dyDescent="0.25"/>
  <cols>
    <col min="1" max="1" width="4.42578125" style="2" customWidth="1"/>
    <col min="2" max="2" width="12.140625" customWidth="1"/>
    <col min="3" max="3" width="40.85546875" customWidth="1"/>
    <col min="4" max="4" width="7" customWidth="1"/>
    <col min="5" max="5" width="5.7109375" customWidth="1"/>
    <col min="6" max="6" width="5.5703125" customWidth="1"/>
    <col min="7" max="8" width="5.42578125" customWidth="1"/>
    <col min="9" max="9" width="5.28515625" customWidth="1"/>
    <col min="10" max="15" width="5" customWidth="1"/>
    <col min="16" max="16" width="5.85546875" customWidth="1"/>
    <col min="17" max="17" width="6.28515625" customWidth="1"/>
    <col min="18" max="20" width="5.7109375" customWidth="1"/>
    <col min="21" max="21" width="6.7109375" hidden="1" customWidth="1"/>
    <col min="22" max="81" width="9.140625" hidden="1" customWidth="1"/>
    <col min="82" max="83" width="9.140625" customWidth="1"/>
    <col min="84" max="84" width="11.140625" bestFit="1" customWidth="1"/>
    <col min="85" max="85" width="10.5703125" bestFit="1" customWidth="1"/>
  </cols>
  <sheetData>
    <row r="3" spans="1:80" ht="75.75" customHeight="1" x14ac:dyDescent="0.25">
      <c r="C3" s="149" t="s">
        <v>41</v>
      </c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</row>
    <row r="4" spans="1:80" ht="15" customHeight="1" thickBot="1" x14ac:dyDescent="0.35">
      <c r="C4" s="151" t="s">
        <v>42</v>
      </c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80" s="8" customFormat="1" ht="21" x14ac:dyDescent="0.35">
      <c r="A5" s="78" t="s">
        <v>35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80"/>
      <c r="U5" s="22"/>
      <c r="BX5" s="8">
        <v>0</v>
      </c>
    </row>
    <row r="6" spans="1:80" s="8" customFormat="1" ht="24" customHeight="1" x14ac:dyDescent="0.25">
      <c r="A6" s="81" t="s">
        <v>0</v>
      </c>
      <c r="B6" s="82"/>
      <c r="C6" s="45"/>
      <c r="D6" s="83" t="s">
        <v>19</v>
      </c>
      <c r="E6" s="83"/>
      <c r="F6" s="84"/>
      <c r="G6" s="84"/>
      <c r="H6" s="83" t="s">
        <v>23</v>
      </c>
      <c r="I6" s="83"/>
      <c r="J6" s="83"/>
      <c r="K6" s="83"/>
      <c r="L6" s="83"/>
      <c r="M6" s="83"/>
      <c r="N6" s="84"/>
      <c r="O6" s="84"/>
      <c r="P6" s="85" t="s">
        <v>32</v>
      </c>
      <c r="Q6" s="85"/>
      <c r="R6" s="85"/>
      <c r="S6" s="84"/>
      <c r="T6" s="86"/>
      <c r="U6" s="9"/>
      <c r="BX6">
        <v>1</v>
      </c>
      <c r="BY6"/>
    </row>
    <row r="7" spans="1:80" s="8" customFormat="1" ht="15.75" thickBot="1" x14ac:dyDescent="0.3">
      <c r="A7" s="74" t="s">
        <v>29</v>
      </c>
      <c r="B7" s="75"/>
      <c r="C7" s="1"/>
      <c r="D7" s="76" t="s">
        <v>1</v>
      </c>
      <c r="E7" s="76"/>
      <c r="F7" s="77"/>
      <c r="G7" s="77"/>
      <c r="H7" s="76" t="s">
        <v>2</v>
      </c>
      <c r="I7" s="76"/>
      <c r="J7" s="76"/>
      <c r="K7" s="76"/>
      <c r="L7" s="76"/>
      <c r="M7" s="76"/>
      <c r="N7" s="87"/>
      <c r="O7" s="87"/>
      <c r="P7" s="87"/>
      <c r="Q7" s="87"/>
      <c r="R7" s="88"/>
      <c r="S7" s="88"/>
      <c r="T7" s="89"/>
      <c r="BX7" s="8">
        <v>2</v>
      </c>
    </row>
    <row r="8" spans="1:80" s="6" customFormat="1" ht="15.75" customHeight="1" x14ac:dyDescent="0.25">
      <c r="A8" s="29" t="s">
        <v>4</v>
      </c>
      <c r="B8" s="108" t="s">
        <v>14</v>
      </c>
      <c r="C8" s="108"/>
      <c r="D8" s="108"/>
      <c r="E8" s="108"/>
      <c r="F8" s="108" t="s">
        <v>30</v>
      </c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9"/>
      <c r="S8" s="90"/>
      <c r="T8" s="91"/>
      <c r="U8" s="11"/>
      <c r="BS8" s="8"/>
      <c r="BT8" s="8"/>
      <c r="BU8" s="8"/>
      <c r="BV8" s="8"/>
      <c r="BW8" s="8"/>
      <c r="BX8">
        <v>3</v>
      </c>
      <c r="BY8"/>
      <c r="BZ8" s="8"/>
      <c r="CA8" s="8"/>
      <c r="CB8" s="8"/>
    </row>
    <row r="9" spans="1:80" s="6" customFormat="1" ht="15" customHeight="1" x14ac:dyDescent="0.25">
      <c r="A9" s="28"/>
      <c r="B9" s="92"/>
      <c r="C9" s="93"/>
      <c r="D9" s="93"/>
      <c r="E9" s="94"/>
      <c r="F9" s="95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7"/>
      <c r="S9" s="98"/>
      <c r="T9" s="99"/>
      <c r="U9" s="25"/>
      <c r="BS9" s="8"/>
      <c r="BT9" s="8"/>
      <c r="BU9" s="8"/>
      <c r="BV9" s="8"/>
      <c r="BW9" s="8"/>
      <c r="BX9" s="8">
        <v>4</v>
      </c>
      <c r="BY9" s="8"/>
      <c r="BZ9" s="8"/>
      <c r="CA9" s="8"/>
      <c r="CB9" s="8"/>
    </row>
    <row r="10" spans="1:80" s="6" customFormat="1" x14ac:dyDescent="0.25">
      <c r="A10" s="26"/>
      <c r="B10" s="100"/>
      <c r="C10" s="101"/>
      <c r="D10" s="101"/>
      <c r="E10" s="102"/>
      <c r="F10" s="103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5"/>
      <c r="S10" s="106"/>
      <c r="T10" s="107"/>
      <c r="U10" s="25"/>
      <c r="BS10" s="8"/>
      <c r="BT10" s="8"/>
      <c r="BU10" s="8"/>
      <c r="BV10" s="8"/>
      <c r="BW10" s="8"/>
      <c r="BX10">
        <v>5</v>
      </c>
      <c r="BY10"/>
      <c r="BZ10" s="8"/>
      <c r="CA10" s="8"/>
      <c r="CB10" s="8"/>
    </row>
    <row r="11" spans="1:80" s="6" customFormat="1" x14ac:dyDescent="0.25">
      <c r="A11" s="26"/>
      <c r="B11" s="100"/>
      <c r="C11" s="101"/>
      <c r="D11" s="101"/>
      <c r="E11" s="102"/>
      <c r="F11" s="103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5"/>
      <c r="T11" s="17"/>
      <c r="BS11" s="8"/>
      <c r="BT11" s="8"/>
      <c r="BU11" s="8"/>
      <c r="BV11" s="8"/>
      <c r="BW11" s="8"/>
      <c r="BX11" s="8">
        <v>6</v>
      </c>
      <c r="BY11" s="8"/>
      <c r="BZ11" s="8"/>
      <c r="CA11" s="8"/>
      <c r="CB11" s="8"/>
    </row>
    <row r="12" spans="1:80" s="6" customFormat="1" x14ac:dyDescent="0.25">
      <c r="A12" s="26"/>
      <c r="B12" s="100"/>
      <c r="C12" s="101"/>
      <c r="D12" s="101"/>
      <c r="E12" s="102"/>
      <c r="F12" s="103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5"/>
      <c r="T12" s="17"/>
      <c r="BS12" s="8"/>
      <c r="BT12" s="8"/>
      <c r="BU12" s="8"/>
      <c r="BV12" s="8"/>
      <c r="BW12" s="8"/>
      <c r="BX12">
        <v>7</v>
      </c>
      <c r="BY12"/>
      <c r="BZ12" s="8"/>
      <c r="CA12" s="8"/>
      <c r="CB12" s="8"/>
    </row>
    <row r="13" spans="1:80" s="6" customFormat="1" x14ac:dyDescent="0.25">
      <c r="A13" s="26"/>
      <c r="B13" s="100"/>
      <c r="C13" s="101"/>
      <c r="D13" s="101"/>
      <c r="E13" s="102"/>
      <c r="F13" s="103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5"/>
      <c r="T13" s="17"/>
      <c r="BS13" s="8"/>
      <c r="BT13" s="8"/>
      <c r="BU13" s="8"/>
      <c r="BV13" s="8"/>
      <c r="BW13" s="8"/>
      <c r="BX13" s="8">
        <v>8</v>
      </c>
      <c r="BY13" s="8"/>
      <c r="BZ13" s="8"/>
      <c r="CA13" s="8"/>
      <c r="CB13" s="8"/>
    </row>
    <row r="14" spans="1:80" s="6" customFormat="1" x14ac:dyDescent="0.25">
      <c r="A14" s="26"/>
      <c r="B14" s="100"/>
      <c r="C14" s="101"/>
      <c r="D14" s="101"/>
      <c r="E14" s="102"/>
      <c r="F14" s="103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5"/>
      <c r="T14" s="17"/>
      <c r="BS14" s="8"/>
      <c r="BT14" s="8"/>
      <c r="BU14" s="8"/>
      <c r="BV14" s="8"/>
      <c r="BW14" s="8"/>
      <c r="BX14">
        <v>9</v>
      </c>
      <c r="BY14"/>
      <c r="BZ14" s="8"/>
      <c r="CA14" s="8"/>
      <c r="CB14" s="8"/>
    </row>
    <row r="15" spans="1:80" s="6" customFormat="1" x14ac:dyDescent="0.25">
      <c r="A15" s="26"/>
      <c r="B15" s="100"/>
      <c r="C15" s="101"/>
      <c r="D15" s="101"/>
      <c r="E15" s="102"/>
      <c r="F15" s="103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5"/>
      <c r="T15" s="17"/>
      <c r="BS15" s="8"/>
      <c r="BT15" s="8"/>
      <c r="BU15" s="8"/>
      <c r="BV15" s="8"/>
      <c r="BW15" s="8"/>
      <c r="BX15"/>
      <c r="BY15"/>
      <c r="BZ15" s="8"/>
      <c r="CA15" s="8"/>
      <c r="CB15" s="8"/>
    </row>
    <row r="16" spans="1:80" s="6" customFormat="1" x14ac:dyDescent="0.25">
      <c r="A16" s="26"/>
      <c r="B16" s="100"/>
      <c r="C16" s="101"/>
      <c r="D16" s="101"/>
      <c r="E16" s="102"/>
      <c r="F16" s="103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5"/>
      <c r="T16" s="17"/>
      <c r="BS16" s="8"/>
      <c r="BT16" s="8"/>
      <c r="BU16" s="8"/>
      <c r="BV16" s="8"/>
      <c r="BW16" s="8"/>
      <c r="BX16"/>
      <c r="BY16"/>
      <c r="BZ16" s="8"/>
      <c r="CA16" s="8"/>
      <c r="CB16" s="8"/>
    </row>
    <row r="17" spans="1:80" s="6" customFormat="1" x14ac:dyDescent="0.25">
      <c r="A17" s="26"/>
      <c r="B17" s="100"/>
      <c r="C17" s="101"/>
      <c r="D17" s="101"/>
      <c r="E17" s="102"/>
      <c r="F17" s="103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5"/>
      <c r="T17" s="17"/>
      <c r="BS17" s="8"/>
      <c r="BT17" s="8"/>
      <c r="BU17" s="8"/>
      <c r="BV17" s="8"/>
      <c r="BW17" s="8"/>
      <c r="BX17"/>
      <c r="BY17"/>
      <c r="BZ17" s="8"/>
      <c r="CA17" s="8"/>
      <c r="CB17" s="8"/>
    </row>
    <row r="18" spans="1:80" s="6" customFormat="1" x14ac:dyDescent="0.25">
      <c r="A18" s="26"/>
      <c r="B18" s="152"/>
      <c r="C18" s="152"/>
      <c r="D18" s="152"/>
      <c r="E18" s="152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4"/>
      <c r="T18" s="17"/>
      <c r="BX18" s="8">
        <v>10</v>
      </c>
      <c r="BY18"/>
    </row>
    <row r="19" spans="1:80" s="6" customFormat="1" x14ac:dyDescent="0.25">
      <c r="A19" s="26"/>
      <c r="B19" s="152"/>
      <c r="C19" s="152"/>
      <c r="D19" s="152"/>
      <c r="E19" s="152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4"/>
      <c r="T19" s="17"/>
      <c r="BX19">
        <v>11</v>
      </c>
      <c r="BY19"/>
    </row>
    <row r="20" spans="1:80" s="6" customFormat="1" ht="15.75" customHeight="1" thickBot="1" x14ac:dyDescent="0.3">
      <c r="A20" s="27"/>
      <c r="B20" s="155"/>
      <c r="C20" s="155"/>
      <c r="D20" s="155"/>
      <c r="E20" s="155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7"/>
      <c r="T20" s="17"/>
      <c r="BX20" s="8">
        <v>12</v>
      </c>
      <c r="BY20"/>
    </row>
    <row r="21" spans="1:80" s="6" customFormat="1" ht="15.75" customHeight="1" thickBot="1" x14ac:dyDescent="0.35">
      <c r="A21" s="124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6"/>
      <c r="U21" s="21"/>
      <c r="BX21">
        <v>13</v>
      </c>
      <c r="BY21"/>
    </row>
    <row r="22" spans="1:80" s="6" customFormat="1" ht="27.75" customHeight="1" x14ac:dyDescent="0.25">
      <c r="A22" s="141" t="s">
        <v>5</v>
      </c>
      <c r="B22" s="144" t="s">
        <v>6</v>
      </c>
      <c r="C22" s="147" t="s">
        <v>7</v>
      </c>
      <c r="D22" s="147" t="s">
        <v>8</v>
      </c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27" t="s">
        <v>13</v>
      </c>
      <c r="S22" s="127" t="s">
        <v>12</v>
      </c>
      <c r="T22" s="130" t="s">
        <v>24</v>
      </c>
      <c r="U22" s="12"/>
      <c r="BX22" s="8">
        <v>14</v>
      </c>
      <c r="BY22"/>
    </row>
    <row r="23" spans="1:80" s="6" customFormat="1" ht="13.5" customHeight="1" x14ac:dyDescent="0.25">
      <c r="A23" s="142"/>
      <c r="B23" s="145"/>
      <c r="C23" s="133"/>
      <c r="D23" s="133" t="s">
        <v>9</v>
      </c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28"/>
      <c r="S23" s="128"/>
      <c r="T23" s="131"/>
      <c r="U23" s="13"/>
      <c r="BX23">
        <v>15</v>
      </c>
      <c r="BY23"/>
    </row>
    <row r="24" spans="1:80" s="6" customFormat="1" ht="50.25" customHeight="1" thickBot="1" x14ac:dyDescent="0.3">
      <c r="A24" s="143"/>
      <c r="B24" s="146"/>
      <c r="C24" s="148"/>
      <c r="D24" s="23">
        <v>1</v>
      </c>
      <c r="E24" s="23">
        <v>2</v>
      </c>
      <c r="F24" s="23">
        <v>3</v>
      </c>
      <c r="G24" s="23">
        <v>4</v>
      </c>
      <c r="H24" s="23">
        <v>5</v>
      </c>
      <c r="I24" s="23">
        <v>6</v>
      </c>
      <c r="J24" s="23">
        <v>7</v>
      </c>
      <c r="K24" s="23">
        <v>8</v>
      </c>
      <c r="L24" s="23">
        <v>9</v>
      </c>
      <c r="M24" s="23">
        <v>10</v>
      </c>
      <c r="N24" s="23">
        <v>11</v>
      </c>
      <c r="O24" s="23">
        <v>12</v>
      </c>
      <c r="P24" s="67" t="s">
        <v>10</v>
      </c>
      <c r="Q24" s="67" t="s">
        <v>11</v>
      </c>
      <c r="R24" s="129"/>
      <c r="S24" s="129"/>
      <c r="T24" s="132"/>
      <c r="U24" s="14"/>
      <c r="BX24" s="8">
        <v>16</v>
      </c>
      <c r="BY24"/>
    </row>
    <row r="25" spans="1:80" s="6" customFormat="1" ht="15.75" customHeight="1" x14ac:dyDescent="0.25">
      <c r="A25" s="59"/>
      <c r="B25" s="54"/>
      <c r="C25" s="5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6" t="str">
        <f>IF(COUNTIF(D25:O25,"AB")&gt;=1,"-",IF(COUNTIF(D25:O25,"WH")&gt;=1,"-",IF(A25&gt;=1,IF(A25&lt;&gt;"",SUM(D25:O25),""),"")))</f>
        <v/>
      </c>
      <c r="Q25" s="37" t="str">
        <f>IF(COUNTIF(D25:O25,"AB")&gt;=1,"-",IF(COUNTIF(D25:O25,"WH")&gt;=1,"-",IF(A25&gt;=1,IF(A25&lt;&gt;"",AVERAGE(D25:O25),""),"")))</f>
        <v/>
      </c>
      <c r="R25" s="48"/>
      <c r="S25" s="36" t="str">
        <f>IF(A25&gt;=1,IF(A25&lt;&gt;"",(COUNTIF(D25:O25,"AB")),""),"")</f>
        <v/>
      </c>
      <c r="T25" s="38" t="str">
        <f>IF(A25&gt;=1,IF(A25&lt;&gt;"",(COUNTIF(D25:O25,"&lt;50")),""),"")</f>
        <v/>
      </c>
      <c r="U25" s="16" t="e">
        <f>IF(P25=0,"",S25+T25+V25)</f>
        <v>#VALUE!</v>
      </c>
      <c r="V25" s="6" t="str">
        <f>IF(A25&gt;=1,IF(A25&lt;&gt;"",(COUNTIF(D25:O25,"WH")),""),"")</f>
        <v/>
      </c>
      <c r="W25" s="6" t="e">
        <f>S25+T25</f>
        <v>#VALUE!</v>
      </c>
      <c r="BX25">
        <v>17</v>
      </c>
      <c r="BY25" s="10"/>
    </row>
    <row r="26" spans="1:80" s="6" customFormat="1" ht="15.75" customHeight="1" x14ac:dyDescent="0.25">
      <c r="A26" s="60"/>
      <c r="B26" s="55"/>
      <c r="C26" s="57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40" t="str">
        <f t="shared" ref="P26:P89" si="0">IF(COUNTIF(D26:O26,"AB")&gt;=1,"-",IF(COUNTIF(D26:O26,"WH")&gt;=1,"-",IF(A26&gt;=1,IF(A26&lt;&gt;"",SUM(D26:O26),""),"")))</f>
        <v/>
      </c>
      <c r="Q26" s="41" t="str">
        <f t="shared" ref="Q26:Q79" si="1">IF(COUNTIF(D26:O26,"AB")&gt;=1,"-",IF(COUNTIF(D26:O26,"WH")&gt;=1,"-",IF(A26&gt;=1,IF(A26&lt;&gt;"",AVERAGE(D26:O26),""),"")))</f>
        <v/>
      </c>
      <c r="R26" s="49"/>
      <c r="S26" s="40" t="str">
        <f t="shared" ref="S26:S79" si="2">IF(A26&gt;=1,IF(A26&lt;&gt;"",(COUNTIF(D26:O26,"AB")),""),"")</f>
        <v/>
      </c>
      <c r="T26" s="42" t="str">
        <f t="shared" ref="T26:T79" si="3">IF(A26&gt;=1,IF(A26&lt;&gt;"",(COUNTIF(D26:O26,"&lt;50")),""),"")</f>
        <v/>
      </c>
      <c r="U26" s="16" t="e">
        <f>IF(P26=0,"",S26+T26+V26)</f>
        <v>#VALUE!</v>
      </c>
      <c r="V26" s="6" t="str">
        <f t="shared" ref="V26:V91" si="4">IF(A26&gt;=1,IF(A26&lt;&gt;"",(COUNTIF(D26:O26,"WH")),""),"")</f>
        <v/>
      </c>
      <c r="W26" s="6" t="e">
        <f t="shared" ref="W26:W80" si="5">S26+T26</f>
        <v>#VALUE!</v>
      </c>
      <c r="BX26" s="8">
        <v>18</v>
      </c>
      <c r="BY26" s="10"/>
    </row>
    <row r="27" spans="1:80" s="6" customFormat="1" ht="15.75" customHeight="1" x14ac:dyDescent="0.25">
      <c r="A27" s="60"/>
      <c r="B27" s="55"/>
      <c r="C27" s="57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40" t="str">
        <f t="shared" si="0"/>
        <v/>
      </c>
      <c r="Q27" s="41" t="str">
        <f t="shared" si="1"/>
        <v/>
      </c>
      <c r="R27" s="49"/>
      <c r="S27" s="40" t="str">
        <f t="shared" si="2"/>
        <v/>
      </c>
      <c r="T27" s="42" t="str">
        <f t="shared" si="3"/>
        <v/>
      </c>
      <c r="U27" s="16" t="e">
        <f>IF(P27=0,"",S27+T27+V27)</f>
        <v>#VALUE!</v>
      </c>
      <c r="V27" s="6" t="str">
        <f t="shared" si="4"/>
        <v/>
      </c>
      <c r="W27" s="6" t="e">
        <f t="shared" si="5"/>
        <v>#VALUE!</v>
      </c>
      <c r="BX27">
        <v>19</v>
      </c>
      <c r="BY27" s="10"/>
    </row>
    <row r="28" spans="1:80" s="6" customFormat="1" ht="15.75" customHeight="1" x14ac:dyDescent="0.25">
      <c r="A28" s="60"/>
      <c r="B28" s="55"/>
      <c r="C28" s="57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40" t="str">
        <f t="shared" si="0"/>
        <v/>
      </c>
      <c r="Q28" s="41" t="str">
        <f t="shared" si="1"/>
        <v/>
      </c>
      <c r="R28" s="49"/>
      <c r="S28" s="40" t="str">
        <f t="shared" si="2"/>
        <v/>
      </c>
      <c r="T28" s="42" t="str">
        <f t="shared" si="3"/>
        <v/>
      </c>
      <c r="U28" s="16" t="e">
        <f>IF(P28=0,"",S28+T28+V28)</f>
        <v>#VALUE!</v>
      </c>
      <c r="V28" s="6" t="str">
        <f t="shared" si="4"/>
        <v/>
      </c>
      <c r="W28" s="6" t="e">
        <f t="shared" si="5"/>
        <v>#VALUE!</v>
      </c>
      <c r="BX28" s="8">
        <v>20</v>
      </c>
      <c r="BY28" s="10"/>
    </row>
    <row r="29" spans="1:80" s="6" customFormat="1" ht="15.75" customHeight="1" x14ac:dyDescent="0.25">
      <c r="A29" s="60"/>
      <c r="B29" s="55"/>
      <c r="C29" s="57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 t="str">
        <f t="shared" si="0"/>
        <v/>
      </c>
      <c r="Q29" s="41" t="str">
        <f t="shared" si="1"/>
        <v/>
      </c>
      <c r="R29" s="49"/>
      <c r="S29" s="40" t="str">
        <f t="shared" si="2"/>
        <v/>
      </c>
      <c r="T29" s="42" t="str">
        <f t="shared" si="3"/>
        <v/>
      </c>
      <c r="U29" s="16" t="e">
        <f>IF(P29=0,"",S29+T29+V29)</f>
        <v>#VALUE!</v>
      </c>
      <c r="V29" s="6" t="str">
        <f t="shared" si="4"/>
        <v/>
      </c>
      <c r="W29" s="6" t="e">
        <f t="shared" si="5"/>
        <v>#VALUE!</v>
      </c>
      <c r="BX29">
        <v>21</v>
      </c>
      <c r="BY29" s="10"/>
    </row>
    <row r="30" spans="1:80" s="6" customFormat="1" ht="15.75" customHeight="1" x14ac:dyDescent="0.25">
      <c r="A30" s="60"/>
      <c r="B30" s="58"/>
      <c r="C30" s="57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40" t="str">
        <f t="shared" si="0"/>
        <v/>
      </c>
      <c r="Q30" s="41" t="str">
        <f t="shared" si="1"/>
        <v/>
      </c>
      <c r="R30" s="49"/>
      <c r="S30" s="40" t="str">
        <f t="shared" si="2"/>
        <v/>
      </c>
      <c r="T30" s="42" t="str">
        <f t="shared" si="3"/>
        <v/>
      </c>
      <c r="U30" s="16" t="e">
        <f t="shared" ref="U30:U91" si="6">IF(P30=0,"",S30+T30+V30)</f>
        <v>#VALUE!</v>
      </c>
      <c r="V30" s="6" t="str">
        <f t="shared" si="4"/>
        <v/>
      </c>
      <c r="W30" s="6" t="e">
        <f t="shared" si="5"/>
        <v>#VALUE!</v>
      </c>
      <c r="BX30" s="8">
        <v>22</v>
      </c>
    </row>
    <row r="31" spans="1:80" s="6" customFormat="1" ht="15.75" customHeight="1" x14ac:dyDescent="0.25">
      <c r="A31" s="60"/>
      <c r="B31" s="55"/>
      <c r="C31" s="57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0" t="str">
        <f t="shared" si="0"/>
        <v/>
      </c>
      <c r="Q31" s="41" t="str">
        <f t="shared" si="1"/>
        <v/>
      </c>
      <c r="R31" s="49"/>
      <c r="S31" s="40" t="str">
        <f t="shared" si="2"/>
        <v/>
      </c>
      <c r="T31" s="42" t="str">
        <f t="shared" si="3"/>
        <v/>
      </c>
      <c r="U31" s="16" t="e">
        <f t="shared" si="6"/>
        <v>#VALUE!</v>
      </c>
      <c r="V31" s="6" t="str">
        <f t="shared" si="4"/>
        <v/>
      </c>
      <c r="W31" s="6" t="e">
        <f t="shared" si="5"/>
        <v>#VALUE!</v>
      </c>
      <c r="BX31">
        <v>23</v>
      </c>
    </row>
    <row r="32" spans="1:80" s="6" customFormat="1" ht="15.75" customHeight="1" x14ac:dyDescent="0.25">
      <c r="A32" s="60"/>
      <c r="B32" s="55"/>
      <c r="C32" s="57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40" t="str">
        <f t="shared" si="0"/>
        <v/>
      </c>
      <c r="Q32" s="41" t="str">
        <f t="shared" si="1"/>
        <v/>
      </c>
      <c r="R32" s="49"/>
      <c r="S32" s="40" t="str">
        <f t="shared" si="2"/>
        <v/>
      </c>
      <c r="T32" s="42" t="str">
        <f t="shared" si="3"/>
        <v/>
      </c>
      <c r="U32" s="16" t="e">
        <f t="shared" si="6"/>
        <v>#VALUE!</v>
      </c>
      <c r="V32" s="6" t="str">
        <f t="shared" si="4"/>
        <v/>
      </c>
      <c r="W32" s="6" t="e">
        <f t="shared" si="5"/>
        <v>#VALUE!</v>
      </c>
      <c r="BX32" s="8">
        <v>24</v>
      </c>
    </row>
    <row r="33" spans="1:76" s="6" customFormat="1" ht="15.75" customHeight="1" x14ac:dyDescent="0.25">
      <c r="A33" s="60"/>
      <c r="B33" s="55"/>
      <c r="C33" s="57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40" t="str">
        <f t="shared" si="0"/>
        <v/>
      </c>
      <c r="Q33" s="41" t="str">
        <f t="shared" si="1"/>
        <v/>
      </c>
      <c r="R33" s="49"/>
      <c r="S33" s="40" t="str">
        <f t="shared" si="2"/>
        <v/>
      </c>
      <c r="T33" s="42" t="str">
        <f t="shared" si="3"/>
        <v/>
      </c>
      <c r="U33" s="16" t="e">
        <f t="shared" si="6"/>
        <v>#VALUE!</v>
      </c>
      <c r="V33" s="6" t="str">
        <f t="shared" si="4"/>
        <v/>
      </c>
      <c r="W33" s="6" t="e">
        <f t="shared" si="5"/>
        <v>#VALUE!</v>
      </c>
      <c r="BX33">
        <v>25</v>
      </c>
    </row>
    <row r="34" spans="1:76" s="6" customFormat="1" ht="15.75" customHeight="1" x14ac:dyDescent="0.25">
      <c r="A34" s="60"/>
      <c r="B34" s="55"/>
      <c r="C34" s="57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40" t="str">
        <f t="shared" si="0"/>
        <v/>
      </c>
      <c r="Q34" s="41" t="str">
        <f t="shared" si="1"/>
        <v/>
      </c>
      <c r="R34" s="49"/>
      <c r="S34" s="40" t="str">
        <f t="shared" si="2"/>
        <v/>
      </c>
      <c r="T34" s="42" t="str">
        <f t="shared" si="3"/>
        <v/>
      </c>
      <c r="U34" s="16" t="e">
        <f t="shared" si="6"/>
        <v>#VALUE!</v>
      </c>
      <c r="V34" s="6" t="str">
        <f t="shared" si="4"/>
        <v/>
      </c>
      <c r="W34" s="6" t="e">
        <f t="shared" si="5"/>
        <v>#VALUE!</v>
      </c>
      <c r="BX34" s="8">
        <v>26</v>
      </c>
    </row>
    <row r="35" spans="1:76" s="6" customFormat="1" ht="15.75" customHeight="1" x14ac:dyDescent="0.25">
      <c r="A35" s="60"/>
      <c r="B35" s="55"/>
      <c r="C35" s="57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40" t="str">
        <f t="shared" si="0"/>
        <v/>
      </c>
      <c r="Q35" s="41" t="str">
        <f t="shared" si="1"/>
        <v/>
      </c>
      <c r="R35" s="49"/>
      <c r="S35" s="40" t="str">
        <f t="shared" si="2"/>
        <v/>
      </c>
      <c r="T35" s="42" t="str">
        <f t="shared" si="3"/>
        <v/>
      </c>
      <c r="U35" s="16" t="e">
        <f t="shared" si="6"/>
        <v>#VALUE!</v>
      </c>
      <c r="V35" s="6" t="str">
        <f t="shared" si="4"/>
        <v/>
      </c>
      <c r="W35" s="6" t="e">
        <f t="shared" si="5"/>
        <v>#VALUE!</v>
      </c>
      <c r="BX35">
        <v>27</v>
      </c>
    </row>
    <row r="36" spans="1:76" s="6" customFormat="1" ht="15.75" customHeight="1" x14ac:dyDescent="0.25">
      <c r="A36" s="60"/>
      <c r="B36" s="55"/>
      <c r="C36" s="57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40" t="str">
        <f t="shared" si="0"/>
        <v/>
      </c>
      <c r="Q36" s="41" t="str">
        <f t="shared" si="1"/>
        <v/>
      </c>
      <c r="R36" s="49"/>
      <c r="S36" s="40" t="str">
        <f t="shared" si="2"/>
        <v/>
      </c>
      <c r="T36" s="42" t="str">
        <f t="shared" si="3"/>
        <v/>
      </c>
      <c r="U36" s="16" t="e">
        <f t="shared" si="6"/>
        <v>#VALUE!</v>
      </c>
      <c r="V36" s="6" t="str">
        <f t="shared" si="4"/>
        <v/>
      </c>
      <c r="W36" s="6" t="e">
        <f t="shared" si="5"/>
        <v>#VALUE!</v>
      </c>
      <c r="BX36" s="8">
        <v>28</v>
      </c>
    </row>
    <row r="37" spans="1:76" s="6" customFormat="1" ht="15.75" customHeight="1" x14ac:dyDescent="0.25">
      <c r="A37" s="60"/>
      <c r="B37" s="55"/>
      <c r="C37" s="57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40" t="str">
        <f t="shared" si="0"/>
        <v/>
      </c>
      <c r="Q37" s="41" t="str">
        <f t="shared" si="1"/>
        <v/>
      </c>
      <c r="R37" s="49"/>
      <c r="S37" s="40" t="str">
        <f t="shared" si="2"/>
        <v/>
      </c>
      <c r="T37" s="42" t="str">
        <f t="shared" si="3"/>
        <v/>
      </c>
      <c r="U37" s="16" t="e">
        <f t="shared" si="6"/>
        <v>#VALUE!</v>
      </c>
      <c r="V37" s="6" t="str">
        <f t="shared" si="4"/>
        <v/>
      </c>
      <c r="W37" s="6" t="e">
        <f t="shared" si="5"/>
        <v>#VALUE!</v>
      </c>
      <c r="BX37">
        <v>29</v>
      </c>
    </row>
    <row r="38" spans="1:76" s="6" customFormat="1" ht="15.75" customHeight="1" x14ac:dyDescent="0.25">
      <c r="A38" s="60"/>
      <c r="B38" s="55"/>
      <c r="C38" s="57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40" t="str">
        <f t="shared" si="0"/>
        <v/>
      </c>
      <c r="Q38" s="41" t="str">
        <f t="shared" si="1"/>
        <v/>
      </c>
      <c r="R38" s="49"/>
      <c r="S38" s="40" t="str">
        <f t="shared" si="2"/>
        <v/>
      </c>
      <c r="T38" s="42" t="str">
        <f t="shared" si="3"/>
        <v/>
      </c>
      <c r="U38" s="16" t="e">
        <f t="shared" si="6"/>
        <v>#VALUE!</v>
      </c>
      <c r="V38" s="6" t="str">
        <f t="shared" si="4"/>
        <v/>
      </c>
      <c r="W38" s="6" t="e">
        <f t="shared" si="5"/>
        <v>#VALUE!</v>
      </c>
      <c r="BX38" s="8">
        <v>30</v>
      </c>
    </row>
    <row r="39" spans="1:76" s="6" customFormat="1" ht="15.75" customHeight="1" x14ac:dyDescent="0.25">
      <c r="A39" s="60"/>
      <c r="B39" s="55"/>
      <c r="C39" s="57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0" t="str">
        <f t="shared" si="0"/>
        <v/>
      </c>
      <c r="Q39" s="41" t="str">
        <f t="shared" si="1"/>
        <v/>
      </c>
      <c r="R39" s="49"/>
      <c r="S39" s="40" t="str">
        <f t="shared" si="2"/>
        <v/>
      </c>
      <c r="T39" s="42" t="str">
        <f t="shared" si="3"/>
        <v/>
      </c>
      <c r="U39" s="16" t="e">
        <f t="shared" si="6"/>
        <v>#VALUE!</v>
      </c>
      <c r="V39" s="6" t="str">
        <f t="shared" si="4"/>
        <v/>
      </c>
      <c r="W39" s="6" t="e">
        <f t="shared" si="5"/>
        <v>#VALUE!</v>
      </c>
      <c r="BX39">
        <v>31</v>
      </c>
    </row>
    <row r="40" spans="1:76" s="6" customFormat="1" ht="15.75" customHeight="1" x14ac:dyDescent="0.25">
      <c r="A40" s="60"/>
      <c r="B40" s="55"/>
      <c r="C40" s="57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40" t="str">
        <f t="shared" si="0"/>
        <v/>
      </c>
      <c r="Q40" s="41" t="str">
        <f t="shared" si="1"/>
        <v/>
      </c>
      <c r="R40" s="49"/>
      <c r="S40" s="40" t="str">
        <f t="shared" si="2"/>
        <v/>
      </c>
      <c r="T40" s="42" t="str">
        <f t="shared" si="3"/>
        <v/>
      </c>
      <c r="U40" s="16" t="e">
        <f t="shared" si="6"/>
        <v>#VALUE!</v>
      </c>
      <c r="V40" s="6" t="str">
        <f t="shared" si="4"/>
        <v/>
      </c>
      <c r="W40" s="6" t="e">
        <f t="shared" si="5"/>
        <v>#VALUE!</v>
      </c>
      <c r="BX40" s="8">
        <v>32</v>
      </c>
    </row>
    <row r="41" spans="1:76" s="6" customFormat="1" x14ac:dyDescent="0.25">
      <c r="A41" s="60"/>
      <c r="B41" s="55"/>
      <c r="C41" s="57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40" t="str">
        <f t="shared" si="0"/>
        <v/>
      </c>
      <c r="Q41" s="41" t="str">
        <f t="shared" si="1"/>
        <v/>
      </c>
      <c r="R41" s="49"/>
      <c r="S41" s="40" t="str">
        <f t="shared" si="2"/>
        <v/>
      </c>
      <c r="T41" s="42" t="str">
        <f t="shared" si="3"/>
        <v/>
      </c>
      <c r="U41" s="16" t="e">
        <f t="shared" si="6"/>
        <v>#VALUE!</v>
      </c>
      <c r="V41" s="6" t="str">
        <f t="shared" si="4"/>
        <v/>
      </c>
      <c r="W41" s="6" t="e">
        <f t="shared" si="5"/>
        <v>#VALUE!</v>
      </c>
      <c r="BX41">
        <v>33</v>
      </c>
    </row>
    <row r="42" spans="1:76" s="6" customFormat="1" ht="15.75" customHeight="1" x14ac:dyDescent="0.25">
      <c r="A42" s="60"/>
      <c r="B42" s="55"/>
      <c r="C42" s="57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40" t="str">
        <f t="shared" si="0"/>
        <v/>
      </c>
      <c r="Q42" s="41" t="str">
        <f t="shared" si="1"/>
        <v/>
      </c>
      <c r="R42" s="49"/>
      <c r="S42" s="40" t="str">
        <f t="shared" si="2"/>
        <v/>
      </c>
      <c r="T42" s="42" t="str">
        <f t="shared" si="3"/>
        <v/>
      </c>
      <c r="U42" s="16" t="e">
        <f t="shared" si="6"/>
        <v>#VALUE!</v>
      </c>
      <c r="V42" s="6" t="str">
        <f t="shared" si="4"/>
        <v/>
      </c>
      <c r="W42" s="6" t="e">
        <f t="shared" si="5"/>
        <v>#VALUE!</v>
      </c>
      <c r="BX42" s="8">
        <v>34</v>
      </c>
    </row>
    <row r="43" spans="1:76" s="6" customFormat="1" ht="15.75" customHeight="1" x14ac:dyDescent="0.25">
      <c r="A43" s="60"/>
      <c r="B43" s="55"/>
      <c r="C43" s="57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40" t="str">
        <f t="shared" si="0"/>
        <v/>
      </c>
      <c r="Q43" s="41" t="str">
        <f t="shared" si="1"/>
        <v/>
      </c>
      <c r="R43" s="49"/>
      <c r="S43" s="40" t="str">
        <f t="shared" si="2"/>
        <v/>
      </c>
      <c r="T43" s="42" t="str">
        <f t="shared" si="3"/>
        <v/>
      </c>
      <c r="U43" s="16" t="e">
        <f t="shared" si="6"/>
        <v>#VALUE!</v>
      </c>
      <c r="V43" s="6" t="str">
        <f t="shared" si="4"/>
        <v/>
      </c>
      <c r="W43" s="6" t="e">
        <f t="shared" si="5"/>
        <v>#VALUE!</v>
      </c>
      <c r="BX43">
        <v>35</v>
      </c>
    </row>
    <row r="44" spans="1:76" s="6" customFormat="1" ht="15.75" customHeight="1" x14ac:dyDescent="0.25">
      <c r="A44" s="60"/>
      <c r="B44" s="55"/>
      <c r="C44" s="57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40" t="str">
        <f t="shared" si="0"/>
        <v/>
      </c>
      <c r="Q44" s="41" t="str">
        <f t="shared" si="1"/>
        <v/>
      </c>
      <c r="R44" s="49"/>
      <c r="S44" s="40" t="str">
        <f t="shared" si="2"/>
        <v/>
      </c>
      <c r="T44" s="42" t="str">
        <f t="shared" si="3"/>
        <v/>
      </c>
      <c r="U44" s="16" t="e">
        <f t="shared" si="6"/>
        <v>#VALUE!</v>
      </c>
      <c r="V44" s="6" t="str">
        <f t="shared" si="4"/>
        <v/>
      </c>
      <c r="W44" s="6" t="e">
        <f t="shared" si="5"/>
        <v>#VALUE!</v>
      </c>
      <c r="BX44" s="8">
        <v>36</v>
      </c>
    </row>
    <row r="45" spans="1:76" s="6" customFormat="1" ht="15.75" customHeight="1" x14ac:dyDescent="0.25">
      <c r="A45" s="60"/>
      <c r="B45" s="55"/>
      <c r="C45" s="57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40" t="str">
        <f t="shared" si="0"/>
        <v/>
      </c>
      <c r="Q45" s="41" t="str">
        <f t="shared" si="1"/>
        <v/>
      </c>
      <c r="R45" s="49"/>
      <c r="S45" s="40" t="str">
        <f t="shared" si="2"/>
        <v/>
      </c>
      <c r="T45" s="42" t="str">
        <f t="shared" si="3"/>
        <v/>
      </c>
      <c r="U45" s="16" t="e">
        <f t="shared" si="6"/>
        <v>#VALUE!</v>
      </c>
      <c r="V45" s="6" t="str">
        <f t="shared" si="4"/>
        <v/>
      </c>
      <c r="W45" s="6" t="e">
        <f t="shared" si="5"/>
        <v>#VALUE!</v>
      </c>
      <c r="BX45">
        <v>37</v>
      </c>
    </row>
    <row r="46" spans="1:76" s="6" customFormat="1" ht="15.75" customHeight="1" x14ac:dyDescent="0.25">
      <c r="A46" s="60"/>
      <c r="B46" s="55"/>
      <c r="C46" s="57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40" t="str">
        <f t="shared" si="0"/>
        <v/>
      </c>
      <c r="Q46" s="41" t="str">
        <f t="shared" si="1"/>
        <v/>
      </c>
      <c r="R46" s="49"/>
      <c r="S46" s="40" t="str">
        <f t="shared" si="2"/>
        <v/>
      </c>
      <c r="T46" s="42" t="str">
        <f t="shared" si="3"/>
        <v/>
      </c>
      <c r="U46" s="16" t="e">
        <f t="shared" si="6"/>
        <v>#VALUE!</v>
      </c>
      <c r="V46" s="6" t="str">
        <f t="shared" si="4"/>
        <v/>
      </c>
      <c r="W46" s="6" t="e">
        <f t="shared" si="5"/>
        <v>#VALUE!</v>
      </c>
      <c r="BX46" s="8">
        <v>38</v>
      </c>
    </row>
    <row r="47" spans="1:76" s="6" customFormat="1" ht="15.75" customHeight="1" x14ac:dyDescent="0.25">
      <c r="A47" s="60"/>
      <c r="B47" s="55"/>
      <c r="C47" s="57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40" t="str">
        <f t="shared" si="0"/>
        <v/>
      </c>
      <c r="Q47" s="41" t="str">
        <f t="shared" si="1"/>
        <v/>
      </c>
      <c r="R47" s="49"/>
      <c r="S47" s="40" t="str">
        <f t="shared" si="2"/>
        <v/>
      </c>
      <c r="T47" s="42" t="str">
        <f t="shared" si="3"/>
        <v/>
      </c>
      <c r="U47" s="16" t="e">
        <f t="shared" si="6"/>
        <v>#VALUE!</v>
      </c>
      <c r="V47" s="6" t="str">
        <f t="shared" si="4"/>
        <v/>
      </c>
      <c r="W47" s="6" t="e">
        <f t="shared" si="5"/>
        <v>#VALUE!</v>
      </c>
      <c r="BX47">
        <v>39</v>
      </c>
    </row>
    <row r="48" spans="1:76" s="6" customFormat="1" ht="15.75" customHeight="1" x14ac:dyDescent="0.25">
      <c r="A48" s="60"/>
      <c r="B48" s="55"/>
      <c r="C48" s="57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40" t="str">
        <f t="shared" si="0"/>
        <v/>
      </c>
      <c r="Q48" s="41" t="str">
        <f t="shared" si="1"/>
        <v/>
      </c>
      <c r="R48" s="49"/>
      <c r="S48" s="40" t="str">
        <f t="shared" si="2"/>
        <v/>
      </c>
      <c r="T48" s="42" t="str">
        <f t="shared" si="3"/>
        <v/>
      </c>
      <c r="U48" s="16" t="e">
        <f t="shared" si="6"/>
        <v>#VALUE!</v>
      </c>
      <c r="V48" s="6" t="str">
        <f t="shared" si="4"/>
        <v/>
      </c>
      <c r="W48" s="6" t="e">
        <f t="shared" si="5"/>
        <v>#VALUE!</v>
      </c>
      <c r="BX48" s="8">
        <v>40</v>
      </c>
    </row>
    <row r="49" spans="1:76" s="6" customFormat="1" ht="15.75" customHeight="1" x14ac:dyDescent="0.25">
      <c r="A49" s="60"/>
      <c r="B49" s="55"/>
      <c r="C49" s="57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40" t="str">
        <f t="shared" si="0"/>
        <v/>
      </c>
      <c r="Q49" s="41" t="str">
        <f t="shared" si="1"/>
        <v/>
      </c>
      <c r="R49" s="49"/>
      <c r="S49" s="40" t="str">
        <f t="shared" si="2"/>
        <v/>
      </c>
      <c r="T49" s="42" t="str">
        <f t="shared" si="3"/>
        <v/>
      </c>
      <c r="U49" s="16" t="e">
        <f t="shared" si="6"/>
        <v>#VALUE!</v>
      </c>
      <c r="V49" s="6" t="str">
        <f t="shared" si="4"/>
        <v/>
      </c>
      <c r="W49" s="6" t="e">
        <f t="shared" si="5"/>
        <v>#VALUE!</v>
      </c>
      <c r="BX49">
        <v>41</v>
      </c>
    </row>
    <row r="50" spans="1:76" s="6" customFormat="1" ht="15.75" customHeight="1" x14ac:dyDescent="0.25">
      <c r="A50" s="60"/>
      <c r="B50" s="55"/>
      <c r="C50" s="57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40" t="str">
        <f t="shared" si="0"/>
        <v/>
      </c>
      <c r="Q50" s="41" t="str">
        <f t="shared" si="1"/>
        <v/>
      </c>
      <c r="R50" s="49"/>
      <c r="S50" s="40" t="str">
        <f t="shared" si="2"/>
        <v/>
      </c>
      <c r="T50" s="42" t="str">
        <f t="shared" si="3"/>
        <v/>
      </c>
      <c r="U50" s="16" t="e">
        <f t="shared" si="6"/>
        <v>#VALUE!</v>
      </c>
      <c r="V50" s="6" t="str">
        <f t="shared" si="4"/>
        <v/>
      </c>
      <c r="W50" s="6" t="e">
        <f t="shared" si="5"/>
        <v>#VALUE!</v>
      </c>
      <c r="BX50" s="8">
        <v>42</v>
      </c>
    </row>
    <row r="51" spans="1:76" s="6" customFormat="1" ht="15.75" customHeight="1" x14ac:dyDescent="0.25">
      <c r="A51" s="60"/>
      <c r="B51" s="55"/>
      <c r="C51" s="57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40" t="str">
        <f t="shared" si="0"/>
        <v/>
      </c>
      <c r="Q51" s="41" t="str">
        <f t="shared" si="1"/>
        <v/>
      </c>
      <c r="R51" s="49"/>
      <c r="S51" s="40" t="str">
        <f t="shared" si="2"/>
        <v/>
      </c>
      <c r="T51" s="42" t="str">
        <f t="shared" si="3"/>
        <v/>
      </c>
      <c r="U51" s="16" t="e">
        <f t="shared" si="6"/>
        <v>#VALUE!</v>
      </c>
      <c r="V51" s="6" t="str">
        <f t="shared" si="4"/>
        <v/>
      </c>
      <c r="W51" s="6" t="e">
        <f t="shared" si="5"/>
        <v>#VALUE!</v>
      </c>
      <c r="BX51">
        <v>43</v>
      </c>
    </row>
    <row r="52" spans="1:76" s="6" customFormat="1" ht="15.75" customHeight="1" x14ac:dyDescent="0.25">
      <c r="A52" s="60"/>
      <c r="B52" s="55"/>
      <c r="C52" s="57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40" t="str">
        <f t="shared" si="0"/>
        <v/>
      </c>
      <c r="Q52" s="41" t="str">
        <f t="shared" si="1"/>
        <v/>
      </c>
      <c r="R52" s="49"/>
      <c r="S52" s="40" t="str">
        <f t="shared" si="2"/>
        <v/>
      </c>
      <c r="T52" s="42" t="str">
        <f t="shared" si="3"/>
        <v/>
      </c>
      <c r="U52" s="16" t="e">
        <f t="shared" si="6"/>
        <v>#VALUE!</v>
      </c>
      <c r="V52" s="6" t="str">
        <f t="shared" si="4"/>
        <v/>
      </c>
      <c r="W52" s="6" t="e">
        <f t="shared" si="5"/>
        <v>#VALUE!</v>
      </c>
      <c r="BX52" s="8">
        <v>44</v>
      </c>
    </row>
    <row r="53" spans="1:76" s="6" customFormat="1" ht="15.75" customHeight="1" x14ac:dyDescent="0.25">
      <c r="A53" s="60"/>
      <c r="B53" s="55"/>
      <c r="C53" s="57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40" t="str">
        <f t="shared" si="0"/>
        <v/>
      </c>
      <c r="Q53" s="41" t="str">
        <f t="shared" si="1"/>
        <v/>
      </c>
      <c r="R53" s="49"/>
      <c r="S53" s="40" t="str">
        <f t="shared" si="2"/>
        <v/>
      </c>
      <c r="T53" s="42" t="str">
        <f t="shared" si="3"/>
        <v/>
      </c>
      <c r="U53" s="16" t="e">
        <f t="shared" si="6"/>
        <v>#VALUE!</v>
      </c>
      <c r="V53" s="6" t="str">
        <f t="shared" si="4"/>
        <v/>
      </c>
      <c r="W53" s="6" t="e">
        <f t="shared" si="5"/>
        <v>#VALUE!</v>
      </c>
      <c r="BX53">
        <v>45</v>
      </c>
    </row>
    <row r="54" spans="1:76" s="6" customFormat="1" ht="15.75" customHeight="1" x14ac:dyDescent="0.25">
      <c r="A54" s="60"/>
      <c r="B54" s="55"/>
      <c r="C54" s="57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0" t="str">
        <f t="shared" si="0"/>
        <v/>
      </c>
      <c r="Q54" s="41" t="str">
        <f t="shared" si="1"/>
        <v/>
      </c>
      <c r="R54" s="49"/>
      <c r="S54" s="40" t="str">
        <f t="shared" si="2"/>
        <v/>
      </c>
      <c r="T54" s="42" t="str">
        <f t="shared" si="3"/>
        <v/>
      </c>
      <c r="U54" s="16" t="e">
        <f t="shared" si="6"/>
        <v>#VALUE!</v>
      </c>
      <c r="V54" s="6" t="str">
        <f t="shared" si="4"/>
        <v/>
      </c>
      <c r="W54" s="6" t="e">
        <f t="shared" si="5"/>
        <v>#VALUE!</v>
      </c>
      <c r="BX54" s="8">
        <v>46</v>
      </c>
    </row>
    <row r="55" spans="1:76" s="6" customFormat="1" ht="15.75" customHeight="1" x14ac:dyDescent="0.25">
      <c r="A55" s="60"/>
      <c r="B55" s="55"/>
      <c r="C55" s="57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40" t="str">
        <f t="shared" si="0"/>
        <v/>
      </c>
      <c r="Q55" s="41" t="str">
        <f t="shared" si="1"/>
        <v/>
      </c>
      <c r="R55" s="49"/>
      <c r="S55" s="40" t="str">
        <f t="shared" si="2"/>
        <v/>
      </c>
      <c r="T55" s="42" t="str">
        <f t="shared" si="3"/>
        <v/>
      </c>
      <c r="U55" s="16" t="e">
        <f t="shared" si="6"/>
        <v>#VALUE!</v>
      </c>
      <c r="V55" s="6" t="str">
        <f t="shared" si="4"/>
        <v/>
      </c>
      <c r="W55" s="6" t="e">
        <f t="shared" si="5"/>
        <v>#VALUE!</v>
      </c>
      <c r="BX55">
        <v>47</v>
      </c>
    </row>
    <row r="56" spans="1:76" s="6" customFormat="1" ht="15.75" customHeight="1" x14ac:dyDescent="0.25">
      <c r="A56" s="60"/>
      <c r="B56" s="55"/>
      <c r="C56" s="57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40" t="str">
        <f t="shared" si="0"/>
        <v/>
      </c>
      <c r="Q56" s="41" t="str">
        <f t="shared" si="1"/>
        <v/>
      </c>
      <c r="R56" s="49"/>
      <c r="S56" s="40" t="str">
        <f t="shared" si="2"/>
        <v/>
      </c>
      <c r="T56" s="42" t="str">
        <f t="shared" si="3"/>
        <v/>
      </c>
      <c r="U56" s="16" t="e">
        <f t="shared" si="6"/>
        <v>#VALUE!</v>
      </c>
      <c r="V56" s="6" t="str">
        <f t="shared" si="4"/>
        <v/>
      </c>
      <c r="W56" s="6" t="e">
        <f t="shared" si="5"/>
        <v>#VALUE!</v>
      </c>
      <c r="BX56" s="8">
        <v>48</v>
      </c>
    </row>
    <row r="57" spans="1:76" s="6" customFormat="1" ht="15.75" customHeight="1" x14ac:dyDescent="0.25">
      <c r="A57" s="60"/>
      <c r="B57" s="55"/>
      <c r="C57" s="57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40" t="str">
        <f t="shared" si="0"/>
        <v/>
      </c>
      <c r="Q57" s="41" t="str">
        <f t="shared" si="1"/>
        <v/>
      </c>
      <c r="R57" s="49"/>
      <c r="S57" s="40" t="str">
        <f t="shared" si="2"/>
        <v/>
      </c>
      <c r="T57" s="42" t="str">
        <f t="shared" si="3"/>
        <v/>
      </c>
      <c r="U57" s="16" t="e">
        <f t="shared" si="6"/>
        <v>#VALUE!</v>
      </c>
      <c r="V57" s="6" t="str">
        <f t="shared" si="4"/>
        <v/>
      </c>
      <c r="W57" s="6" t="e">
        <f t="shared" si="5"/>
        <v>#VALUE!</v>
      </c>
      <c r="BX57">
        <v>49</v>
      </c>
    </row>
    <row r="58" spans="1:76" s="6" customFormat="1" ht="14.25" customHeight="1" x14ac:dyDescent="0.25">
      <c r="A58" s="60"/>
      <c r="B58" s="55"/>
      <c r="C58" s="57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40" t="str">
        <f t="shared" si="0"/>
        <v/>
      </c>
      <c r="Q58" s="41" t="str">
        <f t="shared" si="1"/>
        <v/>
      </c>
      <c r="R58" s="49"/>
      <c r="S58" s="40" t="str">
        <f t="shared" si="2"/>
        <v/>
      </c>
      <c r="T58" s="42" t="str">
        <f t="shared" si="3"/>
        <v/>
      </c>
      <c r="U58" s="16" t="e">
        <f t="shared" si="6"/>
        <v>#VALUE!</v>
      </c>
      <c r="V58" s="6" t="str">
        <f t="shared" si="4"/>
        <v/>
      </c>
      <c r="W58" s="6" t="e">
        <f t="shared" si="5"/>
        <v>#VALUE!</v>
      </c>
      <c r="BX58" s="8">
        <v>50</v>
      </c>
    </row>
    <row r="59" spans="1:76" s="6" customFormat="1" ht="15.75" customHeight="1" x14ac:dyDescent="0.25">
      <c r="A59" s="60"/>
      <c r="B59" s="55"/>
      <c r="C59" s="57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40" t="str">
        <f t="shared" si="0"/>
        <v/>
      </c>
      <c r="Q59" s="41" t="str">
        <f t="shared" si="1"/>
        <v/>
      </c>
      <c r="R59" s="49"/>
      <c r="S59" s="40" t="str">
        <f t="shared" si="2"/>
        <v/>
      </c>
      <c r="T59" s="42" t="str">
        <f t="shared" si="3"/>
        <v/>
      </c>
      <c r="U59" s="16" t="e">
        <f t="shared" si="6"/>
        <v>#VALUE!</v>
      </c>
      <c r="V59" s="6" t="str">
        <f t="shared" si="4"/>
        <v/>
      </c>
      <c r="W59" s="6" t="e">
        <f t="shared" si="5"/>
        <v>#VALUE!</v>
      </c>
      <c r="BX59">
        <v>51</v>
      </c>
    </row>
    <row r="60" spans="1:76" s="6" customFormat="1" ht="15.75" customHeight="1" x14ac:dyDescent="0.25">
      <c r="A60" s="60"/>
      <c r="B60" s="55"/>
      <c r="C60" s="57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40" t="str">
        <f t="shared" si="0"/>
        <v/>
      </c>
      <c r="Q60" s="41" t="str">
        <f t="shared" si="1"/>
        <v/>
      </c>
      <c r="R60" s="49"/>
      <c r="S60" s="40" t="str">
        <f t="shared" si="2"/>
        <v/>
      </c>
      <c r="T60" s="42" t="str">
        <f t="shared" si="3"/>
        <v/>
      </c>
      <c r="U60" s="16" t="e">
        <f t="shared" si="6"/>
        <v>#VALUE!</v>
      </c>
      <c r="V60" s="6" t="str">
        <f t="shared" si="4"/>
        <v/>
      </c>
      <c r="W60" s="6" t="e">
        <f t="shared" si="5"/>
        <v>#VALUE!</v>
      </c>
      <c r="BX60" s="8">
        <v>52</v>
      </c>
    </row>
    <row r="61" spans="1:76" s="6" customFormat="1" ht="15.75" customHeight="1" x14ac:dyDescent="0.25">
      <c r="A61" s="60"/>
      <c r="B61" s="55"/>
      <c r="C61" s="57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40" t="str">
        <f t="shared" si="0"/>
        <v/>
      </c>
      <c r="Q61" s="41" t="str">
        <f t="shared" si="1"/>
        <v/>
      </c>
      <c r="R61" s="49"/>
      <c r="S61" s="40" t="str">
        <f t="shared" si="2"/>
        <v/>
      </c>
      <c r="T61" s="42" t="str">
        <f t="shared" si="3"/>
        <v/>
      </c>
      <c r="U61" s="16" t="e">
        <f t="shared" si="6"/>
        <v>#VALUE!</v>
      </c>
      <c r="V61" s="6" t="str">
        <f t="shared" si="4"/>
        <v/>
      </c>
      <c r="W61" s="6" t="e">
        <f t="shared" si="5"/>
        <v>#VALUE!</v>
      </c>
      <c r="BX61">
        <v>53</v>
      </c>
    </row>
    <row r="62" spans="1:76" s="6" customFormat="1" ht="15" customHeight="1" x14ac:dyDescent="0.25">
      <c r="A62" s="60"/>
      <c r="B62" s="55"/>
      <c r="C62" s="57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40" t="str">
        <f t="shared" si="0"/>
        <v/>
      </c>
      <c r="Q62" s="41" t="str">
        <f t="shared" si="1"/>
        <v/>
      </c>
      <c r="R62" s="49"/>
      <c r="S62" s="40" t="str">
        <f t="shared" si="2"/>
        <v/>
      </c>
      <c r="T62" s="42" t="str">
        <f t="shared" si="3"/>
        <v/>
      </c>
      <c r="U62" s="16" t="e">
        <f t="shared" si="6"/>
        <v>#VALUE!</v>
      </c>
      <c r="V62" s="6" t="str">
        <f t="shared" si="4"/>
        <v/>
      </c>
      <c r="W62" s="6" t="e">
        <f t="shared" si="5"/>
        <v>#VALUE!</v>
      </c>
      <c r="BX62" s="8">
        <v>54</v>
      </c>
    </row>
    <row r="63" spans="1:76" s="6" customFormat="1" ht="15.75" customHeight="1" x14ac:dyDescent="0.25">
      <c r="A63" s="60"/>
      <c r="B63" s="55"/>
      <c r="C63" s="57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40" t="str">
        <f t="shared" si="0"/>
        <v/>
      </c>
      <c r="Q63" s="41" t="str">
        <f t="shared" si="1"/>
        <v/>
      </c>
      <c r="R63" s="49"/>
      <c r="S63" s="40" t="str">
        <f t="shared" si="2"/>
        <v/>
      </c>
      <c r="T63" s="42" t="str">
        <f t="shared" si="3"/>
        <v/>
      </c>
      <c r="U63" s="16" t="e">
        <f t="shared" si="6"/>
        <v>#VALUE!</v>
      </c>
      <c r="V63" s="6" t="str">
        <f t="shared" si="4"/>
        <v/>
      </c>
      <c r="W63" s="6" t="e">
        <f t="shared" si="5"/>
        <v>#VALUE!</v>
      </c>
      <c r="BX63">
        <v>55</v>
      </c>
    </row>
    <row r="64" spans="1:76" s="6" customFormat="1" ht="15.75" customHeight="1" x14ac:dyDescent="0.25">
      <c r="A64" s="60"/>
      <c r="B64" s="55"/>
      <c r="C64" s="57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40" t="str">
        <f t="shared" si="0"/>
        <v/>
      </c>
      <c r="Q64" s="41" t="str">
        <f t="shared" si="1"/>
        <v/>
      </c>
      <c r="R64" s="49"/>
      <c r="S64" s="40" t="str">
        <f t="shared" si="2"/>
        <v/>
      </c>
      <c r="T64" s="42" t="str">
        <f t="shared" si="3"/>
        <v/>
      </c>
      <c r="U64" s="16" t="e">
        <f t="shared" si="6"/>
        <v>#VALUE!</v>
      </c>
      <c r="V64" s="6" t="str">
        <f t="shared" si="4"/>
        <v/>
      </c>
      <c r="W64" s="6" t="e">
        <f t="shared" si="5"/>
        <v>#VALUE!</v>
      </c>
      <c r="BX64" s="8">
        <v>56</v>
      </c>
    </row>
    <row r="65" spans="1:76" s="6" customFormat="1" ht="15.75" customHeight="1" x14ac:dyDescent="0.25">
      <c r="A65" s="60"/>
      <c r="B65" s="55"/>
      <c r="C65" s="57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40" t="str">
        <f t="shared" si="0"/>
        <v/>
      </c>
      <c r="Q65" s="41" t="str">
        <f t="shared" si="1"/>
        <v/>
      </c>
      <c r="R65" s="49"/>
      <c r="S65" s="40" t="str">
        <f t="shared" si="2"/>
        <v/>
      </c>
      <c r="T65" s="42" t="str">
        <f t="shared" si="3"/>
        <v/>
      </c>
      <c r="U65" s="16" t="e">
        <f t="shared" si="6"/>
        <v>#VALUE!</v>
      </c>
      <c r="V65" s="6" t="str">
        <f t="shared" si="4"/>
        <v/>
      </c>
      <c r="W65" s="6" t="e">
        <f t="shared" si="5"/>
        <v>#VALUE!</v>
      </c>
      <c r="BX65">
        <v>57</v>
      </c>
    </row>
    <row r="66" spans="1:76" s="6" customFormat="1" ht="15.75" customHeight="1" x14ac:dyDescent="0.25">
      <c r="A66" s="60"/>
      <c r="B66" s="55"/>
      <c r="C66" s="57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40" t="str">
        <f t="shared" si="0"/>
        <v/>
      </c>
      <c r="Q66" s="41" t="str">
        <f t="shared" si="1"/>
        <v/>
      </c>
      <c r="R66" s="49"/>
      <c r="S66" s="40" t="str">
        <f t="shared" si="2"/>
        <v/>
      </c>
      <c r="T66" s="42" t="str">
        <f t="shared" si="3"/>
        <v/>
      </c>
      <c r="U66" s="16" t="e">
        <f t="shared" si="6"/>
        <v>#VALUE!</v>
      </c>
      <c r="V66" s="6" t="str">
        <f t="shared" si="4"/>
        <v/>
      </c>
      <c r="W66" s="6" t="e">
        <f t="shared" si="5"/>
        <v>#VALUE!</v>
      </c>
      <c r="BX66" s="8">
        <v>58</v>
      </c>
    </row>
    <row r="67" spans="1:76" s="6" customFormat="1" ht="15.75" customHeight="1" x14ac:dyDescent="0.25">
      <c r="A67" s="60"/>
      <c r="B67" s="55"/>
      <c r="C67" s="57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40" t="str">
        <f t="shared" si="0"/>
        <v/>
      </c>
      <c r="Q67" s="41" t="str">
        <f t="shared" si="1"/>
        <v/>
      </c>
      <c r="R67" s="49"/>
      <c r="S67" s="40" t="str">
        <f t="shared" si="2"/>
        <v/>
      </c>
      <c r="T67" s="42" t="str">
        <f t="shared" si="3"/>
        <v/>
      </c>
      <c r="U67" s="16" t="e">
        <f t="shared" si="6"/>
        <v>#VALUE!</v>
      </c>
      <c r="V67" s="6" t="str">
        <f t="shared" si="4"/>
        <v/>
      </c>
      <c r="W67" s="6" t="e">
        <f t="shared" si="5"/>
        <v>#VALUE!</v>
      </c>
      <c r="BX67">
        <v>59</v>
      </c>
    </row>
    <row r="68" spans="1:76" s="6" customFormat="1" ht="15.75" customHeight="1" x14ac:dyDescent="0.25">
      <c r="A68" s="60"/>
      <c r="B68" s="55"/>
      <c r="C68" s="57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40" t="str">
        <f t="shared" si="0"/>
        <v/>
      </c>
      <c r="Q68" s="41" t="str">
        <f t="shared" si="1"/>
        <v/>
      </c>
      <c r="R68" s="49"/>
      <c r="S68" s="40" t="str">
        <f t="shared" si="2"/>
        <v/>
      </c>
      <c r="T68" s="42" t="str">
        <f t="shared" si="3"/>
        <v/>
      </c>
      <c r="U68" s="16" t="e">
        <f t="shared" si="6"/>
        <v>#VALUE!</v>
      </c>
      <c r="V68" s="6" t="str">
        <f t="shared" si="4"/>
        <v/>
      </c>
      <c r="W68" s="6" t="e">
        <f t="shared" si="5"/>
        <v>#VALUE!</v>
      </c>
      <c r="BX68" s="8">
        <v>60</v>
      </c>
    </row>
    <row r="69" spans="1:76" s="6" customFormat="1" ht="15.75" customHeight="1" x14ac:dyDescent="0.25">
      <c r="A69" s="60"/>
      <c r="B69" s="55"/>
      <c r="C69" s="57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40" t="str">
        <f t="shared" si="0"/>
        <v/>
      </c>
      <c r="Q69" s="41" t="str">
        <f t="shared" si="1"/>
        <v/>
      </c>
      <c r="R69" s="49"/>
      <c r="S69" s="40" t="str">
        <f t="shared" si="2"/>
        <v/>
      </c>
      <c r="T69" s="42" t="str">
        <f t="shared" si="3"/>
        <v/>
      </c>
      <c r="U69" s="16" t="e">
        <f t="shared" si="6"/>
        <v>#VALUE!</v>
      </c>
      <c r="V69" s="6" t="str">
        <f t="shared" si="4"/>
        <v/>
      </c>
      <c r="W69" s="6" t="e">
        <f t="shared" si="5"/>
        <v>#VALUE!</v>
      </c>
      <c r="BX69">
        <v>61</v>
      </c>
    </row>
    <row r="70" spans="1:76" s="6" customFormat="1" ht="15.75" customHeight="1" x14ac:dyDescent="0.25">
      <c r="A70" s="60"/>
      <c r="B70" s="55"/>
      <c r="C70" s="57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40" t="str">
        <f t="shared" si="0"/>
        <v/>
      </c>
      <c r="Q70" s="41" t="str">
        <f t="shared" si="1"/>
        <v/>
      </c>
      <c r="R70" s="49"/>
      <c r="S70" s="40" t="str">
        <f t="shared" si="2"/>
        <v/>
      </c>
      <c r="T70" s="42" t="str">
        <f t="shared" si="3"/>
        <v/>
      </c>
      <c r="U70" s="16" t="e">
        <f t="shared" si="6"/>
        <v>#VALUE!</v>
      </c>
      <c r="V70" s="6" t="str">
        <f t="shared" si="4"/>
        <v/>
      </c>
      <c r="W70" s="6" t="e">
        <f t="shared" si="5"/>
        <v>#VALUE!</v>
      </c>
      <c r="BX70" s="8">
        <v>62</v>
      </c>
    </row>
    <row r="71" spans="1:76" s="6" customFormat="1" ht="15.75" customHeight="1" x14ac:dyDescent="0.25">
      <c r="A71" s="60"/>
      <c r="B71" s="55"/>
      <c r="C71" s="57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40" t="str">
        <f t="shared" si="0"/>
        <v/>
      </c>
      <c r="Q71" s="41" t="str">
        <f t="shared" si="1"/>
        <v/>
      </c>
      <c r="R71" s="49"/>
      <c r="S71" s="40" t="str">
        <f t="shared" si="2"/>
        <v/>
      </c>
      <c r="T71" s="42" t="str">
        <f t="shared" si="3"/>
        <v/>
      </c>
      <c r="U71" s="16" t="e">
        <f t="shared" si="6"/>
        <v>#VALUE!</v>
      </c>
      <c r="V71" s="6" t="str">
        <f t="shared" si="4"/>
        <v/>
      </c>
      <c r="W71" s="6" t="e">
        <f t="shared" si="5"/>
        <v>#VALUE!</v>
      </c>
      <c r="BX71">
        <v>63</v>
      </c>
    </row>
    <row r="72" spans="1:76" s="6" customFormat="1" ht="15.75" customHeight="1" x14ac:dyDescent="0.25">
      <c r="A72" s="60"/>
      <c r="B72" s="55"/>
      <c r="C72" s="57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40" t="str">
        <f t="shared" si="0"/>
        <v/>
      </c>
      <c r="Q72" s="41" t="str">
        <f t="shared" si="1"/>
        <v/>
      </c>
      <c r="R72" s="49"/>
      <c r="S72" s="40" t="str">
        <f t="shared" si="2"/>
        <v/>
      </c>
      <c r="T72" s="42" t="str">
        <f t="shared" si="3"/>
        <v/>
      </c>
      <c r="U72" s="16" t="e">
        <f t="shared" si="6"/>
        <v>#VALUE!</v>
      </c>
      <c r="V72" s="6" t="str">
        <f t="shared" si="4"/>
        <v/>
      </c>
      <c r="W72" s="6" t="e">
        <f t="shared" si="5"/>
        <v>#VALUE!</v>
      </c>
      <c r="BX72" s="8">
        <v>64</v>
      </c>
    </row>
    <row r="73" spans="1:76" s="6" customFormat="1" ht="15.75" customHeight="1" x14ac:dyDescent="0.25">
      <c r="A73" s="60"/>
      <c r="B73" s="55"/>
      <c r="C73" s="57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40" t="str">
        <f t="shared" si="0"/>
        <v/>
      </c>
      <c r="Q73" s="41" t="str">
        <f t="shared" si="1"/>
        <v/>
      </c>
      <c r="R73" s="49"/>
      <c r="S73" s="40" t="str">
        <f t="shared" si="2"/>
        <v/>
      </c>
      <c r="T73" s="42" t="str">
        <f t="shared" si="3"/>
        <v/>
      </c>
      <c r="U73" s="16" t="e">
        <f t="shared" si="6"/>
        <v>#VALUE!</v>
      </c>
      <c r="V73" s="6" t="str">
        <f t="shared" si="4"/>
        <v/>
      </c>
      <c r="W73" s="6" t="e">
        <f t="shared" si="5"/>
        <v>#VALUE!</v>
      </c>
      <c r="BX73">
        <v>65</v>
      </c>
    </row>
    <row r="74" spans="1:76" s="6" customFormat="1" ht="15.75" customHeight="1" x14ac:dyDescent="0.25">
      <c r="A74" s="60"/>
      <c r="B74" s="55"/>
      <c r="C74" s="57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40" t="str">
        <f t="shared" si="0"/>
        <v/>
      </c>
      <c r="Q74" s="41" t="str">
        <f t="shared" si="1"/>
        <v/>
      </c>
      <c r="R74" s="49"/>
      <c r="S74" s="40" t="str">
        <f t="shared" si="2"/>
        <v/>
      </c>
      <c r="T74" s="42" t="str">
        <f t="shared" si="3"/>
        <v/>
      </c>
      <c r="U74" s="16" t="e">
        <f t="shared" si="6"/>
        <v>#VALUE!</v>
      </c>
      <c r="V74" s="6" t="str">
        <f t="shared" si="4"/>
        <v/>
      </c>
      <c r="W74" s="6" t="e">
        <f t="shared" si="5"/>
        <v>#VALUE!</v>
      </c>
      <c r="BX74" s="8">
        <v>66</v>
      </c>
    </row>
    <row r="75" spans="1:76" s="6" customFormat="1" ht="15.75" customHeight="1" x14ac:dyDescent="0.25">
      <c r="A75" s="60"/>
      <c r="B75" s="55"/>
      <c r="C75" s="57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40" t="str">
        <f t="shared" si="0"/>
        <v/>
      </c>
      <c r="Q75" s="41" t="str">
        <f t="shared" si="1"/>
        <v/>
      </c>
      <c r="R75" s="49"/>
      <c r="S75" s="40" t="str">
        <f t="shared" si="2"/>
        <v/>
      </c>
      <c r="T75" s="42" t="str">
        <f t="shared" si="3"/>
        <v/>
      </c>
      <c r="U75" s="16" t="e">
        <f t="shared" si="6"/>
        <v>#VALUE!</v>
      </c>
      <c r="V75" s="6" t="str">
        <f t="shared" si="4"/>
        <v/>
      </c>
      <c r="W75" s="6" t="e">
        <f t="shared" si="5"/>
        <v>#VALUE!</v>
      </c>
      <c r="BX75">
        <v>67</v>
      </c>
    </row>
    <row r="76" spans="1:76" s="6" customFormat="1" ht="15.75" customHeight="1" x14ac:dyDescent="0.25">
      <c r="A76" s="60"/>
      <c r="B76" s="55"/>
      <c r="C76" s="57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40" t="str">
        <f t="shared" si="0"/>
        <v/>
      </c>
      <c r="Q76" s="41" t="str">
        <f t="shared" si="1"/>
        <v/>
      </c>
      <c r="R76" s="49"/>
      <c r="S76" s="40" t="str">
        <f t="shared" si="2"/>
        <v/>
      </c>
      <c r="T76" s="42" t="str">
        <f t="shared" si="3"/>
        <v/>
      </c>
      <c r="U76" s="16" t="e">
        <f t="shared" si="6"/>
        <v>#VALUE!</v>
      </c>
      <c r="V76" s="6" t="str">
        <f t="shared" si="4"/>
        <v/>
      </c>
      <c r="W76" s="6" t="e">
        <f t="shared" si="5"/>
        <v>#VALUE!</v>
      </c>
      <c r="BX76" s="8">
        <v>68</v>
      </c>
    </row>
    <row r="77" spans="1:76" s="6" customFormat="1" ht="15.75" customHeight="1" x14ac:dyDescent="0.25">
      <c r="A77" s="60"/>
      <c r="B77" s="55"/>
      <c r="C77" s="57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40" t="str">
        <f t="shared" si="0"/>
        <v/>
      </c>
      <c r="Q77" s="41" t="str">
        <f t="shared" si="1"/>
        <v/>
      </c>
      <c r="R77" s="49"/>
      <c r="S77" s="40" t="str">
        <f t="shared" si="2"/>
        <v/>
      </c>
      <c r="T77" s="42" t="str">
        <f t="shared" si="3"/>
        <v/>
      </c>
      <c r="U77" s="16" t="e">
        <f t="shared" si="6"/>
        <v>#VALUE!</v>
      </c>
      <c r="V77" s="6" t="str">
        <f t="shared" si="4"/>
        <v/>
      </c>
      <c r="W77" s="6" t="e">
        <f t="shared" si="5"/>
        <v>#VALUE!</v>
      </c>
      <c r="BX77">
        <v>69</v>
      </c>
    </row>
    <row r="78" spans="1:76" s="6" customFormat="1" x14ac:dyDescent="0.25">
      <c r="A78" s="60"/>
      <c r="B78" s="55"/>
      <c r="C78" s="57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40" t="str">
        <f t="shared" si="0"/>
        <v/>
      </c>
      <c r="Q78" s="41" t="str">
        <f t="shared" si="1"/>
        <v/>
      </c>
      <c r="R78" s="49"/>
      <c r="S78" s="40" t="str">
        <f t="shared" si="2"/>
        <v/>
      </c>
      <c r="T78" s="42" t="str">
        <f t="shared" si="3"/>
        <v/>
      </c>
      <c r="U78" s="16" t="e">
        <f t="shared" si="6"/>
        <v>#VALUE!</v>
      </c>
      <c r="V78" s="6" t="str">
        <f t="shared" si="4"/>
        <v/>
      </c>
      <c r="W78" s="6" t="e">
        <f t="shared" si="5"/>
        <v>#VALUE!</v>
      </c>
      <c r="BX78" s="8">
        <v>70</v>
      </c>
    </row>
    <row r="79" spans="1:76" s="6" customFormat="1" ht="15.75" customHeight="1" x14ac:dyDescent="0.25">
      <c r="A79" s="60"/>
      <c r="B79" s="55"/>
      <c r="C79" s="57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40" t="str">
        <f t="shared" si="0"/>
        <v/>
      </c>
      <c r="Q79" s="41" t="str">
        <f t="shared" si="1"/>
        <v/>
      </c>
      <c r="R79" s="49"/>
      <c r="S79" s="40" t="str">
        <f t="shared" si="2"/>
        <v/>
      </c>
      <c r="T79" s="42" t="str">
        <f t="shared" si="3"/>
        <v/>
      </c>
      <c r="U79" s="16" t="e">
        <f t="shared" si="6"/>
        <v>#VALUE!</v>
      </c>
      <c r="V79" s="6" t="str">
        <f t="shared" si="4"/>
        <v/>
      </c>
      <c r="W79" s="6" t="e">
        <f t="shared" si="5"/>
        <v>#VALUE!</v>
      </c>
      <c r="BX79">
        <v>71</v>
      </c>
    </row>
    <row r="80" spans="1:76" s="6" customFormat="1" ht="15.75" customHeight="1" x14ac:dyDescent="0.25">
      <c r="A80" s="60"/>
      <c r="B80" s="55"/>
      <c r="C80" s="57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40" t="str">
        <f t="shared" si="0"/>
        <v/>
      </c>
      <c r="Q80" s="41"/>
      <c r="R80" s="49"/>
      <c r="S80" s="40" t="str">
        <f t="shared" ref="S80:S91" si="7">IF(A80&gt;=1,IF(A80&lt;&gt;"",(COUNTIF(D80:O80,"AB")),""),"")</f>
        <v/>
      </c>
      <c r="T80" s="42" t="str">
        <f t="shared" ref="T80:T91" si="8">IF(A80&gt;=1,IF(A80&lt;&gt;"",(COUNTIF(D80:O80,"&lt;50")),""),"")</f>
        <v/>
      </c>
      <c r="U80" s="16" t="e">
        <f t="shared" si="6"/>
        <v>#VALUE!</v>
      </c>
      <c r="V80" s="6" t="str">
        <f t="shared" si="4"/>
        <v/>
      </c>
      <c r="W80" s="6" t="e">
        <f t="shared" si="5"/>
        <v>#VALUE!</v>
      </c>
      <c r="BX80"/>
    </row>
    <row r="81" spans="1:76" s="6" customFormat="1" ht="15.75" customHeight="1" x14ac:dyDescent="0.25">
      <c r="A81" s="60"/>
      <c r="B81" s="55"/>
      <c r="C81" s="57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40" t="str">
        <f t="shared" si="0"/>
        <v/>
      </c>
      <c r="Q81" s="41" t="str">
        <f t="shared" ref="Q81:Q91" si="9">IF(COUNTIF(D81:O81,"A")&gt;=1,"-",IF(COUNTIF(D81:O81,"W")&gt;=1,"-",IF(A81&gt;=1,IF(A81&lt;&gt;"",AVERAGE(D81:O81),""),"")))</f>
        <v/>
      </c>
      <c r="R81" s="49"/>
      <c r="S81" s="40" t="str">
        <f t="shared" si="7"/>
        <v/>
      </c>
      <c r="T81" s="42" t="str">
        <f t="shared" si="8"/>
        <v/>
      </c>
      <c r="U81" s="16" t="e">
        <f t="shared" si="6"/>
        <v>#VALUE!</v>
      </c>
      <c r="V81" s="6" t="str">
        <f t="shared" si="4"/>
        <v/>
      </c>
      <c r="W81" s="6" t="e">
        <f t="shared" ref="W81:W91" si="10">S81+T81</f>
        <v>#VALUE!</v>
      </c>
      <c r="BX81" s="8">
        <v>72</v>
      </c>
    </row>
    <row r="82" spans="1:76" s="6" customFormat="1" ht="15.75" customHeight="1" x14ac:dyDescent="0.25">
      <c r="A82" s="60"/>
      <c r="B82" s="55"/>
      <c r="C82" s="57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40" t="str">
        <f t="shared" si="0"/>
        <v/>
      </c>
      <c r="Q82" s="41" t="str">
        <f t="shared" si="9"/>
        <v/>
      </c>
      <c r="R82" s="49"/>
      <c r="S82" s="40" t="str">
        <f t="shared" si="7"/>
        <v/>
      </c>
      <c r="T82" s="42" t="str">
        <f t="shared" si="8"/>
        <v/>
      </c>
      <c r="U82" s="16" t="e">
        <f t="shared" si="6"/>
        <v>#VALUE!</v>
      </c>
      <c r="V82" s="6" t="str">
        <f t="shared" si="4"/>
        <v/>
      </c>
      <c r="W82" s="6" t="e">
        <f t="shared" si="10"/>
        <v>#VALUE!</v>
      </c>
      <c r="BX82">
        <v>73</v>
      </c>
    </row>
    <row r="83" spans="1:76" s="6" customFormat="1" ht="15.75" customHeight="1" x14ac:dyDescent="0.25">
      <c r="A83" s="60"/>
      <c r="B83" s="55"/>
      <c r="C83" s="57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40" t="str">
        <f t="shared" si="0"/>
        <v/>
      </c>
      <c r="Q83" s="41" t="str">
        <f t="shared" si="9"/>
        <v/>
      </c>
      <c r="R83" s="49"/>
      <c r="S83" s="40" t="str">
        <f t="shared" si="7"/>
        <v/>
      </c>
      <c r="T83" s="42" t="str">
        <f t="shared" si="8"/>
        <v/>
      </c>
      <c r="U83" s="16" t="e">
        <f t="shared" si="6"/>
        <v>#VALUE!</v>
      </c>
      <c r="V83" s="6" t="str">
        <f t="shared" si="4"/>
        <v/>
      </c>
      <c r="W83" s="6" t="e">
        <f t="shared" si="10"/>
        <v>#VALUE!</v>
      </c>
      <c r="BX83" s="8">
        <v>74</v>
      </c>
    </row>
    <row r="84" spans="1:76" s="6" customFormat="1" ht="15.75" customHeight="1" x14ac:dyDescent="0.25">
      <c r="A84" s="61"/>
      <c r="B84" s="62"/>
      <c r="C84" s="63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40" t="str">
        <f t="shared" si="0"/>
        <v/>
      </c>
      <c r="Q84" s="41" t="str">
        <f t="shared" si="9"/>
        <v/>
      </c>
      <c r="R84" s="49"/>
      <c r="S84" s="40" t="str">
        <f t="shared" si="7"/>
        <v/>
      </c>
      <c r="T84" s="42" t="str">
        <f t="shared" si="8"/>
        <v/>
      </c>
      <c r="U84" s="16" t="e">
        <f t="shared" si="6"/>
        <v>#VALUE!</v>
      </c>
      <c r="V84" s="6" t="str">
        <f t="shared" si="4"/>
        <v/>
      </c>
      <c r="W84" s="6" t="e">
        <f t="shared" si="10"/>
        <v>#VALUE!</v>
      </c>
      <c r="BX84">
        <v>75</v>
      </c>
    </row>
    <row r="85" spans="1:76" s="6" customFormat="1" ht="15.75" customHeight="1" x14ac:dyDescent="0.25">
      <c r="A85" s="61"/>
      <c r="B85" s="62"/>
      <c r="C85" s="63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40" t="str">
        <f t="shared" si="0"/>
        <v/>
      </c>
      <c r="Q85" s="41"/>
      <c r="R85" s="49"/>
      <c r="S85" s="40" t="str">
        <f t="shared" si="7"/>
        <v/>
      </c>
      <c r="T85" s="42" t="str">
        <f t="shared" si="8"/>
        <v/>
      </c>
      <c r="U85" s="16" t="e">
        <f t="shared" si="6"/>
        <v>#VALUE!</v>
      </c>
      <c r="V85" s="6" t="str">
        <f t="shared" si="4"/>
        <v/>
      </c>
      <c r="W85" s="6" t="e">
        <f t="shared" si="10"/>
        <v>#VALUE!</v>
      </c>
      <c r="BX85"/>
    </row>
    <row r="86" spans="1:76" s="6" customFormat="1" ht="15.75" customHeight="1" x14ac:dyDescent="0.25">
      <c r="A86" s="61"/>
      <c r="B86" s="62"/>
      <c r="C86" s="63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40" t="str">
        <f t="shared" si="0"/>
        <v/>
      </c>
      <c r="Q86" s="41" t="str">
        <f t="shared" si="9"/>
        <v/>
      </c>
      <c r="R86" s="49"/>
      <c r="S86" s="40" t="str">
        <f t="shared" si="7"/>
        <v/>
      </c>
      <c r="T86" s="42" t="str">
        <f t="shared" si="8"/>
        <v/>
      </c>
      <c r="U86" s="16" t="e">
        <f t="shared" si="6"/>
        <v>#VALUE!</v>
      </c>
      <c r="V86" s="6" t="str">
        <f t="shared" si="4"/>
        <v/>
      </c>
      <c r="W86" s="6" t="e">
        <f t="shared" si="10"/>
        <v>#VALUE!</v>
      </c>
      <c r="BX86" s="8">
        <v>76</v>
      </c>
    </row>
    <row r="87" spans="1:76" s="6" customFormat="1" ht="15.75" customHeight="1" x14ac:dyDescent="0.25">
      <c r="A87" s="61"/>
      <c r="B87" s="62"/>
      <c r="C87" s="63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40" t="str">
        <f t="shared" si="0"/>
        <v/>
      </c>
      <c r="Q87" s="41" t="str">
        <f t="shared" si="9"/>
        <v/>
      </c>
      <c r="R87" s="49"/>
      <c r="S87" s="40" t="str">
        <f t="shared" si="7"/>
        <v/>
      </c>
      <c r="T87" s="42" t="str">
        <f t="shared" si="8"/>
        <v/>
      </c>
      <c r="U87" s="16" t="e">
        <f t="shared" si="6"/>
        <v>#VALUE!</v>
      </c>
      <c r="V87" s="6" t="str">
        <f t="shared" si="4"/>
        <v/>
      </c>
      <c r="W87" s="6" t="e">
        <f t="shared" si="10"/>
        <v>#VALUE!</v>
      </c>
      <c r="BX87">
        <v>77</v>
      </c>
    </row>
    <row r="88" spans="1:76" s="6" customFormat="1" ht="15.75" customHeight="1" x14ac:dyDescent="0.25">
      <c r="A88" s="61"/>
      <c r="B88" s="62"/>
      <c r="C88" s="63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40" t="str">
        <f t="shared" si="0"/>
        <v/>
      </c>
      <c r="Q88" s="41" t="str">
        <f t="shared" si="9"/>
        <v/>
      </c>
      <c r="R88" s="49"/>
      <c r="S88" s="40" t="str">
        <f t="shared" si="7"/>
        <v/>
      </c>
      <c r="T88" s="42" t="str">
        <f t="shared" si="8"/>
        <v/>
      </c>
      <c r="U88" s="16" t="e">
        <f t="shared" si="6"/>
        <v>#VALUE!</v>
      </c>
      <c r="V88" s="6" t="str">
        <f t="shared" si="4"/>
        <v/>
      </c>
      <c r="W88" s="6" t="e">
        <f t="shared" si="10"/>
        <v>#VALUE!</v>
      </c>
      <c r="BX88" s="8">
        <v>78</v>
      </c>
    </row>
    <row r="89" spans="1:76" s="6" customFormat="1" ht="15.75" customHeight="1" x14ac:dyDescent="0.25">
      <c r="A89" s="61"/>
      <c r="B89" s="62"/>
      <c r="C89" s="63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40" t="str">
        <f t="shared" si="0"/>
        <v/>
      </c>
      <c r="Q89" s="41" t="str">
        <f t="shared" si="9"/>
        <v/>
      </c>
      <c r="R89" s="49"/>
      <c r="S89" s="40" t="str">
        <f t="shared" si="7"/>
        <v/>
      </c>
      <c r="T89" s="42" t="str">
        <f t="shared" si="8"/>
        <v/>
      </c>
      <c r="U89" s="16" t="e">
        <f t="shared" si="6"/>
        <v>#VALUE!</v>
      </c>
      <c r="V89" s="6" t="str">
        <f t="shared" si="4"/>
        <v/>
      </c>
      <c r="W89" s="6" t="e">
        <f t="shared" si="10"/>
        <v>#VALUE!</v>
      </c>
      <c r="BX89">
        <v>79</v>
      </c>
    </row>
    <row r="90" spans="1:76" s="6" customFormat="1" ht="15.75" customHeight="1" x14ac:dyDescent="0.25">
      <c r="A90" s="61"/>
      <c r="B90" s="62"/>
      <c r="C90" s="63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40" t="str">
        <f t="shared" ref="P90:P91" si="11">IF(COUNTIF(D90:O90,"AB")&gt;=1,"-",IF(COUNTIF(D90:O90,"WH")&gt;=1,"-",IF(A90&gt;=1,IF(A90&lt;&gt;"",SUM(D90:O90),""),"")))</f>
        <v/>
      </c>
      <c r="Q90" s="41" t="str">
        <f t="shared" si="9"/>
        <v/>
      </c>
      <c r="R90" s="49"/>
      <c r="S90" s="40" t="str">
        <f t="shared" si="7"/>
        <v/>
      </c>
      <c r="T90" s="42" t="str">
        <f t="shared" si="8"/>
        <v/>
      </c>
      <c r="U90" s="16" t="e">
        <f t="shared" si="6"/>
        <v>#VALUE!</v>
      </c>
      <c r="V90" s="6" t="str">
        <f t="shared" ref="V90" si="12">IF(A90&gt;=1,IF(A90&lt;&gt;"",(COUNTIF(D90:O90,"WH")),""),"")</f>
        <v/>
      </c>
      <c r="W90" s="6" t="e">
        <f t="shared" si="10"/>
        <v>#VALUE!</v>
      </c>
      <c r="BX90" s="8">
        <v>80</v>
      </c>
    </row>
    <row r="91" spans="1:76" s="6" customFormat="1" ht="15.75" customHeight="1" thickBot="1" x14ac:dyDescent="0.3">
      <c r="A91" s="64"/>
      <c r="B91" s="65"/>
      <c r="C91" s="66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68" t="str">
        <f t="shared" si="11"/>
        <v/>
      </c>
      <c r="Q91" s="69" t="str">
        <f t="shared" si="9"/>
        <v/>
      </c>
      <c r="R91" s="70"/>
      <c r="S91" s="68" t="str">
        <f t="shared" si="7"/>
        <v/>
      </c>
      <c r="T91" s="71" t="str">
        <f t="shared" si="8"/>
        <v/>
      </c>
      <c r="U91" s="16" t="e">
        <f t="shared" si="6"/>
        <v>#VALUE!</v>
      </c>
      <c r="V91" s="6" t="str">
        <f t="shared" si="4"/>
        <v/>
      </c>
      <c r="W91" s="6" t="e">
        <f t="shared" si="10"/>
        <v>#VALUE!</v>
      </c>
      <c r="Y91" s="20"/>
      <c r="Z91" s="20"/>
      <c r="AA91" s="20"/>
      <c r="AB91" s="20"/>
      <c r="AC91" s="20"/>
      <c r="AD91" s="20"/>
      <c r="AE91" s="20"/>
      <c r="AF91" s="20"/>
      <c r="AG91" s="20"/>
      <c r="BX91">
        <v>81</v>
      </c>
    </row>
    <row r="92" spans="1:76" s="6" customFormat="1" ht="17.25" customHeight="1" x14ac:dyDescent="0.25">
      <c r="A92" s="43">
        <v>1</v>
      </c>
      <c r="B92" s="134" t="s">
        <v>40</v>
      </c>
      <c r="C92" s="134"/>
      <c r="D92" s="44" t="str">
        <f t="shared" ref="D92:K92" si="13">IF(COUNTA(D$25:D$91)&gt;0,COUNTA(D$25:D$91)-COUNTIF(D25:D91,"-")-D93,"")</f>
        <v/>
      </c>
      <c r="E92" s="44" t="str">
        <f t="shared" si="13"/>
        <v/>
      </c>
      <c r="F92" s="44" t="str">
        <f t="shared" si="13"/>
        <v/>
      </c>
      <c r="G92" s="44" t="str">
        <f t="shared" si="13"/>
        <v/>
      </c>
      <c r="H92" s="44" t="str">
        <f t="shared" si="13"/>
        <v/>
      </c>
      <c r="I92" s="44" t="str">
        <f t="shared" si="13"/>
        <v/>
      </c>
      <c r="J92" s="44" t="str">
        <f t="shared" si="13"/>
        <v/>
      </c>
      <c r="K92" s="44" t="str">
        <f t="shared" si="13"/>
        <v/>
      </c>
      <c r="L92" s="44" t="str">
        <f t="shared" ref="L92" si="14">IF(COUNTA(L$25:L$91)&gt;0,COUNTA(L$25:L$91)-COUNTIF(L25:L91,"-")-L93,"")</f>
        <v/>
      </c>
      <c r="M92" s="44" t="str">
        <f t="shared" ref="M92" si="15">IF(COUNTA(M$25:M$91)&gt;0,COUNTA(M$25:M$91)-COUNTIF(M25:M91,"-")-M93,"")</f>
        <v/>
      </c>
      <c r="N92" s="44" t="str">
        <f t="shared" ref="N92" si="16">IF(COUNTA(N$25:N$91)&gt;0,COUNTA(N$25:N$91)-COUNTIF(N25:N91,"-")-N93,"")</f>
        <v/>
      </c>
      <c r="O92" s="44" t="str">
        <f t="shared" ref="O92" si="17">IF(COUNTA(O$25:O$91)&gt;0,COUNTA(O$25:O$91)-COUNTIF(O25:O91,"-")-O93,"")</f>
        <v/>
      </c>
      <c r="P92" s="135" t="s">
        <v>34</v>
      </c>
      <c r="Q92" s="136"/>
      <c r="R92" s="136"/>
      <c r="S92" s="136"/>
      <c r="T92" s="137"/>
      <c r="U92" s="15"/>
      <c r="Y92" s="20"/>
      <c r="Z92" s="20"/>
      <c r="AA92" s="20"/>
      <c r="AB92" s="20"/>
      <c r="AC92" s="20"/>
      <c r="AD92" s="20"/>
      <c r="AE92" s="20"/>
      <c r="AF92" s="20"/>
      <c r="AG92" s="20"/>
      <c r="BX92" s="8">
        <v>82</v>
      </c>
    </row>
    <row r="93" spans="1:76" s="6" customFormat="1" ht="18" customHeight="1" x14ac:dyDescent="0.25">
      <c r="A93" s="5">
        <v>2</v>
      </c>
      <c r="B93" s="122" t="s">
        <v>22</v>
      </c>
      <c r="C93" s="123"/>
      <c r="D93" s="31" t="str">
        <f t="shared" ref="D93:G93" si="18">IF(COUNTA(D$25:D$91)&gt;0,COUNTIF(D25:D91,"=AB"),"")</f>
        <v/>
      </c>
      <c r="E93" s="31" t="str">
        <f t="shared" si="18"/>
        <v/>
      </c>
      <c r="F93" s="31" t="str">
        <f t="shared" si="18"/>
        <v/>
      </c>
      <c r="G93" s="31" t="str">
        <f t="shared" si="18"/>
        <v/>
      </c>
      <c r="H93" s="31" t="str">
        <f t="shared" ref="H93:L93" si="19">IF(COUNTA(H$25:H$91)&gt;0,COUNTIF(H25:H91,"=AB"),"")</f>
        <v/>
      </c>
      <c r="I93" s="31" t="str">
        <f t="shared" si="19"/>
        <v/>
      </c>
      <c r="J93" s="31" t="str">
        <f t="shared" si="19"/>
        <v/>
      </c>
      <c r="K93" s="31" t="str">
        <f t="shared" si="19"/>
        <v/>
      </c>
      <c r="L93" s="31" t="str">
        <f t="shared" si="19"/>
        <v/>
      </c>
      <c r="M93" s="31" t="str">
        <f t="shared" ref="M93:O93" si="20">IF(COUNTA(M$25:M$91)&gt;0,COUNTIF(M25:M91,"=AB"),"")</f>
        <v/>
      </c>
      <c r="N93" s="31" t="str">
        <f t="shared" si="20"/>
        <v/>
      </c>
      <c r="O93" s="31" t="str">
        <f t="shared" si="20"/>
        <v/>
      </c>
      <c r="P93" s="138"/>
      <c r="Q93" s="139"/>
      <c r="R93" s="139"/>
      <c r="S93" s="139"/>
      <c r="T93" s="140"/>
      <c r="U93" s="15"/>
      <c r="BX93">
        <v>83</v>
      </c>
    </row>
    <row r="94" spans="1:76" s="6" customFormat="1" ht="18" customHeight="1" x14ac:dyDescent="0.25">
      <c r="A94" s="5">
        <v>3</v>
      </c>
      <c r="B94" s="113" t="s">
        <v>15</v>
      </c>
      <c r="C94" s="113"/>
      <c r="D94" s="31" t="str">
        <f t="shared" ref="D94:O94" si="21">IF(COUNTA(D$25:D$91)&gt;0,COUNTIF(D$25:D$91,"&gt;=50"),"")</f>
        <v/>
      </c>
      <c r="E94" s="31" t="str">
        <f t="shared" si="21"/>
        <v/>
      </c>
      <c r="F94" s="31" t="str">
        <f t="shared" si="21"/>
        <v/>
      </c>
      <c r="G94" s="31" t="str">
        <f t="shared" si="21"/>
        <v/>
      </c>
      <c r="H94" s="31" t="str">
        <f t="shared" si="21"/>
        <v/>
      </c>
      <c r="I94" s="31" t="str">
        <f t="shared" si="21"/>
        <v/>
      </c>
      <c r="J94" s="31" t="str">
        <f t="shared" si="21"/>
        <v/>
      </c>
      <c r="K94" s="31" t="str">
        <f t="shared" si="21"/>
        <v/>
      </c>
      <c r="L94" s="31" t="str">
        <f t="shared" si="21"/>
        <v/>
      </c>
      <c r="M94" s="31" t="str">
        <f t="shared" si="21"/>
        <v/>
      </c>
      <c r="N94" s="31" t="str">
        <f t="shared" si="21"/>
        <v/>
      </c>
      <c r="O94" s="31" t="str">
        <f t="shared" si="21"/>
        <v/>
      </c>
      <c r="P94" s="114" t="s">
        <v>31</v>
      </c>
      <c r="Q94" s="115"/>
      <c r="R94" s="115"/>
      <c r="S94" s="115"/>
      <c r="T94" s="46" t="str">
        <f>IF(F7="","",F7)</f>
        <v/>
      </c>
      <c r="U94" s="15"/>
      <c r="BX94" s="8">
        <v>84</v>
      </c>
    </row>
    <row r="95" spans="1:76" s="6" customFormat="1" ht="18" customHeight="1" x14ac:dyDescent="0.25">
      <c r="A95" s="5">
        <v>4</v>
      </c>
      <c r="B95" s="113" t="s">
        <v>16</v>
      </c>
      <c r="C95" s="113"/>
      <c r="D95" s="31" t="str">
        <f t="shared" ref="D95:O95" si="22">IF(COUNTA(D$25:D$91)&gt;0,COUNTIF(D$25:D$91,"&lt;50"),"")</f>
        <v/>
      </c>
      <c r="E95" s="31" t="str">
        <f t="shared" si="22"/>
        <v/>
      </c>
      <c r="F95" s="31" t="str">
        <f t="shared" si="22"/>
        <v/>
      </c>
      <c r="G95" s="31" t="str">
        <f t="shared" si="22"/>
        <v/>
      </c>
      <c r="H95" s="31" t="str">
        <f t="shared" si="22"/>
        <v/>
      </c>
      <c r="I95" s="31" t="str">
        <f t="shared" si="22"/>
        <v/>
      </c>
      <c r="J95" s="31" t="str">
        <f t="shared" si="22"/>
        <v/>
      </c>
      <c r="K95" s="31" t="str">
        <f t="shared" si="22"/>
        <v/>
      </c>
      <c r="L95" s="31" t="str">
        <f t="shared" si="22"/>
        <v/>
      </c>
      <c r="M95" s="31" t="str">
        <f t="shared" si="22"/>
        <v/>
      </c>
      <c r="N95" s="31" t="str">
        <f t="shared" si="22"/>
        <v/>
      </c>
      <c r="O95" s="31" t="str">
        <f t="shared" si="22"/>
        <v/>
      </c>
      <c r="P95" s="116" t="str">
        <f>IF(COUNTA(B25:B91)&gt;0,COUNTIF(U25:U91,"=0")/COUNTA(B25:B91),"")</f>
        <v/>
      </c>
      <c r="Q95" s="117"/>
      <c r="R95" s="117"/>
      <c r="S95" s="117"/>
      <c r="T95" s="118"/>
      <c r="U95" s="24"/>
      <c r="BX95">
        <v>85</v>
      </c>
    </row>
    <row r="96" spans="1:76" s="6" customFormat="1" ht="17.25" customHeight="1" x14ac:dyDescent="0.25">
      <c r="A96" s="5">
        <v>5</v>
      </c>
      <c r="B96" s="122" t="s">
        <v>33</v>
      </c>
      <c r="C96" s="123"/>
      <c r="D96" s="31" t="str">
        <f t="shared" ref="D96:G96" si="23">IF(COUNTA(D$25:D$91)&gt;0,COUNTIF(D25:D91,"=WH"),"")</f>
        <v/>
      </c>
      <c r="E96" s="31" t="str">
        <f t="shared" si="23"/>
        <v/>
      </c>
      <c r="F96" s="31" t="str">
        <f t="shared" si="23"/>
        <v/>
      </c>
      <c r="G96" s="31" t="str">
        <f t="shared" si="23"/>
        <v/>
      </c>
      <c r="H96" s="31" t="str">
        <f t="shared" ref="H96:L96" si="24">IF(COUNTA(H$25:H$91)&gt;0,COUNTIF(H25:H91,"=WH"),"")</f>
        <v/>
      </c>
      <c r="I96" s="31" t="str">
        <f t="shared" si="24"/>
        <v/>
      </c>
      <c r="J96" s="31" t="str">
        <f t="shared" si="24"/>
        <v/>
      </c>
      <c r="K96" s="31" t="str">
        <f t="shared" si="24"/>
        <v/>
      </c>
      <c r="L96" s="31" t="str">
        <f t="shared" si="24"/>
        <v/>
      </c>
      <c r="M96" s="31" t="str">
        <f t="shared" ref="M96:O96" si="25">IF(COUNTA(M$25:M$91)&gt;0,COUNTIF(M25:M91,"=WH"),"")</f>
        <v/>
      </c>
      <c r="N96" s="31" t="str">
        <f t="shared" si="25"/>
        <v/>
      </c>
      <c r="O96" s="31" t="str">
        <f t="shared" si="25"/>
        <v/>
      </c>
      <c r="P96" s="116"/>
      <c r="Q96" s="117"/>
      <c r="R96" s="117"/>
      <c r="S96" s="117"/>
      <c r="T96" s="118"/>
      <c r="U96" s="24"/>
      <c r="BX96" s="8">
        <v>86</v>
      </c>
    </row>
    <row r="97" spans="1:76" s="6" customFormat="1" ht="17.25" customHeight="1" thickBot="1" x14ac:dyDescent="0.3">
      <c r="A97" s="5">
        <v>6</v>
      </c>
      <c r="B97" s="113" t="s">
        <v>3</v>
      </c>
      <c r="C97" s="113"/>
      <c r="D97" s="32" t="str">
        <f>IF(D92&lt;&gt;"",IF((D92-D96)&lt;&gt;0,IF(COUNTA(D$25:D$91)&gt;0,D94/(D92),""),""),"")</f>
        <v/>
      </c>
      <c r="E97" s="32" t="str">
        <f t="shared" ref="E97:K97" si="26">IF(E92&lt;&gt;"",IF((E92-E96)&lt;&gt;0,IF(COUNTA(E$25:E$91)&gt;0,E94/(E92),""),""),"")</f>
        <v/>
      </c>
      <c r="F97" s="32" t="str">
        <f t="shared" si="26"/>
        <v/>
      </c>
      <c r="G97" s="32" t="str">
        <f t="shared" si="26"/>
        <v/>
      </c>
      <c r="H97" s="32" t="str">
        <f t="shared" si="26"/>
        <v/>
      </c>
      <c r="I97" s="32" t="str">
        <f t="shared" si="26"/>
        <v/>
      </c>
      <c r="J97" s="32" t="str">
        <f t="shared" si="26"/>
        <v/>
      </c>
      <c r="K97" s="32" t="str">
        <f t="shared" si="26"/>
        <v/>
      </c>
      <c r="L97" s="32" t="str">
        <f t="shared" ref="L97" si="27">IF(L92&lt;&gt;"",IF((L92-L96)&lt;&gt;0,IF(COUNTA(L$25:L$91)&gt;0,L94/(L92),""),""),"")</f>
        <v/>
      </c>
      <c r="M97" s="32" t="str">
        <f t="shared" ref="M97" si="28">IF(M92&lt;&gt;"",IF((M92-M96)&lt;&gt;0,IF(COUNTA(M$25:M$91)&gt;0,M94/(M92),""),""),"")</f>
        <v/>
      </c>
      <c r="N97" s="32" t="str">
        <f t="shared" ref="N97" si="29">IF(N92&lt;&gt;"",IF((N92-N96)&lt;&gt;0,IF(COUNTA(N$25:N$91)&gt;0,N94/(N92),""),""),"")</f>
        <v/>
      </c>
      <c r="O97" s="32" t="str">
        <f t="shared" ref="O97" si="30">IF(O92&lt;&gt;"",IF((O92-O96)&lt;&gt;0,IF(COUNTA(O$25:O$91)&gt;0,O94/(O92),""),""),"")</f>
        <v/>
      </c>
      <c r="P97" s="119"/>
      <c r="Q97" s="120"/>
      <c r="R97" s="120"/>
      <c r="S97" s="120"/>
      <c r="T97" s="121"/>
      <c r="U97" s="24"/>
      <c r="BX97">
        <v>87</v>
      </c>
    </row>
    <row r="98" spans="1:76" s="6" customFormat="1" ht="18" customHeight="1" thickTop="1" x14ac:dyDescent="0.25">
      <c r="A98" s="5">
        <v>7</v>
      </c>
      <c r="B98" s="110" t="s">
        <v>18</v>
      </c>
      <c r="C98" s="110"/>
      <c r="D98" s="33" t="str">
        <f t="shared" ref="D98:K98" si="31">IF(D97&lt;&gt;"",IF(COUNTA(D$25:D$91)&gt;0,AVERAGE(D25:D91),""),"")</f>
        <v/>
      </c>
      <c r="E98" s="33" t="str">
        <f t="shared" si="31"/>
        <v/>
      </c>
      <c r="F98" s="33" t="str">
        <f t="shared" si="31"/>
        <v/>
      </c>
      <c r="G98" s="33" t="str">
        <f t="shared" si="31"/>
        <v/>
      </c>
      <c r="H98" s="33" t="str">
        <f t="shared" si="31"/>
        <v/>
      </c>
      <c r="I98" s="33" t="str">
        <f t="shared" si="31"/>
        <v/>
      </c>
      <c r="J98" s="33" t="str">
        <f t="shared" si="31"/>
        <v/>
      </c>
      <c r="K98" s="33" t="str">
        <f t="shared" si="31"/>
        <v/>
      </c>
      <c r="L98" s="33" t="str">
        <f t="shared" ref="L98" si="32">IF(L97&lt;&gt;"",IF(COUNTA(L$25:L$91)&gt;0,AVERAGE(L25:L91),""),"")</f>
        <v/>
      </c>
      <c r="M98" s="33" t="str">
        <f t="shared" ref="M98" si="33">IF(M97&lt;&gt;"",IF(COUNTA(M$25:M$91)&gt;0,AVERAGE(M25:M91),""),"")</f>
        <v/>
      </c>
      <c r="N98" s="33" t="str">
        <f t="shared" ref="N98" si="34">IF(N97&lt;&gt;"",IF(COUNTA(N$25:N$91)&gt;0,AVERAGE(N25:N91),""),"")</f>
        <v/>
      </c>
      <c r="O98" s="33" t="str">
        <f t="shared" ref="O98" si="35">IF(O97&lt;&gt;"",IF(COUNTA(O$25:O$91)&gt;0,AVERAGE(O25:O91),""),"")</f>
        <v/>
      </c>
      <c r="T98" s="17"/>
      <c r="BX98" s="8">
        <v>88</v>
      </c>
    </row>
    <row r="99" spans="1:76" s="6" customFormat="1" ht="17.25" customHeight="1" x14ac:dyDescent="0.25">
      <c r="A99" s="5">
        <v>8</v>
      </c>
      <c r="B99" s="110" t="s">
        <v>17</v>
      </c>
      <c r="C99" s="110"/>
      <c r="D99" s="33" t="str">
        <f t="shared" ref="D99:G99" si="36">IF(D97&lt;&gt;"",IF(COUNTA(D$25:D$91)&gt;0,STDEV(D25:D91),""),"")</f>
        <v/>
      </c>
      <c r="E99" s="33" t="str">
        <f t="shared" si="36"/>
        <v/>
      </c>
      <c r="F99" s="33" t="str">
        <f t="shared" si="36"/>
        <v/>
      </c>
      <c r="G99" s="33" t="str">
        <f t="shared" si="36"/>
        <v/>
      </c>
      <c r="H99" s="33" t="str">
        <f t="shared" ref="H99:L99" si="37">IF(H97&lt;&gt;"",IF(COUNTA(H$25:H$91)&gt;0,STDEV(H25:H91),""),"")</f>
        <v/>
      </c>
      <c r="I99" s="33" t="str">
        <f t="shared" si="37"/>
        <v/>
      </c>
      <c r="J99" s="33" t="str">
        <f t="shared" si="37"/>
        <v/>
      </c>
      <c r="K99" s="33" t="str">
        <f t="shared" si="37"/>
        <v/>
      </c>
      <c r="L99" s="33" t="str">
        <f t="shared" si="37"/>
        <v/>
      </c>
      <c r="M99" s="33" t="str">
        <f t="shared" ref="M99:O99" si="38">IF(M97&lt;&gt;"",IF(COUNTA(M$25:M$91)&gt;0,STDEV(M25:M91),""),"")</f>
        <v/>
      </c>
      <c r="N99" s="33" t="str">
        <f t="shared" si="38"/>
        <v/>
      </c>
      <c r="O99" s="33" t="str">
        <f t="shared" si="38"/>
        <v/>
      </c>
      <c r="T99" s="17"/>
      <c r="BX99">
        <v>89</v>
      </c>
    </row>
    <row r="100" spans="1:76" s="6" customFormat="1" ht="18" customHeight="1" thickBot="1" x14ac:dyDescent="0.3">
      <c r="A100" s="18">
        <v>9</v>
      </c>
      <c r="B100" s="111" t="s">
        <v>36</v>
      </c>
      <c r="C100" s="111"/>
      <c r="D100" s="47" t="str">
        <f t="shared" ref="D100:K100" si="39">IF(D97&lt;&gt;"",IF(COUNTA(D$25:D$91)&gt;0,D99/D98,""),"")</f>
        <v/>
      </c>
      <c r="E100" s="47" t="str">
        <f t="shared" si="39"/>
        <v/>
      </c>
      <c r="F100" s="47" t="str">
        <f t="shared" si="39"/>
        <v/>
      </c>
      <c r="G100" s="47" t="str">
        <f t="shared" si="39"/>
        <v/>
      </c>
      <c r="H100" s="47" t="str">
        <f t="shared" si="39"/>
        <v/>
      </c>
      <c r="I100" s="47" t="str">
        <f t="shared" si="39"/>
        <v/>
      </c>
      <c r="J100" s="47" t="str">
        <f t="shared" si="39"/>
        <v/>
      </c>
      <c r="K100" s="47" t="str">
        <f t="shared" si="39"/>
        <v/>
      </c>
      <c r="L100" s="47" t="str">
        <f t="shared" ref="L100" si="40">IF(L97&lt;&gt;"",IF(COUNTA(L$25:L$91)&gt;0,L99/L98,""),"")</f>
        <v/>
      </c>
      <c r="M100" s="47" t="str">
        <f t="shared" ref="M100" si="41">IF(M97&lt;&gt;"",IF(COUNTA(M$25:M$91)&gt;0,M99/M98,""),"")</f>
        <v/>
      </c>
      <c r="N100" s="47" t="str">
        <f t="shared" ref="N100" si="42">IF(N97&lt;&gt;"",IF(COUNTA(N$25:N$91)&gt;0,N99/N98,""),"")</f>
        <v/>
      </c>
      <c r="O100" s="47" t="str">
        <f t="shared" ref="O100" si="43">IF(O97&lt;&gt;"",IF(COUNTA(O$25:O$91)&gt;0,O99/O98,""),"")</f>
        <v/>
      </c>
      <c r="P100" s="7"/>
      <c r="Q100" s="7"/>
      <c r="R100" s="7"/>
      <c r="S100" s="7"/>
      <c r="T100" s="19"/>
      <c r="BX100" s="8">
        <v>90</v>
      </c>
    </row>
    <row r="101" spans="1:76" hidden="1" x14ac:dyDescent="0.25">
      <c r="P101" s="6"/>
      <c r="Q101" s="6"/>
      <c r="BX101">
        <v>91</v>
      </c>
    </row>
    <row r="102" spans="1:76" x14ac:dyDescent="0.25">
      <c r="C102" s="3" t="s">
        <v>28</v>
      </c>
      <c r="D102" s="4" t="str">
        <f>IF(F7="","",F7)</f>
        <v/>
      </c>
      <c r="BX102" s="8">
        <v>92</v>
      </c>
    </row>
    <row r="103" spans="1:76" x14ac:dyDescent="0.25">
      <c r="C103" s="112" t="s">
        <v>26</v>
      </c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BX103">
        <v>93</v>
      </c>
    </row>
    <row r="104" spans="1:76" ht="38.25" customHeight="1" x14ac:dyDescent="0.25">
      <c r="C104" s="50" t="s">
        <v>20</v>
      </c>
      <c r="D104" s="53" t="s">
        <v>39</v>
      </c>
      <c r="E104" s="30" t="str">
        <f>IF(A9&lt;&gt;"",A9,"")</f>
        <v/>
      </c>
      <c r="F104" s="30" t="str">
        <f>IF(A10&lt;&gt;"",A10,"")</f>
        <v/>
      </c>
      <c r="G104" s="30" t="str">
        <f>IF(A11&lt;&gt;"",A11,"")</f>
        <v/>
      </c>
      <c r="H104" s="30" t="str">
        <f>IF(A12&lt;&gt;"",A12,"")</f>
        <v/>
      </c>
      <c r="I104" s="30" t="str">
        <f>IF(A13&lt;&gt;"",A13,"")</f>
        <v/>
      </c>
      <c r="J104" s="30" t="str">
        <f>IF(A14&lt;&gt;"",A14,"")</f>
        <v/>
      </c>
      <c r="K104" s="30" t="str">
        <f>IF(A15&lt;&gt;"",A15,"")</f>
        <v/>
      </c>
      <c r="L104" s="30" t="str">
        <f>IF(A16&lt;&gt;"",A16,"")</f>
        <v/>
      </c>
      <c r="M104" s="30" t="str">
        <f>IF(A17&lt;&gt;"",A17,"")</f>
        <v/>
      </c>
      <c r="N104" s="30" t="str">
        <f>IF(A18&lt;&gt;"",A18,"")</f>
        <v/>
      </c>
      <c r="O104" s="30" t="str">
        <f>IF(A19&lt;&gt;"",A19,"")</f>
        <v/>
      </c>
      <c r="P104" s="30" t="str">
        <f>IF(A20&lt;&gt;"",A20,"")</f>
        <v/>
      </c>
      <c r="AH104" s="6"/>
      <c r="AI104" s="20"/>
      <c r="AJ104" s="20"/>
      <c r="BX104" s="8">
        <v>94</v>
      </c>
    </row>
    <row r="105" spans="1:76" x14ac:dyDescent="0.25">
      <c r="C105" s="51" t="s">
        <v>21</v>
      </c>
      <c r="D105" s="72">
        <f>COUNTIF(U25:U91,"=0")</f>
        <v>0</v>
      </c>
      <c r="E105" s="72" t="str">
        <f>IF(E104&lt;&gt;"",COUNTIF($T25:$T91,E104),"")</f>
        <v/>
      </c>
      <c r="F105" s="72" t="str">
        <f>IF(F104&lt;&gt;"",COUNTIF($T25:$T91,F104),"")</f>
        <v/>
      </c>
      <c r="G105" s="72" t="str">
        <f t="shared" ref="G105:I105" si="44">IF(G104&lt;&gt;"",COUNTIF($T25:$T91,G104),"")</f>
        <v/>
      </c>
      <c r="H105" s="72" t="str">
        <f t="shared" si="44"/>
        <v/>
      </c>
      <c r="I105" s="72" t="str">
        <f t="shared" si="44"/>
        <v/>
      </c>
      <c r="J105" s="72" t="str">
        <f t="shared" ref="J105" si="45">IF(J104&lt;&gt;"",COUNTIF($T25:$T91,J104),"")</f>
        <v/>
      </c>
      <c r="K105" s="72" t="str">
        <f t="shared" ref="K105" si="46">IF(K104&lt;&gt;"",COUNTIF($T25:$T91,K104),"")</f>
        <v/>
      </c>
      <c r="L105" s="72" t="str">
        <f t="shared" ref="L105" si="47">IF(L104&lt;&gt;"",COUNTIF($T25:$T91,L104),"")</f>
        <v/>
      </c>
      <c r="M105" s="72" t="str">
        <f t="shared" ref="M105" si="48">IF(M104&lt;&gt;"",COUNTIF($T25:$T91,M104),"")</f>
        <v/>
      </c>
      <c r="N105" s="72" t="str">
        <f t="shared" ref="N105" si="49">IF(N104&lt;&gt;"",COUNTIF($T25:$T91,N104),"")</f>
        <v/>
      </c>
      <c r="O105" s="72" t="str">
        <f t="shared" ref="O105" si="50">IF(O104&lt;&gt;"",COUNTIF($T25:$T91,O104),"")</f>
        <v/>
      </c>
      <c r="P105" s="72" t="str">
        <f t="shared" ref="P105" si="51">IF(P104&lt;&gt;"",COUNTIF($T25:$T91,P104),"")</f>
        <v/>
      </c>
      <c r="AH105" s="6"/>
      <c r="AI105" s="20"/>
      <c r="AJ105" s="20"/>
      <c r="BX105">
        <v>95</v>
      </c>
    </row>
    <row r="106" spans="1:76" x14ac:dyDescent="0.25">
      <c r="C106" s="50" t="s">
        <v>27</v>
      </c>
      <c r="D106" s="73" t="str">
        <f>IF(D105=0,"-",D105/COUNTA($A25:$A91))</f>
        <v>-</v>
      </c>
      <c r="E106" s="73" t="str">
        <f>IF(E105&lt;&gt;"",E105/COUNTA($A25:$A91),"-")</f>
        <v>-</v>
      </c>
      <c r="F106" s="73" t="str">
        <f t="shared" ref="F106:I106" si="52">IF(F105&lt;&gt;"",F105/COUNTA($A25:$A91),"-")</f>
        <v>-</v>
      </c>
      <c r="G106" s="73" t="str">
        <f t="shared" si="52"/>
        <v>-</v>
      </c>
      <c r="H106" s="73" t="str">
        <f t="shared" si="52"/>
        <v>-</v>
      </c>
      <c r="I106" s="73" t="str">
        <f t="shared" si="52"/>
        <v>-</v>
      </c>
      <c r="J106" s="73" t="str">
        <f t="shared" ref="J106" si="53">IF(J105&lt;&gt;"",J105/COUNTA($A25:$A91),"-")</f>
        <v>-</v>
      </c>
      <c r="K106" s="73" t="str">
        <f t="shared" ref="K106" si="54">IF(K105&lt;&gt;"",K105/COUNTA($A25:$A91),"-")</f>
        <v>-</v>
      </c>
      <c r="L106" s="73" t="str">
        <f t="shared" ref="L106" si="55">IF(L105&lt;&gt;"",L105/COUNTA($A25:$A91),"-")</f>
        <v>-</v>
      </c>
      <c r="M106" s="73" t="str">
        <f t="shared" ref="M106" si="56">IF(M105&lt;&gt;"",M105/COUNTA($A25:$A91),"-")</f>
        <v>-</v>
      </c>
      <c r="N106" s="73" t="str">
        <f t="shared" ref="N106" si="57">IF(N105&lt;&gt;"",N105/COUNTA($A25:$A91),"-")</f>
        <v>-</v>
      </c>
      <c r="O106" s="73" t="str">
        <f t="shared" ref="O106" si="58">IF(O105&lt;&gt;"",O105/COUNTA($A25:$A91),"-")</f>
        <v>-</v>
      </c>
      <c r="P106" s="73" t="str">
        <f t="shared" ref="P106" si="59">IF(P105&lt;&gt;"",P105/COUNTA($A25:$A91),"-")</f>
        <v>-</v>
      </c>
      <c r="AH106" s="6"/>
      <c r="AI106" s="20"/>
      <c r="AJ106" s="20"/>
      <c r="BX106" s="8">
        <v>96</v>
      </c>
    </row>
    <row r="107" spans="1:76" x14ac:dyDescent="0.25">
      <c r="AH107" s="6"/>
      <c r="AI107" s="20"/>
      <c r="AJ107" s="20"/>
      <c r="BX107">
        <v>97</v>
      </c>
    </row>
    <row r="108" spans="1:76" x14ac:dyDescent="0.25">
      <c r="BX108" s="8">
        <v>98</v>
      </c>
    </row>
    <row r="109" spans="1:76" ht="15" customHeight="1" x14ac:dyDescent="0.25">
      <c r="BX109">
        <v>99</v>
      </c>
    </row>
    <row r="110" spans="1:76" ht="15" customHeight="1" x14ac:dyDescent="0.25">
      <c r="BX110" s="8">
        <v>100</v>
      </c>
    </row>
    <row r="111" spans="1:76" ht="15" customHeight="1" x14ac:dyDescent="0.25">
      <c r="BX111" t="s">
        <v>37</v>
      </c>
    </row>
    <row r="112" spans="1:76" x14ac:dyDescent="0.25">
      <c r="BX112" t="s">
        <v>38</v>
      </c>
    </row>
    <row r="113" spans="76:85" x14ac:dyDescent="0.25">
      <c r="BX113" t="s">
        <v>25</v>
      </c>
    </row>
    <row r="118" spans="76:85" x14ac:dyDescent="0.25">
      <c r="CF118" s="34"/>
      <c r="CG118" s="34"/>
    </row>
    <row r="119" spans="76:85" x14ac:dyDescent="0.25">
      <c r="CF119" s="34"/>
      <c r="CG119" s="34"/>
    </row>
    <row r="120" spans="76:85" x14ac:dyDescent="0.25">
      <c r="CF120" s="34"/>
      <c r="CG120" s="34"/>
    </row>
  </sheetData>
  <mergeCells count="67">
    <mergeCell ref="C3:Q3"/>
    <mergeCell ref="C4:Q4"/>
    <mergeCell ref="B19:E19"/>
    <mergeCell ref="F19:R19"/>
    <mergeCell ref="B20:E20"/>
    <mergeCell ref="F20:R20"/>
    <mergeCell ref="B13:E13"/>
    <mergeCell ref="F13:R13"/>
    <mergeCell ref="B14:E14"/>
    <mergeCell ref="F14:R14"/>
    <mergeCell ref="B18:E18"/>
    <mergeCell ref="F18:R18"/>
    <mergeCell ref="B15:E15"/>
    <mergeCell ref="F15:R15"/>
    <mergeCell ref="B16:E16"/>
    <mergeCell ref="F16:R16"/>
    <mergeCell ref="A21:T21"/>
    <mergeCell ref="S22:S24"/>
    <mergeCell ref="T22:T24"/>
    <mergeCell ref="D23:Q23"/>
    <mergeCell ref="B92:C92"/>
    <mergeCell ref="P92:T93"/>
    <mergeCell ref="B93:C93"/>
    <mergeCell ref="A22:A24"/>
    <mergeCell ref="B22:B24"/>
    <mergeCell ref="C22:C24"/>
    <mergeCell ref="D22:Q22"/>
    <mergeCell ref="R22:R24"/>
    <mergeCell ref="B99:C99"/>
    <mergeCell ref="B100:C100"/>
    <mergeCell ref="C103:P103"/>
    <mergeCell ref="B94:C94"/>
    <mergeCell ref="P94:S94"/>
    <mergeCell ref="B95:C95"/>
    <mergeCell ref="P95:T97"/>
    <mergeCell ref="B96:C96"/>
    <mergeCell ref="B97:C97"/>
    <mergeCell ref="B98:C98"/>
    <mergeCell ref="B17:E17"/>
    <mergeCell ref="F17:R17"/>
    <mergeCell ref="B12:E12"/>
    <mergeCell ref="F12:R12"/>
    <mergeCell ref="B8:E8"/>
    <mergeCell ref="F8:R8"/>
    <mergeCell ref="B11:E11"/>
    <mergeCell ref="F11:R11"/>
    <mergeCell ref="S8:T8"/>
    <mergeCell ref="B9:E9"/>
    <mergeCell ref="F9:R9"/>
    <mergeCell ref="S9:T9"/>
    <mergeCell ref="B10:E10"/>
    <mergeCell ref="F10:R10"/>
    <mergeCell ref="S10:T10"/>
    <mergeCell ref="A7:B7"/>
    <mergeCell ref="D7:E7"/>
    <mergeCell ref="F7:G7"/>
    <mergeCell ref="H7:M7"/>
    <mergeCell ref="A5:T5"/>
    <mergeCell ref="A6:B6"/>
    <mergeCell ref="D6:E6"/>
    <mergeCell ref="F6:G6"/>
    <mergeCell ref="H6:M6"/>
    <mergeCell ref="N6:O6"/>
    <mergeCell ref="P6:R6"/>
    <mergeCell ref="S6:T6"/>
    <mergeCell ref="N7:Q7"/>
    <mergeCell ref="R7:T7"/>
  </mergeCells>
  <conditionalFormatting sqref="D25:O91">
    <cfRule type="cellIs" dxfId="2" priority="1" operator="equal">
      <formula>"A"</formula>
    </cfRule>
    <cfRule type="cellIs" dxfId="1" priority="2" stopIfTrue="1" operator="lessThan">
      <formula>50</formula>
    </cfRule>
    <cfRule type="cellIs" dxfId="0" priority="3" operator="equal">
      <formula>"W"</formula>
    </cfRule>
  </conditionalFormatting>
  <dataValidations count="11">
    <dataValidation type="list" allowBlank="1" showInputMessage="1" showErrorMessage="1" sqref="U6" xr:uid="{00000000-0002-0000-0000-000000000000}">
      <formula1>"2008-09,2009-10,2011-12,2012-13,2013-14,2014-15"</formula1>
    </dataValidation>
    <dataValidation type="list" allowBlank="1" showInputMessage="1" showErrorMessage="1" sqref="F7:G7" xr:uid="{00000000-0002-0000-0000-000001000000}">
      <formula1>"A,B,C,D,E,F,-"</formula1>
    </dataValidation>
    <dataValidation type="list" allowBlank="1" showInputMessage="1" showErrorMessage="1" sqref="A7:B7" xr:uid="{00000000-0002-0000-0000-000002000000}">
      <formula1>"SEMESTER NO.,TRIMESTER NO."</formula1>
    </dataValidation>
    <dataValidation type="list" allowBlank="1" showInputMessage="1" showErrorMessage="1" sqref="C7" xr:uid="{00000000-0002-0000-0000-000003000000}">
      <formula1>"I,II,III,IV,V,VI,VII,VIII,IX,X"</formula1>
    </dataValidation>
    <dataValidation type="list" allowBlank="1" showInputMessage="1" showErrorMessage="1" sqref="C6" xr:uid="{00000000-0002-0000-0000-000004000000}">
      <formula1>"Civil,Mechanical,Mechatronics,ECE,EEE,EIE,CSE,IT,Chemical Engg.,Food Tech.,CT-UG,CT-PG,Management Studies,Computer Applications,AI(AIML),AI(AIDS),CSD"</formula1>
    </dataValidation>
    <dataValidation type="list" showInputMessage="1" showErrorMessage="1" sqref="F6:G6" xr:uid="{00000000-0002-0000-0000-000005000000}">
      <formula1>"B.E.,M.E.,M.E.(ED),M.E.(AE),M.E.(CEM),M.E.(CAD/CAM),M.E.(VLSI Design),B.Tech.,M.Tech.,MBA,MCA,BSc(CT),BSc(IT),BSc(SE),MSc(CT),MSc(IT),MSc(SE),MSc(SE) Integrated"</formula1>
    </dataValidation>
    <dataValidation type="list" allowBlank="1" showInputMessage="1" showErrorMessage="1" sqref="N6:O6" xr:uid="{00000000-0002-0000-0000-000006000000}">
      <formula1>"2025-2026,2026-2027,2027-2028,2028-2029,2029-2030"</formula1>
    </dataValidation>
    <dataValidation type="list" allowBlank="1" showInputMessage="1" showErrorMessage="1" errorTitle="WRONG ENTRY!" error="MARKS CAN BE BETWEEN 0 AND 100 ._x000a_ENTER AB FOR ABSENT_x000a_            WH FOR WITHHELD_x000a_             -  FOR AN ELECTIVE COURSE NOT OPTED." sqref="D25:O91" xr:uid="{00000000-0002-0000-0000-000007000000}">
      <formula1>$BX$5:$BX$113</formula1>
    </dataValidation>
    <dataValidation type="list" allowBlank="1" showInputMessage="1" showErrorMessage="1" sqref="S6:T6" xr:uid="{00000000-0002-0000-0000-000008000000}">
      <formula1>"2025,2026,2027,2028,2029,2030,2031,2032,2033,2034"</formula1>
    </dataValidation>
    <dataValidation type="list" allowBlank="1" showInputMessage="1" showErrorMessage="1" sqref="R7" xr:uid="{00000000-0002-0000-0000-000009000000}">
      <formula1>"AFTER RETEST"</formula1>
    </dataValidation>
    <dataValidation type="list" allowBlank="1" showInputMessage="1" showErrorMessage="1" sqref="N7:Q7" xr:uid="{00000000-0002-0000-0000-00000A000000}">
      <formula1>"Test I,Test II,Test III,Cycle Test I,Cycle Test II,Cycle Test III, MidTerm Exam,Model Exam,Objective Test I,Objective Test II, Module Test - I, Module Test - II"</formula1>
    </dataValidation>
  </dataValidations>
  <printOptions horizontalCentered="1"/>
  <pageMargins left="0.45" right="0.38" top="0.48" bottom="0.95" header="0.3" footer="0.46"/>
  <pageSetup paperSize="9" scale="89" orientation="landscape" horizontalDpi="1200" verticalDpi="1200" r:id="rId1"/>
  <headerFooter>
    <oddFooter>&amp;L&amp;12                                     CLASS ADVISOR SIGN  WITH DATE&amp;C&amp;12Year Coordinator&amp;R&amp;12HOD</oddFooter>
  </headerFooter>
  <rowBreaks count="2" manualBreakCount="2">
    <brk id="37" max="16383" man="1"/>
    <brk id="72" max="16383" man="1"/>
  </rowBreaks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8" sqref="I18"/>
    </sheetView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AC-06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2009-03-14T07:06:46Z</cp:lastPrinted>
  <dcterms:created xsi:type="dcterms:W3CDTF">2006-09-16T00:00:00Z</dcterms:created>
  <dcterms:modified xsi:type="dcterms:W3CDTF">2025-10-17T05:53:09Z</dcterms:modified>
</cp:coreProperties>
</file>