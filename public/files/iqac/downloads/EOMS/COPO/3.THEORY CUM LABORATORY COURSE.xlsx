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1840" windowHeight="12450" activeTab="10"/>
  </bookViews>
  <sheets>
    <sheet name="Target" sheetId="11" r:id="rId1"/>
    <sheet name="BASE" sheetId="1" r:id="rId2"/>
    <sheet name="CAT-1" sheetId="2" r:id="rId3"/>
    <sheet name="CAT- 2" sheetId="3" r:id="rId4"/>
    <sheet name="CAT-3" sheetId="4" r:id="rId5"/>
    <sheet name="Tut-Ass-OA" sheetId="5" r:id="rId6"/>
    <sheet name="LAB Asseement" sheetId="6" r:id="rId7"/>
    <sheet name="Internal CO" sheetId="7" r:id="rId8"/>
    <sheet name="ESE" sheetId="8" r:id="rId9"/>
    <sheet name="ESE CO" sheetId="9" r:id="rId10"/>
    <sheet name="Course Ass report" sheetId="10" r:id="rId11"/>
  </sheets>
  <definedNames>
    <definedName name="Z_56799CC1_F484_4137_8B81_ABA0C19A048B_.wvu.PrintArea" localSheetId="10">'Course Ass report'!$A$1:$O$35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Z4+8zsE21iZpTjk2ZI+nhxLP7LFBdZdywguzplt5yAA="/>
    </ext>
  </extLst>
</workbook>
</file>

<file path=xl/calcChain.xml><?xml version="1.0" encoding="utf-8"?>
<calcChain xmlns="http://schemas.openxmlformats.org/spreadsheetml/2006/main">
  <c r="H83" i="11"/>
  <c r="B83"/>
  <c r="M78" l="1"/>
  <c r="L78"/>
  <c r="K78"/>
  <c r="J78"/>
  <c r="I78"/>
  <c r="H78"/>
  <c r="G78"/>
  <c r="F78"/>
  <c r="E78"/>
  <c r="D78"/>
  <c r="C78"/>
  <c r="B78"/>
  <c r="M77"/>
  <c r="M80" s="1"/>
  <c r="M81" s="1"/>
  <c r="M82" s="1"/>
  <c r="L77"/>
  <c r="L80" s="1"/>
  <c r="L81" s="1"/>
  <c r="L82" s="1"/>
  <c r="K77"/>
  <c r="K80" s="1"/>
  <c r="K81" s="1"/>
  <c r="K82" s="1"/>
  <c r="J77"/>
  <c r="J80" s="1"/>
  <c r="J81" s="1"/>
  <c r="J82" s="1"/>
  <c r="I77"/>
  <c r="I80" s="1"/>
  <c r="I81" s="1"/>
  <c r="I82" s="1"/>
  <c r="H77"/>
  <c r="H80" s="1"/>
  <c r="H81" s="1"/>
  <c r="H82" s="1"/>
  <c r="G77"/>
  <c r="G80" s="1"/>
  <c r="G81" s="1"/>
  <c r="G82" s="1"/>
  <c r="F77"/>
  <c r="F80" s="1"/>
  <c r="F81" s="1"/>
  <c r="F82" s="1"/>
  <c r="E77"/>
  <c r="E80" s="1"/>
  <c r="E81" s="1"/>
  <c r="E82" s="1"/>
  <c r="D77"/>
  <c r="D80" s="1"/>
  <c r="D81" s="1"/>
  <c r="D82" s="1"/>
  <c r="C77"/>
  <c r="C80" s="1"/>
  <c r="C81" s="1"/>
  <c r="C82" s="1"/>
  <c r="B77"/>
  <c r="B80" s="1"/>
  <c r="B81" s="1"/>
  <c r="B82" s="1"/>
  <c r="T16" i="2"/>
  <c r="B85" i="11" l="1"/>
  <c r="B84"/>
  <c r="A12" i="3"/>
  <c r="A13"/>
  <c r="L7" i="8"/>
  <c r="B7" i="9" s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11"/>
  <c r="A13" i="4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12"/>
  <c r="A14" i="3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50" i="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1"/>
  <c r="A452"/>
  <c r="A453"/>
  <c r="A454"/>
  <c r="A455"/>
  <c r="A456"/>
  <c r="A457"/>
  <c r="A458"/>
  <c r="A459"/>
  <c r="A460"/>
  <c r="A461"/>
  <c r="A12"/>
  <c r="J10" i="10"/>
  <c r="Z18" i="8"/>
  <c r="D12" i="10"/>
  <c r="A17" i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B86" i="11" l="1"/>
  <c r="L7" i="2"/>
  <c r="L7" i="4"/>
  <c r="L7" i="3"/>
  <c r="A31" i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U12" i="2" l="1"/>
  <c r="T12"/>
  <c r="I22" i="1"/>
  <c r="V28" l="1"/>
  <c r="AD252" i="8"/>
  <c r="G251" i="9" s="1"/>
  <c r="AD253" i="8"/>
  <c r="G252" i="9" s="1"/>
  <c r="AD254" i="8"/>
  <c r="G253" i="9" s="1"/>
  <c r="AD255" i="8"/>
  <c r="G254" i="9" s="1"/>
  <c r="AD256" i="8"/>
  <c r="G255" i="9" s="1"/>
  <c r="AD257" i="8"/>
  <c r="G256" i="9" s="1"/>
  <c r="AD258" i="8"/>
  <c r="G257" i="9" s="1"/>
  <c r="AD259" i="8"/>
  <c r="G258" i="9" s="1"/>
  <c r="AD260" i="8"/>
  <c r="G259" i="9" s="1"/>
  <c r="AD261" i="8"/>
  <c r="G260" i="9" s="1"/>
  <c r="AD262" i="8"/>
  <c r="G261" i="9" s="1"/>
  <c r="AD263" i="8"/>
  <c r="G262" i="9" s="1"/>
  <c r="AD264" i="8"/>
  <c r="G263" i="9" s="1"/>
  <c r="AD265" i="8"/>
  <c r="G264" i="9" s="1"/>
  <c r="AD266" i="8"/>
  <c r="G265" i="9" s="1"/>
  <c r="AD267" i="8"/>
  <c r="G266" i="9" s="1"/>
  <c r="AD268" i="8"/>
  <c r="G267" i="9" s="1"/>
  <c r="AD269" i="8"/>
  <c r="G268" i="9" s="1"/>
  <c r="AD270" i="8"/>
  <c r="G269" i="9" s="1"/>
  <c r="AD271" i="8"/>
  <c r="G270" i="9" s="1"/>
  <c r="AD272" i="8"/>
  <c r="G271" i="9" s="1"/>
  <c r="AD273" i="8"/>
  <c r="G272" i="9" s="1"/>
  <c r="AD274" i="8"/>
  <c r="G273" i="9" s="1"/>
  <c r="AD275" i="8"/>
  <c r="G274" i="9" s="1"/>
  <c r="AD276" i="8"/>
  <c r="G275" i="9" s="1"/>
  <c r="AD277" i="8"/>
  <c r="G276" i="9" s="1"/>
  <c r="AD278" i="8"/>
  <c r="G277" i="9" s="1"/>
  <c r="AD279" i="8"/>
  <c r="G278" i="9" s="1"/>
  <c r="AD280" i="8"/>
  <c r="G279" i="9" s="1"/>
  <c r="AD281" i="8"/>
  <c r="G280" i="9" s="1"/>
  <c r="AD282" i="8"/>
  <c r="G281" i="9" s="1"/>
  <c r="AD283" i="8"/>
  <c r="G282" i="9" s="1"/>
  <c r="AD284" i="8"/>
  <c r="G283" i="9" s="1"/>
  <c r="AD285" i="8"/>
  <c r="G284" i="9" s="1"/>
  <c r="AD286" i="8"/>
  <c r="G285" i="9" s="1"/>
  <c r="AD287" i="8"/>
  <c r="G286" i="9" s="1"/>
  <c r="AD288" i="8"/>
  <c r="G287" i="9" s="1"/>
  <c r="AD289" i="8"/>
  <c r="G288" i="9" s="1"/>
  <c r="AD290" i="8"/>
  <c r="G289" i="9" s="1"/>
  <c r="AD291" i="8"/>
  <c r="G290" i="9" s="1"/>
  <c r="AD292" i="8"/>
  <c r="G291" i="9" s="1"/>
  <c r="AD293" i="8"/>
  <c r="G292" i="9" s="1"/>
  <c r="AD294" i="8"/>
  <c r="G293" i="9" s="1"/>
  <c r="AD295" i="8"/>
  <c r="G294" i="9" s="1"/>
  <c r="AD296" i="8"/>
  <c r="G295" i="9" s="1"/>
  <c r="AD297" i="8"/>
  <c r="G296" i="9" s="1"/>
  <c r="AD298" i="8"/>
  <c r="G297" i="9" s="1"/>
  <c r="AD299" i="8"/>
  <c r="G298" i="9" s="1"/>
  <c r="AD300" i="8"/>
  <c r="G299" i="9" s="1"/>
  <c r="AD301" i="8"/>
  <c r="G300" i="9" s="1"/>
  <c r="AD302" i="8"/>
  <c r="G301" i="9" s="1"/>
  <c r="AD303" i="8"/>
  <c r="G302" i="9" s="1"/>
  <c r="AD304" i="8"/>
  <c r="G303" i="9" s="1"/>
  <c r="AD305" i="8"/>
  <c r="G304" i="9" s="1"/>
  <c r="AD306" i="8"/>
  <c r="G305" i="9" s="1"/>
  <c r="AD307" i="8"/>
  <c r="G306" i="9" s="1"/>
  <c r="AD308" i="8"/>
  <c r="G307" i="9" s="1"/>
  <c r="AD309" i="8"/>
  <c r="G308" i="9" s="1"/>
  <c r="AD310" i="8"/>
  <c r="G309" i="9" s="1"/>
  <c r="AD311" i="8"/>
  <c r="G310" i="9" s="1"/>
  <c r="AD312" i="8"/>
  <c r="G311" i="9" s="1"/>
  <c r="AD313" i="8"/>
  <c r="G312" i="9" s="1"/>
  <c r="AD314" i="8"/>
  <c r="G313" i="9" s="1"/>
  <c r="AD315" i="8"/>
  <c r="G314" i="9" s="1"/>
  <c r="AD316" i="8"/>
  <c r="G315" i="9" s="1"/>
  <c r="AD317" i="8"/>
  <c r="G316" i="9" s="1"/>
  <c r="AD318" i="8"/>
  <c r="G317" i="9" s="1"/>
  <c r="AD319" i="8"/>
  <c r="G318" i="9" s="1"/>
  <c r="AD320" i="8"/>
  <c r="G319" i="9" s="1"/>
  <c r="AD321" i="8"/>
  <c r="G320" i="9" s="1"/>
  <c r="AD322" i="8"/>
  <c r="G321" i="9" s="1"/>
  <c r="AD323" i="8"/>
  <c r="G322" i="9" s="1"/>
  <c r="AD324" i="8"/>
  <c r="G323" i="9" s="1"/>
  <c r="AD325" i="8"/>
  <c r="G324" i="9" s="1"/>
  <c r="AD326" i="8"/>
  <c r="G325" i="9" s="1"/>
  <c r="AD327" i="8"/>
  <c r="G326" i="9" s="1"/>
  <c r="AD328" i="8"/>
  <c r="G327" i="9" s="1"/>
  <c r="AD329" i="8"/>
  <c r="G328" i="9" s="1"/>
  <c r="AD330" i="8"/>
  <c r="G329" i="9" s="1"/>
  <c r="AD331" i="8"/>
  <c r="G330" i="9" s="1"/>
  <c r="AD332" i="8"/>
  <c r="G331" i="9" s="1"/>
  <c r="AD333" i="8"/>
  <c r="G332" i="9" s="1"/>
  <c r="AD334" i="8"/>
  <c r="G333" i="9" s="1"/>
  <c r="AD335" i="8"/>
  <c r="G334" i="9" s="1"/>
  <c r="AD336" i="8"/>
  <c r="G335" i="9" s="1"/>
  <c r="AD337" i="8"/>
  <c r="G336" i="9" s="1"/>
  <c r="AD338" i="8"/>
  <c r="G337" i="9" s="1"/>
  <c r="AD339" i="8"/>
  <c r="G338" i="9" s="1"/>
  <c r="AD340" i="8"/>
  <c r="G339" i="9" s="1"/>
  <c r="AD341" i="8"/>
  <c r="G340" i="9" s="1"/>
  <c r="AD342" i="8"/>
  <c r="G341" i="9" s="1"/>
  <c r="AD343" i="8"/>
  <c r="G342" i="9" s="1"/>
  <c r="AD344" i="8"/>
  <c r="G343" i="9" s="1"/>
  <c r="AD345" i="8"/>
  <c r="G344" i="9" s="1"/>
  <c r="AD346" i="8"/>
  <c r="G345" i="9" s="1"/>
  <c r="AD347" i="8"/>
  <c r="G346" i="9" s="1"/>
  <c r="AD348" i="8"/>
  <c r="G347" i="9" s="1"/>
  <c r="AD349" i="8"/>
  <c r="G348" i="9" s="1"/>
  <c r="AD350" i="8"/>
  <c r="G349" i="9" s="1"/>
  <c r="AD351" i="8"/>
  <c r="G350" i="9" s="1"/>
  <c r="AD352" i="8"/>
  <c r="G351" i="9" s="1"/>
  <c r="AD353" i="8"/>
  <c r="G352" i="9" s="1"/>
  <c r="AD354" i="8"/>
  <c r="G353" i="9" s="1"/>
  <c r="AD355" i="8"/>
  <c r="G354" i="9" s="1"/>
  <c r="AD356" i="8"/>
  <c r="G355" i="9" s="1"/>
  <c r="AD357" i="8"/>
  <c r="G356" i="9" s="1"/>
  <c r="AD358" i="8"/>
  <c r="G357" i="9" s="1"/>
  <c r="AD359" i="8"/>
  <c r="G358" i="9" s="1"/>
  <c r="AD360" i="8"/>
  <c r="G359" i="9" s="1"/>
  <c r="AD361" i="8"/>
  <c r="G360" i="9" s="1"/>
  <c r="AD362" i="8"/>
  <c r="G361" i="9" s="1"/>
  <c r="AD363" i="8"/>
  <c r="G362" i="9" s="1"/>
  <c r="AD364" i="8"/>
  <c r="G363" i="9" s="1"/>
  <c r="AD365" i="8"/>
  <c r="G364" i="9" s="1"/>
  <c r="AD366" i="8"/>
  <c r="G365" i="9" s="1"/>
  <c r="AD367" i="8"/>
  <c r="G366" i="9" s="1"/>
  <c r="AD368" i="8"/>
  <c r="G367" i="9" s="1"/>
  <c r="AD369" i="8"/>
  <c r="G368" i="9" s="1"/>
  <c r="AD370" i="8"/>
  <c r="G369" i="9" s="1"/>
  <c r="AD371" i="8"/>
  <c r="G370" i="9" s="1"/>
  <c r="AD372" i="8"/>
  <c r="G371" i="9" s="1"/>
  <c r="AD373" i="8"/>
  <c r="G372" i="9" s="1"/>
  <c r="AD374" i="8"/>
  <c r="G373" i="9" s="1"/>
  <c r="AD375" i="8"/>
  <c r="G374" i="9" s="1"/>
  <c r="AD376" i="8"/>
  <c r="G375" i="9" s="1"/>
  <c r="AD377" i="8"/>
  <c r="G376" i="9" s="1"/>
  <c r="AD378" i="8"/>
  <c r="G377" i="9" s="1"/>
  <c r="AD379" i="8"/>
  <c r="G378" i="9" s="1"/>
  <c r="AD380" i="8"/>
  <c r="G379" i="9" s="1"/>
  <c r="AD381" i="8"/>
  <c r="G380" i="9" s="1"/>
  <c r="AD382" i="8"/>
  <c r="G381" i="9" s="1"/>
  <c r="AD383" i="8"/>
  <c r="G382" i="9" s="1"/>
  <c r="AD384" i="8"/>
  <c r="G383" i="9" s="1"/>
  <c r="AD385" i="8"/>
  <c r="G384" i="9" s="1"/>
  <c r="AD386" i="8"/>
  <c r="G385" i="9" s="1"/>
  <c r="AD387" i="8"/>
  <c r="G386" i="9" s="1"/>
  <c r="AD388" i="8"/>
  <c r="G387" i="9" s="1"/>
  <c r="AD389" i="8"/>
  <c r="G388" i="9" s="1"/>
  <c r="AD390" i="8"/>
  <c r="G389" i="9" s="1"/>
  <c r="AD391" i="8"/>
  <c r="G390" i="9" s="1"/>
  <c r="AD392" i="8"/>
  <c r="G391" i="9" s="1"/>
  <c r="AD393" i="8"/>
  <c r="G392" i="9" s="1"/>
  <c r="AD394" i="8"/>
  <c r="G393" i="9" s="1"/>
  <c r="AD395" i="8"/>
  <c r="G394" i="9" s="1"/>
  <c r="AD396" i="8"/>
  <c r="G395" i="9" s="1"/>
  <c r="AD397" i="8"/>
  <c r="G396" i="9" s="1"/>
  <c r="AD398" i="8"/>
  <c r="G397" i="9" s="1"/>
  <c r="AD399" i="8"/>
  <c r="G398" i="9" s="1"/>
  <c r="AD400" i="8"/>
  <c r="G399" i="9" s="1"/>
  <c r="AD401" i="8"/>
  <c r="G400" i="9" s="1"/>
  <c r="AD402" i="8"/>
  <c r="G401" i="9" s="1"/>
  <c r="AD403" i="8"/>
  <c r="G402" i="9" s="1"/>
  <c r="AD404" i="8"/>
  <c r="G403" i="9" s="1"/>
  <c r="AD405" i="8"/>
  <c r="G404" i="9" s="1"/>
  <c r="AD406" i="8"/>
  <c r="G405" i="9" s="1"/>
  <c r="AD407" i="8"/>
  <c r="G406" i="9" s="1"/>
  <c r="AD408" i="8"/>
  <c r="G407" i="9" s="1"/>
  <c r="AD409" i="8"/>
  <c r="G408" i="9" s="1"/>
  <c r="AD410" i="8"/>
  <c r="G409" i="9" s="1"/>
  <c r="AD411" i="8"/>
  <c r="G410" i="9" s="1"/>
  <c r="AD412" i="8"/>
  <c r="G411" i="9" s="1"/>
  <c r="AD413" i="8"/>
  <c r="G412" i="9" s="1"/>
  <c r="AD414" i="8"/>
  <c r="G413" i="9" s="1"/>
  <c r="AD415" i="8"/>
  <c r="G414" i="9" s="1"/>
  <c r="AD416" i="8"/>
  <c r="G415" i="9" s="1"/>
  <c r="AD417" i="8"/>
  <c r="G416" i="9" s="1"/>
  <c r="AD418" i="8"/>
  <c r="G417" i="9" s="1"/>
  <c r="AD419" i="8"/>
  <c r="G418" i="9" s="1"/>
  <c r="AD420" i="8"/>
  <c r="G419" i="9" s="1"/>
  <c r="AD421" i="8"/>
  <c r="G420" i="9" s="1"/>
  <c r="AD422" i="8"/>
  <c r="G421" i="9" s="1"/>
  <c r="AD423" i="8"/>
  <c r="G422" i="9" s="1"/>
  <c r="AD424" i="8"/>
  <c r="G423" i="9" s="1"/>
  <c r="AD425" i="8"/>
  <c r="G424" i="9" s="1"/>
  <c r="AD426" i="8"/>
  <c r="G425" i="9" s="1"/>
  <c r="AD427" i="8"/>
  <c r="G426" i="9" s="1"/>
  <c r="AD428" i="8"/>
  <c r="G427" i="9" s="1"/>
  <c r="AD429" i="8"/>
  <c r="G428" i="9" s="1"/>
  <c r="AD430" i="8"/>
  <c r="G429" i="9" s="1"/>
  <c r="AD431" i="8"/>
  <c r="G430" i="9" s="1"/>
  <c r="AD432" i="8"/>
  <c r="G431" i="9" s="1"/>
  <c r="AD433" i="8"/>
  <c r="G432" i="9" s="1"/>
  <c r="AD434" i="8"/>
  <c r="G433" i="9" s="1"/>
  <c r="AD435" i="8"/>
  <c r="G434" i="9" s="1"/>
  <c r="AD436" i="8"/>
  <c r="G435" i="9" s="1"/>
  <c r="AD437" i="8"/>
  <c r="G436" i="9" s="1"/>
  <c r="AD438" i="8"/>
  <c r="G437" i="9" s="1"/>
  <c r="AD439" i="8"/>
  <c r="G438" i="9" s="1"/>
  <c r="AD440" i="8"/>
  <c r="G439" i="9" s="1"/>
  <c r="AD441" i="8"/>
  <c r="G440" i="9" s="1"/>
  <c r="AD442" i="8"/>
  <c r="G441" i="9" s="1"/>
  <c r="AD443" i="8"/>
  <c r="G442" i="9" s="1"/>
  <c r="AD444" i="8"/>
  <c r="G443" i="9" s="1"/>
  <c r="AD445" i="8"/>
  <c r="G444" i="9" s="1"/>
  <c r="AD446" i="8"/>
  <c r="G445" i="9" s="1"/>
  <c r="AD447" i="8"/>
  <c r="G446" i="9" s="1"/>
  <c r="AD448" i="8"/>
  <c r="G447" i="9" s="1"/>
  <c r="AD449" i="8"/>
  <c r="G448" i="9" s="1"/>
  <c r="AD450" i="8"/>
  <c r="G449" i="9" s="1"/>
  <c r="AD451" i="8"/>
  <c r="G450" i="9" s="1"/>
  <c r="AD452" i="8"/>
  <c r="G451" i="9" s="1"/>
  <c r="AD453" i="8"/>
  <c r="G452" i="9" s="1"/>
  <c r="AD454" i="8"/>
  <c r="G453" i="9" s="1"/>
  <c r="AD455" i="8"/>
  <c r="G454" i="9" s="1"/>
  <c r="AD456" i="8"/>
  <c r="G455" i="9" s="1"/>
  <c r="AD457" i="8"/>
  <c r="G456" i="9" s="1"/>
  <c r="AD458" i="8"/>
  <c r="G457" i="9" s="1"/>
  <c r="AD459" i="8"/>
  <c r="G458" i="9" s="1"/>
  <c r="AD460" i="8"/>
  <c r="G459" i="9" s="1"/>
  <c r="AD461" i="8"/>
  <c r="G460" i="9" s="1"/>
  <c r="AC252" i="8"/>
  <c r="F251" i="9" s="1"/>
  <c r="AC253" i="8"/>
  <c r="F252" i="9" s="1"/>
  <c r="AC254" i="8"/>
  <c r="F253" i="9" s="1"/>
  <c r="AC255" i="8"/>
  <c r="F254" i="9" s="1"/>
  <c r="AC256" i="8"/>
  <c r="F255" i="9" s="1"/>
  <c r="AC257" i="8"/>
  <c r="F256" i="9" s="1"/>
  <c r="AC258" i="8"/>
  <c r="F257" i="9" s="1"/>
  <c r="AC259" i="8"/>
  <c r="F258" i="9" s="1"/>
  <c r="AC260" i="8"/>
  <c r="F259" i="9" s="1"/>
  <c r="AC261" i="8"/>
  <c r="F260" i="9" s="1"/>
  <c r="AC262" i="8"/>
  <c r="F261" i="9" s="1"/>
  <c r="AC263" i="8"/>
  <c r="F262" i="9" s="1"/>
  <c r="AC264" i="8"/>
  <c r="F263" i="9" s="1"/>
  <c r="AC265" i="8"/>
  <c r="F264" i="9" s="1"/>
  <c r="AC266" i="8"/>
  <c r="F265" i="9" s="1"/>
  <c r="AC267" i="8"/>
  <c r="F266" i="9" s="1"/>
  <c r="AC268" i="8"/>
  <c r="F267" i="9" s="1"/>
  <c r="AC269" i="8"/>
  <c r="F268" i="9" s="1"/>
  <c r="AC270" i="8"/>
  <c r="F269" i="9" s="1"/>
  <c r="AC271" i="8"/>
  <c r="F270" i="9" s="1"/>
  <c r="AC272" i="8"/>
  <c r="F271" i="9" s="1"/>
  <c r="AC273" i="8"/>
  <c r="F272" i="9" s="1"/>
  <c r="AC274" i="8"/>
  <c r="F273" i="9" s="1"/>
  <c r="AC275" i="8"/>
  <c r="F274" i="9" s="1"/>
  <c r="AC276" i="8"/>
  <c r="F275" i="9" s="1"/>
  <c r="AC277" i="8"/>
  <c r="F276" i="9" s="1"/>
  <c r="AC278" i="8"/>
  <c r="F277" i="9" s="1"/>
  <c r="AC279" i="8"/>
  <c r="F278" i="9" s="1"/>
  <c r="AC280" i="8"/>
  <c r="F279" i="9" s="1"/>
  <c r="AC281" i="8"/>
  <c r="F280" i="9" s="1"/>
  <c r="AC282" i="8"/>
  <c r="F281" i="9" s="1"/>
  <c r="AC283" i="8"/>
  <c r="F282" i="9" s="1"/>
  <c r="AC284" i="8"/>
  <c r="F283" i="9" s="1"/>
  <c r="AC285" i="8"/>
  <c r="F284" i="9" s="1"/>
  <c r="AC286" i="8"/>
  <c r="F285" i="9" s="1"/>
  <c r="AC287" i="8"/>
  <c r="F286" i="9" s="1"/>
  <c r="AC288" i="8"/>
  <c r="F287" i="9" s="1"/>
  <c r="AC289" i="8"/>
  <c r="F288" i="9" s="1"/>
  <c r="AC290" i="8"/>
  <c r="F289" i="9" s="1"/>
  <c r="AC291" i="8"/>
  <c r="F290" i="9" s="1"/>
  <c r="AC292" i="8"/>
  <c r="F291" i="9" s="1"/>
  <c r="AC293" i="8"/>
  <c r="F292" i="9" s="1"/>
  <c r="AC294" i="8"/>
  <c r="F293" i="9" s="1"/>
  <c r="AC295" i="8"/>
  <c r="F294" i="9" s="1"/>
  <c r="AC296" i="8"/>
  <c r="F295" i="9" s="1"/>
  <c r="AC297" i="8"/>
  <c r="F296" i="9" s="1"/>
  <c r="AC298" i="8"/>
  <c r="F297" i="9" s="1"/>
  <c r="AC299" i="8"/>
  <c r="F298" i="9" s="1"/>
  <c r="AC300" i="8"/>
  <c r="F299" i="9" s="1"/>
  <c r="AC301" i="8"/>
  <c r="F300" i="9" s="1"/>
  <c r="AC302" i="8"/>
  <c r="F301" i="9" s="1"/>
  <c r="AC303" i="8"/>
  <c r="F302" i="9" s="1"/>
  <c r="AC304" i="8"/>
  <c r="F303" i="9" s="1"/>
  <c r="AC305" i="8"/>
  <c r="F304" i="9" s="1"/>
  <c r="AC306" i="8"/>
  <c r="F305" i="9" s="1"/>
  <c r="AC307" i="8"/>
  <c r="F306" i="9" s="1"/>
  <c r="AC308" i="8"/>
  <c r="F307" i="9" s="1"/>
  <c r="AC309" i="8"/>
  <c r="F308" i="9" s="1"/>
  <c r="AC310" i="8"/>
  <c r="F309" i="9" s="1"/>
  <c r="AC311" i="8"/>
  <c r="F310" i="9" s="1"/>
  <c r="AC312" i="8"/>
  <c r="F311" i="9" s="1"/>
  <c r="AC313" i="8"/>
  <c r="F312" i="9" s="1"/>
  <c r="AC314" i="8"/>
  <c r="F313" i="9" s="1"/>
  <c r="AC315" i="8"/>
  <c r="F314" i="9" s="1"/>
  <c r="AC316" i="8"/>
  <c r="F315" i="9" s="1"/>
  <c r="AC317" i="8"/>
  <c r="F316" i="9" s="1"/>
  <c r="AC318" i="8"/>
  <c r="F317" i="9" s="1"/>
  <c r="AC319" i="8"/>
  <c r="F318" i="9" s="1"/>
  <c r="AC320" i="8"/>
  <c r="F319" i="9" s="1"/>
  <c r="AC321" i="8"/>
  <c r="F320" i="9" s="1"/>
  <c r="AC322" i="8"/>
  <c r="F321" i="9" s="1"/>
  <c r="AC323" i="8"/>
  <c r="F322" i="9" s="1"/>
  <c r="AC324" i="8"/>
  <c r="F323" i="9" s="1"/>
  <c r="AC325" i="8"/>
  <c r="F324" i="9" s="1"/>
  <c r="AC326" i="8"/>
  <c r="F325" i="9" s="1"/>
  <c r="AC327" i="8"/>
  <c r="F326" i="9" s="1"/>
  <c r="AC328" i="8"/>
  <c r="F327" i="9" s="1"/>
  <c r="AC329" i="8"/>
  <c r="F328" i="9" s="1"/>
  <c r="AC330" i="8"/>
  <c r="F329" i="9" s="1"/>
  <c r="AC331" i="8"/>
  <c r="F330" i="9" s="1"/>
  <c r="AC332" i="8"/>
  <c r="F331" i="9" s="1"/>
  <c r="AC333" i="8"/>
  <c r="F332" i="9" s="1"/>
  <c r="AC334" i="8"/>
  <c r="F333" i="9" s="1"/>
  <c r="AC335" i="8"/>
  <c r="F334" i="9" s="1"/>
  <c r="AC336" i="8"/>
  <c r="F335" i="9" s="1"/>
  <c r="AC337" i="8"/>
  <c r="F336" i="9" s="1"/>
  <c r="AC338" i="8"/>
  <c r="F337" i="9" s="1"/>
  <c r="AC339" i="8"/>
  <c r="F338" i="9" s="1"/>
  <c r="AC340" i="8"/>
  <c r="F339" i="9" s="1"/>
  <c r="AC341" i="8"/>
  <c r="F340" i="9" s="1"/>
  <c r="AC342" i="8"/>
  <c r="F341" i="9" s="1"/>
  <c r="AC343" i="8"/>
  <c r="F342" i="9" s="1"/>
  <c r="AC344" i="8"/>
  <c r="F343" i="9" s="1"/>
  <c r="AC345" i="8"/>
  <c r="F344" i="9" s="1"/>
  <c r="AC346" i="8"/>
  <c r="F345" i="9" s="1"/>
  <c r="AC347" i="8"/>
  <c r="F346" i="9" s="1"/>
  <c r="AC348" i="8"/>
  <c r="F347" i="9" s="1"/>
  <c r="AC349" i="8"/>
  <c r="F348" i="9" s="1"/>
  <c r="AC350" i="8"/>
  <c r="F349" i="9" s="1"/>
  <c r="AC351" i="8"/>
  <c r="F350" i="9" s="1"/>
  <c r="AC352" i="8"/>
  <c r="F351" i="9" s="1"/>
  <c r="AC353" i="8"/>
  <c r="F352" i="9" s="1"/>
  <c r="AC354" i="8"/>
  <c r="F353" i="9" s="1"/>
  <c r="AC355" i="8"/>
  <c r="F354" i="9" s="1"/>
  <c r="AC356" i="8"/>
  <c r="F355" i="9" s="1"/>
  <c r="AC357" i="8"/>
  <c r="F356" i="9" s="1"/>
  <c r="AC358" i="8"/>
  <c r="F357" i="9" s="1"/>
  <c r="AC359" i="8"/>
  <c r="F358" i="9" s="1"/>
  <c r="AC360" i="8"/>
  <c r="F359" i="9" s="1"/>
  <c r="AC361" i="8"/>
  <c r="F360" i="9" s="1"/>
  <c r="AC362" i="8"/>
  <c r="F361" i="9" s="1"/>
  <c r="AC363" i="8"/>
  <c r="F362" i="9" s="1"/>
  <c r="AC364" i="8"/>
  <c r="F363" i="9" s="1"/>
  <c r="AC365" i="8"/>
  <c r="F364" i="9" s="1"/>
  <c r="AC366" i="8"/>
  <c r="F365" i="9" s="1"/>
  <c r="AC367" i="8"/>
  <c r="F366" i="9" s="1"/>
  <c r="AC368" i="8"/>
  <c r="F367" i="9" s="1"/>
  <c r="AC369" i="8"/>
  <c r="F368" i="9" s="1"/>
  <c r="AC370" i="8"/>
  <c r="F369" i="9" s="1"/>
  <c r="AC371" i="8"/>
  <c r="F370" i="9" s="1"/>
  <c r="AC372" i="8"/>
  <c r="F371" i="9" s="1"/>
  <c r="AC373" i="8"/>
  <c r="F372" i="9" s="1"/>
  <c r="AC374" i="8"/>
  <c r="F373" i="9" s="1"/>
  <c r="AC375" i="8"/>
  <c r="F374" i="9" s="1"/>
  <c r="AC376" i="8"/>
  <c r="F375" i="9" s="1"/>
  <c r="AC377" i="8"/>
  <c r="F376" i="9" s="1"/>
  <c r="AC378" i="8"/>
  <c r="F377" i="9" s="1"/>
  <c r="AC379" i="8"/>
  <c r="F378" i="9" s="1"/>
  <c r="AC380" i="8"/>
  <c r="F379" i="9" s="1"/>
  <c r="AC381" i="8"/>
  <c r="F380" i="9" s="1"/>
  <c r="AC382" i="8"/>
  <c r="F381" i="9" s="1"/>
  <c r="AC383" i="8"/>
  <c r="F382" i="9" s="1"/>
  <c r="AC384" i="8"/>
  <c r="F383" i="9" s="1"/>
  <c r="AC385" i="8"/>
  <c r="F384" i="9" s="1"/>
  <c r="AC386" i="8"/>
  <c r="F385" i="9" s="1"/>
  <c r="AC387" i="8"/>
  <c r="F386" i="9" s="1"/>
  <c r="AC388" i="8"/>
  <c r="F387" i="9" s="1"/>
  <c r="AC389" i="8"/>
  <c r="F388" i="9" s="1"/>
  <c r="AC390" i="8"/>
  <c r="F389" i="9" s="1"/>
  <c r="AC391" i="8"/>
  <c r="F390" i="9" s="1"/>
  <c r="AC392" i="8"/>
  <c r="F391" i="9" s="1"/>
  <c r="AC393" i="8"/>
  <c r="F392" i="9" s="1"/>
  <c r="AC394" i="8"/>
  <c r="F393" i="9" s="1"/>
  <c r="AC395" i="8"/>
  <c r="F394" i="9" s="1"/>
  <c r="AC396" i="8"/>
  <c r="F395" i="9" s="1"/>
  <c r="AC397" i="8"/>
  <c r="F396" i="9" s="1"/>
  <c r="AC398" i="8"/>
  <c r="F397" i="9" s="1"/>
  <c r="AC399" i="8"/>
  <c r="F398" i="9" s="1"/>
  <c r="AC400" i="8"/>
  <c r="F399" i="9" s="1"/>
  <c r="AC401" i="8"/>
  <c r="F400" i="9" s="1"/>
  <c r="AC402" i="8"/>
  <c r="F401" i="9" s="1"/>
  <c r="AC403" i="8"/>
  <c r="F402" i="9" s="1"/>
  <c r="AC404" i="8"/>
  <c r="F403" i="9" s="1"/>
  <c r="AC405" i="8"/>
  <c r="F404" i="9" s="1"/>
  <c r="AC406" i="8"/>
  <c r="F405" i="9" s="1"/>
  <c r="AC407" i="8"/>
  <c r="F406" i="9" s="1"/>
  <c r="AC408" i="8"/>
  <c r="F407" i="9" s="1"/>
  <c r="AC409" i="8"/>
  <c r="F408" i="9" s="1"/>
  <c r="AC410" i="8"/>
  <c r="F409" i="9" s="1"/>
  <c r="AC411" i="8"/>
  <c r="F410" i="9" s="1"/>
  <c r="AC412" i="8"/>
  <c r="F411" i="9" s="1"/>
  <c r="AC413" i="8"/>
  <c r="F412" i="9" s="1"/>
  <c r="AC414" i="8"/>
  <c r="F413" i="9" s="1"/>
  <c r="AC415" i="8"/>
  <c r="F414" i="9" s="1"/>
  <c r="AC416" i="8"/>
  <c r="F415" i="9" s="1"/>
  <c r="AC417" i="8"/>
  <c r="F416" i="9" s="1"/>
  <c r="AC418" i="8"/>
  <c r="F417" i="9" s="1"/>
  <c r="AC419" i="8"/>
  <c r="F418" i="9" s="1"/>
  <c r="AC420" i="8"/>
  <c r="F419" i="9" s="1"/>
  <c r="AC421" i="8"/>
  <c r="F420" i="9" s="1"/>
  <c r="AC422" i="8"/>
  <c r="F421" i="9" s="1"/>
  <c r="AC423" i="8"/>
  <c r="F422" i="9" s="1"/>
  <c r="AC424" i="8"/>
  <c r="F423" i="9" s="1"/>
  <c r="AC425" i="8"/>
  <c r="F424" i="9" s="1"/>
  <c r="AC426" i="8"/>
  <c r="F425" i="9" s="1"/>
  <c r="AC427" i="8"/>
  <c r="F426" i="9" s="1"/>
  <c r="AC428" i="8"/>
  <c r="F427" i="9" s="1"/>
  <c r="AC429" i="8"/>
  <c r="F428" i="9" s="1"/>
  <c r="AC430" i="8"/>
  <c r="F429" i="9" s="1"/>
  <c r="AC431" i="8"/>
  <c r="F430" i="9" s="1"/>
  <c r="AC432" i="8"/>
  <c r="F431" i="9" s="1"/>
  <c r="AC433" i="8"/>
  <c r="F432" i="9" s="1"/>
  <c r="AC434" i="8"/>
  <c r="F433" i="9" s="1"/>
  <c r="AC435" i="8"/>
  <c r="F434" i="9" s="1"/>
  <c r="AC436" i="8"/>
  <c r="F435" i="9" s="1"/>
  <c r="AC437" i="8"/>
  <c r="F436" i="9" s="1"/>
  <c r="AC438" i="8"/>
  <c r="F437" i="9" s="1"/>
  <c r="AC439" i="8"/>
  <c r="F438" i="9" s="1"/>
  <c r="AC440" i="8"/>
  <c r="F439" i="9" s="1"/>
  <c r="AC441" i="8"/>
  <c r="F440" i="9" s="1"/>
  <c r="AC442" i="8"/>
  <c r="F441" i="9" s="1"/>
  <c r="AC443" i="8"/>
  <c r="F442" i="9" s="1"/>
  <c r="AC444" i="8"/>
  <c r="F443" i="9" s="1"/>
  <c r="AC445" i="8"/>
  <c r="F444" i="9" s="1"/>
  <c r="AC446" i="8"/>
  <c r="F445" i="9" s="1"/>
  <c r="AC447" i="8"/>
  <c r="F446" i="9" s="1"/>
  <c r="AC448" i="8"/>
  <c r="F447" i="9" s="1"/>
  <c r="AC449" i="8"/>
  <c r="F448" i="9" s="1"/>
  <c r="AC450" i="8"/>
  <c r="F449" i="9" s="1"/>
  <c r="AC451" i="8"/>
  <c r="F450" i="9" s="1"/>
  <c r="AC452" i="8"/>
  <c r="F451" i="9" s="1"/>
  <c r="AC453" i="8"/>
  <c r="F452" i="9" s="1"/>
  <c r="AC454" i="8"/>
  <c r="F453" i="9" s="1"/>
  <c r="AC455" i="8"/>
  <c r="F454" i="9" s="1"/>
  <c r="AC456" i="8"/>
  <c r="F455" i="9" s="1"/>
  <c r="AC457" i="8"/>
  <c r="F456" i="9" s="1"/>
  <c r="AC458" i="8"/>
  <c r="F457" i="9" s="1"/>
  <c r="AC459" i="8"/>
  <c r="F458" i="9" s="1"/>
  <c r="AC460" i="8"/>
  <c r="F459" i="9" s="1"/>
  <c r="AC461" i="8"/>
  <c r="F460" i="9" s="1"/>
  <c r="AB252" i="8"/>
  <c r="E251" i="9" s="1"/>
  <c r="AB253" i="8"/>
  <c r="E252" i="9" s="1"/>
  <c r="AB254" i="8"/>
  <c r="E253" i="9" s="1"/>
  <c r="AB255" i="8"/>
  <c r="E254" i="9" s="1"/>
  <c r="AB256" i="8"/>
  <c r="E255" i="9" s="1"/>
  <c r="AB257" i="8"/>
  <c r="E256" i="9" s="1"/>
  <c r="AB258" i="8"/>
  <c r="E257" i="9" s="1"/>
  <c r="AB259" i="8"/>
  <c r="E258" i="9" s="1"/>
  <c r="AB260" i="8"/>
  <c r="E259" i="9" s="1"/>
  <c r="AB261" i="8"/>
  <c r="E260" i="9" s="1"/>
  <c r="AB262" i="8"/>
  <c r="E261" i="9" s="1"/>
  <c r="AB263" i="8"/>
  <c r="E262" i="9" s="1"/>
  <c r="AB264" i="8"/>
  <c r="E263" i="9" s="1"/>
  <c r="AB265" i="8"/>
  <c r="E264" i="9" s="1"/>
  <c r="AB266" i="8"/>
  <c r="E265" i="9" s="1"/>
  <c r="AB267" i="8"/>
  <c r="E266" i="9" s="1"/>
  <c r="AB268" i="8"/>
  <c r="E267" i="9" s="1"/>
  <c r="AB269" i="8"/>
  <c r="E268" i="9" s="1"/>
  <c r="AB270" i="8"/>
  <c r="E269" i="9" s="1"/>
  <c r="AB271" i="8"/>
  <c r="E270" i="9" s="1"/>
  <c r="AB272" i="8"/>
  <c r="E271" i="9" s="1"/>
  <c r="AB273" i="8"/>
  <c r="E272" i="9" s="1"/>
  <c r="AB274" i="8"/>
  <c r="E273" i="9" s="1"/>
  <c r="AB275" i="8"/>
  <c r="E274" i="9" s="1"/>
  <c r="AB276" i="8"/>
  <c r="E275" i="9" s="1"/>
  <c r="AB277" i="8"/>
  <c r="E276" i="9" s="1"/>
  <c r="AB278" i="8"/>
  <c r="E277" i="9" s="1"/>
  <c r="AB279" i="8"/>
  <c r="E278" i="9" s="1"/>
  <c r="AB280" i="8"/>
  <c r="E279" i="9" s="1"/>
  <c r="AB281" i="8"/>
  <c r="E280" i="9" s="1"/>
  <c r="AB282" i="8"/>
  <c r="E281" i="9" s="1"/>
  <c r="AB283" i="8"/>
  <c r="E282" i="9" s="1"/>
  <c r="AB284" i="8"/>
  <c r="E283" i="9" s="1"/>
  <c r="AB285" i="8"/>
  <c r="E284" i="9" s="1"/>
  <c r="AB286" i="8"/>
  <c r="E285" i="9" s="1"/>
  <c r="AB287" i="8"/>
  <c r="E286" i="9" s="1"/>
  <c r="AB288" i="8"/>
  <c r="E287" i="9" s="1"/>
  <c r="AB289" i="8"/>
  <c r="E288" i="9" s="1"/>
  <c r="AB290" i="8"/>
  <c r="E289" i="9" s="1"/>
  <c r="AB291" i="8"/>
  <c r="E290" i="9" s="1"/>
  <c r="AB292" i="8"/>
  <c r="E291" i="9" s="1"/>
  <c r="AB293" i="8"/>
  <c r="E292" i="9" s="1"/>
  <c r="AB294" i="8"/>
  <c r="E293" i="9" s="1"/>
  <c r="AB295" i="8"/>
  <c r="E294" i="9" s="1"/>
  <c r="AB296" i="8"/>
  <c r="E295" i="9" s="1"/>
  <c r="AB297" i="8"/>
  <c r="E296" i="9" s="1"/>
  <c r="AB298" i="8"/>
  <c r="E297" i="9" s="1"/>
  <c r="AB299" i="8"/>
  <c r="E298" i="9" s="1"/>
  <c r="AB300" i="8"/>
  <c r="E299" i="9" s="1"/>
  <c r="AB301" i="8"/>
  <c r="E300" i="9" s="1"/>
  <c r="AB302" i="8"/>
  <c r="E301" i="9" s="1"/>
  <c r="AB303" i="8"/>
  <c r="E302" i="9" s="1"/>
  <c r="AB304" i="8"/>
  <c r="E303" i="9" s="1"/>
  <c r="AB305" i="8"/>
  <c r="E304" i="9" s="1"/>
  <c r="AB306" i="8"/>
  <c r="E305" i="9" s="1"/>
  <c r="AB307" i="8"/>
  <c r="E306" i="9" s="1"/>
  <c r="AB308" i="8"/>
  <c r="E307" i="9" s="1"/>
  <c r="AB309" i="8"/>
  <c r="E308" i="9" s="1"/>
  <c r="AB310" i="8"/>
  <c r="E309" i="9" s="1"/>
  <c r="AB311" i="8"/>
  <c r="E310" i="9" s="1"/>
  <c r="AB312" i="8"/>
  <c r="E311" i="9" s="1"/>
  <c r="AB313" i="8"/>
  <c r="E312" i="9" s="1"/>
  <c r="AB314" i="8"/>
  <c r="E313" i="9" s="1"/>
  <c r="AB315" i="8"/>
  <c r="E314" i="9" s="1"/>
  <c r="AB316" i="8"/>
  <c r="E315" i="9" s="1"/>
  <c r="AB317" i="8"/>
  <c r="E316" i="9" s="1"/>
  <c r="AB318" i="8"/>
  <c r="E317" i="9" s="1"/>
  <c r="AB319" i="8"/>
  <c r="E318" i="9" s="1"/>
  <c r="AB320" i="8"/>
  <c r="E319" i="9" s="1"/>
  <c r="AB321" i="8"/>
  <c r="E320" i="9" s="1"/>
  <c r="AB322" i="8"/>
  <c r="E321" i="9" s="1"/>
  <c r="AB323" i="8"/>
  <c r="E322" i="9" s="1"/>
  <c r="AB324" i="8"/>
  <c r="E323" i="9" s="1"/>
  <c r="AB325" i="8"/>
  <c r="E324" i="9" s="1"/>
  <c r="AB326" i="8"/>
  <c r="E325" i="9" s="1"/>
  <c r="AB327" i="8"/>
  <c r="E326" i="9" s="1"/>
  <c r="AB328" i="8"/>
  <c r="E327" i="9" s="1"/>
  <c r="AB329" i="8"/>
  <c r="E328" i="9" s="1"/>
  <c r="AB330" i="8"/>
  <c r="E329" i="9" s="1"/>
  <c r="AB331" i="8"/>
  <c r="E330" i="9" s="1"/>
  <c r="AB332" i="8"/>
  <c r="E331" i="9" s="1"/>
  <c r="AB333" i="8"/>
  <c r="E332" i="9" s="1"/>
  <c r="AB334" i="8"/>
  <c r="E333" i="9" s="1"/>
  <c r="AB335" i="8"/>
  <c r="E334" i="9" s="1"/>
  <c r="AB336" i="8"/>
  <c r="E335" i="9" s="1"/>
  <c r="AB337" i="8"/>
  <c r="E336" i="9" s="1"/>
  <c r="AB338" i="8"/>
  <c r="E337" i="9" s="1"/>
  <c r="AB339" i="8"/>
  <c r="E338" i="9" s="1"/>
  <c r="AB340" i="8"/>
  <c r="E339" i="9" s="1"/>
  <c r="AB341" i="8"/>
  <c r="E340" i="9" s="1"/>
  <c r="AB342" i="8"/>
  <c r="E341" i="9" s="1"/>
  <c r="AB343" i="8"/>
  <c r="E342" i="9" s="1"/>
  <c r="AB344" i="8"/>
  <c r="E343" i="9" s="1"/>
  <c r="AB345" i="8"/>
  <c r="E344" i="9" s="1"/>
  <c r="AB346" i="8"/>
  <c r="E345" i="9" s="1"/>
  <c r="AB347" i="8"/>
  <c r="E346" i="9" s="1"/>
  <c r="AB348" i="8"/>
  <c r="E347" i="9" s="1"/>
  <c r="AB349" i="8"/>
  <c r="E348" i="9" s="1"/>
  <c r="AB350" i="8"/>
  <c r="E349" i="9" s="1"/>
  <c r="AB351" i="8"/>
  <c r="E350" i="9" s="1"/>
  <c r="AB352" i="8"/>
  <c r="E351" i="9" s="1"/>
  <c r="AB353" i="8"/>
  <c r="E352" i="9" s="1"/>
  <c r="AB354" i="8"/>
  <c r="E353" i="9" s="1"/>
  <c r="AB355" i="8"/>
  <c r="E354" i="9" s="1"/>
  <c r="AB356" i="8"/>
  <c r="E355" i="9" s="1"/>
  <c r="AB357" i="8"/>
  <c r="E356" i="9" s="1"/>
  <c r="AB358" i="8"/>
  <c r="E357" i="9" s="1"/>
  <c r="AB359" i="8"/>
  <c r="E358" i="9" s="1"/>
  <c r="AB360" i="8"/>
  <c r="E359" i="9" s="1"/>
  <c r="AB361" i="8"/>
  <c r="E360" i="9" s="1"/>
  <c r="AB362" i="8"/>
  <c r="E361" i="9" s="1"/>
  <c r="AB363" i="8"/>
  <c r="E362" i="9" s="1"/>
  <c r="AB364" i="8"/>
  <c r="E363" i="9" s="1"/>
  <c r="AB365" i="8"/>
  <c r="E364" i="9" s="1"/>
  <c r="AB366" i="8"/>
  <c r="E365" i="9" s="1"/>
  <c r="AB367" i="8"/>
  <c r="E366" i="9" s="1"/>
  <c r="AB368" i="8"/>
  <c r="E367" i="9" s="1"/>
  <c r="AB369" i="8"/>
  <c r="E368" i="9" s="1"/>
  <c r="AB370" i="8"/>
  <c r="E369" i="9" s="1"/>
  <c r="AB371" i="8"/>
  <c r="E370" i="9" s="1"/>
  <c r="AB372" i="8"/>
  <c r="E371" i="9" s="1"/>
  <c r="AB373" i="8"/>
  <c r="E372" i="9" s="1"/>
  <c r="AB374" i="8"/>
  <c r="E373" i="9" s="1"/>
  <c r="AB375" i="8"/>
  <c r="E374" i="9" s="1"/>
  <c r="AB376" i="8"/>
  <c r="E375" i="9" s="1"/>
  <c r="AB377" i="8"/>
  <c r="E376" i="9" s="1"/>
  <c r="AB378" i="8"/>
  <c r="E377" i="9" s="1"/>
  <c r="AB379" i="8"/>
  <c r="E378" i="9" s="1"/>
  <c r="AB380" i="8"/>
  <c r="E379" i="9" s="1"/>
  <c r="AB381" i="8"/>
  <c r="E380" i="9" s="1"/>
  <c r="AB382" i="8"/>
  <c r="E381" i="9" s="1"/>
  <c r="AB383" i="8"/>
  <c r="E382" i="9" s="1"/>
  <c r="AB384" i="8"/>
  <c r="E383" i="9" s="1"/>
  <c r="AB385" i="8"/>
  <c r="E384" i="9" s="1"/>
  <c r="AB386" i="8"/>
  <c r="E385" i="9" s="1"/>
  <c r="AB387" i="8"/>
  <c r="E386" i="9" s="1"/>
  <c r="AB388" i="8"/>
  <c r="E387" i="9" s="1"/>
  <c r="AB389" i="8"/>
  <c r="E388" i="9" s="1"/>
  <c r="AB390" i="8"/>
  <c r="E389" i="9" s="1"/>
  <c r="AB391" i="8"/>
  <c r="E390" i="9" s="1"/>
  <c r="AB392" i="8"/>
  <c r="E391" i="9" s="1"/>
  <c r="AB393" i="8"/>
  <c r="E392" i="9" s="1"/>
  <c r="AB394" i="8"/>
  <c r="E393" i="9" s="1"/>
  <c r="AB395" i="8"/>
  <c r="E394" i="9" s="1"/>
  <c r="AB396" i="8"/>
  <c r="E395" i="9" s="1"/>
  <c r="AB397" i="8"/>
  <c r="E396" i="9" s="1"/>
  <c r="AB398" i="8"/>
  <c r="E397" i="9" s="1"/>
  <c r="AB399" i="8"/>
  <c r="E398" i="9" s="1"/>
  <c r="AB400" i="8"/>
  <c r="E399" i="9" s="1"/>
  <c r="AB401" i="8"/>
  <c r="E400" i="9" s="1"/>
  <c r="AB402" i="8"/>
  <c r="E401" i="9" s="1"/>
  <c r="AB403" i="8"/>
  <c r="E402" i="9" s="1"/>
  <c r="AB404" i="8"/>
  <c r="E403" i="9" s="1"/>
  <c r="AB405" i="8"/>
  <c r="E404" i="9" s="1"/>
  <c r="AB406" i="8"/>
  <c r="E405" i="9" s="1"/>
  <c r="AB407" i="8"/>
  <c r="E406" i="9" s="1"/>
  <c r="AB408" i="8"/>
  <c r="E407" i="9" s="1"/>
  <c r="AB409" i="8"/>
  <c r="E408" i="9" s="1"/>
  <c r="AB410" i="8"/>
  <c r="E409" i="9" s="1"/>
  <c r="AB411" i="8"/>
  <c r="E410" i="9" s="1"/>
  <c r="AB412" i="8"/>
  <c r="E411" i="9" s="1"/>
  <c r="AB413" i="8"/>
  <c r="E412" i="9" s="1"/>
  <c r="AB414" i="8"/>
  <c r="E413" i="9" s="1"/>
  <c r="AB415" i="8"/>
  <c r="E414" i="9" s="1"/>
  <c r="AB416" i="8"/>
  <c r="E415" i="9" s="1"/>
  <c r="AB417" i="8"/>
  <c r="E416" i="9" s="1"/>
  <c r="AB418" i="8"/>
  <c r="E417" i="9" s="1"/>
  <c r="AB419" i="8"/>
  <c r="E418" i="9" s="1"/>
  <c r="AB420" i="8"/>
  <c r="E419" i="9" s="1"/>
  <c r="AB421" i="8"/>
  <c r="E420" i="9" s="1"/>
  <c r="AB422" i="8"/>
  <c r="E421" i="9" s="1"/>
  <c r="AB423" i="8"/>
  <c r="E422" i="9" s="1"/>
  <c r="AB424" i="8"/>
  <c r="E423" i="9" s="1"/>
  <c r="AB425" i="8"/>
  <c r="E424" i="9" s="1"/>
  <c r="AB426" i="8"/>
  <c r="E425" i="9" s="1"/>
  <c r="AB427" i="8"/>
  <c r="E426" i="9" s="1"/>
  <c r="AB428" i="8"/>
  <c r="E427" i="9" s="1"/>
  <c r="AB429" i="8"/>
  <c r="E428" i="9" s="1"/>
  <c r="AB430" i="8"/>
  <c r="E429" i="9" s="1"/>
  <c r="AB431" i="8"/>
  <c r="E430" i="9" s="1"/>
  <c r="AB432" i="8"/>
  <c r="E431" i="9" s="1"/>
  <c r="AB433" i="8"/>
  <c r="E432" i="9" s="1"/>
  <c r="AB434" i="8"/>
  <c r="E433" i="9" s="1"/>
  <c r="AB435" i="8"/>
  <c r="E434" i="9" s="1"/>
  <c r="AB436" i="8"/>
  <c r="E435" i="9" s="1"/>
  <c r="AB437" i="8"/>
  <c r="E436" i="9" s="1"/>
  <c r="AB438" i="8"/>
  <c r="E437" i="9" s="1"/>
  <c r="AB439" i="8"/>
  <c r="E438" i="9" s="1"/>
  <c r="AB440" i="8"/>
  <c r="E439" i="9" s="1"/>
  <c r="AB441" i="8"/>
  <c r="E440" i="9" s="1"/>
  <c r="AB442" i="8"/>
  <c r="E441" i="9" s="1"/>
  <c r="AB443" i="8"/>
  <c r="E442" i="9" s="1"/>
  <c r="AB444" i="8"/>
  <c r="E443" i="9" s="1"/>
  <c r="AB445" i="8"/>
  <c r="E444" i="9" s="1"/>
  <c r="AB446" i="8"/>
  <c r="E445" i="9" s="1"/>
  <c r="AB447" i="8"/>
  <c r="E446" i="9" s="1"/>
  <c r="AB448" i="8"/>
  <c r="E447" i="9" s="1"/>
  <c r="AB449" i="8"/>
  <c r="E448" i="9" s="1"/>
  <c r="AB450" i="8"/>
  <c r="E449" i="9" s="1"/>
  <c r="AB451" i="8"/>
  <c r="E450" i="9" s="1"/>
  <c r="AB452" i="8"/>
  <c r="E451" i="9" s="1"/>
  <c r="AB453" i="8"/>
  <c r="E452" i="9" s="1"/>
  <c r="AB454" i="8"/>
  <c r="E453" i="9" s="1"/>
  <c r="AB455" i="8"/>
  <c r="E454" i="9" s="1"/>
  <c r="AB456" i="8"/>
  <c r="E455" i="9" s="1"/>
  <c r="AB457" i="8"/>
  <c r="E456" i="9" s="1"/>
  <c r="AB458" i="8"/>
  <c r="E457" i="9" s="1"/>
  <c r="AB459" i="8"/>
  <c r="E458" i="9" s="1"/>
  <c r="AB460" i="8"/>
  <c r="E459" i="9" s="1"/>
  <c r="AB461" i="8"/>
  <c r="E460" i="9" s="1"/>
  <c r="AA252" i="8"/>
  <c r="D251" i="9" s="1"/>
  <c r="AA253" i="8"/>
  <c r="D252" i="9" s="1"/>
  <c r="AA254" i="8"/>
  <c r="D253" i="9" s="1"/>
  <c r="AA255" i="8"/>
  <c r="D254" i="9" s="1"/>
  <c r="AA256" i="8"/>
  <c r="D255" i="9" s="1"/>
  <c r="AA257" i="8"/>
  <c r="D256" i="9" s="1"/>
  <c r="AA258" i="8"/>
  <c r="D257" i="9" s="1"/>
  <c r="AA259" i="8"/>
  <c r="D258" i="9" s="1"/>
  <c r="AA260" i="8"/>
  <c r="D259" i="9" s="1"/>
  <c r="AA261" i="8"/>
  <c r="D260" i="9" s="1"/>
  <c r="AA262" i="8"/>
  <c r="D261" i="9" s="1"/>
  <c r="AA263" i="8"/>
  <c r="D262" i="9" s="1"/>
  <c r="AA264" i="8"/>
  <c r="D263" i="9" s="1"/>
  <c r="AA265" i="8"/>
  <c r="D264" i="9" s="1"/>
  <c r="AA266" i="8"/>
  <c r="D265" i="9" s="1"/>
  <c r="AA267" i="8"/>
  <c r="D266" i="9" s="1"/>
  <c r="AA268" i="8"/>
  <c r="D267" i="9" s="1"/>
  <c r="AA269" i="8"/>
  <c r="D268" i="9" s="1"/>
  <c r="AA270" i="8"/>
  <c r="D269" i="9" s="1"/>
  <c r="AA271" i="8"/>
  <c r="D270" i="9" s="1"/>
  <c r="AA272" i="8"/>
  <c r="D271" i="9" s="1"/>
  <c r="AA273" i="8"/>
  <c r="D272" i="9" s="1"/>
  <c r="AA274" i="8"/>
  <c r="D273" i="9" s="1"/>
  <c r="AA275" i="8"/>
  <c r="D274" i="9" s="1"/>
  <c r="AA276" i="8"/>
  <c r="D275" i="9" s="1"/>
  <c r="AA277" i="8"/>
  <c r="D276" i="9" s="1"/>
  <c r="AA278" i="8"/>
  <c r="D277" i="9" s="1"/>
  <c r="AA279" i="8"/>
  <c r="D278" i="9" s="1"/>
  <c r="AA280" i="8"/>
  <c r="D279" i="9" s="1"/>
  <c r="AA281" i="8"/>
  <c r="D280" i="9" s="1"/>
  <c r="AA282" i="8"/>
  <c r="D281" i="9" s="1"/>
  <c r="AA283" i="8"/>
  <c r="D282" i="9" s="1"/>
  <c r="AA284" i="8"/>
  <c r="D283" i="9" s="1"/>
  <c r="AA285" i="8"/>
  <c r="D284" i="9" s="1"/>
  <c r="AA286" i="8"/>
  <c r="D285" i="9" s="1"/>
  <c r="AA287" i="8"/>
  <c r="D286" i="9" s="1"/>
  <c r="AA288" i="8"/>
  <c r="D287" i="9" s="1"/>
  <c r="AA289" i="8"/>
  <c r="D288" i="9" s="1"/>
  <c r="AA290" i="8"/>
  <c r="D289" i="9" s="1"/>
  <c r="AA291" i="8"/>
  <c r="D290" i="9" s="1"/>
  <c r="AA292" i="8"/>
  <c r="D291" i="9" s="1"/>
  <c r="AA293" i="8"/>
  <c r="D292" i="9" s="1"/>
  <c r="AA294" i="8"/>
  <c r="D293" i="9" s="1"/>
  <c r="AA295" i="8"/>
  <c r="D294" i="9" s="1"/>
  <c r="AA296" i="8"/>
  <c r="D295" i="9" s="1"/>
  <c r="AA297" i="8"/>
  <c r="D296" i="9" s="1"/>
  <c r="AA298" i="8"/>
  <c r="D297" i="9" s="1"/>
  <c r="AA299" i="8"/>
  <c r="D298" i="9" s="1"/>
  <c r="AA300" i="8"/>
  <c r="D299" i="9" s="1"/>
  <c r="AA301" i="8"/>
  <c r="D300" i="9" s="1"/>
  <c r="AA302" i="8"/>
  <c r="D301" i="9" s="1"/>
  <c r="AA303" i="8"/>
  <c r="D302" i="9" s="1"/>
  <c r="AA304" i="8"/>
  <c r="D303" i="9" s="1"/>
  <c r="AA305" i="8"/>
  <c r="D304" i="9" s="1"/>
  <c r="AA306" i="8"/>
  <c r="D305" i="9" s="1"/>
  <c r="AA307" i="8"/>
  <c r="D306" i="9" s="1"/>
  <c r="AA308" i="8"/>
  <c r="D307" i="9" s="1"/>
  <c r="AA309" i="8"/>
  <c r="D308" i="9" s="1"/>
  <c r="AA310" i="8"/>
  <c r="D309" i="9" s="1"/>
  <c r="AA311" i="8"/>
  <c r="D310" i="9" s="1"/>
  <c r="AA312" i="8"/>
  <c r="D311" i="9" s="1"/>
  <c r="AA313" i="8"/>
  <c r="D312" i="9" s="1"/>
  <c r="AA314" i="8"/>
  <c r="D313" i="9" s="1"/>
  <c r="AA315" i="8"/>
  <c r="D314" i="9" s="1"/>
  <c r="AA316" i="8"/>
  <c r="D315" i="9" s="1"/>
  <c r="AA317" i="8"/>
  <c r="D316" i="9" s="1"/>
  <c r="AA318" i="8"/>
  <c r="D317" i="9" s="1"/>
  <c r="AA319" i="8"/>
  <c r="D318" i="9" s="1"/>
  <c r="AA320" i="8"/>
  <c r="D319" i="9" s="1"/>
  <c r="AA321" i="8"/>
  <c r="D320" i="9" s="1"/>
  <c r="AA322" i="8"/>
  <c r="D321" i="9" s="1"/>
  <c r="AA323" i="8"/>
  <c r="D322" i="9" s="1"/>
  <c r="AA324" i="8"/>
  <c r="D323" i="9" s="1"/>
  <c r="AA325" i="8"/>
  <c r="D324" i="9" s="1"/>
  <c r="AA326" i="8"/>
  <c r="D325" i="9" s="1"/>
  <c r="AA327" i="8"/>
  <c r="D326" i="9" s="1"/>
  <c r="AA328" i="8"/>
  <c r="D327" i="9" s="1"/>
  <c r="AA329" i="8"/>
  <c r="D328" i="9" s="1"/>
  <c r="AA330" i="8"/>
  <c r="D329" i="9" s="1"/>
  <c r="AA331" i="8"/>
  <c r="D330" i="9" s="1"/>
  <c r="AA332" i="8"/>
  <c r="D331" i="9" s="1"/>
  <c r="AA333" i="8"/>
  <c r="D332" i="9" s="1"/>
  <c r="AA334" i="8"/>
  <c r="D333" i="9" s="1"/>
  <c r="AA335" i="8"/>
  <c r="D334" i="9" s="1"/>
  <c r="AA336" i="8"/>
  <c r="D335" i="9" s="1"/>
  <c r="AA337" i="8"/>
  <c r="D336" i="9" s="1"/>
  <c r="AA338" i="8"/>
  <c r="D337" i="9" s="1"/>
  <c r="AA339" i="8"/>
  <c r="D338" i="9" s="1"/>
  <c r="AA340" i="8"/>
  <c r="D339" i="9" s="1"/>
  <c r="AA341" i="8"/>
  <c r="D340" i="9" s="1"/>
  <c r="AA342" i="8"/>
  <c r="D341" i="9" s="1"/>
  <c r="AA343" i="8"/>
  <c r="D342" i="9" s="1"/>
  <c r="AA344" i="8"/>
  <c r="D343" i="9" s="1"/>
  <c r="AA345" i="8"/>
  <c r="D344" i="9" s="1"/>
  <c r="AA346" i="8"/>
  <c r="D345" i="9" s="1"/>
  <c r="AA347" i="8"/>
  <c r="D346" i="9" s="1"/>
  <c r="AA348" i="8"/>
  <c r="D347" i="9" s="1"/>
  <c r="AA349" i="8"/>
  <c r="D348" i="9" s="1"/>
  <c r="AA350" i="8"/>
  <c r="D349" i="9" s="1"/>
  <c r="AA351" i="8"/>
  <c r="D350" i="9" s="1"/>
  <c r="AA352" i="8"/>
  <c r="D351" i="9" s="1"/>
  <c r="AA353" i="8"/>
  <c r="D352" i="9" s="1"/>
  <c r="AA354" i="8"/>
  <c r="D353" i="9" s="1"/>
  <c r="AA355" i="8"/>
  <c r="D354" i="9" s="1"/>
  <c r="AA356" i="8"/>
  <c r="D355" i="9" s="1"/>
  <c r="AA357" i="8"/>
  <c r="D356" i="9" s="1"/>
  <c r="AA358" i="8"/>
  <c r="D357" i="9" s="1"/>
  <c r="AA359" i="8"/>
  <c r="D358" i="9" s="1"/>
  <c r="AA360" i="8"/>
  <c r="D359" i="9" s="1"/>
  <c r="AA361" i="8"/>
  <c r="D360" i="9" s="1"/>
  <c r="AA362" i="8"/>
  <c r="D361" i="9" s="1"/>
  <c r="AA363" i="8"/>
  <c r="D362" i="9" s="1"/>
  <c r="AA364" i="8"/>
  <c r="D363" i="9" s="1"/>
  <c r="AA365" i="8"/>
  <c r="D364" i="9" s="1"/>
  <c r="AA366" i="8"/>
  <c r="D365" i="9" s="1"/>
  <c r="AA367" i="8"/>
  <c r="D366" i="9" s="1"/>
  <c r="AA368" i="8"/>
  <c r="D367" i="9" s="1"/>
  <c r="AA369" i="8"/>
  <c r="D368" i="9" s="1"/>
  <c r="AA370" i="8"/>
  <c r="D369" i="9" s="1"/>
  <c r="AA371" i="8"/>
  <c r="D370" i="9" s="1"/>
  <c r="AA372" i="8"/>
  <c r="D371" i="9" s="1"/>
  <c r="AA373" i="8"/>
  <c r="D372" i="9" s="1"/>
  <c r="AA374" i="8"/>
  <c r="D373" i="9" s="1"/>
  <c r="AA375" i="8"/>
  <c r="D374" i="9" s="1"/>
  <c r="AA376" i="8"/>
  <c r="D375" i="9" s="1"/>
  <c r="AA377" i="8"/>
  <c r="D376" i="9" s="1"/>
  <c r="AA378" i="8"/>
  <c r="D377" i="9" s="1"/>
  <c r="AA379" i="8"/>
  <c r="D378" i="9" s="1"/>
  <c r="AA380" i="8"/>
  <c r="D379" i="9" s="1"/>
  <c r="AA381" i="8"/>
  <c r="D380" i="9" s="1"/>
  <c r="AA382" i="8"/>
  <c r="D381" i="9" s="1"/>
  <c r="AA383" i="8"/>
  <c r="D382" i="9" s="1"/>
  <c r="AA384" i="8"/>
  <c r="D383" i="9" s="1"/>
  <c r="AA385" i="8"/>
  <c r="D384" i="9" s="1"/>
  <c r="AA386" i="8"/>
  <c r="D385" i="9" s="1"/>
  <c r="AA387" i="8"/>
  <c r="D386" i="9" s="1"/>
  <c r="AA388" i="8"/>
  <c r="D387" i="9" s="1"/>
  <c r="AA389" i="8"/>
  <c r="D388" i="9" s="1"/>
  <c r="AA390" i="8"/>
  <c r="D389" i="9" s="1"/>
  <c r="AA391" i="8"/>
  <c r="D390" i="9" s="1"/>
  <c r="AA392" i="8"/>
  <c r="D391" i="9" s="1"/>
  <c r="AA393" i="8"/>
  <c r="D392" i="9" s="1"/>
  <c r="AA394" i="8"/>
  <c r="D393" i="9" s="1"/>
  <c r="AA395" i="8"/>
  <c r="D394" i="9" s="1"/>
  <c r="AA396" i="8"/>
  <c r="D395" i="9" s="1"/>
  <c r="AA397" i="8"/>
  <c r="D396" i="9" s="1"/>
  <c r="AA398" i="8"/>
  <c r="D397" i="9" s="1"/>
  <c r="AA399" i="8"/>
  <c r="D398" i="9" s="1"/>
  <c r="AA400" i="8"/>
  <c r="D399" i="9" s="1"/>
  <c r="AA401" i="8"/>
  <c r="D400" i="9" s="1"/>
  <c r="AA402" i="8"/>
  <c r="D401" i="9" s="1"/>
  <c r="AA403" i="8"/>
  <c r="D402" i="9" s="1"/>
  <c r="AA404" i="8"/>
  <c r="D403" i="9" s="1"/>
  <c r="AA405" i="8"/>
  <c r="D404" i="9" s="1"/>
  <c r="AA406" i="8"/>
  <c r="D405" i="9" s="1"/>
  <c r="AA407" i="8"/>
  <c r="D406" i="9" s="1"/>
  <c r="AA408" i="8"/>
  <c r="D407" i="9" s="1"/>
  <c r="AA409" i="8"/>
  <c r="D408" i="9" s="1"/>
  <c r="AA410" i="8"/>
  <c r="D409" i="9" s="1"/>
  <c r="AA411" i="8"/>
  <c r="D410" i="9" s="1"/>
  <c r="AA412" i="8"/>
  <c r="D411" i="9" s="1"/>
  <c r="AA413" i="8"/>
  <c r="D412" i="9" s="1"/>
  <c r="AA414" i="8"/>
  <c r="D413" i="9" s="1"/>
  <c r="AA415" i="8"/>
  <c r="D414" i="9" s="1"/>
  <c r="AA416" i="8"/>
  <c r="D415" i="9" s="1"/>
  <c r="AA417" i="8"/>
  <c r="D416" i="9" s="1"/>
  <c r="AA418" i="8"/>
  <c r="D417" i="9" s="1"/>
  <c r="AA419" i="8"/>
  <c r="D418" i="9" s="1"/>
  <c r="AA420" i="8"/>
  <c r="D419" i="9" s="1"/>
  <c r="AA421" i="8"/>
  <c r="D420" i="9" s="1"/>
  <c r="AA422" i="8"/>
  <c r="D421" i="9" s="1"/>
  <c r="AA423" i="8"/>
  <c r="D422" i="9" s="1"/>
  <c r="AA424" i="8"/>
  <c r="D423" i="9" s="1"/>
  <c r="AA425" i="8"/>
  <c r="D424" i="9" s="1"/>
  <c r="AA426" i="8"/>
  <c r="D425" i="9" s="1"/>
  <c r="AA427" i="8"/>
  <c r="D426" i="9" s="1"/>
  <c r="AA428" i="8"/>
  <c r="D427" i="9" s="1"/>
  <c r="AA429" i="8"/>
  <c r="D428" i="9" s="1"/>
  <c r="AA430" i="8"/>
  <c r="D429" i="9" s="1"/>
  <c r="AA431" i="8"/>
  <c r="D430" i="9" s="1"/>
  <c r="AA432" i="8"/>
  <c r="D431" i="9" s="1"/>
  <c r="AA433" i="8"/>
  <c r="D432" i="9" s="1"/>
  <c r="AA434" i="8"/>
  <c r="D433" i="9" s="1"/>
  <c r="AA435" i="8"/>
  <c r="D434" i="9" s="1"/>
  <c r="AA436" i="8"/>
  <c r="D435" i="9" s="1"/>
  <c r="AA437" i="8"/>
  <c r="D436" i="9" s="1"/>
  <c r="AA438" i="8"/>
  <c r="D437" i="9" s="1"/>
  <c r="AA439" i="8"/>
  <c r="D438" i="9" s="1"/>
  <c r="AA440" i="8"/>
  <c r="D439" i="9" s="1"/>
  <c r="AA441" i="8"/>
  <c r="D440" i="9" s="1"/>
  <c r="AA442" i="8"/>
  <c r="D441" i="9" s="1"/>
  <c r="AA443" i="8"/>
  <c r="D442" i="9" s="1"/>
  <c r="AA444" i="8"/>
  <c r="D443" i="9" s="1"/>
  <c r="AA445" i="8"/>
  <c r="D444" i="9" s="1"/>
  <c r="AA446" i="8"/>
  <c r="D445" i="9" s="1"/>
  <c r="AA447" i="8"/>
  <c r="D446" i="9" s="1"/>
  <c r="AA448" i="8"/>
  <c r="D447" i="9" s="1"/>
  <c r="AA449" i="8"/>
  <c r="D448" i="9" s="1"/>
  <c r="AA450" i="8"/>
  <c r="D449" i="9" s="1"/>
  <c r="AA451" i="8"/>
  <c r="D450" i="9" s="1"/>
  <c r="AA452" i="8"/>
  <c r="D451" i="9" s="1"/>
  <c r="AA453" i="8"/>
  <c r="D452" i="9" s="1"/>
  <c r="AA454" i="8"/>
  <c r="D453" i="9" s="1"/>
  <c r="AA455" i="8"/>
  <c r="D454" i="9" s="1"/>
  <c r="AA456" i="8"/>
  <c r="D455" i="9" s="1"/>
  <c r="AA457" i="8"/>
  <c r="D456" i="9" s="1"/>
  <c r="AA458" i="8"/>
  <c r="D457" i="9" s="1"/>
  <c r="AA459" i="8"/>
  <c r="D458" i="9" s="1"/>
  <c r="AA460" i="8"/>
  <c r="D459" i="9" s="1"/>
  <c r="AA461" i="8"/>
  <c r="D460" i="9" s="1"/>
  <c r="Z252" i="8"/>
  <c r="C251" i="9" s="1"/>
  <c r="Z253" i="8"/>
  <c r="C252" i="9" s="1"/>
  <c r="Z254" i="8"/>
  <c r="C253" i="9" s="1"/>
  <c r="Z255" i="8"/>
  <c r="C254" i="9" s="1"/>
  <c r="Z256" i="8"/>
  <c r="C255" i="9" s="1"/>
  <c r="Z257" i="8"/>
  <c r="C256" i="9" s="1"/>
  <c r="Z258" i="8"/>
  <c r="C257" i="9" s="1"/>
  <c r="Z259" i="8"/>
  <c r="C258" i="9" s="1"/>
  <c r="Z260" i="8"/>
  <c r="C259" i="9" s="1"/>
  <c r="Z261" i="8"/>
  <c r="C260" i="9" s="1"/>
  <c r="Z262" i="8"/>
  <c r="C261" i="9" s="1"/>
  <c r="Z263" i="8"/>
  <c r="C262" i="9" s="1"/>
  <c r="Z264" i="8"/>
  <c r="C263" i="9" s="1"/>
  <c r="Z265" i="8"/>
  <c r="C264" i="9" s="1"/>
  <c r="Z266" i="8"/>
  <c r="C265" i="9" s="1"/>
  <c r="Z267" i="8"/>
  <c r="C266" i="9" s="1"/>
  <c r="Z268" i="8"/>
  <c r="C267" i="9" s="1"/>
  <c r="Z269" i="8"/>
  <c r="C268" i="9" s="1"/>
  <c r="Z270" i="8"/>
  <c r="C269" i="9" s="1"/>
  <c r="Z271" i="8"/>
  <c r="C270" i="9" s="1"/>
  <c r="Z272" i="8"/>
  <c r="C271" i="9" s="1"/>
  <c r="Z273" i="8"/>
  <c r="C272" i="9" s="1"/>
  <c r="Z274" i="8"/>
  <c r="C273" i="9" s="1"/>
  <c r="Z275" i="8"/>
  <c r="C274" i="9" s="1"/>
  <c r="Z276" i="8"/>
  <c r="C275" i="9" s="1"/>
  <c r="Z277" i="8"/>
  <c r="C276" i="9" s="1"/>
  <c r="Z278" i="8"/>
  <c r="C277" i="9" s="1"/>
  <c r="Z279" i="8"/>
  <c r="C278" i="9" s="1"/>
  <c r="Z280" i="8"/>
  <c r="C279" i="9" s="1"/>
  <c r="Z281" i="8"/>
  <c r="C280" i="9" s="1"/>
  <c r="Z282" i="8"/>
  <c r="C281" i="9" s="1"/>
  <c r="Z283" i="8"/>
  <c r="C282" i="9" s="1"/>
  <c r="Z284" i="8"/>
  <c r="C283" i="9" s="1"/>
  <c r="Z285" i="8"/>
  <c r="C284" i="9" s="1"/>
  <c r="Z286" i="8"/>
  <c r="C285" i="9" s="1"/>
  <c r="Z287" i="8"/>
  <c r="C286" i="9" s="1"/>
  <c r="Z288" i="8"/>
  <c r="C287" i="9" s="1"/>
  <c r="Z289" i="8"/>
  <c r="C288" i="9" s="1"/>
  <c r="Z290" i="8"/>
  <c r="C289" i="9" s="1"/>
  <c r="Z291" i="8"/>
  <c r="C290" i="9" s="1"/>
  <c r="Z292" i="8"/>
  <c r="C291" i="9" s="1"/>
  <c r="Z293" i="8"/>
  <c r="C292" i="9" s="1"/>
  <c r="Z294" i="8"/>
  <c r="C293" i="9" s="1"/>
  <c r="Z295" i="8"/>
  <c r="C294" i="9" s="1"/>
  <c r="Z296" i="8"/>
  <c r="C295" i="9" s="1"/>
  <c r="Z297" i="8"/>
  <c r="C296" i="9" s="1"/>
  <c r="Z298" i="8"/>
  <c r="C297" i="9" s="1"/>
  <c r="Z299" i="8"/>
  <c r="C298" i="9" s="1"/>
  <c r="Z300" i="8"/>
  <c r="C299" i="9" s="1"/>
  <c r="Z301" i="8"/>
  <c r="C300" i="9" s="1"/>
  <c r="Z302" i="8"/>
  <c r="C301" i="9" s="1"/>
  <c r="Z303" i="8"/>
  <c r="C302" i="9" s="1"/>
  <c r="Z304" i="8"/>
  <c r="C303" i="9" s="1"/>
  <c r="Z305" i="8"/>
  <c r="C304" i="9" s="1"/>
  <c r="Z306" i="8"/>
  <c r="C305" i="9" s="1"/>
  <c r="Z307" i="8"/>
  <c r="C306" i="9" s="1"/>
  <c r="Z308" i="8"/>
  <c r="C307" i="9" s="1"/>
  <c r="Z309" i="8"/>
  <c r="C308" i="9" s="1"/>
  <c r="Z310" i="8"/>
  <c r="C309" i="9" s="1"/>
  <c r="Z311" i="8"/>
  <c r="C310" i="9" s="1"/>
  <c r="Z312" i="8"/>
  <c r="C311" i="9" s="1"/>
  <c r="Z313" i="8"/>
  <c r="C312" i="9" s="1"/>
  <c r="Z314" i="8"/>
  <c r="C313" i="9" s="1"/>
  <c r="Z315" i="8"/>
  <c r="C314" i="9" s="1"/>
  <c r="Z316" i="8"/>
  <c r="C315" i="9" s="1"/>
  <c r="Z317" i="8"/>
  <c r="C316" i="9" s="1"/>
  <c r="Z318" i="8"/>
  <c r="C317" i="9" s="1"/>
  <c r="Z319" i="8"/>
  <c r="C318" i="9" s="1"/>
  <c r="Z320" i="8"/>
  <c r="C319" i="9" s="1"/>
  <c r="Z321" i="8"/>
  <c r="C320" i="9" s="1"/>
  <c r="Z322" i="8"/>
  <c r="C321" i="9" s="1"/>
  <c r="Z323" i="8"/>
  <c r="C322" i="9" s="1"/>
  <c r="Z324" i="8"/>
  <c r="C323" i="9" s="1"/>
  <c r="Z325" i="8"/>
  <c r="C324" i="9" s="1"/>
  <c r="Z326" i="8"/>
  <c r="C325" i="9" s="1"/>
  <c r="Z327" i="8"/>
  <c r="C326" i="9" s="1"/>
  <c r="Z328" i="8"/>
  <c r="C327" i="9" s="1"/>
  <c r="Z329" i="8"/>
  <c r="C328" i="9" s="1"/>
  <c r="Z330" i="8"/>
  <c r="C329" i="9" s="1"/>
  <c r="Z331" i="8"/>
  <c r="C330" i="9" s="1"/>
  <c r="Z332" i="8"/>
  <c r="C331" i="9" s="1"/>
  <c r="Z333" i="8"/>
  <c r="C332" i="9" s="1"/>
  <c r="Z334" i="8"/>
  <c r="C333" i="9" s="1"/>
  <c r="Z335" i="8"/>
  <c r="C334" i="9" s="1"/>
  <c r="Z336" i="8"/>
  <c r="C335" i="9" s="1"/>
  <c r="Z337" i="8"/>
  <c r="C336" i="9" s="1"/>
  <c r="Z338" i="8"/>
  <c r="C337" i="9" s="1"/>
  <c r="Z339" i="8"/>
  <c r="C338" i="9" s="1"/>
  <c r="Z340" i="8"/>
  <c r="C339" i="9" s="1"/>
  <c r="Z341" i="8"/>
  <c r="C340" i="9" s="1"/>
  <c r="Z342" i="8"/>
  <c r="C341" i="9" s="1"/>
  <c r="Z343" i="8"/>
  <c r="C342" i="9" s="1"/>
  <c r="Z344" i="8"/>
  <c r="C343" i="9" s="1"/>
  <c r="Z345" i="8"/>
  <c r="C344" i="9" s="1"/>
  <c r="Z346" i="8"/>
  <c r="C345" i="9" s="1"/>
  <c r="Z347" i="8"/>
  <c r="C346" i="9" s="1"/>
  <c r="Z348" i="8"/>
  <c r="C347" i="9" s="1"/>
  <c r="Z349" i="8"/>
  <c r="C348" i="9" s="1"/>
  <c r="Z350" i="8"/>
  <c r="C349" i="9" s="1"/>
  <c r="Z351" i="8"/>
  <c r="C350" i="9" s="1"/>
  <c r="Z352" i="8"/>
  <c r="C351" i="9" s="1"/>
  <c r="Z353" i="8"/>
  <c r="C352" i="9" s="1"/>
  <c r="Z354" i="8"/>
  <c r="C353" i="9" s="1"/>
  <c r="Z355" i="8"/>
  <c r="C354" i="9" s="1"/>
  <c r="Z356" i="8"/>
  <c r="C355" i="9" s="1"/>
  <c r="Z357" i="8"/>
  <c r="C356" i="9" s="1"/>
  <c r="Z358" i="8"/>
  <c r="C357" i="9" s="1"/>
  <c r="Z359" i="8"/>
  <c r="C358" i="9" s="1"/>
  <c r="Z360" i="8"/>
  <c r="C359" i="9" s="1"/>
  <c r="Z361" i="8"/>
  <c r="C360" i="9" s="1"/>
  <c r="Z362" i="8"/>
  <c r="C361" i="9" s="1"/>
  <c r="Z363" i="8"/>
  <c r="C362" i="9" s="1"/>
  <c r="Z364" i="8"/>
  <c r="C363" i="9" s="1"/>
  <c r="Z365" i="8"/>
  <c r="C364" i="9" s="1"/>
  <c r="Z366" i="8"/>
  <c r="C365" i="9" s="1"/>
  <c r="Z367" i="8"/>
  <c r="C366" i="9" s="1"/>
  <c r="Z368" i="8"/>
  <c r="C367" i="9" s="1"/>
  <c r="Z369" i="8"/>
  <c r="C368" i="9" s="1"/>
  <c r="Z370" i="8"/>
  <c r="C369" i="9" s="1"/>
  <c r="Z371" i="8"/>
  <c r="C370" i="9" s="1"/>
  <c r="Z372" i="8"/>
  <c r="C371" i="9" s="1"/>
  <c r="Z373" i="8"/>
  <c r="C372" i="9" s="1"/>
  <c r="Z374" i="8"/>
  <c r="C373" i="9" s="1"/>
  <c r="Z375" i="8"/>
  <c r="C374" i="9" s="1"/>
  <c r="Z376" i="8"/>
  <c r="C375" i="9" s="1"/>
  <c r="Z377" i="8"/>
  <c r="C376" i="9" s="1"/>
  <c r="Z378" i="8"/>
  <c r="C377" i="9" s="1"/>
  <c r="Z379" i="8"/>
  <c r="C378" i="9" s="1"/>
  <c r="Z380" i="8"/>
  <c r="C379" i="9" s="1"/>
  <c r="Z381" i="8"/>
  <c r="C380" i="9" s="1"/>
  <c r="Z382" i="8"/>
  <c r="C381" i="9" s="1"/>
  <c r="Z383" i="8"/>
  <c r="C382" i="9" s="1"/>
  <c r="Z384" i="8"/>
  <c r="C383" i="9" s="1"/>
  <c r="Z385" i="8"/>
  <c r="C384" i="9" s="1"/>
  <c r="Z386" i="8"/>
  <c r="C385" i="9" s="1"/>
  <c r="Z387" i="8"/>
  <c r="C386" i="9" s="1"/>
  <c r="Z388" i="8"/>
  <c r="C387" i="9" s="1"/>
  <c r="Z389" i="8"/>
  <c r="C388" i="9" s="1"/>
  <c r="Z390" i="8"/>
  <c r="C389" i="9" s="1"/>
  <c r="Z391" i="8"/>
  <c r="C390" i="9" s="1"/>
  <c r="Z392" i="8"/>
  <c r="C391" i="9" s="1"/>
  <c r="Z393" i="8"/>
  <c r="C392" i="9" s="1"/>
  <c r="Z394" i="8"/>
  <c r="C393" i="9" s="1"/>
  <c r="Z395" i="8"/>
  <c r="C394" i="9" s="1"/>
  <c r="Z396" i="8"/>
  <c r="C395" i="9" s="1"/>
  <c r="Z397" i="8"/>
  <c r="C396" i="9" s="1"/>
  <c r="Z398" i="8"/>
  <c r="C397" i="9" s="1"/>
  <c r="Z399" i="8"/>
  <c r="C398" i="9" s="1"/>
  <c r="Z400" i="8"/>
  <c r="C399" i="9" s="1"/>
  <c r="Z401" i="8"/>
  <c r="C400" i="9" s="1"/>
  <c r="Z402" i="8"/>
  <c r="C401" i="9" s="1"/>
  <c r="Z403" i="8"/>
  <c r="C402" i="9" s="1"/>
  <c r="Z404" i="8"/>
  <c r="C403" i="9" s="1"/>
  <c r="Z405" i="8"/>
  <c r="C404" i="9" s="1"/>
  <c r="Z406" i="8"/>
  <c r="C405" i="9" s="1"/>
  <c r="Z407" i="8"/>
  <c r="C406" i="9" s="1"/>
  <c r="Z408" i="8"/>
  <c r="C407" i="9" s="1"/>
  <c r="Z409" i="8"/>
  <c r="C408" i="9" s="1"/>
  <c r="Z410" i="8"/>
  <c r="C409" i="9" s="1"/>
  <c r="Z411" i="8"/>
  <c r="C410" i="9" s="1"/>
  <c r="Z412" i="8"/>
  <c r="C411" i="9" s="1"/>
  <c r="Z413" i="8"/>
  <c r="C412" i="9" s="1"/>
  <c r="Z414" i="8"/>
  <c r="C413" i="9" s="1"/>
  <c r="Z415" i="8"/>
  <c r="C414" i="9" s="1"/>
  <c r="Z416" i="8"/>
  <c r="C415" i="9" s="1"/>
  <c r="Z417" i="8"/>
  <c r="C416" i="9" s="1"/>
  <c r="Z418" i="8"/>
  <c r="C417" i="9" s="1"/>
  <c r="Z419" i="8"/>
  <c r="C418" i="9" s="1"/>
  <c r="Z420" i="8"/>
  <c r="C419" i="9" s="1"/>
  <c r="Z421" i="8"/>
  <c r="C420" i="9" s="1"/>
  <c r="Z422" i="8"/>
  <c r="C421" i="9" s="1"/>
  <c r="Z423" i="8"/>
  <c r="C422" i="9" s="1"/>
  <c r="Z424" i="8"/>
  <c r="C423" i="9" s="1"/>
  <c r="Z425" i="8"/>
  <c r="C424" i="9" s="1"/>
  <c r="Z426" i="8"/>
  <c r="C425" i="9" s="1"/>
  <c r="Z427" i="8"/>
  <c r="C426" i="9" s="1"/>
  <c r="Z428" i="8"/>
  <c r="C427" i="9" s="1"/>
  <c r="Z429" i="8"/>
  <c r="C428" i="9" s="1"/>
  <c r="Z430" i="8"/>
  <c r="C429" i="9" s="1"/>
  <c r="Z431" i="8"/>
  <c r="C430" i="9" s="1"/>
  <c r="Z432" i="8"/>
  <c r="C431" i="9" s="1"/>
  <c r="Z433" i="8"/>
  <c r="C432" i="9" s="1"/>
  <c r="Z434" i="8"/>
  <c r="C433" i="9" s="1"/>
  <c r="Z435" i="8"/>
  <c r="C434" i="9" s="1"/>
  <c r="Z436" i="8"/>
  <c r="C435" i="9" s="1"/>
  <c r="Z437" i="8"/>
  <c r="C436" i="9" s="1"/>
  <c r="Z438" i="8"/>
  <c r="C437" i="9" s="1"/>
  <c r="Z439" i="8"/>
  <c r="C438" i="9" s="1"/>
  <c r="Z440" i="8"/>
  <c r="C439" i="9" s="1"/>
  <c r="Z441" i="8"/>
  <c r="C440" i="9" s="1"/>
  <c r="Z442" i="8"/>
  <c r="C441" i="9" s="1"/>
  <c r="Z443" i="8"/>
  <c r="C442" i="9" s="1"/>
  <c r="Z444" i="8"/>
  <c r="C443" i="9" s="1"/>
  <c r="Z445" i="8"/>
  <c r="C444" i="9" s="1"/>
  <c r="Z446" i="8"/>
  <c r="C445" i="9" s="1"/>
  <c r="Z447" i="8"/>
  <c r="C446" i="9" s="1"/>
  <c r="Z448" i="8"/>
  <c r="C447" i="9" s="1"/>
  <c r="Z449" i="8"/>
  <c r="C448" i="9" s="1"/>
  <c r="Z450" i="8"/>
  <c r="C449" i="9" s="1"/>
  <c r="Z451" i="8"/>
  <c r="C450" i="9" s="1"/>
  <c r="Z452" i="8"/>
  <c r="C451" i="9" s="1"/>
  <c r="Z453" i="8"/>
  <c r="C452" i="9" s="1"/>
  <c r="Z454" i="8"/>
  <c r="C453" i="9" s="1"/>
  <c r="Z455" i="8"/>
  <c r="C454" i="9" s="1"/>
  <c r="Z456" i="8"/>
  <c r="C455" i="9" s="1"/>
  <c r="Z457" i="8"/>
  <c r="C456" i="9" s="1"/>
  <c r="Z458" i="8"/>
  <c r="C457" i="9" s="1"/>
  <c r="Z459" i="8"/>
  <c r="C458" i="9" s="1"/>
  <c r="Z460" i="8"/>
  <c r="C459" i="9" s="1"/>
  <c r="Z461" i="8"/>
  <c r="C460" i="9" s="1"/>
  <c r="X252" i="8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A446" i="7"/>
  <c r="A447"/>
  <c r="A448"/>
  <c r="A449"/>
  <c r="A450"/>
  <c r="A451"/>
  <c r="A452"/>
  <c r="A453"/>
  <c r="A454"/>
  <c r="A455"/>
  <c r="A456"/>
  <c r="A457"/>
  <c r="A458"/>
  <c r="A459"/>
  <c r="A460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252" i="6" l="1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252" i="5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X252" i="4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U252"/>
  <c r="U253"/>
  <c r="U254"/>
  <c r="U255"/>
  <c r="U256"/>
  <c r="U257"/>
  <c r="U258"/>
  <c r="U259"/>
  <c r="U260"/>
  <c r="U261"/>
  <c r="U262"/>
  <c r="U263"/>
  <c r="U264"/>
  <c r="U265"/>
  <c r="U266"/>
  <c r="U267"/>
  <c r="U268"/>
  <c r="U269"/>
  <c r="U270"/>
  <c r="U271"/>
  <c r="U272"/>
  <c r="U273"/>
  <c r="U274"/>
  <c r="U275"/>
  <c r="U276"/>
  <c r="U277"/>
  <c r="U278"/>
  <c r="U279"/>
  <c r="U280"/>
  <c r="U281"/>
  <c r="U282"/>
  <c r="U283"/>
  <c r="U284"/>
  <c r="U285"/>
  <c r="U286"/>
  <c r="U287"/>
  <c r="U288"/>
  <c r="U289"/>
  <c r="U290"/>
  <c r="U291"/>
  <c r="U292"/>
  <c r="U293"/>
  <c r="U294"/>
  <c r="U295"/>
  <c r="U296"/>
  <c r="U297"/>
  <c r="U298"/>
  <c r="U299"/>
  <c r="U300"/>
  <c r="U301"/>
  <c r="U302"/>
  <c r="U303"/>
  <c r="U304"/>
  <c r="U305"/>
  <c r="U306"/>
  <c r="U307"/>
  <c r="U308"/>
  <c r="U309"/>
  <c r="U310"/>
  <c r="U311"/>
  <c r="U312"/>
  <c r="U313"/>
  <c r="U314"/>
  <c r="U315"/>
  <c r="U316"/>
  <c r="U317"/>
  <c r="U318"/>
  <c r="U319"/>
  <c r="U320"/>
  <c r="U321"/>
  <c r="U322"/>
  <c r="U323"/>
  <c r="U324"/>
  <c r="U325"/>
  <c r="U326"/>
  <c r="U327"/>
  <c r="U328"/>
  <c r="U329"/>
  <c r="U330"/>
  <c r="U331"/>
  <c r="U332"/>
  <c r="U333"/>
  <c r="U334"/>
  <c r="U335"/>
  <c r="U336"/>
  <c r="U337"/>
  <c r="U338"/>
  <c r="U339"/>
  <c r="U340"/>
  <c r="U341"/>
  <c r="U342"/>
  <c r="U343"/>
  <c r="U344"/>
  <c r="U345"/>
  <c r="U346"/>
  <c r="U347"/>
  <c r="U348"/>
  <c r="U349"/>
  <c r="U350"/>
  <c r="U351"/>
  <c r="U352"/>
  <c r="U353"/>
  <c r="U354"/>
  <c r="U355"/>
  <c r="U356"/>
  <c r="U357"/>
  <c r="U358"/>
  <c r="U359"/>
  <c r="U360"/>
  <c r="U361"/>
  <c r="U362"/>
  <c r="U363"/>
  <c r="U364"/>
  <c r="U365"/>
  <c r="U366"/>
  <c r="U367"/>
  <c r="U368"/>
  <c r="U369"/>
  <c r="U370"/>
  <c r="U371"/>
  <c r="U372"/>
  <c r="U373"/>
  <c r="U374"/>
  <c r="U375"/>
  <c r="U376"/>
  <c r="U377"/>
  <c r="U378"/>
  <c r="U379"/>
  <c r="U380"/>
  <c r="U381"/>
  <c r="U382"/>
  <c r="U383"/>
  <c r="U384"/>
  <c r="U385"/>
  <c r="U386"/>
  <c r="U387"/>
  <c r="U388"/>
  <c r="U389"/>
  <c r="U390"/>
  <c r="U391"/>
  <c r="U392"/>
  <c r="U393"/>
  <c r="U394"/>
  <c r="U395"/>
  <c r="U396"/>
  <c r="U397"/>
  <c r="U398"/>
  <c r="U399"/>
  <c r="U400"/>
  <c r="U401"/>
  <c r="U402"/>
  <c r="U403"/>
  <c r="U404"/>
  <c r="U405"/>
  <c r="U406"/>
  <c r="U407"/>
  <c r="U408"/>
  <c r="U409"/>
  <c r="U410"/>
  <c r="U411"/>
  <c r="U412"/>
  <c r="U413"/>
  <c r="U414"/>
  <c r="U415"/>
  <c r="U416"/>
  <c r="U417"/>
  <c r="U418"/>
  <c r="U419"/>
  <c r="U420"/>
  <c r="U421"/>
  <c r="U422"/>
  <c r="U423"/>
  <c r="U424"/>
  <c r="U425"/>
  <c r="U426"/>
  <c r="U427"/>
  <c r="U428"/>
  <c r="U429"/>
  <c r="U430"/>
  <c r="U431"/>
  <c r="U432"/>
  <c r="U433"/>
  <c r="U434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X252" i="3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U252"/>
  <c r="U253"/>
  <c r="U254"/>
  <c r="U255"/>
  <c r="U256"/>
  <c r="U257"/>
  <c r="U258"/>
  <c r="U259"/>
  <c r="U260"/>
  <c r="U261"/>
  <c r="U262"/>
  <c r="U263"/>
  <c r="U264"/>
  <c r="U265"/>
  <c r="U266"/>
  <c r="U267"/>
  <c r="U268"/>
  <c r="U269"/>
  <c r="U270"/>
  <c r="U271"/>
  <c r="U272"/>
  <c r="U273"/>
  <c r="U274"/>
  <c r="U275"/>
  <c r="U276"/>
  <c r="U277"/>
  <c r="U278"/>
  <c r="U279"/>
  <c r="U280"/>
  <c r="U281"/>
  <c r="U282"/>
  <c r="U283"/>
  <c r="U284"/>
  <c r="U285"/>
  <c r="U286"/>
  <c r="U287"/>
  <c r="U288"/>
  <c r="U289"/>
  <c r="U290"/>
  <c r="U291"/>
  <c r="U292"/>
  <c r="U293"/>
  <c r="U294"/>
  <c r="U295"/>
  <c r="U296"/>
  <c r="U297"/>
  <c r="U298"/>
  <c r="U299"/>
  <c r="U300"/>
  <c r="U301"/>
  <c r="U302"/>
  <c r="U303"/>
  <c r="U304"/>
  <c r="U305"/>
  <c r="U306"/>
  <c r="U307"/>
  <c r="U308"/>
  <c r="U309"/>
  <c r="U310"/>
  <c r="U311"/>
  <c r="U312"/>
  <c r="U313"/>
  <c r="U314"/>
  <c r="U315"/>
  <c r="U316"/>
  <c r="U317"/>
  <c r="U318"/>
  <c r="U319"/>
  <c r="U320"/>
  <c r="U321"/>
  <c r="U322"/>
  <c r="U323"/>
  <c r="U324"/>
  <c r="U325"/>
  <c r="U326"/>
  <c r="U327"/>
  <c r="U328"/>
  <c r="U329"/>
  <c r="U330"/>
  <c r="U331"/>
  <c r="U332"/>
  <c r="U333"/>
  <c r="U334"/>
  <c r="U335"/>
  <c r="U336"/>
  <c r="U337"/>
  <c r="U338"/>
  <c r="U339"/>
  <c r="U340"/>
  <c r="U341"/>
  <c r="U342"/>
  <c r="U343"/>
  <c r="U344"/>
  <c r="U345"/>
  <c r="U346"/>
  <c r="U347"/>
  <c r="U348"/>
  <c r="U349"/>
  <c r="U350"/>
  <c r="U351"/>
  <c r="U352"/>
  <c r="U353"/>
  <c r="U354"/>
  <c r="U355"/>
  <c r="U356"/>
  <c r="U357"/>
  <c r="U358"/>
  <c r="U359"/>
  <c r="U360"/>
  <c r="U361"/>
  <c r="U362"/>
  <c r="U363"/>
  <c r="U364"/>
  <c r="U365"/>
  <c r="U366"/>
  <c r="U367"/>
  <c r="U368"/>
  <c r="U369"/>
  <c r="U370"/>
  <c r="U371"/>
  <c r="U372"/>
  <c r="U373"/>
  <c r="U374"/>
  <c r="U375"/>
  <c r="U376"/>
  <c r="U377"/>
  <c r="U378"/>
  <c r="U379"/>
  <c r="U380"/>
  <c r="U381"/>
  <c r="U382"/>
  <c r="U383"/>
  <c r="U384"/>
  <c r="U385"/>
  <c r="U386"/>
  <c r="U387"/>
  <c r="U388"/>
  <c r="U389"/>
  <c r="U390"/>
  <c r="U391"/>
  <c r="U392"/>
  <c r="U393"/>
  <c r="U394"/>
  <c r="U395"/>
  <c r="U396"/>
  <c r="U397"/>
  <c r="U398"/>
  <c r="U399"/>
  <c r="U400"/>
  <c r="U401"/>
  <c r="U402"/>
  <c r="U403"/>
  <c r="U404"/>
  <c r="U405"/>
  <c r="U406"/>
  <c r="U407"/>
  <c r="U408"/>
  <c r="U409"/>
  <c r="U410"/>
  <c r="U411"/>
  <c r="U412"/>
  <c r="U413"/>
  <c r="U414"/>
  <c r="U415"/>
  <c r="U416"/>
  <c r="U417"/>
  <c r="U418"/>
  <c r="U419"/>
  <c r="U420"/>
  <c r="U421"/>
  <c r="U422"/>
  <c r="U423"/>
  <c r="U424"/>
  <c r="U425"/>
  <c r="U426"/>
  <c r="U427"/>
  <c r="U428"/>
  <c r="U429"/>
  <c r="U430"/>
  <c r="U431"/>
  <c r="U432"/>
  <c r="U433"/>
  <c r="U434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X252" i="2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U252"/>
  <c r="U253"/>
  <c r="U254"/>
  <c r="U255"/>
  <c r="U256"/>
  <c r="U257"/>
  <c r="U258"/>
  <c r="U259"/>
  <c r="U260"/>
  <c r="U261"/>
  <c r="U262"/>
  <c r="U263"/>
  <c r="U264"/>
  <c r="U265"/>
  <c r="U266"/>
  <c r="U267"/>
  <c r="U268"/>
  <c r="U269"/>
  <c r="U270"/>
  <c r="U271"/>
  <c r="U272"/>
  <c r="U273"/>
  <c r="U274"/>
  <c r="U275"/>
  <c r="U276"/>
  <c r="U277"/>
  <c r="U278"/>
  <c r="U279"/>
  <c r="U280"/>
  <c r="U281"/>
  <c r="U282"/>
  <c r="U283"/>
  <c r="U284"/>
  <c r="U285"/>
  <c r="U286"/>
  <c r="U287"/>
  <c r="U288"/>
  <c r="U289"/>
  <c r="U290"/>
  <c r="U291"/>
  <c r="U292"/>
  <c r="U293"/>
  <c r="U294"/>
  <c r="U295"/>
  <c r="U296"/>
  <c r="U297"/>
  <c r="U298"/>
  <c r="U299"/>
  <c r="U300"/>
  <c r="U301"/>
  <c r="U302"/>
  <c r="U303"/>
  <c r="U304"/>
  <c r="U305"/>
  <c r="U306"/>
  <c r="U307"/>
  <c r="U308"/>
  <c r="U309"/>
  <c r="U310"/>
  <c r="U311"/>
  <c r="U312"/>
  <c r="U313"/>
  <c r="U314"/>
  <c r="U315"/>
  <c r="U316"/>
  <c r="U317"/>
  <c r="U318"/>
  <c r="U319"/>
  <c r="U320"/>
  <c r="U321"/>
  <c r="U322"/>
  <c r="U323"/>
  <c r="U324"/>
  <c r="U325"/>
  <c r="U326"/>
  <c r="U327"/>
  <c r="U328"/>
  <c r="U329"/>
  <c r="U330"/>
  <c r="U331"/>
  <c r="U332"/>
  <c r="U333"/>
  <c r="U334"/>
  <c r="U335"/>
  <c r="U336"/>
  <c r="U337"/>
  <c r="U338"/>
  <c r="U339"/>
  <c r="U340"/>
  <c r="U341"/>
  <c r="U342"/>
  <c r="U343"/>
  <c r="U344"/>
  <c r="U345"/>
  <c r="U346"/>
  <c r="U347"/>
  <c r="U348"/>
  <c r="U349"/>
  <c r="U350"/>
  <c r="U351"/>
  <c r="U352"/>
  <c r="U353"/>
  <c r="U354"/>
  <c r="U355"/>
  <c r="U356"/>
  <c r="U357"/>
  <c r="U358"/>
  <c r="U359"/>
  <c r="U360"/>
  <c r="U361"/>
  <c r="U362"/>
  <c r="U363"/>
  <c r="U364"/>
  <c r="U365"/>
  <c r="U366"/>
  <c r="U367"/>
  <c r="U368"/>
  <c r="U369"/>
  <c r="U370"/>
  <c r="U371"/>
  <c r="U372"/>
  <c r="U373"/>
  <c r="U374"/>
  <c r="U375"/>
  <c r="U376"/>
  <c r="U377"/>
  <c r="U378"/>
  <c r="U379"/>
  <c r="U380"/>
  <c r="U381"/>
  <c r="U382"/>
  <c r="U383"/>
  <c r="U384"/>
  <c r="U385"/>
  <c r="U386"/>
  <c r="U387"/>
  <c r="U388"/>
  <c r="U389"/>
  <c r="U390"/>
  <c r="U391"/>
  <c r="U392"/>
  <c r="U393"/>
  <c r="U394"/>
  <c r="U395"/>
  <c r="U396"/>
  <c r="U397"/>
  <c r="U398"/>
  <c r="U399"/>
  <c r="U400"/>
  <c r="U401"/>
  <c r="U402"/>
  <c r="U403"/>
  <c r="U404"/>
  <c r="U405"/>
  <c r="U406"/>
  <c r="U407"/>
  <c r="U408"/>
  <c r="U409"/>
  <c r="U410"/>
  <c r="U411"/>
  <c r="U412"/>
  <c r="U413"/>
  <c r="U414"/>
  <c r="U415"/>
  <c r="U416"/>
  <c r="U417"/>
  <c r="U418"/>
  <c r="U419"/>
  <c r="U420"/>
  <c r="U421"/>
  <c r="U422"/>
  <c r="U423"/>
  <c r="U424"/>
  <c r="U425"/>
  <c r="U426"/>
  <c r="U427"/>
  <c r="U428"/>
  <c r="U429"/>
  <c r="U430"/>
  <c r="U431"/>
  <c r="U432"/>
  <c r="U433"/>
  <c r="U434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Y252" i="8" l="1"/>
  <c r="Q252" i="6"/>
  <c r="S252" i="2"/>
  <c r="S252" i="3"/>
  <c r="S252" i="4"/>
  <c r="S253" i="5"/>
  <c r="S252"/>
  <c r="N7"/>
  <c r="G242" s="1"/>
  <c r="X242" s="1"/>
  <c r="O7" i="6"/>
  <c r="K73" s="1"/>
  <c r="W28" i="1"/>
  <c r="X28"/>
  <c r="Y28"/>
  <c r="Z28"/>
  <c r="V29"/>
  <c r="W29"/>
  <c r="X29"/>
  <c r="Y29"/>
  <c r="Z29"/>
  <c r="V30"/>
  <c r="W30"/>
  <c r="X30"/>
  <c r="Y30"/>
  <c r="I46" s="1"/>
  <c r="Z30"/>
  <c r="V31"/>
  <c r="W31"/>
  <c r="X31"/>
  <c r="Y31"/>
  <c r="I47" s="1"/>
  <c r="Z31"/>
  <c r="V32"/>
  <c r="W32"/>
  <c r="X32"/>
  <c r="Y32"/>
  <c r="I48" s="1"/>
  <c r="Z32"/>
  <c r="L12" i="10"/>
  <c r="H12"/>
  <c r="A12"/>
  <c r="G11"/>
  <c r="D11"/>
  <c r="A11"/>
  <c r="M10"/>
  <c r="G10"/>
  <c r="D10"/>
  <c r="A10"/>
  <c r="A8"/>
  <c r="A7"/>
  <c r="A1"/>
  <c r="G6" i="9"/>
  <c r="F6"/>
  <c r="C6"/>
  <c r="A6"/>
  <c r="E5"/>
  <c r="C5"/>
  <c r="A5"/>
  <c r="K4"/>
  <c r="H4"/>
  <c r="E4"/>
  <c r="C4"/>
  <c r="A4"/>
  <c r="A3"/>
  <c r="A2"/>
  <c r="A1"/>
  <c r="AD251" i="8"/>
  <c r="G250" i="9" s="1"/>
  <c r="AC251" i="8"/>
  <c r="F250" i="9" s="1"/>
  <c r="AB251" i="8"/>
  <c r="E250" i="9" s="1"/>
  <c r="AA251" i="8"/>
  <c r="D250" i="9" s="1"/>
  <c r="Z251" i="8"/>
  <c r="C250" i="9" s="1"/>
  <c r="Y251" i="8"/>
  <c r="X251"/>
  <c r="AD250"/>
  <c r="G249" i="9" s="1"/>
  <c r="AC250" i="8"/>
  <c r="F249" i="9" s="1"/>
  <c r="AB250" i="8"/>
  <c r="E249" i="9" s="1"/>
  <c r="AA250" i="8"/>
  <c r="D249" i="9" s="1"/>
  <c r="Z250" i="8"/>
  <c r="C249" i="9" s="1"/>
  <c r="Y250" i="8"/>
  <c r="X250"/>
  <c r="AD249"/>
  <c r="G248" i="9" s="1"/>
  <c r="AC249" i="8"/>
  <c r="F248" i="9" s="1"/>
  <c r="AB249" i="8"/>
  <c r="E248" i="9" s="1"/>
  <c r="AA249" i="8"/>
  <c r="D248" i="9" s="1"/>
  <c r="Z249" i="8"/>
  <c r="C248" i="9" s="1"/>
  <c r="Y249" i="8"/>
  <c r="X249"/>
  <c r="AD248"/>
  <c r="G247" i="9" s="1"/>
  <c r="AC248" i="8"/>
  <c r="F247" i="9" s="1"/>
  <c r="AB248" i="8"/>
  <c r="E247" i="9" s="1"/>
  <c r="AA248" i="8"/>
  <c r="D247" i="9" s="1"/>
  <c r="Z248" i="8"/>
  <c r="C247" i="9" s="1"/>
  <c r="Y248" i="8"/>
  <c r="X248"/>
  <c r="AD247"/>
  <c r="G246" i="9" s="1"/>
  <c r="AC247" i="8"/>
  <c r="F246" i="9" s="1"/>
  <c r="AB247" i="8"/>
  <c r="E246" i="9" s="1"/>
  <c r="AA247" i="8"/>
  <c r="D246" i="9" s="1"/>
  <c r="Z247" i="8"/>
  <c r="C246" i="9" s="1"/>
  <c r="Y247" i="8"/>
  <c r="X247"/>
  <c r="AD246"/>
  <c r="G245" i="9" s="1"/>
  <c r="AC246" i="8"/>
  <c r="F245" i="9" s="1"/>
  <c r="AB246" i="8"/>
  <c r="E245" i="9" s="1"/>
  <c r="AA246" i="8"/>
  <c r="D245" i="9" s="1"/>
  <c r="Z246" i="8"/>
  <c r="C245" i="9" s="1"/>
  <c r="Y246" i="8"/>
  <c r="X246"/>
  <c r="AD245"/>
  <c r="G244" i="9" s="1"/>
  <c r="AC245" i="8"/>
  <c r="F244" i="9" s="1"/>
  <c r="AB245" i="8"/>
  <c r="E244" i="9" s="1"/>
  <c r="AA245" i="8"/>
  <c r="D244" i="9" s="1"/>
  <c r="Z245" i="8"/>
  <c r="C244" i="9" s="1"/>
  <c r="Y245" i="8"/>
  <c r="X245"/>
  <c r="AD244"/>
  <c r="G243" i="9" s="1"/>
  <c r="AC244" i="8"/>
  <c r="F243" i="9" s="1"/>
  <c r="AB244" i="8"/>
  <c r="E243" i="9" s="1"/>
  <c r="AA244" i="8"/>
  <c r="D243" i="9" s="1"/>
  <c r="Z244" i="8"/>
  <c r="C243" i="9" s="1"/>
  <c r="Y244" i="8"/>
  <c r="X244"/>
  <c r="AD243"/>
  <c r="G242" i="9" s="1"/>
  <c r="AC243" i="8"/>
  <c r="F242" i="9" s="1"/>
  <c r="AB243" i="8"/>
  <c r="E242" i="9" s="1"/>
  <c r="AA243" i="8"/>
  <c r="D242" i="9" s="1"/>
  <c r="Z243" i="8"/>
  <c r="C242" i="9" s="1"/>
  <c r="Y243" i="8"/>
  <c r="X243"/>
  <c r="AD242"/>
  <c r="G241" i="9" s="1"/>
  <c r="AC242" i="8"/>
  <c r="F241" i="9" s="1"/>
  <c r="AB242" i="8"/>
  <c r="E241" i="9" s="1"/>
  <c r="AA242" i="8"/>
  <c r="D241" i="9" s="1"/>
  <c r="Z242" i="8"/>
  <c r="C241" i="9" s="1"/>
  <c r="Y242" i="8"/>
  <c r="X242"/>
  <c r="AD241"/>
  <c r="G240" i="9" s="1"/>
  <c r="AC241" i="8"/>
  <c r="F240" i="9" s="1"/>
  <c r="AB241" i="8"/>
  <c r="E240" i="9" s="1"/>
  <c r="AA241" i="8"/>
  <c r="D240" i="9" s="1"/>
  <c r="Z241" i="8"/>
  <c r="C240" i="9" s="1"/>
  <c r="Y241" i="8"/>
  <c r="X241"/>
  <c r="AD240"/>
  <c r="G239" i="9" s="1"/>
  <c r="AC240" i="8"/>
  <c r="F239" i="9" s="1"/>
  <c r="AB240" i="8"/>
  <c r="E239" i="9" s="1"/>
  <c r="AA240" i="8"/>
  <c r="D239" i="9" s="1"/>
  <c r="Z240" i="8"/>
  <c r="C239" i="9" s="1"/>
  <c r="Y240" i="8"/>
  <c r="X240"/>
  <c r="AD239"/>
  <c r="G238" i="9" s="1"/>
  <c r="AC239" i="8"/>
  <c r="F238" i="9" s="1"/>
  <c r="AB239" i="8"/>
  <c r="E238" i="9" s="1"/>
  <c r="AA239" i="8"/>
  <c r="D238" i="9" s="1"/>
  <c r="Z239" i="8"/>
  <c r="C238" i="9" s="1"/>
  <c r="Y239" i="8"/>
  <c r="X239"/>
  <c r="AD238"/>
  <c r="G237" i="9" s="1"/>
  <c r="AC238" i="8"/>
  <c r="F237" i="9" s="1"/>
  <c r="AB238" i="8"/>
  <c r="E237" i="9" s="1"/>
  <c r="AA238" i="8"/>
  <c r="D237" i="9" s="1"/>
  <c r="Z238" i="8"/>
  <c r="C237" i="9" s="1"/>
  <c r="Y238" i="8"/>
  <c r="X238"/>
  <c r="AD237"/>
  <c r="G236" i="9" s="1"/>
  <c r="AC237" i="8"/>
  <c r="F236" i="9" s="1"/>
  <c r="AB237" i="8"/>
  <c r="E236" i="9" s="1"/>
  <c r="AA237" i="8"/>
  <c r="D236" i="9" s="1"/>
  <c r="Z237" i="8"/>
  <c r="C236" i="9" s="1"/>
  <c r="Y237" i="8"/>
  <c r="X237"/>
  <c r="AD236"/>
  <c r="G235" i="9" s="1"/>
  <c r="AC236" i="8"/>
  <c r="F235" i="9" s="1"/>
  <c r="AB236" i="8"/>
  <c r="E235" i="9" s="1"/>
  <c r="AA236" i="8"/>
  <c r="D235" i="9" s="1"/>
  <c r="Z236" i="8"/>
  <c r="C235" i="9" s="1"/>
  <c r="Y236" i="8"/>
  <c r="X236"/>
  <c r="AD235"/>
  <c r="G234" i="9" s="1"/>
  <c r="AC235" i="8"/>
  <c r="F234" i="9" s="1"/>
  <c r="AB235" i="8"/>
  <c r="E234" i="9" s="1"/>
  <c r="AA235" i="8"/>
  <c r="D234" i="9" s="1"/>
  <c r="Z235" i="8"/>
  <c r="C234" i="9" s="1"/>
  <c r="Y235" i="8"/>
  <c r="X235"/>
  <c r="AD234"/>
  <c r="G233" i="9" s="1"/>
  <c r="AC234" i="8"/>
  <c r="F233" i="9" s="1"/>
  <c r="AB234" i="8"/>
  <c r="E233" i="9" s="1"/>
  <c r="AA234" i="8"/>
  <c r="D233" i="9" s="1"/>
  <c r="Z234" i="8"/>
  <c r="C233" i="9" s="1"/>
  <c r="Y234" i="8"/>
  <c r="X234"/>
  <c r="AD233"/>
  <c r="G232" i="9" s="1"/>
  <c r="AC233" i="8"/>
  <c r="F232" i="9" s="1"/>
  <c r="AB233" i="8"/>
  <c r="E232" i="9" s="1"/>
  <c r="AA233" i="8"/>
  <c r="D232" i="9" s="1"/>
  <c r="Z233" i="8"/>
  <c r="C232" i="9" s="1"/>
  <c r="Y233" i="8"/>
  <c r="X233"/>
  <c r="AD232"/>
  <c r="G231" i="9" s="1"/>
  <c r="AC232" i="8"/>
  <c r="F231" i="9" s="1"/>
  <c r="AB232" i="8"/>
  <c r="E231" i="9" s="1"/>
  <c r="AA232" i="8"/>
  <c r="D231" i="9" s="1"/>
  <c r="Z232" i="8"/>
  <c r="C231" i="9" s="1"/>
  <c r="Y232" i="8"/>
  <c r="X232"/>
  <c r="AD231"/>
  <c r="G230" i="9" s="1"/>
  <c r="AC231" i="8"/>
  <c r="F230" i="9" s="1"/>
  <c r="AB231" i="8"/>
  <c r="E230" i="9" s="1"/>
  <c r="AA231" i="8"/>
  <c r="D230" i="9" s="1"/>
  <c r="Z231" i="8"/>
  <c r="C230" i="9" s="1"/>
  <c r="Y231" i="8"/>
  <c r="X231"/>
  <c r="AD230"/>
  <c r="G229" i="9" s="1"/>
  <c r="AC230" i="8"/>
  <c r="F229" i="9" s="1"/>
  <c r="AB230" i="8"/>
  <c r="E229" i="9" s="1"/>
  <c r="AA230" i="8"/>
  <c r="D229" i="9" s="1"/>
  <c r="Z230" i="8"/>
  <c r="C229" i="9" s="1"/>
  <c r="Y230" i="8"/>
  <c r="X230"/>
  <c r="AD229"/>
  <c r="G228" i="9" s="1"/>
  <c r="AC229" i="8"/>
  <c r="F228" i="9" s="1"/>
  <c r="AB229" i="8"/>
  <c r="E228" i="9" s="1"/>
  <c r="AA229" i="8"/>
  <c r="D228" i="9" s="1"/>
  <c r="Z229" i="8"/>
  <c r="C228" i="9" s="1"/>
  <c r="Y229" i="8"/>
  <c r="X229"/>
  <c r="AD228"/>
  <c r="G227" i="9" s="1"/>
  <c r="AC228" i="8"/>
  <c r="F227" i="9" s="1"/>
  <c r="AB228" i="8"/>
  <c r="E227" i="9" s="1"/>
  <c r="AA228" i="8"/>
  <c r="D227" i="9" s="1"/>
  <c r="Z228" i="8"/>
  <c r="C227" i="9" s="1"/>
  <c r="Y228" i="8"/>
  <c r="X228"/>
  <c r="AD227"/>
  <c r="G226" i="9" s="1"/>
  <c r="AC227" i="8"/>
  <c r="F226" i="9" s="1"/>
  <c r="AB227" i="8"/>
  <c r="E226" i="9" s="1"/>
  <c r="AA227" i="8"/>
  <c r="D226" i="9" s="1"/>
  <c r="Z227" i="8"/>
  <c r="C226" i="9" s="1"/>
  <c r="Y227" i="8"/>
  <c r="X227"/>
  <c r="AD226"/>
  <c r="G225" i="9" s="1"/>
  <c r="AC226" i="8"/>
  <c r="F225" i="9" s="1"/>
  <c r="AB226" i="8"/>
  <c r="E225" i="9" s="1"/>
  <c r="AA226" i="8"/>
  <c r="D225" i="9" s="1"/>
  <c r="Z226" i="8"/>
  <c r="C225" i="9" s="1"/>
  <c r="Y226" i="8"/>
  <c r="X226"/>
  <c r="AD225"/>
  <c r="G224" i="9" s="1"/>
  <c r="AC225" i="8"/>
  <c r="F224" i="9" s="1"/>
  <c r="AB225" i="8"/>
  <c r="E224" i="9" s="1"/>
  <c r="AA225" i="8"/>
  <c r="D224" i="9" s="1"/>
  <c r="Z225" i="8"/>
  <c r="C224" i="9" s="1"/>
  <c r="Y225" i="8"/>
  <c r="X225"/>
  <c r="AD224"/>
  <c r="G223" i="9" s="1"/>
  <c r="AC224" i="8"/>
  <c r="F223" i="9" s="1"/>
  <c r="AB224" i="8"/>
  <c r="E223" i="9" s="1"/>
  <c r="AA224" i="8"/>
  <c r="D223" i="9" s="1"/>
  <c r="Z224" i="8"/>
  <c r="C223" i="9" s="1"/>
  <c r="Y224" i="8"/>
  <c r="X224"/>
  <c r="AD223"/>
  <c r="G222" i="9" s="1"/>
  <c r="AC223" i="8"/>
  <c r="F222" i="9" s="1"/>
  <c r="AB223" i="8"/>
  <c r="E222" i="9" s="1"/>
  <c r="AA223" i="8"/>
  <c r="D222" i="9" s="1"/>
  <c r="Z223" i="8"/>
  <c r="C222" i="9" s="1"/>
  <c r="Y223" i="8"/>
  <c r="X223"/>
  <c r="AD222"/>
  <c r="G221" i="9" s="1"/>
  <c r="AC222" i="8"/>
  <c r="F221" i="9" s="1"/>
  <c r="AB222" i="8"/>
  <c r="E221" i="9" s="1"/>
  <c r="AA222" i="8"/>
  <c r="D221" i="9" s="1"/>
  <c r="Z222" i="8"/>
  <c r="C221" i="9" s="1"/>
  <c r="Y222" i="8"/>
  <c r="X222"/>
  <c r="AD221"/>
  <c r="G220" i="9" s="1"/>
  <c r="AC221" i="8"/>
  <c r="F220" i="9" s="1"/>
  <c r="AB221" i="8"/>
  <c r="E220" i="9" s="1"/>
  <c r="AA221" i="8"/>
  <c r="D220" i="9" s="1"/>
  <c r="Z221" i="8"/>
  <c r="C220" i="9" s="1"/>
  <c r="Y221" i="8"/>
  <c r="X221"/>
  <c r="AD220"/>
  <c r="G219" i="9" s="1"/>
  <c r="AC220" i="8"/>
  <c r="F219" i="9" s="1"/>
  <c r="AB220" i="8"/>
  <c r="E219" i="9" s="1"/>
  <c r="AA220" i="8"/>
  <c r="D219" i="9" s="1"/>
  <c r="Z220" i="8"/>
  <c r="C219" i="9" s="1"/>
  <c r="Y220" i="8"/>
  <c r="X220"/>
  <c r="AD219"/>
  <c r="G218" i="9" s="1"/>
  <c r="AC219" i="8"/>
  <c r="F218" i="9" s="1"/>
  <c r="AB219" i="8"/>
  <c r="E218" i="9" s="1"/>
  <c r="AA219" i="8"/>
  <c r="D218" i="9" s="1"/>
  <c r="Z219" i="8"/>
  <c r="C218" i="9" s="1"/>
  <c r="Y219" i="8"/>
  <c r="X219"/>
  <c r="AD218"/>
  <c r="G217" i="9" s="1"/>
  <c r="AC218" i="8"/>
  <c r="F217" i="9" s="1"/>
  <c r="AB218" i="8"/>
  <c r="E217" i="9" s="1"/>
  <c r="AA218" i="8"/>
  <c r="D217" i="9" s="1"/>
  <c r="Z218" i="8"/>
  <c r="C217" i="9" s="1"/>
  <c r="Y218" i="8"/>
  <c r="X218"/>
  <c r="AD217"/>
  <c r="G216" i="9" s="1"/>
  <c r="AC217" i="8"/>
  <c r="F216" i="9" s="1"/>
  <c r="AB217" i="8"/>
  <c r="E216" i="9" s="1"/>
  <c r="AA217" i="8"/>
  <c r="D216" i="9" s="1"/>
  <c r="Z217" i="8"/>
  <c r="C216" i="9" s="1"/>
  <c r="Y217" i="8"/>
  <c r="X217"/>
  <c r="AD216"/>
  <c r="G215" i="9" s="1"/>
  <c r="AC216" i="8"/>
  <c r="F215" i="9" s="1"/>
  <c r="AB216" i="8"/>
  <c r="E215" i="9" s="1"/>
  <c r="AA216" i="8"/>
  <c r="D215" i="9" s="1"/>
  <c r="Z216" i="8"/>
  <c r="C215" i="9" s="1"/>
  <c r="Y216" i="8"/>
  <c r="X216"/>
  <c r="AD215"/>
  <c r="G214" i="9" s="1"/>
  <c r="AC215" i="8"/>
  <c r="F214" i="9" s="1"/>
  <c r="AB215" i="8"/>
  <c r="E214" i="9" s="1"/>
  <c r="AA215" i="8"/>
  <c r="D214" i="9" s="1"/>
  <c r="Z215" i="8"/>
  <c r="C214" i="9" s="1"/>
  <c r="Y215" i="8"/>
  <c r="X215"/>
  <c r="AD214"/>
  <c r="G213" i="9" s="1"/>
  <c r="AC214" i="8"/>
  <c r="F213" i="9" s="1"/>
  <c r="AB214" i="8"/>
  <c r="E213" i="9" s="1"/>
  <c r="AA214" i="8"/>
  <c r="D213" i="9" s="1"/>
  <c r="Z214" i="8"/>
  <c r="C213" i="9" s="1"/>
  <c r="Y214" i="8"/>
  <c r="X214"/>
  <c r="AD213"/>
  <c r="G212" i="9" s="1"/>
  <c r="AC213" i="8"/>
  <c r="F212" i="9" s="1"/>
  <c r="AB213" i="8"/>
  <c r="E212" i="9" s="1"/>
  <c r="AA213" i="8"/>
  <c r="D212" i="9" s="1"/>
  <c r="Z213" i="8"/>
  <c r="C212" i="9" s="1"/>
  <c r="Y213" i="8"/>
  <c r="X213"/>
  <c r="AD212"/>
  <c r="G211" i="9" s="1"/>
  <c r="AC212" i="8"/>
  <c r="F211" i="9" s="1"/>
  <c r="AB212" i="8"/>
  <c r="E211" i="9" s="1"/>
  <c r="AA212" i="8"/>
  <c r="D211" i="9" s="1"/>
  <c r="Z212" i="8"/>
  <c r="C211" i="9" s="1"/>
  <c r="Y212" i="8"/>
  <c r="X212"/>
  <c r="AD211"/>
  <c r="G210" i="9" s="1"/>
  <c r="AC211" i="8"/>
  <c r="F210" i="9" s="1"/>
  <c r="AB211" i="8"/>
  <c r="E210" i="9" s="1"/>
  <c r="AA211" i="8"/>
  <c r="D210" i="9" s="1"/>
  <c r="Z211" i="8"/>
  <c r="C210" i="9" s="1"/>
  <c r="Y211" i="8"/>
  <c r="X211"/>
  <c r="AD210"/>
  <c r="G209" i="9" s="1"/>
  <c r="AC210" i="8"/>
  <c r="F209" i="9" s="1"/>
  <c r="AB210" i="8"/>
  <c r="E209" i="9" s="1"/>
  <c r="AA210" i="8"/>
  <c r="D209" i="9" s="1"/>
  <c r="Z210" i="8"/>
  <c r="C209" i="9" s="1"/>
  <c r="Y210" i="8"/>
  <c r="X210"/>
  <c r="AD209"/>
  <c r="G208" i="9" s="1"/>
  <c r="AC209" i="8"/>
  <c r="F208" i="9" s="1"/>
  <c r="AB209" i="8"/>
  <c r="E208" i="9" s="1"/>
  <c r="AA209" i="8"/>
  <c r="D208" i="9" s="1"/>
  <c r="Z209" i="8"/>
  <c r="C208" i="9" s="1"/>
  <c r="Y209" i="8"/>
  <c r="X209"/>
  <c r="AD208"/>
  <c r="G207" i="9" s="1"/>
  <c r="AC208" i="8"/>
  <c r="F207" i="9" s="1"/>
  <c r="AB208" i="8"/>
  <c r="E207" i="9" s="1"/>
  <c r="AA208" i="8"/>
  <c r="D207" i="9" s="1"/>
  <c r="Z208" i="8"/>
  <c r="C207" i="9" s="1"/>
  <c r="Y208" i="8"/>
  <c r="X208"/>
  <c r="AD207"/>
  <c r="G206" i="9" s="1"/>
  <c r="AC207" i="8"/>
  <c r="F206" i="9" s="1"/>
  <c r="AB207" i="8"/>
  <c r="E206" i="9" s="1"/>
  <c r="AA207" i="8"/>
  <c r="D206" i="9" s="1"/>
  <c r="Z207" i="8"/>
  <c r="C206" i="9" s="1"/>
  <c r="Y207" i="8"/>
  <c r="X207"/>
  <c r="AD206"/>
  <c r="G205" i="9" s="1"/>
  <c r="AC206" i="8"/>
  <c r="F205" i="9" s="1"/>
  <c r="AB206" i="8"/>
  <c r="E205" i="9" s="1"/>
  <c r="AA206" i="8"/>
  <c r="D205" i="9" s="1"/>
  <c r="Z206" i="8"/>
  <c r="C205" i="9" s="1"/>
  <c r="Y206" i="8"/>
  <c r="X206"/>
  <c r="AD205"/>
  <c r="G204" i="9" s="1"/>
  <c r="AC205" i="8"/>
  <c r="F204" i="9" s="1"/>
  <c r="AB205" i="8"/>
  <c r="E204" i="9" s="1"/>
  <c r="AA205" i="8"/>
  <c r="D204" i="9" s="1"/>
  <c r="Z205" i="8"/>
  <c r="C204" i="9" s="1"/>
  <c r="Y205" i="8"/>
  <c r="X205"/>
  <c r="AD204"/>
  <c r="G203" i="9" s="1"/>
  <c r="AC204" i="8"/>
  <c r="F203" i="9" s="1"/>
  <c r="AB204" i="8"/>
  <c r="E203" i="9" s="1"/>
  <c r="AA204" i="8"/>
  <c r="D203" i="9" s="1"/>
  <c r="Z204" i="8"/>
  <c r="C203" i="9" s="1"/>
  <c r="Y204" i="8"/>
  <c r="X204"/>
  <c r="AD203"/>
  <c r="G202" i="9" s="1"/>
  <c r="AC203" i="8"/>
  <c r="F202" i="9" s="1"/>
  <c r="AB203" i="8"/>
  <c r="E202" i="9" s="1"/>
  <c r="AA203" i="8"/>
  <c r="D202" i="9" s="1"/>
  <c r="Z203" i="8"/>
  <c r="C202" i="9" s="1"/>
  <c r="Y203" i="8"/>
  <c r="X203"/>
  <c r="AD202"/>
  <c r="G201" i="9" s="1"/>
  <c r="AC202" i="8"/>
  <c r="F201" i="9" s="1"/>
  <c r="AB202" i="8"/>
  <c r="E201" i="9" s="1"/>
  <c r="AA202" i="8"/>
  <c r="D201" i="9" s="1"/>
  <c r="Z202" i="8"/>
  <c r="C201" i="9" s="1"/>
  <c r="Y202" i="8"/>
  <c r="X202"/>
  <c r="AD201"/>
  <c r="G200" i="9" s="1"/>
  <c r="AC201" i="8"/>
  <c r="F200" i="9" s="1"/>
  <c r="AB201" i="8"/>
  <c r="E200" i="9" s="1"/>
  <c r="AA201" i="8"/>
  <c r="D200" i="9" s="1"/>
  <c r="Z201" i="8"/>
  <c r="C200" i="9" s="1"/>
  <c r="Y201" i="8"/>
  <c r="X201"/>
  <c r="AD200"/>
  <c r="G199" i="9" s="1"/>
  <c r="AC200" i="8"/>
  <c r="F199" i="9" s="1"/>
  <c r="AB200" i="8"/>
  <c r="E199" i="9" s="1"/>
  <c r="AA200" i="8"/>
  <c r="D199" i="9" s="1"/>
  <c r="Z200" i="8"/>
  <c r="C199" i="9" s="1"/>
  <c r="Y200" i="8"/>
  <c r="X200"/>
  <c r="AD199"/>
  <c r="G198" i="9" s="1"/>
  <c r="AC199" i="8"/>
  <c r="F198" i="9" s="1"/>
  <c r="AB199" i="8"/>
  <c r="E198" i="9" s="1"/>
  <c r="AA199" i="8"/>
  <c r="D198" i="9" s="1"/>
  <c r="Z199" i="8"/>
  <c r="C198" i="9" s="1"/>
  <c r="Y199" i="8"/>
  <c r="X199"/>
  <c r="AD198"/>
  <c r="G197" i="9" s="1"/>
  <c r="AC198" i="8"/>
  <c r="F197" i="9" s="1"/>
  <c r="AB198" i="8"/>
  <c r="E197" i="9" s="1"/>
  <c r="AA198" i="8"/>
  <c r="D197" i="9" s="1"/>
  <c r="Z198" i="8"/>
  <c r="C197" i="9" s="1"/>
  <c r="Y198" i="8"/>
  <c r="X198"/>
  <c r="AD197"/>
  <c r="G196" i="9" s="1"/>
  <c r="AC197" i="8"/>
  <c r="F196" i="9" s="1"/>
  <c r="AB197" i="8"/>
  <c r="E196" i="9" s="1"/>
  <c r="AA197" i="8"/>
  <c r="D196" i="9" s="1"/>
  <c r="Z197" i="8"/>
  <c r="C196" i="9" s="1"/>
  <c r="Y197" i="8"/>
  <c r="X197"/>
  <c r="AD196"/>
  <c r="G195" i="9" s="1"/>
  <c r="AC196" i="8"/>
  <c r="F195" i="9" s="1"/>
  <c r="AB196" i="8"/>
  <c r="E195" i="9" s="1"/>
  <c r="AA196" i="8"/>
  <c r="D195" i="9" s="1"/>
  <c r="Z196" i="8"/>
  <c r="C195" i="9" s="1"/>
  <c r="Y196" i="8"/>
  <c r="X196"/>
  <c r="AD195"/>
  <c r="G194" i="9" s="1"/>
  <c r="AC195" i="8"/>
  <c r="F194" i="9" s="1"/>
  <c r="AB195" i="8"/>
  <c r="E194" i="9" s="1"/>
  <c r="AA195" i="8"/>
  <c r="D194" i="9" s="1"/>
  <c r="Z195" i="8"/>
  <c r="C194" i="9" s="1"/>
  <c r="Y195" i="8"/>
  <c r="X195"/>
  <c r="AD194"/>
  <c r="G193" i="9" s="1"/>
  <c r="AC194" i="8"/>
  <c r="F193" i="9" s="1"/>
  <c r="AB194" i="8"/>
  <c r="E193" i="9" s="1"/>
  <c r="AA194" i="8"/>
  <c r="D193" i="9" s="1"/>
  <c r="Z194" i="8"/>
  <c r="C193" i="9" s="1"/>
  <c r="Y194" i="8"/>
  <c r="X194"/>
  <c r="AD193"/>
  <c r="G192" i="9" s="1"/>
  <c r="AC193" i="8"/>
  <c r="F192" i="9" s="1"/>
  <c r="AB193" i="8"/>
  <c r="E192" i="9" s="1"/>
  <c r="AA193" i="8"/>
  <c r="D192" i="9" s="1"/>
  <c r="Z193" i="8"/>
  <c r="C192" i="9" s="1"/>
  <c r="Y193" i="8"/>
  <c r="X193"/>
  <c r="AD192"/>
  <c r="G191" i="9" s="1"/>
  <c r="AC192" i="8"/>
  <c r="F191" i="9" s="1"/>
  <c r="AB192" i="8"/>
  <c r="E191" i="9" s="1"/>
  <c r="AA192" i="8"/>
  <c r="D191" i="9" s="1"/>
  <c r="Z192" i="8"/>
  <c r="C191" i="9" s="1"/>
  <c r="Y192" i="8"/>
  <c r="X192"/>
  <c r="AD191"/>
  <c r="G190" i="9" s="1"/>
  <c r="AC191" i="8"/>
  <c r="F190" i="9" s="1"/>
  <c r="AB191" i="8"/>
  <c r="E190" i="9" s="1"/>
  <c r="AA191" i="8"/>
  <c r="D190" i="9" s="1"/>
  <c r="Z191" i="8"/>
  <c r="C190" i="9" s="1"/>
  <c r="Y191" i="8"/>
  <c r="X191"/>
  <c r="AD190"/>
  <c r="G189" i="9" s="1"/>
  <c r="AC190" i="8"/>
  <c r="F189" i="9" s="1"/>
  <c r="AB190" i="8"/>
  <c r="E189" i="9" s="1"/>
  <c r="AA190" i="8"/>
  <c r="D189" i="9" s="1"/>
  <c r="Z190" i="8"/>
  <c r="C189" i="9" s="1"/>
  <c r="Y190" i="8"/>
  <c r="X190"/>
  <c r="AD189"/>
  <c r="G188" i="9" s="1"/>
  <c r="AC189" i="8"/>
  <c r="F188" i="9" s="1"/>
  <c r="AB189" i="8"/>
  <c r="E188" i="9" s="1"/>
  <c r="AA189" i="8"/>
  <c r="D188" i="9" s="1"/>
  <c r="Z189" i="8"/>
  <c r="C188" i="9" s="1"/>
  <c r="Y189" i="8"/>
  <c r="X189"/>
  <c r="AD188"/>
  <c r="G187" i="9" s="1"/>
  <c r="AC188" i="8"/>
  <c r="F187" i="9" s="1"/>
  <c r="AB188" i="8"/>
  <c r="E187" i="9" s="1"/>
  <c r="AA188" i="8"/>
  <c r="D187" i="9" s="1"/>
  <c r="Z188" i="8"/>
  <c r="C187" i="9" s="1"/>
  <c r="Y188" i="8"/>
  <c r="X188"/>
  <c r="AD187"/>
  <c r="G186" i="9" s="1"/>
  <c r="AC187" i="8"/>
  <c r="F186" i="9" s="1"/>
  <c r="AB187" i="8"/>
  <c r="E186" i="9" s="1"/>
  <c r="AA187" i="8"/>
  <c r="D186" i="9" s="1"/>
  <c r="Z187" i="8"/>
  <c r="C186" i="9" s="1"/>
  <c r="Y187" i="8"/>
  <c r="X187"/>
  <c r="AD186"/>
  <c r="G185" i="9" s="1"/>
  <c r="AC186" i="8"/>
  <c r="F185" i="9" s="1"/>
  <c r="AB186" i="8"/>
  <c r="E185" i="9" s="1"/>
  <c r="AA186" i="8"/>
  <c r="D185" i="9" s="1"/>
  <c r="Z186" i="8"/>
  <c r="C185" i="9" s="1"/>
  <c r="Y186" i="8"/>
  <c r="X186"/>
  <c r="AD185"/>
  <c r="G184" i="9" s="1"/>
  <c r="AC185" i="8"/>
  <c r="F184" i="9" s="1"/>
  <c r="AB185" i="8"/>
  <c r="E184" i="9" s="1"/>
  <c r="AA185" i="8"/>
  <c r="D184" i="9" s="1"/>
  <c r="Z185" i="8"/>
  <c r="C184" i="9" s="1"/>
  <c r="Y185" i="8"/>
  <c r="X185"/>
  <c r="AD184"/>
  <c r="G183" i="9" s="1"/>
  <c r="AC184" i="8"/>
  <c r="F183" i="9" s="1"/>
  <c r="AB184" i="8"/>
  <c r="E183" i="9" s="1"/>
  <c r="AA184" i="8"/>
  <c r="D183" i="9" s="1"/>
  <c r="Z184" i="8"/>
  <c r="C183" i="9" s="1"/>
  <c r="Y184" i="8"/>
  <c r="X184"/>
  <c r="AD183"/>
  <c r="G182" i="9" s="1"/>
  <c r="AC183" i="8"/>
  <c r="F182" i="9" s="1"/>
  <c r="AB183" i="8"/>
  <c r="E182" i="9" s="1"/>
  <c r="AA183" i="8"/>
  <c r="D182" i="9" s="1"/>
  <c r="Z183" i="8"/>
  <c r="C182" i="9" s="1"/>
  <c r="Y183" i="8"/>
  <c r="X183"/>
  <c r="AD182"/>
  <c r="G181" i="9" s="1"/>
  <c r="AC182" i="8"/>
  <c r="F181" i="9" s="1"/>
  <c r="AB182" i="8"/>
  <c r="E181" i="9" s="1"/>
  <c r="AA182" i="8"/>
  <c r="D181" i="9" s="1"/>
  <c r="Z182" i="8"/>
  <c r="C181" i="9" s="1"/>
  <c r="Y182" i="8"/>
  <c r="X182"/>
  <c r="AD181"/>
  <c r="G180" i="9" s="1"/>
  <c r="AC181" i="8"/>
  <c r="F180" i="9" s="1"/>
  <c r="AB181" i="8"/>
  <c r="E180" i="9" s="1"/>
  <c r="AA181" i="8"/>
  <c r="D180" i="9" s="1"/>
  <c r="Z181" i="8"/>
  <c r="C180" i="9" s="1"/>
  <c r="Y181" i="8"/>
  <c r="X181"/>
  <c r="AD180"/>
  <c r="G179" i="9" s="1"/>
  <c r="AC180" i="8"/>
  <c r="F179" i="9" s="1"/>
  <c r="AB180" i="8"/>
  <c r="E179" i="9" s="1"/>
  <c r="AA180" i="8"/>
  <c r="D179" i="9" s="1"/>
  <c r="Z180" i="8"/>
  <c r="C179" i="9" s="1"/>
  <c r="Y180" i="8"/>
  <c r="X180"/>
  <c r="AD179"/>
  <c r="G178" i="9" s="1"/>
  <c r="AC179" i="8"/>
  <c r="F178" i="9" s="1"/>
  <c r="AB179" i="8"/>
  <c r="E178" i="9" s="1"/>
  <c r="AA179" i="8"/>
  <c r="D178" i="9" s="1"/>
  <c r="Z179" i="8"/>
  <c r="C178" i="9" s="1"/>
  <c r="Y179" i="8"/>
  <c r="X179"/>
  <c r="AD178"/>
  <c r="G177" i="9" s="1"/>
  <c r="AC178" i="8"/>
  <c r="F177" i="9" s="1"/>
  <c r="AB178" i="8"/>
  <c r="E177" i="9" s="1"/>
  <c r="AA178" i="8"/>
  <c r="D177" i="9" s="1"/>
  <c r="Z178" i="8"/>
  <c r="C177" i="9" s="1"/>
  <c r="Y178" i="8"/>
  <c r="X178"/>
  <c r="AD177"/>
  <c r="G176" i="9" s="1"/>
  <c r="AC177" i="8"/>
  <c r="F176" i="9" s="1"/>
  <c r="AB177" i="8"/>
  <c r="E176" i="9" s="1"/>
  <c r="AA177" i="8"/>
  <c r="D176" i="9" s="1"/>
  <c r="Z177" i="8"/>
  <c r="C176" i="9" s="1"/>
  <c r="Y177" i="8"/>
  <c r="X177"/>
  <c r="AD176"/>
  <c r="G175" i="9" s="1"/>
  <c r="AC176" i="8"/>
  <c r="F175" i="9" s="1"/>
  <c r="AB176" i="8"/>
  <c r="E175" i="9" s="1"/>
  <c r="AA176" i="8"/>
  <c r="D175" i="9" s="1"/>
  <c r="Z176" i="8"/>
  <c r="C175" i="9" s="1"/>
  <c r="Y176" i="8"/>
  <c r="X176"/>
  <c r="AD175"/>
  <c r="G174" i="9" s="1"/>
  <c r="AC175" i="8"/>
  <c r="F174" i="9" s="1"/>
  <c r="AB175" i="8"/>
  <c r="E174" i="9" s="1"/>
  <c r="AA175" i="8"/>
  <c r="D174" i="9" s="1"/>
  <c r="Z175" i="8"/>
  <c r="C174" i="9" s="1"/>
  <c r="Y175" i="8"/>
  <c r="X175"/>
  <c r="AD174"/>
  <c r="G173" i="9" s="1"/>
  <c r="AC174" i="8"/>
  <c r="F173" i="9" s="1"/>
  <c r="AB174" i="8"/>
  <c r="E173" i="9" s="1"/>
  <c r="AA174" i="8"/>
  <c r="D173" i="9" s="1"/>
  <c r="Z174" i="8"/>
  <c r="C173" i="9" s="1"/>
  <c r="Y174" i="8"/>
  <c r="X174"/>
  <c r="AD173"/>
  <c r="G172" i="9" s="1"/>
  <c r="AC173" i="8"/>
  <c r="F172" i="9" s="1"/>
  <c r="AB173" i="8"/>
  <c r="E172" i="9" s="1"/>
  <c r="AA173" i="8"/>
  <c r="D172" i="9" s="1"/>
  <c r="Z173" i="8"/>
  <c r="C172" i="9" s="1"/>
  <c r="Y173" i="8"/>
  <c r="X173"/>
  <c r="AD172"/>
  <c r="G171" i="9" s="1"/>
  <c r="AC172" i="8"/>
  <c r="F171" i="9" s="1"/>
  <c r="AB172" i="8"/>
  <c r="E171" i="9" s="1"/>
  <c r="AA172" i="8"/>
  <c r="D171" i="9" s="1"/>
  <c r="Z172" i="8"/>
  <c r="C171" i="9" s="1"/>
  <c r="Y172" i="8"/>
  <c r="X172"/>
  <c r="AD171"/>
  <c r="G170" i="9" s="1"/>
  <c r="AC171" i="8"/>
  <c r="F170" i="9" s="1"/>
  <c r="AB171" i="8"/>
  <c r="E170" i="9" s="1"/>
  <c r="AA171" i="8"/>
  <c r="D170" i="9" s="1"/>
  <c r="Z171" i="8"/>
  <c r="C170" i="9" s="1"/>
  <c r="Y171" i="8"/>
  <c r="X171"/>
  <c r="AD170"/>
  <c r="G169" i="9" s="1"/>
  <c r="AC170" i="8"/>
  <c r="F169" i="9" s="1"/>
  <c r="AB170" i="8"/>
  <c r="E169" i="9" s="1"/>
  <c r="AA170" i="8"/>
  <c r="D169" i="9" s="1"/>
  <c r="Z170" i="8"/>
  <c r="C169" i="9" s="1"/>
  <c r="Y170" i="8"/>
  <c r="X170"/>
  <c r="AD169"/>
  <c r="G168" i="9" s="1"/>
  <c r="AC169" i="8"/>
  <c r="F168" i="9" s="1"/>
  <c r="AB169" i="8"/>
  <c r="E168" i="9" s="1"/>
  <c r="AA169" i="8"/>
  <c r="D168" i="9" s="1"/>
  <c r="Z169" i="8"/>
  <c r="C168" i="9" s="1"/>
  <c r="Y169" i="8"/>
  <c r="X169"/>
  <c r="AD168"/>
  <c r="G167" i="9" s="1"/>
  <c r="AC168" i="8"/>
  <c r="F167" i="9" s="1"/>
  <c r="AB168" i="8"/>
  <c r="E167" i="9" s="1"/>
  <c r="AA168" i="8"/>
  <c r="D167" i="9" s="1"/>
  <c r="Z168" i="8"/>
  <c r="C167" i="9" s="1"/>
  <c r="Y168" i="8"/>
  <c r="X168"/>
  <c r="AD167"/>
  <c r="G166" i="9" s="1"/>
  <c r="AC167" i="8"/>
  <c r="F166" i="9" s="1"/>
  <c r="AB167" i="8"/>
  <c r="E166" i="9" s="1"/>
  <c r="AA167" i="8"/>
  <c r="D166" i="9" s="1"/>
  <c r="Z167" i="8"/>
  <c r="C166" i="9" s="1"/>
  <c r="Y167" i="8"/>
  <c r="X167"/>
  <c r="AD166"/>
  <c r="G165" i="9" s="1"/>
  <c r="AC166" i="8"/>
  <c r="F165" i="9" s="1"/>
  <c r="AB166" i="8"/>
  <c r="E165" i="9" s="1"/>
  <c r="AA166" i="8"/>
  <c r="D165" i="9" s="1"/>
  <c r="Z166" i="8"/>
  <c r="C165" i="9" s="1"/>
  <c r="Y166" i="8"/>
  <c r="X166"/>
  <c r="AD165"/>
  <c r="G164" i="9" s="1"/>
  <c r="AC165" i="8"/>
  <c r="F164" i="9" s="1"/>
  <c r="AB165" i="8"/>
  <c r="E164" i="9" s="1"/>
  <c r="AA165" i="8"/>
  <c r="D164" i="9" s="1"/>
  <c r="Z165" i="8"/>
  <c r="C164" i="9" s="1"/>
  <c r="Y165" i="8"/>
  <c r="X165"/>
  <c r="AD164"/>
  <c r="G163" i="9" s="1"/>
  <c r="AC164" i="8"/>
  <c r="F163" i="9" s="1"/>
  <c r="AB164" i="8"/>
  <c r="E163" i="9" s="1"/>
  <c r="AA164" i="8"/>
  <c r="D163" i="9" s="1"/>
  <c r="Z164" i="8"/>
  <c r="C163" i="9" s="1"/>
  <c r="Y164" i="8"/>
  <c r="X164"/>
  <c r="AD163"/>
  <c r="G162" i="9" s="1"/>
  <c r="AC163" i="8"/>
  <c r="F162" i="9" s="1"/>
  <c r="AB163" i="8"/>
  <c r="E162" i="9" s="1"/>
  <c r="AA163" i="8"/>
  <c r="D162" i="9" s="1"/>
  <c r="Z163" i="8"/>
  <c r="C162" i="9" s="1"/>
  <c r="Y163" i="8"/>
  <c r="X163"/>
  <c r="AD162"/>
  <c r="G161" i="9" s="1"/>
  <c r="AC162" i="8"/>
  <c r="F161" i="9" s="1"/>
  <c r="AB162" i="8"/>
  <c r="E161" i="9" s="1"/>
  <c r="AA162" i="8"/>
  <c r="D161" i="9" s="1"/>
  <c r="Z162" i="8"/>
  <c r="C161" i="9" s="1"/>
  <c r="Y162" i="8"/>
  <c r="X162"/>
  <c r="AD161"/>
  <c r="G160" i="9" s="1"/>
  <c r="AC161" i="8"/>
  <c r="F160" i="9" s="1"/>
  <c r="AB161" i="8"/>
  <c r="E160" i="9" s="1"/>
  <c r="AA161" i="8"/>
  <c r="D160" i="9" s="1"/>
  <c r="Z161" i="8"/>
  <c r="C160" i="9" s="1"/>
  <c r="Y161" i="8"/>
  <c r="X161"/>
  <c r="AD160"/>
  <c r="G159" i="9" s="1"/>
  <c r="AC160" i="8"/>
  <c r="F159" i="9" s="1"/>
  <c r="AB160" i="8"/>
  <c r="E159" i="9" s="1"/>
  <c r="AA160" i="8"/>
  <c r="D159" i="9" s="1"/>
  <c r="Z160" i="8"/>
  <c r="C159" i="9" s="1"/>
  <c r="Y160" i="8"/>
  <c r="X160"/>
  <c r="AD159"/>
  <c r="G158" i="9" s="1"/>
  <c r="AC159" i="8"/>
  <c r="F158" i="9" s="1"/>
  <c r="AB159" i="8"/>
  <c r="E158" i="9" s="1"/>
  <c r="AA159" i="8"/>
  <c r="D158" i="9" s="1"/>
  <c r="Z159" i="8"/>
  <c r="C158" i="9" s="1"/>
  <c r="Y159" i="8"/>
  <c r="X159"/>
  <c r="AD158"/>
  <c r="G157" i="9" s="1"/>
  <c r="AC158" i="8"/>
  <c r="F157" i="9" s="1"/>
  <c r="AB158" i="8"/>
  <c r="E157" i="9" s="1"/>
  <c r="AA158" i="8"/>
  <c r="D157" i="9" s="1"/>
  <c r="Z158" i="8"/>
  <c r="C157" i="9" s="1"/>
  <c r="Y158" i="8"/>
  <c r="X158"/>
  <c r="AD157"/>
  <c r="G156" i="9" s="1"/>
  <c r="AC157" i="8"/>
  <c r="F156" i="9" s="1"/>
  <c r="AB157" i="8"/>
  <c r="E156" i="9" s="1"/>
  <c r="AA157" i="8"/>
  <c r="D156" i="9" s="1"/>
  <c r="Z157" i="8"/>
  <c r="C156" i="9" s="1"/>
  <c r="Y157" i="8"/>
  <c r="X157"/>
  <c r="AD156"/>
  <c r="G155" i="9" s="1"/>
  <c r="AC156" i="8"/>
  <c r="F155" i="9" s="1"/>
  <c r="AB156" i="8"/>
  <c r="E155" i="9" s="1"/>
  <c r="AA156" i="8"/>
  <c r="D155" i="9" s="1"/>
  <c r="Z156" i="8"/>
  <c r="C155" i="9" s="1"/>
  <c r="Y156" i="8"/>
  <c r="X156"/>
  <c r="AD155"/>
  <c r="G154" i="9" s="1"/>
  <c r="AC155" i="8"/>
  <c r="F154" i="9" s="1"/>
  <c r="AB155" i="8"/>
  <c r="E154" i="9" s="1"/>
  <c r="AA155" i="8"/>
  <c r="D154" i="9" s="1"/>
  <c r="Z155" i="8"/>
  <c r="C154" i="9" s="1"/>
  <c r="Y155" i="8"/>
  <c r="X155"/>
  <c r="AD154"/>
  <c r="G153" i="9" s="1"/>
  <c r="AC154" i="8"/>
  <c r="F153" i="9" s="1"/>
  <c r="AB154" i="8"/>
  <c r="E153" i="9" s="1"/>
  <c r="AA154" i="8"/>
  <c r="D153" i="9" s="1"/>
  <c r="Z154" i="8"/>
  <c r="C153" i="9" s="1"/>
  <c r="Y154" i="8"/>
  <c r="X154"/>
  <c r="AD153"/>
  <c r="G152" i="9" s="1"/>
  <c r="AC153" i="8"/>
  <c r="F152" i="9" s="1"/>
  <c r="AB153" i="8"/>
  <c r="E152" i="9" s="1"/>
  <c r="AA153" i="8"/>
  <c r="D152" i="9" s="1"/>
  <c r="Z153" i="8"/>
  <c r="C152" i="9" s="1"/>
  <c r="Y153" i="8"/>
  <c r="X153"/>
  <c r="AD152"/>
  <c r="G151" i="9" s="1"/>
  <c r="AC152" i="8"/>
  <c r="F151" i="9" s="1"/>
  <c r="AB152" i="8"/>
  <c r="E151" i="9" s="1"/>
  <c r="AA152" i="8"/>
  <c r="D151" i="9" s="1"/>
  <c r="Z152" i="8"/>
  <c r="C151" i="9" s="1"/>
  <c r="Y152" i="8"/>
  <c r="X152"/>
  <c r="AD151"/>
  <c r="G150" i="9" s="1"/>
  <c r="AC151" i="8"/>
  <c r="F150" i="9" s="1"/>
  <c r="AB151" i="8"/>
  <c r="E150" i="9" s="1"/>
  <c r="AA151" i="8"/>
  <c r="D150" i="9" s="1"/>
  <c r="Z151" i="8"/>
  <c r="C150" i="9" s="1"/>
  <c r="Y151" i="8"/>
  <c r="X151"/>
  <c r="AD150"/>
  <c r="G149" i="9" s="1"/>
  <c r="AC150" i="8"/>
  <c r="F149" i="9" s="1"/>
  <c r="AB150" i="8"/>
  <c r="E149" i="9" s="1"/>
  <c r="AA150" i="8"/>
  <c r="D149" i="9" s="1"/>
  <c r="Z150" i="8"/>
  <c r="C149" i="9" s="1"/>
  <c r="Y150" i="8"/>
  <c r="X150"/>
  <c r="AD149"/>
  <c r="G148" i="9" s="1"/>
  <c r="AC149" i="8"/>
  <c r="F148" i="9" s="1"/>
  <c r="AB149" i="8"/>
  <c r="E148" i="9" s="1"/>
  <c r="AA149" i="8"/>
  <c r="D148" i="9" s="1"/>
  <c r="Z149" i="8"/>
  <c r="C148" i="9" s="1"/>
  <c r="Y149" i="8"/>
  <c r="X149"/>
  <c r="AD148"/>
  <c r="G147" i="9" s="1"/>
  <c r="AC148" i="8"/>
  <c r="F147" i="9" s="1"/>
  <c r="AB148" i="8"/>
  <c r="E147" i="9" s="1"/>
  <c r="AA148" i="8"/>
  <c r="D147" i="9" s="1"/>
  <c r="Z148" i="8"/>
  <c r="C147" i="9" s="1"/>
  <c r="Y148" i="8"/>
  <c r="X148"/>
  <c r="AD147"/>
  <c r="G146" i="9" s="1"/>
  <c r="AC147" i="8"/>
  <c r="F146" i="9" s="1"/>
  <c r="AB147" i="8"/>
  <c r="E146" i="9" s="1"/>
  <c r="AA147" i="8"/>
  <c r="D146" i="9" s="1"/>
  <c r="Z147" i="8"/>
  <c r="C146" i="9" s="1"/>
  <c r="Y147" i="8"/>
  <c r="X147"/>
  <c r="AD146"/>
  <c r="G145" i="9" s="1"/>
  <c r="AC146" i="8"/>
  <c r="F145" i="9" s="1"/>
  <c r="AB146" i="8"/>
  <c r="E145" i="9" s="1"/>
  <c r="AA146" i="8"/>
  <c r="D145" i="9" s="1"/>
  <c r="Z146" i="8"/>
  <c r="C145" i="9" s="1"/>
  <c r="Y146" i="8"/>
  <c r="X146"/>
  <c r="AD145"/>
  <c r="G144" i="9" s="1"/>
  <c r="AC145" i="8"/>
  <c r="F144" i="9" s="1"/>
  <c r="AB145" i="8"/>
  <c r="E144" i="9" s="1"/>
  <c r="AA145" i="8"/>
  <c r="D144" i="9" s="1"/>
  <c r="Z145" i="8"/>
  <c r="C144" i="9" s="1"/>
  <c r="Y145" i="8"/>
  <c r="X145"/>
  <c r="AD144"/>
  <c r="G143" i="9" s="1"/>
  <c r="AC144" i="8"/>
  <c r="F143" i="9" s="1"/>
  <c r="AB144" i="8"/>
  <c r="E143" i="9" s="1"/>
  <c r="AA144" i="8"/>
  <c r="D143" i="9" s="1"/>
  <c r="Z144" i="8"/>
  <c r="C143" i="9" s="1"/>
  <c r="Y144" i="8"/>
  <c r="X144"/>
  <c r="AD143"/>
  <c r="G142" i="9" s="1"/>
  <c r="AC143" i="8"/>
  <c r="F142" i="9" s="1"/>
  <c r="AB143" i="8"/>
  <c r="E142" i="9" s="1"/>
  <c r="AA143" i="8"/>
  <c r="D142" i="9" s="1"/>
  <c r="Z143" i="8"/>
  <c r="C142" i="9" s="1"/>
  <c r="Y143" i="8"/>
  <c r="X143"/>
  <c r="AD142"/>
  <c r="G141" i="9" s="1"/>
  <c r="AC142" i="8"/>
  <c r="F141" i="9" s="1"/>
  <c r="AB142" i="8"/>
  <c r="E141" i="9" s="1"/>
  <c r="AA142" i="8"/>
  <c r="D141" i="9" s="1"/>
  <c r="Z142" i="8"/>
  <c r="C141" i="9" s="1"/>
  <c r="Y142" i="8"/>
  <c r="X142"/>
  <c r="AD141"/>
  <c r="G140" i="9" s="1"/>
  <c r="AC141" i="8"/>
  <c r="F140" i="9" s="1"/>
  <c r="AB141" i="8"/>
  <c r="E140" i="9" s="1"/>
  <c r="AA141" i="8"/>
  <c r="D140" i="9" s="1"/>
  <c r="Z141" i="8"/>
  <c r="C140" i="9" s="1"/>
  <c r="Y141" i="8"/>
  <c r="X141"/>
  <c r="AD140"/>
  <c r="G139" i="9" s="1"/>
  <c r="AC140" i="8"/>
  <c r="F139" i="9" s="1"/>
  <c r="AB140" i="8"/>
  <c r="E139" i="9" s="1"/>
  <c r="AA140" i="8"/>
  <c r="D139" i="9" s="1"/>
  <c r="Z140" i="8"/>
  <c r="C139" i="9" s="1"/>
  <c r="Y140" i="8"/>
  <c r="X140"/>
  <c r="AD139"/>
  <c r="G138" i="9" s="1"/>
  <c r="AC139" i="8"/>
  <c r="F138" i="9" s="1"/>
  <c r="AB139" i="8"/>
  <c r="E138" i="9" s="1"/>
  <c r="AA139" i="8"/>
  <c r="D138" i="9" s="1"/>
  <c r="Z139" i="8"/>
  <c r="C138" i="9" s="1"/>
  <c r="Y139" i="8"/>
  <c r="X139"/>
  <c r="AD138"/>
  <c r="G137" i="9" s="1"/>
  <c r="AC138" i="8"/>
  <c r="F137" i="9" s="1"/>
  <c r="AB138" i="8"/>
  <c r="E137" i="9" s="1"/>
  <c r="AA138" i="8"/>
  <c r="D137" i="9" s="1"/>
  <c r="Z138" i="8"/>
  <c r="C137" i="9" s="1"/>
  <c r="Y138" i="8"/>
  <c r="X138"/>
  <c r="AD137"/>
  <c r="G136" i="9" s="1"/>
  <c r="AC137" i="8"/>
  <c r="F136" i="9" s="1"/>
  <c r="AB137" i="8"/>
  <c r="E136" i="9" s="1"/>
  <c r="AA137" i="8"/>
  <c r="D136" i="9" s="1"/>
  <c r="Z137" i="8"/>
  <c r="C136" i="9" s="1"/>
  <c r="Y137" i="8"/>
  <c r="X137"/>
  <c r="AD136"/>
  <c r="G135" i="9" s="1"/>
  <c r="AC136" i="8"/>
  <c r="F135" i="9" s="1"/>
  <c r="AB136" i="8"/>
  <c r="E135" i="9" s="1"/>
  <c r="AA136" i="8"/>
  <c r="D135" i="9" s="1"/>
  <c r="Z136" i="8"/>
  <c r="C135" i="9" s="1"/>
  <c r="Y136" i="8"/>
  <c r="X136"/>
  <c r="AD135"/>
  <c r="G134" i="9" s="1"/>
  <c r="AC135" i="8"/>
  <c r="F134" i="9" s="1"/>
  <c r="AB135" i="8"/>
  <c r="E134" i="9" s="1"/>
  <c r="AA135" i="8"/>
  <c r="D134" i="9" s="1"/>
  <c r="Z135" i="8"/>
  <c r="C134" i="9" s="1"/>
  <c r="Y135" i="8"/>
  <c r="X135"/>
  <c r="AD134"/>
  <c r="G133" i="9" s="1"/>
  <c r="AC134" i="8"/>
  <c r="F133" i="9" s="1"/>
  <c r="AB134" i="8"/>
  <c r="E133" i="9" s="1"/>
  <c r="AA134" i="8"/>
  <c r="D133" i="9" s="1"/>
  <c r="Z134" i="8"/>
  <c r="C133" i="9" s="1"/>
  <c r="Y134" i="8"/>
  <c r="X134"/>
  <c r="AD133"/>
  <c r="G132" i="9" s="1"/>
  <c r="AC133" i="8"/>
  <c r="F132" i="9" s="1"/>
  <c r="AB133" i="8"/>
  <c r="E132" i="9" s="1"/>
  <c r="AA133" i="8"/>
  <c r="D132" i="9" s="1"/>
  <c r="Z133" i="8"/>
  <c r="C132" i="9" s="1"/>
  <c r="Y133" i="8"/>
  <c r="X133"/>
  <c r="AD132"/>
  <c r="G131" i="9" s="1"/>
  <c r="AC132" i="8"/>
  <c r="F131" i="9" s="1"/>
  <c r="AB132" i="8"/>
  <c r="E131" i="9" s="1"/>
  <c r="AA132" i="8"/>
  <c r="D131" i="9" s="1"/>
  <c r="Z132" i="8"/>
  <c r="C131" i="9" s="1"/>
  <c r="Y132" i="8"/>
  <c r="X132"/>
  <c r="AD131"/>
  <c r="G130" i="9" s="1"/>
  <c r="AC131" i="8"/>
  <c r="F130" i="9" s="1"/>
  <c r="AB131" i="8"/>
  <c r="E130" i="9" s="1"/>
  <c r="AA131" i="8"/>
  <c r="D130" i="9" s="1"/>
  <c r="Z131" i="8"/>
  <c r="C130" i="9" s="1"/>
  <c r="Y131" i="8"/>
  <c r="X131"/>
  <c r="AD130"/>
  <c r="G129" i="9" s="1"/>
  <c r="AC130" i="8"/>
  <c r="F129" i="9" s="1"/>
  <c r="AB130" i="8"/>
  <c r="E129" i="9" s="1"/>
  <c r="AA130" i="8"/>
  <c r="D129" i="9" s="1"/>
  <c r="Z130" i="8"/>
  <c r="C129" i="9" s="1"/>
  <c r="Y130" i="8"/>
  <c r="X130"/>
  <c r="AD129"/>
  <c r="G128" i="9" s="1"/>
  <c r="AC129" i="8"/>
  <c r="F128" i="9" s="1"/>
  <c r="AB129" i="8"/>
  <c r="E128" i="9" s="1"/>
  <c r="AA129" i="8"/>
  <c r="D128" i="9" s="1"/>
  <c r="Z129" i="8"/>
  <c r="C128" i="9" s="1"/>
  <c r="Y129" i="8"/>
  <c r="X129"/>
  <c r="AD128"/>
  <c r="G127" i="9" s="1"/>
  <c r="AC128" i="8"/>
  <c r="F127" i="9" s="1"/>
  <c r="AB128" i="8"/>
  <c r="E127" i="9" s="1"/>
  <c r="AA128" i="8"/>
  <c r="D127" i="9" s="1"/>
  <c r="Z128" i="8"/>
  <c r="C127" i="9" s="1"/>
  <c r="Y128" i="8"/>
  <c r="X128"/>
  <c r="AD127"/>
  <c r="G126" i="9" s="1"/>
  <c r="AC127" i="8"/>
  <c r="F126" i="9" s="1"/>
  <c r="AB127" i="8"/>
  <c r="E126" i="9" s="1"/>
  <c r="AA127" i="8"/>
  <c r="D126" i="9" s="1"/>
  <c r="Z127" i="8"/>
  <c r="C126" i="9" s="1"/>
  <c r="Y127" i="8"/>
  <c r="X127"/>
  <c r="AD126"/>
  <c r="G125" i="9" s="1"/>
  <c r="AC126" i="8"/>
  <c r="F125" i="9" s="1"/>
  <c r="AB126" i="8"/>
  <c r="E125" i="9" s="1"/>
  <c r="AA126" i="8"/>
  <c r="D125" i="9" s="1"/>
  <c r="Z126" i="8"/>
  <c r="C125" i="9" s="1"/>
  <c r="Y126" i="8"/>
  <c r="X126"/>
  <c r="AD125"/>
  <c r="G124" i="9" s="1"/>
  <c r="AC125" i="8"/>
  <c r="F124" i="9" s="1"/>
  <c r="AB125" i="8"/>
  <c r="E124" i="9" s="1"/>
  <c r="AA125" i="8"/>
  <c r="D124" i="9" s="1"/>
  <c r="Z125" i="8"/>
  <c r="C124" i="9" s="1"/>
  <c r="Y125" i="8"/>
  <c r="X125"/>
  <c r="AD124"/>
  <c r="G123" i="9" s="1"/>
  <c r="AC124" i="8"/>
  <c r="F123" i="9" s="1"/>
  <c r="AB124" i="8"/>
  <c r="E123" i="9" s="1"/>
  <c r="AA124" i="8"/>
  <c r="D123" i="9" s="1"/>
  <c r="Z124" i="8"/>
  <c r="C123" i="9" s="1"/>
  <c r="Y124" i="8"/>
  <c r="X124"/>
  <c r="AD123"/>
  <c r="G122" i="9" s="1"/>
  <c r="AC123" i="8"/>
  <c r="F122" i="9" s="1"/>
  <c r="AB123" i="8"/>
  <c r="E122" i="9" s="1"/>
  <c r="AA123" i="8"/>
  <c r="D122" i="9" s="1"/>
  <c r="Z123" i="8"/>
  <c r="C122" i="9" s="1"/>
  <c r="Y123" i="8"/>
  <c r="X123"/>
  <c r="AD122"/>
  <c r="G121" i="9" s="1"/>
  <c r="AC122" i="8"/>
  <c r="F121" i="9" s="1"/>
  <c r="AB122" i="8"/>
  <c r="E121" i="9" s="1"/>
  <c r="AA122" i="8"/>
  <c r="D121" i="9" s="1"/>
  <c r="Z122" i="8"/>
  <c r="C121" i="9" s="1"/>
  <c r="Y122" i="8"/>
  <c r="X122"/>
  <c r="AD121"/>
  <c r="G120" i="9" s="1"/>
  <c r="AC121" i="8"/>
  <c r="F120" i="9" s="1"/>
  <c r="AB121" i="8"/>
  <c r="E120" i="9" s="1"/>
  <c r="AA121" i="8"/>
  <c r="D120" i="9" s="1"/>
  <c r="Z121" i="8"/>
  <c r="C120" i="9" s="1"/>
  <c r="Y121" i="8"/>
  <c r="X121"/>
  <c r="AD120"/>
  <c r="G119" i="9" s="1"/>
  <c r="AC120" i="8"/>
  <c r="F119" i="9" s="1"/>
  <c r="AB120" i="8"/>
  <c r="E119" i="9" s="1"/>
  <c r="AA120" i="8"/>
  <c r="D119" i="9" s="1"/>
  <c r="Z120" i="8"/>
  <c r="C119" i="9" s="1"/>
  <c r="Y120" i="8"/>
  <c r="X120"/>
  <c r="AD119"/>
  <c r="G118" i="9" s="1"/>
  <c r="AC119" i="8"/>
  <c r="F118" i="9" s="1"/>
  <c r="AB119" i="8"/>
  <c r="E118" i="9" s="1"/>
  <c r="AA119" i="8"/>
  <c r="D118" i="9" s="1"/>
  <c r="Z119" i="8"/>
  <c r="C118" i="9" s="1"/>
  <c r="Y119" i="8"/>
  <c r="X119"/>
  <c r="AD118"/>
  <c r="G117" i="9" s="1"/>
  <c r="AC118" i="8"/>
  <c r="F117" i="9" s="1"/>
  <c r="AB118" i="8"/>
  <c r="E117" i="9" s="1"/>
  <c r="AA118" i="8"/>
  <c r="D117" i="9" s="1"/>
  <c r="Z118" i="8"/>
  <c r="C117" i="9" s="1"/>
  <c r="Y118" i="8"/>
  <c r="X118"/>
  <c r="AD117"/>
  <c r="G116" i="9" s="1"/>
  <c r="AC117" i="8"/>
  <c r="F116" i="9" s="1"/>
  <c r="AB117" i="8"/>
  <c r="E116" i="9" s="1"/>
  <c r="AA117" i="8"/>
  <c r="D116" i="9" s="1"/>
  <c r="Z117" i="8"/>
  <c r="C116" i="9" s="1"/>
  <c r="Y117" i="8"/>
  <c r="X117"/>
  <c r="AD116"/>
  <c r="G115" i="9" s="1"/>
  <c r="AC116" i="8"/>
  <c r="F115" i="9" s="1"/>
  <c r="AB116" i="8"/>
  <c r="E115" i="9" s="1"/>
  <c r="AA116" i="8"/>
  <c r="D115" i="9" s="1"/>
  <c r="Z116" i="8"/>
  <c r="C115" i="9" s="1"/>
  <c r="Y116" i="8"/>
  <c r="X116"/>
  <c r="AD115"/>
  <c r="G114" i="9" s="1"/>
  <c r="AC115" i="8"/>
  <c r="F114" i="9" s="1"/>
  <c r="AB115" i="8"/>
  <c r="E114" i="9" s="1"/>
  <c r="AA115" i="8"/>
  <c r="D114" i="9" s="1"/>
  <c r="Z115" i="8"/>
  <c r="C114" i="9" s="1"/>
  <c r="Y115" i="8"/>
  <c r="X115"/>
  <c r="AD114"/>
  <c r="G113" i="9" s="1"/>
  <c r="AC114" i="8"/>
  <c r="F113" i="9" s="1"/>
  <c r="AB114" i="8"/>
  <c r="E113" i="9" s="1"/>
  <c r="AA114" i="8"/>
  <c r="D113" i="9" s="1"/>
  <c r="Z114" i="8"/>
  <c r="C113" i="9" s="1"/>
  <c r="Y114" i="8"/>
  <c r="X114"/>
  <c r="AD113"/>
  <c r="G112" i="9" s="1"/>
  <c r="AC113" i="8"/>
  <c r="F112" i="9" s="1"/>
  <c r="AB113" i="8"/>
  <c r="E112" i="9" s="1"/>
  <c r="AA113" i="8"/>
  <c r="D112" i="9" s="1"/>
  <c r="Z113" i="8"/>
  <c r="C112" i="9" s="1"/>
  <c r="Y113" i="8"/>
  <c r="X113"/>
  <c r="AD112"/>
  <c r="G111" i="9" s="1"/>
  <c r="AC112" i="8"/>
  <c r="F111" i="9" s="1"/>
  <c r="AB112" i="8"/>
  <c r="E111" i="9" s="1"/>
  <c r="AA112" i="8"/>
  <c r="D111" i="9" s="1"/>
  <c r="Z112" i="8"/>
  <c r="C111" i="9" s="1"/>
  <c r="Y112" i="8"/>
  <c r="X112"/>
  <c r="AD111"/>
  <c r="G110" i="9" s="1"/>
  <c r="AC111" i="8"/>
  <c r="F110" i="9" s="1"/>
  <c r="AB111" i="8"/>
  <c r="E110" i="9" s="1"/>
  <c r="AA111" i="8"/>
  <c r="D110" i="9" s="1"/>
  <c r="Z111" i="8"/>
  <c r="C110" i="9" s="1"/>
  <c r="Y111" i="8"/>
  <c r="X111"/>
  <c r="AD110"/>
  <c r="G109" i="9" s="1"/>
  <c r="AC110" i="8"/>
  <c r="F109" i="9" s="1"/>
  <c r="AB110" i="8"/>
  <c r="E109" i="9" s="1"/>
  <c r="AA110" i="8"/>
  <c r="D109" i="9" s="1"/>
  <c r="Z110" i="8"/>
  <c r="C109" i="9" s="1"/>
  <c r="Y110" i="8"/>
  <c r="X110"/>
  <c r="AD109"/>
  <c r="G108" i="9" s="1"/>
  <c r="AC109" i="8"/>
  <c r="F108" i="9" s="1"/>
  <c r="AB109" i="8"/>
  <c r="E108" i="9" s="1"/>
  <c r="AA109" i="8"/>
  <c r="D108" i="9" s="1"/>
  <c r="Z109" i="8"/>
  <c r="C108" i="9" s="1"/>
  <c r="Y109" i="8"/>
  <c r="X109"/>
  <c r="AD108"/>
  <c r="G107" i="9" s="1"/>
  <c r="AC108" i="8"/>
  <c r="F107" i="9" s="1"/>
  <c r="AB108" i="8"/>
  <c r="E107" i="9" s="1"/>
  <c r="AA108" i="8"/>
  <c r="D107" i="9" s="1"/>
  <c r="Z108" i="8"/>
  <c r="C107" i="9" s="1"/>
  <c r="Y108" i="8"/>
  <c r="X108"/>
  <c r="AD107"/>
  <c r="G106" i="9" s="1"/>
  <c r="AC107" i="8"/>
  <c r="F106" i="9" s="1"/>
  <c r="AB107" i="8"/>
  <c r="E106" i="9" s="1"/>
  <c r="AA107" i="8"/>
  <c r="D106" i="9" s="1"/>
  <c r="Z107" i="8"/>
  <c r="C106" i="9" s="1"/>
  <c r="Y107" i="8"/>
  <c r="X107"/>
  <c r="AD106"/>
  <c r="G105" i="9" s="1"/>
  <c r="AC106" i="8"/>
  <c r="F105" i="9" s="1"/>
  <c r="AB106" i="8"/>
  <c r="E105" i="9" s="1"/>
  <c r="AA106" i="8"/>
  <c r="D105" i="9" s="1"/>
  <c r="Z106" i="8"/>
  <c r="C105" i="9" s="1"/>
  <c r="Y106" i="8"/>
  <c r="X106"/>
  <c r="AD105"/>
  <c r="G104" i="9" s="1"/>
  <c r="AC105" i="8"/>
  <c r="F104" i="9" s="1"/>
  <c r="AB105" i="8"/>
  <c r="E104" i="9" s="1"/>
  <c r="AA105" i="8"/>
  <c r="D104" i="9" s="1"/>
  <c r="Z105" i="8"/>
  <c r="C104" i="9" s="1"/>
  <c r="Y105" i="8"/>
  <c r="X105"/>
  <c r="AD104"/>
  <c r="G103" i="9" s="1"/>
  <c r="AC104" i="8"/>
  <c r="F103" i="9" s="1"/>
  <c r="AB104" i="8"/>
  <c r="E103" i="9" s="1"/>
  <c r="AA104" i="8"/>
  <c r="D103" i="9" s="1"/>
  <c r="Z104" i="8"/>
  <c r="C103" i="9" s="1"/>
  <c r="Y104" i="8"/>
  <c r="X104"/>
  <c r="AD103"/>
  <c r="G102" i="9" s="1"/>
  <c r="AC103" i="8"/>
  <c r="F102" i="9" s="1"/>
  <c r="AB103" i="8"/>
  <c r="E102" i="9" s="1"/>
  <c r="AA103" i="8"/>
  <c r="D102" i="9" s="1"/>
  <c r="Z103" i="8"/>
  <c r="C102" i="9" s="1"/>
  <c r="Y103" i="8"/>
  <c r="X103"/>
  <c r="AD102"/>
  <c r="G101" i="9" s="1"/>
  <c r="AC102" i="8"/>
  <c r="F101" i="9" s="1"/>
  <c r="AB102" i="8"/>
  <c r="E101" i="9" s="1"/>
  <c r="AA102" i="8"/>
  <c r="D101" i="9" s="1"/>
  <c r="Z102" i="8"/>
  <c r="C101" i="9" s="1"/>
  <c r="Y102" i="8"/>
  <c r="X102"/>
  <c r="AD101"/>
  <c r="G100" i="9" s="1"/>
  <c r="AC101" i="8"/>
  <c r="F100" i="9" s="1"/>
  <c r="AB101" i="8"/>
  <c r="E100" i="9" s="1"/>
  <c r="AA101" i="8"/>
  <c r="D100" i="9" s="1"/>
  <c r="Z101" i="8"/>
  <c r="C100" i="9" s="1"/>
  <c r="Y101" i="8"/>
  <c r="X101"/>
  <c r="AD100"/>
  <c r="G99" i="9" s="1"/>
  <c r="AC100" i="8"/>
  <c r="F99" i="9" s="1"/>
  <c r="AB100" i="8"/>
  <c r="E99" i="9" s="1"/>
  <c r="AA100" i="8"/>
  <c r="D99" i="9" s="1"/>
  <c r="Z100" i="8"/>
  <c r="C99" i="9" s="1"/>
  <c r="Y100" i="8"/>
  <c r="X100"/>
  <c r="AD99"/>
  <c r="G98" i="9" s="1"/>
  <c r="AC99" i="8"/>
  <c r="F98" i="9" s="1"/>
  <c r="AB99" i="8"/>
  <c r="E98" i="9" s="1"/>
  <c r="AA99" i="8"/>
  <c r="D98" i="9" s="1"/>
  <c r="Z99" i="8"/>
  <c r="C98" i="9" s="1"/>
  <c r="Y99" i="8"/>
  <c r="X99"/>
  <c r="AD98"/>
  <c r="G97" i="9" s="1"/>
  <c r="AC98" i="8"/>
  <c r="F97" i="9" s="1"/>
  <c r="AB98" i="8"/>
  <c r="E97" i="9" s="1"/>
  <c r="AA98" i="8"/>
  <c r="D97" i="9" s="1"/>
  <c r="Z98" i="8"/>
  <c r="C97" i="9" s="1"/>
  <c r="Y98" i="8"/>
  <c r="X98"/>
  <c r="AD97"/>
  <c r="G96" i="9" s="1"/>
  <c r="AC97" i="8"/>
  <c r="F96" i="9" s="1"/>
  <c r="AB97" i="8"/>
  <c r="E96" i="9" s="1"/>
  <c r="AA97" i="8"/>
  <c r="D96" i="9" s="1"/>
  <c r="Z97" i="8"/>
  <c r="C96" i="9" s="1"/>
  <c r="Y97" i="8"/>
  <c r="X97"/>
  <c r="AD96"/>
  <c r="G95" i="9" s="1"/>
  <c r="AC96" i="8"/>
  <c r="F95" i="9" s="1"/>
  <c r="AB96" i="8"/>
  <c r="E95" i="9" s="1"/>
  <c r="AA96" i="8"/>
  <c r="D95" i="9" s="1"/>
  <c r="Z96" i="8"/>
  <c r="C95" i="9" s="1"/>
  <c r="Y96" i="8"/>
  <c r="X96"/>
  <c r="AD95"/>
  <c r="G94" i="9" s="1"/>
  <c r="AC95" i="8"/>
  <c r="F94" i="9" s="1"/>
  <c r="AB95" i="8"/>
  <c r="E94" i="9" s="1"/>
  <c r="AA95" i="8"/>
  <c r="D94" i="9" s="1"/>
  <c r="Z95" i="8"/>
  <c r="C94" i="9" s="1"/>
  <c r="Y95" i="8"/>
  <c r="X95"/>
  <c r="AD94"/>
  <c r="G93" i="9" s="1"/>
  <c r="AC94" i="8"/>
  <c r="F93" i="9" s="1"/>
  <c r="AB94" i="8"/>
  <c r="E93" i="9" s="1"/>
  <c r="AA94" i="8"/>
  <c r="D93" i="9" s="1"/>
  <c r="Z94" i="8"/>
  <c r="C93" i="9" s="1"/>
  <c r="Y94" i="8"/>
  <c r="X94"/>
  <c r="AD93"/>
  <c r="G92" i="9" s="1"/>
  <c r="AC93" i="8"/>
  <c r="F92" i="9" s="1"/>
  <c r="AB93" i="8"/>
  <c r="E92" i="9" s="1"/>
  <c r="AA93" i="8"/>
  <c r="D92" i="9" s="1"/>
  <c r="Z93" i="8"/>
  <c r="C92" i="9" s="1"/>
  <c r="Y93" i="8"/>
  <c r="X93"/>
  <c r="AD92"/>
  <c r="G91" i="9" s="1"/>
  <c r="AC92" i="8"/>
  <c r="F91" i="9" s="1"/>
  <c r="AB92" i="8"/>
  <c r="E91" i="9" s="1"/>
  <c r="AA92" i="8"/>
  <c r="D91" i="9" s="1"/>
  <c r="Z92" i="8"/>
  <c r="C91" i="9" s="1"/>
  <c r="Y92" i="8"/>
  <c r="X92"/>
  <c r="AD91"/>
  <c r="G90" i="9" s="1"/>
  <c r="AC91" i="8"/>
  <c r="F90" i="9" s="1"/>
  <c r="AB91" i="8"/>
  <c r="E90" i="9" s="1"/>
  <c r="AA91" i="8"/>
  <c r="D90" i="9" s="1"/>
  <c r="Z91" i="8"/>
  <c r="C90" i="9" s="1"/>
  <c r="Y91" i="8"/>
  <c r="X91"/>
  <c r="AD90"/>
  <c r="G89" i="9" s="1"/>
  <c r="AC90" i="8"/>
  <c r="F89" i="9" s="1"/>
  <c r="AB90" i="8"/>
  <c r="E89" i="9" s="1"/>
  <c r="AA90" i="8"/>
  <c r="D89" i="9" s="1"/>
  <c r="Z90" i="8"/>
  <c r="C89" i="9" s="1"/>
  <c r="Y90" i="8"/>
  <c r="X90"/>
  <c r="AD89"/>
  <c r="G88" i="9" s="1"/>
  <c r="AC89" i="8"/>
  <c r="F88" i="9" s="1"/>
  <c r="AB89" i="8"/>
  <c r="E88" i="9" s="1"/>
  <c r="AA89" i="8"/>
  <c r="D88" i="9" s="1"/>
  <c r="Z89" i="8"/>
  <c r="C88" i="9" s="1"/>
  <c r="Y89" i="8"/>
  <c r="X89"/>
  <c r="AD88"/>
  <c r="G87" i="9" s="1"/>
  <c r="AC88" i="8"/>
  <c r="F87" i="9" s="1"/>
  <c r="AB88" i="8"/>
  <c r="E87" i="9" s="1"/>
  <c r="AA88" i="8"/>
  <c r="D87" i="9" s="1"/>
  <c r="Z88" i="8"/>
  <c r="C87" i="9" s="1"/>
  <c r="Y88" i="8"/>
  <c r="X88"/>
  <c r="AD87"/>
  <c r="G86" i="9" s="1"/>
  <c r="AC87" i="8"/>
  <c r="F86" i="9" s="1"/>
  <c r="AB87" i="8"/>
  <c r="E86" i="9" s="1"/>
  <c r="AA87" i="8"/>
  <c r="D86" i="9" s="1"/>
  <c r="Z87" i="8"/>
  <c r="C86" i="9" s="1"/>
  <c r="Y87" i="8"/>
  <c r="X87"/>
  <c r="AD86"/>
  <c r="G85" i="9" s="1"/>
  <c r="AC86" i="8"/>
  <c r="F85" i="9" s="1"/>
  <c r="AB86" i="8"/>
  <c r="E85" i="9" s="1"/>
  <c r="AA86" i="8"/>
  <c r="D85" i="9" s="1"/>
  <c r="Z86" i="8"/>
  <c r="C85" i="9" s="1"/>
  <c r="Y86" i="8"/>
  <c r="X86"/>
  <c r="AD85"/>
  <c r="G84" i="9" s="1"/>
  <c r="AC85" i="8"/>
  <c r="F84" i="9" s="1"/>
  <c r="AB85" i="8"/>
  <c r="E84" i="9" s="1"/>
  <c r="AA85" i="8"/>
  <c r="D84" i="9" s="1"/>
  <c r="Z85" i="8"/>
  <c r="C84" i="9" s="1"/>
  <c r="Y85" i="8"/>
  <c r="X85"/>
  <c r="AD84"/>
  <c r="G83" i="9" s="1"/>
  <c r="AC84" i="8"/>
  <c r="F83" i="9" s="1"/>
  <c r="AB84" i="8"/>
  <c r="E83" i="9" s="1"/>
  <c r="AA84" i="8"/>
  <c r="D83" i="9" s="1"/>
  <c r="Z84" i="8"/>
  <c r="C83" i="9" s="1"/>
  <c r="Y84" i="8"/>
  <c r="X84"/>
  <c r="AD83"/>
  <c r="G82" i="9" s="1"/>
  <c r="AC83" i="8"/>
  <c r="F82" i="9" s="1"/>
  <c r="AB83" i="8"/>
  <c r="E82" i="9" s="1"/>
  <c r="AA83" i="8"/>
  <c r="D82" i="9" s="1"/>
  <c r="Z83" i="8"/>
  <c r="C82" i="9" s="1"/>
  <c r="Y83" i="8"/>
  <c r="X83"/>
  <c r="AD82"/>
  <c r="G81" i="9" s="1"/>
  <c r="AC82" i="8"/>
  <c r="F81" i="9" s="1"/>
  <c r="AB82" i="8"/>
  <c r="E81" i="9" s="1"/>
  <c r="AA82" i="8"/>
  <c r="D81" i="9" s="1"/>
  <c r="Z82" i="8"/>
  <c r="C81" i="9" s="1"/>
  <c r="Y82" i="8"/>
  <c r="X82"/>
  <c r="AD81"/>
  <c r="G80" i="9" s="1"/>
  <c r="AC81" i="8"/>
  <c r="F80" i="9" s="1"/>
  <c r="AB81" i="8"/>
  <c r="E80" i="9" s="1"/>
  <c r="AA81" i="8"/>
  <c r="D80" i="9" s="1"/>
  <c r="Z81" i="8"/>
  <c r="C80" i="9" s="1"/>
  <c r="Y81" i="8"/>
  <c r="X81"/>
  <c r="AD80"/>
  <c r="G79" i="9" s="1"/>
  <c r="AC80" i="8"/>
  <c r="F79" i="9" s="1"/>
  <c r="AB80" i="8"/>
  <c r="E79" i="9" s="1"/>
  <c r="AA80" i="8"/>
  <c r="D79" i="9" s="1"/>
  <c r="Z80" i="8"/>
  <c r="C79" i="9" s="1"/>
  <c r="Y80" i="8"/>
  <c r="X80"/>
  <c r="AD79"/>
  <c r="G78" i="9" s="1"/>
  <c r="AC79" i="8"/>
  <c r="F78" i="9" s="1"/>
  <c r="AB79" i="8"/>
  <c r="E78" i="9" s="1"/>
  <c r="AA79" i="8"/>
  <c r="D78" i="9" s="1"/>
  <c r="Z79" i="8"/>
  <c r="C78" i="9" s="1"/>
  <c r="Y79" i="8"/>
  <c r="X79"/>
  <c r="AD78"/>
  <c r="G77" i="9" s="1"/>
  <c r="AC78" i="8"/>
  <c r="F77" i="9" s="1"/>
  <c r="AB78" i="8"/>
  <c r="E77" i="9" s="1"/>
  <c r="AA78" i="8"/>
  <c r="D77" i="9" s="1"/>
  <c r="Z78" i="8"/>
  <c r="C77" i="9" s="1"/>
  <c r="Y78" i="8"/>
  <c r="X78"/>
  <c r="AD77"/>
  <c r="G76" i="9" s="1"/>
  <c r="AC77" i="8"/>
  <c r="F76" i="9" s="1"/>
  <c r="AB77" i="8"/>
  <c r="E76" i="9" s="1"/>
  <c r="AA77" i="8"/>
  <c r="D76" i="9" s="1"/>
  <c r="Z77" i="8"/>
  <c r="C76" i="9" s="1"/>
  <c r="Y77" i="8"/>
  <c r="X77"/>
  <c r="AD76"/>
  <c r="G75" i="9" s="1"/>
  <c r="AC76" i="8"/>
  <c r="F75" i="9" s="1"/>
  <c r="AB76" i="8"/>
  <c r="E75" i="9" s="1"/>
  <c r="AA76" i="8"/>
  <c r="D75" i="9" s="1"/>
  <c r="Z76" i="8"/>
  <c r="C75" i="9" s="1"/>
  <c r="Y76" i="8"/>
  <c r="X76"/>
  <c r="AD75"/>
  <c r="G74" i="9" s="1"/>
  <c r="AC75" i="8"/>
  <c r="F74" i="9" s="1"/>
  <c r="AB75" i="8"/>
  <c r="E74" i="9" s="1"/>
  <c r="AA75" i="8"/>
  <c r="D74" i="9" s="1"/>
  <c r="Z75" i="8"/>
  <c r="C74" i="9" s="1"/>
  <c r="Y75" i="8"/>
  <c r="X75"/>
  <c r="AD74"/>
  <c r="G73" i="9" s="1"/>
  <c r="AC74" i="8"/>
  <c r="F73" i="9" s="1"/>
  <c r="AB74" i="8"/>
  <c r="E73" i="9" s="1"/>
  <c r="AA74" i="8"/>
  <c r="D73" i="9" s="1"/>
  <c r="Z74" i="8"/>
  <c r="C73" i="9" s="1"/>
  <c r="Y74" i="8"/>
  <c r="X74"/>
  <c r="AD73"/>
  <c r="G72" i="9" s="1"/>
  <c r="AC73" i="8"/>
  <c r="F72" i="9" s="1"/>
  <c r="AB73" i="8"/>
  <c r="E72" i="9" s="1"/>
  <c r="AA73" i="8"/>
  <c r="D72" i="9" s="1"/>
  <c r="Z73" i="8"/>
  <c r="C72" i="9" s="1"/>
  <c r="Y73" i="8"/>
  <c r="X73"/>
  <c r="AD72"/>
  <c r="G71" i="9" s="1"/>
  <c r="AC72" i="8"/>
  <c r="F71" i="9" s="1"/>
  <c r="AB72" i="8"/>
  <c r="E71" i="9" s="1"/>
  <c r="AA72" i="8"/>
  <c r="D71" i="9" s="1"/>
  <c r="Z72" i="8"/>
  <c r="C71" i="9" s="1"/>
  <c r="Y72" i="8"/>
  <c r="X72"/>
  <c r="AD71"/>
  <c r="G70" i="9" s="1"/>
  <c r="AC71" i="8"/>
  <c r="F70" i="9" s="1"/>
  <c r="AB71" i="8"/>
  <c r="E70" i="9" s="1"/>
  <c r="AA71" i="8"/>
  <c r="D70" i="9" s="1"/>
  <c r="Z71" i="8"/>
  <c r="C70" i="9" s="1"/>
  <c r="Y71" i="8"/>
  <c r="X71"/>
  <c r="AD70"/>
  <c r="G69" i="9" s="1"/>
  <c r="AC70" i="8"/>
  <c r="F69" i="9" s="1"/>
  <c r="AB70" i="8"/>
  <c r="E69" i="9" s="1"/>
  <c r="AA70" i="8"/>
  <c r="D69" i="9" s="1"/>
  <c r="Z70" i="8"/>
  <c r="C69" i="9" s="1"/>
  <c r="Y70" i="8"/>
  <c r="X70"/>
  <c r="AD69"/>
  <c r="G68" i="9" s="1"/>
  <c r="AC69" i="8"/>
  <c r="F68" i="9" s="1"/>
  <c r="AB69" i="8"/>
  <c r="E68" i="9" s="1"/>
  <c r="AA69" i="8"/>
  <c r="D68" i="9" s="1"/>
  <c r="Z69" i="8"/>
  <c r="C68" i="9" s="1"/>
  <c r="Y69" i="8"/>
  <c r="X69"/>
  <c r="AD68"/>
  <c r="G67" i="9" s="1"/>
  <c r="AC68" i="8"/>
  <c r="F67" i="9" s="1"/>
  <c r="AB68" i="8"/>
  <c r="E67" i="9" s="1"/>
  <c r="AA68" i="8"/>
  <c r="D67" i="9" s="1"/>
  <c r="Z68" i="8"/>
  <c r="C67" i="9" s="1"/>
  <c r="Y68" i="8"/>
  <c r="X68"/>
  <c r="AD67"/>
  <c r="G66" i="9" s="1"/>
  <c r="AC67" i="8"/>
  <c r="F66" i="9" s="1"/>
  <c r="AB67" i="8"/>
  <c r="E66" i="9" s="1"/>
  <c r="AA67" i="8"/>
  <c r="D66" i="9" s="1"/>
  <c r="Z67" i="8"/>
  <c r="C66" i="9" s="1"/>
  <c r="Y67" i="8"/>
  <c r="X67"/>
  <c r="AD66"/>
  <c r="G65" i="9" s="1"/>
  <c r="AC66" i="8"/>
  <c r="F65" i="9" s="1"/>
  <c r="AB66" i="8"/>
  <c r="E65" i="9" s="1"/>
  <c r="AA66" i="8"/>
  <c r="D65" i="9" s="1"/>
  <c r="Z66" i="8"/>
  <c r="C65" i="9" s="1"/>
  <c r="Y66" i="8"/>
  <c r="X66"/>
  <c r="AD65"/>
  <c r="G64" i="9" s="1"/>
  <c r="AC65" i="8"/>
  <c r="F64" i="9" s="1"/>
  <c r="AB65" i="8"/>
  <c r="E64" i="9" s="1"/>
  <c r="AA65" i="8"/>
  <c r="D64" i="9" s="1"/>
  <c r="Z65" i="8"/>
  <c r="C64" i="9" s="1"/>
  <c r="Y65" i="8"/>
  <c r="X65"/>
  <c r="AD64"/>
  <c r="G63" i="9" s="1"/>
  <c r="AC64" i="8"/>
  <c r="F63" i="9" s="1"/>
  <c r="AB64" i="8"/>
  <c r="E63" i="9" s="1"/>
  <c r="AA64" i="8"/>
  <c r="D63" i="9" s="1"/>
  <c r="Z64" i="8"/>
  <c r="C63" i="9" s="1"/>
  <c r="Y64" i="8"/>
  <c r="X64"/>
  <c r="AD63"/>
  <c r="G62" i="9" s="1"/>
  <c r="AC63" i="8"/>
  <c r="F62" i="9" s="1"/>
  <c r="AB63" i="8"/>
  <c r="E62" i="9" s="1"/>
  <c r="AA63" i="8"/>
  <c r="D62" i="9" s="1"/>
  <c r="Z63" i="8"/>
  <c r="C62" i="9" s="1"/>
  <c r="Y63" i="8"/>
  <c r="X63"/>
  <c r="AD62"/>
  <c r="G61" i="9" s="1"/>
  <c r="AC62" i="8"/>
  <c r="F61" i="9" s="1"/>
  <c r="AB62" i="8"/>
  <c r="E61" i="9" s="1"/>
  <c r="AA62" i="8"/>
  <c r="D61" i="9" s="1"/>
  <c r="Z62" i="8"/>
  <c r="C61" i="9" s="1"/>
  <c r="Y62" i="8"/>
  <c r="X62"/>
  <c r="AD61"/>
  <c r="G60" i="9" s="1"/>
  <c r="AC61" i="8"/>
  <c r="F60" i="9" s="1"/>
  <c r="AB61" i="8"/>
  <c r="E60" i="9" s="1"/>
  <c r="AA61" i="8"/>
  <c r="D60" i="9" s="1"/>
  <c r="Z61" i="8"/>
  <c r="C60" i="9" s="1"/>
  <c r="Y61" i="8"/>
  <c r="X61"/>
  <c r="AD60"/>
  <c r="G59" i="9" s="1"/>
  <c r="AC60" i="8"/>
  <c r="F59" i="9" s="1"/>
  <c r="AB60" i="8"/>
  <c r="E59" i="9" s="1"/>
  <c r="AA60" i="8"/>
  <c r="D59" i="9" s="1"/>
  <c r="Z60" i="8"/>
  <c r="C59" i="9" s="1"/>
  <c r="Y60" i="8"/>
  <c r="X60"/>
  <c r="AD59"/>
  <c r="G58" i="9" s="1"/>
  <c r="AC59" i="8"/>
  <c r="F58" i="9" s="1"/>
  <c r="AB59" i="8"/>
  <c r="E58" i="9" s="1"/>
  <c r="AA59" i="8"/>
  <c r="D58" i="9" s="1"/>
  <c r="Z59" i="8"/>
  <c r="C58" i="9" s="1"/>
  <c r="Y59" i="8"/>
  <c r="X59"/>
  <c r="AD58"/>
  <c r="G57" i="9" s="1"/>
  <c r="AC58" i="8"/>
  <c r="F57" i="9" s="1"/>
  <c r="AB58" i="8"/>
  <c r="E57" i="9" s="1"/>
  <c r="AA58" i="8"/>
  <c r="D57" i="9" s="1"/>
  <c r="Z58" i="8"/>
  <c r="C57" i="9" s="1"/>
  <c r="Y58" i="8"/>
  <c r="X58"/>
  <c r="AD57"/>
  <c r="G56" i="9" s="1"/>
  <c r="AC57" i="8"/>
  <c r="F56" i="9" s="1"/>
  <c r="AB57" i="8"/>
  <c r="E56" i="9" s="1"/>
  <c r="AA57" i="8"/>
  <c r="D56" i="9" s="1"/>
  <c r="Z57" i="8"/>
  <c r="C56" i="9" s="1"/>
  <c r="Y57" i="8"/>
  <c r="X57"/>
  <c r="AD56"/>
  <c r="G55" i="9" s="1"/>
  <c r="AC56" i="8"/>
  <c r="F55" i="9" s="1"/>
  <c r="AB56" i="8"/>
  <c r="E55" i="9" s="1"/>
  <c r="AA56" i="8"/>
  <c r="D55" i="9" s="1"/>
  <c r="Z56" i="8"/>
  <c r="C55" i="9" s="1"/>
  <c r="Y56" i="8"/>
  <c r="X56"/>
  <c r="AD55"/>
  <c r="G54" i="9" s="1"/>
  <c r="AC55" i="8"/>
  <c r="F54" i="9" s="1"/>
  <c r="AB55" i="8"/>
  <c r="E54" i="9" s="1"/>
  <c r="AA55" i="8"/>
  <c r="D54" i="9" s="1"/>
  <c r="Z55" i="8"/>
  <c r="C54" i="9" s="1"/>
  <c r="Y55" i="8"/>
  <c r="X55"/>
  <c r="AD54"/>
  <c r="G53" i="9" s="1"/>
  <c r="AC54" i="8"/>
  <c r="F53" i="9" s="1"/>
  <c r="AB54" i="8"/>
  <c r="E53" i="9" s="1"/>
  <c r="AA54" i="8"/>
  <c r="D53" i="9" s="1"/>
  <c r="Z54" i="8"/>
  <c r="C53" i="9" s="1"/>
  <c r="Y54" i="8"/>
  <c r="X54"/>
  <c r="AD53"/>
  <c r="G52" i="9" s="1"/>
  <c r="AC53" i="8"/>
  <c r="F52" i="9" s="1"/>
  <c r="AB53" i="8"/>
  <c r="E52" i="9" s="1"/>
  <c r="AA53" i="8"/>
  <c r="D52" i="9" s="1"/>
  <c r="Z53" i="8"/>
  <c r="C52" i="9" s="1"/>
  <c r="Y53" i="8"/>
  <c r="X53"/>
  <c r="AD52"/>
  <c r="G51" i="9" s="1"/>
  <c r="AC52" i="8"/>
  <c r="F51" i="9" s="1"/>
  <c r="AB52" i="8"/>
  <c r="E51" i="9" s="1"/>
  <c r="AA52" i="8"/>
  <c r="D51" i="9" s="1"/>
  <c r="Z52" i="8"/>
  <c r="C51" i="9" s="1"/>
  <c r="Y52" i="8"/>
  <c r="X52"/>
  <c r="AD51"/>
  <c r="G50" i="9" s="1"/>
  <c r="AC51" i="8"/>
  <c r="F50" i="9" s="1"/>
  <c r="AB51" i="8"/>
  <c r="E50" i="9" s="1"/>
  <c r="AA51" i="8"/>
  <c r="D50" i="9" s="1"/>
  <c r="Z51" i="8"/>
  <c r="C50" i="9" s="1"/>
  <c r="Y51" i="8"/>
  <c r="X51"/>
  <c r="AD50"/>
  <c r="G49" i="9" s="1"/>
  <c r="AC50" i="8"/>
  <c r="F49" i="9" s="1"/>
  <c r="AB50" i="8"/>
  <c r="E49" i="9" s="1"/>
  <c r="AA50" i="8"/>
  <c r="D49" i="9" s="1"/>
  <c r="Z50" i="8"/>
  <c r="C49" i="9" s="1"/>
  <c r="Y50" i="8"/>
  <c r="X50"/>
  <c r="AD49"/>
  <c r="G48" i="9" s="1"/>
  <c r="AC49" i="8"/>
  <c r="F48" i="9" s="1"/>
  <c r="AB49" i="8"/>
  <c r="E48" i="9" s="1"/>
  <c r="AA49" i="8"/>
  <c r="D48" i="9" s="1"/>
  <c r="Z49" i="8"/>
  <c r="C48" i="9" s="1"/>
  <c r="Y49" i="8"/>
  <c r="X49"/>
  <c r="AD48"/>
  <c r="G47" i="9" s="1"/>
  <c r="AC48" i="8"/>
  <c r="F47" i="9" s="1"/>
  <c r="AB48" i="8"/>
  <c r="E47" i="9" s="1"/>
  <c r="AA48" i="8"/>
  <c r="D47" i="9" s="1"/>
  <c r="Z48" i="8"/>
  <c r="C47" i="9" s="1"/>
  <c r="Y48" i="8"/>
  <c r="X48"/>
  <c r="AD47"/>
  <c r="G46" i="9" s="1"/>
  <c r="AC47" i="8"/>
  <c r="F46" i="9" s="1"/>
  <c r="AB47" i="8"/>
  <c r="E46" i="9" s="1"/>
  <c r="AA47" i="8"/>
  <c r="D46" i="9" s="1"/>
  <c r="Z47" i="8"/>
  <c r="C46" i="9" s="1"/>
  <c r="Y47" i="8"/>
  <c r="X47"/>
  <c r="AD46"/>
  <c r="G45" i="9" s="1"/>
  <c r="AC46" i="8"/>
  <c r="F45" i="9" s="1"/>
  <c r="AB46" i="8"/>
  <c r="E45" i="9" s="1"/>
  <c r="AA46" i="8"/>
  <c r="D45" i="9" s="1"/>
  <c r="Z46" i="8"/>
  <c r="C45" i="9" s="1"/>
  <c r="Y46" i="8"/>
  <c r="X46"/>
  <c r="AD45"/>
  <c r="G44" i="9" s="1"/>
  <c r="AC45" i="8"/>
  <c r="F44" i="9" s="1"/>
  <c r="AB45" i="8"/>
  <c r="E44" i="9" s="1"/>
  <c r="AA45" i="8"/>
  <c r="D44" i="9" s="1"/>
  <c r="Z45" i="8"/>
  <c r="C44" i="9" s="1"/>
  <c r="Y45" i="8"/>
  <c r="X45"/>
  <c r="AD44"/>
  <c r="G43" i="9" s="1"/>
  <c r="AC44" i="8"/>
  <c r="F43" i="9" s="1"/>
  <c r="AB44" i="8"/>
  <c r="E43" i="9" s="1"/>
  <c r="AA44" i="8"/>
  <c r="D43" i="9" s="1"/>
  <c r="Z44" i="8"/>
  <c r="C43" i="9" s="1"/>
  <c r="Y44" i="8"/>
  <c r="X44"/>
  <c r="AD43"/>
  <c r="G42" i="9" s="1"/>
  <c r="AC43" i="8"/>
  <c r="F42" i="9" s="1"/>
  <c r="AB43" i="8"/>
  <c r="E42" i="9" s="1"/>
  <c r="AA43" i="8"/>
  <c r="D42" i="9" s="1"/>
  <c r="Z43" i="8"/>
  <c r="C42" i="9" s="1"/>
  <c r="Y43" i="8"/>
  <c r="X43"/>
  <c r="AD42"/>
  <c r="G41" i="9" s="1"/>
  <c r="AC42" i="8"/>
  <c r="F41" i="9" s="1"/>
  <c r="AB42" i="8"/>
  <c r="E41" i="9" s="1"/>
  <c r="AA42" i="8"/>
  <c r="D41" i="9" s="1"/>
  <c r="Z42" i="8"/>
  <c r="C41" i="9" s="1"/>
  <c r="Y42" i="8"/>
  <c r="X42"/>
  <c r="AD41"/>
  <c r="G40" i="9" s="1"/>
  <c r="AC41" i="8"/>
  <c r="F40" i="9" s="1"/>
  <c r="AB41" i="8"/>
  <c r="E40" i="9" s="1"/>
  <c r="AA41" i="8"/>
  <c r="D40" i="9" s="1"/>
  <c r="Z41" i="8"/>
  <c r="C40" i="9" s="1"/>
  <c r="Y41" i="8"/>
  <c r="X41"/>
  <c r="AD40"/>
  <c r="G39" i="9" s="1"/>
  <c r="AC40" i="8"/>
  <c r="F39" i="9" s="1"/>
  <c r="AB40" i="8"/>
  <c r="E39" i="9" s="1"/>
  <c r="AA40" i="8"/>
  <c r="D39" i="9" s="1"/>
  <c r="Z40" i="8"/>
  <c r="C39" i="9" s="1"/>
  <c r="Y40" i="8"/>
  <c r="X40"/>
  <c r="AD39"/>
  <c r="G38" i="9" s="1"/>
  <c r="AC39" i="8"/>
  <c r="F38" i="9" s="1"/>
  <c r="AB39" i="8"/>
  <c r="E38" i="9" s="1"/>
  <c r="AA39" i="8"/>
  <c r="D38" i="9" s="1"/>
  <c r="Z39" i="8"/>
  <c r="C38" i="9" s="1"/>
  <c r="Y39" i="8"/>
  <c r="X39"/>
  <c r="AD38"/>
  <c r="G37" i="9" s="1"/>
  <c r="AC38" i="8"/>
  <c r="F37" i="9" s="1"/>
  <c r="AB38" i="8"/>
  <c r="E37" i="9" s="1"/>
  <c r="AA38" i="8"/>
  <c r="D37" i="9" s="1"/>
  <c r="Z38" i="8"/>
  <c r="C37" i="9" s="1"/>
  <c r="Y38" i="8"/>
  <c r="X38"/>
  <c r="AD37"/>
  <c r="G36" i="9" s="1"/>
  <c r="AC37" i="8"/>
  <c r="F36" i="9" s="1"/>
  <c r="AB37" i="8"/>
  <c r="E36" i="9" s="1"/>
  <c r="AA37" i="8"/>
  <c r="D36" i="9" s="1"/>
  <c r="Z37" i="8"/>
  <c r="C36" i="9" s="1"/>
  <c r="Y37" i="8"/>
  <c r="X37"/>
  <c r="AD36"/>
  <c r="G35" i="9" s="1"/>
  <c r="AC36" i="8"/>
  <c r="F35" i="9" s="1"/>
  <c r="AB36" i="8"/>
  <c r="E35" i="9" s="1"/>
  <c r="AA36" i="8"/>
  <c r="D35" i="9" s="1"/>
  <c r="Z36" i="8"/>
  <c r="C35" i="9" s="1"/>
  <c r="Y36" i="8"/>
  <c r="X36"/>
  <c r="AD35"/>
  <c r="G34" i="9" s="1"/>
  <c r="AC35" i="8"/>
  <c r="F34" i="9" s="1"/>
  <c r="AB35" i="8"/>
  <c r="E34" i="9" s="1"/>
  <c r="AA35" i="8"/>
  <c r="D34" i="9" s="1"/>
  <c r="Z35" i="8"/>
  <c r="C34" i="9" s="1"/>
  <c r="Y35" i="8"/>
  <c r="X35"/>
  <c r="AD34"/>
  <c r="G33" i="9" s="1"/>
  <c r="AC34" i="8"/>
  <c r="F33" i="9" s="1"/>
  <c r="AB34" i="8"/>
  <c r="E33" i="9" s="1"/>
  <c r="AA34" i="8"/>
  <c r="D33" i="9" s="1"/>
  <c r="Z34" i="8"/>
  <c r="C33" i="9" s="1"/>
  <c r="Y34" i="8"/>
  <c r="X34"/>
  <c r="AD33"/>
  <c r="G32" i="9" s="1"/>
  <c r="AC33" i="8"/>
  <c r="F32" i="9" s="1"/>
  <c r="AB33" i="8"/>
  <c r="E32" i="9" s="1"/>
  <c r="AA33" i="8"/>
  <c r="D32" i="9" s="1"/>
  <c r="Z33" i="8"/>
  <c r="C32" i="9" s="1"/>
  <c r="Y33" i="8"/>
  <c r="X33"/>
  <c r="AD32"/>
  <c r="G31" i="9" s="1"/>
  <c r="AC32" i="8"/>
  <c r="F31" i="9" s="1"/>
  <c r="AB32" i="8"/>
  <c r="E31" i="9" s="1"/>
  <c r="AA32" i="8"/>
  <c r="D31" i="9" s="1"/>
  <c r="Z32" i="8"/>
  <c r="C31" i="9" s="1"/>
  <c r="Y32" i="8"/>
  <c r="X32"/>
  <c r="AD31"/>
  <c r="G30" i="9" s="1"/>
  <c r="AC31" i="8"/>
  <c r="F30" i="9" s="1"/>
  <c r="AB31" i="8"/>
  <c r="E30" i="9" s="1"/>
  <c r="AA31" i="8"/>
  <c r="D30" i="9" s="1"/>
  <c r="Z31" i="8"/>
  <c r="C30" i="9" s="1"/>
  <c r="Y31" i="8"/>
  <c r="X31"/>
  <c r="AD30"/>
  <c r="G29" i="9" s="1"/>
  <c r="AC30" i="8"/>
  <c r="F29" i="9" s="1"/>
  <c r="AB30" i="8"/>
  <c r="E29" i="9" s="1"/>
  <c r="AA30" i="8"/>
  <c r="D29" i="9" s="1"/>
  <c r="Z30" i="8"/>
  <c r="C29" i="9" s="1"/>
  <c r="Y30" i="8"/>
  <c r="X30"/>
  <c r="AD29"/>
  <c r="G28" i="9" s="1"/>
  <c r="AC29" i="8"/>
  <c r="F28" i="9" s="1"/>
  <c r="AB29" i="8"/>
  <c r="E28" i="9" s="1"/>
  <c r="AA29" i="8"/>
  <c r="D28" i="9" s="1"/>
  <c r="Z29" i="8"/>
  <c r="C28" i="9" s="1"/>
  <c r="Y29" i="8"/>
  <c r="X29"/>
  <c r="AD28"/>
  <c r="G27" i="9" s="1"/>
  <c r="AC28" i="8"/>
  <c r="F27" i="9" s="1"/>
  <c r="AB28" i="8"/>
  <c r="E27" i="9" s="1"/>
  <c r="AA28" i="8"/>
  <c r="D27" i="9" s="1"/>
  <c r="Z28" i="8"/>
  <c r="C27" i="9" s="1"/>
  <c r="Y28" i="8"/>
  <c r="X28"/>
  <c r="AD27"/>
  <c r="G26" i="9" s="1"/>
  <c r="AC27" i="8"/>
  <c r="F26" i="9" s="1"/>
  <c r="AB27" i="8"/>
  <c r="E26" i="9" s="1"/>
  <c r="AA27" i="8"/>
  <c r="D26" i="9" s="1"/>
  <c r="Z27" i="8"/>
  <c r="C26" i="9" s="1"/>
  <c r="Y27" i="8"/>
  <c r="X27"/>
  <c r="AD26"/>
  <c r="G25" i="9" s="1"/>
  <c r="AC26" i="8"/>
  <c r="F25" i="9" s="1"/>
  <c r="AB26" i="8"/>
  <c r="E25" i="9" s="1"/>
  <c r="AA26" i="8"/>
  <c r="D25" i="9" s="1"/>
  <c r="Z26" i="8"/>
  <c r="C25" i="9" s="1"/>
  <c r="Y26" i="8"/>
  <c r="X26"/>
  <c r="AD25"/>
  <c r="G24" i="9" s="1"/>
  <c r="AC25" i="8"/>
  <c r="F24" i="9" s="1"/>
  <c r="AB25" i="8"/>
  <c r="E24" i="9" s="1"/>
  <c r="AA25" i="8"/>
  <c r="D24" i="9" s="1"/>
  <c r="Z25" i="8"/>
  <c r="C24" i="9" s="1"/>
  <c r="Y25" i="8"/>
  <c r="X25"/>
  <c r="AD24"/>
  <c r="G23" i="9" s="1"/>
  <c r="AC24" i="8"/>
  <c r="F23" i="9" s="1"/>
  <c r="AB24" i="8"/>
  <c r="E23" i="9" s="1"/>
  <c r="AA24" i="8"/>
  <c r="D23" i="9" s="1"/>
  <c r="Z24" i="8"/>
  <c r="C23" i="9" s="1"/>
  <c r="Y24" i="8"/>
  <c r="X24"/>
  <c r="AD23"/>
  <c r="G22" i="9" s="1"/>
  <c r="AC23" i="8"/>
  <c r="F22" i="9" s="1"/>
  <c r="AB23" i="8"/>
  <c r="E22" i="9" s="1"/>
  <c r="AA23" i="8"/>
  <c r="D22" i="9" s="1"/>
  <c r="Z23" i="8"/>
  <c r="C22" i="9" s="1"/>
  <c r="Y23" i="8"/>
  <c r="X23"/>
  <c r="AD22"/>
  <c r="G21" i="9" s="1"/>
  <c r="AC22" i="8"/>
  <c r="F21" i="9" s="1"/>
  <c r="AB22" i="8"/>
  <c r="E21" i="9" s="1"/>
  <c r="AA22" i="8"/>
  <c r="D21" i="9" s="1"/>
  <c r="Z22" i="8"/>
  <c r="C21" i="9" s="1"/>
  <c r="Y22" i="8"/>
  <c r="X22"/>
  <c r="AD21"/>
  <c r="G20" i="9" s="1"/>
  <c r="AC21" i="8"/>
  <c r="F20" i="9" s="1"/>
  <c r="AB21" i="8"/>
  <c r="E20" i="9" s="1"/>
  <c r="AA21" i="8"/>
  <c r="D20" i="9" s="1"/>
  <c r="Z21" i="8"/>
  <c r="C20" i="9" s="1"/>
  <c r="Y21" i="8"/>
  <c r="X21"/>
  <c r="AD20"/>
  <c r="G19" i="9" s="1"/>
  <c r="AC20" i="8"/>
  <c r="F19" i="9" s="1"/>
  <c r="AB20" i="8"/>
  <c r="E19" i="9" s="1"/>
  <c r="AA20" i="8"/>
  <c r="D19" i="9" s="1"/>
  <c r="Z20" i="8"/>
  <c r="C19" i="9" s="1"/>
  <c r="Y20" i="8"/>
  <c r="X20"/>
  <c r="AD19"/>
  <c r="G18" i="9" s="1"/>
  <c r="AC19" i="8"/>
  <c r="F18" i="9" s="1"/>
  <c r="AB19" i="8"/>
  <c r="E18" i="9" s="1"/>
  <c r="AA19" i="8"/>
  <c r="D18" i="9" s="1"/>
  <c r="Z19" i="8"/>
  <c r="C18" i="9" s="1"/>
  <c r="Y19" i="8"/>
  <c r="X19"/>
  <c r="AD18"/>
  <c r="G17" i="9" s="1"/>
  <c r="AC18" i="8"/>
  <c r="F17" i="9" s="1"/>
  <c r="AB18" i="8"/>
  <c r="E17" i="9" s="1"/>
  <c r="AA18" i="8"/>
  <c r="D17" i="9" s="1"/>
  <c r="C17"/>
  <c r="Y18" i="8"/>
  <c r="X18"/>
  <c r="AD17"/>
  <c r="G16" i="9" s="1"/>
  <c r="AC17" i="8"/>
  <c r="F16" i="9" s="1"/>
  <c r="AB17" i="8"/>
  <c r="E16" i="9" s="1"/>
  <c r="AA17" i="8"/>
  <c r="D16" i="9" s="1"/>
  <c r="Z17" i="8"/>
  <c r="C16" i="9" s="1"/>
  <c r="Y17" i="8"/>
  <c r="X17"/>
  <c r="AD16"/>
  <c r="G15" i="9" s="1"/>
  <c r="AC16" i="8"/>
  <c r="F15" i="9" s="1"/>
  <c r="AB16" i="8"/>
  <c r="E15" i="9" s="1"/>
  <c r="AA16" i="8"/>
  <c r="D15" i="9" s="1"/>
  <c r="Z16" i="8"/>
  <c r="C15" i="9" s="1"/>
  <c r="Y16" i="8"/>
  <c r="X16"/>
  <c r="AD15"/>
  <c r="G14" i="9" s="1"/>
  <c r="AC15" i="8"/>
  <c r="F14" i="9" s="1"/>
  <c r="AB15" i="8"/>
  <c r="E14" i="9" s="1"/>
  <c r="AA15" i="8"/>
  <c r="D14" i="9" s="1"/>
  <c r="Z15" i="8"/>
  <c r="C14" i="9" s="1"/>
  <c r="Y15" i="8"/>
  <c r="X15"/>
  <c r="AD14"/>
  <c r="G13" i="9" s="1"/>
  <c r="AC14" i="8"/>
  <c r="F13" i="9" s="1"/>
  <c r="AB14" i="8"/>
  <c r="E13" i="9" s="1"/>
  <c r="AA14" i="8"/>
  <c r="D13" i="9" s="1"/>
  <c r="Z14" i="8"/>
  <c r="C13" i="9" s="1"/>
  <c r="Y14" i="8"/>
  <c r="X14"/>
  <c r="AD13"/>
  <c r="G12" i="9" s="1"/>
  <c r="AC13" i="8"/>
  <c r="F12" i="9" s="1"/>
  <c r="AB13" i="8"/>
  <c r="E12" i="9" s="1"/>
  <c r="AA13" i="8"/>
  <c r="D12" i="9" s="1"/>
  <c r="Z13" i="8"/>
  <c r="C12" i="9" s="1"/>
  <c r="Y13" i="8"/>
  <c r="X13"/>
  <c r="AD12"/>
  <c r="G11" i="9" s="1"/>
  <c r="AC12" i="8"/>
  <c r="F11" i="9" s="1"/>
  <c r="AB12" i="8"/>
  <c r="E11" i="9" s="1"/>
  <c r="AA12" i="8"/>
  <c r="D11" i="9" s="1"/>
  <c r="Z12" i="8"/>
  <c r="C11" i="9" s="1"/>
  <c r="Y12" i="8"/>
  <c r="X12"/>
  <c r="AD10"/>
  <c r="G9" i="9" s="1"/>
  <c r="AC10" i="8"/>
  <c r="F9" i="9" s="1"/>
  <c r="AB10" i="8"/>
  <c r="E9" i="9" s="1"/>
  <c r="AA10" i="8"/>
  <c r="D9" i="9" s="1"/>
  <c r="Z10" i="8"/>
  <c r="C9" i="9" s="1"/>
  <c r="AA7" i="8"/>
  <c r="AD6"/>
  <c r="AC6"/>
  <c r="AA6"/>
  <c r="Y6"/>
  <c r="I6"/>
  <c r="G6"/>
  <c r="C6"/>
  <c r="A6"/>
  <c r="G5"/>
  <c r="AA5" s="1"/>
  <c r="C5"/>
  <c r="AA4" s="1"/>
  <c r="A5"/>
  <c r="S4"/>
  <c r="N4"/>
  <c r="H4"/>
  <c r="C4"/>
  <c r="A4"/>
  <c r="Y3"/>
  <c r="A3"/>
  <c r="Y2"/>
  <c r="A2"/>
  <c r="Y1"/>
  <c r="A1"/>
  <c r="A250" i="7"/>
  <c r="A249"/>
  <c r="A248"/>
  <c r="A247"/>
  <c r="A246"/>
  <c r="A245"/>
  <c r="A244"/>
  <c r="A243"/>
  <c r="A242"/>
  <c r="A241"/>
  <c r="A240"/>
  <c r="A239"/>
  <c r="A238"/>
  <c r="A237"/>
  <c r="A236"/>
  <c r="A235"/>
  <c r="A234"/>
  <c r="A233"/>
  <c r="A232"/>
  <c r="A231"/>
  <c r="A230"/>
  <c r="A229"/>
  <c r="A228"/>
  <c r="A227"/>
  <c r="A226"/>
  <c r="A225"/>
  <c r="A224"/>
  <c r="A223"/>
  <c r="A222"/>
  <c r="A221"/>
  <c r="A220"/>
  <c r="A219"/>
  <c r="A218"/>
  <c r="A217"/>
  <c r="A216"/>
  <c r="A215"/>
  <c r="A214"/>
  <c r="A213"/>
  <c r="A212"/>
  <c r="A211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G6"/>
  <c r="F6"/>
  <c r="C6"/>
  <c r="A6"/>
  <c r="E5"/>
  <c r="C5"/>
  <c r="A5"/>
  <c r="J4"/>
  <c r="H4"/>
  <c r="E4"/>
  <c r="C4"/>
  <c r="A4"/>
  <c r="A3"/>
  <c r="A2"/>
  <c r="A1"/>
  <c r="Q251" i="6"/>
  <c r="A251"/>
  <c r="Q250"/>
  <c r="A250"/>
  <c r="Q249"/>
  <c r="A249"/>
  <c r="Q248"/>
  <c r="A248"/>
  <c r="Q247"/>
  <c r="A247"/>
  <c r="Q246"/>
  <c r="A246"/>
  <c r="Q245"/>
  <c r="A245"/>
  <c r="Q244"/>
  <c r="A244"/>
  <c r="Q243"/>
  <c r="A243"/>
  <c r="Q242"/>
  <c r="A242"/>
  <c r="Q241"/>
  <c r="A241"/>
  <c r="Q240"/>
  <c r="A240"/>
  <c r="Q239"/>
  <c r="A239"/>
  <c r="Q238"/>
  <c r="A238"/>
  <c r="Q237"/>
  <c r="A237"/>
  <c r="Q236"/>
  <c r="A236"/>
  <c r="Q235"/>
  <c r="A235"/>
  <c r="Q234"/>
  <c r="A234"/>
  <c r="Q233"/>
  <c r="A233"/>
  <c r="Q232"/>
  <c r="A232"/>
  <c r="Q231"/>
  <c r="A231"/>
  <c r="Q230"/>
  <c r="A230"/>
  <c r="Q229"/>
  <c r="A229"/>
  <c r="Q228"/>
  <c r="A228"/>
  <c r="Q227"/>
  <c r="A227"/>
  <c r="Q226"/>
  <c r="A226"/>
  <c r="Q225"/>
  <c r="A225"/>
  <c r="Q224"/>
  <c r="A224"/>
  <c r="Q223"/>
  <c r="A223"/>
  <c r="Q222"/>
  <c r="A222"/>
  <c r="Q221"/>
  <c r="A221"/>
  <c r="Q220"/>
  <c r="A220"/>
  <c r="Q219"/>
  <c r="A219"/>
  <c r="Q218"/>
  <c r="A218"/>
  <c r="Q217"/>
  <c r="A217"/>
  <c r="Q216"/>
  <c r="A216"/>
  <c r="Q215"/>
  <c r="A215"/>
  <c r="Q214"/>
  <c r="A214"/>
  <c r="Q213"/>
  <c r="A213"/>
  <c r="Q212"/>
  <c r="A212"/>
  <c r="Q211"/>
  <c r="A211"/>
  <c r="Q210"/>
  <c r="A210"/>
  <c r="Q209"/>
  <c r="A209"/>
  <c r="Q208"/>
  <c r="A208"/>
  <c r="Q207"/>
  <c r="A207"/>
  <c r="Q206"/>
  <c r="A206"/>
  <c r="Q205"/>
  <c r="A205"/>
  <c r="Q204"/>
  <c r="A204"/>
  <c r="Q203"/>
  <c r="A203"/>
  <c r="Q202"/>
  <c r="A202"/>
  <c r="Q201"/>
  <c r="A201"/>
  <c r="Q200"/>
  <c r="A200"/>
  <c r="Q199"/>
  <c r="A199"/>
  <c r="Q198"/>
  <c r="A198"/>
  <c r="Q197"/>
  <c r="A197"/>
  <c r="Q196"/>
  <c r="A196"/>
  <c r="Q195"/>
  <c r="A195"/>
  <c r="Q194"/>
  <c r="A194"/>
  <c r="Q193"/>
  <c r="A193"/>
  <c r="Q192"/>
  <c r="A192"/>
  <c r="Q191"/>
  <c r="A191"/>
  <c r="Q190"/>
  <c r="A190"/>
  <c r="Q189"/>
  <c r="A189"/>
  <c r="Q188"/>
  <c r="A188"/>
  <c r="Q187"/>
  <c r="A187"/>
  <c r="Q186"/>
  <c r="A186"/>
  <c r="Q185"/>
  <c r="A185"/>
  <c r="Q184"/>
  <c r="A184"/>
  <c r="Q183"/>
  <c r="A183"/>
  <c r="Q182"/>
  <c r="A182"/>
  <c r="Q181"/>
  <c r="A181"/>
  <c r="Q180"/>
  <c r="A180"/>
  <c r="Q179"/>
  <c r="A179"/>
  <c r="Q178"/>
  <c r="A178"/>
  <c r="Q177"/>
  <c r="A177"/>
  <c r="Q176"/>
  <c r="A176"/>
  <c r="Q175"/>
  <c r="A175"/>
  <c r="Q174"/>
  <c r="A174"/>
  <c r="Q173"/>
  <c r="A173"/>
  <c r="Q172"/>
  <c r="A172"/>
  <c r="Q171"/>
  <c r="A171"/>
  <c r="Q170"/>
  <c r="A170"/>
  <c r="Q169"/>
  <c r="A169"/>
  <c r="Q168"/>
  <c r="A168"/>
  <c r="Q167"/>
  <c r="A167"/>
  <c r="Q166"/>
  <c r="A166"/>
  <c r="Q165"/>
  <c r="A165"/>
  <c r="Q164"/>
  <c r="A164"/>
  <c r="Q163"/>
  <c r="A163"/>
  <c r="Q162"/>
  <c r="A162"/>
  <c r="Q161"/>
  <c r="A161"/>
  <c r="Q160"/>
  <c r="A160"/>
  <c r="Q159"/>
  <c r="A159"/>
  <c r="Q158"/>
  <c r="A158"/>
  <c r="Q157"/>
  <c r="A157"/>
  <c r="Q156"/>
  <c r="A156"/>
  <c r="Q155"/>
  <c r="A155"/>
  <c r="Q154"/>
  <c r="A154"/>
  <c r="Q153"/>
  <c r="A153"/>
  <c r="Q152"/>
  <c r="A152"/>
  <c r="Q151"/>
  <c r="A151"/>
  <c r="Q150"/>
  <c r="A150"/>
  <c r="Q149"/>
  <c r="A149"/>
  <c r="Q148"/>
  <c r="A148"/>
  <c r="Q147"/>
  <c r="A147"/>
  <c r="Q146"/>
  <c r="A146"/>
  <c r="Q145"/>
  <c r="A145"/>
  <c r="Q144"/>
  <c r="A144"/>
  <c r="Q143"/>
  <c r="A143"/>
  <c r="Q142"/>
  <c r="A142"/>
  <c r="Q141"/>
  <c r="A141"/>
  <c r="Q140"/>
  <c r="A140"/>
  <c r="Q139"/>
  <c r="A139"/>
  <c r="Q138"/>
  <c r="A138"/>
  <c r="Q137"/>
  <c r="A137"/>
  <c r="Q136"/>
  <c r="A136"/>
  <c r="Q135"/>
  <c r="A135"/>
  <c r="Q134"/>
  <c r="A134"/>
  <c r="Q133"/>
  <c r="A133"/>
  <c r="Q132"/>
  <c r="A132"/>
  <c r="Q131"/>
  <c r="A131"/>
  <c r="Q130"/>
  <c r="A130"/>
  <c r="Q129"/>
  <c r="A129"/>
  <c r="Q128"/>
  <c r="A128"/>
  <c r="Q127"/>
  <c r="A127"/>
  <c r="Q126"/>
  <c r="A126"/>
  <c r="Q125"/>
  <c r="A125"/>
  <c r="Q124"/>
  <c r="A124"/>
  <c r="Q123"/>
  <c r="A123"/>
  <c r="Q122"/>
  <c r="A122"/>
  <c r="Q121"/>
  <c r="A121"/>
  <c r="Q120"/>
  <c r="A120"/>
  <c r="Q119"/>
  <c r="A119"/>
  <c r="Q118"/>
  <c r="A118"/>
  <c r="Q117"/>
  <c r="A117"/>
  <c r="Q116"/>
  <c r="A116"/>
  <c r="Q115"/>
  <c r="A115"/>
  <c r="Q114"/>
  <c r="A114"/>
  <c r="Q113"/>
  <c r="A113"/>
  <c r="Q112"/>
  <c r="A112"/>
  <c r="Q111"/>
  <c r="A111"/>
  <c r="Q110"/>
  <c r="A110"/>
  <c r="Q109"/>
  <c r="A109"/>
  <c r="Q108"/>
  <c r="A108"/>
  <c r="Q107"/>
  <c r="A107"/>
  <c r="Q106"/>
  <c r="A106"/>
  <c r="Q105"/>
  <c r="A105"/>
  <c r="Q104"/>
  <c r="A104"/>
  <c r="Q103"/>
  <c r="A103"/>
  <c r="Q102"/>
  <c r="A102"/>
  <c r="Q101"/>
  <c r="A101"/>
  <c r="Q100"/>
  <c r="A100"/>
  <c r="Q99"/>
  <c r="A99"/>
  <c r="Q98"/>
  <c r="A98"/>
  <c r="Q97"/>
  <c r="A97"/>
  <c r="Q96"/>
  <c r="A96"/>
  <c r="Q95"/>
  <c r="A95"/>
  <c r="Q94"/>
  <c r="A94"/>
  <c r="Q93"/>
  <c r="A93"/>
  <c r="Q92"/>
  <c r="A92"/>
  <c r="Q91"/>
  <c r="A91"/>
  <c r="Q90"/>
  <c r="A90"/>
  <c r="Q89"/>
  <c r="A89"/>
  <c r="Q88"/>
  <c r="A88"/>
  <c r="Q87"/>
  <c r="A87"/>
  <c r="Q86"/>
  <c r="A86"/>
  <c r="Q85"/>
  <c r="A85"/>
  <c r="Q84"/>
  <c r="A84"/>
  <c r="Q83"/>
  <c r="A83"/>
  <c r="Q82"/>
  <c r="A82"/>
  <c r="Q81"/>
  <c r="A81"/>
  <c r="Q80"/>
  <c r="A80"/>
  <c r="Q79"/>
  <c r="A79"/>
  <c r="Q78"/>
  <c r="A78"/>
  <c r="Q77"/>
  <c r="A77"/>
  <c r="Q76"/>
  <c r="A76"/>
  <c r="Q75"/>
  <c r="A75"/>
  <c r="Q74"/>
  <c r="A74"/>
  <c r="Q73"/>
  <c r="A73"/>
  <c r="Q72"/>
  <c r="A72"/>
  <c r="Q71"/>
  <c r="A71"/>
  <c r="Q70"/>
  <c r="A70"/>
  <c r="Q69"/>
  <c r="A69"/>
  <c r="Q68"/>
  <c r="A68"/>
  <c r="Q67"/>
  <c r="A67"/>
  <c r="Q66"/>
  <c r="A66"/>
  <c r="Q65"/>
  <c r="A65"/>
  <c r="Q64"/>
  <c r="A64"/>
  <c r="Q63"/>
  <c r="A63"/>
  <c r="Q62"/>
  <c r="A62"/>
  <c r="Q61"/>
  <c r="A61"/>
  <c r="Q60"/>
  <c r="A60"/>
  <c r="Q59"/>
  <c r="A59"/>
  <c r="Q58"/>
  <c r="A58"/>
  <c r="Q57"/>
  <c r="A57"/>
  <c r="Q56"/>
  <c r="A56"/>
  <c r="Q55"/>
  <c r="A55"/>
  <c r="Q54"/>
  <c r="A54"/>
  <c r="Q53"/>
  <c r="A53"/>
  <c r="Q52"/>
  <c r="A52"/>
  <c r="Q51"/>
  <c r="A51"/>
  <c r="Q50"/>
  <c r="A50"/>
  <c r="Q49"/>
  <c r="A49"/>
  <c r="Q48"/>
  <c r="A48"/>
  <c r="Q47"/>
  <c r="A47"/>
  <c r="Q46"/>
  <c r="A46"/>
  <c r="Q45"/>
  <c r="A45"/>
  <c r="Q44"/>
  <c r="A44"/>
  <c r="Q43"/>
  <c r="A43"/>
  <c r="Q42"/>
  <c r="A42"/>
  <c r="Q41"/>
  <c r="A41"/>
  <c r="Q40"/>
  <c r="A40"/>
  <c r="Q39"/>
  <c r="A39"/>
  <c r="Q38"/>
  <c r="A38"/>
  <c r="Q37"/>
  <c r="A37"/>
  <c r="Q36"/>
  <c r="A36"/>
  <c r="Q35"/>
  <c r="A35"/>
  <c r="Q34"/>
  <c r="A34"/>
  <c r="Q33"/>
  <c r="A33"/>
  <c r="Q32"/>
  <c r="A32"/>
  <c r="Q31"/>
  <c r="A31"/>
  <c r="Q30"/>
  <c r="A30"/>
  <c r="Q29"/>
  <c r="A29"/>
  <c r="Q28"/>
  <c r="A28"/>
  <c r="Q27"/>
  <c r="A27"/>
  <c r="Q26"/>
  <c r="A26"/>
  <c r="Q25"/>
  <c r="A25"/>
  <c r="Q24"/>
  <c r="A24"/>
  <c r="Q23"/>
  <c r="A23"/>
  <c r="Q22"/>
  <c r="A22"/>
  <c r="Q21"/>
  <c r="A21"/>
  <c r="Q20"/>
  <c r="A20"/>
  <c r="Q19"/>
  <c r="A19"/>
  <c r="Q18"/>
  <c r="A18"/>
  <c r="Q17"/>
  <c r="A17"/>
  <c r="Q16"/>
  <c r="A16"/>
  <c r="Q15"/>
  <c r="A15"/>
  <c r="Q14"/>
  <c r="A14"/>
  <c r="Q13"/>
  <c r="A13"/>
  <c r="Q12"/>
  <c r="A12"/>
  <c r="S7"/>
  <c r="Q7"/>
  <c r="V6"/>
  <c r="U6"/>
  <c r="S6"/>
  <c r="I6"/>
  <c r="G6"/>
  <c r="C6"/>
  <c r="A6"/>
  <c r="Q6" s="1"/>
  <c r="S5"/>
  <c r="G5"/>
  <c r="C5"/>
  <c r="A5"/>
  <c r="S4"/>
  <c r="O4"/>
  <c r="L4"/>
  <c r="G4"/>
  <c r="C4"/>
  <c r="A4"/>
  <c r="Q3"/>
  <c r="A3"/>
  <c r="Q2"/>
  <c r="A2"/>
  <c r="Q1"/>
  <c r="A1"/>
  <c r="S251" i="5"/>
  <c r="A251"/>
  <c r="S250"/>
  <c r="A250"/>
  <c r="S249"/>
  <c r="A249"/>
  <c r="S248"/>
  <c r="A248"/>
  <c r="S247"/>
  <c r="A247"/>
  <c r="S246"/>
  <c r="A246"/>
  <c r="S245"/>
  <c r="A245"/>
  <c r="S244"/>
  <c r="A244"/>
  <c r="S243"/>
  <c r="A243"/>
  <c r="S242"/>
  <c r="A242"/>
  <c r="S241"/>
  <c r="A241"/>
  <c r="S240"/>
  <c r="A240"/>
  <c r="S239"/>
  <c r="A239"/>
  <c r="S238"/>
  <c r="A238"/>
  <c r="S237"/>
  <c r="A237"/>
  <c r="S236"/>
  <c r="A236"/>
  <c r="S235"/>
  <c r="A235"/>
  <c r="S234"/>
  <c r="A234"/>
  <c r="S233"/>
  <c r="A233"/>
  <c r="S232"/>
  <c r="A232"/>
  <c r="S231"/>
  <c r="A231"/>
  <c r="S230"/>
  <c r="A230"/>
  <c r="S229"/>
  <c r="A229"/>
  <c r="S228"/>
  <c r="A228"/>
  <c r="S227"/>
  <c r="A227"/>
  <c r="S226"/>
  <c r="A226"/>
  <c r="S225"/>
  <c r="A225"/>
  <c r="S224"/>
  <c r="A224"/>
  <c r="S223"/>
  <c r="A223"/>
  <c r="S222"/>
  <c r="A222"/>
  <c r="S221"/>
  <c r="A221"/>
  <c r="S220"/>
  <c r="A220"/>
  <c r="S219"/>
  <c r="A219"/>
  <c r="S218"/>
  <c r="A218"/>
  <c r="S217"/>
  <c r="A217"/>
  <c r="S216"/>
  <c r="A216"/>
  <c r="S215"/>
  <c r="A215"/>
  <c r="S214"/>
  <c r="A214"/>
  <c r="S213"/>
  <c r="A213"/>
  <c r="S212"/>
  <c r="A212"/>
  <c r="S211"/>
  <c r="A211"/>
  <c r="S210"/>
  <c r="A210"/>
  <c r="S209"/>
  <c r="A209"/>
  <c r="S208"/>
  <c r="A208"/>
  <c r="S207"/>
  <c r="A207"/>
  <c r="S206"/>
  <c r="A206"/>
  <c r="S205"/>
  <c r="A205"/>
  <c r="S204"/>
  <c r="A204"/>
  <c r="S203"/>
  <c r="A203"/>
  <c r="S202"/>
  <c r="A202"/>
  <c r="S201"/>
  <c r="A201"/>
  <c r="S200"/>
  <c r="A200"/>
  <c r="S199"/>
  <c r="A199"/>
  <c r="S198"/>
  <c r="A198"/>
  <c r="S197"/>
  <c r="A197"/>
  <c r="S196"/>
  <c r="A196"/>
  <c r="S195"/>
  <c r="A195"/>
  <c r="S194"/>
  <c r="A194"/>
  <c r="S193"/>
  <c r="A193"/>
  <c r="S192"/>
  <c r="A192"/>
  <c r="S191"/>
  <c r="A191"/>
  <c r="S190"/>
  <c r="A190"/>
  <c r="S189"/>
  <c r="A189"/>
  <c r="S188"/>
  <c r="A188"/>
  <c r="S187"/>
  <c r="A187"/>
  <c r="S186"/>
  <c r="A186"/>
  <c r="S185"/>
  <c r="A185"/>
  <c r="S184"/>
  <c r="A184"/>
  <c r="S183"/>
  <c r="A183"/>
  <c r="S182"/>
  <c r="A182"/>
  <c r="S181"/>
  <c r="A181"/>
  <c r="S180"/>
  <c r="A180"/>
  <c r="S179"/>
  <c r="A179"/>
  <c r="S178"/>
  <c r="A178"/>
  <c r="S177"/>
  <c r="A177"/>
  <c r="S176"/>
  <c r="A176"/>
  <c r="S175"/>
  <c r="A175"/>
  <c r="S174"/>
  <c r="A174"/>
  <c r="S173"/>
  <c r="A173"/>
  <c r="S172"/>
  <c r="A172"/>
  <c r="S171"/>
  <c r="A171"/>
  <c r="S170"/>
  <c r="A170"/>
  <c r="S169"/>
  <c r="A169"/>
  <c r="S168"/>
  <c r="A168"/>
  <c r="S167"/>
  <c r="A167"/>
  <c r="S166"/>
  <c r="A166"/>
  <c r="S165"/>
  <c r="A165"/>
  <c r="S164"/>
  <c r="A164"/>
  <c r="S163"/>
  <c r="A163"/>
  <c r="S162"/>
  <c r="A162"/>
  <c r="S161"/>
  <c r="A161"/>
  <c r="S160"/>
  <c r="A160"/>
  <c r="S159"/>
  <c r="A159"/>
  <c r="S158"/>
  <c r="A158"/>
  <c r="S157"/>
  <c r="A157"/>
  <c r="S156"/>
  <c r="A156"/>
  <c r="S155"/>
  <c r="A155"/>
  <c r="S154"/>
  <c r="A154"/>
  <c r="S153"/>
  <c r="A153"/>
  <c r="S152"/>
  <c r="A152"/>
  <c r="S151"/>
  <c r="A151"/>
  <c r="S150"/>
  <c r="A150"/>
  <c r="S149"/>
  <c r="A149"/>
  <c r="S148"/>
  <c r="A148"/>
  <c r="S147"/>
  <c r="A147"/>
  <c r="S146"/>
  <c r="A146"/>
  <c r="S145"/>
  <c r="A145"/>
  <c r="S144"/>
  <c r="A144"/>
  <c r="S143"/>
  <c r="A143"/>
  <c r="S142"/>
  <c r="A142"/>
  <c r="S141"/>
  <c r="A141"/>
  <c r="S140"/>
  <c r="A140"/>
  <c r="S139"/>
  <c r="A139"/>
  <c r="S138"/>
  <c r="A138"/>
  <c r="S137"/>
  <c r="A137"/>
  <c r="S136"/>
  <c r="A136"/>
  <c r="S135"/>
  <c r="A135"/>
  <c r="S134"/>
  <c r="A134"/>
  <c r="S133"/>
  <c r="A133"/>
  <c r="S132"/>
  <c r="A132"/>
  <c r="S131"/>
  <c r="A131"/>
  <c r="S130"/>
  <c r="A130"/>
  <c r="S129"/>
  <c r="A129"/>
  <c r="S128"/>
  <c r="A128"/>
  <c r="S127"/>
  <c r="A127"/>
  <c r="S126"/>
  <c r="A126"/>
  <c r="S125"/>
  <c r="A125"/>
  <c r="S124"/>
  <c r="A124"/>
  <c r="S123"/>
  <c r="A123"/>
  <c r="S122"/>
  <c r="A122"/>
  <c r="S121"/>
  <c r="A121"/>
  <c r="S120"/>
  <c r="A120"/>
  <c r="S119"/>
  <c r="A119"/>
  <c r="S118"/>
  <c r="A118"/>
  <c r="S117"/>
  <c r="A117"/>
  <c r="S116"/>
  <c r="A116"/>
  <c r="S115"/>
  <c r="A115"/>
  <c r="S114"/>
  <c r="A114"/>
  <c r="S113"/>
  <c r="A113"/>
  <c r="S112"/>
  <c r="A112"/>
  <c r="S111"/>
  <c r="A111"/>
  <c r="S110"/>
  <c r="A110"/>
  <c r="S109"/>
  <c r="A109"/>
  <c r="S108"/>
  <c r="A108"/>
  <c r="S107"/>
  <c r="A107"/>
  <c r="S106"/>
  <c r="A106"/>
  <c r="S105"/>
  <c r="A105"/>
  <c r="S104"/>
  <c r="A104"/>
  <c r="S103"/>
  <c r="A103"/>
  <c r="S102"/>
  <c r="A102"/>
  <c r="S101"/>
  <c r="A101"/>
  <c r="S100"/>
  <c r="A100"/>
  <c r="S99"/>
  <c r="A99"/>
  <c r="S98"/>
  <c r="A98"/>
  <c r="S97"/>
  <c r="A97"/>
  <c r="S96"/>
  <c r="A96"/>
  <c r="S95"/>
  <c r="A95"/>
  <c r="S94"/>
  <c r="A94"/>
  <c r="S93"/>
  <c r="A93"/>
  <c r="S92"/>
  <c r="A92"/>
  <c r="S91"/>
  <c r="A91"/>
  <c r="S90"/>
  <c r="A90"/>
  <c r="S89"/>
  <c r="A89"/>
  <c r="S88"/>
  <c r="A88"/>
  <c r="S87"/>
  <c r="A87"/>
  <c r="S86"/>
  <c r="A86"/>
  <c r="S85"/>
  <c r="A85"/>
  <c r="S84"/>
  <c r="A84"/>
  <c r="S83"/>
  <c r="A83"/>
  <c r="S82"/>
  <c r="A82"/>
  <c r="S81"/>
  <c r="A81"/>
  <c r="S80"/>
  <c r="A80"/>
  <c r="S79"/>
  <c r="A79"/>
  <c r="S78"/>
  <c r="A78"/>
  <c r="S77"/>
  <c r="A77"/>
  <c r="S76"/>
  <c r="A76"/>
  <c r="S75"/>
  <c r="A75"/>
  <c r="S74"/>
  <c r="A74"/>
  <c r="S73"/>
  <c r="A73"/>
  <c r="S72"/>
  <c r="A72"/>
  <c r="S71"/>
  <c r="A71"/>
  <c r="S70"/>
  <c r="A70"/>
  <c r="S69"/>
  <c r="A69"/>
  <c r="S68"/>
  <c r="A68"/>
  <c r="S67"/>
  <c r="A67"/>
  <c r="S66"/>
  <c r="A66"/>
  <c r="S65"/>
  <c r="A65"/>
  <c r="S64"/>
  <c r="A64"/>
  <c r="S63"/>
  <c r="A63"/>
  <c r="S62"/>
  <c r="A62"/>
  <c r="S61"/>
  <c r="A61"/>
  <c r="S60"/>
  <c r="A60"/>
  <c r="S59"/>
  <c r="A59"/>
  <c r="S58"/>
  <c r="A58"/>
  <c r="S57"/>
  <c r="A57"/>
  <c r="S56"/>
  <c r="A56"/>
  <c r="S55"/>
  <c r="A55"/>
  <c r="S54"/>
  <c r="A54"/>
  <c r="S53"/>
  <c r="A53"/>
  <c r="S52"/>
  <c r="A52"/>
  <c r="S51"/>
  <c r="A51"/>
  <c r="S50"/>
  <c r="A50"/>
  <c r="S49"/>
  <c r="A49"/>
  <c r="S48"/>
  <c r="A48"/>
  <c r="S47"/>
  <c r="A47"/>
  <c r="S46"/>
  <c r="A46"/>
  <c r="S45"/>
  <c r="A45"/>
  <c r="S44"/>
  <c r="A44"/>
  <c r="S43"/>
  <c r="A43"/>
  <c r="S42"/>
  <c r="A42"/>
  <c r="S41"/>
  <c r="A41"/>
  <c r="S40"/>
  <c r="A40"/>
  <c r="S39"/>
  <c r="A39"/>
  <c r="S38"/>
  <c r="A38"/>
  <c r="S37"/>
  <c r="A37"/>
  <c r="S36"/>
  <c r="A36"/>
  <c r="S35"/>
  <c r="A35"/>
  <c r="S34"/>
  <c r="A34"/>
  <c r="S33"/>
  <c r="A33"/>
  <c r="S32"/>
  <c r="A32"/>
  <c r="S31"/>
  <c r="A31"/>
  <c r="S30"/>
  <c r="A30"/>
  <c r="S29"/>
  <c r="A29"/>
  <c r="S28"/>
  <c r="A28"/>
  <c r="S27"/>
  <c r="A27"/>
  <c r="S26"/>
  <c r="A26"/>
  <c r="S25"/>
  <c r="A25"/>
  <c r="S24"/>
  <c r="A24"/>
  <c r="S23"/>
  <c r="A23"/>
  <c r="S22"/>
  <c r="A22"/>
  <c r="S21"/>
  <c r="A21"/>
  <c r="S20"/>
  <c r="A20"/>
  <c r="S19"/>
  <c r="A19"/>
  <c r="S18"/>
  <c r="A18"/>
  <c r="S17"/>
  <c r="A17"/>
  <c r="S16"/>
  <c r="A16"/>
  <c r="S15"/>
  <c r="A15"/>
  <c r="S14"/>
  <c r="A14"/>
  <c r="S13"/>
  <c r="A13"/>
  <c r="S12"/>
  <c r="A12"/>
  <c r="U7"/>
  <c r="S7"/>
  <c r="X6"/>
  <c r="W6"/>
  <c r="U6"/>
  <c r="S6"/>
  <c r="J6"/>
  <c r="G6"/>
  <c r="C6"/>
  <c r="A6"/>
  <c r="U5"/>
  <c r="G5"/>
  <c r="C5"/>
  <c r="U4"/>
  <c r="O4"/>
  <c r="K4"/>
  <c r="G4"/>
  <c r="C4"/>
  <c r="A4"/>
  <c r="S3"/>
  <c r="A3"/>
  <c r="S2"/>
  <c r="A2"/>
  <c r="S1"/>
  <c r="A1"/>
  <c r="X251" i="4"/>
  <c r="W251"/>
  <c r="V251"/>
  <c r="U251"/>
  <c r="T251"/>
  <c r="S251"/>
  <c r="R251"/>
  <c r="X250"/>
  <c r="W250"/>
  <c r="V250"/>
  <c r="U250"/>
  <c r="T250"/>
  <c r="S250"/>
  <c r="R250"/>
  <c r="X249"/>
  <c r="W249"/>
  <c r="V249"/>
  <c r="U249"/>
  <c r="T249"/>
  <c r="S249"/>
  <c r="R249"/>
  <c r="X248"/>
  <c r="W248"/>
  <c r="V248"/>
  <c r="U248"/>
  <c r="T248"/>
  <c r="S248"/>
  <c r="R248"/>
  <c r="X247"/>
  <c r="W247"/>
  <c r="V247"/>
  <c r="U247"/>
  <c r="T247"/>
  <c r="S247"/>
  <c r="R247"/>
  <c r="X246"/>
  <c r="W246"/>
  <c r="V246"/>
  <c r="U246"/>
  <c r="T246"/>
  <c r="S246"/>
  <c r="R246"/>
  <c r="X245"/>
  <c r="W245"/>
  <c r="V245"/>
  <c r="U245"/>
  <c r="T245"/>
  <c r="S245"/>
  <c r="R245"/>
  <c r="X244"/>
  <c r="W244"/>
  <c r="V244"/>
  <c r="U244"/>
  <c r="T244"/>
  <c r="S244"/>
  <c r="R244"/>
  <c r="X243"/>
  <c r="W243"/>
  <c r="V243"/>
  <c r="U243"/>
  <c r="T243"/>
  <c r="S243"/>
  <c r="R243"/>
  <c r="X242"/>
  <c r="W242"/>
  <c r="V242"/>
  <c r="U242"/>
  <c r="T242"/>
  <c r="S242"/>
  <c r="R242"/>
  <c r="X241"/>
  <c r="W241"/>
  <c r="V241"/>
  <c r="U241"/>
  <c r="T241"/>
  <c r="S241"/>
  <c r="R241"/>
  <c r="X240"/>
  <c r="W240"/>
  <c r="V240"/>
  <c r="U240"/>
  <c r="T240"/>
  <c r="S240"/>
  <c r="R240"/>
  <c r="X239"/>
  <c r="W239"/>
  <c r="V239"/>
  <c r="U239"/>
  <c r="T239"/>
  <c r="S239"/>
  <c r="R239"/>
  <c r="X238"/>
  <c r="W238"/>
  <c r="V238"/>
  <c r="U238"/>
  <c r="T238"/>
  <c r="S238"/>
  <c r="R238"/>
  <c r="X237"/>
  <c r="W237"/>
  <c r="V237"/>
  <c r="U237"/>
  <c r="T237"/>
  <c r="S237"/>
  <c r="R237"/>
  <c r="X236"/>
  <c r="W236"/>
  <c r="V236"/>
  <c r="U236"/>
  <c r="T236"/>
  <c r="S236"/>
  <c r="R236"/>
  <c r="X235"/>
  <c r="W235"/>
  <c r="V235"/>
  <c r="U235"/>
  <c r="T235"/>
  <c r="S235"/>
  <c r="R235"/>
  <c r="X234"/>
  <c r="W234"/>
  <c r="V234"/>
  <c r="U234"/>
  <c r="T234"/>
  <c r="S234"/>
  <c r="R234"/>
  <c r="X233"/>
  <c r="W233"/>
  <c r="V233"/>
  <c r="U233"/>
  <c r="T233"/>
  <c r="S233"/>
  <c r="R233"/>
  <c r="X232"/>
  <c r="W232"/>
  <c r="V232"/>
  <c r="U232"/>
  <c r="T232"/>
  <c r="S232"/>
  <c r="R232"/>
  <c r="X231"/>
  <c r="W231"/>
  <c r="V231"/>
  <c r="U231"/>
  <c r="T231"/>
  <c r="S231"/>
  <c r="R231"/>
  <c r="X230"/>
  <c r="W230"/>
  <c r="V230"/>
  <c r="U230"/>
  <c r="T230"/>
  <c r="S230"/>
  <c r="R230"/>
  <c r="X229"/>
  <c r="W229"/>
  <c r="V229"/>
  <c r="U229"/>
  <c r="T229"/>
  <c r="S229"/>
  <c r="R229"/>
  <c r="X228"/>
  <c r="W228"/>
  <c r="V228"/>
  <c r="U228"/>
  <c r="T228"/>
  <c r="S228"/>
  <c r="R228"/>
  <c r="X227"/>
  <c r="W227"/>
  <c r="V227"/>
  <c r="U227"/>
  <c r="T227"/>
  <c r="S227"/>
  <c r="R227"/>
  <c r="X226"/>
  <c r="W226"/>
  <c r="V226"/>
  <c r="U226"/>
  <c r="T226"/>
  <c r="S226"/>
  <c r="R226"/>
  <c r="X225"/>
  <c r="W225"/>
  <c r="V225"/>
  <c r="U225"/>
  <c r="T225"/>
  <c r="S225"/>
  <c r="R225"/>
  <c r="X224"/>
  <c r="W224"/>
  <c r="V224"/>
  <c r="U224"/>
  <c r="T224"/>
  <c r="S224"/>
  <c r="R224"/>
  <c r="X223"/>
  <c r="W223"/>
  <c r="V223"/>
  <c r="U223"/>
  <c r="T223"/>
  <c r="S223"/>
  <c r="R223"/>
  <c r="X222"/>
  <c r="W222"/>
  <c r="V222"/>
  <c r="U222"/>
  <c r="T222"/>
  <c r="S222"/>
  <c r="R222"/>
  <c r="X221"/>
  <c r="W221"/>
  <c r="V221"/>
  <c r="U221"/>
  <c r="T221"/>
  <c r="S221"/>
  <c r="R221"/>
  <c r="X220"/>
  <c r="W220"/>
  <c r="V220"/>
  <c r="U220"/>
  <c r="T220"/>
  <c r="S220"/>
  <c r="R220"/>
  <c r="X219"/>
  <c r="W219"/>
  <c r="V219"/>
  <c r="U219"/>
  <c r="T219"/>
  <c r="S219"/>
  <c r="R219"/>
  <c r="X218"/>
  <c r="W218"/>
  <c r="V218"/>
  <c r="U218"/>
  <c r="T218"/>
  <c r="S218"/>
  <c r="R218"/>
  <c r="X217"/>
  <c r="W217"/>
  <c r="V217"/>
  <c r="U217"/>
  <c r="T217"/>
  <c r="S217"/>
  <c r="R217"/>
  <c r="X216"/>
  <c r="W216"/>
  <c r="V216"/>
  <c r="U216"/>
  <c r="T216"/>
  <c r="S216"/>
  <c r="R216"/>
  <c r="X215"/>
  <c r="W215"/>
  <c r="V215"/>
  <c r="U215"/>
  <c r="T215"/>
  <c r="S215"/>
  <c r="R215"/>
  <c r="X214"/>
  <c r="W214"/>
  <c r="V214"/>
  <c r="U214"/>
  <c r="T214"/>
  <c r="S214"/>
  <c r="R214"/>
  <c r="X213"/>
  <c r="W213"/>
  <c r="V213"/>
  <c r="U213"/>
  <c r="T213"/>
  <c r="S213"/>
  <c r="R213"/>
  <c r="X212"/>
  <c r="W212"/>
  <c r="V212"/>
  <c r="U212"/>
  <c r="T212"/>
  <c r="S212"/>
  <c r="R212"/>
  <c r="X211"/>
  <c r="W211"/>
  <c r="V211"/>
  <c r="U211"/>
  <c r="T211"/>
  <c r="S211"/>
  <c r="R211"/>
  <c r="X210"/>
  <c r="W210"/>
  <c r="V210"/>
  <c r="U210"/>
  <c r="T210"/>
  <c r="S210"/>
  <c r="R210"/>
  <c r="X209"/>
  <c r="W209"/>
  <c r="V209"/>
  <c r="U209"/>
  <c r="T209"/>
  <c r="S209"/>
  <c r="R209"/>
  <c r="X208"/>
  <c r="W208"/>
  <c r="V208"/>
  <c r="U208"/>
  <c r="T208"/>
  <c r="S208"/>
  <c r="R208"/>
  <c r="X207"/>
  <c r="W207"/>
  <c r="V207"/>
  <c r="U207"/>
  <c r="T207"/>
  <c r="S207"/>
  <c r="R207"/>
  <c r="X206"/>
  <c r="W206"/>
  <c r="V206"/>
  <c r="U206"/>
  <c r="T206"/>
  <c r="S206"/>
  <c r="R206"/>
  <c r="X205"/>
  <c r="W205"/>
  <c r="V205"/>
  <c r="U205"/>
  <c r="T205"/>
  <c r="S205"/>
  <c r="R205"/>
  <c r="X204"/>
  <c r="W204"/>
  <c r="V204"/>
  <c r="U204"/>
  <c r="T204"/>
  <c r="S204"/>
  <c r="R204"/>
  <c r="X203"/>
  <c r="W203"/>
  <c r="V203"/>
  <c r="U203"/>
  <c r="T203"/>
  <c r="S203"/>
  <c r="R203"/>
  <c r="X202"/>
  <c r="W202"/>
  <c r="V202"/>
  <c r="U202"/>
  <c r="T202"/>
  <c r="S202"/>
  <c r="R202"/>
  <c r="X201"/>
  <c r="W201"/>
  <c r="V201"/>
  <c r="U201"/>
  <c r="T201"/>
  <c r="S201"/>
  <c r="R201"/>
  <c r="X200"/>
  <c r="W200"/>
  <c r="V200"/>
  <c r="U200"/>
  <c r="T200"/>
  <c r="S200"/>
  <c r="R200"/>
  <c r="X199"/>
  <c r="W199"/>
  <c r="V199"/>
  <c r="U199"/>
  <c r="T199"/>
  <c r="S199"/>
  <c r="R199"/>
  <c r="X198"/>
  <c r="W198"/>
  <c r="V198"/>
  <c r="U198"/>
  <c r="T198"/>
  <c r="S198"/>
  <c r="R198"/>
  <c r="X197"/>
  <c r="W197"/>
  <c r="V197"/>
  <c r="U197"/>
  <c r="T197"/>
  <c r="S197"/>
  <c r="R197"/>
  <c r="X196"/>
  <c r="W196"/>
  <c r="V196"/>
  <c r="U196"/>
  <c r="T196"/>
  <c r="S196"/>
  <c r="R196"/>
  <c r="X195"/>
  <c r="W195"/>
  <c r="V195"/>
  <c r="U195"/>
  <c r="T195"/>
  <c r="S195"/>
  <c r="R195"/>
  <c r="X194"/>
  <c r="W194"/>
  <c r="V194"/>
  <c r="U194"/>
  <c r="T194"/>
  <c r="S194"/>
  <c r="R194"/>
  <c r="X193"/>
  <c r="W193"/>
  <c r="V193"/>
  <c r="U193"/>
  <c r="T193"/>
  <c r="S193"/>
  <c r="R193"/>
  <c r="X192"/>
  <c r="W192"/>
  <c r="V192"/>
  <c r="U192"/>
  <c r="T192"/>
  <c r="S192"/>
  <c r="R192"/>
  <c r="X191"/>
  <c r="W191"/>
  <c r="V191"/>
  <c r="U191"/>
  <c r="T191"/>
  <c r="S191"/>
  <c r="R191"/>
  <c r="X190"/>
  <c r="W190"/>
  <c r="V190"/>
  <c r="U190"/>
  <c r="T190"/>
  <c r="S190"/>
  <c r="R190"/>
  <c r="X189"/>
  <c r="W189"/>
  <c r="V189"/>
  <c r="U189"/>
  <c r="T189"/>
  <c r="S189"/>
  <c r="R189"/>
  <c r="X188"/>
  <c r="W188"/>
  <c r="V188"/>
  <c r="U188"/>
  <c r="T188"/>
  <c r="S188"/>
  <c r="R188"/>
  <c r="X187"/>
  <c r="W187"/>
  <c r="V187"/>
  <c r="U187"/>
  <c r="T187"/>
  <c r="S187"/>
  <c r="R187"/>
  <c r="X186"/>
  <c r="W186"/>
  <c r="V186"/>
  <c r="U186"/>
  <c r="T186"/>
  <c r="S186"/>
  <c r="R186"/>
  <c r="X185"/>
  <c r="W185"/>
  <c r="V185"/>
  <c r="U185"/>
  <c r="T185"/>
  <c r="S185"/>
  <c r="R185"/>
  <c r="X184"/>
  <c r="W184"/>
  <c r="V184"/>
  <c r="U184"/>
  <c r="T184"/>
  <c r="S184"/>
  <c r="R184"/>
  <c r="X183"/>
  <c r="W183"/>
  <c r="V183"/>
  <c r="U183"/>
  <c r="T183"/>
  <c r="S183"/>
  <c r="R183"/>
  <c r="X182"/>
  <c r="W182"/>
  <c r="V182"/>
  <c r="U182"/>
  <c r="T182"/>
  <c r="S182"/>
  <c r="R182"/>
  <c r="X181"/>
  <c r="W181"/>
  <c r="V181"/>
  <c r="U181"/>
  <c r="T181"/>
  <c r="S181"/>
  <c r="R181"/>
  <c r="X180"/>
  <c r="W180"/>
  <c r="V180"/>
  <c r="U180"/>
  <c r="T180"/>
  <c r="S180"/>
  <c r="R180"/>
  <c r="X179"/>
  <c r="W179"/>
  <c r="V179"/>
  <c r="U179"/>
  <c r="T179"/>
  <c r="S179"/>
  <c r="R179"/>
  <c r="X178"/>
  <c r="W178"/>
  <c r="V178"/>
  <c r="U178"/>
  <c r="T178"/>
  <c r="S178"/>
  <c r="R178"/>
  <c r="X177"/>
  <c r="W177"/>
  <c r="V177"/>
  <c r="U177"/>
  <c r="T177"/>
  <c r="S177"/>
  <c r="R177"/>
  <c r="X176"/>
  <c r="W176"/>
  <c r="V176"/>
  <c r="U176"/>
  <c r="T176"/>
  <c r="S176"/>
  <c r="R176"/>
  <c r="X175"/>
  <c r="W175"/>
  <c r="V175"/>
  <c r="U175"/>
  <c r="T175"/>
  <c r="S175"/>
  <c r="R175"/>
  <c r="X174"/>
  <c r="W174"/>
  <c r="V174"/>
  <c r="U174"/>
  <c r="T174"/>
  <c r="S174"/>
  <c r="R174"/>
  <c r="X173"/>
  <c r="W173"/>
  <c r="V173"/>
  <c r="U173"/>
  <c r="T173"/>
  <c r="S173"/>
  <c r="R173"/>
  <c r="X172"/>
  <c r="W172"/>
  <c r="V172"/>
  <c r="U172"/>
  <c r="T172"/>
  <c r="S172"/>
  <c r="R172"/>
  <c r="X171"/>
  <c r="W171"/>
  <c r="V171"/>
  <c r="U171"/>
  <c r="T171"/>
  <c r="S171"/>
  <c r="R171"/>
  <c r="X170"/>
  <c r="W170"/>
  <c r="V170"/>
  <c r="U170"/>
  <c r="T170"/>
  <c r="S170"/>
  <c r="R170"/>
  <c r="X169"/>
  <c r="W169"/>
  <c r="V169"/>
  <c r="U169"/>
  <c r="T169"/>
  <c r="S169"/>
  <c r="R169"/>
  <c r="X168"/>
  <c r="W168"/>
  <c r="V168"/>
  <c r="U168"/>
  <c r="T168"/>
  <c r="S168"/>
  <c r="R168"/>
  <c r="X167"/>
  <c r="W167"/>
  <c r="V167"/>
  <c r="U167"/>
  <c r="T167"/>
  <c r="S167"/>
  <c r="R167"/>
  <c r="X166"/>
  <c r="W166"/>
  <c r="V166"/>
  <c r="U166"/>
  <c r="T166"/>
  <c r="S166"/>
  <c r="R166"/>
  <c r="X165"/>
  <c r="W165"/>
  <c r="V165"/>
  <c r="U165"/>
  <c r="T165"/>
  <c r="S165"/>
  <c r="R165"/>
  <c r="X164"/>
  <c r="W164"/>
  <c r="V164"/>
  <c r="U164"/>
  <c r="T164"/>
  <c r="S164"/>
  <c r="R164"/>
  <c r="X163"/>
  <c r="W163"/>
  <c r="V163"/>
  <c r="U163"/>
  <c r="T163"/>
  <c r="S163"/>
  <c r="R163"/>
  <c r="X162"/>
  <c r="W162"/>
  <c r="V162"/>
  <c r="U162"/>
  <c r="T162"/>
  <c r="S162"/>
  <c r="R162"/>
  <c r="X161"/>
  <c r="W161"/>
  <c r="V161"/>
  <c r="U161"/>
  <c r="T161"/>
  <c r="S161"/>
  <c r="R161"/>
  <c r="X160"/>
  <c r="W160"/>
  <c r="V160"/>
  <c r="U160"/>
  <c r="T160"/>
  <c r="S160"/>
  <c r="R160"/>
  <c r="X159"/>
  <c r="W159"/>
  <c r="V159"/>
  <c r="U159"/>
  <c r="T159"/>
  <c r="S159"/>
  <c r="R159"/>
  <c r="X158"/>
  <c r="W158"/>
  <c r="V158"/>
  <c r="U158"/>
  <c r="T158"/>
  <c r="S158"/>
  <c r="R158"/>
  <c r="X157"/>
  <c r="W157"/>
  <c r="V157"/>
  <c r="U157"/>
  <c r="T157"/>
  <c r="S157"/>
  <c r="R157"/>
  <c r="X156"/>
  <c r="W156"/>
  <c r="V156"/>
  <c r="U156"/>
  <c r="T156"/>
  <c r="S156"/>
  <c r="R156"/>
  <c r="X155"/>
  <c r="W155"/>
  <c r="V155"/>
  <c r="U155"/>
  <c r="T155"/>
  <c r="S155"/>
  <c r="R155"/>
  <c r="X154"/>
  <c r="W154"/>
  <c r="V154"/>
  <c r="U154"/>
  <c r="T154"/>
  <c r="S154"/>
  <c r="R154"/>
  <c r="X153"/>
  <c r="W153"/>
  <c r="V153"/>
  <c r="U153"/>
  <c r="T153"/>
  <c r="S153"/>
  <c r="R153"/>
  <c r="X152"/>
  <c r="W152"/>
  <c r="V152"/>
  <c r="U152"/>
  <c r="T152"/>
  <c r="S152"/>
  <c r="R152"/>
  <c r="X151"/>
  <c r="W151"/>
  <c r="V151"/>
  <c r="U151"/>
  <c r="T151"/>
  <c r="S151"/>
  <c r="R151"/>
  <c r="X150"/>
  <c r="W150"/>
  <c r="V150"/>
  <c r="U150"/>
  <c r="T150"/>
  <c r="S150"/>
  <c r="R150"/>
  <c r="X149"/>
  <c r="W149"/>
  <c r="V149"/>
  <c r="U149"/>
  <c r="T149"/>
  <c r="S149"/>
  <c r="R149"/>
  <c r="X148"/>
  <c r="W148"/>
  <c r="V148"/>
  <c r="U148"/>
  <c r="T148"/>
  <c r="S148"/>
  <c r="R148"/>
  <c r="X147"/>
  <c r="W147"/>
  <c r="V147"/>
  <c r="U147"/>
  <c r="T147"/>
  <c r="S147"/>
  <c r="R147"/>
  <c r="X146"/>
  <c r="W146"/>
  <c r="V146"/>
  <c r="U146"/>
  <c r="T146"/>
  <c r="S146"/>
  <c r="R146"/>
  <c r="X145"/>
  <c r="W145"/>
  <c r="V145"/>
  <c r="U145"/>
  <c r="T145"/>
  <c r="S145"/>
  <c r="R145"/>
  <c r="X144"/>
  <c r="W144"/>
  <c r="V144"/>
  <c r="U144"/>
  <c r="T144"/>
  <c r="S144"/>
  <c r="R144"/>
  <c r="X143"/>
  <c r="W143"/>
  <c r="V143"/>
  <c r="U143"/>
  <c r="T143"/>
  <c r="S143"/>
  <c r="R143"/>
  <c r="X142"/>
  <c r="W142"/>
  <c r="V142"/>
  <c r="U142"/>
  <c r="T142"/>
  <c r="S142"/>
  <c r="R142"/>
  <c r="X141"/>
  <c r="W141"/>
  <c r="V141"/>
  <c r="U141"/>
  <c r="T141"/>
  <c r="S141"/>
  <c r="R141"/>
  <c r="X140"/>
  <c r="W140"/>
  <c r="V140"/>
  <c r="U140"/>
  <c r="T140"/>
  <c r="S140"/>
  <c r="R140"/>
  <c r="X139"/>
  <c r="W139"/>
  <c r="V139"/>
  <c r="U139"/>
  <c r="T139"/>
  <c r="S139"/>
  <c r="R139"/>
  <c r="X138"/>
  <c r="W138"/>
  <c r="V138"/>
  <c r="U138"/>
  <c r="T138"/>
  <c r="S138"/>
  <c r="R138"/>
  <c r="X137"/>
  <c r="W137"/>
  <c r="V137"/>
  <c r="U137"/>
  <c r="T137"/>
  <c r="S137"/>
  <c r="R137"/>
  <c r="X136"/>
  <c r="W136"/>
  <c r="V136"/>
  <c r="U136"/>
  <c r="T136"/>
  <c r="S136"/>
  <c r="R136"/>
  <c r="X135"/>
  <c r="W135"/>
  <c r="V135"/>
  <c r="U135"/>
  <c r="T135"/>
  <c r="S135"/>
  <c r="R135"/>
  <c r="X134"/>
  <c r="W134"/>
  <c r="V134"/>
  <c r="U134"/>
  <c r="T134"/>
  <c r="S134"/>
  <c r="R134"/>
  <c r="X133"/>
  <c r="W133"/>
  <c r="V133"/>
  <c r="U133"/>
  <c r="T133"/>
  <c r="S133"/>
  <c r="R133"/>
  <c r="X132"/>
  <c r="W132"/>
  <c r="V132"/>
  <c r="U132"/>
  <c r="T132"/>
  <c r="S132"/>
  <c r="R132"/>
  <c r="X131"/>
  <c r="W131"/>
  <c r="V131"/>
  <c r="U131"/>
  <c r="T131"/>
  <c r="S131"/>
  <c r="R131"/>
  <c r="X130"/>
  <c r="W130"/>
  <c r="V130"/>
  <c r="U130"/>
  <c r="T130"/>
  <c r="S130"/>
  <c r="R130"/>
  <c r="X129"/>
  <c r="W129"/>
  <c r="V129"/>
  <c r="U129"/>
  <c r="T129"/>
  <c r="S129"/>
  <c r="R129"/>
  <c r="X128"/>
  <c r="W128"/>
  <c r="V128"/>
  <c r="U128"/>
  <c r="T128"/>
  <c r="S128"/>
  <c r="R128"/>
  <c r="X127"/>
  <c r="W127"/>
  <c r="V127"/>
  <c r="U127"/>
  <c r="T127"/>
  <c r="S127"/>
  <c r="R127"/>
  <c r="X126"/>
  <c r="W126"/>
  <c r="V126"/>
  <c r="U126"/>
  <c r="T126"/>
  <c r="S126"/>
  <c r="R126"/>
  <c r="X125"/>
  <c r="W125"/>
  <c r="V125"/>
  <c r="U125"/>
  <c r="T125"/>
  <c r="S125"/>
  <c r="R125"/>
  <c r="X124"/>
  <c r="W124"/>
  <c r="V124"/>
  <c r="U124"/>
  <c r="T124"/>
  <c r="S124"/>
  <c r="R124"/>
  <c r="X123"/>
  <c r="W123"/>
  <c r="V123"/>
  <c r="U123"/>
  <c r="T123"/>
  <c r="S123"/>
  <c r="R123"/>
  <c r="X122"/>
  <c r="W122"/>
  <c r="V122"/>
  <c r="U122"/>
  <c r="T122"/>
  <c r="S122"/>
  <c r="R122"/>
  <c r="X121"/>
  <c r="W121"/>
  <c r="V121"/>
  <c r="U121"/>
  <c r="T121"/>
  <c r="S121"/>
  <c r="R121"/>
  <c r="X120"/>
  <c r="W120"/>
  <c r="V120"/>
  <c r="U120"/>
  <c r="T120"/>
  <c r="S120"/>
  <c r="R120"/>
  <c r="X119"/>
  <c r="W119"/>
  <c r="V119"/>
  <c r="U119"/>
  <c r="T119"/>
  <c r="S119"/>
  <c r="R119"/>
  <c r="X118"/>
  <c r="W118"/>
  <c r="V118"/>
  <c r="U118"/>
  <c r="T118"/>
  <c r="S118"/>
  <c r="R118"/>
  <c r="X117"/>
  <c r="W117"/>
  <c r="V117"/>
  <c r="U117"/>
  <c r="T117"/>
  <c r="S117"/>
  <c r="R117"/>
  <c r="X116"/>
  <c r="W116"/>
  <c r="V116"/>
  <c r="U116"/>
  <c r="T116"/>
  <c r="S116"/>
  <c r="R116"/>
  <c r="X115"/>
  <c r="W115"/>
  <c r="V115"/>
  <c r="U115"/>
  <c r="T115"/>
  <c r="S115"/>
  <c r="R115"/>
  <c r="X114"/>
  <c r="W114"/>
  <c r="V114"/>
  <c r="U114"/>
  <c r="T114"/>
  <c r="S114"/>
  <c r="R114"/>
  <c r="X113"/>
  <c r="W113"/>
  <c r="V113"/>
  <c r="U113"/>
  <c r="T113"/>
  <c r="S113"/>
  <c r="R113"/>
  <c r="X112"/>
  <c r="W112"/>
  <c r="V112"/>
  <c r="U112"/>
  <c r="T112"/>
  <c r="S112"/>
  <c r="R112"/>
  <c r="X111"/>
  <c r="W111"/>
  <c r="V111"/>
  <c r="U111"/>
  <c r="T111"/>
  <c r="S111"/>
  <c r="R111"/>
  <c r="X110"/>
  <c r="W110"/>
  <c r="V110"/>
  <c r="U110"/>
  <c r="T110"/>
  <c r="S110"/>
  <c r="R110"/>
  <c r="X109"/>
  <c r="W109"/>
  <c r="V109"/>
  <c r="U109"/>
  <c r="T109"/>
  <c r="S109"/>
  <c r="R109"/>
  <c r="X108"/>
  <c r="W108"/>
  <c r="V108"/>
  <c r="U108"/>
  <c r="T108"/>
  <c r="S108"/>
  <c r="R108"/>
  <c r="X107"/>
  <c r="W107"/>
  <c r="V107"/>
  <c r="U107"/>
  <c r="T107"/>
  <c r="S107"/>
  <c r="R107"/>
  <c r="X106"/>
  <c r="W106"/>
  <c r="V106"/>
  <c r="U106"/>
  <c r="T106"/>
  <c r="S106"/>
  <c r="R106"/>
  <c r="X105"/>
  <c r="W105"/>
  <c r="V105"/>
  <c r="U105"/>
  <c r="T105"/>
  <c r="S105"/>
  <c r="R105"/>
  <c r="X104"/>
  <c r="W104"/>
  <c r="V104"/>
  <c r="U104"/>
  <c r="T104"/>
  <c r="S104"/>
  <c r="R104"/>
  <c r="X103"/>
  <c r="W103"/>
  <c r="V103"/>
  <c r="U103"/>
  <c r="T103"/>
  <c r="S103"/>
  <c r="R103"/>
  <c r="X102"/>
  <c r="W102"/>
  <c r="V102"/>
  <c r="U102"/>
  <c r="T102"/>
  <c r="S102"/>
  <c r="R102"/>
  <c r="X101"/>
  <c r="W101"/>
  <c r="V101"/>
  <c r="U101"/>
  <c r="T101"/>
  <c r="S101"/>
  <c r="R101"/>
  <c r="X100"/>
  <c r="W100"/>
  <c r="V100"/>
  <c r="U100"/>
  <c r="T100"/>
  <c r="S100"/>
  <c r="R100"/>
  <c r="X99"/>
  <c r="W99"/>
  <c r="V99"/>
  <c r="U99"/>
  <c r="T99"/>
  <c r="S99"/>
  <c r="R99"/>
  <c r="X98"/>
  <c r="W98"/>
  <c r="V98"/>
  <c r="U98"/>
  <c r="T98"/>
  <c r="S98"/>
  <c r="R98"/>
  <c r="X97"/>
  <c r="W97"/>
  <c r="V97"/>
  <c r="U97"/>
  <c r="T97"/>
  <c r="S97"/>
  <c r="R97"/>
  <c r="X96"/>
  <c r="W96"/>
  <c r="V96"/>
  <c r="U96"/>
  <c r="T96"/>
  <c r="S96"/>
  <c r="R96"/>
  <c r="X95"/>
  <c r="W95"/>
  <c r="V95"/>
  <c r="U95"/>
  <c r="T95"/>
  <c r="S95"/>
  <c r="R95"/>
  <c r="X94"/>
  <c r="W94"/>
  <c r="V94"/>
  <c r="U94"/>
  <c r="T94"/>
  <c r="S94"/>
  <c r="R94"/>
  <c r="X93"/>
  <c r="W93"/>
  <c r="V93"/>
  <c r="U93"/>
  <c r="T93"/>
  <c r="S93"/>
  <c r="R93"/>
  <c r="X92"/>
  <c r="W92"/>
  <c r="V92"/>
  <c r="U92"/>
  <c r="T92"/>
  <c r="S92"/>
  <c r="R92"/>
  <c r="X91"/>
  <c r="W91"/>
  <c r="V91"/>
  <c r="U91"/>
  <c r="T91"/>
  <c r="S91"/>
  <c r="R91"/>
  <c r="X90"/>
  <c r="W90"/>
  <c r="V90"/>
  <c r="U90"/>
  <c r="T90"/>
  <c r="S90"/>
  <c r="R90"/>
  <c r="X89"/>
  <c r="W89"/>
  <c r="V89"/>
  <c r="U89"/>
  <c r="T89"/>
  <c r="S89"/>
  <c r="R89"/>
  <c r="X88"/>
  <c r="W88"/>
  <c r="V88"/>
  <c r="U88"/>
  <c r="T88"/>
  <c r="S88"/>
  <c r="R88"/>
  <c r="X87"/>
  <c r="W87"/>
  <c r="V87"/>
  <c r="U87"/>
  <c r="T87"/>
  <c r="S87"/>
  <c r="R87"/>
  <c r="X86"/>
  <c r="W86"/>
  <c r="V86"/>
  <c r="U86"/>
  <c r="T86"/>
  <c r="S86"/>
  <c r="R86"/>
  <c r="X85"/>
  <c r="W85"/>
  <c r="V85"/>
  <c r="U85"/>
  <c r="T85"/>
  <c r="S85"/>
  <c r="R85"/>
  <c r="X84"/>
  <c r="W84"/>
  <c r="V84"/>
  <c r="U84"/>
  <c r="T84"/>
  <c r="S84"/>
  <c r="R84"/>
  <c r="X83"/>
  <c r="W83"/>
  <c r="V83"/>
  <c r="U83"/>
  <c r="T83"/>
  <c r="S83"/>
  <c r="R83"/>
  <c r="X82"/>
  <c r="W82"/>
  <c r="V82"/>
  <c r="U82"/>
  <c r="T82"/>
  <c r="S82"/>
  <c r="R82"/>
  <c r="X81"/>
  <c r="W81"/>
  <c r="V81"/>
  <c r="U81"/>
  <c r="T81"/>
  <c r="S81"/>
  <c r="R81"/>
  <c r="X80"/>
  <c r="W80"/>
  <c r="V80"/>
  <c r="U80"/>
  <c r="T80"/>
  <c r="S80"/>
  <c r="R80"/>
  <c r="X79"/>
  <c r="W79"/>
  <c r="V79"/>
  <c r="U79"/>
  <c r="T79"/>
  <c r="S79"/>
  <c r="R79"/>
  <c r="X78"/>
  <c r="W78"/>
  <c r="V78"/>
  <c r="U78"/>
  <c r="T78"/>
  <c r="S78"/>
  <c r="R78"/>
  <c r="X77"/>
  <c r="W77"/>
  <c r="V77"/>
  <c r="U77"/>
  <c r="T77"/>
  <c r="S77"/>
  <c r="R77"/>
  <c r="X76"/>
  <c r="W76"/>
  <c r="V76"/>
  <c r="U76"/>
  <c r="T76"/>
  <c r="S76"/>
  <c r="R76"/>
  <c r="X75"/>
  <c r="W75"/>
  <c r="V75"/>
  <c r="U75"/>
  <c r="T75"/>
  <c r="S75"/>
  <c r="R75"/>
  <c r="X74"/>
  <c r="W74"/>
  <c r="V74"/>
  <c r="U74"/>
  <c r="T74"/>
  <c r="S74"/>
  <c r="R74"/>
  <c r="X73"/>
  <c r="W73"/>
  <c r="V73"/>
  <c r="U73"/>
  <c r="T73"/>
  <c r="S73"/>
  <c r="R73"/>
  <c r="X72"/>
  <c r="W72"/>
  <c r="V72"/>
  <c r="U72"/>
  <c r="T72"/>
  <c r="S72"/>
  <c r="R72"/>
  <c r="X71"/>
  <c r="W71"/>
  <c r="V71"/>
  <c r="U71"/>
  <c r="T71"/>
  <c r="S71"/>
  <c r="R71"/>
  <c r="X70"/>
  <c r="W70"/>
  <c r="V70"/>
  <c r="U70"/>
  <c r="T70"/>
  <c r="S70"/>
  <c r="R70"/>
  <c r="X69"/>
  <c r="W69"/>
  <c r="V69"/>
  <c r="U69"/>
  <c r="T69"/>
  <c r="S69"/>
  <c r="R69"/>
  <c r="X68"/>
  <c r="W68"/>
  <c r="V68"/>
  <c r="U68"/>
  <c r="T68"/>
  <c r="S68"/>
  <c r="R68"/>
  <c r="X67"/>
  <c r="W67"/>
  <c r="V67"/>
  <c r="U67"/>
  <c r="T67"/>
  <c r="S67"/>
  <c r="R67"/>
  <c r="X66"/>
  <c r="W66"/>
  <c r="V66"/>
  <c r="U66"/>
  <c r="T66"/>
  <c r="S66"/>
  <c r="R66"/>
  <c r="X65"/>
  <c r="W65"/>
  <c r="V65"/>
  <c r="U65"/>
  <c r="T65"/>
  <c r="S65"/>
  <c r="R65"/>
  <c r="X64"/>
  <c r="W64"/>
  <c r="V64"/>
  <c r="U64"/>
  <c r="T64"/>
  <c r="S64"/>
  <c r="R64"/>
  <c r="X63"/>
  <c r="W63"/>
  <c r="V63"/>
  <c r="U63"/>
  <c r="T63"/>
  <c r="S63"/>
  <c r="R63"/>
  <c r="X62"/>
  <c r="W62"/>
  <c r="V62"/>
  <c r="U62"/>
  <c r="T62"/>
  <c r="S62"/>
  <c r="R62"/>
  <c r="X61"/>
  <c r="W61"/>
  <c r="V61"/>
  <c r="U61"/>
  <c r="T61"/>
  <c r="S61"/>
  <c r="R61"/>
  <c r="X60"/>
  <c r="W60"/>
  <c r="V60"/>
  <c r="U60"/>
  <c r="T60"/>
  <c r="S60"/>
  <c r="R60"/>
  <c r="X59"/>
  <c r="W59"/>
  <c r="V59"/>
  <c r="U59"/>
  <c r="T59"/>
  <c r="S59"/>
  <c r="R59"/>
  <c r="X58"/>
  <c r="W58"/>
  <c r="V58"/>
  <c r="U58"/>
  <c r="T58"/>
  <c r="S58"/>
  <c r="R58"/>
  <c r="X57"/>
  <c r="W57"/>
  <c r="V57"/>
  <c r="U57"/>
  <c r="T57"/>
  <c r="S57"/>
  <c r="R57"/>
  <c r="X56"/>
  <c r="W56"/>
  <c r="V56"/>
  <c r="U56"/>
  <c r="T56"/>
  <c r="S56"/>
  <c r="R56"/>
  <c r="X55"/>
  <c r="W55"/>
  <c r="V55"/>
  <c r="U55"/>
  <c r="T55"/>
  <c r="S55"/>
  <c r="R55"/>
  <c r="X54"/>
  <c r="W54"/>
  <c r="V54"/>
  <c r="U54"/>
  <c r="T54"/>
  <c r="S54"/>
  <c r="R54"/>
  <c r="X53"/>
  <c r="W53"/>
  <c r="V53"/>
  <c r="U53"/>
  <c r="T53"/>
  <c r="S53"/>
  <c r="R53"/>
  <c r="X52"/>
  <c r="W52"/>
  <c r="V52"/>
  <c r="U52"/>
  <c r="T52"/>
  <c r="S52"/>
  <c r="R52"/>
  <c r="X51"/>
  <c r="W51"/>
  <c r="V51"/>
  <c r="U51"/>
  <c r="T51"/>
  <c r="S51"/>
  <c r="R51"/>
  <c r="X50"/>
  <c r="W50"/>
  <c r="V50"/>
  <c r="U50"/>
  <c r="T50"/>
  <c r="S50"/>
  <c r="R50"/>
  <c r="X49"/>
  <c r="W49"/>
  <c r="V49"/>
  <c r="U49"/>
  <c r="T49"/>
  <c r="S49"/>
  <c r="R49"/>
  <c r="X48"/>
  <c r="W48"/>
  <c r="V48"/>
  <c r="U48"/>
  <c r="T48"/>
  <c r="S48"/>
  <c r="R48"/>
  <c r="X47"/>
  <c r="W47"/>
  <c r="V47"/>
  <c r="U47"/>
  <c r="T47"/>
  <c r="S47"/>
  <c r="R47"/>
  <c r="X46"/>
  <c r="W46"/>
  <c r="V46"/>
  <c r="U46"/>
  <c r="T46"/>
  <c r="S46"/>
  <c r="R46"/>
  <c r="X45"/>
  <c r="W45"/>
  <c r="V45"/>
  <c r="U45"/>
  <c r="T45"/>
  <c r="S45"/>
  <c r="R45"/>
  <c r="X44"/>
  <c r="W44"/>
  <c r="V44"/>
  <c r="U44"/>
  <c r="T44"/>
  <c r="S44"/>
  <c r="R44"/>
  <c r="X43"/>
  <c r="W43"/>
  <c r="V43"/>
  <c r="U43"/>
  <c r="T43"/>
  <c r="S43"/>
  <c r="R43"/>
  <c r="X42"/>
  <c r="W42"/>
  <c r="V42"/>
  <c r="U42"/>
  <c r="T42"/>
  <c r="S42"/>
  <c r="R42"/>
  <c r="X41"/>
  <c r="W41"/>
  <c r="V41"/>
  <c r="U41"/>
  <c r="T41"/>
  <c r="S41"/>
  <c r="R41"/>
  <c r="X40"/>
  <c r="W40"/>
  <c r="V40"/>
  <c r="U40"/>
  <c r="T40"/>
  <c r="S40"/>
  <c r="R40"/>
  <c r="X39"/>
  <c r="W39"/>
  <c r="V39"/>
  <c r="U39"/>
  <c r="T39"/>
  <c r="S39"/>
  <c r="R39"/>
  <c r="X38"/>
  <c r="W38"/>
  <c r="V38"/>
  <c r="U38"/>
  <c r="T38"/>
  <c r="S38"/>
  <c r="R38"/>
  <c r="X37"/>
  <c r="W37"/>
  <c r="V37"/>
  <c r="U37"/>
  <c r="T37"/>
  <c r="S37"/>
  <c r="R37"/>
  <c r="X36"/>
  <c r="W36"/>
  <c r="V36"/>
  <c r="U36"/>
  <c r="T36"/>
  <c r="S36"/>
  <c r="R36"/>
  <c r="X35"/>
  <c r="W35"/>
  <c r="V35"/>
  <c r="U35"/>
  <c r="T35"/>
  <c r="S35"/>
  <c r="R35"/>
  <c r="X34"/>
  <c r="W34"/>
  <c r="V34"/>
  <c r="U34"/>
  <c r="T34"/>
  <c r="S34"/>
  <c r="R34"/>
  <c r="X33"/>
  <c r="W33"/>
  <c r="V33"/>
  <c r="U33"/>
  <c r="T33"/>
  <c r="S33"/>
  <c r="R33"/>
  <c r="X32"/>
  <c r="W32"/>
  <c r="V32"/>
  <c r="U32"/>
  <c r="T32"/>
  <c r="S32"/>
  <c r="R32"/>
  <c r="X31"/>
  <c r="W31"/>
  <c r="V31"/>
  <c r="U31"/>
  <c r="T31"/>
  <c r="S31"/>
  <c r="R31"/>
  <c r="X30"/>
  <c r="W30"/>
  <c r="V30"/>
  <c r="U30"/>
  <c r="T30"/>
  <c r="S30"/>
  <c r="R30"/>
  <c r="X29"/>
  <c r="W29"/>
  <c r="V29"/>
  <c r="U29"/>
  <c r="T29"/>
  <c r="S29"/>
  <c r="R29"/>
  <c r="X28"/>
  <c r="W28"/>
  <c r="V28"/>
  <c r="U28"/>
  <c r="T28"/>
  <c r="S28"/>
  <c r="R28"/>
  <c r="X27"/>
  <c r="W27"/>
  <c r="V27"/>
  <c r="U27"/>
  <c r="T27"/>
  <c r="S27"/>
  <c r="R27"/>
  <c r="X26"/>
  <c r="W26"/>
  <c r="V26"/>
  <c r="U26"/>
  <c r="T26"/>
  <c r="S26"/>
  <c r="R26"/>
  <c r="X25"/>
  <c r="W25"/>
  <c r="V25"/>
  <c r="U25"/>
  <c r="T25"/>
  <c r="S25"/>
  <c r="R25"/>
  <c r="X24"/>
  <c r="W24"/>
  <c r="V24"/>
  <c r="U24"/>
  <c r="T24"/>
  <c r="S24"/>
  <c r="R24"/>
  <c r="X23"/>
  <c r="W23"/>
  <c r="V23"/>
  <c r="U23"/>
  <c r="T23"/>
  <c r="S23"/>
  <c r="R23"/>
  <c r="X22"/>
  <c r="W22"/>
  <c r="V22"/>
  <c r="U22"/>
  <c r="T22"/>
  <c r="S22"/>
  <c r="R22"/>
  <c r="X21"/>
  <c r="W21"/>
  <c r="V21"/>
  <c r="U21"/>
  <c r="T21"/>
  <c r="S21"/>
  <c r="R21"/>
  <c r="X20"/>
  <c r="W20"/>
  <c r="V20"/>
  <c r="U20"/>
  <c r="T20"/>
  <c r="S20"/>
  <c r="R20"/>
  <c r="X19"/>
  <c r="W19"/>
  <c r="V19"/>
  <c r="U19"/>
  <c r="T19"/>
  <c r="S19"/>
  <c r="R19"/>
  <c r="X18"/>
  <c r="W18"/>
  <c r="V18"/>
  <c r="U18"/>
  <c r="T18"/>
  <c r="S18"/>
  <c r="R18"/>
  <c r="X17"/>
  <c r="W17"/>
  <c r="V17"/>
  <c r="U17"/>
  <c r="T17"/>
  <c r="S17"/>
  <c r="R17"/>
  <c r="X16"/>
  <c r="W16"/>
  <c r="V16"/>
  <c r="U16"/>
  <c r="T16"/>
  <c r="S16"/>
  <c r="R16"/>
  <c r="X15"/>
  <c r="W15"/>
  <c r="V15"/>
  <c r="U15"/>
  <c r="T15"/>
  <c r="S15"/>
  <c r="R15"/>
  <c r="X14"/>
  <c r="W14"/>
  <c r="V14"/>
  <c r="U14"/>
  <c r="T14"/>
  <c r="S14"/>
  <c r="R14"/>
  <c r="X13"/>
  <c r="W13"/>
  <c r="V13"/>
  <c r="U13"/>
  <c r="T13"/>
  <c r="S13"/>
  <c r="R13"/>
  <c r="X12"/>
  <c r="W12"/>
  <c r="V12"/>
  <c r="U12"/>
  <c r="T12"/>
  <c r="S12"/>
  <c r="R12"/>
  <c r="X10"/>
  <c r="W10"/>
  <c r="V10"/>
  <c r="U10"/>
  <c r="T10"/>
  <c r="U7"/>
  <c r="S7"/>
  <c r="X6"/>
  <c r="W6"/>
  <c r="U6"/>
  <c r="S6"/>
  <c r="I6"/>
  <c r="G6"/>
  <c r="C6"/>
  <c r="A6"/>
  <c r="U5"/>
  <c r="G5"/>
  <c r="C5"/>
  <c r="A5"/>
  <c r="U4"/>
  <c r="O4"/>
  <c r="K4"/>
  <c r="G4"/>
  <c r="C4"/>
  <c r="A4"/>
  <c r="S3"/>
  <c r="A3"/>
  <c r="S2"/>
  <c r="A2"/>
  <c r="S1"/>
  <c r="A1"/>
  <c r="X251" i="3"/>
  <c r="W251"/>
  <c r="V251"/>
  <c r="U251"/>
  <c r="T251"/>
  <c r="S251"/>
  <c r="R251"/>
  <c r="X250"/>
  <c r="W250"/>
  <c r="V250"/>
  <c r="U250"/>
  <c r="T250"/>
  <c r="S250"/>
  <c r="R250"/>
  <c r="X249"/>
  <c r="W249"/>
  <c r="V249"/>
  <c r="U249"/>
  <c r="T249"/>
  <c r="S249"/>
  <c r="R249"/>
  <c r="X248"/>
  <c r="W248"/>
  <c r="V248"/>
  <c r="U248"/>
  <c r="T248"/>
  <c r="S248"/>
  <c r="R248"/>
  <c r="X247"/>
  <c r="W247"/>
  <c r="V247"/>
  <c r="U247"/>
  <c r="T247"/>
  <c r="S247"/>
  <c r="R247"/>
  <c r="X246"/>
  <c r="W246"/>
  <c r="V246"/>
  <c r="U246"/>
  <c r="T246"/>
  <c r="S246"/>
  <c r="R246"/>
  <c r="X245"/>
  <c r="W245"/>
  <c r="V245"/>
  <c r="U245"/>
  <c r="T245"/>
  <c r="S245"/>
  <c r="R245"/>
  <c r="X244"/>
  <c r="W244"/>
  <c r="V244"/>
  <c r="U244"/>
  <c r="T244"/>
  <c r="S244"/>
  <c r="R244"/>
  <c r="X243"/>
  <c r="W243"/>
  <c r="V243"/>
  <c r="U243"/>
  <c r="T243"/>
  <c r="S243"/>
  <c r="R243"/>
  <c r="X242"/>
  <c r="W242"/>
  <c r="V242"/>
  <c r="U242"/>
  <c r="T242"/>
  <c r="S242"/>
  <c r="R242"/>
  <c r="X241"/>
  <c r="W241"/>
  <c r="V241"/>
  <c r="U241"/>
  <c r="T241"/>
  <c r="S241"/>
  <c r="R241"/>
  <c r="X240"/>
  <c r="W240"/>
  <c r="V240"/>
  <c r="U240"/>
  <c r="T240"/>
  <c r="S240"/>
  <c r="R240"/>
  <c r="X239"/>
  <c r="W239"/>
  <c r="V239"/>
  <c r="U239"/>
  <c r="T239"/>
  <c r="S239"/>
  <c r="R239"/>
  <c r="X238"/>
  <c r="W238"/>
  <c r="V238"/>
  <c r="U238"/>
  <c r="T238"/>
  <c r="S238"/>
  <c r="R238"/>
  <c r="X237"/>
  <c r="W237"/>
  <c r="V237"/>
  <c r="U237"/>
  <c r="T237"/>
  <c r="S237"/>
  <c r="R237"/>
  <c r="X236"/>
  <c r="W236"/>
  <c r="V236"/>
  <c r="U236"/>
  <c r="T236"/>
  <c r="S236"/>
  <c r="R236"/>
  <c r="X235"/>
  <c r="W235"/>
  <c r="V235"/>
  <c r="U235"/>
  <c r="T235"/>
  <c r="S235"/>
  <c r="R235"/>
  <c r="X234"/>
  <c r="W234"/>
  <c r="V234"/>
  <c r="U234"/>
  <c r="T234"/>
  <c r="S234"/>
  <c r="R234"/>
  <c r="X233"/>
  <c r="W233"/>
  <c r="V233"/>
  <c r="U233"/>
  <c r="T233"/>
  <c r="S233"/>
  <c r="R233"/>
  <c r="X232"/>
  <c r="W232"/>
  <c r="V232"/>
  <c r="U232"/>
  <c r="T232"/>
  <c r="S232"/>
  <c r="R232"/>
  <c r="X231"/>
  <c r="W231"/>
  <c r="V231"/>
  <c r="U231"/>
  <c r="T231"/>
  <c r="S231"/>
  <c r="R231"/>
  <c r="X230"/>
  <c r="W230"/>
  <c r="V230"/>
  <c r="U230"/>
  <c r="T230"/>
  <c r="S230"/>
  <c r="R230"/>
  <c r="X229"/>
  <c r="W229"/>
  <c r="V229"/>
  <c r="U229"/>
  <c r="T229"/>
  <c r="S229"/>
  <c r="R229"/>
  <c r="X228"/>
  <c r="W228"/>
  <c r="V228"/>
  <c r="U228"/>
  <c r="T228"/>
  <c r="S228"/>
  <c r="R228"/>
  <c r="X227"/>
  <c r="W227"/>
  <c r="V227"/>
  <c r="U227"/>
  <c r="T227"/>
  <c r="S227"/>
  <c r="R227"/>
  <c r="X226"/>
  <c r="W226"/>
  <c r="V226"/>
  <c r="U226"/>
  <c r="T226"/>
  <c r="S226"/>
  <c r="R226"/>
  <c r="X225"/>
  <c r="W225"/>
  <c r="V225"/>
  <c r="U225"/>
  <c r="T225"/>
  <c r="S225"/>
  <c r="R225"/>
  <c r="X224"/>
  <c r="W224"/>
  <c r="V224"/>
  <c r="U224"/>
  <c r="T224"/>
  <c r="S224"/>
  <c r="R224"/>
  <c r="X223"/>
  <c r="W223"/>
  <c r="V223"/>
  <c r="U223"/>
  <c r="T223"/>
  <c r="S223"/>
  <c r="R223"/>
  <c r="X222"/>
  <c r="W222"/>
  <c r="V222"/>
  <c r="U222"/>
  <c r="T222"/>
  <c r="S222"/>
  <c r="R222"/>
  <c r="X221"/>
  <c r="W221"/>
  <c r="V221"/>
  <c r="U221"/>
  <c r="T221"/>
  <c r="S221"/>
  <c r="R221"/>
  <c r="X220"/>
  <c r="W220"/>
  <c r="V220"/>
  <c r="U220"/>
  <c r="T220"/>
  <c r="S220"/>
  <c r="R220"/>
  <c r="X219"/>
  <c r="W219"/>
  <c r="V219"/>
  <c r="U219"/>
  <c r="T219"/>
  <c r="S219"/>
  <c r="R219"/>
  <c r="X218"/>
  <c r="W218"/>
  <c r="V218"/>
  <c r="U218"/>
  <c r="T218"/>
  <c r="S218"/>
  <c r="R218"/>
  <c r="X217"/>
  <c r="W217"/>
  <c r="V217"/>
  <c r="U217"/>
  <c r="T217"/>
  <c r="S217"/>
  <c r="R217"/>
  <c r="X216"/>
  <c r="W216"/>
  <c r="V216"/>
  <c r="U216"/>
  <c r="T216"/>
  <c r="S216"/>
  <c r="R216"/>
  <c r="X215"/>
  <c r="W215"/>
  <c r="V215"/>
  <c r="U215"/>
  <c r="T215"/>
  <c r="S215"/>
  <c r="R215"/>
  <c r="X214"/>
  <c r="W214"/>
  <c r="V214"/>
  <c r="U214"/>
  <c r="T214"/>
  <c r="S214"/>
  <c r="R214"/>
  <c r="X213"/>
  <c r="W213"/>
  <c r="V213"/>
  <c r="U213"/>
  <c r="T213"/>
  <c r="S213"/>
  <c r="R213"/>
  <c r="X212"/>
  <c r="W212"/>
  <c r="V212"/>
  <c r="U212"/>
  <c r="T212"/>
  <c r="S212"/>
  <c r="R212"/>
  <c r="X211"/>
  <c r="W211"/>
  <c r="V211"/>
  <c r="U211"/>
  <c r="T211"/>
  <c r="S211"/>
  <c r="R211"/>
  <c r="X210"/>
  <c r="W210"/>
  <c r="V210"/>
  <c r="U210"/>
  <c r="T210"/>
  <c r="S210"/>
  <c r="R210"/>
  <c r="X209"/>
  <c r="W209"/>
  <c r="V209"/>
  <c r="U209"/>
  <c r="T209"/>
  <c r="S209"/>
  <c r="R209"/>
  <c r="X208"/>
  <c r="W208"/>
  <c r="V208"/>
  <c r="U208"/>
  <c r="T208"/>
  <c r="S208"/>
  <c r="R208"/>
  <c r="X207"/>
  <c r="W207"/>
  <c r="V207"/>
  <c r="U207"/>
  <c r="T207"/>
  <c r="S207"/>
  <c r="R207"/>
  <c r="X206"/>
  <c r="W206"/>
  <c r="V206"/>
  <c r="U206"/>
  <c r="T206"/>
  <c r="S206"/>
  <c r="R206"/>
  <c r="X205"/>
  <c r="W205"/>
  <c r="V205"/>
  <c r="U205"/>
  <c r="T205"/>
  <c r="S205"/>
  <c r="R205"/>
  <c r="X204"/>
  <c r="W204"/>
  <c r="V204"/>
  <c r="U204"/>
  <c r="T204"/>
  <c r="S204"/>
  <c r="R204"/>
  <c r="X203"/>
  <c r="W203"/>
  <c r="V203"/>
  <c r="U203"/>
  <c r="T203"/>
  <c r="S203"/>
  <c r="R203"/>
  <c r="X202"/>
  <c r="W202"/>
  <c r="V202"/>
  <c r="U202"/>
  <c r="T202"/>
  <c r="S202"/>
  <c r="R202"/>
  <c r="X201"/>
  <c r="W201"/>
  <c r="V201"/>
  <c r="U201"/>
  <c r="T201"/>
  <c r="S201"/>
  <c r="R201"/>
  <c r="X200"/>
  <c r="W200"/>
  <c r="V200"/>
  <c r="U200"/>
  <c r="T200"/>
  <c r="S200"/>
  <c r="R200"/>
  <c r="X199"/>
  <c r="W199"/>
  <c r="V199"/>
  <c r="U199"/>
  <c r="T199"/>
  <c r="S199"/>
  <c r="R199"/>
  <c r="X198"/>
  <c r="W198"/>
  <c r="V198"/>
  <c r="U198"/>
  <c r="T198"/>
  <c r="S198"/>
  <c r="R198"/>
  <c r="X197"/>
  <c r="W197"/>
  <c r="V197"/>
  <c r="U197"/>
  <c r="T197"/>
  <c r="S197"/>
  <c r="R197"/>
  <c r="X196"/>
  <c r="W196"/>
  <c r="V196"/>
  <c r="U196"/>
  <c r="T196"/>
  <c r="S196"/>
  <c r="R196"/>
  <c r="X195"/>
  <c r="W195"/>
  <c r="V195"/>
  <c r="U195"/>
  <c r="T195"/>
  <c r="S195"/>
  <c r="R195"/>
  <c r="X194"/>
  <c r="W194"/>
  <c r="V194"/>
  <c r="U194"/>
  <c r="T194"/>
  <c r="S194"/>
  <c r="R194"/>
  <c r="X193"/>
  <c r="W193"/>
  <c r="V193"/>
  <c r="U193"/>
  <c r="T193"/>
  <c r="S193"/>
  <c r="R193"/>
  <c r="X192"/>
  <c r="W192"/>
  <c r="V192"/>
  <c r="U192"/>
  <c r="T192"/>
  <c r="S192"/>
  <c r="R192"/>
  <c r="X191"/>
  <c r="W191"/>
  <c r="V191"/>
  <c r="U191"/>
  <c r="T191"/>
  <c r="S191"/>
  <c r="R191"/>
  <c r="X190"/>
  <c r="W190"/>
  <c r="V190"/>
  <c r="U190"/>
  <c r="T190"/>
  <c r="S190"/>
  <c r="R190"/>
  <c r="X189"/>
  <c r="W189"/>
  <c r="V189"/>
  <c r="U189"/>
  <c r="T189"/>
  <c r="S189"/>
  <c r="R189"/>
  <c r="X188"/>
  <c r="W188"/>
  <c r="V188"/>
  <c r="U188"/>
  <c r="T188"/>
  <c r="S188"/>
  <c r="R188"/>
  <c r="X187"/>
  <c r="W187"/>
  <c r="V187"/>
  <c r="U187"/>
  <c r="T187"/>
  <c r="S187"/>
  <c r="R187"/>
  <c r="X186"/>
  <c r="W186"/>
  <c r="V186"/>
  <c r="U186"/>
  <c r="T186"/>
  <c r="S186"/>
  <c r="R186"/>
  <c r="X185"/>
  <c r="W185"/>
  <c r="V185"/>
  <c r="U185"/>
  <c r="T185"/>
  <c r="S185"/>
  <c r="R185"/>
  <c r="X184"/>
  <c r="W184"/>
  <c r="V184"/>
  <c r="U184"/>
  <c r="T184"/>
  <c r="S184"/>
  <c r="R184"/>
  <c r="X183"/>
  <c r="W183"/>
  <c r="V183"/>
  <c r="U183"/>
  <c r="T183"/>
  <c r="S183"/>
  <c r="R183"/>
  <c r="X182"/>
  <c r="W182"/>
  <c r="V182"/>
  <c r="U182"/>
  <c r="T182"/>
  <c r="S182"/>
  <c r="R182"/>
  <c r="X181"/>
  <c r="W181"/>
  <c r="V181"/>
  <c r="U181"/>
  <c r="T181"/>
  <c r="S181"/>
  <c r="R181"/>
  <c r="X180"/>
  <c r="W180"/>
  <c r="V180"/>
  <c r="U180"/>
  <c r="T180"/>
  <c r="S180"/>
  <c r="R180"/>
  <c r="X179"/>
  <c r="W179"/>
  <c r="V179"/>
  <c r="U179"/>
  <c r="T179"/>
  <c r="S179"/>
  <c r="R179"/>
  <c r="X178"/>
  <c r="W178"/>
  <c r="V178"/>
  <c r="U178"/>
  <c r="T178"/>
  <c r="S178"/>
  <c r="R178"/>
  <c r="X177"/>
  <c r="W177"/>
  <c r="V177"/>
  <c r="U177"/>
  <c r="T177"/>
  <c r="S177"/>
  <c r="R177"/>
  <c r="X176"/>
  <c r="W176"/>
  <c r="V176"/>
  <c r="U176"/>
  <c r="T176"/>
  <c r="S176"/>
  <c r="R176"/>
  <c r="X175"/>
  <c r="W175"/>
  <c r="V175"/>
  <c r="U175"/>
  <c r="T175"/>
  <c r="S175"/>
  <c r="R175"/>
  <c r="X174"/>
  <c r="W174"/>
  <c r="V174"/>
  <c r="U174"/>
  <c r="T174"/>
  <c r="S174"/>
  <c r="R174"/>
  <c r="X173"/>
  <c r="W173"/>
  <c r="V173"/>
  <c r="U173"/>
  <c r="T173"/>
  <c r="S173"/>
  <c r="R173"/>
  <c r="X172"/>
  <c r="W172"/>
  <c r="V172"/>
  <c r="U172"/>
  <c r="T172"/>
  <c r="S172"/>
  <c r="R172"/>
  <c r="X171"/>
  <c r="W171"/>
  <c r="V171"/>
  <c r="U171"/>
  <c r="T171"/>
  <c r="S171"/>
  <c r="R171"/>
  <c r="X170"/>
  <c r="W170"/>
  <c r="V170"/>
  <c r="U170"/>
  <c r="T170"/>
  <c r="S170"/>
  <c r="R170"/>
  <c r="X169"/>
  <c r="W169"/>
  <c r="V169"/>
  <c r="U169"/>
  <c r="T169"/>
  <c r="S169"/>
  <c r="R169"/>
  <c r="X168"/>
  <c r="W168"/>
  <c r="V168"/>
  <c r="U168"/>
  <c r="T168"/>
  <c r="S168"/>
  <c r="R168"/>
  <c r="X167"/>
  <c r="W167"/>
  <c r="V167"/>
  <c r="U167"/>
  <c r="T167"/>
  <c r="S167"/>
  <c r="R167"/>
  <c r="X166"/>
  <c r="W166"/>
  <c r="V166"/>
  <c r="U166"/>
  <c r="T166"/>
  <c r="S166"/>
  <c r="R166"/>
  <c r="X165"/>
  <c r="W165"/>
  <c r="V165"/>
  <c r="U165"/>
  <c r="T165"/>
  <c r="S165"/>
  <c r="R165"/>
  <c r="X164"/>
  <c r="W164"/>
  <c r="V164"/>
  <c r="U164"/>
  <c r="T164"/>
  <c r="S164"/>
  <c r="R164"/>
  <c r="X163"/>
  <c r="W163"/>
  <c r="V163"/>
  <c r="U163"/>
  <c r="T163"/>
  <c r="S163"/>
  <c r="R163"/>
  <c r="X162"/>
  <c r="W162"/>
  <c r="V162"/>
  <c r="U162"/>
  <c r="T162"/>
  <c r="S162"/>
  <c r="R162"/>
  <c r="X161"/>
  <c r="W161"/>
  <c r="V161"/>
  <c r="U161"/>
  <c r="T161"/>
  <c r="S161"/>
  <c r="R161"/>
  <c r="X160"/>
  <c r="W160"/>
  <c r="V160"/>
  <c r="U160"/>
  <c r="T160"/>
  <c r="S160"/>
  <c r="R160"/>
  <c r="X159"/>
  <c r="W159"/>
  <c r="V159"/>
  <c r="U159"/>
  <c r="T159"/>
  <c r="S159"/>
  <c r="R159"/>
  <c r="X158"/>
  <c r="W158"/>
  <c r="V158"/>
  <c r="U158"/>
  <c r="T158"/>
  <c r="S158"/>
  <c r="R158"/>
  <c r="X157"/>
  <c r="W157"/>
  <c r="V157"/>
  <c r="U157"/>
  <c r="T157"/>
  <c r="S157"/>
  <c r="R157"/>
  <c r="X156"/>
  <c r="W156"/>
  <c r="V156"/>
  <c r="U156"/>
  <c r="T156"/>
  <c r="S156"/>
  <c r="R156"/>
  <c r="X155"/>
  <c r="W155"/>
  <c r="V155"/>
  <c r="U155"/>
  <c r="T155"/>
  <c r="S155"/>
  <c r="R155"/>
  <c r="X154"/>
  <c r="W154"/>
  <c r="V154"/>
  <c r="U154"/>
  <c r="T154"/>
  <c r="S154"/>
  <c r="R154"/>
  <c r="X153"/>
  <c r="W153"/>
  <c r="V153"/>
  <c r="U153"/>
  <c r="T153"/>
  <c r="S153"/>
  <c r="R153"/>
  <c r="X152"/>
  <c r="W152"/>
  <c r="V152"/>
  <c r="U152"/>
  <c r="T152"/>
  <c r="S152"/>
  <c r="R152"/>
  <c r="X151"/>
  <c r="W151"/>
  <c r="V151"/>
  <c r="U151"/>
  <c r="T151"/>
  <c r="S151"/>
  <c r="R151"/>
  <c r="X150"/>
  <c r="W150"/>
  <c r="V150"/>
  <c r="U150"/>
  <c r="T150"/>
  <c r="S150"/>
  <c r="R150"/>
  <c r="X149"/>
  <c r="W149"/>
  <c r="V149"/>
  <c r="U149"/>
  <c r="T149"/>
  <c r="S149"/>
  <c r="R149"/>
  <c r="X148"/>
  <c r="W148"/>
  <c r="V148"/>
  <c r="U148"/>
  <c r="T148"/>
  <c r="S148"/>
  <c r="R148"/>
  <c r="X147"/>
  <c r="W147"/>
  <c r="V147"/>
  <c r="U147"/>
  <c r="T147"/>
  <c r="S147"/>
  <c r="R147"/>
  <c r="X146"/>
  <c r="W146"/>
  <c r="V146"/>
  <c r="U146"/>
  <c r="T146"/>
  <c r="S146"/>
  <c r="R146"/>
  <c r="X145"/>
  <c r="W145"/>
  <c r="V145"/>
  <c r="U145"/>
  <c r="T145"/>
  <c r="S145"/>
  <c r="R145"/>
  <c r="X144"/>
  <c r="W144"/>
  <c r="V144"/>
  <c r="U144"/>
  <c r="T144"/>
  <c r="S144"/>
  <c r="R144"/>
  <c r="X143"/>
  <c r="W143"/>
  <c r="V143"/>
  <c r="U143"/>
  <c r="T143"/>
  <c r="S143"/>
  <c r="R143"/>
  <c r="X142"/>
  <c r="W142"/>
  <c r="V142"/>
  <c r="U142"/>
  <c r="T142"/>
  <c r="S142"/>
  <c r="R142"/>
  <c r="X141"/>
  <c r="W141"/>
  <c r="V141"/>
  <c r="U141"/>
  <c r="T141"/>
  <c r="S141"/>
  <c r="R141"/>
  <c r="X140"/>
  <c r="W140"/>
  <c r="V140"/>
  <c r="U140"/>
  <c r="T140"/>
  <c r="S140"/>
  <c r="R140"/>
  <c r="X139"/>
  <c r="W139"/>
  <c r="V139"/>
  <c r="U139"/>
  <c r="T139"/>
  <c r="S139"/>
  <c r="R139"/>
  <c r="X138"/>
  <c r="W138"/>
  <c r="V138"/>
  <c r="U138"/>
  <c r="T138"/>
  <c r="S138"/>
  <c r="R138"/>
  <c r="X137"/>
  <c r="W137"/>
  <c r="V137"/>
  <c r="U137"/>
  <c r="T137"/>
  <c r="S137"/>
  <c r="R137"/>
  <c r="X136"/>
  <c r="W136"/>
  <c r="V136"/>
  <c r="U136"/>
  <c r="T136"/>
  <c r="S136"/>
  <c r="R136"/>
  <c r="X135"/>
  <c r="W135"/>
  <c r="V135"/>
  <c r="U135"/>
  <c r="T135"/>
  <c r="S135"/>
  <c r="R135"/>
  <c r="X134"/>
  <c r="W134"/>
  <c r="V134"/>
  <c r="U134"/>
  <c r="T134"/>
  <c r="S134"/>
  <c r="R134"/>
  <c r="X133"/>
  <c r="W133"/>
  <c r="V133"/>
  <c r="U133"/>
  <c r="T133"/>
  <c r="S133"/>
  <c r="R133"/>
  <c r="X132"/>
  <c r="W132"/>
  <c r="V132"/>
  <c r="U132"/>
  <c r="T132"/>
  <c r="S132"/>
  <c r="R132"/>
  <c r="X131"/>
  <c r="W131"/>
  <c r="V131"/>
  <c r="U131"/>
  <c r="T131"/>
  <c r="S131"/>
  <c r="R131"/>
  <c r="X130"/>
  <c r="W130"/>
  <c r="V130"/>
  <c r="U130"/>
  <c r="T130"/>
  <c r="S130"/>
  <c r="R130"/>
  <c r="X129"/>
  <c r="W129"/>
  <c r="V129"/>
  <c r="U129"/>
  <c r="T129"/>
  <c r="S129"/>
  <c r="R129"/>
  <c r="X128"/>
  <c r="W128"/>
  <c r="V128"/>
  <c r="U128"/>
  <c r="T128"/>
  <c r="S128"/>
  <c r="R128"/>
  <c r="X127"/>
  <c r="W127"/>
  <c r="V127"/>
  <c r="U127"/>
  <c r="T127"/>
  <c r="S127"/>
  <c r="R127"/>
  <c r="X126"/>
  <c r="W126"/>
  <c r="V126"/>
  <c r="U126"/>
  <c r="T126"/>
  <c r="S126"/>
  <c r="R126"/>
  <c r="X125"/>
  <c r="W125"/>
  <c r="V125"/>
  <c r="U125"/>
  <c r="T125"/>
  <c r="S125"/>
  <c r="R125"/>
  <c r="X124"/>
  <c r="W124"/>
  <c r="V124"/>
  <c r="U124"/>
  <c r="T124"/>
  <c r="S124"/>
  <c r="R124"/>
  <c r="X123"/>
  <c r="W123"/>
  <c r="V123"/>
  <c r="U123"/>
  <c r="T123"/>
  <c r="S123"/>
  <c r="R123"/>
  <c r="X122"/>
  <c r="W122"/>
  <c r="V122"/>
  <c r="U122"/>
  <c r="T122"/>
  <c r="S122"/>
  <c r="R122"/>
  <c r="X121"/>
  <c r="W121"/>
  <c r="V121"/>
  <c r="U121"/>
  <c r="T121"/>
  <c r="S121"/>
  <c r="R121"/>
  <c r="X120"/>
  <c r="W120"/>
  <c r="V120"/>
  <c r="U120"/>
  <c r="T120"/>
  <c r="S120"/>
  <c r="R120"/>
  <c r="X119"/>
  <c r="W119"/>
  <c r="V119"/>
  <c r="U119"/>
  <c r="T119"/>
  <c r="S119"/>
  <c r="R119"/>
  <c r="X118"/>
  <c r="W118"/>
  <c r="V118"/>
  <c r="U118"/>
  <c r="T118"/>
  <c r="S118"/>
  <c r="R118"/>
  <c r="X117"/>
  <c r="W117"/>
  <c r="V117"/>
  <c r="U117"/>
  <c r="T117"/>
  <c r="S117"/>
  <c r="R117"/>
  <c r="X116"/>
  <c r="W116"/>
  <c r="V116"/>
  <c r="U116"/>
  <c r="T116"/>
  <c r="S116"/>
  <c r="R116"/>
  <c r="X115"/>
  <c r="W115"/>
  <c r="V115"/>
  <c r="U115"/>
  <c r="T115"/>
  <c r="S115"/>
  <c r="R115"/>
  <c r="X114"/>
  <c r="W114"/>
  <c r="V114"/>
  <c r="U114"/>
  <c r="T114"/>
  <c r="S114"/>
  <c r="R114"/>
  <c r="X113"/>
  <c r="W113"/>
  <c r="V113"/>
  <c r="U113"/>
  <c r="T113"/>
  <c r="S113"/>
  <c r="R113"/>
  <c r="X112"/>
  <c r="W112"/>
  <c r="V112"/>
  <c r="U112"/>
  <c r="T112"/>
  <c r="S112"/>
  <c r="R112"/>
  <c r="X111"/>
  <c r="W111"/>
  <c r="V111"/>
  <c r="U111"/>
  <c r="T111"/>
  <c r="S111"/>
  <c r="R111"/>
  <c r="X110"/>
  <c r="W110"/>
  <c r="V110"/>
  <c r="U110"/>
  <c r="T110"/>
  <c r="S110"/>
  <c r="R110"/>
  <c r="X109"/>
  <c r="W109"/>
  <c r="V109"/>
  <c r="U109"/>
  <c r="T109"/>
  <c r="S109"/>
  <c r="R109"/>
  <c r="X108"/>
  <c r="W108"/>
  <c r="V108"/>
  <c r="U108"/>
  <c r="T108"/>
  <c r="S108"/>
  <c r="R108"/>
  <c r="X107"/>
  <c r="W107"/>
  <c r="V107"/>
  <c r="U107"/>
  <c r="T107"/>
  <c r="S107"/>
  <c r="R107"/>
  <c r="X106"/>
  <c r="W106"/>
  <c r="V106"/>
  <c r="U106"/>
  <c r="T106"/>
  <c r="S106"/>
  <c r="R106"/>
  <c r="X105"/>
  <c r="W105"/>
  <c r="V105"/>
  <c r="U105"/>
  <c r="T105"/>
  <c r="S105"/>
  <c r="R105"/>
  <c r="X104"/>
  <c r="W104"/>
  <c r="V104"/>
  <c r="U104"/>
  <c r="T104"/>
  <c r="S104"/>
  <c r="R104"/>
  <c r="X103"/>
  <c r="W103"/>
  <c r="V103"/>
  <c r="U103"/>
  <c r="T103"/>
  <c r="S103"/>
  <c r="R103"/>
  <c r="X102"/>
  <c r="W102"/>
  <c r="V102"/>
  <c r="U102"/>
  <c r="T102"/>
  <c r="S102"/>
  <c r="R102"/>
  <c r="X101"/>
  <c r="W101"/>
  <c r="V101"/>
  <c r="U101"/>
  <c r="T101"/>
  <c r="S101"/>
  <c r="R101"/>
  <c r="X100"/>
  <c r="W100"/>
  <c r="V100"/>
  <c r="U100"/>
  <c r="T100"/>
  <c r="S100"/>
  <c r="R100"/>
  <c r="X99"/>
  <c r="W99"/>
  <c r="V99"/>
  <c r="U99"/>
  <c r="T99"/>
  <c r="S99"/>
  <c r="R99"/>
  <c r="X98"/>
  <c r="W98"/>
  <c r="V98"/>
  <c r="U98"/>
  <c r="T98"/>
  <c r="S98"/>
  <c r="R98"/>
  <c r="X97"/>
  <c r="W97"/>
  <c r="V97"/>
  <c r="U97"/>
  <c r="T97"/>
  <c r="S97"/>
  <c r="R97"/>
  <c r="X96"/>
  <c r="W96"/>
  <c r="V96"/>
  <c r="U96"/>
  <c r="T96"/>
  <c r="S96"/>
  <c r="R96"/>
  <c r="X95"/>
  <c r="W95"/>
  <c r="V95"/>
  <c r="U95"/>
  <c r="T95"/>
  <c r="S95"/>
  <c r="R95"/>
  <c r="X94"/>
  <c r="W94"/>
  <c r="V94"/>
  <c r="U94"/>
  <c r="T94"/>
  <c r="S94"/>
  <c r="R94"/>
  <c r="X93"/>
  <c r="W93"/>
  <c r="V93"/>
  <c r="U93"/>
  <c r="T93"/>
  <c r="S93"/>
  <c r="R93"/>
  <c r="X92"/>
  <c r="W92"/>
  <c r="V92"/>
  <c r="U92"/>
  <c r="T92"/>
  <c r="S92"/>
  <c r="R92"/>
  <c r="X91"/>
  <c r="W91"/>
  <c r="V91"/>
  <c r="U91"/>
  <c r="T91"/>
  <c r="S91"/>
  <c r="R91"/>
  <c r="X90"/>
  <c r="W90"/>
  <c r="V90"/>
  <c r="U90"/>
  <c r="T90"/>
  <c r="S90"/>
  <c r="R90"/>
  <c r="X89"/>
  <c r="W89"/>
  <c r="V89"/>
  <c r="U89"/>
  <c r="T89"/>
  <c r="S89"/>
  <c r="R89"/>
  <c r="X88"/>
  <c r="W88"/>
  <c r="V88"/>
  <c r="U88"/>
  <c r="T88"/>
  <c r="S88"/>
  <c r="R88"/>
  <c r="X87"/>
  <c r="W87"/>
  <c r="V87"/>
  <c r="U87"/>
  <c r="T87"/>
  <c r="S87"/>
  <c r="R87"/>
  <c r="X86"/>
  <c r="W86"/>
  <c r="V86"/>
  <c r="U86"/>
  <c r="T86"/>
  <c r="S86"/>
  <c r="R86"/>
  <c r="X85"/>
  <c r="W85"/>
  <c r="V85"/>
  <c r="U85"/>
  <c r="T85"/>
  <c r="S85"/>
  <c r="R85"/>
  <c r="X84"/>
  <c r="W84"/>
  <c r="V84"/>
  <c r="U84"/>
  <c r="T84"/>
  <c r="S84"/>
  <c r="R84"/>
  <c r="X83"/>
  <c r="W83"/>
  <c r="V83"/>
  <c r="U83"/>
  <c r="T83"/>
  <c r="S83"/>
  <c r="R83"/>
  <c r="X82"/>
  <c r="W82"/>
  <c r="V82"/>
  <c r="U82"/>
  <c r="T82"/>
  <c r="S82"/>
  <c r="R82"/>
  <c r="X81"/>
  <c r="W81"/>
  <c r="V81"/>
  <c r="U81"/>
  <c r="T81"/>
  <c r="S81"/>
  <c r="R81"/>
  <c r="X80"/>
  <c r="W80"/>
  <c r="V80"/>
  <c r="U80"/>
  <c r="T80"/>
  <c r="S80"/>
  <c r="R80"/>
  <c r="X79"/>
  <c r="W79"/>
  <c r="V79"/>
  <c r="U79"/>
  <c r="T79"/>
  <c r="S79"/>
  <c r="R79"/>
  <c r="X78"/>
  <c r="W78"/>
  <c r="V78"/>
  <c r="U78"/>
  <c r="T78"/>
  <c r="S78"/>
  <c r="R78"/>
  <c r="X77"/>
  <c r="W77"/>
  <c r="V77"/>
  <c r="U77"/>
  <c r="T77"/>
  <c r="S77"/>
  <c r="R77"/>
  <c r="X76"/>
  <c r="W76"/>
  <c r="V76"/>
  <c r="U76"/>
  <c r="T76"/>
  <c r="S76"/>
  <c r="R76"/>
  <c r="X75"/>
  <c r="W75"/>
  <c r="V75"/>
  <c r="U75"/>
  <c r="T75"/>
  <c r="S75"/>
  <c r="R75"/>
  <c r="X74"/>
  <c r="W74"/>
  <c r="V74"/>
  <c r="U74"/>
  <c r="T74"/>
  <c r="S74"/>
  <c r="R74"/>
  <c r="X73"/>
  <c r="W73"/>
  <c r="V73"/>
  <c r="U73"/>
  <c r="T73"/>
  <c r="S73"/>
  <c r="R73"/>
  <c r="X72"/>
  <c r="W72"/>
  <c r="V72"/>
  <c r="U72"/>
  <c r="T72"/>
  <c r="S72"/>
  <c r="R72"/>
  <c r="X71"/>
  <c r="W71"/>
  <c r="V71"/>
  <c r="U71"/>
  <c r="T71"/>
  <c r="S71"/>
  <c r="R71"/>
  <c r="X70"/>
  <c r="W70"/>
  <c r="V70"/>
  <c r="U70"/>
  <c r="T70"/>
  <c r="S70"/>
  <c r="R70"/>
  <c r="X69"/>
  <c r="W69"/>
  <c r="V69"/>
  <c r="U69"/>
  <c r="T69"/>
  <c r="S69"/>
  <c r="R69"/>
  <c r="X68"/>
  <c r="W68"/>
  <c r="V68"/>
  <c r="U68"/>
  <c r="T68"/>
  <c r="S68"/>
  <c r="R68"/>
  <c r="X67"/>
  <c r="W67"/>
  <c r="V67"/>
  <c r="U67"/>
  <c r="T67"/>
  <c r="S67"/>
  <c r="R67"/>
  <c r="X66"/>
  <c r="W66"/>
  <c r="V66"/>
  <c r="U66"/>
  <c r="T66"/>
  <c r="S66"/>
  <c r="R66"/>
  <c r="X65"/>
  <c r="W65"/>
  <c r="V65"/>
  <c r="U65"/>
  <c r="T65"/>
  <c r="S65"/>
  <c r="R65"/>
  <c r="X64"/>
  <c r="W64"/>
  <c r="V64"/>
  <c r="U64"/>
  <c r="T64"/>
  <c r="S64"/>
  <c r="R64"/>
  <c r="X63"/>
  <c r="W63"/>
  <c r="V63"/>
  <c r="U63"/>
  <c r="T63"/>
  <c r="S63"/>
  <c r="R63"/>
  <c r="X62"/>
  <c r="W62"/>
  <c r="V62"/>
  <c r="U62"/>
  <c r="T62"/>
  <c r="S62"/>
  <c r="R62"/>
  <c r="X61"/>
  <c r="W61"/>
  <c r="V61"/>
  <c r="U61"/>
  <c r="T61"/>
  <c r="S61"/>
  <c r="R61"/>
  <c r="X60"/>
  <c r="W60"/>
  <c r="V60"/>
  <c r="U60"/>
  <c r="T60"/>
  <c r="S60"/>
  <c r="R60"/>
  <c r="X59"/>
  <c r="W59"/>
  <c r="V59"/>
  <c r="U59"/>
  <c r="T59"/>
  <c r="S59"/>
  <c r="R59"/>
  <c r="X58"/>
  <c r="W58"/>
  <c r="V58"/>
  <c r="U58"/>
  <c r="T58"/>
  <c r="S58"/>
  <c r="R58"/>
  <c r="X57"/>
  <c r="W57"/>
  <c r="V57"/>
  <c r="U57"/>
  <c r="T57"/>
  <c r="S57"/>
  <c r="R57"/>
  <c r="X56"/>
  <c r="W56"/>
  <c r="V56"/>
  <c r="U56"/>
  <c r="T56"/>
  <c r="S56"/>
  <c r="R56"/>
  <c r="X55"/>
  <c r="W55"/>
  <c r="V55"/>
  <c r="U55"/>
  <c r="T55"/>
  <c r="S55"/>
  <c r="R55"/>
  <c r="X54"/>
  <c r="W54"/>
  <c r="V54"/>
  <c r="U54"/>
  <c r="T54"/>
  <c r="S54"/>
  <c r="R54"/>
  <c r="X53"/>
  <c r="W53"/>
  <c r="V53"/>
  <c r="U53"/>
  <c r="T53"/>
  <c r="S53"/>
  <c r="R53"/>
  <c r="X52"/>
  <c r="W52"/>
  <c r="V52"/>
  <c r="U52"/>
  <c r="T52"/>
  <c r="S52"/>
  <c r="R52"/>
  <c r="X51"/>
  <c r="W51"/>
  <c r="V51"/>
  <c r="U51"/>
  <c r="T51"/>
  <c r="S51"/>
  <c r="R51"/>
  <c r="X50"/>
  <c r="W50"/>
  <c r="V50"/>
  <c r="U50"/>
  <c r="T50"/>
  <c r="S50"/>
  <c r="R50"/>
  <c r="X49"/>
  <c r="W49"/>
  <c r="V49"/>
  <c r="U49"/>
  <c r="T49"/>
  <c r="S49"/>
  <c r="R49"/>
  <c r="X48"/>
  <c r="W48"/>
  <c r="V48"/>
  <c r="U48"/>
  <c r="T48"/>
  <c r="S48"/>
  <c r="R48"/>
  <c r="X47"/>
  <c r="W47"/>
  <c r="V47"/>
  <c r="U47"/>
  <c r="T47"/>
  <c r="S47"/>
  <c r="R47"/>
  <c r="X46"/>
  <c r="W46"/>
  <c r="V46"/>
  <c r="U46"/>
  <c r="T46"/>
  <c r="S46"/>
  <c r="R46"/>
  <c r="X45"/>
  <c r="W45"/>
  <c r="V45"/>
  <c r="U45"/>
  <c r="T45"/>
  <c r="S45"/>
  <c r="R45"/>
  <c r="X44"/>
  <c r="W44"/>
  <c r="V44"/>
  <c r="U44"/>
  <c r="T44"/>
  <c r="S44"/>
  <c r="R44"/>
  <c r="X43"/>
  <c r="W43"/>
  <c r="V43"/>
  <c r="U43"/>
  <c r="T43"/>
  <c r="S43"/>
  <c r="R43"/>
  <c r="X42"/>
  <c r="W42"/>
  <c r="V42"/>
  <c r="U42"/>
  <c r="T42"/>
  <c r="S42"/>
  <c r="R42"/>
  <c r="X41"/>
  <c r="W41"/>
  <c r="V41"/>
  <c r="U41"/>
  <c r="T41"/>
  <c r="S41"/>
  <c r="R41"/>
  <c r="X40"/>
  <c r="W40"/>
  <c r="V40"/>
  <c r="U40"/>
  <c r="T40"/>
  <c r="S40"/>
  <c r="R40"/>
  <c r="X39"/>
  <c r="W39"/>
  <c r="V39"/>
  <c r="U39"/>
  <c r="T39"/>
  <c r="S39"/>
  <c r="R39"/>
  <c r="X38"/>
  <c r="W38"/>
  <c r="V38"/>
  <c r="U38"/>
  <c r="T38"/>
  <c r="S38"/>
  <c r="R38"/>
  <c r="X37"/>
  <c r="W37"/>
  <c r="V37"/>
  <c r="U37"/>
  <c r="T37"/>
  <c r="S37"/>
  <c r="R37"/>
  <c r="X36"/>
  <c r="W36"/>
  <c r="V36"/>
  <c r="U36"/>
  <c r="T36"/>
  <c r="S36"/>
  <c r="R36"/>
  <c r="X35"/>
  <c r="W35"/>
  <c r="V35"/>
  <c r="U35"/>
  <c r="T35"/>
  <c r="S35"/>
  <c r="R35"/>
  <c r="X34"/>
  <c r="W34"/>
  <c r="V34"/>
  <c r="U34"/>
  <c r="T34"/>
  <c r="S34"/>
  <c r="R34"/>
  <c r="X33"/>
  <c r="W33"/>
  <c r="V33"/>
  <c r="U33"/>
  <c r="T33"/>
  <c r="S33"/>
  <c r="R33"/>
  <c r="X32"/>
  <c r="W32"/>
  <c r="V32"/>
  <c r="U32"/>
  <c r="T32"/>
  <c r="S32"/>
  <c r="R32"/>
  <c r="X31"/>
  <c r="W31"/>
  <c r="V31"/>
  <c r="U31"/>
  <c r="T31"/>
  <c r="S31"/>
  <c r="R31"/>
  <c r="X30"/>
  <c r="W30"/>
  <c r="V30"/>
  <c r="U30"/>
  <c r="T30"/>
  <c r="S30"/>
  <c r="R30"/>
  <c r="X29"/>
  <c r="W29"/>
  <c r="V29"/>
  <c r="U29"/>
  <c r="T29"/>
  <c r="S29"/>
  <c r="R29"/>
  <c r="X28"/>
  <c r="W28"/>
  <c r="V28"/>
  <c r="U28"/>
  <c r="T28"/>
  <c r="S28"/>
  <c r="R28"/>
  <c r="X27"/>
  <c r="W27"/>
  <c r="V27"/>
  <c r="U27"/>
  <c r="T27"/>
  <c r="S27"/>
  <c r="R27"/>
  <c r="X26"/>
  <c r="W26"/>
  <c r="V26"/>
  <c r="U26"/>
  <c r="T26"/>
  <c r="S26"/>
  <c r="R26"/>
  <c r="X25"/>
  <c r="W25"/>
  <c r="V25"/>
  <c r="U25"/>
  <c r="T25"/>
  <c r="S25"/>
  <c r="R25"/>
  <c r="X24"/>
  <c r="W24"/>
  <c r="V24"/>
  <c r="U24"/>
  <c r="T24"/>
  <c r="S24"/>
  <c r="R24"/>
  <c r="X23"/>
  <c r="W23"/>
  <c r="V23"/>
  <c r="U23"/>
  <c r="T23"/>
  <c r="S23"/>
  <c r="R23"/>
  <c r="X22"/>
  <c r="W22"/>
  <c r="V22"/>
  <c r="U22"/>
  <c r="T22"/>
  <c r="S22"/>
  <c r="R22"/>
  <c r="X21"/>
  <c r="W21"/>
  <c r="V21"/>
  <c r="U21"/>
  <c r="T21"/>
  <c r="S21"/>
  <c r="R21"/>
  <c r="X20"/>
  <c r="W20"/>
  <c r="V20"/>
  <c r="U20"/>
  <c r="T20"/>
  <c r="S20"/>
  <c r="R20"/>
  <c r="X19"/>
  <c r="W19"/>
  <c r="V19"/>
  <c r="U19"/>
  <c r="T19"/>
  <c r="S19"/>
  <c r="R19"/>
  <c r="X18"/>
  <c r="W18"/>
  <c r="V18"/>
  <c r="U18"/>
  <c r="T18"/>
  <c r="S18"/>
  <c r="R18"/>
  <c r="X17"/>
  <c r="W17"/>
  <c r="V17"/>
  <c r="U17"/>
  <c r="T17"/>
  <c r="S17"/>
  <c r="R17"/>
  <c r="X16"/>
  <c r="W16"/>
  <c r="V16"/>
  <c r="U16"/>
  <c r="T16"/>
  <c r="S16"/>
  <c r="R16"/>
  <c r="X15"/>
  <c r="W15"/>
  <c r="V15"/>
  <c r="U15"/>
  <c r="T15"/>
  <c r="S15"/>
  <c r="R15"/>
  <c r="X14"/>
  <c r="W14"/>
  <c r="V14"/>
  <c r="U14"/>
  <c r="T14"/>
  <c r="S14"/>
  <c r="R14"/>
  <c r="X13"/>
  <c r="W13"/>
  <c r="V13"/>
  <c r="U13"/>
  <c r="T13"/>
  <c r="S13"/>
  <c r="R13"/>
  <c r="X12"/>
  <c r="W12"/>
  <c r="V12"/>
  <c r="U12"/>
  <c r="T12"/>
  <c r="S12"/>
  <c r="R12"/>
  <c r="X10"/>
  <c r="W10"/>
  <c r="V10"/>
  <c r="U10"/>
  <c r="T10"/>
  <c r="S7"/>
  <c r="X6"/>
  <c r="W6"/>
  <c r="U6"/>
  <c r="S6"/>
  <c r="I6"/>
  <c r="G6"/>
  <c r="C6"/>
  <c r="A6"/>
  <c r="U5"/>
  <c r="G5"/>
  <c r="C5"/>
  <c r="A5"/>
  <c r="U4"/>
  <c r="O4"/>
  <c r="K4"/>
  <c r="G4"/>
  <c r="C4"/>
  <c r="A4"/>
  <c r="S3"/>
  <c r="A3"/>
  <c r="S2"/>
  <c r="A2"/>
  <c r="S1"/>
  <c r="A1"/>
  <c r="X251" i="2"/>
  <c r="W251"/>
  <c r="V251"/>
  <c r="U251"/>
  <c r="T251"/>
  <c r="S251"/>
  <c r="R251"/>
  <c r="X250"/>
  <c r="W250"/>
  <c r="V250"/>
  <c r="U250"/>
  <c r="T250"/>
  <c r="S250"/>
  <c r="R250"/>
  <c r="X249"/>
  <c r="W249"/>
  <c r="V249"/>
  <c r="U249"/>
  <c r="T249"/>
  <c r="S249"/>
  <c r="R249"/>
  <c r="X248"/>
  <c r="W248"/>
  <c r="V248"/>
  <c r="U248"/>
  <c r="T248"/>
  <c r="S248"/>
  <c r="R248"/>
  <c r="X247"/>
  <c r="W247"/>
  <c r="V247"/>
  <c r="U247"/>
  <c r="T247"/>
  <c r="S247"/>
  <c r="R247"/>
  <c r="X246"/>
  <c r="W246"/>
  <c r="V246"/>
  <c r="U246"/>
  <c r="T246"/>
  <c r="S246"/>
  <c r="R246"/>
  <c r="X245"/>
  <c r="W245"/>
  <c r="V245"/>
  <c r="U245"/>
  <c r="T245"/>
  <c r="S245"/>
  <c r="R245"/>
  <c r="X244"/>
  <c r="W244"/>
  <c r="V244"/>
  <c r="U244"/>
  <c r="T244"/>
  <c r="S244"/>
  <c r="R244"/>
  <c r="X243"/>
  <c r="W243"/>
  <c r="V243"/>
  <c r="U243"/>
  <c r="T243"/>
  <c r="S243"/>
  <c r="R243"/>
  <c r="X242"/>
  <c r="W242"/>
  <c r="V242"/>
  <c r="U242"/>
  <c r="T242"/>
  <c r="S242"/>
  <c r="R242"/>
  <c r="X241"/>
  <c r="W241"/>
  <c r="V241"/>
  <c r="U241"/>
  <c r="T241"/>
  <c r="S241"/>
  <c r="R241"/>
  <c r="X240"/>
  <c r="W240"/>
  <c r="V240"/>
  <c r="U240"/>
  <c r="T240"/>
  <c r="S240"/>
  <c r="R240"/>
  <c r="X239"/>
  <c r="W239"/>
  <c r="V239"/>
  <c r="U239"/>
  <c r="T239"/>
  <c r="S239"/>
  <c r="R239"/>
  <c r="X238"/>
  <c r="W238"/>
  <c r="V238"/>
  <c r="U238"/>
  <c r="T238"/>
  <c r="S238"/>
  <c r="R238"/>
  <c r="X237"/>
  <c r="W237"/>
  <c r="V237"/>
  <c r="U237"/>
  <c r="T237"/>
  <c r="S237"/>
  <c r="R237"/>
  <c r="X236"/>
  <c r="W236"/>
  <c r="V236"/>
  <c r="U236"/>
  <c r="T236"/>
  <c r="S236"/>
  <c r="R236"/>
  <c r="X235"/>
  <c r="W235"/>
  <c r="V235"/>
  <c r="U235"/>
  <c r="T235"/>
  <c r="S235"/>
  <c r="R235"/>
  <c r="X234"/>
  <c r="W234"/>
  <c r="V234"/>
  <c r="U234"/>
  <c r="T234"/>
  <c r="S234"/>
  <c r="R234"/>
  <c r="X233"/>
  <c r="W233"/>
  <c r="V233"/>
  <c r="U233"/>
  <c r="T233"/>
  <c r="S233"/>
  <c r="R233"/>
  <c r="X232"/>
  <c r="W232"/>
  <c r="V232"/>
  <c r="U232"/>
  <c r="T232"/>
  <c r="S232"/>
  <c r="R232"/>
  <c r="X231"/>
  <c r="W231"/>
  <c r="V231"/>
  <c r="U231"/>
  <c r="T231"/>
  <c r="S231"/>
  <c r="R231"/>
  <c r="X230"/>
  <c r="W230"/>
  <c r="V230"/>
  <c r="U230"/>
  <c r="T230"/>
  <c r="S230"/>
  <c r="R230"/>
  <c r="X229"/>
  <c r="W229"/>
  <c r="V229"/>
  <c r="U229"/>
  <c r="T229"/>
  <c r="S229"/>
  <c r="R229"/>
  <c r="X228"/>
  <c r="W228"/>
  <c r="V228"/>
  <c r="U228"/>
  <c r="T228"/>
  <c r="S228"/>
  <c r="R228"/>
  <c r="X227"/>
  <c r="W227"/>
  <c r="V227"/>
  <c r="U227"/>
  <c r="T227"/>
  <c r="S227"/>
  <c r="R227"/>
  <c r="X226"/>
  <c r="W226"/>
  <c r="V226"/>
  <c r="U226"/>
  <c r="T226"/>
  <c r="S226"/>
  <c r="R226"/>
  <c r="X225"/>
  <c r="W225"/>
  <c r="V225"/>
  <c r="U225"/>
  <c r="T225"/>
  <c r="S225"/>
  <c r="R225"/>
  <c r="X224"/>
  <c r="W224"/>
  <c r="V224"/>
  <c r="U224"/>
  <c r="T224"/>
  <c r="S224"/>
  <c r="R224"/>
  <c r="X223"/>
  <c r="W223"/>
  <c r="V223"/>
  <c r="U223"/>
  <c r="T223"/>
  <c r="S223"/>
  <c r="R223"/>
  <c r="X222"/>
  <c r="W222"/>
  <c r="V222"/>
  <c r="U222"/>
  <c r="T222"/>
  <c r="S222"/>
  <c r="R222"/>
  <c r="X221"/>
  <c r="W221"/>
  <c r="V221"/>
  <c r="U221"/>
  <c r="T221"/>
  <c r="S221"/>
  <c r="R221"/>
  <c r="X220"/>
  <c r="W220"/>
  <c r="V220"/>
  <c r="U220"/>
  <c r="T220"/>
  <c r="S220"/>
  <c r="R220"/>
  <c r="X219"/>
  <c r="W219"/>
  <c r="V219"/>
  <c r="U219"/>
  <c r="T219"/>
  <c r="S219"/>
  <c r="R219"/>
  <c r="X218"/>
  <c r="W218"/>
  <c r="V218"/>
  <c r="U218"/>
  <c r="T218"/>
  <c r="S218"/>
  <c r="R218"/>
  <c r="X217"/>
  <c r="W217"/>
  <c r="V217"/>
  <c r="U217"/>
  <c r="T217"/>
  <c r="S217"/>
  <c r="R217"/>
  <c r="X216"/>
  <c r="W216"/>
  <c r="V216"/>
  <c r="U216"/>
  <c r="T216"/>
  <c r="S216"/>
  <c r="R216"/>
  <c r="X215"/>
  <c r="W215"/>
  <c r="V215"/>
  <c r="U215"/>
  <c r="T215"/>
  <c r="S215"/>
  <c r="R215"/>
  <c r="X214"/>
  <c r="W214"/>
  <c r="V214"/>
  <c r="U214"/>
  <c r="T214"/>
  <c r="S214"/>
  <c r="R214"/>
  <c r="X213"/>
  <c r="W213"/>
  <c r="V213"/>
  <c r="U213"/>
  <c r="T213"/>
  <c r="S213"/>
  <c r="R213"/>
  <c r="X212"/>
  <c r="W212"/>
  <c r="V212"/>
  <c r="U212"/>
  <c r="T212"/>
  <c r="S212"/>
  <c r="R212"/>
  <c r="X211"/>
  <c r="W211"/>
  <c r="V211"/>
  <c r="U211"/>
  <c r="T211"/>
  <c r="S211"/>
  <c r="R211"/>
  <c r="X210"/>
  <c r="W210"/>
  <c r="V210"/>
  <c r="U210"/>
  <c r="T210"/>
  <c r="S210"/>
  <c r="R210"/>
  <c r="X209"/>
  <c r="W209"/>
  <c r="V209"/>
  <c r="U209"/>
  <c r="T209"/>
  <c r="S209"/>
  <c r="R209"/>
  <c r="X208"/>
  <c r="W208"/>
  <c r="V208"/>
  <c r="U208"/>
  <c r="T208"/>
  <c r="S208"/>
  <c r="R208"/>
  <c r="X207"/>
  <c r="W207"/>
  <c r="V207"/>
  <c r="U207"/>
  <c r="T207"/>
  <c r="S207"/>
  <c r="R207"/>
  <c r="X206"/>
  <c r="W206"/>
  <c r="V206"/>
  <c r="U206"/>
  <c r="T206"/>
  <c r="S206"/>
  <c r="R206"/>
  <c r="X205"/>
  <c r="W205"/>
  <c r="V205"/>
  <c r="U205"/>
  <c r="T205"/>
  <c r="S205"/>
  <c r="R205"/>
  <c r="X204"/>
  <c r="W204"/>
  <c r="V204"/>
  <c r="U204"/>
  <c r="T204"/>
  <c r="S204"/>
  <c r="R204"/>
  <c r="X203"/>
  <c r="W203"/>
  <c r="V203"/>
  <c r="U203"/>
  <c r="T203"/>
  <c r="S203"/>
  <c r="R203"/>
  <c r="X202"/>
  <c r="W202"/>
  <c r="V202"/>
  <c r="U202"/>
  <c r="T202"/>
  <c r="S202"/>
  <c r="R202"/>
  <c r="X201"/>
  <c r="W201"/>
  <c r="V201"/>
  <c r="U201"/>
  <c r="T201"/>
  <c r="S201"/>
  <c r="R201"/>
  <c r="X200"/>
  <c r="W200"/>
  <c r="V200"/>
  <c r="U200"/>
  <c r="T200"/>
  <c r="S200"/>
  <c r="R200"/>
  <c r="X199"/>
  <c r="W199"/>
  <c r="V199"/>
  <c r="U199"/>
  <c r="T199"/>
  <c r="S199"/>
  <c r="R199"/>
  <c r="X198"/>
  <c r="W198"/>
  <c r="V198"/>
  <c r="U198"/>
  <c r="T198"/>
  <c r="S198"/>
  <c r="R198"/>
  <c r="X197"/>
  <c r="W197"/>
  <c r="V197"/>
  <c r="U197"/>
  <c r="T197"/>
  <c r="S197"/>
  <c r="R197"/>
  <c r="X196"/>
  <c r="W196"/>
  <c r="V196"/>
  <c r="U196"/>
  <c r="T196"/>
  <c r="S196"/>
  <c r="R196"/>
  <c r="X195"/>
  <c r="W195"/>
  <c r="V195"/>
  <c r="U195"/>
  <c r="T195"/>
  <c r="S195"/>
  <c r="R195"/>
  <c r="X194"/>
  <c r="W194"/>
  <c r="V194"/>
  <c r="U194"/>
  <c r="T194"/>
  <c r="S194"/>
  <c r="R194"/>
  <c r="X193"/>
  <c r="W193"/>
  <c r="V193"/>
  <c r="U193"/>
  <c r="T193"/>
  <c r="S193"/>
  <c r="R193"/>
  <c r="X192"/>
  <c r="W192"/>
  <c r="V192"/>
  <c r="U192"/>
  <c r="T192"/>
  <c r="S192"/>
  <c r="R192"/>
  <c r="X191"/>
  <c r="W191"/>
  <c r="V191"/>
  <c r="U191"/>
  <c r="T191"/>
  <c r="S191"/>
  <c r="R191"/>
  <c r="X190"/>
  <c r="W190"/>
  <c r="V190"/>
  <c r="U190"/>
  <c r="T190"/>
  <c r="S190"/>
  <c r="R190"/>
  <c r="X189"/>
  <c r="W189"/>
  <c r="V189"/>
  <c r="U189"/>
  <c r="T189"/>
  <c r="S189"/>
  <c r="R189"/>
  <c r="X188"/>
  <c r="W188"/>
  <c r="V188"/>
  <c r="U188"/>
  <c r="T188"/>
  <c r="S188"/>
  <c r="R188"/>
  <c r="X187"/>
  <c r="W187"/>
  <c r="V187"/>
  <c r="U187"/>
  <c r="T187"/>
  <c r="S187"/>
  <c r="R187"/>
  <c r="X186"/>
  <c r="W186"/>
  <c r="V186"/>
  <c r="U186"/>
  <c r="T186"/>
  <c r="S186"/>
  <c r="R186"/>
  <c r="X185"/>
  <c r="W185"/>
  <c r="V185"/>
  <c r="U185"/>
  <c r="T185"/>
  <c r="S185"/>
  <c r="R185"/>
  <c r="X184"/>
  <c r="W184"/>
  <c r="V184"/>
  <c r="U184"/>
  <c r="T184"/>
  <c r="S184"/>
  <c r="R184"/>
  <c r="X183"/>
  <c r="W183"/>
  <c r="V183"/>
  <c r="U183"/>
  <c r="T183"/>
  <c r="S183"/>
  <c r="R183"/>
  <c r="X182"/>
  <c r="W182"/>
  <c r="V182"/>
  <c r="U182"/>
  <c r="T182"/>
  <c r="S182"/>
  <c r="R182"/>
  <c r="X181"/>
  <c r="W181"/>
  <c r="V181"/>
  <c r="U181"/>
  <c r="T181"/>
  <c r="S181"/>
  <c r="R181"/>
  <c r="X180"/>
  <c r="W180"/>
  <c r="V180"/>
  <c r="U180"/>
  <c r="T180"/>
  <c r="S180"/>
  <c r="R180"/>
  <c r="X179"/>
  <c r="W179"/>
  <c r="V179"/>
  <c r="U179"/>
  <c r="T179"/>
  <c r="S179"/>
  <c r="R179"/>
  <c r="X178"/>
  <c r="W178"/>
  <c r="V178"/>
  <c r="U178"/>
  <c r="T178"/>
  <c r="S178"/>
  <c r="R178"/>
  <c r="X177"/>
  <c r="W177"/>
  <c r="V177"/>
  <c r="U177"/>
  <c r="T177"/>
  <c r="S177"/>
  <c r="R177"/>
  <c r="X176"/>
  <c r="W176"/>
  <c r="V176"/>
  <c r="U176"/>
  <c r="T176"/>
  <c r="S176"/>
  <c r="R176"/>
  <c r="X175"/>
  <c r="W175"/>
  <c r="V175"/>
  <c r="U175"/>
  <c r="T175"/>
  <c r="S175"/>
  <c r="R175"/>
  <c r="X174"/>
  <c r="W174"/>
  <c r="V174"/>
  <c r="U174"/>
  <c r="T174"/>
  <c r="S174"/>
  <c r="R174"/>
  <c r="X173"/>
  <c r="W173"/>
  <c r="V173"/>
  <c r="U173"/>
  <c r="T173"/>
  <c r="S173"/>
  <c r="R173"/>
  <c r="X172"/>
  <c r="W172"/>
  <c r="V172"/>
  <c r="U172"/>
  <c r="T172"/>
  <c r="S172"/>
  <c r="R172"/>
  <c r="X171"/>
  <c r="W171"/>
  <c r="V171"/>
  <c r="U171"/>
  <c r="T171"/>
  <c r="S171"/>
  <c r="R171"/>
  <c r="X170"/>
  <c r="W170"/>
  <c r="V170"/>
  <c r="U170"/>
  <c r="T170"/>
  <c r="S170"/>
  <c r="R170"/>
  <c r="X169"/>
  <c r="W169"/>
  <c r="V169"/>
  <c r="U169"/>
  <c r="T169"/>
  <c r="S169"/>
  <c r="R169"/>
  <c r="X168"/>
  <c r="W168"/>
  <c r="V168"/>
  <c r="U168"/>
  <c r="T168"/>
  <c r="S168"/>
  <c r="R168"/>
  <c r="X167"/>
  <c r="W167"/>
  <c r="V167"/>
  <c r="U167"/>
  <c r="T167"/>
  <c r="S167"/>
  <c r="R167"/>
  <c r="X166"/>
  <c r="W166"/>
  <c r="V166"/>
  <c r="U166"/>
  <c r="T166"/>
  <c r="S166"/>
  <c r="R166"/>
  <c r="X165"/>
  <c r="W165"/>
  <c r="V165"/>
  <c r="U165"/>
  <c r="T165"/>
  <c r="S165"/>
  <c r="R165"/>
  <c r="X164"/>
  <c r="W164"/>
  <c r="V164"/>
  <c r="U164"/>
  <c r="T164"/>
  <c r="S164"/>
  <c r="R164"/>
  <c r="X163"/>
  <c r="W163"/>
  <c r="V163"/>
  <c r="U163"/>
  <c r="T163"/>
  <c r="S163"/>
  <c r="R163"/>
  <c r="X162"/>
  <c r="W162"/>
  <c r="V162"/>
  <c r="U162"/>
  <c r="T162"/>
  <c r="S162"/>
  <c r="R162"/>
  <c r="X161"/>
  <c r="W161"/>
  <c r="V161"/>
  <c r="U161"/>
  <c r="T161"/>
  <c r="S161"/>
  <c r="R161"/>
  <c r="X160"/>
  <c r="W160"/>
  <c r="V160"/>
  <c r="U160"/>
  <c r="T160"/>
  <c r="S160"/>
  <c r="R160"/>
  <c r="X159"/>
  <c r="W159"/>
  <c r="V159"/>
  <c r="U159"/>
  <c r="T159"/>
  <c r="S159"/>
  <c r="R159"/>
  <c r="X158"/>
  <c r="W158"/>
  <c r="V158"/>
  <c r="U158"/>
  <c r="T158"/>
  <c r="S158"/>
  <c r="R158"/>
  <c r="X157"/>
  <c r="W157"/>
  <c r="V157"/>
  <c r="U157"/>
  <c r="T157"/>
  <c r="S157"/>
  <c r="R157"/>
  <c r="X156"/>
  <c r="W156"/>
  <c r="V156"/>
  <c r="U156"/>
  <c r="T156"/>
  <c r="S156"/>
  <c r="R156"/>
  <c r="X155"/>
  <c r="W155"/>
  <c r="V155"/>
  <c r="U155"/>
  <c r="T155"/>
  <c r="S155"/>
  <c r="R155"/>
  <c r="X154"/>
  <c r="W154"/>
  <c r="V154"/>
  <c r="U154"/>
  <c r="T154"/>
  <c r="S154"/>
  <c r="R154"/>
  <c r="X153"/>
  <c r="W153"/>
  <c r="V153"/>
  <c r="U153"/>
  <c r="T153"/>
  <c r="S153"/>
  <c r="R153"/>
  <c r="X152"/>
  <c r="W152"/>
  <c r="V152"/>
  <c r="U152"/>
  <c r="T152"/>
  <c r="S152"/>
  <c r="R152"/>
  <c r="X151"/>
  <c r="W151"/>
  <c r="V151"/>
  <c r="U151"/>
  <c r="T151"/>
  <c r="S151"/>
  <c r="R151"/>
  <c r="X150"/>
  <c r="W150"/>
  <c r="V150"/>
  <c r="U150"/>
  <c r="T150"/>
  <c r="S150"/>
  <c r="R150"/>
  <c r="X149"/>
  <c r="W149"/>
  <c r="V149"/>
  <c r="U149"/>
  <c r="T149"/>
  <c r="S149"/>
  <c r="R149"/>
  <c r="X148"/>
  <c r="W148"/>
  <c r="V148"/>
  <c r="U148"/>
  <c r="T148"/>
  <c r="S148"/>
  <c r="R148"/>
  <c r="X147"/>
  <c r="W147"/>
  <c r="V147"/>
  <c r="U147"/>
  <c r="T147"/>
  <c r="S147"/>
  <c r="R147"/>
  <c r="X146"/>
  <c r="W146"/>
  <c r="V146"/>
  <c r="U146"/>
  <c r="T146"/>
  <c r="S146"/>
  <c r="R146"/>
  <c r="X145"/>
  <c r="W145"/>
  <c r="V145"/>
  <c r="U145"/>
  <c r="T145"/>
  <c r="S145"/>
  <c r="R145"/>
  <c r="X144"/>
  <c r="W144"/>
  <c r="V144"/>
  <c r="U144"/>
  <c r="T144"/>
  <c r="S144"/>
  <c r="R144"/>
  <c r="X143"/>
  <c r="W143"/>
  <c r="V143"/>
  <c r="U143"/>
  <c r="T143"/>
  <c r="S143"/>
  <c r="R143"/>
  <c r="X142"/>
  <c r="W142"/>
  <c r="V142"/>
  <c r="U142"/>
  <c r="T142"/>
  <c r="S142"/>
  <c r="R142"/>
  <c r="X141"/>
  <c r="W141"/>
  <c r="V141"/>
  <c r="U141"/>
  <c r="T141"/>
  <c r="S141"/>
  <c r="R141"/>
  <c r="X140"/>
  <c r="W140"/>
  <c r="V140"/>
  <c r="U140"/>
  <c r="T140"/>
  <c r="S140"/>
  <c r="R140"/>
  <c r="X139"/>
  <c r="W139"/>
  <c r="V139"/>
  <c r="U139"/>
  <c r="T139"/>
  <c r="S139"/>
  <c r="R139"/>
  <c r="X138"/>
  <c r="W138"/>
  <c r="V138"/>
  <c r="U138"/>
  <c r="T138"/>
  <c r="S138"/>
  <c r="R138"/>
  <c r="X137"/>
  <c r="W137"/>
  <c r="V137"/>
  <c r="U137"/>
  <c r="T137"/>
  <c r="S137"/>
  <c r="R137"/>
  <c r="X136"/>
  <c r="W136"/>
  <c r="V136"/>
  <c r="U136"/>
  <c r="T136"/>
  <c r="S136"/>
  <c r="R136"/>
  <c r="X135"/>
  <c r="W135"/>
  <c r="V135"/>
  <c r="U135"/>
  <c r="T135"/>
  <c r="S135"/>
  <c r="R135"/>
  <c r="X134"/>
  <c r="W134"/>
  <c r="V134"/>
  <c r="U134"/>
  <c r="T134"/>
  <c r="S134"/>
  <c r="R134"/>
  <c r="X133"/>
  <c r="W133"/>
  <c r="V133"/>
  <c r="U133"/>
  <c r="T133"/>
  <c r="S133"/>
  <c r="R133"/>
  <c r="X132"/>
  <c r="W132"/>
  <c r="V132"/>
  <c r="U132"/>
  <c r="T132"/>
  <c r="S132"/>
  <c r="R132"/>
  <c r="X131"/>
  <c r="W131"/>
  <c r="V131"/>
  <c r="U131"/>
  <c r="T131"/>
  <c r="S131"/>
  <c r="R131"/>
  <c r="X130"/>
  <c r="W130"/>
  <c r="V130"/>
  <c r="U130"/>
  <c r="T130"/>
  <c r="S130"/>
  <c r="R130"/>
  <c r="X129"/>
  <c r="W129"/>
  <c r="V129"/>
  <c r="U129"/>
  <c r="T129"/>
  <c r="S129"/>
  <c r="R129"/>
  <c r="X128"/>
  <c r="W128"/>
  <c r="V128"/>
  <c r="U128"/>
  <c r="T128"/>
  <c r="S128"/>
  <c r="R128"/>
  <c r="X127"/>
  <c r="W127"/>
  <c r="V127"/>
  <c r="U127"/>
  <c r="T127"/>
  <c r="S127"/>
  <c r="R127"/>
  <c r="X126"/>
  <c r="W126"/>
  <c r="V126"/>
  <c r="U126"/>
  <c r="T126"/>
  <c r="S126"/>
  <c r="R126"/>
  <c r="X125"/>
  <c r="W125"/>
  <c r="V125"/>
  <c r="U125"/>
  <c r="T125"/>
  <c r="S125"/>
  <c r="R125"/>
  <c r="X124"/>
  <c r="W124"/>
  <c r="V124"/>
  <c r="U124"/>
  <c r="T124"/>
  <c r="S124"/>
  <c r="R124"/>
  <c r="X123"/>
  <c r="W123"/>
  <c r="V123"/>
  <c r="U123"/>
  <c r="T123"/>
  <c r="S123"/>
  <c r="R123"/>
  <c r="X122"/>
  <c r="W122"/>
  <c r="V122"/>
  <c r="U122"/>
  <c r="T122"/>
  <c r="S122"/>
  <c r="R122"/>
  <c r="X121"/>
  <c r="W121"/>
  <c r="V121"/>
  <c r="U121"/>
  <c r="T121"/>
  <c r="S121"/>
  <c r="R121"/>
  <c r="X120"/>
  <c r="W120"/>
  <c r="V120"/>
  <c r="U120"/>
  <c r="T120"/>
  <c r="S120"/>
  <c r="R120"/>
  <c r="X119"/>
  <c r="W119"/>
  <c r="V119"/>
  <c r="U119"/>
  <c r="T119"/>
  <c r="S119"/>
  <c r="R119"/>
  <c r="X118"/>
  <c r="W118"/>
  <c r="V118"/>
  <c r="U118"/>
  <c r="T118"/>
  <c r="S118"/>
  <c r="R118"/>
  <c r="X117"/>
  <c r="W117"/>
  <c r="V117"/>
  <c r="U117"/>
  <c r="T117"/>
  <c r="S117"/>
  <c r="R117"/>
  <c r="X116"/>
  <c r="W116"/>
  <c r="V116"/>
  <c r="U116"/>
  <c r="T116"/>
  <c r="S116"/>
  <c r="R116"/>
  <c r="X115"/>
  <c r="W115"/>
  <c r="V115"/>
  <c r="U115"/>
  <c r="T115"/>
  <c r="S115"/>
  <c r="R115"/>
  <c r="X114"/>
  <c r="W114"/>
  <c r="V114"/>
  <c r="U114"/>
  <c r="T114"/>
  <c r="S114"/>
  <c r="R114"/>
  <c r="X113"/>
  <c r="W113"/>
  <c r="V113"/>
  <c r="U113"/>
  <c r="T113"/>
  <c r="S113"/>
  <c r="R113"/>
  <c r="X112"/>
  <c r="W112"/>
  <c r="V112"/>
  <c r="U112"/>
  <c r="T112"/>
  <c r="S112"/>
  <c r="R112"/>
  <c r="X111"/>
  <c r="W111"/>
  <c r="V111"/>
  <c r="U111"/>
  <c r="T111"/>
  <c r="S111"/>
  <c r="R111"/>
  <c r="X110"/>
  <c r="W110"/>
  <c r="V110"/>
  <c r="U110"/>
  <c r="T110"/>
  <c r="S110"/>
  <c r="R110"/>
  <c r="X109"/>
  <c r="W109"/>
  <c r="V109"/>
  <c r="U109"/>
  <c r="T109"/>
  <c r="S109"/>
  <c r="R109"/>
  <c r="X108"/>
  <c r="W108"/>
  <c r="V108"/>
  <c r="U108"/>
  <c r="T108"/>
  <c r="S108"/>
  <c r="R108"/>
  <c r="X107"/>
  <c r="W107"/>
  <c r="V107"/>
  <c r="U107"/>
  <c r="T107"/>
  <c r="S107"/>
  <c r="R107"/>
  <c r="X106"/>
  <c r="W106"/>
  <c r="V106"/>
  <c r="U106"/>
  <c r="T106"/>
  <c r="S106"/>
  <c r="R106"/>
  <c r="X105"/>
  <c r="W105"/>
  <c r="V105"/>
  <c r="U105"/>
  <c r="T105"/>
  <c r="S105"/>
  <c r="R105"/>
  <c r="X104"/>
  <c r="W104"/>
  <c r="V104"/>
  <c r="U104"/>
  <c r="T104"/>
  <c r="S104"/>
  <c r="R104"/>
  <c r="X103"/>
  <c r="W103"/>
  <c r="V103"/>
  <c r="U103"/>
  <c r="T103"/>
  <c r="S103"/>
  <c r="R103"/>
  <c r="X102"/>
  <c r="W102"/>
  <c r="V102"/>
  <c r="U102"/>
  <c r="T102"/>
  <c r="S102"/>
  <c r="R102"/>
  <c r="X101"/>
  <c r="W101"/>
  <c r="V101"/>
  <c r="U101"/>
  <c r="T101"/>
  <c r="S101"/>
  <c r="R101"/>
  <c r="X100"/>
  <c r="W100"/>
  <c r="V100"/>
  <c r="U100"/>
  <c r="T100"/>
  <c r="S100"/>
  <c r="R100"/>
  <c r="X99"/>
  <c r="W99"/>
  <c r="V99"/>
  <c r="U99"/>
  <c r="T99"/>
  <c r="S99"/>
  <c r="R99"/>
  <c r="X98"/>
  <c r="W98"/>
  <c r="V98"/>
  <c r="U98"/>
  <c r="T98"/>
  <c r="S98"/>
  <c r="R98"/>
  <c r="X97"/>
  <c r="W97"/>
  <c r="V97"/>
  <c r="U97"/>
  <c r="T97"/>
  <c r="S97"/>
  <c r="R97"/>
  <c r="X96"/>
  <c r="W96"/>
  <c r="V96"/>
  <c r="U96"/>
  <c r="T96"/>
  <c r="S96"/>
  <c r="R96"/>
  <c r="X95"/>
  <c r="W95"/>
  <c r="V95"/>
  <c r="U95"/>
  <c r="T95"/>
  <c r="S95"/>
  <c r="R95"/>
  <c r="X94"/>
  <c r="W94"/>
  <c r="V94"/>
  <c r="U94"/>
  <c r="T94"/>
  <c r="S94"/>
  <c r="R94"/>
  <c r="X93"/>
  <c r="W93"/>
  <c r="V93"/>
  <c r="U93"/>
  <c r="T93"/>
  <c r="S93"/>
  <c r="R93"/>
  <c r="X92"/>
  <c r="W92"/>
  <c r="V92"/>
  <c r="U92"/>
  <c r="T92"/>
  <c r="S92"/>
  <c r="R92"/>
  <c r="X91"/>
  <c r="W91"/>
  <c r="V91"/>
  <c r="U91"/>
  <c r="T91"/>
  <c r="S91"/>
  <c r="R91"/>
  <c r="X90"/>
  <c r="W90"/>
  <c r="V90"/>
  <c r="U90"/>
  <c r="T90"/>
  <c r="S90"/>
  <c r="R90"/>
  <c r="X89"/>
  <c r="W89"/>
  <c r="V89"/>
  <c r="U89"/>
  <c r="T89"/>
  <c r="S89"/>
  <c r="R89"/>
  <c r="X88"/>
  <c r="W88"/>
  <c r="V88"/>
  <c r="U88"/>
  <c r="T88"/>
  <c r="S88"/>
  <c r="R88"/>
  <c r="X87"/>
  <c r="W87"/>
  <c r="V87"/>
  <c r="U87"/>
  <c r="T87"/>
  <c r="S87"/>
  <c r="R87"/>
  <c r="X86"/>
  <c r="W86"/>
  <c r="V86"/>
  <c r="U86"/>
  <c r="T86"/>
  <c r="S86"/>
  <c r="R86"/>
  <c r="X85"/>
  <c r="W85"/>
  <c r="V85"/>
  <c r="U85"/>
  <c r="T85"/>
  <c r="S85"/>
  <c r="R85"/>
  <c r="X84"/>
  <c r="W84"/>
  <c r="V84"/>
  <c r="U84"/>
  <c r="T84"/>
  <c r="S84"/>
  <c r="R84"/>
  <c r="X83"/>
  <c r="W83"/>
  <c r="V83"/>
  <c r="U83"/>
  <c r="T83"/>
  <c r="S83"/>
  <c r="R83"/>
  <c r="X82"/>
  <c r="W82"/>
  <c r="V82"/>
  <c r="U82"/>
  <c r="T82"/>
  <c r="S82"/>
  <c r="R82"/>
  <c r="X81"/>
  <c r="W81"/>
  <c r="V81"/>
  <c r="U81"/>
  <c r="T81"/>
  <c r="S81"/>
  <c r="R81"/>
  <c r="X80"/>
  <c r="W80"/>
  <c r="V80"/>
  <c r="U80"/>
  <c r="T80"/>
  <c r="S80"/>
  <c r="R80"/>
  <c r="X79"/>
  <c r="W79"/>
  <c r="V79"/>
  <c r="U79"/>
  <c r="T79"/>
  <c r="S79"/>
  <c r="R79"/>
  <c r="X78"/>
  <c r="W78"/>
  <c r="V78"/>
  <c r="U78"/>
  <c r="T78"/>
  <c r="S78"/>
  <c r="R78"/>
  <c r="X77"/>
  <c r="W77"/>
  <c r="V77"/>
  <c r="U77"/>
  <c r="T77"/>
  <c r="S77"/>
  <c r="R77"/>
  <c r="X76"/>
  <c r="W76"/>
  <c r="V76"/>
  <c r="U76"/>
  <c r="T76"/>
  <c r="S76"/>
  <c r="R76"/>
  <c r="X75"/>
  <c r="W75"/>
  <c r="V75"/>
  <c r="U75"/>
  <c r="T75"/>
  <c r="S75"/>
  <c r="R75"/>
  <c r="X74"/>
  <c r="W74"/>
  <c r="V74"/>
  <c r="U74"/>
  <c r="T74"/>
  <c r="S74"/>
  <c r="R74"/>
  <c r="X73"/>
  <c r="W73"/>
  <c r="V73"/>
  <c r="U73"/>
  <c r="T73"/>
  <c r="S73"/>
  <c r="R73"/>
  <c r="X72"/>
  <c r="W72"/>
  <c r="V72"/>
  <c r="U72"/>
  <c r="T72"/>
  <c r="S72"/>
  <c r="R72"/>
  <c r="X71"/>
  <c r="W71"/>
  <c r="V71"/>
  <c r="U71"/>
  <c r="T71"/>
  <c r="S71"/>
  <c r="R71"/>
  <c r="X70"/>
  <c r="W70"/>
  <c r="V70"/>
  <c r="U70"/>
  <c r="T70"/>
  <c r="S70"/>
  <c r="R70"/>
  <c r="X69"/>
  <c r="W69"/>
  <c r="V69"/>
  <c r="U69"/>
  <c r="T69"/>
  <c r="S69"/>
  <c r="R69"/>
  <c r="X68"/>
  <c r="W68"/>
  <c r="V68"/>
  <c r="U68"/>
  <c r="T68"/>
  <c r="S68"/>
  <c r="R68"/>
  <c r="X67"/>
  <c r="W67"/>
  <c r="V67"/>
  <c r="U67"/>
  <c r="T67"/>
  <c r="S67"/>
  <c r="R67"/>
  <c r="X66"/>
  <c r="W66"/>
  <c r="V66"/>
  <c r="U66"/>
  <c r="T66"/>
  <c r="S66"/>
  <c r="R66"/>
  <c r="X65"/>
  <c r="W65"/>
  <c r="V65"/>
  <c r="U65"/>
  <c r="T65"/>
  <c r="S65"/>
  <c r="R65"/>
  <c r="X64"/>
  <c r="W64"/>
  <c r="V64"/>
  <c r="U64"/>
  <c r="T64"/>
  <c r="S64"/>
  <c r="R64"/>
  <c r="X63"/>
  <c r="W63"/>
  <c r="V63"/>
  <c r="U63"/>
  <c r="T63"/>
  <c r="S63"/>
  <c r="R63"/>
  <c r="X62"/>
  <c r="W62"/>
  <c r="V62"/>
  <c r="U62"/>
  <c r="T62"/>
  <c r="S62"/>
  <c r="R62"/>
  <c r="X61"/>
  <c r="W61"/>
  <c r="V61"/>
  <c r="U61"/>
  <c r="T61"/>
  <c r="S61"/>
  <c r="R61"/>
  <c r="X60"/>
  <c r="W60"/>
  <c r="V60"/>
  <c r="U60"/>
  <c r="T60"/>
  <c r="S60"/>
  <c r="R60"/>
  <c r="X59"/>
  <c r="W59"/>
  <c r="V59"/>
  <c r="U59"/>
  <c r="T59"/>
  <c r="S59"/>
  <c r="R59"/>
  <c r="X58"/>
  <c r="W58"/>
  <c r="V58"/>
  <c r="U58"/>
  <c r="T58"/>
  <c r="S58"/>
  <c r="R58"/>
  <c r="X57"/>
  <c r="W57"/>
  <c r="V57"/>
  <c r="U57"/>
  <c r="T57"/>
  <c r="S57"/>
  <c r="R57"/>
  <c r="X56"/>
  <c r="W56"/>
  <c r="V56"/>
  <c r="U56"/>
  <c r="T56"/>
  <c r="S56"/>
  <c r="R56"/>
  <c r="X55"/>
  <c r="W55"/>
  <c r="V55"/>
  <c r="U55"/>
  <c r="T55"/>
  <c r="S55"/>
  <c r="R55"/>
  <c r="X54"/>
  <c r="W54"/>
  <c r="V54"/>
  <c r="U54"/>
  <c r="T54"/>
  <c r="S54"/>
  <c r="R54"/>
  <c r="X53"/>
  <c r="W53"/>
  <c r="V53"/>
  <c r="U53"/>
  <c r="T53"/>
  <c r="S53"/>
  <c r="R53"/>
  <c r="X52"/>
  <c r="W52"/>
  <c r="V52"/>
  <c r="U52"/>
  <c r="T52"/>
  <c r="S52"/>
  <c r="R52"/>
  <c r="X51"/>
  <c r="W51"/>
  <c r="V51"/>
  <c r="U51"/>
  <c r="T51"/>
  <c r="S51"/>
  <c r="R51"/>
  <c r="X50"/>
  <c r="W50"/>
  <c r="V50"/>
  <c r="U50"/>
  <c r="T50"/>
  <c r="S50"/>
  <c r="R50"/>
  <c r="X49"/>
  <c r="W49"/>
  <c r="V49"/>
  <c r="U49"/>
  <c r="T49"/>
  <c r="S49"/>
  <c r="R49"/>
  <c r="X48"/>
  <c r="W48"/>
  <c r="V48"/>
  <c r="U48"/>
  <c r="T48"/>
  <c r="S48"/>
  <c r="R48"/>
  <c r="X47"/>
  <c r="W47"/>
  <c r="V47"/>
  <c r="U47"/>
  <c r="T47"/>
  <c r="S47"/>
  <c r="R47"/>
  <c r="X46"/>
  <c r="W46"/>
  <c r="V46"/>
  <c r="U46"/>
  <c r="T46"/>
  <c r="S46"/>
  <c r="R46"/>
  <c r="X45"/>
  <c r="W45"/>
  <c r="V45"/>
  <c r="U45"/>
  <c r="T45"/>
  <c r="S45"/>
  <c r="R45"/>
  <c r="X44"/>
  <c r="W44"/>
  <c r="V44"/>
  <c r="U44"/>
  <c r="T44"/>
  <c r="S44"/>
  <c r="R44"/>
  <c r="X43"/>
  <c r="W43"/>
  <c r="V43"/>
  <c r="U43"/>
  <c r="T43"/>
  <c r="S43"/>
  <c r="R43"/>
  <c r="X42"/>
  <c r="W42"/>
  <c r="V42"/>
  <c r="U42"/>
  <c r="T42"/>
  <c r="S42"/>
  <c r="R42"/>
  <c r="X41"/>
  <c r="W41"/>
  <c r="V41"/>
  <c r="U41"/>
  <c r="T41"/>
  <c r="S41"/>
  <c r="R41"/>
  <c r="X40"/>
  <c r="W40"/>
  <c r="V40"/>
  <c r="U40"/>
  <c r="T40"/>
  <c r="S40"/>
  <c r="R40"/>
  <c r="X39"/>
  <c r="W39"/>
  <c r="V39"/>
  <c r="U39"/>
  <c r="T39"/>
  <c r="S39"/>
  <c r="R39"/>
  <c r="X38"/>
  <c r="W38"/>
  <c r="V38"/>
  <c r="U38"/>
  <c r="T38"/>
  <c r="S38"/>
  <c r="R38"/>
  <c r="X37"/>
  <c r="W37"/>
  <c r="V37"/>
  <c r="U37"/>
  <c r="T37"/>
  <c r="S37"/>
  <c r="R37"/>
  <c r="X36"/>
  <c r="W36"/>
  <c r="V36"/>
  <c r="U36"/>
  <c r="T36"/>
  <c r="S36"/>
  <c r="R36"/>
  <c r="X35"/>
  <c r="W35"/>
  <c r="V35"/>
  <c r="U35"/>
  <c r="T35"/>
  <c r="S35"/>
  <c r="R35"/>
  <c r="X34"/>
  <c r="W34"/>
  <c r="V34"/>
  <c r="U34"/>
  <c r="T34"/>
  <c r="S34"/>
  <c r="R34"/>
  <c r="X33"/>
  <c r="W33"/>
  <c r="V33"/>
  <c r="U33"/>
  <c r="T33"/>
  <c r="S33"/>
  <c r="R33"/>
  <c r="X32"/>
  <c r="W32"/>
  <c r="V32"/>
  <c r="U32"/>
  <c r="T32"/>
  <c r="S32"/>
  <c r="R32"/>
  <c r="X31"/>
  <c r="W31"/>
  <c r="V31"/>
  <c r="U31"/>
  <c r="T31"/>
  <c r="S31"/>
  <c r="R31"/>
  <c r="X30"/>
  <c r="W30"/>
  <c r="V30"/>
  <c r="U30"/>
  <c r="T30"/>
  <c r="S30"/>
  <c r="R30"/>
  <c r="X29"/>
  <c r="W29"/>
  <c r="V29"/>
  <c r="U29"/>
  <c r="T29"/>
  <c r="S29"/>
  <c r="R29"/>
  <c r="X28"/>
  <c r="W28"/>
  <c r="V28"/>
  <c r="U28"/>
  <c r="T28"/>
  <c r="S28"/>
  <c r="R28"/>
  <c r="X27"/>
  <c r="W27"/>
  <c r="V27"/>
  <c r="U27"/>
  <c r="T27"/>
  <c r="S27"/>
  <c r="R27"/>
  <c r="X26"/>
  <c r="W26"/>
  <c r="V26"/>
  <c r="U26"/>
  <c r="T26"/>
  <c r="S26"/>
  <c r="R26"/>
  <c r="X25"/>
  <c r="W25"/>
  <c r="V25"/>
  <c r="U25"/>
  <c r="T25"/>
  <c r="S25"/>
  <c r="R25"/>
  <c r="X24"/>
  <c r="W24"/>
  <c r="V24"/>
  <c r="U24"/>
  <c r="T24"/>
  <c r="S24"/>
  <c r="R24"/>
  <c r="X23"/>
  <c r="W23"/>
  <c r="V23"/>
  <c r="U23"/>
  <c r="T23"/>
  <c r="S23"/>
  <c r="R23"/>
  <c r="X22"/>
  <c r="W22"/>
  <c r="V22"/>
  <c r="U22"/>
  <c r="T22"/>
  <c r="S22"/>
  <c r="R22"/>
  <c r="X21"/>
  <c r="W21"/>
  <c r="V21"/>
  <c r="U21"/>
  <c r="T21"/>
  <c r="S21"/>
  <c r="R21"/>
  <c r="X20"/>
  <c r="W20"/>
  <c r="V20"/>
  <c r="U20"/>
  <c r="T20"/>
  <c r="S20"/>
  <c r="R20"/>
  <c r="X19"/>
  <c r="W19"/>
  <c r="V19"/>
  <c r="U19"/>
  <c r="T19"/>
  <c r="S19"/>
  <c r="R19"/>
  <c r="X18"/>
  <c r="W18"/>
  <c r="V18"/>
  <c r="U18"/>
  <c r="T18"/>
  <c r="S18"/>
  <c r="R18"/>
  <c r="X17"/>
  <c r="W17"/>
  <c r="V17"/>
  <c r="U17"/>
  <c r="T17"/>
  <c r="S17"/>
  <c r="R17"/>
  <c r="X16"/>
  <c r="W16"/>
  <c r="V16"/>
  <c r="U16"/>
  <c r="S16"/>
  <c r="R16"/>
  <c r="X15"/>
  <c r="W15"/>
  <c r="V15"/>
  <c r="U15"/>
  <c r="T15"/>
  <c r="S15"/>
  <c r="R15"/>
  <c r="X14"/>
  <c r="W14"/>
  <c r="V14"/>
  <c r="U14"/>
  <c r="T14"/>
  <c r="S14"/>
  <c r="R14"/>
  <c r="X13"/>
  <c r="W13"/>
  <c r="V13"/>
  <c r="U13"/>
  <c r="T13"/>
  <c r="S13"/>
  <c r="R13"/>
  <c r="X12"/>
  <c r="W12"/>
  <c r="V12"/>
  <c r="S12"/>
  <c r="R12"/>
  <c r="X10"/>
  <c r="W10"/>
  <c r="V10"/>
  <c r="U10"/>
  <c r="T10"/>
  <c r="U7"/>
  <c r="S7"/>
  <c r="X6"/>
  <c r="W6"/>
  <c r="U6"/>
  <c r="S6"/>
  <c r="I6"/>
  <c r="G6"/>
  <c r="C6"/>
  <c r="A6"/>
  <c r="U5"/>
  <c r="G5"/>
  <c r="C5"/>
  <c r="A5"/>
  <c r="U4"/>
  <c r="O4"/>
  <c r="K4"/>
  <c r="G4"/>
  <c r="C4"/>
  <c r="A4"/>
  <c r="S3"/>
  <c r="A3"/>
  <c r="S2"/>
  <c r="A2"/>
  <c r="S1"/>
  <c r="A1"/>
  <c r="S34" i="1"/>
  <c r="B35" i="10" s="1"/>
  <c r="R34" i="1"/>
  <c r="B34" i="10" s="1"/>
  <c r="Q34" i="1"/>
  <c r="B33" i="10" s="1"/>
  <c r="P34" i="1"/>
  <c r="B32" i="10" s="1"/>
  <c r="O34" i="1"/>
  <c r="B31" i="10" s="1"/>
  <c r="N34" i="1"/>
  <c r="B30" i="10" s="1"/>
  <c r="M34" i="1"/>
  <c r="B29" i="10" s="1"/>
  <c r="L34" i="1"/>
  <c r="B28" i="10" s="1"/>
  <c r="K34" i="1"/>
  <c r="B27" i="10" s="1"/>
  <c r="J34" i="1"/>
  <c r="B26" i="10" s="1"/>
  <c r="I34" i="1"/>
  <c r="B25" i="10" s="1"/>
  <c r="H34" i="1"/>
  <c r="B24" i="10" s="1"/>
  <c r="G34" i="1"/>
  <c r="B23" i="10" s="1"/>
  <c r="F34" i="1"/>
  <c r="B22" i="10" s="1"/>
  <c r="AI32" i="1"/>
  <c r="S48" s="1"/>
  <c r="AH32"/>
  <c r="R48" s="1"/>
  <c r="AG32"/>
  <c r="Q48" s="1"/>
  <c r="AF32"/>
  <c r="P48" s="1"/>
  <c r="AE32"/>
  <c r="O48" s="1"/>
  <c r="AD32"/>
  <c r="N48" s="1"/>
  <c r="AC32"/>
  <c r="M48" s="1"/>
  <c r="AB32"/>
  <c r="L48" s="1"/>
  <c r="AA32"/>
  <c r="E33"/>
  <c r="E48" s="1"/>
  <c r="AI31"/>
  <c r="S47" s="1"/>
  <c r="AH31"/>
  <c r="R47" s="1"/>
  <c r="AG31"/>
  <c r="Q47" s="1"/>
  <c r="AF31"/>
  <c r="P47" s="1"/>
  <c r="AE31"/>
  <c r="O47" s="1"/>
  <c r="AD31"/>
  <c r="N47" s="1"/>
  <c r="AC31"/>
  <c r="M47" s="1"/>
  <c r="AB31"/>
  <c r="L47" s="1"/>
  <c r="AA31"/>
  <c r="K47" s="1"/>
  <c r="E32"/>
  <c r="E47" s="1"/>
  <c r="AI30"/>
  <c r="S46" s="1"/>
  <c r="AH30"/>
  <c r="R46" s="1"/>
  <c r="AG30"/>
  <c r="Q46" s="1"/>
  <c r="AF30"/>
  <c r="P46" s="1"/>
  <c r="AE30"/>
  <c r="O46" s="1"/>
  <c r="AD30"/>
  <c r="N46" s="1"/>
  <c r="AC30"/>
  <c r="M46" s="1"/>
  <c r="AB30"/>
  <c r="L46" s="1"/>
  <c r="AA30"/>
  <c r="K46" s="1"/>
  <c r="E31"/>
  <c r="E46" s="1"/>
  <c r="AI29"/>
  <c r="S45" s="1"/>
  <c r="AH29"/>
  <c r="R45" s="1"/>
  <c r="AG29"/>
  <c r="Q45" s="1"/>
  <c r="AF29"/>
  <c r="P45" s="1"/>
  <c r="AE29"/>
  <c r="O45" s="1"/>
  <c r="AD29"/>
  <c r="N45" s="1"/>
  <c r="AC29"/>
  <c r="M45" s="1"/>
  <c r="AB29"/>
  <c r="L45" s="1"/>
  <c r="AA29"/>
  <c r="K45" s="1"/>
  <c r="E30"/>
  <c r="E45" s="1"/>
  <c r="AI28"/>
  <c r="S44" s="1"/>
  <c r="AH28"/>
  <c r="AG28"/>
  <c r="AF28"/>
  <c r="P44" s="1"/>
  <c r="AE28"/>
  <c r="O44" s="1"/>
  <c r="AD28"/>
  <c r="N44" s="1"/>
  <c r="AC28"/>
  <c r="AB28"/>
  <c r="AA28"/>
  <c r="K44" s="1"/>
  <c r="E29"/>
  <c r="E44" s="1"/>
  <c r="C213" i="5" l="1"/>
  <c r="T213" s="1"/>
  <c r="C107"/>
  <c r="T107" s="1"/>
  <c r="G190"/>
  <c r="X190" s="1"/>
  <c r="E60"/>
  <c r="V60" s="1"/>
  <c r="C117"/>
  <c r="E38"/>
  <c r="V38" s="1"/>
  <c r="E50"/>
  <c r="V50" s="1"/>
  <c r="F74"/>
  <c r="W74" s="1"/>
  <c r="C21"/>
  <c r="T21" s="1"/>
  <c r="E21"/>
  <c r="V21" s="1"/>
  <c r="D78"/>
  <c r="U78" s="1"/>
  <c r="E219"/>
  <c r="V219" s="1"/>
  <c r="D102"/>
  <c r="U102" s="1"/>
  <c r="F34"/>
  <c r="W34" s="1"/>
  <c r="G34"/>
  <c r="X34" s="1"/>
  <c r="C79"/>
  <c r="T79" s="1"/>
  <c r="C69"/>
  <c r="T69" s="1"/>
  <c r="C12"/>
  <c r="D61"/>
  <c r="U61" s="1"/>
  <c r="D103"/>
  <c r="U103" s="1"/>
  <c r="D12"/>
  <c r="U12" s="1"/>
  <c r="C51"/>
  <c r="T51" s="1"/>
  <c r="D125"/>
  <c r="U125" s="1"/>
  <c r="D136"/>
  <c r="U136" s="1"/>
  <c r="E12"/>
  <c r="V12" s="1"/>
  <c r="G42"/>
  <c r="X42" s="1"/>
  <c r="E82"/>
  <c r="V82" s="1"/>
  <c r="G82"/>
  <c r="X82" s="1"/>
  <c r="D34"/>
  <c r="U34" s="1"/>
  <c r="D43"/>
  <c r="U43" s="1"/>
  <c r="C74"/>
  <c r="T74" s="1"/>
  <c r="E34"/>
  <c r="V34" s="1"/>
  <c r="E43"/>
  <c r="V43" s="1"/>
  <c r="D74"/>
  <c r="U74" s="1"/>
  <c r="F138"/>
  <c r="W138" s="1"/>
  <c r="D241"/>
  <c r="U241" s="1"/>
  <c r="F107"/>
  <c r="W107" s="1"/>
  <c r="C129"/>
  <c r="T129" s="1"/>
  <c r="D174"/>
  <c r="U174" s="1"/>
  <c r="D45"/>
  <c r="U45" s="1"/>
  <c r="G186"/>
  <c r="X186" s="1"/>
  <c r="C27"/>
  <c r="T27" s="1"/>
  <c r="D27"/>
  <c r="U27" s="1"/>
  <c r="C67"/>
  <c r="T67" s="1"/>
  <c r="D175"/>
  <c r="U175" s="1"/>
  <c r="F27"/>
  <c r="W27" s="1"/>
  <c r="C57"/>
  <c r="T57" s="1"/>
  <c r="D120"/>
  <c r="U120" s="1"/>
  <c r="C165"/>
  <c r="T165" s="1"/>
  <c r="E18"/>
  <c r="V18" s="1"/>
  <c r="D154"/>
  <c r="U154" s="1"/>
  <c r="D165"/>
  <c r="U165" s="1"/>
  <c r="E245"/>
  <c r="V245" s="1"/>
  <c r="C78"/>
  <c r="T78" s="1"/>
  <c r="C86"/>
  <c r="T86" s="1"/>
  <c r="C115"/>
  <c r="T115" s="1"/>
  <c r="F43"/>
  <c r="W43" s="1"/>
  <c r="E108"/>
  <c r="V108" s="1"/>
  <c r="C146"/>
  <c r="T146" s="1"/>
  <c r="C155" i="6"/>
  <c r="I178"/>
  <c r="G27" i="5"/>
  <c r="X27" s="1"/>
  <c r="C100"/>
  <c r="T100" s="1"/>
  <c r="C128"/>
  <c r="T128" s="1"/>
  <c r="G146"/>
  <c r="X146" s="1"/>
  <c r="E166"/>
  <c r="V166" s="1"/>
  <c r="C209"/>
  <c r="T209" s="1"/>
  <c r="J144" i="6"/>
  <c r="E167"/>
  <c r="I202"/>
  <c r="D128" i="5"/>
  <c r="U128" s="1"/>
  <c r="D137"/>
  <c r="U137" s="1"/>
  <c r="E157"/>
  <c r="V157" s="1"/>
  <c r="G231"/>
  <c r="X231" s="1"/>
  <c r="F20"/>
  <c r="W20" s="1"/>
  <c r="C36"/>
  <c r="T36" s="1"/>
  <c r="E119"/>
  <c r="V119" s="1"/>
  <c r="G20"/>
  <c r="X20" s="1"/>
  <c r="D28"/>
  <c r="U28" s="1"/>
  <c r="E91"/>
  <c r="V91" s="1"/>
  <c r="D221"/>
  <c r="U221" s="1"/>
  <c r="C103"/>
  <c r="T103" s="1"/>
  <c r="C112"/>
  <c r="T112" s="1"/>
  <c r="E121"/>
  <c r="V121" s="1"/>
  <c r="G223"/>
  <c r="X223" s="1"/>
  <c r="F245"/>
  <c r="W245" s="1"/>
  <c r="G31"/>
  <c r="X31" s="1"/>
  <c r="D67"/>
  <c r="U67" s="1"/>
  <c r="C84"/>
  <c r="D161"/>
  <c r="U161" s="1"/>
  <c r="E14"/>
  <c r="V14" s="1"/>
  <c r="E48"/>
  <c r="V48" s="1"/>
  <c r="E67"/>
  <c r="V67" s="1"/>
  <c r="G84"/>
  <c r="X84" s="1"/>
  <c r="D113"/>
  <c r="U113" s="1"/>
  <c r="F161"/>
  <c r="W161" s="1"/>
  <c r="C192"/>
  <c r="T192" s="1"/>
  <c r="F14"/>
  <c r="W14" s="1"/>
  <c r="G23"/>
  <c r="X23" s="1"/>
  <c r="C40"/>
  <c r="T40" s="1"/>
  <c r="C58"/>
  <c r="T58" s="1"/>
  <c r="F67"/>
  <c r="W67" s="1"/>
  <c r="D76"/>
  <c r="U76" s="1"/>
  <c r="D95"/>
  <c r="U95" s="1"/>
  <c r="D104"/>
  <c r="U104" s="1"/>
  <c r="D204"/>
  <c r="U204" s="1"/>
  <c r="G67"/>
  <c r="X67" s="1"/>
  <c r="G95"/>
  <c r="X95" s="1"/>
  <c r="C133"/>
  <c r="T133" s="1"/>
  <c r="E142"/>
  <c r="V142" s="1"/>
  <c r="F204"/>
  <c r="W204" s="1"/>
  <c r="D49"/>
  <c r="U49" s="1"/>
  <c r="D133"/>
  <c r="U133" s="1"/>
  <c r="F142"/>
  <c r="W142" s="1"/>
  <c r="E183"/>
  <c r="V183" s="1"/>
  <c r="C172"/>
  <c r="T172" s="1"/>
  <c r="G33"/>
  <c r="X33" s="1"/>
  <c r="C41"/>
  <c r="T41" s="1"/>
  <c r="E133"/>
  <c r="V133" s="1"/>
  <c r="F153"/>
  <c r="W153" s="1"/>
  <c r="I247" i="6"/>
  <c r="E204" i="5"/>
  <c r="V204" s="1"/>
  <c r="D213"/>
  <c r="U213" s="1"/>
  <c r="D223"/>
  <c r="U223" s="1"/>
  <c r="D38"/>
  <c r="U38" s="1"/>
  <c r="C45"/>
  <c r="T45" s="1"/>
  <c r="G54"/>
  <c r="X54" s="1"/>
  <c r="C104"/>
  <c r="T104" s="1"/>
  <c r="D121"/>
  <c r="U121" s="1"/>
  <c r="G138"/>
  <c r="X138" s="1"/>
  <c r="D206"/>
  <c r="U206" s="1"/>
  <c r="C246"/>
  <c r="T246" s="1"/>
  <c r="D148"/>
  <c r="U148" s="1"/>
  <c r="E158"/>
  <c r="V158" s="1"/>
  <c r="D197"/>
  <c r="U197" s="1"/>
  <c r="G216"/>
  <c r="X216" s="1"/>
  <c r="D237"/>
  <c r="U237" s="1"/>
  <c r="F38"/>
  <c r="W38" s="1"/>
  <c r="G63"/>
  <c r="X63" s="1"/>
  <c r="D79"/>
  <c r="U79" s="1"/>
  <c r="D96"/>
  <c r="U96" s="1"/>
  <c r="E113"/>
  <c r="V113" s="1"/>
  <c r="E187"/>
  <c r="V187" s="1"/>
  <c r="F16"/>
  <c r="W16" s="1"/>
  <c r="D88"/>
  <c r="U88" s="1"/>
  <c r="C168"/>
  <c r="T168" s="1"/>
  <c r="E178"/>
  <c r="V178" s="1"/>
  <c r="G16"/>
  <c r="X16" s="1"/>
  <c r="C32"/>
  <c r="T32" s="1"/>
  <c r="D72"/>
  <c r="U72" s="1"/>
  <c r="E88"/>
  <c r="V88" s="1"/>
  <c r="F122"/>
  <c r="W122" s="1"/>
  <c r="F178"/>
  <c r="W178" s="1"/>
  <c r="C198"/>
  <c r="T198" s="1"/>
  <c r="G238"/>
  <c r="X238" s="1"/>
  <c r="E32"/>
  <c r="V32" s="1"/>
  <c r="E39"/>
  <c r="V39" s="1"/>
  <c r="C56"/>
  <c r="T56" s="1"/>
  <c r="D80"/>
  <c r="U80" s="1"/>
  <c r="F88"/>
  <c r="W88" s="1"/>
  <c r="F114"/>
  <c r="W114" s="1"/>
  <c r="C132"/>
  <c r="T132" s="1"/>
  <c r="C208"/>
  <c r="T208" s="1"/>
  <c r="F248"/>
  <c r="W248" s="1"/>
  <c r="D25"/>
  <c r="U25" s="1"/>
  <c r="D56"/>
  <c r="U56" s="1"/>
  <c r="G88"/>
  <c r="X88" s="1"/>
  <c r="G106"/>
  <c r="X106" s="1"/>
  <c r="E17"/>
  <c r="V17" s="1"/>
  <c r="G25"/>
  <c r="X25" s="1"/>
  <c r="E56"/>
  <c r="V56" s="1"/>
  <c r="D65"/>
  <c r="U65" s="1"/>
  <c r="E98"/>
  <c r="V98" s="1"/>
  <c r="C179"/>
  <c r="T179" s="1"/>
  <c r="J214" i="6"/>
  <c r="G87"/>
  <c r="C52" i="5"/>
  <c r="T52" s="1"/>
  <c r="G60"/>
  <c r="X60" s="1"/>
  <c r="D84"/>
  <c r="U84" s="1"/>
  <c r="G153"/>
  <c r="X153" s="1"/>
  <c r="G219"/>
  <c r="X219" s="1"/>
  <c r="E23"/>
  <c r="V23" s="1"/>
  <c r="F30"/>
  <c r="W30" s="1"/>
  <c r="E102"/>
  <c r="V102" s="1"/>
  <c r="G127"/>
  <c r="X127" s="1"/>
  <c r="D172"/>
  <c r="U172" s="1"/>
  <c r="G191"/>
  <c r="X191" s="1"/>
  <c r="C230"/>
  <c r="T230" s="1"/>
  <c r="D16"/>
  <c r="U16" s="1"/>
  <c r="F23"/>
  <c r="W23" s="1"/>
  <c r="C61"/>
  <c r="T61" s="1"/>
  <c r="F102"/>
  <c r="W102" s="1"/>
  <c r="C154"/>
  <c r="T154" s="1"/>
  <c r="F230"/>
  <c r="W230" s="1"/>
  <c r="D17" i="6"/>
  <c r="E99"/>
  <c r="F88"/>
  <c r="G150"/>
  <c r="I104"/>
  <c r="K23"/>
  <c r="D184" i="5"/>
  <c r="U184" s="1"/>
  <c r="C204"/>
  <c r="T204" s="1"/>
  <c r="K234" i="6"/>
  <c r="J111"/>
  <c r="M135"/>
  <c r="I79"/>
  <c r="I47"/>
  <c r="I92"/>
  <c r="K25"/>
  <c r="J72"/>
  <c r="C462" i="9"/>
  <c r="C463" s="1"/>
  <c r="D462"/>
  <c r="D463" s="1"/>
  <c r="E462"/>
  <c r="E463" s="1"/>
  <c r="F462"/>
  <c r="F463" s="1"/>
  <c r="J66" i="6"/>
  <c r="X10"/>
  <c r="G462" i="9"/>
  <c r="G463" s="1"/>
  <c r="E27" i="5"/>
  <c r="V27" s="1"/>
  <c r="E61"/>
  <c r="V61" s="1"/>
  <c r="E90"/>
  <c r="V90" s="1"/>
  <c r="F121"/>
  <c r="W121" s="1"/>
  <c r="G161"/>
  <c r="X161" s="1"/>
  <c r="G178"/>
  <c r="X178" s="1"/>
  <c r="E237"/>
  <c r="V237" s="1"/>
  <c r="G245"/>
  <c r="X245" s="1"/>
  <c r="E49"/>
  <c r="V49" s="1"/>
  <c r="F56"/>
  <c r="W56" s="1"/>
  <c r="C71"/>
  <c r="T71" s="1"/>
  <c r="E78"/>
  <c r="V78" s="1"/>
  <c r="C92"/>
  <c r="T92" s="1"/>
  <c r="G107"/>
  <c r="X107" s="1"/>
  <c r="G115"/>
  <c r="X115" s="1"/>
  <c r="G132"/>
  <c r="X132" s="1"/>
  <c r="F139"/>
  <c r="W139" s="1"/>
  <c r="G147"/>
  <c r="X147" s="1"/>
  <c r="C180"/>
  <c r="T180" s="1"/>
  <c r="E197"/>
  <c r="V197" s="1"/>
  <c r="E213"/>
  <c r="V213" s="1"/>
  <c r="F239"/>
  <c r="W239" s="1"/>
  <c r="F49"/>
  <c r="W49" s="1"/>
  <c r="G56"/>
  <c r="X56" s="1"/>
  <c r="F71"/>
  <c r="W71" s="1"/>
  <c r="G78"/>
  <c r="X78" s="1"/>
  <c r="G139"/>
  <c r="X139" s="1"/>
  <c r="E173"/>
  <c r="V173" s="1"/>
  <c r="E180"/>
  <c r="V180" s="1"/>
  <c r="F197"/>
  <c r="W197" s="1"/>
  <c r="C205"/>
  <c r="T205" s="1"/>
  <c r="D23"/>
  <c r="U23" s="1"/>
  <c r="D29"/>
  <c r="U29" s="1"/>
  <c r="C43"/>
  <c r="T43" s="1"/>
  <c r="D64"/>
  <c r="U64" s="1"/>
  <c r="G71"/>
  <c r="X71" s="1"/>
  <c r="G85"/>
  <c r="X85" s="1"/>
  <c r="G197"/>
  <c r="X197" s="1"/>
  <c r="E231"/>
  <c r="V231" s="1"/>
  <c r="E248"/>
  <c r="V248" s="1"/>
  <c r="G43"/>
  <c r="X43" s="1"/>
  <c r="G102"/>
  <c r="X102" s="1"/>
  <c r="F133"/>
  <c r="W133" s="1"/>
  <c r="D141"/>
  <c r="U141" s="1"/>
  <c r="E241"/>
  <c r="V241" s="1"/>
  <c r="E31"/>
  <c r="V31" s="1"/>
  <c r="C38"/>
  <c r="T38" s="1"/>
  <c r="C80"/>
  <c r="T80" s="1"/>
  <c r="F95"/>
  <c r="W95" s="1"/>
  <c r="D110"/>
  <c r="U110" s="1"/>
  <c r="G150"/>
  <c r="X150" s="1"/>
  <c r="F158"/>
  <c r="W158" s="1"/>
  <c r="E175"/>
  <c r="V175" s="1"/>
  <c r="D183"/>
  <c r="U183" s="1"/>
  <c r="F191"/>
  <c r="W191" s="1"/>
  <c r="C233"/>
  <c r="T233" s="1"/>
  <c r="C250"/>
  <c r="T250" s="1"/>
  <c r="F200"/>
  <c r="W200" s="1"/>
  <c r="G217"/>
  <c r="X217" s="1"/>
  <c r="C159"/>
  <c r="T159" s="1"/>
  <c r="E226"/>
  <c r="V226" s="1"/>
  <c r="F226"/>
  <c r="W226" s="1"/>
  <c r="C136"/>
  <c r="T136" s="1"/>
  <c r="E177"/>
  <c r="V177" s="1"/>
  <c r="E184"/>
  <c r="V184" s="1"/>
  <c r="G226"/>
  <c r="X226" s="1"/>
  <c r="G244"/>
  <c r="X244" s="1"/>
  <c r="F184"/>
  <c r="W184" s="1"/>
  <c r="F12"/>
  <c r="W12" s="1"/>
  <c r="E20"/>
  <c r="V20" s="1"/>
  <c r="C46"/>
  <c r="T46" s="1"/>
  <c r="C54"/>
  <c r="T54" s="1"/>
  <c r="F82"/>
  <c r="W82" s="1"/>
  <c r="C144"/>
  <c r="T144" s="1"/>
  <c r="E153"/>
  <c r="V153" s="1"/>
  <c r="E210"/>
  <c r="V210" s="1"/>
  <c r="D219"/>
  <c r="U219" s="1"/>
  <c r="G121"/>
  <c r="X121" s="1"/>
  <c r="G128"/>
  <c r="X128" s="1"/>
  <c r="G133"/>
  <c r="X133" s="1"/>
  <c r="D159"/>
  <c r="U159" s="1"/>
  <c r="F166"/>
  <c r="W166" s="1"/>
  <c r="G173"/>
  <c r="X173" s="1"/>
  <c r="F179"/>
  <c r="W179" s="1"/>
  <c r="G184"/>
  <c r="X184" s="1"/>
  <c r="E205"/>
  <c r="V205" s="1"/>
  <c r="F219"/>
  <c r="W219" s="1"/>
  <c r="D226"/>
  <c r="U226" s="1"/>
  <c r="C232"/>
  <c r="T232" s="1"/>
  <c r="D17"/>
  <c r="U17" s="1"/>
  <c r="C23"/>
  <c r="T23" s="1"/>
  <c r="E45"/>
  <c r="V45" s="1"/>
  <c r="D63"/>
  <c r="U63" s="1"/>
  <c r="E74"/>
  <c r="V74" s="1"/>
  <c r="E79"/>
  <c r="V79" s="1"/>
  <c r="C91"/>
  <c r="T91" s="1"/>
  <c r="F103"/>
  <c r="W103" s="1"/>
  <c r="D109"/>
  <c r="U109" s="1"/>
  <c r="G116"/>
  <c r="X116" s="1"/>
  <c r="G122"/>
  <c r="X122" s="1"/>
  <c r="D129"/>
  <c r="U129" s="1"/>
  <c r="C148"/>
  <c r="T148" s="1"/>
  <c r="F154"/>
  <c r="W154" s="1"/>
  <c r="D180"/>
  <c r="U180" s="1"/>
  <c r="E200"/>
  <c r="V200" s="1"/>
  <c r="G240"/>
  <c r="X240" s="1"/>
  <c r="D52"/>
  <c r="U52" s="1"/>
  <c r="D69"/>
  <c r="U69" s="1"/>
  <c r="G74"/>
  <c r="X74" s="1"/>
  <c r="G98"/>
  <c r="X98" s="1"/>
  <c r="D142"/>
  <c r="U142" s="1"/>
  <c r="G148"/>
  <c r="X148" s="1"/>
  <c r="E161"/>
  <c r="V161" s="1"/>
  <c r="D168"/>
  <c r="U168" s="1"/>
  <c r="C175"/>
  <c r="T175" s="1"/>
  <c r="G180"/>
  <c r="X180" s="1"/>
  <c r="G200"/>
  <c r="X200" s="1"/>
  <c r="C214"/>
  <c r="T214" s="1"/>
  <c r="C221"/>
  <c r="T221" s="1"/>
  <c r="F227"/>
  <c r="W227" s="1"/>
  <c r="G234"/>
  <c r="X234" s="1"/>
  <c r="D248"/>
  <c r="U248" s="1"/>
  <c r="G12"/>
  <c r="X12" s="1"/>
  <c r="E29"/>
  <c r="V29" s="1"/>
  <c r="D41"/>
  <c r="U41" s="1"/>
  <c r="C53"/>
  <c r="T53" s="1"/>
  <c r="D58"/>
  <c r="U58" s="1"/>
  <c r="E64"/>
  <c r="V64" s="1"/>
  <c r="E70"/>
  <c r="V70" s="1"/>
  <c r="D75"/>
  <c r="U75" s="1"/>
  <c r="E80"/>
  <c r="V80" s="1"/>
  <c r="E86"/>
  <c r="V86" s="1"/>
  <c r="E92"/>
  <c r="V92" s="1"/>
  <c r="C99"/>
  <c r="T99" s="1"/>
  <c r="E104"/>
  <c r="V104" s="1"/>
  <c r="C124"/>
  <c r="T124" s="1"/>
  <c r="C131"/>
  <c r="T131" s="1"/>
  <c r="E136"/>
  <c r="V136" s="1"/>
  <c r="F149"/>
  <c r="W149" s="1"/>
  <c r="G156"/>
  <c r="X156" s="1"/>
  <c r="E169"/>
  <c r="V169" s="1"/>
  <c r="G175"/>
  <c r="X175" s="1"/>
  <c r="F187"/>
  <c r="W187" s="1"/>
  <c r="C195"/>
  <c r="T195" s="1"/>
  <c r="E201"/>
  <c r="V201" s="1"/>
  <c r="D208"/>
  <c r="U208" s="1"/>
  <c r="E215"/>
  <c r="V215" s="1"/>
  <c r="E228"/>
  <c r="V228" s="1"/>
  <c r="C235"/>
  <c r="T235" s="1"/>
  <c r="F241"/>
  <c r="W241" s="1"/>
  <c r="G248"/>
  <c r="X248" s="1"/>
  <c r="D95" i="6"/>
  <c r="L140"/>
  <c r="E219"/>
  <c r="F41" i="5"/>
  <c r="W41" s="1"/>
  <c r="D47"/>
  <c r="U47" s="1"/>
  <c r="F53"/>
  <c r="W53" s="1"/>
  <c r="G64"/>
  <c r="X64" s="1"/>
  <c r="F70"/>
  <c r="W70" s="1"/>
  <c r="E75"/>
  <c r="V75" s="1"/>
  <c r="F80"/>
  <c r="W80" s="1"/>
  <c r="F92"/>
  <c r="W92" s="1"/>
  <c r="F99"/>
  <c r="W99" s="1"/>
  <c r="F104"/>
  <c r="W104" s="1"/>
  <c r="C111"/>
  <c r="T111" s="1"/>
  <c r="D124"/>
  <c r="U124" s="1"/>
  <c r="F131"/>
  <c r="W131" s="1"/>
  <c r="F136"/>
  <c r="W136" s="1"/>
  <c r="G149"/>
  <c r="X149" s="1"/>
  <c r="F169"/>
  <c r="W169" s="1"/>
  <c r="G187"/>
  <c r="X187" s="1"/>
  <c r="D195"/>
  <c r="U195" s="1"/>
  <c r="E208"/>
  <c r="V208" s="1"/>
  <c r="F222"/>
  <c r="W222" s="1"/>
  <c r="D235"/>
  <c r="U235" s="1"/>
  <c r="G219" i="6"/>
  <c r="D19" i="5"/>
  <c r="U19" s="1"/>
  <c r="G24"/>
  <c r="X24" s="1"/>
  <c r="G35"/>
  <c r="X35" s="1"/>
  <c r="F47"/>
  <c r="W47" s="1"/>
  <c r="G53"/>
  <c r="X53" s="1"/>
  <c r="G70"/>
  <c r="X70" s="1"/>
  <c r="F75"/>
  <c r="W75" s="1"/>
  <c r="G92"/>
  <c r="X92" s="1"/>
  <c r="G99"/>
  <c r="X99" s="1"/>
  <c r="G104"/>
  <c r="X104" s="1"/>
  <c r="D111"/>
  <c r="U111" s="1"/>
  <c r="G124"/>
  <c r="X124" s="1"/>
  <c r="G131"/>
  <c r="X131" s="1"/>
  <c r="G136"/>
  <c r="X136" s="1"/>
  <c r="F143"/>
  <c r="W143" s="1"/>
  <c r="F162"/>
  <c r="W162" s="1"/>
  <c r="G169"/>
  <c r="X169" s="1"/>
  <c r="D182"/>
  <c r="U182" s="1"/>
  <c r="E195"/>
  <c r="V195" s="1"/>
  <c r="F208"/>
  <c r="W208" s="1"/>
  <c r="E235"/>
  <c r="V235" s="1"/>
  <c r="L219" i="6"/>
  <c r="C13" i="5"/>
  <c r="T13" s="1"/>
  <c r="E19"/>
  <c r="V19" s="1"/>
  <c r="D30"/>
  <c r="U30" s="1"/>
  <c r="F59"/>
  <c r="W59" s="1"/>
  <c r="E87"/>
  <c r="V87" s="1"/>
  <c r="C119"/>
  <c r="T119" s="1"/>
  <c r="C157"/>
  <c r="T157" s="1"/>
  <c r="G162"/>
  <c r="X162" s="1"/>
  <c r="E182"/>
  <c r="V182" s="1"/>
  <c r="F195"/>
  <c r="W195" s="1"/>
  <c r="C202"/>
  <c r="T202" s="1"/>
  <c r="E216"/>
  <c r="V216" s="1"/>
  <c r="F235"/>
  <c r="W235" s="1"/>
  <c r="F107" i="6"/>
  <c r="G19" i="5"/>
  <c r="X19" s="1"/>
  <c r="E30"/>
  <c r="V30" s="1"/>
  <c r="E42"/>
  <c r="V42" s="1"/>
  <c r="C65"/>
  <c r="T65" s="1"/>
  <c r="G81"/>
  <c r="X81" s="1"/>
  <c r="F87"/>
  <c r="W87" s="1"/>
  <c r="D119"/>
  <c r="U119" s="1"/>
  <c r="F150"/>
  <c r="W150" s="1"/>
  <c r="D157"/>
  <c r="U157" s="1"/>
  <c r="F182"/>
  <c r="W182" s="1"/>
  <c r="E188"/>
  <c r="V188" s="1"/>
  <c r="F216"/>
  <c r="W216" s="1"/>
  <c r="C223"/>
  <c r="T223" s="1"/>
  <c r="G235"/>
  <c r="X235" s="1"/>
  <c r="F187" i="6"/>
  <c r="C14" i="5"/>
  <c r="T14" s="1"/>
  <c r="E25"/>
  <c r="V25" s="1"/>
  <c r="G30"/>
  <c r="X30" s="1"/>
  <c r="E36"/>
  <c r="V36" s="1"/>
  <c r="F48"/>
  <c r="W48" s="1"/>
  <c r="D54"/>
  <c r="U54" s="1"/>
  <c r="C60"/>
  <c r="T60" s="1"/>
  <c r="F65"/>
  <c r="W65" s="1"/>
  <c r="D71"/>
  <c r="U71" s="1"/>
  <c r="G76"/>
  <c r="X76" s="1"/>
  <c r="D100"/>
  <c r="U100" s="1"/>
  <c r="F119"/>
  <c r="W119" s="1"/>
  <c r="D132"/>
  <c r="U132" s="1"/>
  <c r="D144"/>
  <c r="U144" s="1"/>
  <c r="F157"/>
  <c r="W157" s="1"/>
  <c r="G177"/>
  <c r="X177" s="1"/>
  <c r="D209"/>
  <c r="U209" s="1"/>
  <c r="E223"/>
  <c r="V223" s="1"/>
  <c r="D230"/>
  <c r="U230" s="1"/>
  <c r="D250"/>
  <c r="U250" s="1"/>
  <c r="F43" i="6"/>
  <c r="I66"/>
  <c r="E211"/>
  <c r="D14" i="5"/>
  <c r="U14" s="1"/>
  <c r="D20"/>
  <c r="U20" s="1"/>
  <c r="F25"/>
  <c r="W25" s="1"/>
  <c r="E54"/>
  <c r="V54" s="1"/>
  <c r="D60"/>
  <c r="U60" s="1"/>
  <c r="E71"/>
  <c r="V71" s="1"/>
  <c r="D82"/>
  <c r="U82" s="1"/>
  <c r="C88"/>
  <c r="T88" s="1"/>
  <c r="C94"/>
  <c r="T94" s="1"/>
  <c r="F106"/>
  <c r="W106" s="1"/>
  <c r="F132"/>
  <c r="W132" s="1"/>
  <c r="F144"/>
  <c r="W144" s="1"/>
  <c r="G157"/>
  <c r="X157" s="1"/>
  <c r="G171"/>
  <c r="X171" s="1"/>
  <c r="C183"/>
  <c r="T183" s="1"/>
  <c r="E189"/>
  <c r="V189" s="1"/>
  <c r="F223"/>
  <c r="W223" s="1"/>
  <c r="E230"/>
  <c r="V230" s="1"/>
  <c r="C244"/>
  <c r="T244" s="1"/>
  <c r="E250"/>
  <c r="V250" s="1"/>
  <c r="K127" i="6"/>
  <c r="M258"/>
  <c r="M282"/>
  <c r="M306"/>
  <c r="M330"/>
  <c r="M354"/>
  <c r="M378"/>
  <c r="M402"/>
  <c r="M426"/>
  <c r="M450"/>
  <c r="M259"/>
  <c r="M283"/>
  <c r="M307"/>
  <c r="M331"/>
  <c r="M355"/>
  <c r="M379"/>
  <c r="M403"/>
  <c r="M427"/>
  <c r="M451"/>
  <c r="M260"/>
  <c r="M284"/>
  <c r="M308"/>
  <c r="M332"/>
  <c r="M356"/>
  <c r="M380"/>
  <c r="M404"/>
  <c r="M428"/>
  <c r="M452"/>
  <c r="M261"/>
  <c r="M285"/>
  <c r="M309"/>
  <c r="M333"/>
  <c r="M357"/>
  <c r="M381"/>
  <c r="M405"/>
  <c r="M429"/>
  <c r="M453"/>
  <c r="M262"/>
  <c r="M286"/>
  <c r="M310"/>
  <c r="M334"/>
  <c r="M358"/>
  <c r="M382"/>
  <c r="M406"/>
  <c r="M430"/>
  <c r="M454"/>
  <c r="M263"/>
  <c r="M287"/>
  <c r="M311"/>
  <c r="M335"/>
  <c r="M359"/>
  <c r="M383"/>
  <c r="M407"/>
  <c r="M431"/>
  <c r="M455"/>
  <c r="M264"/>
  <c r="M288"/>
  <c r="M312"/>
  <c r="M336"/>
  <c r="M360"/>
  <c r="M384"/>
  <c r="M408"/>
  <c r="M432"/>
  <c r="M456"/>
  <c r="M265"/>
  <c r="M289"/>
  <c r="M313"/>
  <c r="M337"/>
  <c r="M361"/>
  <c r="M385"/>
  <c r="M409"/>
  <c r="M433"/>
  <c r="M457"/>
  <c r="M266"/>
  <c r="M290"/>
  <c r="M314"/>
  <c r="M338"/>
  <c r="M362"/>
  <c r="M386"/>
  <c r="M410"/>
  <c r="M434"/>
  <c r="M458"/>
  <c r="M267"/>
  <c r="M291"/>
  <c r="M315"/>
  <c r="M339"/>
  <c r="M363"/>
  <c r="M387"/>
  <c r="M411"/>
  <c r="M435"/>
  <c r="M459"/>
  <c r="M268"/>
  <c r="M292"/>
  <c r="M316"/>
  <c r="M340"/>
  <c r="M364"/>
  <c r="M388"/>
  <c r="M412"/>
  <c r="M436"/>
  <c r="M460"/>
  <c r="M269"/>
  <c r="M293"/>
  <c r="M317"/>
  <c r="M341"/>
  <c r="M365"/>
  <c r="M389"/>
  <c r="M413"/>
  <c r="M437"/>
  <c r="M461"/>
  <c r="M270"/>
  <c r="M294"/>
  <c r="M318"/>
  <c r="M342"/>
  <c r="M366"/>
  <c r="M390"/>
  <c r="M414"/>
  <c r="M438"/>
  <c r="M271"/>
  <c r="M295"/>
  <c r="M319"/>
  <c r="M343"/>
  <c r="M367"/>
  <c r="M391"/>
  <c r="M415"/>
  <c r="M439"/>
  <c r="M272"/>
  <c r="M296"/>
  <c r="M320"/>
  <c r="M344"/>
  <c r="M368"/>
  <c r="M392"/>
  <c r="M416"/>
  <c r="M440"/>
  <c r="M298"/>
  <c r="M370"/>
  <c r="M442"/>
  <c r="M273"/>
  <c r="M297"/>
  <c r="M321"/>
  <c r="M345"/>
  <c r="M369"/>
  <c r="M393"/>
  <c r="M417"/>
  <c r="M441"/>
  <c r="M394"/>
  <c r="M274"/>
  <c r="M322"/>
  <c r="M346"/>
  <c r="M418"/>
  <c r="M275"/>
  <c r="M299"/>
  <c r="M323"/>
  <c r="M347"/>
  <c r="M371"/>
  <c r="M395"/>
  <c r="M419"/>
  <c r="M443"/>
  <c r="M255"/>
  <c r="M279"/>
  <c r="M303"/>
  <c r="M327"/>
  <c r="M351"/>
  <c r="M375"/>
  <c r="M399"/>
  <c r="M423"/>
  <c r="M447"/>
  <c r="M256"/>
  <c r="M280"/>
  <c r="M304"/>
  <c r="M328"/>
  <c r="M352"/>
  <c r="M376"/>
  <c r="M400"/>
  <c r="M424"/>
  <c r="M448"/>
  <c r="M348"/>
  <c r="M349"/>
  <c r="M324"/>
  <c r="M350"/>
  <c r="M305"/>
  <c r="M353"/>
  <c r="M372"/>
  <c r="M373"/>
  <c r="M377"/>
  <c r="M252"/>
  <c r="M257"/>
  <c r="M302"/>
  <c r="M374"/>
  <c r="M396"/>
  <c r="M253"/>
  <c r="M397"/>
  <c r="M254"/>
  <c r="M398"/>
  <c r="M401"/>
  <c r="M449"/>
  <c r="M276"/>
  <c r="M420"/>
  <c r="M277"/>
  <c r="M421"/>
  <c r="M278"/>
  <c r="M422"/>
  <c r="M300"/>
  <c r="M444"/>
  <c r="M446"/>
  <c r="M281"/>
  <c r="M425"/>
  <c r="M301"/>
  <c r="M445"/>
  <c r="M325"/>
  <c r="M326"/>
  <c r="M329"/>
  <c r="Y253" i="8"/>
  <c r="Q253" i="6"/>
  <c r="S253" i="2"/>
  <c r="S253" i="4"/>
  <c r="S253" i="3"/>
  <c r="C29" i="6"/>
  <c r="D40"/>
  <c r="C80"/>
  <c r="C174"/>
  <c r="D207"/>
  <c r="G40"/>
  <c r="I50"/>
  <c r="M132"/>
  <c r="M251"/>
  <c r="L83"/>
  <c r="D155"/>
  <c r="M23"/>
  <c r="F54"/>
  <c r="L104"/>
  <c r="K211"/>
  <c r="E34"/>
  <c r="G54"/>
  <c r="E126"/>
  <c r="J136"/>
  <c r="E66"/>
  <c r="F244"/>
  <c r="L252"/>
  <c r="L276"/>
  <c r="L300"/>
  <c r="L324"/>
  <c r="L348"/>
  <c r="L372"/>
  <c r="L396"/>
  <c r="L420"/>
  <c r="L444"/>
  <c r="K258"/>
  <c r="K282"/>
  <c r="K306"/>
  <c r="K330"/>
  <c r="K354"/>
  <c r="K378"/>
  <c r="K402"/>
  <c r="K426"/>
  <c r="K450"/>
  <c r="J264"/>
  <c r="J288"/>
  <c r="J312"/>
  <c r="J336"/>
  <c r="J360"/>
  <c r="J384"/>
  <c r="J408"/>
  <c r="J432"/>
  <c r="J456"/>
  <c r="I270"/>
  <c r="I294"/>
  <c r="I318"/>
  <c r="I342"/>
  <c r="I366"/>
  <c r="I390"/>
  <c r="I414"/>
  <c r="I438"/>
  <c r="G252"/>
  <c r="G276"/>
  <c r="G300"/>
  <c r="G324"/>
  <c r="G348"/>
  <c r="G372"/>
  <c r="G396"/>
  <c r="G420"/>
  <c r="G444"/>
  <c r="F258"/>
  <c r="F282"/>
  <c r="F306"/>
  <c r="F330"/>
  <c r="F354"/>
  <c r="F378"/>
  <c r="F402"/>
  <c r="F426"/>
  <c r="F450"/>
  <c r="E264"/>
  <c r="E288"/>
  <c r="E312"/>
  <c r="E336"/>
  <c r="E360"/>
  <c r="E384"/>
  <c r="E408"/>
  <c r="E432"/>
  <c r="E456"/>
  <c r="D270"/>
  <c r="D294"/>
  <c r="D318"/>
  <c r="D342"/>
  <c r="D366"/>
  <c r="D390"/>
  <c r="D414"/>
  <c r="D438"/>
  <c r="C252"/>
  <c r="C276"/>
  <c r="C300"/>
  <c r="C324"/>
  <c r="C348"/>
  <c r="C372"/>
  <c r="C396"/>
  <c r="C420"/>
  <c r="C444"/>
  <c r="E411"/>
  <c r="L253"/>
  <c r="L277"/>
  <c r="L301"/>
  <c r="L325"/>
  <c r="L349"/>
  <c r="L373"/>
  <c r="L397"/>
  <c r="L421"/>
  <c r="L445"/>
  <c r="K259"/>
  <c r="K283"/>
  <c r="K307"/>
  <c r="K331"/>
  <c r="K355"/>
  <c r="K379"/>
  <c r="K403"/>
  <c r="K427"/>
  <c r="K451"/>
  <c r="J265"/>
  <c r="J289"/>
  <c r="J313"/>
  <c r="J337"/>
  <c r="J361"/>
  <c r="J385"/>
  <c r="J409"/>
  <c r="J433"/>
  <c r="J457"/>
  <c r="I271"/>
  <c r="I295"/>
  <c r="I319"/>
  <c r="I343"/>
  <c r="I367"/>
  <c r="I391"/>
  <c r="I415"/>
  <c r="I439"/>
  <c r="G253"/>
  <c r="G277"/>
  <c r="G301"/>
  <c r="G325"/>
  <c r="G349"/>
  <c r="G373"/>
  <c r="G397"/>
  <c r="G421"/>
  <c r="G445"/>
  <c r="F259"/>
  <c r="F283"/>
  <c r="F307"/>
  <c r="F331"/>
  <c r="F355"/>
  <c r="F379"/>
  <c r="F403"/>
  <c r="F427"/>
  <c r="F451"/>
  <c r="E265"/>
  <c r="E289"/>
  <c r="E313"/>
  <c r="E337"/>
  <c r="E361"/>
  <c r="E385"/>
  <c r="E409"/>
  <c r="E433"/>
  <c r="E457"/>
  <c r="D271"/>
  <c r="D295"/>
  <c r="D319"/>
  <c r="D343"/>
  <c r="D367"/>
  <c r="D391"/>
  <c r="D415"/>
  <c r="D439"/>
  <c r="C253"/>
  <c r="C277"/>
  <c r="C301"/>
  <c r="C325"/>
  <c r="C349"/>
  <c r="C373"/>
  <c r="C397"/>
  <c r="C421"/>
  <c r="C445"/>
  <c r="E387"/>
  <c r="L254"/>
  <c r="L278"/>
  <c r="L302"/>
  <c r="L326"/>
  <c r="L350"/>
  <c r="L374"/>
  <c r="L398"/>
  <c r="L422"/>
  <c r="L446"/>
  <c r="K260"/>
  <c r="K284"/>
  <c r="K308"/>
  <c r="K332"/>
  <c r="K356"/>
  <c r="K380"/>
  <c r="K404"/>
  <c r="K428"/>
  <c r="K452"/>
  <c r="J266"/>
  <c r="J290"/>
  <c r="J314"/>
  <c r="J338"/>
  <c r="J362"/>
  <c r="J386"/>
  <c r="J410"/>
  <c r="J434"/>
  <c r="J458"/>
  <c r="I272"/>
  <c r="I296"/>
  <c r="I320"/>
  <c r="I344"/>
  <c r="I368"/>
  <c r="I392"/>
  <c r="I416"/>
  <c r="I440"/>
  <c r="G254"/>
  <c r="G278"/>
  <c r="G302"/>
  <c r="G326"/>
  <c r="G350"/>
  <c r="G374"/>
  <c r="G398"/>
  <c r="G422"/>
  <c r="G446"/>
  <c r="F260"/>
  <c r="F284"/>
  <c r="F308"/>
  <c r="F332"/>
  <c r="F356"/>
  <c r="F380"/>
  <c r="F404"/>
  <c r="F428"/>
  <c r="F452"/>
  <c r="E266"/>
  <c r="E290"/>
  <c r="E314"/>
  <c r="E338"/>
  <c r="E362"/>
  <c r="E386"/>
  <c r="E410"/>
  <c r="E434"/>
  <c r="E458"/>
  <c r="D272"/>
  <c r="D296"/>
  <c r="D320"/>
  <c r="D344"/>
  <c r="D368"/>
  <c r="D392"/>
  <c r="D416"/>
  <c r="D440"/>
  <c r="C254"/>
  <c r="C278"/>
  <c r="C302"/>
  <c r="C326"/>
  <c r="C350"/>
  <c r="C374"/>
  <c r="C398"/>
  <c r="C422"/>
  <c r="C446"/>
  <c r="E363"/>
  <c r="L255"/>
  <c r="L279"/>
  <c r="L303"/>
  <c r="L327"/>
  <c r="L351"/>
  <c r="L375"/>
  <c r="L399"/>
  <c r="L423"/>
  <c r="L447"/>
  <c r="K261"/>
  <c r="K285"/>
  <c r="K309"/>
  <c r="K333"/>
  <c r="K357"/>
  <c r="K381"/>
  <c r="K405"/>
  <c r="K429"/>
  <c r="K453"/>
  <c r="J267"/>
  <c r="J291"/>
  <c r="J315"/>
  <c r="J339"/>
  <c r="J363"/>
  <c r="J387"/>
  <c r="J411"/>
  <c r="J435"/>
  <c r="J459"/>
  <c r="I273"/>
  <c r="I297"/>
  <c r="I321"/>
  <c r="I345"/>
  <c r="I369"/>
  <c r="I393"/>
  <c r="I417"/>
  <c r="I441"/>
  <c r="G255"/>
  <c r="G279"/>
  <c r="G303"/>
  <c r="G327"/>
  <c r="G351"/>
  <c r="G375"/>
  <c r="G399"/>
  <c r="G423"/>
  <c r="G447"/>
  <c r="F261"/>
  <c r="F285"/>
  <c r="F309"/>
  <c r="F333"/>
  <c r="F357"/>
  <c r="F381"/>
  <c r="F405"/>
  <c r="F429"/>
  <c r="F453"/>
  <c r="E267"/>
  <c r="E291"/>
  <c r="E315"/>
  <c r="E339"/>
  <c r="E435"/>
  <c r="E459"/>
  <c r="D273"/>
  <c r="D297"/>
  <c r="D321"/>
  <c r="D345"/>
  <c r="D369"/>
  <c r="D393"/>
  <c r="D417"/>
  <c r="D441"/>
  <c r="C255"/>
  <c r="C279"/>
  <c r="C303"/>
  <c r="C327"/>
  <c r="C351"/>
  <c r="C375"/>
  <c r="C399"/>
  <c r="C423"/>
  <c r="C447"/>
  <c r="L256"/>
  <c r="L280"/>
  <c r="L304"/>
  <c r="L328"/>
  <c r="L352"/>
  <c r="L376"/>
  <c r="L400"/>
  <c r="L424"/>
  <c r="L448"/>
  <c r="K262"/>
  <c r="K286"/>
  <c r="K310"/>
  <c r="K334"/>
  <c r="K358"/>
  <c r="K382"/>
  <c r="K406"/>
  <c r="K430"/>
  <c r="K454"/>
  <c r="J268"/>
  <c r="J292"/>
  <c r="J316"/>
  <c r="J340"/>
  <c r="J364"/>
  <c r="J388"/>
  <c r="J412"/>
  <c r="J436"/>
  <c r="J460"/>
  <c r="I274"/>
  <c r="I298"/>
  <c r="I322"/>
  <c r="I346"/>
  <c r="I370"/>
  <c r="I394"/>
  <c r="I418"/>
  <c r="I442"/>
  <c r="G256"/>
  <c r="G280"/>
  <c r="G304"/>
  <c r="G328"/>
  <c r="G352"/>
  <c r="G376"/>
  <c r="G400"/>
  <c r="G424"/>
  <c r="G448"/>
  <c r="F262"/>
  <c r="F286"/>
  <c r="F310"/>
  <c r="F334"/>
  <c r="F358"/>
  <c r="F382"/>
  <c r="F406"/>
  <c r="F430"/>
  <c r="F454"/>
  <c r="E268"/>
  <c r="E292"/>
  <c r="E316"/>
  <c r="E340"/>
  <c r="E364"/>
  <c r="E388"/>
  <c r="E412"/>
  <c r="E436"/>
  <c r="E460"/>
  <c r="D274"/>
  <c r="D298"/>
  <c r="D322"/>
  <c r="D346"/>
  <c r="D370"/>
  <c r="D394"/>
  <c r="D418"/>
  <c r="D442"/>
  <c r="C256"/>
  <c r="C280"/>
  <c r="C304"/>
  <c r="C328"/>
  <c r="C352"/>
  <c r="C376"/>
  <c r="C400"/>
  <c r="C424"/>
  <c r="C448"/>
  <c r="L261"/>
  <c r="L285"/>
  <c r="L309"/>
  <c r="L333"/>
  <c r="L357"/>
  <c r="L381"/>
  <c r="L405"/>
  <c r="L429"/>
  <c r="L453"/>
  <c r="K267"/>
  <c r="K291"/>
  <c r="K315"/>
  <c r="K339"/>
  <c r="K363"/>
  <c r="K387"/>
  <c r="K411"/>
  <c r="K435"/>
  <c r="K459"/>
  <c r="J273"/>
  <c r="J297"/>
  <c r="J321"/>
  <c r="J345"/>
  <c r="J369"/>
  <c r="J393"/>
  <c r="J417"/>
  <c r="J441"/>
  <c r="I255"/>
  <c r="I279"/>
  <c r="I303"/>
  <c r="I327"/>
  <c r="I351"/>
  <c r="I375"/>
  <c r="I399"/>
  <c r="I423"/>
  <c r="I447"/>
  <c r="G261"/>
  <c r="G285"/>
  <c r="G309"/>
  <c r="G333"/>
  <c r="G357"/>
  <c r="G381"/>
  <c r="G405"/>
  <c r="G429"/>
  <c r="G453"/>
  <c r="F267"/>
  <c r="F291"/>
  <c r="F315"/>
  <c r="F339"/>
  <c r="F363"/>
  <c r="F387"/>
  <c r="F411"/>
  <c r="F435"/>
  <c r="F459"/>
  <c r="E273"/>
  <c r="E297"/>
  <c r="E321"/>
  <c r="E345"/>
  <c r="E369"/>
  <c r="E393"/>
  <c r="E417"/>
  <c r="E441"/>
  <c r="D255"/>
  <c r="D279"/>
  <c r="D303"/>
  <c r="D327"/>
  <c r="D351"/>
  <c r="D375"/>
  <c r="D399"/>
  <c r="D423"/>
  <c r="D447"/>
  <c r="C261"/>
  <c r="C285"/>
  <c r="C309"/>
  <c r="C333"/>
  <c r="C357"/>
  <c r="C381"/>
  <c r="C405"/>
  <c r="C429"/>
  <c r="C453"/>
  <c r="L262"/>
  <c r="L286"/>
  <c r="L310"/>
  <c r="L334"/>
  <c r="L358"/>
  <c r="L382"/>
  <c r="L264"/>
  <c r="L288"/>
  <c r="L312"/>
  <c r="L336"/>
  <c r="L360"/>
  <c r="L384"/>
  <c r="L408"/>
  <c r="L432"/>
  <c r="L456"/>
  <c r="K270"/>
  <c r="K294"/>
  <c r="K318"/>
  <c r="K342"/>
  <c r="K366"/>
  <c r="K390"/>
  <c r="K414"/>
  <c r="K438"/>
  <c r="J252"/>
  <c r="J276"/>
  <c r="J300"/>
  <c r="J324"/>
  <c r="J348"/>
  <c r="J372"/>
  <c r="J396"/>
  <c r="J420"/>
  <c r="J444"/>
  <c r="I258"/>
  <c r="I282"/>
  <c r="I306"/>
  <c r="I330"/>
  <c r="I354"/>
  <c r="I378"/>
  <c r="I402"/>
  <c r="I426"/>
  <c r="I450"/>
  <c r="G264"/>
  <c r="G288"/>
  <c r="G312"/>
  <c r="G336"/>
  <c r="G360"/>
  <c r="G384"/>
  <c r="G408"/>
  <c r="G432"/>
  <c r="G456"/>
  <c r="F270"/>
  <c r="F294"/>
  <c r="F318"/>
  <c r="F342"/>
  <c r="F366"/>
  <c r="F390"/>
  <c r="F414"/>
  <c r="F438"/>
  <c r="E252"/>
  <c r="E276"/>
  <c r="E300"/>
  <c r="E324"/>
  <c r="E348"/>
  <c r="E372"/>
  <c r="E396"/>
  <c r="E420"/>
  <c r="E444"/>
  <c r="D258"/>
  <c r="D282"/>
  <c r="D306"/>
  <c r="D330"/>
  <c r="D354"/>
  <c r="D378"/>
  <c r="D402"/>
  <c r="D426"/>
  <c r="D450"/>
  <c r="C264"/>
  <c r="C288"/>
  <c r="C312"/>
  <c r="C336"/>
  <c r="C360"/>
  <c r="C384"/>
  <c r="C408"/>
  <c r="C432"/>
  <c r="C456"/>
  <c r="L257"/>
  <c r="L292"/>
  <c r="L329"/>
  <c r="L364"/>
  <c r="L401"/>
  <c r="L434"/>
  <c r="K255"/>
  <c r="K292"/>
  <c r="K324"/>
  <c r="K360"/>
  <c r="K393"/>
  <c r="K424"/>
  <c r="K461"/>
  <c r="J283"/>
  <c r="J319"/>
  <c r="J352"/>
  <c r="J383"/>
  <c r="J421"/>
  <c r="J452"/>
  <c r="I278"/>
  <c r="I311"/>
  <c r="I347"/>
  <c r="I380"/>
  <c r="I411"/>
  <c r="I448"/>
  <c r="G270"/>
  <c r="G306"/>
  <c r="G339"/>
  <c r="G370"/>
  <c r="G407"/>
  <c r="G439"/>
  <c r="F265"/>
  <c r="F298"/>
  <c r="F329"/>
  <c r="F367"/>
  <c r="F398"/>
  <c r="F434"/>
  <c r="E257"/>
  <c r="E293"/>
  <c r="E326"/>
  <c r="E357"/>
  <c r="E394"/>
  <c r="E426"/>
  <c r="D252"/>
  <c r="D285"/>
  <c r="D316"/>
  <c r="D353"/>
  <c r="D385"/>
  <c r="D421"/>
  <c r="D454"/>
  <c r="C275"/>
  <c r="C313"/>
  <c r="C344"/>
  <c r="C380"/>
  <c r="C413"/>
  <c r="C449"/>
  <c r="L258"/>
  <c r="L293"/>
  <c r="L330"/>
  <c r="L365"/>
  <c r="L402"/>
  <c r="L435"/>
  <c r="K256"/>
  <c r="K293"/>
  <c r="K325"/>
  <c r="K361"/>
  <c r="K394"/>
  <c r="K425"/>
  <c r="J253"/>
  <c r="J284"/>
  <c r="J320"/>
  <c r="J353"/>
  <c r="J389"/>
  <c r="J422"/>
  <c r="J453"/>
  <c r="I280"/>
  <c r="I312"/>
  <c r="I348"/>
  <c r="I381"/>
  <c r="I412"/>
  <c r="I449"/>
  <c r="G271"/>
  <c r="G307"/>
  <c r="G340"/>
  <c r="G371"/>
  <c r="G409"/>
  <c r="G440"/>
  <c r="F266"/>
  <c r="F299"/>
  <c r="F335"/>
  <c r="F368"/>
  <c r="F399"/>
  <c r="F436"/>
  <c r="E258"/>
  <c r="E294"/>
  <c r="E327"/>
  <c r="E358"/>
  <c r="E395"/>
  <c r="E427"/>
  <c r="D253"/>
  <c r="D286"/>
  <c r="D317"/>
  <c r="D355"/>
  <c r="D386"/>
  <c r="D422"/>
  <c r="D455"/>
  <c r="C281"/>
  <c r="C314"/>
  <c r="C345"/>
  <c r="C382"/>
  <c r="C414"/>
  <c r="C450"/>
  <c r="L260"/>
  <c r="L295"/>
  <c r="L332"/>
  <c r="L367"/>
  <c r="L404"/>
  <c r="L437"/>
  <c r="K263"/>
  <c r="K296"/>
  <c r="K327"/>
  <c r="K364"/>
  <c r="K396"/>
  <c r="K432"/>
  <c r="J255"/>
  <c r="J286"/>
  <c r="J323"/>
  <c r="J355"/>
  <c r="J391"/>
  <c r="J424"/>
  <c r="J455"/>
  <c r="I283"/>
  <c r="I314"/>
  <c r="I350"/>
  <c r="I383"/>
  <c r="I419"/>
  <c r="I452"/>
  <c r="G273"/>
  <c r="G310"/>
  <c r="G342"/>
  <c r="G378"/>
  <c r="G411"/>
  <c r="G442"/>
  <c r="F269"/>
  <c r="F301"/>
  <c r="F337"/>
  <c r="F370"/>
  <c r="F401"/>
  <c r="F439"/>
  <c r="E260"/>
  <c r="E296"/>
  <c r="E329"/>
  <c r="E365"/>
  <c r="E398"/>
  <c r="E429"/>
  <c r="D256"/>
  <c r="D288"/>
  <c r="D324"/>
  <c r="D357"/>
  <c r="D388"/>
  <c r="D425"/>
  <c r="D457"/>
  <c r="C283"/>
  <c r="C316"/>
  <c r="C347"/>
  <c r="C385"/>
  <c r="C416"/>
  <c r="C452"/>
  <c r="G443"/>
  <c r="C284"/>
  <c r="C353"/>
  <c r="C386"/>
  <c r="C417"/>
  <c r="C454"/>
  <c r="L265"/>
  <c r="L297"/>
  <c r="L337"/>
  <c r="L369"/>
  <c r="L407"/>
  <c r="L439"/>
  <c r="K265"/>
  <c r="K298"/>
  <c r="K329"/>
  <c r="K367"/>
  <c r="K398"/>
  <c r="K434"/>
  <c r="J257"/>
  <c r="J293"/>
  <c r="J326"/>
  <c r="J357"/>
  <c r="J394"/>
  <c r="J426"/>
  <c r="I252"/>
  <c r="I285"/>
  <c r="I316"/>
  <c r="I353"/>
  <c r="I385"/>
  <c r="L263"/>
  <c r="L296"/>
  <c r="L335"/>
  <c r="L368"/>
  <c r="L406"/>
  <c r="L438"/>
  <c r="K264"/>
  <c r="K297"/>
  <c r="K328"/>
  <c r="K365"/>
  <c r="K397"/>
  <c r="K433"/>
  <c r="J256"/>
  <c r="J287"/>
  <c r="J325"/>
  <c r="J356"/>
  <c r="J392"/>
  <c r="J425"/>
  <c r="J461"/>
  <c r="I284"/>
  <c r="I315"/>
  <c r="I352"/>
  <c r="I384"/>
  <c r="I420"/>
  <c r="I453"/>
  <c r="G274"/>
  <c r="G311"/>
  <c r="G343"/>
  <c r="G379"/>
  <c r="G412"/>
  <c r="F271"/>
  <c r="F302"/>
  <c r="F338"/>
  <c r="F371"/>
  <c r="F407"/>
  <c r="F440"/>
  <c r="E261"/>
  <c r="E298"/>
  <c r="E330"/>
  <c r="E366"/>
  <c r="E399"/>
  <c r="E430"/>
  <c r="D257"/>
  <c r="D289"/>
  <c r="D325"/>
  <c r="D358"/>
  <c r="D389"/>
  <c r="D427"/>
  <c r="D458"/>
  <c r="C317"/>
  <c r="L272"/>
  <c r="L311"/>
  <c r="L344"/>
  <c r="L383"/>
  <c r="L415"/>
  <c r="L451"/>
  <c r="K274"/>
  <c r="K305"/>
  <c r="K343"/>
  <c r="K374"/>
  <c r="K410"/>
  <c r="K443"/>
  <c r="J269"/>
  <c r="J302"/>
  <c r="J333"/>
  <c r="J370"/>
  <c r="J402"/>
  <c r="J438"/>
  <c r="I261"/>
  <c r="I292"/>
  <c r="I329"/>
  <c r="I361"/>
  <c r="I397"/>
  <c r="I430"/>
  <c r="I461"/>
  <c r="G289"/>
  <c r="G320"/>
  <c r="G356"/>
  <c r="G389"/>
  <c r="G425"/>
  <c r="G458"/>
  <c r="F279"/>
  <c r="F316"/>
  <c r="F348"/>
  <c r="F384"/>
  <c r="F417"/>
  <c r="F448"/>
  <c r="E275"/>
  <c r="E307"/>
  <c r="E343"/>
  <c r="E376"/>
  <c r="E407"/>
  <c r="E445"/>
  <c r="D266"/>
  <c r="D302"/>
  <c r="D335"/>
  <c r="D371"/>
  <c r="D404"/>
  <c r="D435"/>
  <c r="C262"/>
  <c r="C294"/>
  <c r="C330"/>
  <c r="C363"/>
  <c r="C394"/>
  <c r="C431"/>
  <c r="L259"/>
  <c r="L308"/>
  <c r="L355"/>
  <c r="L403"/>
  <c r="L450"/>
  <c r="K280"/>
  <c r="K326"/>
  <c r="K373"/>
  <c r="K418"/>
  <c r="J254"/>
  <c r="J301"/>
  <c r="J344"/>
  <c r="J390"/>
  <c r="J437"/>
  <c r="I267"/>
  <c r="I313"/>
  <c r="I360"/>
  <c r="I405"/>
  <c r="I446"/>
  <c r="G283"/>
  <c r="G322"/>
  <c r="G365"/>
  <c r="G410"/>
  <c r="G454"/>
  <c r="F287"/>
  <c r="F325"/>
  <c r="F372"/>
  <c r="F415"/>
  <c r="F457"/>
  <c r="E285"/>
  <c r="E332"/>
  <c r="E375"/>
  <c r="E418"/>
  <c r="E455"/>
  <c r="D292"/>
  <c r="D336"/>
  <c r="D379"/>
  <c r="D420"/>
  <c r="C257"/>
  <c r="C296"/>
  <c r="C339"/>
  <c r="C383"/>
  <c r="C427"/>
  <c r="L266"/>
  <c r="L313"/>
  <c r="L356"/>
  <c r="L409"/>
  <c r="L452"/>
  <c r="K281"/>
  <c r="K335"/>
  <c r="K375"/>
  <c r="K419"/>
  <c r="J258"/>
  <c r="J303"/>
  <c r="J346"/>
  <c r="J395"/>
  <c r="J439"/>
  <c r="I268"/>
  <c r="I317"/>
  <c r="I362"/>
  <c r="I406"/>
  <c r="I451"/>
  <c r="G284"/>
  <c r="G323"/>
  <c r="G366"/>
  <c r="G413"/>
  <c r="G455"/>
  <c r="F288"/>
  <c r="F326"/>
  <c r="F373"/>
  <c r="F416"/>
  <c r="F458"/>
  <c r="E286"/>
  <c r="E333"/>
  <c r="E377"/>
  <c r="E419"/>
  <c r="E461"/>
  <c r="D293"/>
  <c r="D337"/>
  <c r="D380"/>
  <c r="D424"/>
  <c r="C258"/>
  <c r="C297"/>
  <c r="C340"/>
  <c r="C387"/>
  <c r="L267"/>
  <c r="L314"/>
  <c r="L359"/>
  <c r="L410"/>
  <c r="L454"/>
  <c r="K287"/>
  <c r="K336"/>
  <c r="K376"/>
  <c r="K420"/>
  <c r="J259"/>
  <c r="J304"/>
  <c r="J347"/>
  <c r="J397"/>
  <c r="J440"/>
  <c r="I269"/>
  <c r="I323"/>
  <c r="I363"/>
  <c r="I407"/>
  <c r="I454"/>
  <c r="G286"/>
  <c r="G329"/>
  <c r="G367"/>
  <c r="G414"/>
  <c r="G457"/>
  <c r="F289"/>
  <c r="F327"/>
  <c r="F374"/>
  <c r="F418"/>
  <c r="F460"/>
  <c r="E287"/>
  <c r="E334"/>
  <c r="S334" s="1"/>
  <c r="E378"/>
  <c r="E421"/>
  <c r="D254"/>
  <c r="D299"/>
  <c r="D338"/>
  <c r="D381"/>
  <c r="D428"/>
  <c r="C259"/>
  <c r="C298"/>
  <c r="C341"/>
  <c r="C388"/>
  <c r="C430"/>
  <c r="L268"/>
  <c r="L315"/>
  <c r="L361"/>
  <c r="L411"/>
  <c r="L455"/>
  <c r="K288"/>
  <c r="K337"/>
  <c r="K377"/>
  <c r="K421"/>
  <c r="J260"/>
  <c r="J305"/>
  <c r="J349"/>
  <c r="J398"/>
  <c r="J442"/>
  <c r="I275"/>
  <c r="I324"/>
  <c r="I364"/>
  <c r="I408"/>
  <c r="I455"/>
  <c r="G287"/>
  <c r="G330"/>
  <c r="G368"/>
  <c r="G415"/>
  <c r="G459"/>
  <c r="F290"/>
  <c r="F328"/>
  <c r="F375"/>
  <c r="F419"/>
  <c r="F461"/>
  <c r="E295"/>
  <c r="E335"/>
  <c r="E379"/>
  <c r="E422"/>
  <c r="D259"/>
  <c r="D300"/>
  <c r="D339"/>
  <c r="D382"/>
  <c r="D429"/>
  <c r="C260"/>
  <c r="C299"/>
  <c r="C342"/>
  <c r="C389"/>
  <c r="C433"/>
  <c r="L269"/>
  <c r="L316"/>
  <c r="L362"/>
  <c r="L412"/>
  <c r="L457"/>
  <c r="K289"/>
  <c r="K338"/>
  <c r="K383"/>
  <c r="K422"/>
  <c r="J261"/>
  <c r="J306"/>
  <c r="J350"/>
  <c r="J399"/>
  <c r="J443"/>
  <c r="I276"/>
  <c r="I325"/>
  <c r="I365"/>
  <c r="I409"/>
  <c r="I456"/>
  <c r="G290"/>
  <c r="G331"/>
  <c r="G369"/>
  <c r="G416"/>
  <c r="G460"/>
  <c r="F292"/>
  <c r="F336"/>
  <c r="F376"/>
  <c r="F420"/>
  <c r="E253"/>
  <c r="E299"/>
  <c r="E341"/>
  <c r="E380"/>
  <c r="E423"/>
  <c r="D260"/>
  <c r="D301"/>
  <c r="D340"/>
  <c r="D383"/>
  <c r="D430"/>
  <c r="C263"/>
  <c r="C305"/>
  <c r="C343"/>
  <c r="C390"/>
  <c r="C434"/>
  <c r="L270"/>
  <c r="L317"/>
  <c r="L363"/>
  <c r="L413"/>
  <c r="L458"/>
  <c r="K290"/>
  <c r="K340"/>
  <c r="K384"/>
  <c r="K423"/>
  <c r="J262"/>
  <c r="J307"/>
  <c r="J351"/>
  <c r="J400"/>
  <c r="J445"/>
  <c r="I277"/>
  <c r="I326"/>
  <c r="I371"/>
  <c r="I410"/>
  <c r="I457"/>
  <c r="G291"/>
  <c r="G332"/>
  <c r="G377"/>
  <c r="G417"/>
  <c r="G461"/>
  <c r="F293"/>
  <c r="F340"/>
  <c r="F377"/>
  <c r="F421"/>
  <c r="E254"/>
  <c r="E301"/>
  <c r="E342"/>
  <c r="E381"/>
  <c r="E424"/>
  <c r="D261"/>
  <c r="L271"/>
  <c r="L318"/>
  <c r="L366"/>
  <c r="L414"/>
  <c r="L459"/>
  <c r="K295"/>
  <c r="K341"/>
  <c r="K385"/>
  <c r="K431"/>
  <c r="J263"/>
  <c r="J308"/>
  <c r="J354"/>
  <c r="J401"/>
  <c r="J446"/>
  <c r="I281"/>
  <c r="I328"/>
  <c r="I372"/>
  <c r="I413"/>
  <c r="I458"/>
  <c r="G292"/>
  <c r="G334"/>
  <c r="G380"/>
  <c r="G418"/>
  <c r="F252"/>
  <c r="F295"/>
  <c r="F341"/>
  <c r="F383"/>
  <c r="F422"/>
  <c r="E255"/>
  <c r="E302"/>
  <c r="E344"/>
  <c r="E382"/>
  <c r="E425"/>
  <c r="D262"/>
  <c r="D305"/>
  <c r="D347"/>
  <c r="D387"/>
  <c r="D432"/>
  <c r="C266"/>
  <c r="C307"/>
  <c r="C354"/>
  <c r="C392"/>
  <c r="C436"/>
  <c r="L273"/>
  <c r="L319"/>
  <c r="L370"/>
  <c r="L416"/>
  <c r="L460"/>
  <c r="K299"/>
  <c r="K344"/>
  <c r="K386"/>
  <c r="K436"/>
  <c r="J270"/>
  <c r="J309"/>
  <c r="J358"/>
  <c r="J403"/>
  <c r="J447"/>
  <c r="I286"/>
  <c r="I331"/>
  <c r="I373"/>
  <c r="I421"/>
  <c r="I459"/>
  <c r="G293"/>
  <c r="G335"/>
  <c r="G382"/>
  <c r="G419"/>
  <c r="F253"/>
  <c r="F296"/>
  <c r="F343"/>
  <c r="F385"/>
  <c r="F423"/>
  <c r="L274"/>
  <c r="L341"/>
  <c r="L417"/>
  <c r="K271"/>
  <c r="K345"/>
  <c r="K407"/>
  <c r="J271"/>
  <c r="J330"/>
  <c r="J404"/>
  <c r="I257"/>
  <c r="I332"/>
  <c r="I389"/>
  <c r="I460"/>
  <c r="G313"/>
  <c r="G383"/>
  <c r="G436"/>
  <c r="F297"/>
  <c r="F353"/>
  <c r="F424"/>
  <c r="E274"/>
  <c r="E328"/>
  <c r="E397"/>
  <c r="E450"/>
  <c r="D308"/>
  <c r="D361"/>
  <c r="D411"/>
  <c r="C268"/>
  <c r="C321"/>
  <c r="C371"/>
  <c r="C437"/>
  <c r="L343"/>
  <c r="L353"/>
  <c r="L354"/>
  <c r="L275"/>
  <c r="L342"/>
  <c r="L418"/>
  <c r="K272"/>
  <c r="K346"/>
  <c r="K408"/>
  <c r="J272"/>
  <c r="J331"/>
  <c r="J405"/>
  <c r="I259"/>
  <c r="I333"/>
  <c r="I395"/>
  <c r="G257"/>
  <c r="G314"/>
  <c r="G385"/>
  <c r="G437"/>
  <c r="F300"/>
  <c r="F359"/>
  <c r="F425"/>
  <c r="E277"/>
  <c r="E331"/>
  <c r="E400"/>
  <c r="E451"/>
  <c r="D309"/>
  <c r="D362"/>
  <c r="D412"/>
  <c r="C269"/>
  <c r="C322"/>
  <c r="C377"/>
  <c r="C438"/>
  <c r="L281"/>
  <c r="L419"/>
  <c r="K273"/>
  <c r="K347"/>
  <c r="K409"/>
  <c r="J274"/>
  <c r="J332"/>
  <c r="J406"/>
  <c r="I260"/>
  <c r="I334"/>
  <c r="I396"/>
  <c r="G258"/>
  <c r="G315"/>
  <c r="G386"/>
  <c r="G438"/>
  <c r="F303"/>
  <c r="F360"/>
  <c r="F431"/>
  <c r="E278"/>
  <c r="E346"/>
  <c r="E401"/>
  <c r="E452"/>
  <c r="D310"/>
  <c r="D363"/>
  <c r="D413"/>
  <c r="C270"/>
  <c r="C323"/>
  <c r="C378"/>
  <c r="C439"/>
  <c r="L428"/>
  <c r="L430"/>
  <c r="L282"/>
  <c r="L345"/>
  <c r="L425"/>
  <c r="K275"/>
  <c r="K348"/>
  <c r="K412"/>
  <c r="J275"/>
  <c r="J334"/>
  <c r="J407"/>
  <c r="I262"/>
  <c r="I335"/>
  <c r="I398"/>
  <c r="G259"/>
  <c r="G316"/>
  <c r="G387"/>
  <c r="G441"/>
  <c r="F304"/>
  <c r="F361"/>
  <c r="F432"/>
  <c r="E279"/>
  <c r="E347"/>
  <c r="S347" s="1"/>
  <c r="E402"/>
  <c r="E453"/>
  <c r="D311"/>
  <c r="D364"/>
  <c r="D419"/>
  <c r="C271"/>
  <c r="C329"/>
  <c r="C379"/>
  <c r="C440"/>
  <c r="L347"/>
  <c r="L427"/>
  <c r="K277"/>
  <c r="K350"/>
  <c r="K415"/>
  <c r="J278"/>
  <c r="J341"/>
  <c r="J414"/>
  <c r="I264"/>
  <c r="I337"/>
  <c r="I401"/>
  <c r="G262"/>
  <c r="G318"/>
  <c r="G390"/>
  <c r="G450"/>
  <c r="F311"/>
  <c r="F364"/>
  <c r="F437"/>
  <c r="E281"/>
  <c r="E350"/>
  <c r="E404"/>
  <c r="D263"/>
  <c r="D313"/>
  <c r="D372"/>
  <c r="D433"/>
  <c r="C273"/>
  <c r="C332"/>
  <c r="C393"/>
  <c r="C442"/>
  <c r="L287"/>
  <c r="K351"/>
  <c r="K416"/>
  <c r="J279"/>
  <c r="J342"/>
  <c r="J415"/>
  <c r="I265"/>
  <c r="I338"/>
  <c r="I403"/>
  <c r="G263"/>
  <c r="G319"/>
  <c r="G391"/>
  <c r="G451"/>
  <c r="F312"/>
  <c r="U312" s="1"/>
  <c r="F365"/>
  <c r="F441"/>
  <c r="E282"/>
  <c r="E351"/>
  <c r="E405"/>
  <c r="D264"/>
  <c r="D314"/>
  <c r="D373"/>
  <c r="D434"/>
  <c r="C274"/>
  <c r="C334"/>
  <c r="C395"/>
  <c r="C443"/>
  <c r="L289"/>
  <c r="K352"/>
  <c r="K417"/>
  <c r="J280"/>
  <c r="J343"/>
  <c r="J416"/>
  <c r="I266"/>
  <c r="I339"/>
  <c r="I404"/>
  <c r="G265"/>
  <c r="G321"/>
  <c r="G392"/>
  <c r="G452"/>
  <c r="F313"/>
  <c r="F369"/>
  <c r="F442"/>
  <c r="E283"/>
  <c r="E352"/>
  <c r="E406"/>
  <c r="D265"/>
  <c r="D315"/>
  <c r="D374"/>
  <c r="D436"/>
  <c r="C282"/>
  <c r="C335"/>
  <c r="C401"/>
  <c r="C451"/>
  <c r="L283"/>
  <c r="L346"/>
  <c r="L426"/>
  <c r="K276"/>
  <c r="K349"/>
  <c r="K413"/>
  <c r="J277"/>
  <c r="J335"/>
  <c r="J413"/>
  <c r="I263"/>
  <c r="I336"/>
  <c r="I400"/>
  <c r="G260"/>
  <c r="G317"/>
  <c r="G388"/>
  <c r="G449"/>
  <c r="F305"/>
  <c r="F362"/>
  <c r="F433"/>
  <c r="E280"/>
  <c r="E349"/>
  <c r="E403"/>
  <c r="E454"/>
  <c r="D312"/>
  <c r="D365"/>
  <c r="D431"/>
  <c r="C272"/>
  <c r="C331"/>
  <c r="C391"/>
  <c r="C441"/>
  <c r="L284"/>
  <c r="K278"/>
  <c r="K279"/>
  <c r="L299"/>
  <c r="L380"/>
  <c r="L441"/>
  <c r="K304"/>
  <c r="K369"/>
  <c r="K442"/>
  <c r="J295"/>
  <c r="J368"/>
  <c r="J428"/>
  <c r="I291"/>
  <c r="I356"/>
  <c r="I428"/>
  <c r="G272"/>
  <c r="G345"/>
  <c r="G402"/>
  <c r="F263"/>
  <c r="F321"/>
  <c r="F392"/>
  <c r="F447"/>
  <c r="E306"/>
  <c r="E359"/>
  <c r="E428"/>
  <c r="D276"/>
  <c r="D331"/>
  <c r="D396"/>
  <c r="D446"/>
  <c r="C291"/>
  <c r="C356"/>
  <c r="C407"/>
  <c r="C460"/>
  <c r="L305"/>
  <c r="L385"/>
  <c r="L442"/>
  <c r="K311"/>
  <c r="K370"/>
  <c r="K444"/>
  <c r="J296"/>
  <c r="J371"/>
  <c r="J429"/>
  <c r="I293"/>
  <c r="I357"/>
  <c r="I429"/>
  <c r="G275"/>
  <c r="G346"/>
  <c r="G403"/>
  <c r="F264"/>
  <c r="F322"/>
  <c r="F393"/>
  <c r="F449"/>
  <c r="E308"/>
  <c r="E367"/>
  <c r="E431"/>
  <c r="D277"/>
  <c r="D332"/>
  <c r="D397"/>
  <c r="D448"/>
  <c r="C292"/>
  <c r="C358"/>
  <c r="C409"/>
  <c r="C461"/>
  <c r="L306"/>
  <c r="L386"/>
  <c r="L443"/>
  <c r="K312"/>
  <c r="K371"/>
  <c r="K445"/>
  <c r="J298"/>
  <c r="J373"/>
  <c r="J430"/>
  <c r="I299"/>
  <c r="I358"/>
  <c r="I431"/>
  <c r="G281"/>
  <c r="G347"/>
  <c r="G404"/>
  <c r="F268"/>
  <c r="F323"/>
  <c r="F394"/>
  <c r="F455"/>
  <c r="E309"/>
  <c r="S309" s="1"/>
  <c r="E368"/>
  <c r="E437"/>
  <c r="D278"/>
  <c r="D333"/>
  <c r="D398"/>
  <c r="L290"/>
  <c r="L394"/>
  <c r="K320"/>
  <c r="K449"/>
  <c r="J375"/>
  <c r="I290"/>
  <c r="I424"/>
  <c r="G308"/>
  <c r="G433"/>
  <c r="F347"/>
  <c r="E259"/>
  <c r="E370"/>
  <c r="D269"/>
  <c r="D376"/>
  <c r="D461"/>
  <c r="C364"/>
  <c r="C459"/>
  <c r="L294"/>
  <c r="K322"/>
  <c r="K456"/>
  <c r="J377"/>
  <c r="I301"/>
  <c r="I427"/>
  <c r="G338"/>
  <c r="G435"/>
  <c r="F350"/>
  <c r="E263"/>
  <c r="E373"/>
  <c r="D280"/>
  <c r="D384"/>
  <c r="C267"/>
  <c r="C366"/>
  <c r="K362"/>
  <c r="K368"/>
  <c r="I308"/>
  <c r="F272"/>
  <c r="E391"/>
  <c r="C293"/>
  <c r="J285"/>
  <c r="G358"/>
  <c r="E303"/>
  <c r="C295"/>
  <c r="J294"/>
  <c r="J419"/>
  <c r="I310"/>
  <c r="I443"/>
  <c r="F274"/>
  <c r="E413"/>
  <c r="D407"/>
  <c r="K389"/>
  <c r="J423"/>
  <c r="G361"/>
  <c r="E305"/>
  <c r="S305" s="1"/>
  <c r="C406"/>
  <c r="J310"/>
  <c r="F276"/>
  <c r="D323"/>
  <c r="C310"/>
  <c r="G297"/>
  <c r="K446"/>
  <c r="E355"/>
  <c r="I289"/>
  <c r="L291"/>
  <c r="L395"/>
  <c r="K321"/>
  <c r="K455"/>
  <c r="J376"/>
  <c r="I300"/>
  <c r="I425"/>
  <c r="G337"/>
  <c r="G434"/>
  <c r="F349"/>
  <c r="E262"/>
  <c r="E371"/>
  <c r="D275"/>
  <c r="D377"/>
  <c r="C265"/>
  <c r="C365"/>
  <c r="L431"/>
  <c r="J281"/>
  <c r="J282"/>
  <c r="L323"/>
  <c r="I309"/>
  <c r="E392"/>
  <c r="L331"/>
  <c r="F395"/>
  <c r="L338"/>
  <c r="I444"/>
  <c r="D307"/>
  <c r="L339"/>
  <c r="E415"/>
  <c r="I256"/>
  <c r="I387"/>
  <c r="K447"/>
  <c r="F345"/>
  <c r="D359"/>
  <c r="D459"/>
  <c r="L393"/>
  <c r="E356"/>
  <c r="I341"/>
  <c r="F445"/>
  <c r="L298"/>
  <c r="L433"/>
  <c r="K323"/>
  <c r="K457"/>
  <c r="J378"/>
  <c r="I302"/>
  <c r="I432"/>
  <c r="G341"/>
  <c r="F254"/>
  <c r="F351"/>
  <c r="E269"/>
  <c r="E374"/>
  <c r="D281"/>
  <c r="D395"/>
  <c r="C286"/>
  <c r="C367"/>
  <c r="L440"/>
  <c r="L321"/>
  <c r="I435"/>
  <c r="E272"/>
  <c r="D403"/>
  <c r="C370"/>
  <c r="L322"/>
  <c r="I436"/>
  <c r="F389"/>
  <c r="D405"/>
  <c r="K372"/>
  <c r="J418"/>
  <c r="I437"/>
  <c r="F391"/>
  <c r="D291"/>
  <c r="C403"/>
  <c r="K253"/>
  <c r="G359"/>
  <c r="D304"/>
  <c r="C404"/>
  <c r="K254"/>
  <c r="I340"/>
  <c r="F396"/>
  <c r="D408"/>
  <c r="K391"/>
  <c r="F397"/>
  <c r="D409"/>
  <c r="J365"/>
  <c r="J366"/>
  <c r="K317"/>
  <c r="D267"/>
  <c r="K448"/>
  <c r="F346"/>
  <c r="D460"/>
  <c r="L307"/>
  <c r="L436"/>
  <c r="K353"/>
  <c r="K458"/>
  <c r="J379"/>
  <c r="I304"/>
  <c r="I433"/>
  <c r="G344"/>
  <c r="F255"/>
  <c r="F352"/>
  <c r="E270"/>
  <c r="E383"/>
  <c r="D283"/>
  <c r="D400"/>
  <c r="C287"/>
  <c r="C368"/>
  <c r="L320"/>
  <c r="K359"/>
  <c r="K460"/>
  <c r="J380"/>
  <c r="I305"/>
  <c r="I434"/>
  <c r="G353"/>
  <c r="F256"/>
  <c r="F386"/>
  <c r="E271"/>
  <c r="E389"/>
  <c r="D284"/>
  <c r="D401"/>
  <c r="C289"/>
  <c r="C369"/>
  <c r="L449"/>
  <c r="J381"/>
  <c r="I307"/>
  <c r="G354"/>
  <c r="F257"/>
  <c r="F388"/>
  <c r="E390"/>
  <c r="D287"/>
  <c r="C290"/>
  <c r="L461"/>
  <c r="J382"/>
  <c r="G355"/>
  <c r="E284"/>
  <c r="D290"/>
  <c r="C402"/>
  <c r="K252"/>
  <c r="F273"/>
  <c r="D406"/>
  <c r="K388"/>
  <c r="E304"/>
  <c r="C306"/>
  <c r="J299"/>
  <c r="F275"/>
  <c r="E414"/>
  <c r="C308"/>
  <c r="K257"/>
  <c r="E310"/>
  <c r="C410"/>
  <c r="I386"/>
  <c r="I287"/>
  <c r="L392"/>
  <c r="F456"/>
  <c r="C361"/>
  <c r="K319"/>
  <c r="G305"/>
  <c r="D268"/>
  <c r="C458"/>
  <c r="J427"/>
  <c r="K316"/>
  <c r="G362"/>
  <c r="G299"/>
  <c r="I445"/>
  <c r="G427"/>
  <c r="I288"/>
  <c r="I388"/>
  <c r="L340"/>
  <c r="K266"/>
  <c r="K392"/>
  <c r="J311"/>
  <c r="J431"/>
  <c r="I349"/>
  <c r="G266"/>
  <c r="G363"/>
  <c r="F277"/>
  <c r="F400"/>
  <c r="E311"/>
  <c r="E416"/>
  <c r="D326"/>
  <c r="D410"/>
  <c r="C311"/>
  <c r="C411"/>
  <c r="L371"/>
  <c r="K268"/>
  <c r="K395"/>
  <c r="J317"/>
  <c r="J448"/>
  <c r="I355"/>
  <c r="G267"/>
  <c r="G364"/>
  <c r="F278"/>
  <c r="F408"/>
  <c r="E317"/>
  <c r="E438"/>
  <c r="D328"/>
  <c r="D437"/>
  <c r="C315"/>
  <c r="C412"/>
  <c r="L377"/>
  <c r="K269"/>
  <c r="K399"/>
  <c r="J318"/>
  <c r="J449"/>
  <c r="I359"/>
  <c r="G268"/>
  <c r="G393"/>
  <c r="F280"/>
  <c r="F409"/>
  <c r="E318"/>
  <c r="E439"/>
  <c r="D329"/>
  <c r="D443"/>
  <c r="C318"/>
  <c r="C415"/>
  <c r="L378"/>
  <c r="K300"/>
  <c r="K400"/>
  <c r="J322"/>
  <c r="J450"/>
  <c r="I374"/>
  <c r="G269"/>
  <c r="G394"/>
  <c r="F281"/>
  <c r="F410"/>
  <c r="E319"/>
  <c r="E440"/>
  <c r="D334"/>
  <c r="D444"/>
  <c r="C319"/>
  <c r="C418"/>
  <c r="L379"/>
  <c r="K301"/>
  <c r="K401"/>
  <c r="J327"/>
  <c r="J451"/>
  <c r="I376"/>
  <c r="G282"/>
  <c r="G395"/>
  <c r="F314"/>
  <c r="F412"/>
  <c r="E320"/>
  <c r="E442"/>
  <c r="D341"/>
  <c r="D445"/>
  <c r="C320"/>
  <c r="C419"/>
  <c r="L387"/>
  <c r="K302"/>
  <c r="K437"/>
  <c r="J328"/>
  <c r="J454"/>
  <c r="I377"/>
  <c r="G294"/>
  <c r="G401"/>
  <c r="F317"/>
  <c r="U317" s="1"/>
  <c r="F413"/>
  <c r="E322"/>
  <c r="E443"/>
  <c r="D348"/>
  <c r="D449"/>
  <c r="C337"/>
  <c r="C425"/>
  <c r="L388"/>
  <c r="K303"/>
  <c r="K439"/>
  <c r="J329"/>
  <c r="I253"/>
  <c r="I379"/>
  <c r="G295"/>
  <c r="G406"/>
  <c r="F319"/>
  <c r="F443"/>
  <c r="E323"/>
  <c r="E446"/>
  <c r="D349"/>
  <c r="D451"/>
  <c r="C338"/>
  <c r="C426"/>
  <c r="L389"/>
  <c r="K313"/>
  <c r="K440"/>
  <c r="J359"/>
  <c r="I254"/>
  <c r="I382"/>
  <c r="G296"/>
  <c r="G426"/>
  <c r="F320"/>
  <c r="F444"/>
  <c r="E325"/>
  <c r="E447"/>
  <c r="D350"/>
  <c r="D452"/>
  <c r="C346"/>
  <c r="C428"/>
  <c r="L390"/>
  <c r="F324"/>
  <c r="E353"/>
  <c r="E448"/>
  <c r="D352"/>
  <c r="D453"/>
  <c r="C355"/>
  <c r="C435"/>
  <c r="L391"/>
  <c r="G298"/>
  <c r="G428"/>
  <c r="F344"/>
  <c r="F446"/>
  <c r="U446" s="1"/>
  <c r="E354"/>
  <c r="E449"/>
  <c r="D356"/>
  <c r="D456"/>
  <c r="C359"/>
  <c r="C455"/>
  <c r="J367"/>
  <c r="C457"/>
  <c r="J374"/>
  <c r="I422"/>
  <c r="G431"/>
  <c r="E256"/>
  <c r="D360"/>
  <c r="C362"/>
  <c r="K441"/>
  <c r="K314"/>
  <c r="G430"/>
  <c r="J47"/>
  <c r="I107"/>
  <c r="J88"/>
  <c r="J140"/>
  <c r="D18"/>
  <c r="F59"/>
  <c r="G99"/>
  <c r="J120"/>
  <c r="L162"/>
  <c r="G59"/>
  <c r="L196"/>
  <c r="C207"/>
  <c r="G13" i="5"/>
  <c r="X13" s="1"/>
  <c r="C29"/>
  <c r="T29" s="1"/>
  <c r="C34"/>
  <c r="T34" s="1"/>
  <c r="D39"/>
  <c r="U39" s="1"/>
  <c r="G44"/>
  <c r="X44" s="1"/>
  <c r="G49"/>
  <c r="X49" s="1"/>
  <c r="F60"/>
  <c r="W60" s="1"/>
  <c r="E65"/>
  <c r="V65" s="1"/>
  <c r="G80"/>
  <c r="X80" s="1"/>
  <c r="D92"/>
  <c r="U92" s="1"/>
  <c r="F98"/>
  <c r="W98" s="1"/>
  <c r="E103"/>
  <c r="V103" s="1"/>
  <c r="F108"/>
  <c r="W108" s="1"/>
  <c r="G114"/>
  <c r="X114" s="1"/>
  <c r="F127"/>
  <c r="W127" s="1"/>
  <c r="E132"/>
  <c r="V132" s="1"/>
  <c r="E137"/>
  <c r="V137" s="1"/>
  <c r="G143"/>
  <c r="X143" s="1"/>
  <c r="C161"/>
  <c r="G167"/>
  <c r="X167" s="1"/>
  <c r="F173"/>
  <c r="W173" s="1"/>
  <c r="C184"/>
  <c r="T184" s="1"/>
  <c r="G208"/>
  <c r="X208" s="1"/>
  <c r="F215"/>
  <c r="W215" s="1"/>
  <c r="E221"/>
  <c r="V221" s="1"/>
  <c r="F234"/>
  <c r="W234" s="1"/>
  <c r="F240"/>
  <c r="W240" s="1"/>
  <c r="D246"/>
  <c r="U246" s="1"/>
  <c r="C16"/>
  <c r="T16" s="1"/>
  <c r="F26"/>
  <c r="W26" s="1"/>
  <c r="D31"/>
  <c r="U31" s="1"/>
  <c r="D36"/>
  <c r="U36" s="1"/>
  <c r="C47"/>
  <c r="T47" s="1"/>
  <c r="G52"/>
  <c r="X52" s="1"/>
  <c r="G57"/>
  <c r="X57" s="1"/>
  <c r="C63"/>
  <c r="T63" s="1"/>
  <c r="D73"/>
  <c r="U73" s="1"/>
  <c r="F78"/>
  <c r="W78" s="1"/>
  <c r="C95"/>
  <c r="T95" s="1"/>
  <c r="G100"/>
  <c r="X100" s="1"/>
  <c r="E111"/>
  <c r="V111" s="1"/>
  <c r="D117"/>
  <c r="U117" s="1"/>
  <c r="E129"/>
  <c r="V129" s="1"/>
  <c r="F140"/>
  <c r="W140" s="1"/>
  <c r="D146"/>
  <c r="U146" s="1"/>
  <c r="C152"/>
  <c r="T152" s="1"/>
  <c r="D163"/>
  <c r="U163" s="1"/>
  <c r="D193"/>
  <c r="U193" s="1"/>
  <c r="C199"/>
  <c r="T199" s="1"/>
  <c r="F205"/>
  <c r="W205" s="1"/>
  <c r="C243"/>
  <c r="T243" s="1"/>
  <c r="C249"/>
  <c r="T249" s="1"/>
  <c r="F111"/>
  <c r="W111" s="1"/>
  <c r="E117"/>
  <c r="V117" s="1"/>
  <c r="F129"/>
  <c r="W129" s="1"/>
  <c r="G140"/>
  <c r="X140" s="1"/>
  <c r="E146"/>
  <c r="V146" s="1"/>
  <c r="D152"/>
  <c r="U152" s="1"/>
  <c r="C170"/>
  <c r="T170" s="1"/>
  <c r="C187"/>
  <c r="T187" s="1"/>
  <c r="E193"/>
  <c r="V193" s="1"/>
  <c r="G205"/>
  <c r="X205" s="1"/>
  <c r="D212"/>
  <c r="U212" s="1"/>
  <c r="F249"/>
  <c r="W249" s="1"/>
  <c r="E16"/>
  <c r="V16" s="1"/>
  <c r="D21"/>
  <c r="U21" s="1"/>
  <c r="F31"/>
  <c r="W31" s="1"/>
  <c r="F36"/>
  <c r="W36" s="1"/>
  <c r="F42"/>
  <c r="W42" s="1"/>
  <c r="E47"/>
  <c r="V47" s="1"/>
  <c r="E63"/>
  <c r="V63" s="1"/>
  <c r="G68"/>
  <c r="X68" s="1"/>
  <c r="G89"/>
  <c r="X89" s="1"/>
  <c r="E95"/>
  <c r="V95" s="1"/>
  <c r="E106"/>
  <c r="V106" s="1"/>
  <c r="G111"/>
  <c r="X111" s="1"/>
  <c r="F146"/>
  <c r="W146" s="1"/>
  <c r="D158"/>
  <c r="U158" s="1"/>
  <c r="D170"/>
  <c r="U170" s="1"/>
  <c r="F176"/>
  <c r="W176" s="1"/>
  <c r="C182"/>
  <c r="T182" s="1"/>
  <c r="D187"/>
  <c r="U187" s="1"/>
  <c r="F193"/>
  <c r="W193" s="1"/>
  <c r="C219"/>
  <c r="T219" s="1"/>
  <c r="D231"/>
  <c r="U231" s="1"/>
  <c r="C237"/>
  <c r="T237" s="1"/>
  <c r="G35" i="6"/>
  <c r="E50"/>
  <c r="G79"/>
  <c r="D135"/>
  <c r="L169"/>
  <c r="E178"/>
  <c r="D187"/>
  <c r="K196"/>
  <c r="L206"/>
  <c r="F214"/>
  <c r="C222"/>
  <c r="L251"/>
  <c r="F29"/>
  <c r="J43"/>
  <c r="M50"/>
  <c r="J79"/>
  <c r="C95"/>
  <c r="M111"/>
  <c r="E161"/>
  <c r="G187"/>
  <c r="L214"/>
  <c r="C10"/>
  <c r="E17"/>
  <c r="G31"/>
  <c r="C38"/>
  <c r="K52"/>
  <c r="L66"/>
  <c r="D113"/>
  <c r="I121"/>
  <c r="E155"/>
  <c r="K172"/>
  <c r="I244"/>
  <c r="E10"/>
  <c r="J17"/>
  <c r="I31"/>
  <c r="E38"/>
  <c r="M66"/>
  <c r="C97"/>
  <c r="E113"/>
  <c r="J121"/>
  <c r="K147"/>
  <c r="F155"/>
  <c r="G181"/>
  <c r="D235"/>
  <c r="F10"/>
  <c r="D13" i="5"/>
  <c r="U13" s="1"/>
  <c r="F17"/>
  <c r="W17" s="1"/>
  <c r="G26"/>
  <c r="X26" s="1"/>
  <c r="F39"/>
  <c r="W39" s="1"/>
  <c r="G48"/>
  <c r="X48" s="1"/>
  <c r="D53"/>
  <c r="U53" s="1"/>
  <c r="E57"/>
  <c r="V57" s="1"/>
  <c r="F61"/>
  <c r="W61" s="1"/>
  <c r="E84"/>
  <c r="V84" s="1"/>
  <c r="D99"/>
  <c r="U99" s="1"/>
  <c r="G103"/>
  <c r="X103" s="1"/>
  <c r="C108"/>
  <c r="T108" s="1"/>
  <c r="E128"/>
  <c r="V128" s="1"/>
  <c r="F137"/>
  <c r="W137" s="1"/>
  <c r="G142"/>
  <c r="X142" s="1"/>
  <c r="C153"/>
  <c r="T153" s="1"/>
  <c r="F183"/>
  <c r="W183" s="1"/>
  <c r="C188"/>
  <c r="T188" s="1"/>
  <c r="G193"/>
  <c r="X193" s="1"/>
  <c r="D199"/>
  <c r="U199" s="1"/>
  <c r="G204"/>
  <c r="X204" s="1"/>
  <c r="F209"/>
  <c r="W209" s="1"/>
  <c r="C215"/>
  <c r="T215" s="1"/>
  <c r="G241"/>
  <c r="X241" s="1"/>
  <c r="G10" i="6"/>
  <c r="M17"/>
  <c r="G46"/>
  <c r="F60"/>
  <c r="G75"/>
  <c r="C82"/>
  <c r="F90"/>
  <c r="L113"/>
  <c r="L121"/>
  <c r="D129"/>
  <c r="K173"/>
  <c r="L181"/>
  <c r="I226"/>
  <c r="D245"/>
  <c r="K17"/>
  <c r="M24"/>
  <c r="M31"/>
  <c r="E46"/>
  <c r="E60"/>
  <c r="F75"/>
  <c r="I113"/>
  <c r="K121"/>
  <c r="C129"/>
  <c r="G155"/>
  <c r="I181"/>
  <c r="F226"/>
  <c r="F235"/>
  <c r="E13" i="5"/>
  <c r="V13" s="1"/>
  <c r="G17"/>
  <c r="X17" s="1"/>
  <c r="C22"/>
  <c r="T22" s="1"/>
  <c r="C31"/>
  <c r="T31" s="1"/>
  <c r="C35"/>
  <c r="T35" s="1"/>
  <c r="G39"/>
  <c r="X39" s="1"/>
  <c r="E53"/>
  <c r="V53" s="1"/>
  <c r="F57"/>
  <c r="W57" s="1"/>
  <c r="G61"/>
  <c r="X61" s="1"/>
  <c r="G66"/>
  <c r="X66" s="1"/>
  <c r="C75"/>
  <c r="T75" s="1"/>
  <c r="F84"/>
  <c r="W84" s="1"/>
  <c r="F89"/>
  <c r="W89" s="1"/>
  <c r="E99"/>
  <c r="V99" s="1"/>
  <c r="D108"/>
  <c r="U108" s="1"/>
  <c r="C113"/>
  <c r="T113" s="1"/>
  <c r="G118"/>
  <c r="X118" s="1"/>
  <c r="C123"/>
  <c r="T123" s="1"/>
  <c r="F128"/>
  <c r="W128" s="1"/>
  <c r="D153"/>
  <c r="U153" s="1"/>
  <c r="D169"/>
  <c r="U169" s="1"/>
  <c r="D188"/>
  <c r="U188" s="1"/>
  <c r="E199"/>
  <c r="V199" s="1"/>
  <c r="G209"/>
  <c r="X209" s="1"/>
  <c r="D215"/>
  <c r="U215" s="1"/>
  <c r="C226"/>
  <c r="T226" s="1"/>
  <c r="C231"/>
  <c r="T231" s="1"/>
  <c r="C248"/>
  <c r="T248" s="1"/>
  <c r="K10" i="6"/>
  <c r="I46"/>
  <c r="J60"/>
  <c r="I67"/>
  <c r="I75"/>
  <c r="M90"/>
  <c r="C106"/>
  <c r="M121"/>
  <c r="M173"/>
  <c r="D210"/>
  <c r="L10"/>
  <c r="D25"/>
  <c r="C32"/>
  <c r="C54"/>
  <c r="J75"/>
  <c r="I165"/>
  <c r="M210"/>
  <c r="C18"/>
  <c r="J25"/>
  <c r="C40"/>
  <c r="D54"/>
  <c r="K83"/>
  <c r="D99"/>
  <c r="F140"/>
  <c r="D219"/>
  <c r="J13"/>
  <c r="K47"/>
  <c r="M62"/>
  <c r="L69"/>
  <c r="E92"/>
  <c r="M99"/>
  <c r="K150"/>
  <c r="E158"/>
  <c r="G211"/>
  <c r="I219"/>
  <c r="F34"/>
  <c r="J92"/>
  <c r="C108"/>
  <c r="C141"/>
  <c r="I239"/>
  <c r="F19" i="5"/>
  <c r="W19" s="1"/>
  <c r="D32"/>
  <c r="U32" s="1"/>
  <c r="E41"/>
  <c r="V41" s="1"/>
  <c r="D50"/>
  <c r="U50" s="1"/>
  <c r="F54"/>
  <c r="W54" s="1"/>
  <c r="C59"/>
  <c r="T59" s="1"/>
  <c r="F63"/>
  <c r="W63" s="1"/>
  <c r="C72"/>
  <c r="T72" s="1"/>
  <c r="F81"/>
  <c r="W81" s="1"/>
  <c r="D86"/>
  <c r="U86" s="1"/>
  <c r="D91"/>
  <c r="U91" s="1"/>
  <c r="C96"/>
  <c r="T96" s="1"/>
  <c r="C110"/>
  <c r="T110" s="1"/>
  <c r="C125"/>
  <c r="T125" s="1"/>
  <c r="G129"/>
  <c r="X129" s="1"/>
  <c r="E144"/>
  <c r="V144" s="1"/>
  <c r="E154"/>
  <c r="V154" s="1"/>
  <c r="E165"/>
  <c r="V165" s="1"/>
  <c r="F170"/>
  <c r="W170" s="1"/>
  <c r="F180"/>
  <c r="W180" s="1"/>
  <c r="G195"/>
  <c r="X195" s="1"/>
  <c r="D201"/>
  <c r="U201" s="1"/>
  <c r="C206"/>
  <c r="T206" s="1"/>
  <c r="C212"/>
  <c r="T212" s="1"/>
  <c r="E222"/>
  <c r="V222" s="1"/>
  <c r="G227"/>
  <c r="X227" s="1"/>
  <c r="F244"/>
  <c r="W244" s="1"/>
  <c r="D249"/>
  <c r="U249" s="1"/>
  <c r="D14" i="6"/>
  <c r="C20"/>
  <c r="I34"/>
  <c r="D63"/>
  <c r="L70"/>
  <c r="E78"/>
  <c r="M92"/>
  <c r="F100"/>
  <c r="C151"/>
  <c r="F159"/>
  <c r="L176"/>
  <c r="K185"/>
  <c r="M195"/>
  <c r="F204"/>
  <c r="J14"/>
  <c r="D20"/>
  <c r="L34"/>
  <c r="F42"/>
  <c r="C56"/>
  <c r="E63"/>
  <c r="L78"/>
  <c r="G100"/>
  <c r="C125"/>
  <c r="I159"/>
  <c r="F15" i="5"/>
  <c r="W15" s="1"/>
  <c r="C24"/>
  <c r="T24" s="1"/>
  <c r="G28"/>
  <c r="X28" s="1"/>
  <c r="F32"/>
  <c r="W32" s="1"/>
  <c r="E37"/>
  <c r="V37" s="1"/>
  <c r="G41"/>
  <c r="X41" s="1"/>
  <c r="D46"/>
  <c r="U46" s="1"/>
  <c r="F50"/>
  <c r="W50" s="1"/>
  <c r="G59"/>
  <c r="X59" s="1"/>
  <c r="C68"/>
  <c r="T68" s="1"/>
  <c r="E72"/>
  <c r="V72" s="1"/>
  <c r="C77"/>
  <c r="T77" s="1"/>
  <c r="F86"/>
  <c r="W86" s="1"/>
  <c r="F91"/>
  <c r="W91" s="1"/>
  <c r="E96"/>
  <c r="V96" s="1"/>
  <c r="C101"/>
  <c r="T101" s="1"/>
  <c r="E110"/>
  <c r="V110" s="1"/>
  <c r="D115"/>
  <c r="U115" s="1"/>
  <c r="E120"/>
  <c r="V120" s="1"/>
  <c r="E125"/>
  <c r="V125" s="1"/>
  <c r="F135"/>
  <c r="W135" s="1"/>
  <c r="C140"/>
  <c r="T140" s="1"/>
  <c r="G144"/>
  <c r="X144" s="1"/>
  <c r="C150"/>
  <c r="T150" s="1"/>
  <c r="G154"/>
  <c r="X154" s="1"/>
  <c r="F160"/>
  <c r="W160" s="1"/>
  <c r="C176"/>
  <c r="T176" s="1"/>
  <c r="C191"/>
  <c r="T191" s="1"/>
  <c r="F201"/>
  <c r="W201" s="1"/>
  <c r="E212"/>
  <c r="V212" s="1"/>
  <c r="D217"/>
  <c r="U217" s="1"/>
  <c r="G222"/>
  <c r="X222" s="1"/>
  <c r="C239"/>
  <c r="T239" s="1"/>
  <c r="G249"/>
  <c r="X249" s="1"/>
  <c r="K14" i="6"/>
  <c r="K20"/>
  <c r="L28"/>
  <c r="G42"/>
  <c r="F56"/>
  <c r="F63"/>
  <c r="E86"/>
  <c r="C118"/>
  <c r="E125"/>
  <c r="J159"/>
  <c r="C231"/>
  <c r="F240"/>
  <c r="G15" i="5"/>
  <c r="X15" s="1"/>
  <c r="D24"/>
  <c r="U24" s="1"/>
  <c r="G32"/>
  <c r="X32" s="1"/>
  <c r="F37"/>
  <c r="W37" s="1"/>
  <c r="E46"/>
  <c r="V46" s="1"/>
  <c r="G50"/>
  <c r="X50" s="1"/>
  <c r="E68"/>
  <c r="V68" s="1"/>
  <c r="G72"/>
  <c r="X72" s="1"/>
  <c r="F96"/>
  <c r="W96" s="1"/>
  <c r="C106"/>
  <c r="T106" s="1"/>
  <c r="F110"/>
  <c r="W110" s="1"/>
  <c r="E115"/>
  <c r="V115" s="1"/>
  <c r="G120"/>
  <c r="X120" s="1"/>
  <c r="F125"/>
  <c r="W125" s="1"/>
  <c r="G135"/>
  <c r="X135" s="1"/>
  <c r="D140"/>
  <c r="U140" s="1"/>
  <c r="D150"/>
  <c r="U150" s="1"/>
  <c r="G160"/>
  <c r="X160" s="1"/>
  <c r="C166"/>
  <c r="E171"/>
  <c r="V171" s="1"/>
  <c r="D176"/>
  <c r="U176" s="1"/>
  <c r="E186"/>
  <c r="V186" s="1"/>
  <c r="D191"/>
  <c r="U191" s="1"/>
  <c r="G201"/>
  <c r="X201" s="1"/>
  <c r="F212"/>
  <c r="W212" s="1"/>
  <c r="E217"/>
  <c r="V217" s="1"/>
  <c r="C228"/>
  <c r="T228" s="1"/>
  <c r="D239"/>
  <c r="U239" s="1"/>
  <c r="L14" i="6"/>
  <c r="L20"/>
  <c r="M28"/>
  <c r="J42"/>
  <c r="L56"/>
  <c r="K71"/>
  <c r="I86"/>
  <c r="D118"/>
  <c r="G125"/>
  <c r="D152"/>
  <c r="I169"/>
  <c r="D196"/>
  <c r="E231"/>
  <c r="M240"/>
  <c r="C20" i="5"/>
  <c r="T20" s="1"/>
  <c r="E24"/>
  <c r="V24" s="1"/>
  <c r="G37"/>
  <c r="X37" s="1"/>
  <c r="G46"/>
  <c r="X46" s="1"/>
  <c r="G55"/>
  <c r="X55" s="1"/>
  <c r="C64"/>
  <c r="T64" s="1"/>
  <c r="F68"/>
  <c r="W68" s="1"/>
  <c r="C82"/>
  <c r="T82" s="1"/>
  <c r="G96"/>
  <c r="X96" s="1"/>
  <c r="D106"/>
  <c r="U106" s="1"/>
  <c r="F115"/>
  <c r="W115" s="1"/>
  <c r="G125"/>
  <c r="X125" s="1"/>
  <c r="E140"/>
  <c r="V140" s="1"/>
  <c r="E150"/>
  <c r="V150" s="1"/>
  <c r="D166"/>
  <c r="U166" s="1"/>
  <c r="F171"/>
  <c r="W171" s="1"/>
  <c r="E176"/>
  <c r="V176" s="1"/>
  <c r="F186"/>
  <c r="W186" s="1"/>
  <c r="E191"/>
  <c r="V191" s="1"/>
  <c r="G212"/>
  <c r="X212" s="1"/>
  <c r="F217"/>
  <c r="W217" s="1"/>
  <c r="D228"/>
  <c r="U228" s="1"/>
  <c r="E234"/>
  <c r="V234" s="1"/>
  <c r="E239"/>
  <c r="V239" s="1"/>
  <c r="C245"/>
  <c r="T245" s="1"/>
  <c r="M14" i="6"/>
  <c r="E35"/>
  <c r="D50"/>
  <c r="D79"/>
  <c r="E118"/>
  <c r="K169"/>
  <c r="E196"/>
  <c r="K13"/>
  <c r="E25"/>
  <c r="D31"/>
  <c r="E36"/>
  <c r="K42"/>
  <c r="F67"/>
  <c r="M86"/>
  <c r="I99"/>
  <c r="F113"/>
  <c r="E135"/>
  <c r="L142"/>
  <c r="C165"/>
  <c r="L172"/>
  <c r="G196"/>
  <c r="M230"/>
  <c r="C247"/>
  <c r="F13" i="5"/>
  <c r="W13" s="1"/>
  <c r="C17"/>
  <c r="T17" s="1"/>
  <c r="F24"/>
  <c r="W24" s="1"/>
  <c r="C28"/>
  <c r="T28" s="1"/>
  <c r="F35"/>
  <c r="W35" s="1"/>
  <c r="C39"/>
  <c r="T39" s="1"/>
  <c r="F46"/>
  <c r="W46" s="1"/>
  <c r="C50"/>
  <c r="T50" s="1"/>
  <c r="D57"/>
  <c r="U57" s="1"/>
  <c r="F64"/>
  <c r="W64" s="1"/>
  <c r="D68"/>
  <c r="U68" s="1"/>
  <c r="G75"/>
  <c r="X75" s="1"/>
  <c r="F79"/>
  <c r="W79" s="1"/>
  <c r="G87"/>
  <c r="X87" s="1"/>
  <c r="G91"/>
  <c r="X91" s="1"/>
  <c r="F116"/>
  <c r="W116" s="1"/>
  <c r="F120"/>
  <c r="W120" s="1"/>
  <c r="C137"/>
  <c r="T137" s="1"/>
  <c r="C141"/>
  <c r="T141" s="1"/>
  <c r="C158"/>
  <c r="T158" s="1"/>
  <c r="E162"/>
  <c r="V162" s="1"/>
  <c r="G166"/>
  <c r="X166" s="1"/>
  <c r="D171"/>
  <c r="U171" s="1"/>
  <c r="F175"/>
  <c r="W175" s="1"/>
  <c r="G179"/>
  <c r="X179" s="1"/>
  <c r="G183"/>
  <c r="X183" s="1"/>
  <c r="C197"/>
  <c r="T197" s="1"/>
  <c r="C201"/>
  <c r="T201" s="1"/>
  <c r="D205"/>
  <c r="U205" s="1"/>
  <c r="E209"/>
  <c r="V209" s="1"/>
  <c r="G218"/>
  <c r="X218" s="1"/>
  <c r="C227"/>
  <c r="T227" s="1"/>
  <c r="F231"/>
  <c r="W231" s="1"/>
  <c r="D245"/>
  <c r="U245" s="1"/>
  <c r="E249"/>
  <c r="V249" s="1"/>
  <c r="F25" i="6"/>
  <c r="E31"/>
  <c r="L36"/>
  <c r="L42"/>
  <c r="K62"/>
  <c r="G67"/>
  <c r="L99"/>
  <c r="E107"/>
  <c r="G113"/>
  <c r="L135"/>
  <c r="E165"/>
  <c r="I196"/>
  <c r="D247"/>
  <c r="J27"/>
  <c r="D32"/>
  <c r="G63"/>
  <c r="M69"/>
  <c r="K75"/>
  <c r="I95"/>
  <c r="E130"/>
  <c r="K159"/>
  <c r="D174"/>
  <c r="G182"/>
  <c r="K191"/>
  <c r="E207"/>
  <c r="F18" i="5"/>
  <c r="W18" s="1"/>
  <c r="D22"/>
  <c r="U22" s="1"/>
  <c r="F29"/>
  <c r="W29" s="1"/>
  <c r="G36"/>
  <c r="X36" s="1"/>
  <c r="D40"/>
  <c r="U40" s="1"/>
  <c r="G47"/>
  <c r="X47" s="1"/>
  <c r="D51"/>
  <c r="U51" s="1"/>
  <c r="E58"/>
  <c r="V58" s="1"/>
  <c r="C62"/>
  <c r="T62" s="1"/>
  <c r="G65"/>
  <c r="X65" s="1"/>
  <c r="E69"/>
  <c r="V69" s="1"/>
  <c r="E73"/>
  <c r="V73" s="1"/>
  <c r="D77"/>
  <c r="U77" s="1"/>
  <c r="D97"/>
  <c r="U97" s="1"/>
  <c r="D101"/>
  <c r="U101" s="1"/>
  <c r="E109"/>
  <c r="V109" s="1"/>
  <c r="F113"/>
  <c r="W113" s="1"/>
  <c r="C126"/>
  <c r="T126" s="1"/>
  <c r="C151"/>
  <c r="T151" s="1"/>
  <c r="F159"/>
  <c r="W159" s="1"/>
  <c r="C164"/>
  <c r="T164" s="1"/>
  <c r="E168"/>
  <c r="V168" s="1"/>
  <c r="G172"/>
  <c r="X172" s="1"/>
  <c r="G176"/>
  <c r="X176" s="1"/>
  <c r="C194"/>
  <c r="T194" s="1"/>
  <c r="D198"/>
  <c r="U198" s="1"/>
  <c r="D202"/>
  <c r="U202" s="1"/>
  <c r="E206"/>
  <c r="V206" s="1"/>
  <c r="E211"/>
  <c r="V211" s="1"/>
  <c r="G215"/>
  <c r="X215" s="1"/>
  <c r="C224"/>
  <c r="F228"/>
  <c r="W228" s="1"/>
  <c r="D233"/>
  <c r="U233" s="1"/>
  <c r="C242"/>
  <c r="T242" s="1"/>
  <c r="E246"/>
  <c r="V246" s="1"/>
  <c r="C21" i="6"/>
  <c r="K27"/>
  <c r="E32"/>
  <c r="K63"/>
  <c r="L75"/>
  <c r="D109"/>
  <c r="M159"/>
  <c r="G174"/>
  <c r="L191"/>
  <c r="K250"/>
  <c r="C10" i="5"/>
  <c r="T10" s="1"/>
  <c r="G18"/>
  <c r="X18" s="1"/>
  <c r="E22"/>
  <c r="V22" s="1"/>
  <c r="G29"/>
  <c r="X29" s="1"/>
  <c r="C33"/>
  <c r="T33" s="1"/>
  <c r="E40"/>
  <c r="V40" s="1"/>
  <c r="C44"/>
  <c r="T44" s="1"/>
  <c r="E51"/>
  <c r="V51" s="1"/>
  <c r="C55"/>
  <c r="T55" s="1"/>
  <c r="F58"/>
  <c r="W58" s="1"/>
  <c r="D62"/>
  <c r="U62" s="1"/>
  <c r="F73"/>
  <c r="W73" s="1"/>
  <c r="E77"/>
  <c r="V77" s="1"/>
  <c r="C85"/>
  <c r="T85" s="1"/>
  <c r="E97"/>
  <c r="V97" s="1"/>
  <c r="E101"/>
  <c r="V101" s="1"/>
  <c r="F105"/>
  <c r="W105" s="1"/>
  <c r="F109"/>
  <c r="W109" s="1"/>
  <c r="G113"/>
  <c r="X113" s="1"/>
  <c r="C118"/>
  <c r="T118" s="1"/>
  <c r="D126"/>
  <c r="U126" s="1"/>
  <c r="C130"/>
  <c r="T130" s="1"/>
  <c r="C147"/>
  <c r="T147" s="1"/>
  <c r="D151"/>
  <c r="U151" s="1"/>
  <c r="C155"/>
  <c r="T155" s="1"/>
  <c r="D164"/>
  <c r="U164" s="1"/>
  <c r="F168"/>
  <c r="W168" s="1"/>
  <c r="C190"/>
  <c r="T190" s="1"/>
  <c r="D194"/>
  <c r="U194" s="1"/>
  <c r="E198"/>
  <c r="V198" s="1"/>
  <c r="E202"/>
  <c r="V202" s="1"/>
  <c r="F206"/>
  <c r="W206" s="1"/>
  <c r="F211"/>
  <c r="W211" s="1"/>
  <c r="D224"/>
  <c r="U224" s="1"/>
  <c r="E233"/>
  <c r="V233" s="1"/>
  <c r="C238"/>
  <c r="T238" s="1"/>
  <c r="D242"/>
  <c r="U242" s="1"/>
  <c r="F246"/>
  <c r="W246" s="1"/>
  <c r="G39" i="6"/>
  <c r="K45"/>
  <c r="D51"/>
  <c r="E58"/>
  <c r="E83"/>
  <c r="E109"/>
  <c r="L116"/>
  <c r="C146"/>
  <c r="F154"/>
  <c r="I199"/>
  <c r="F10" i="5"/>
  <c r="W10" s="1"/>
  <c r="C15"/>
  <c r="T15" s="1"/>
  <c r="F22"/>
  <c r="W22" s="1"/>
  <c r="C26"/>
  <c r="D33"/>
  <c r="U33" s="1"/>
  <c r="F40"/>
  <c r="W40" s="1"/>
  <c r="D44"/>
  <c r="U44" s="1"/>
  <c r="F51"/>
  <c r="W51" s="1"/>
  <c r="D55"/>
  <c r="U55" s="1"/>
  <c r="G58"/>
  <c r="X58" s="1"/>
  <c r="E62"/>
  <c r="V62" s="1"/>
  <c r="G73"/>
  <c r="X73" s="1"/>
  <c r="F77"/>
  <c r="W77" s="1"/>
  <c r="C81"/>
  <c r="T81" s="1"/>
  <c r="D85"/>
  <c r="U85" s="1"/>
  <c r="C89"/>
  <c r="T89" s="1"/>
  <c r="C93"/>
  <c r="T93" s="1"/>
  <c r="F97"/>
  <c r="W97" s="1"/>
  <c r="G105"/>
  <c r="X105" s="1"/>
  <c r="G109"/>
  <c r="X109" s="1"/>
  <c r="D118"/>
  <c r="U118" s="1"/>
  <c r="C122"/>
  <c r="T122" s="1"/>
  <c r="E126"/>
  <c r="V126" s="1"/>
  <c r="D130"/>
  <c r="U130" s="1"/>
  <c r="C135"/>
  <c r="T135" s="1"/>
  <c r="C139"/>
  <c r="T139" s="1"/>
  <c r="C143"/>
  <c r="D147"/>
  <c r="U147" s="1"/>
  <c r="E151"/>
  <c r="V151" s="1"/>
  <c r="F155"/>
  <c r="W155" s="1"/>
  <c r="E164"/>
  <c r="V164" s="1"/>
  <c r="G168"/>
  <c r="X168" s="1"/>
  <c r="C181"/>
  <c r="T181" s="1"/>
  <c r="G185"/>
  <c r="X185" s="1"/>
  <c r="D190"/>
  <c r="U190" s="1"/>
  <c r="E194"/>
  <c r="V194" s="1"/>
  <c r="F198"/>
  <c r="W198" s="1"/>
  <c r="F202"/>
  <c r="W202" s="1"/>
  <c r="G211"/>
  <c r="X211" s="1"/>
  <c r="C220"/>
  <c r="T220" s="1"/>
  <c r="E224"/>
  <c r="V224" s="1"/>
  <c r="F233"/>
  <c r="W233" s="1"/>
  <c r="D238"/>
  <c r="U238" s="1"/>
  <c r="E242"/>
  <c r="V242" s="1"/>
  <c r="G246"/>
  <c r="X246" s="1"/>
  <c r="G251"/>
  <c r="X251" s="1"/>
  <c r="I39" i="6"/>
  <c r="K51"/>
  <c r="F58"/>
  <c r="G70"/>
  <c r="G83"/>
  <c r="C96"/>
  <c r="F109"/>
  <c r="F131"/>
  <c r="D146"/>
  <c r="I154"/>
  <c r="G183"/>
  <c r="D234"/>
  <c r="G10" i="5"/>
  <c r="X10" s="1"/>
  <c r="D15"/>
  <c r="U15" s="1"/>
  <c r="G22"/>
  <c r="X22" s="1"/>
  <c r="D26"/>
  <c r="U26" s="1"/>
  <c r="E33"/>
  <c r="V33" s="1"/>
  <c r="C37"/>
  <c r="T37" s="1"/>
  <c r="G40"/>
  <c r="X40" s="1"/>
  <c r="E44"/>
  <c r="V44" s="1"/>
  <c r="C48"/>
  <c r="T48" s="1"/>
  <c r="G51"/>
  <c r="X51" s="1"/>
  <c r="E55"/>
  <c r="V55" s="1"/>
  <c r="F62"/>
  <c r="W62" s="1"/>
  <c r="E66"/>
  <c r="V66" s="1"/>
  <c r="C70"/>
  <c r="T70" s="1"/>
  <c r="G77"/>
  <c r="X77" s="1"/>
  <c r="D81"/>
  <c r="U81" s="1"/>
  <c r="E85"/>
  <c r="V85" s="1"/>
  <c r="D89"/>
  <c r="U89" s="1"/>
  <c r="D93"/>
  <c r="U93" s="1"/>
  <c r="G97"/>
  <c r="X97" s="1"/>
  <c r="E118"/>
  <c r="V118" s="1"/>
  <c r="D122"/>
  <c r="U122" s="1"/>
  <c r="F126"/>
  <c r="W126" s="1"/>
  <c r="D135"/>
  <c r="U135" s="1"/>
  <c r="D139"/>
  <c r="D143"/>
  <c r="U143" s="1"/>
  <c r="E147"/>
  <c r="V147" s="1"/>
  <c r="F151"/>
  <c r="W151" s="1"/>
  <c r="G155"/>
  <c r="X155" s="1"/>
  <c r="D160"/>
  <c r="U160" s="1"/>
  <c r="F164"/>
  <c r="W164" s="1"/>
  <c r="C173"/>
  <c r="T173" s="1"/>
  <c r="C177"/>
  <c r="T177" s="1"/>
  <c r="E181"/>
  <c r="V181" s="1"/>
  <c r="E190"/>
  <c r="V190" s="1"/>
  <c r="F194"/>
  <c r="W194" s="1"/>
  <c r="G198"/>
  <c r="X198" s="1"/>
  <c r="G202"/>
  <c r="X202" s="1"/>
  <c r="C216"/>
  <c r="T216" s="1"/>
  <c r="D220"/>
  <c r="U220" s="1"/>
  <c r="F224"/>
  <c r="W224" s="1"/>
  <c r="F229"/>
  <c r="W229" s="1"/>
  <c r="G233"/>
  <c r="X233" s="1"/>
  <c r="E238"/>
  <c r="V238" s="1"/>
  <c r="F242"/>
  <c r="W242" s="1"/>
  <c r="D22" i="6"/>
  <c r="D28"/>
  <c r="F64"/>
  <c r="J70"/>
  <c r="I83"/>
  <c r="C90"/>
  <c r="K96"/>
  <c r="G131"/>
  <c r="J139"/>
  <c r="L146"/>
  <c r="J154"/>
  <c r="D169"/>
  <c r="C192"/>
  <c r="F234"/>
  <c r="G251"/>
  <c r="Y10" i="5"/>
  <c r="E15"/>
  <c r="V15" s="1"/>
  <c r="C19"/>
  <c r="T19" s="1"/>
  <c r="E26"/>
  <c r="V26" s="1"/>
  <c r="C30"/>
  <c r="T30" s="1"/>
  <c r="F33"/>
  <c r="W33" s="1"/>
  <c r="D37"/>
  <c r="U37" s="1"/>
  <c r="F44"/>
  <c r="W44" s="1"/>
  <c r="D48"/>
  <c r="U48" s="1"/>
  <c r="F55"/>
  <c r="W55" s="1"/>
  <c r="F66"/>
  <c r="W66" s="1"/>
  <c r="D70"/>
  <c r="U70" s="1"/>
  <c r="E81"/>
  <c r="V81" s="1"/>
  <c r="F85"/>
  <c r="W85" s="1"/>
  <c r="E89"/>
  <c r="V89" s="1"/>
  <c r="E93"/>
  <c r="V93" s="1"/>
  <c r="C102"/>
  <c r="E114"/>
  <c r="V114" s="1"/>
  <c r="F118"/>
  <c r="W118" s="1"/>
  <c r="E122"/>
  <c r="V122" s="1"/>
  <c r="G126"/>
  <c r="X126" s="1"/>
  <c r="E135"/>
  <c r="V135" s="1"/>
  <c r="E139"/>
  <c r="V139" s="1"/>
  <c r="E143"/>
  <c r="V143" s="1"/>
  <c r="F147"/>
  <c r="W147" s="1"/>
  <c r="G151"/>
  <c r="X151" s="1"/>
  <c r="E160"/>
  <c r="V160" s="1"/>
  <c r="G164"/>
  <c r="X164" s="1"/>
  <c r="D173"/>
  <c r="U173" s="1"/>
  <c r="D177"/>
  <c r="U177" s="1"/>
  <c r="F190"/>
  <c r="W190" s="1"/>
  <c r="G194"/>
  <c r="X194" s="1"/>
  <c r="G207"/>
  <c r="X207" s="1"/>
  <c r="D216"/>
  <c r="U216" s="1"/>
  <c r="G220"/>
  <c r="X220" s="1"/>
  <c r="G224"/>
  <c r="X224" s="1"/>
  <c r="G229"/>
  <c r="X229" s="1"/>
  <c r="F238"/>
  <c r="W238" s="1"/>
  <c r="L22" i="6"/>
  <c r="K28"/>
  <c r="D46"/>
  <c r="K70"/>
  <c r="J83"/>
  <c r="D90"/>
  <c r="L96"/>
  <c r="J103"/>
  <c r="D117"/>
  <c r="K131"/>
  <c r="K139"/>
  <c r="G169"/>
  <c r="E226"/>
  <c r="G234"/>
  <c r="K251"/>
  <c r="C19"/>
  <c r="C25"/>
  <c r="F35"/>
  <c r="J41"/>
  <c r="I59"/>
  <c r="K77"/>
  <c r="F83"/>
  <c r="G95"/>
  <c r="J100"/>
  <c r="K113"/>
  <c r="K120"/>
  <c r="I127"/>
  <c r="C169"/>
  <c r="D136"/>
  <c r="L150"/>
  <c r="F177"/>
  <c r="D192"/>
  <c r="L199"/>
  <c r="J207"/>
  <c r="M223"/>
  <c r="G231"/>
  <c r="E15"/>
  <c r="J73"/>
  <c r="F79"/>
  <c r="L103"/>
  <c r="G109"/>
  <c r="I116"/>
  <c r="F136"/>
  <c r="M143"/>
  <c r="M150"/>
  <c r="I156"/>
  <c r="I177"/>
  <c r="E192"/>
  <c r="M185"/>
  <c r="M200"/>
  <c r="E216"/>
  <c r="J224"/>
  <c r="G240"/>
  <c r="D10"/>
  <c r="C22"/>
  <c r="F32"/>
  <c r="F38"/>
  <c r="G50"/>
  <c r="G56"/>
  <c r="K79"/>
  <c r="C86"/>
  <c r="F92"/>
  <c r="J104"/>
  <c r="C117"/>
  <c r="F137"/>
  <c r="K144"/>
  <c r="D151"/>
  <c r="D165"/>
  <c r="I172"/>
  <c r="G178"/>
  <c r="C187"/>
  <c r="D201"/>
  <c r="D216"/>
  <c r="C240"/>
  <c r="D181"/>
  <c r="I187"/>
  <c r="L202"/>
  <c r="E210"/>
  <c r="C14"/>
  <c r="F17"/>
  <c r="M20"/>
  <c r="C28"/>
  <c r="J31"/>
  <c r="I42"/>
  <c r="F46"/>
  <c r="J50"/>
  <c r="M54"/>
  <c r="E59"/>
  <c r="K66"/>
  <c r="I70"/>
  <c r="D83"/>
  <c r="J86"/>
  <c r="E95"/>
  <c r="K99"/>
  <c r="M103"/>
  <c r="G121"/>
  <c r="J125"/>
  <c r="M130"/>
  <c r="K135"/>
  <c r="E140"/>
  <c r="L144"/>
  <c r="J150"/>
  <c r="M154"/>
  <c r="E159"/>
  <c r="K163"/>
  <c r="C177"/>
  <c r="J181"/>
  <c r="J191"/>
  <c r="L210"/>
  <c r="M214"/>
  <c r="F219"/>
  <c r="D230"/>
  <c r="J234"/>
  <c r="D240"/>
  <c r="F245"/>
  <c r="C251"/>
  <c r="L211"/>
  <c r="G216"/>
  <c r="J226"/>
  <c r="J231"/>
  <c r="E247"/>
  <c r="W10"/>
  <c r="C15"/>
  <c r="J22"/>
  <c r="M25"/>
  <c r="D29"/>
  <c r="G32"/>
  <c r="F36"/>
  <c r="E40"/>
  <c r="K43"/>
  <c r="L47"/>
  <c r="I52"/>
  <c r="J56"/>
  <c r="G60"/>
  <c r="D64"/>
  <c r="J67"/>
  <c r="M75"/>
  <c r="M83"/>
  <c r="G88"/>
  <c r="K92"/>
  <c r="K100"/>
  <c r="M109"/>
  <c r="M113"/>
  <c r="K118"/>
  <c r="I122"/>
  <c r="M127"/>
  <c r="F132"/>
  <c r="F165"/>
  <c r="M169"/>
  <c r="E174"/>
  <c r="J178"/>
  <c r="I183"/>
  <c r="J187"/>
  <c r="F192"/>
  <c r="J202"/>
  <c r="F207"/>
  <c r="M211"/>
  <c r="I216"/>
  <c r="L226"/>
  <c r="K231"/>
  <c r="K236"/>
  <c r="C242"/>
  <c r="F247"/>
  <c r="D15"/>
  <c r="K22"/>
  <c r="E29"/>
  <c r="I36"/>
  <c r="F40"/>
  <c r="M43"/>
  <c r="M47"/>
  <c r="J52"/>
  <c r="K56"/>
  <c r="I60"/>
  <c r="E64"/>
  <c r="I72"/>
  <c r="I88"/>
  <c r="L92"/>
  <c r="L118"/>
  <c r="G132"/>
  <c r="J142"/>
  <c r="G165"/>
  <c r="F174"/>
  <c r="L178"/>
  <c r="L183"/>
  <c r="G192"/>
  <c r="I197"/>
  <c r="K202"/>
  <c r="G207"/>
  <c r="L216"/>
  <c r="M231"/>
  <c r="M236"/>
  <c r="D242"/>
  <c r="G247"/>
  <c r="C12"/>
  <c r="F15"/>
  <c r="D19"/>
  <c r="M22"/>
  <c r="C26"/>
  <c r="G29"/>
  <c r="G33"/>
  <c r="I40"/>
  <c r="L52"/>
  <c r="M56"/>
  <c r="K60"/>
  <c r="G64"/>
  <c r="J68"/>
  <c r="K72"/>
  <c r="C76"/>
  <c r="D80"/>
  <c r="K88"/>
  <c r="D97"/>
  <c r="G106"/>
  <c r="L110"/>
  <c r="D114"/>
  <c r="K123"/>
  <c r="D128"/>
  <c r="G137"/>
  <c r="L147"/>
  <c r="E152"/>
  <c r="F161"/>
  <c r="I174"/>
  <c r="I188"/>
  <c r="K207"/>
  <c r="G212"/>
  <c r="D222"/>
  <c r="I227"/>
  <c r="L247"/>
  <c r="D12"/>
  <c r="E19"/>
  <c r="D26"/>
  <c r="K29"/>
  <c r="I33"/>
  <c r="J40"/>
  <c r="C44"/>
  <c r="M48"/>
  <c r="M52"/>
  <c r="L60"/>
  <c r="I64"/>
  <c r="K68"/>
  <c r="L72"/>
  <c r="D76"/>
  <c r="E80"/>
  <c r="L88"/>
  <c r="E97"/>
  <c r="I106"/>
  <c r="M110"/>
  <c r="E114"/>
  <c r="F119"/>
  <c r="L123"/>
  <c r="E128"/>
  <c r="K137"/>
  <c r="M147"/>
  <c r="I152"/>
  <c r="I161"/>
  <c r="M174"/>
  <c r="C184"/>
  <c r="K188"/>
  <c r="C193"/>
  <c r="L198"/>
  <c r="I212"/>
  <c r="I217"/>
  <c r="F222"/>
  <c r="J227"/>
  <c r="C232"/>
  <c r="C243"/>
  <c r="J12"/>
  <c r="F19"/>
  <c r="J26"/>
  <c r="J33"/>
  <c r="D37"/>
  <c r="K40"/>
  <c r="D44"/>
  <c r="M60"/>
  <c r="M68"/>
  <c r="M72"/>
  <c r="L76"/>
  <c r="F80"/>
  <c r="I85"/>
  <c r="G93"/>
  <c r="F97"/>
  <c r="E102"/>
  <c r="J106"/>
  <c r="G114"/>
  <c r="F128"/>
  <c r="D133"/>
  <c r="C143"/>
  <c r="J152"/>
  <c r="C157"/>
  <c r="C166"/>
  <c r="D171"/>
  <c r="F184"/>
  <c r="M188"/>
  <c r="I193"/>
  <c r="M198"/>
  <c r="I203"/>
  <c r="J212"/>
  <c r="J217"/>
  <c r="I222"/>
  <c r="K227"/>
  <c r="D232"/>
  <c r="E243"/>
  <c r="K12"/>
  <c r="D16"/>
  <c r="J19"/>
  <c r="C23"/>
  <c r="K26"/>
  <c r="K33"/>
  <c r="J37"/>
  <c r="J44"/>
  <c r="G57"/>
  <c r="M76"/>
  <c r="M80"/>
  <c r="J85"/>
  <c r="I93"/>
  <c r="L97"/>
  <c r="F102"/>
  <c r="K106"/>
  <c r="J114"/>
  <c r="J128"/>
  <c r="E133"/>
  <c r="D143"/>
  <c r="L152"/>
  <c r="D157"/>
  <c r="K166"/>
  <c r="E171"/>
  <c r="C180"/>
  <c r="G184"/>
  <c r="K193"/>
  <c r="J203"/>
  <c r="F208"/>
  <c r="L217"/>
  <c r="K222"/>
  <c r="L227"/>
  <c r="J232"/>
  <c r="C238"/>
  <c r="G243"/>
  <c r="C248"/>
  <c r="L12"/>
  <c r="J16"/>
  <c r="K19"/>
  <c r="D23"/>
  <c r="L26"/>
  <c r="L30"/>
  <c r="L33"/>
  <c r="K37"/>
  <c r="K44"/>
  <c r="M49"/>
  <c r="D53"/>
  <c r="J65"/>
  <c r="K85"/>
  <c r="C89"/>
  <c r="K93"/>
  <c r="G102"/>
  <c r="L106"/>
  <c r="C111"/>
  <c r="L114"/>
  <c r="D120"/>
  <c r="D124"/>
  <c r="K128"/>
  <c r="F133"/>
  <c r="M138"/>
  <c r="G143"/>
  <c r="C148"/>
  <c r="I157"/>
  <c r="D162"/>
  <c r="M166"/>
  <c r="F171"/>
  <c r="D180"/>
  <c r="J184"/>
  <c r="K203"/>
  <c r="I208"/>
  <c r="L222"/>
  <c r="M238"/>
  <c r="J243"/>
  <c r="J248"/>
  <c r="K16"/>
  <c r="M19"/>
  <c r="E23"/>
  <c r="M26"/>
  <c r="L37"/>
  <c r="E41"/>
  <c r="M53"/>
  <c r="F61"/>
  <c r="K65"/>
  <c r="D69"/>
  <c r="D73"/>
  <c r="L85"/>
  <c r="M89"/>
  <c r="L93"/>
  <c r="I102"/>
  <c r="D111"/>
  <c r="E120"/>
  <c r="F124"/>
  <c r="M128"/>
  <c r="J133"/>
  <c r="I143"/>
  <c r="D148"/>
  <c r="J157"/>
  <c r="F162"/>
  <c r="G171"/>
  <c r="K180"/>
  <c r="K184"/>
  <c r="C189"/>
  <c r="C199"/>
  <c r="L203"/>
  <c r="J208"/>
  <c r="L16"/>
  <c r="F23"/>
  <c r="M37"/>
  <c r="F41"/>
  <c r="C58"/>
  <c r="G61"/>
  <c r="L65"/>
  <c r="E69"/>
  <c r="E73"/>
  <c r="S73" s="1"/>
  <c r="D77"/>
  <c r="M81"/>
  <c r="M85"/>
  <c r="M93"/>
  <c r="J102"/>
  <c r="E111"/>
  <c r="G120"/>
  <c r="G124"/>
  <c r="K143"/>
  <c r="E148"/>
  <c r="J153"/>
  <c r="I162"/>
  <c r="J171"/>
  <c r="I176"/>
  <c r="M180"/>
  <c r="D189"/>
  <c r="J194"/>
  <c r="D199"/>
  <c r="L208"/>
  <c r="L218"/>
  <c r="E228"/>
  <c r="F13"/>
  <c r="M16"/>
  <c r="J23"/>
  <c r="C31"/>
  <c r="C34"/>
  <c r="I41"/>
  <c r="J45"/>
  <c r="C50"/>
  <c r="D58"/>
  <c r="K69"/>
  <c r="F73"/>
  <c r="J77"/>
  <c r="M102"/>
  <c r="D107"/>
  <c r="I111"/>
  <c r="I120"/>
  <c r="I139"/>
  <c r="L143"/>
  <c r="G148"/>
  <c r="J162"/>
  <c r="C167"/>
  <c r="J176"/>
  <c r="E189"/>
  <c r="K194"/>
  <c r="F199"/>
  <c r="C214"/>
  <c r="M218"/>
  <c r="I223"/>
  <c r="G228"/>
  <c r="F239"/>
  <c r="E244"/>
  <c r="D158"/>
  <c r="K162"/>
  <c r="D167"/>
  <c r="K176"/>
  <c r="J185"/>
  <c r="G189"/>
  <c r="L194"/>
  <c r="G199"/>
  <c r="C204"/>
  <c r="D214"/>
  <c r="L223"/>
  <c r="K228"/>
  <c r="C234"/>
  <c r="G239"/>
  <c r="I250"/>
  <c r="M237"/>
  <c r="J229"/>
  <c r="M221"/>
  <c r="G217"/>
  <c r="C210"/>
  <c r="D206"/>
  <c r="J198"/>
  <c r="I194"/>
  <c r="M190"/>
  <c r="F183"/>
  <c r="L179"/>
  <c r="C176"/>
  <c r="F172"/>
  <c r="G153"/>
  <c r="M145"/>
  <c r="I142"/>
  <c r="L138"/>
  <c r="L130"/>
  <c r="F127"/>
  <c r="J123"/>
  <c r="G116"/>
  <c r="C113"/>
  <c r="C109"/>
  <c r="F105"/>
  <c r="D102"/>
  <c r="G98"/>
  <c r="J91"/>
  <c r="E88"/>
  <c r="J84"/>
  <c r="K81"/>
  <c r="D78"/>
  <c r="E75"/>
  <c r="J71"/>
  <c r="F68"/>
  <c r="I65"/>
  <c r="J62"/>
  <c r="D59"/>
  <c r="G52"/>
  <c r="L48"/>
  <c r="I45"/>
  <c r="E42"/>
  <c r="F39"/>
  <c r="F33"/>
  <c r="E30"/>
  <c r="F27"/>
  <c r="L24"/>
  <c r="M21"/>
  <c r="C16"/>
  <c r="E13"/>
  <c r="G250"/>
  <c r="I246"/>
  <c r="L237"/>
  <c r="M233"/>
  <c r="I229"/>
  <c r="G225"/>
  <c r="L221"/>
  <c r="E217"/>
  <c r="M213"/>
  <c r="J201"/>
  <c r="I198"/>
  <c r="G194"/>
  <c r="K190"/>
  <c r="E183"/>
  <c r="J179"/>
  <c r="E172"/>
  <c r="M168"/>
  <c r="J160"/>
  <c r="F153"/>
  <c r="M149"/>
  <c r="J145"/>
  <c r="G142"/>
  <c r="J138"/>
  <c r="K134"/>
  <c r="K130"/>
  <c r="G123"/>
  <c r="F116"/>
  <c r="D105"/>
  <c r="E98"/>
  <c r="F91"/>
  <c r="D88"/>
  <c r="I84"/>
  <c r="J81"/>
  <c r="C78"/>
  <c r="D75"/>
  <c r="I71"/>
  <c r="G65"/>
  <c r="D62"/>
  <c r="M55"/>
  <c r="F52"/>
  <c r="K48"/>
  <c r="G45"/>
  <c r="E39"/>
  <c r="M35"/>
  <c r="E33"/>
  <c r="D30"/>
  <c r="E27"/>
  <c r="K24"/>
  <c r="K21"/>
  <c r="D13"/>
  <c r="F250"/>
  <c r="F246"/>
  <c r="L241"/>
  <c r="J237"/>
  <c r="G229"/>
  <c r="F225"/>
  <c r="C221"/>
  <c r="D217"/>
  <c r="L213"/>
  <c r="I201"/>
  <c r="G198"/>
  <c r="F194"/>
  <c r="C190"/>
  <c r="M186"/>
  <c r="D183"/>
  <c r="F179"/>
  <c r="K168"/>
  <c r="G164"/>
  <c r="I160"/>
  <c r="M156"/>
  <c r="E153"/>
  <c r="L149"/>
  <c r="I145"/>
  <c r="F142"/>
  <c r="J130"/>
  <c r="E123"/>
  <c r="K119"/>
  <c r="E116"/>
  <c r="C105"/>
  <c r="D98"/>
  <c r="M94"/>
  <c r="E91"/>
  <c r="C88"/>
  <c r="G84"/>
  <c r="F81"/>
  <c r="G71"/>
  <c r="F65"/>
  <c r="C62"/>
  <c r="F55"/>
  <c r="J48"/>
  <c r="D39"/>
  <c r="L35"/>
  <c r="D33"/>
  <c r="C30"/>
  <c r="D27"/>
  <c r="J24"/>
  <c r="J21"/>
  <c r="M18"/>
  <c r="C13"/>
  <c r="E250"/>
  <c r="K241"/>
  <c r="G237"/>
  <c r="F229"/>
  <c r="D225"/>
  <c r="K213"/>
  <c r="L209"/>
  <c r="L205"/>
  <c r="G201"/>
  <c r="L186"/>
  <c r="E179"/>
  <c r="L175"/>
  <c r="E164"/>
  <c r="D160"/>
  <c r="L156"/>
  <c r="K149"/>
  <c r="G145"/>
  <c r="E142"/>
  <c r="I130"/>
  <c r="J126"/>
  <c r="J119"/>
  <c r="D116"/>
  <c r="D112"/>
  <c r="M108"/>
  <c r="M101"/>
  <c r="C98"/>
  <c r="I94"/>
  <c r="D91"/>
  <c r="F84"/>
  <c r="E81"/>
  <c r="F71"/>
  <c r="M67"/>
  <c r="E65"/>
  <c r="M58"/>
  <c r="E55"/>
  <c r="G48"/>
  <c r="M41"/>
  <c r="K35"/>
  <c r="C33"/>
  <c r="C27"/>
  <c r="D24"/>
  <c r="F21"/>
  <c r="L18"/>
  <c r="M15"/>
  <c r="D250"/>
  <c r="E237"/>
  <c r="L232"/>
  <c r="C225"/>
  <c r="I213"/>
  <c r="K209"/>
  <c r="D205"/>
  <c r="F201"/>
  <c r="I186"/>
  <c r="M171"/>
  <c r="C164"/>
  <c r="K156"/>
  <c r="I149"/>
  <c r="F145"/>
  <c r="D142"/>
  <c r="M137"/>
  <c r="L133"/>
  <c r="G130"/>
  <c r="I126"/>
  <c r="I119"/>
  <c r="C116"/>
  <c r="I108"/>
  <c r="J101"/>
  <c r="G94"/>
  <c r="D84"/>
  <c r="D81"/>
  <c r="M77"/>
  <c r="J74"/>
  <c r="D71"/>
  <c r="L67"/>
  <c r="D65"/>
  <c r="J58"/>
  <c r="D55"/>
  <c r="M51"/>
  <c r="F48"/>
  <c r="M44"/>
  <c r="L41"/>
  <c r="J35"/>
  <c r="C24"/>
  <c r="E21"/>
  <c r="K18"/>
  <c r="K15"/>
  <c r="C250"/>
  <c r="G245"/>
  <c r="D237"/>
  <c r="K232"/>
  <c r="E220"/>
  <c r="M216"/>
  <c r="F213"/>
  <c r="J209"/>
  <c r="E201"/>
  <c r="K197"/>
  <c r="M193"/>
  <c r="L189"/>
  <c r="E186"/>
  <c r="J182"/>
  <c r="K171"/>
  <c r="M167"/>
  <c r="J156"/>
  <c r="M152"/>
  <c r="C145"/>
  <c r="C142"/>
  <c r="L137"/>
  <c r="K133"/>
  <c r="F130"/>
  <c r="G126"/>
  <c r="J122"/>
  <c r="G119"/>
  <c r="E108"/>
  <c r="M104"/>
  <c r="D101"/>
  <c r="F94"/>
  <c r="I87"/>
  <c r="C84"/>
  <c r="L77"/>
  <c r="C74"/>
  <c r="K67"/>
  <c r="J61"/>
  <c r="I58"/>
  <c r="L51"/>
  <c r="C48"/>
  <c r="L44"/>
  <c r="K41"/>
  <c r="J38"/>
  <c r="I35"/>
  <c r="L29"/>
  <c r="D21"/>
  <c r="J18"/>
  <c r="J15"/>
  <c r="M12"/>
  <c r="E245"/>
  <c r="J240"/>
  <c r="I232"/>
  <c r="I228"/>
  <c r="L224"/>
  <c r="J216"/>
  <c r="K204"/>
  <c r="C201"/>
  <c r="F197"/>
  <c r="J193"/>
  <c r="F189"/>
  <c r="F182"/>
  <c r="K178"/>
  <c r="L174"/>
  <c r="I171"/>
  <c r="F167"/>
  <c r="L163"/>
  <c r="L159"/>
  <c r="K152"/>
  <c r="I148"/>
  <c r="J137"/>
  <c r="I133"/>
  <c r="D126"/>
  <c r="C119"/>
  <c r="L111"/>
  <c r="K104"/>
  <c r="K97"/>
  <c r="L90"/>
  <c r="K248"/>
  <c r="E240"/>
  <c r="F248"/>
  <c r="M13"/>
  <c r="C17"/>
  <c r="J20"/>
  <c r="M27"/>
  <c r="F31"/>
  <c r="G34"/>
  <c r="D38"/>
  <c r="F50"/>
  <c r="E54"/>
  <c r="G58"/>
  <c r="L62"/>
  <c r="F66"/>
  <c r="M73"/>
  <c r="D82"/>
  <c r="D86"/>
  <c r="E90"/>
  <c r="F99"/>
  <c r="I103"/>
  <c r="G107"/>
  <c r="J116"/>
  <c r="M120"/>
  <c r="D125"/>
  <c r="C135"/>
  <c r="L139"/>
  <c r="G154"/>
  <c r="F158"/>
  <c r="M162"/>
  <c r="L167"/>
  <c r="J172"/>
  <c r="M176"/>
  <c r="E181"/>
  <c r="L185"/>
  <c r="J199"/>
  <c r="I204"/>
  <c r="I214"/>
  <c r="C219"/>
  <c r="E234"/>
  <c r="S234" s="1"/>
  <c r="M250"/>
  <c r="F251" i="5"/>
  <c r="W251" s="1"/>
  <c r="E240"/>
  <c r="V240" s="1"/>
  <c r="G236"/>
  <c r="X236" s="1"/>
  <c r="E229"/>
  <c r="V229" s="1"/>
  <c r="G225"/>
  <c r="X225" s="1"/>
  <c r="D222"/>
  <c r="U222" s="1"/>
  <c r="F218"/>
  <c r="W218" s="1"/>
  <c r="D211"/>
  <c r="U211" s="1"/>
  <c r="F207"/>
  <c r="W207" s="1"/>
  <c r="D200"/>
  <c r="U200" s="1"/>
  <c r="D189"/>
  <c r="U189" s="1"/>
  <c r="F185"/>
  <c r="W185" s="1"/>
  <c r="D178"/>
  <c r="U178" s="1"/>
  <c r="C171"/>
  <c r="T171" s="1"/>
  <c r="F167"/>
  <c r="W167" s="1"/>
  <c r="C160"/>
  <c r="T160" s="1"/>
  <c r="F156"/>
  <c r="W156" s="1"/>
  <c r="E149"/>
  <c r="V149" s="1"/>
  <c r="G145"/>
  <c r="X145" s="1"/>
  <c r="C142"/>
  <c r="T142" s="1"/>
  <c r="E138"/>
  <c r="V138" s="1"/>
  <c r="F134"/>
  <c r="W134" s="1"/>
  <c r="E127"/>
  <c r="V127" s="1"/>
  <c r="G123"/>
  <c r="X123" s="1"/>
  <c r="C120"/>
  <c r="T120" s="1"/>
  <c r="E116"/>
  <c r="V116" s="1"/>
  <c r="G112"/>
  <c r="X112" s="1"/>
  <c r="C109"/>
  <c r="T109" s="1"/>
  <c r="E105"/>
  <c r="D98"/>
  <c r="U98" s="1"/>
  <c r="G94"/>
  <c r="X94" s="1"/>
  <c r="D87"/>
  <c r="U87" s="1"/>
  <c r="G83"/>
  <c r="X83" s="1"/>
  <c r="E251"/>
  <c r="V251" s="1"/>
  <c r="F247"/>
  <c r="W247" s="1"/>
  <c r="D240"/>
  <c r="U240" s="1"/>
  <c r="F236"/>
  <c r="W236" s="1"/>
  <c r="D229"/>
  <c r="U229" s="1"/>
  <c r="F225"/>
  <c r="W225" s="1"/>
  <c r="C222"/>
  <c r="T222" s="1"/>
  <c r="E218"/>
  <c r="V218" s="1"/>
  <c r="C211"/>
  <c r="T211" s="1"/>
  <c r="E207"/>
  <c r="V207" s="1"/>
  <c r="C200"/>
  <c r="T200" s="1"/>
  <c r="G196"/>
  <c r="X196" s="1"/>
  <c r="C189"/>
  <c r="T189" s="1"/>
  <c r="E185"/>
  <c r="V185" s="1"/>
  <c r="C178"/>
  <c r="G174"/>
  <c r="X174" s="1"/>
  <c r="E167"/>
  <c r="V167" s="1"/>
  <c r="G163"/>
  <c r="X163" s="1"/>
  <c r="E156"/>
  <c r="V156" s="1"/>
  <c r="G152"/>
  <c r="X152" s="1"/>
  <c r="D149"/>
  <c r="U149" s="1"/>
  <c r="F145"/>
  <c r="W145" s="1"/>
  <c r="E134"/>
  <c r="V134" s="1"/>
  <c r="G130"/>
  <c r="X130" s="1"/>
  <c r="D127"/>
  <c r="U127" s="1"/>
  <c r="F123"/>
  <c r="W123" s="1"/>
  <c r="D116"/>
  <c r="U116" s="1"/>
  <c r="F112"/>
  <c r="W112" s="1"/>
  <c r="D105"/>
  <c r="U105" s="1"/>
  <c r="C98"/>
  <c r="T98" s="1"/>
  <c r="F94"/>
  <c r="W94" s="1"/>
  <c r="C87"/>
  <c r="T87" s="1"/>
  <c r="F83"/>
  <c r="W83" s="1"/>
  <c r="C76"/>
  <c r="T76" s="1"/>
  <c r="F72"/>
  <c r="W72" s="1"/>
  <c r="E247"/>
  <c r="V247" s="1"/>
  <c r="G243"/>
  <c r="X243" s="1"/>
  <c r="C240"/>
  <c r="E236"/>
  <c r="V236" s="1"/>
  <c r="G232"/>
  <c r="X232" s="1"/>
  <c r="C229"/>
  <c r="T229" s="1"/>
  <c r="E225"/>
  <c r="V225" s="1"/>
  <c r="D218"/>
  <c r="U218" s="1"/>
  <c r="G214"/>
  <c r="X214" s="1"/>
  <c r="D207"/>
  <c r="U207" s="1"/>
  <c r="G203"/>
  <c r="X203" s="1"/>
  <c r="D196"/>
  <c r="U196" s="1"/>
  <c r="G192"/>
  <c r="X192" s="1"/>
  <c r="D185"/>
  <c r="U185" s="1"/>
  <c r="G181"/>
  <c r="X181" s="1"/>
  <c r="F174"/>
  <c r="W174" s="1"/>
  <c r="D167"/>
  <c r="U167" s="1"/>
  <c r="F163"/>
  <c r="W163" s="1"/>
  <c r="D156"/>
  <c r="U156" s="1"/>
  <c r="F152"/>
  <c r="W152" s="1"/>
  <c r="C149"/>
  <c r="E145"/>
  <c r="V145" s="1"/>
  <c r="D134"/>
  <c r="U134" s="1"/>
  <c r="F130"/>
  <c r="W130" s="1"/>
  <c r="C127"/>
  <c r="T127" s="1"/>
  <c r="E123"/>
  <c r="V123" s="1"/>
  <c r="C116"/>
  <c r="T116" s="1"/>
  <c r="E112"/>
  <c r="V112" s="1"/>
  <c r="C105"/>
  <c r="T105" s="1"/>
  <c r="G101"/>
  <c r="X101" s="1"/>
  <c r="E94"/>
  <c r="V94" s="1"/>
  <c r="G90"/>
  <c r="X90" s="1"/>
  <c r="C83"/>
  <c r="T83" s="1"/>
  <c r="G79"/>
  <c r="X79" s="1"/>
  <c r="D247"/>
  <c r="U247" s="1"/>
  <c r="F243"/>
  <c r="W243" s="1"/>
  <c r="D236"/>
  <c r="U236" s="1"/>
  <c r="F232"/>
  <c r="W232" s="1"/>
  <c r="D225"/>
  <c r="U225" s="1"/>
  <c r="C218"/>
  <c r="T218" s="1"/>
  <c r="F214"/>
  <c r="W214" s="1"/>
  <c r="C207"/>
  <c r="T207" s="1"/>
  <c r="F203"/>
  <c r="W203" s="1"/>
  <c r="C196"/>
  <c r="T196" s="1"/>
  <c r="F192"/>
  <c r="W192" s="1"/>
  <c r="C185"/>
  <c r="T185" s="1"/>
  <c r="F181"/>
  <c r="W181" s="1"/>
  <c r="E174"/>
  <c r="V174" s="1"/>
  <c r="G170"/>
  <c r="X170" s="1"/>
  <c r="C167"/>
  <c r="T167" s="1"/>
  <c r="E163"/>
  <c r="V163" s="1"/>
  <c r="G159"/>
  <c r="X159" s="1"/>
  <c r="C156"/>
  <c r="E152"/>
  <c r="V152" s="1"/>
  <c r="D145"/>
  <c r="U145" s="1"/>
  <c r="E141"/>
  <c r="V141" s="1"/>
  <c r="G137"/>
  <c r="X137" s="1"/>
  <c r="C134"/>
  <c r="T134" s="1"/>
  <c r="E130"/>
  <c r="V130" s="1"/>
  <c r="D123"/>
  <c r="U123" s="1"/>
  <c r="G119"/>
  <c r="X119" s="1"/>
  <c r="D112"/>
  <c r="U112" s="1"/>
  <c r="G108"/>
  <c r="X108" s="1"/>
  <c r="F101"/>
  <c r="W101" s="1"/>
  <c r="D94"/>
  <c r="U94" s="1"/>
  <c r="F90"/>
  <c r="W90" s="1"/>
  <c r="G250"/>
  <c r="X250" s="1"/>
  <c r="C247"/>
  <c r="T247" s="1"/>
  <c r="E243"/>
  <c r="V243" s="1"/>
  <c r="C236"/>
  <c r="T236" s="1"/>
  <c r="E232"/>
  <c r="V232" s="1"/>
  <c r="C225"/>
  <c r="T225" s="1"/>
  <c r="G221"/>
  <c r="X221" s="1"/>
  <c r="E214"/>
  <c r="V214" s="1"/>
  <c r="G210"/>
  <c r="X210" s="1"/>
  <c r="C203"/>
  <c r="T203" s="1"/>
  <c r="G199"/>
  <c r="X199" s="1"/>
  <c r="E192"/>
  <c r="V192" s="1"/>
  <c r="G188"/>
  <c r="X188" s="1"/>
  <c r="F250"/>
  <c r="W250" s="1"/>
  <c r="D243"/>
  <c r="U243" s="1"/>
  <c r="G239"/>
  <c r="X239" s="1"/>
  <c r="D232"/>
  <c r="U232" s="1"/>
  <c r="G228"/>
  <c r="X228" s="1"/>
  <c r="F221"/>
  <c r="W221" s="1"/>
  <c r="D214"/>
  <c r="U214" s="1"/>
  <c r="F210"/>
  <c r="W210" s="1"/>
  <c r="F199"/>
  <c r="W199" s="1"/>
  <c r="D192"/>
  <c r="U192" s="1"/>
  <c r="F188"/>
  <c r="W188" s="1"/>
  <c r="D181"/>
  <c r="U181" s="1"/>
  <c r="F177"/>
  <c r="W177" s="1"/>
  <c r="C174"/>
  <c r="T174" s="1"/>
  <c r="E170"/>
  <c r="V170" s="1"/>
  <c r="C163"/>
  <c r="T163" s="1"/>
  <c r="E159"/>
  <c r="V159" s="1"/>
  <c r="G249" i="6"/>
  <c r="C244"/>
  <c r="F241"/>
  <c r="L238"/>
  <c r="E233"/>
  <c r="L230"/>
  <c r="D228"/>
  <c r="G223"/>
  <c r="M220"/>
  <c r="F218"/>
  <c r="M215"/>
  <c r="C213"/>
  <c r="K210"/>
  <c r="E208"/>
  <c r="K205"/>
  <c r="D203"/>
  <c r="L200"/>
  <c r="E198"/>
  <c r="L195"/>
  <c r="I190"/>
  <c r="I185"/>
  <c r="C183"/>
  <c r="J180"/>
  <c r="D178"/>
  <c r="K175"/>
  <c r="F173"/>
  <c r="G168"/>
  <c r="J163"/>
  <c r="D161"/>
  <c r="L158"/>
  <c r="G156"/>
  <c r="D154"/>
  <c r="M151"/>
  <c r="D149"/>
  <c r="K146"/>
  <c r="F144"/>
  <c r="G139"/>
  <c r="C137"/>
  <c r="J134"/>
  <c r="E132"/>
  <c r="E127"/>
  <c r="F122"/>
  <c r="C120"/>
  <c r="M117"/>
  <c r="G115"/>
  <c r="J110"/>
  <c r="L105"/>
  <c r="G103"/>
  <c r="C101"/>
  <c r="J96"/>
  <c r="E94"/>
  <c r="L89"/>
  <c r="F87"/>
  <c r="D85"/>
  <c r="L80"/>
  <c r="K78"/>
  <c r="J76"/>
  <c r="I74"/>
  <c r="G72"/>
  <c r="F70"/>
  <c r="E68"/>
  <c r="D66"/>
  <c r="C64"/>
  <c r="M57"/>
  <c r="L55"/>
  <c r="K53"/>
  <c r="J51"/>
  <c r="I49"/>
  <c r="G47"/>
  <c r="F45"/>
  <c r="E43"/>
  <c r="D41"/>
  <c r="F249"/>
  <c r="M246"/>
  <c r="E241"/>
  <c r="J238"/>
  <c r="L235"/>
  <c r="D233"/>
  <c r="J230"/>
  <c r="C228"/>
  <c r="M225"/>
  <c r="E223"/>
  <c r="L220"/>
  <c r="E218"/>
  <c r="K215"/>
  <c r="J210"/>
  <c r="D208"/>
  <c r="I205"/>
  <c r="C203"/>
  <c r="K200"/>
  <c r="D198"/>
  <c r="K195"/>
  <c r="G190"/>
  <c r="G185"/>
  <c r="I180"/>
  <c r="C178"/>
  <c r="J175"/>
  <c r="D173"/>
  <c r="M170"/>
  <c r="F168"/>
  <c r="M165"/>
  <c r="I163"/>
  <c r="K158"/>
  <c r="F156"/>
  <c r="C154"/>
  <c r="K151"/>
  <c r="C149"/>
  <c r="J146"/>
  <c r="E144"/>
  <c r="F139"/>
  <c r="I134"/>
  <c r="C132"/>
  <c r="K129"/>
  <c r="D127"/>
  <c r="M124"/>
  <c r="E122"/>
  <c r="L117"/>
  <c r="E115"/>
  <c r="F110"/>
  <c r="M107"/>
  <c r="K105"/>
  <c r="E103"/>
  <c r="M98"/>
  <c r="G96"/>
  <c r="D94"/>
  <c r="J89"/>
  <c r="E87"/>
  <c r="M82"/>
  <c r="K80"/>
  <c r="J78"/>
  <c r="I76"/>
  <c r="G74"/>
  <c r="F72"/>
  <c r="E70"/>
  <c r="D68"/>
  <c r="C66"/>
  <c r="M59"/>
  <c r="L57"/>
  <c r="K55"/>
  <c r="J53"/>
  <c r="I51"/>
  <c r="G49"/>
  <c r="F47"/>
  <c r="E45"/>
  <c r="D43"/>
  <c r="M36"/>
  <c r="M34"/>
  <c r="M32"/>
  <c r="M30"/>
  <c r="D249"/>
  <c r="L246"/>
  <c r="D241"/>
  <c r="G238"/>
  <c r="K235"/>
  <c r="C233"/>
  <c r="I230"/>
  <c r="L225"/>
  <c r="D223"/>
  <c r="K220"/>
  <c r="D218"/>
  <c r="I215"/>
  <c r="I210"/>
  <c r="C208"/>
  <c r="G205"/>
  <c r="I200"/>
  <c r="I195"/>
  <c r="L192"/>
  <c r="F190"/>
  <c r="M187"/>
  <c r="F185"/>
  <c r="G180"/>
  <c r="G175"/>
  <c r="K170"/>
  <c r="E168"/>
  <c r="L165"/>
  <c r="G163"/>
  <c r="J158"/>
  <c r="E156"/>
  <c r="I151"/>
  <c r="G146"/>
  <c r="D144"/>
  <c r="L141"/>
  <c r="E139"/>
  <c r="G134"/>
  <c r="G129"/>
  <c r="C127"/>
  <c r="L124"/>
  <c r="D122"/>
  <c r="K117"/>
  <c r="D115"/>
  <c r="M112"/>
  <c r="D110"/>
  <c r="L107"/>
  <c r="J105"/>
  <c r="D103"/>
  <c r="L98"/>
  <c r="F96"/>
  <c r="C94"/>
  <c r="M91"/>
  <c r="I89"/>
  <c r="D87"/>
  <c r="K82"/>
  <c r="J80"/>
  <c r="I78"/>
  <c r="G76"/>
  <c r="F74"/>
  <c r="E72"/>
  <c r="D70"/>
  <c r="C68"/>
  <c r="M61"/>
  <c r="L59"/>
  <c r="K57"/>
  <c r="J55"/>
  <c r="I53"/>
  <c r="G51"/>
  <c r="F49"/>
  <c r="E47"/>
  <c r="D45"/>
  <c r="M38"/>
  <c r="C249"/>
  <c r="K246"/>
  <c r="M243"/>
  <c r="E238"/>
  <c r="J235"/>
  <c r="G230"/>
  <c r="K225"/>
  <c r="J220"/>
  <c r="F215"/>
  <c r="L212"/>
  <c r="G210"/>
  <c r="F205"/>
  <c r="G200"/>
  <c r="E195"/>
  <c r="K192"/>
  <c r="E190"/>
  <c r="L187"/>
  <c r="E185"/>
  <c r="M182"/>
  <c r="F180"/>
  <c r="E175"/>
  <c r="J170"/>
  <c r="C168"/>
  <c r="K165"/>
  <c r="F163"/>
  <c r="M160"/>
  <c r="I158"/>
  <c r="D156"/>
  <c r="F151"/>
  <c r="F146"/>
  <c r="C144"/>
  <c r="K141"/>
  <c r="D139"/>
  <c r="M136"/>
  <c r="E134"/>
  <c r="S134" s="1"/>
  <c r="F129"/>
  <c r="K124"/>
  <c r="C122"/>
  <c r="M119"/>
  <c r="I117"/>
  <c r="C115"/>
  <c r="K112"/>
  <c r="K107"/>
  <c r="I105"/>
  <c r="C103"/>
  <c r="M100"/>
  <c r="K98"/>
  <c r="E96"/>
  <c r="L91"/>
  <c r="G89"/>
  <c r="M84"/>
  <c r="J82"/>
  <c r="I80"/>
  <c r="R80" s="1"/>
  <c r="G78"/>
  <c r="F76"/>
  <c r="E74"/>
  <c r="D72"/>
  <c r="C70"/>
  <c r="M63"/>
  <c r="L61"/>
  <c r="K59"/>
  <c r="J57"/>
  <c r="I55"/>
  <c r="G53"/>
  <c r="F51"/>
  <c r="E49"/>
  <c r="D47"/>
  <c r="M40"/>
  <c r="L38"/>
  <c r="K36"/>
  <c r="K34"/>
  <c r="J246"/>
  <c r="K243"/>
  <c r="D238"/>
  <c r="G235"/>
  <c r="E230"/>
  <c r="M227"/>
  <c r="I225"/>
  <c r="I220"/>
  <c r="E215"/>
  <c r="K212"/>
  <c r="F210"/>
  <c r="E205"/>
  <c r="M202"/>
  <c r="F200"/>
  <c r="M197"/>
  <c r="C195"/>
  <c r="J192"/>
  <c r="D190"/>
  <c r="K187"/>
  <c r="D185"/>
  <c r="K182"/>
  <c r="E180"/>
  <c r="M177"/>
  <c r="C175"/>
  <c r="M172"/>
  <c r="I170"/>
  <c r="J165"/>
  <c r="D163"/>
  <c r="L160"/>
  <c r="G158"/>
  <c r="C156"/>
  <c r="L153"/>
  <c r="E151"/>
  <c r="M148"/>
  <c r="E146"/>
  <c r="J141"/>
  <c r="C139"/>
  <c r="K136"/>
  <c r="C134"/>
  <c r="L131"/>
  <c r="E129"/>
  <c r="I124"/>
  <c r="L119"/>
  <c r="G117"/>
  <c r="I112"/>
  <c r="J107"/>
  <c r="G105"/>
  <c r="L100"/>
  <c r="J98"/>
  <c r="D96"/>
  <c r="K91"/>
  <c r="E89"/>
  <c r="K84"/>
  <c r="I82"/>
  <c r="G80"/>
  <c r="F78"/>
  <c r="E76"/>
  <c r="D74"/>
  <c r="C72"/>
  <c r="M65"/>
  <c r="L63"/>
  <c r="K61"/>
  <c r="J59"/>
  <c r="I57"/>
  <c r="G55"/>
  <c r="F53"/>
  <c r="E51"/>
  <c r="D49"/>
  <c r="M42"/>
  <c r="L40"/>
  <c r="K38"/>
  <c r="J36"/>
  <c r="J34"/>
  <c r="J32"/>
  <c r="J30"/>
  <c r="J28"/>
  <c r="I10"/>
  <c r="G13"/>
  <c r="G15"/>
  <c r="G17"/>
  <c r="G19"/>
  <c r="G21"/>
  <c r="G23"/>
  <c r="G25"/>
  <c r="G27"/>
  <c r="I29"/>
  <c r="K31"/>
  <c r="M33"/>
  <c r="C36"/>
  <c r="G38"/>
  <c r="G43"/>
  <c r="L45"/>
  <c r="D48"/>
  <c r="K50"/>
  <c r="E53"/>
  <c r="D56"/>
  <c r="K58"/>
  <c r="D61"/>
  <c r="I63"/>
  <c r="G68"/>
  <c r="M70"/>
  <c r="G73"/>
  <c r="M78"/>
  <c r="G81"/>
  <c r="F86"/>
  <c r="C92"/>
  <c r="J94"/>
  <c r="G97"/>
  <c r="C100"/>
  <c r="K102"/>
  <c r="M105"/>
  <c r="J108"/>
  <c r="F111"/>
  <c r="K122"/>
  <c r="L125"/>
  <c r="G128"/>
  <c r="C131"/>
  <c r="M133"/>
  <c r="D137"/>
  <c r="K145"/>
  <c r="J148"/>
  <c r="K154"/>
  <c r="E157"/>
  <c r="F160"/>
  <c r="D166"/>
  <c r="E169"/>
  <c r="J174"/>
  <c r="L177"/>
  <c r="J183"/>
  <c r="I189"/>
  <c r="I192"/>
  <c r="K201"/>
  <c r="L204"/>
  <c r="M207"/>
  <c r="J219"/>
  <c r="M222"/>
  <c r="C226"/>
  <c r="L228"/>
  <c r="L234"/>
  <c r="I241"/>
  <c r="K244"/>
  <c r="J247"/>
  <c r="G252" i="5"/>
  <c r="X252" s="1"/>
  <c r="G276"/>
  <c r="X276" s="1"/>
  <c r="G300"/>
  <c r="X300" s="1"/>
  <c r="G324"/>
  <c r="X324" s="1"/>
  <c r="G348"/>
  <c r="X348" s="1"/>
  <c r="G372"/>
  <c r="X372" s="1"/>
  <c r="G396"/>
  <c r="X396" s="1"/>
  <c r="G420"/>
  <c r="X420" s="1"/>
  <c r="G444"/>
  <c r="X444" s="1"/>
  <c r="F258"/>
  <c r="W258" s="1"/>
  <c r="F282"/>
  <c r="W282" s="1"/>
  <c r="F306"/>
  <c r="W306" s="1"/>
  <c r="F330"/>
  <c r="W330" s="1"/>
  <c r="F354"/>
  <c r="W354" s="1"/>
  <c r="F378"/>
  <c r="W378" s="1"/>
  <c r="F402"/>
  <c r="W402" s="1"/>
  <c r="F426"/>
  <c r="W426" s="1"/>
  <c r="F450"/>
  <c r="W450" s="1"/>
  <c r="E264"/>
  <c r="V264" s="1"/>
  <c r="E288"/>
  <c r="V288" s="1"/>
  <c r="E312"/>
  <c r="V312" s="1"/>
  <c r="E336"/>
  <c r="V336" s="1"/>
  <c r="E360"/>
  <c r="V360" s="1"/>
  <c r="E384"/>
  <c r="V384" s="1"/>
  <c r="E408"/>
  <c r="V408" s="1"/>
  <c r="E432"/>
  <c r="V432" s="1"/>
  <c r="E456"/>
  <c r="V456" s="1"/>
  <c r="D270"/>
  <c r="U270" s="1"/>
  <c r="D294"/>
  <c r="U294" s="1"/>
  <c r="D318"/>
  <c r="U318" s="1"/>
  <c r="D342"/>
  <c r="U342" s="1"/>
  <c r="D366"/>
  <c r="U366" s="1"/>
  <c r="D390"/>
  <c r="U390" s="1"/>
  <c r="D414"/>
  <c r="U414" s="1"/>
  <c r="D438"/>
  <c r="U438" s="1"/>
  <c r="C252"/>
  <c r="C276"/>
  <c r="C300"/>
  <c r="C324"/>
  <c r="C348"/>
  <c r="C372"/>
  <c r="C396"/>
  <c r="C420"/>
  <c r="C444"/>
  <c r="G253"/>
  <c r="X253" s="1"/>
  <c r="G277"/>
  <c r="X277" s="1"/>
  <c r="G301"/>
  <c r="X301" s="1"/>
  <c r="G325"/>
  <c r="X325" s="1"/>
  <c r="G349"/>
  <c r="X349" s="1"/>
  <c r="G373"/>
  <c r="X373" s="1"/>
  <c r="G397"/>
  <c r="X397" s="1"/>
  <c r="G421"/>
  <c r="X421" s="1"/>
  <c r="G445"/>
  <c r="X445" s="1"/>
  <c r="F259"/>
  <c r="W259" s="1"/>
  <c r="F283"/>
  <c r="W283" s="1"/>
  <c r="F307"/>
  <c r="W307" s="1"/>
  <c r="F331"/>
  <c r="W331" s="1"/>
  <c r="F355"/>
  <c r="W355" s="1"/>
  <c r="F379"/>
  <c r="W379" s="1"/>
  <c r="F403"/>
  <c r="W403" s="1"/>
  <c r="F427"/>
  <c r="W427" s="1"/>
  <c r="F451"/>
  <c r="W451" s="1"/>
  <c r="E265"/>
  <c r="V265" s="1"/>
  <c r="E289"/>
  <c r="V289" s="1"/>
  <c r="E313"/>
  <c r="V313" s="1"/>
  <c r="E337"/>
  <c r="V337" s="1"/>
  <c r="E361"/>
  <c r="V361" s="1"/>
  <c r="E385"/>
  <c r="V385" s="1"/>
  <c r="E409"/>
  <c r="V409" s="1"/>
  <c r="E433"/>
  <c r="V433" s="1"/>
  <c r="E457"/>
  <c r="V457" s="1"/>
  <c r="D271"/>
  <c r="U271" s="1"/>
  <c r="D295"/>
  <c r="U295" s="1"/>
  <c r="D319"/>
  <c r="U319" s="1"/>
  <c r="D343"/>
  <c r="U343" s="1"/>
  <c r="D367"/>
  <c r="U367" s="1"/>
  <c r="D391"/>
  <c r="U391" s="1"/>
  <c r="D415"/>
  <c r="U415" s="1"/>
  <c r="D439"/>
  <c r="U439" s="1"/>
  <c r="C253"/>
  <c r="T253" s="1"/>
  <c r="C277"/>
  <c r="C301"/>
  <c r="C325"/>
  <c r="C349"/>
  <c r="T349" s="1"/>
  <c r="C373"/>
  <c r="C397"/>
  <c r="C421"/>
  <c r="C445"/>
  <c r="G254"/>
  <c r="X254" s="1"/>
  <c r="G278"/>
  <c r="X278" s="1"/>
  <c r="G302"/>
  <c r="X302" s="1"/>
  <c r="G326"/>
  <c r="X326" s="1"/>
  <c r="G350"/>
  <c r="X350" s="1"/>
  <c r="G374"/>
  <c r="X374" s="1"/>
  <c r="G398"/>
  <c r="X398" s="1"/>
  <c r="G422"/>
  <c r="X422" s="1"/>
  <c r="G446"/>
  <c r="X446" s="1"/>
  <c r="F260"/>
  <c r="W260" s="1"/>
  <c r="F284"/>
  <c r="W284" s="1"/>
  <c r="F308"/>
  <c r="W308" s="1"/>
  <c r="F332"/>
  <c r="W332" s="1"/>
  <c r="F356"/>
  <c r="W356" s="1"/>
  <c r="F380"/>
  <c r="W380" s="1"/>
  <c r="F404"/>
  <c r="W404" s="1"/>
  <c r="F428"/>
  <c r="W428" s="1"/>
  <c r="F452"/>
  <c r="W452" s="1"/>
  <c r="E266"/>
  <c r="V266" s="1"/>
  <c r="E290"/>
  <c r="V290" s="1"/>
  <c r="E314"/>
  <c r="V314" s="1"/>
  <c r="E338"/>
  <c r="V338" s="1"/>
  <c r="E362"/>
  <c r="V362" s="1"/>
  <c r="E386"/>
  <c r="V386" s="1"/>
  <c r="E410"/>
  <c r="V410" s="1"/>
  <c r="E434"/>
  <c r="V434" s="1"/>
  <c r="E458"/>
  <c r="V458" s="1"/>
  <c r="D272"/>
  <c r="U272" s="1"/>
  <c r="D296"/>
  <c r="U296" s="1"/>
  <c r="D320"/>
  <c r="U320" s="1"/>
  <c r="D344"/>
  <c r="U344" s="1"/>
  <c r="D368"/>
  <c r="U368" s="1"/>
  <c r="D392"/>
  <c r="U392" s="1"/>
  <c r="D416"/>
  <c r="U416" s="1"/>
  <c r="D440"/>
  <c r="U440" s="1"/>
  <c r="C254"/>
  <c r="C278"/>
  <c r="C302"/>
  <c r="C326"/>
  <c r="C350"/>
  <c r="C374"/>
  <c r="C398"/>
  <c r="C422"/>
  <c r="C446"/>
  <c r="G255"/>
  <c r="G279"/>
  <c r="X279" s="1"/>
  <c r="G303"/>
  <c r="X303" s="1"/>
  <c r="G327"/>
  <c r="X327" s="1"/>
  <c r="G351"/>
  <c r="X351" s="1"/>
  <c r="G375"/>
  <c r="G399"/>
  <c r="X399" s="1"/>
  <c r="G423"/>
  <c r="X423" s="1"/>
  <c r="G447"/>
  <c r="X447" s="1"/>
  <c r="F261"/>
  <c r="W261" s="1"/>
  <c r="F285"/>
  <c r="W285" s="1"/>
  <c r="F309"/>
  <c r="W309" s="1"/>
  <c r="F333"/>
  <c r="W333" s="1"/>
  <c r="F357"/>
  <c r="W357" s="1"/>
  <c r="F381"/>
  <c r="W381" s="1"/>
  <c r="F405"/>
  <c r="W405" s="1"/>
  <c r="F429"/>
  <c r="W429" s="1"/>
  <c r="F453"/>
  <c r="W453" s="1"/>
  <c r="E267"/>
  <c r="V267" s="1"/>
  <c r="E291"/>
  <c r="V291" s="1"/>
  <c r="E315"/>
  <c r="V315" s="1"/>
  <c r="E339"/>
  <c r="V339" s="1"/>
  <c r="E363"/>
  <c r="V363" s="1"/>
  <c r="E387"/>
  <c r="V387" s="1"/>
  <c r="E411"/>
  <c r="V411" s="1"/>
  <c r="E435"/>
  <c r="V435" s="1"/>
  <c r="E459"/>
  <c r="V459" s="1"/>
  <c r="D273"/>
  <c r="U273" s="1"/>
  <c r="D297"/>
  <c r="U297" s="1"/>
  <c r="D321"/>
  <c r="U321" s="1"/>
  <c r="D345"/>
  <c r="U345" s="1"/>
  <c r="D369"/>
  <c r="U369" s="1"/>
  <c r="D393"/>
  <c r="U393" s="1"/>
  <c r="D417"/>
  <c r="U417" s="1"/>
  <c r="D441"/>
  <c r="U441" s="1"/>
  <c r="C255"/>
  <c r="T255" s="1"/>
  <c r="C279"/>
  <c r="C303"/>
  <c r="C327"/>
  <c r="C351"/>
  <c r="T351" s="1"/>
  <c r="C375"/>
  <c r="T375" s="1"/>
  <c r="C399"/>
  <c r="T399" s="1"/>
  <c r="C423"/>
  <c r="C447"/>
  <c r="C280"/>
  <c r="G256"/>
  <c r="G280"/>
  <c r="X280" s="1"/>
  <c r="G304"/>
  <c r="X304" s="1"/>
  <c r="G328"/>
  <c r="X328" s="1"/>
  <c r="G352"/>
  <c r="X352" s="1"/>
  <c r="G376"/>
  <c r="G400"/>
  <c r="X400" s="1"/>
  <c r="G424"/>
  <c r="X424" s="1"/>
  <c r="G448"/>
  <c r="X448" s="1"/>
  <c r="F262"/>
  <c r="W262" s="1"/>
  <c r="F286"/>
  <c r="W286" s="1"/>
  <c r="F310"/>
  <c r="W310" s="1"/>
  <c r="F334"/>
  <c r="W334" s="1"/>
  <c r="F358"/>
  <c r="W358" s="1"/>
  <c r="F382"/>
  <c r="W382" s="1"/>
  <c r="F406"/>
  <c r="W406" s="1"/>
  <c r="F430"/>
  <c r="W430" s="1"/>
  <c r="F454"/>
  <c r="W454" s="1"/>
  <c r="E268"/>
  <c r="V268" s="1"/>
  <c r="E292"/>
  <c r="V292" s="1"/>
  <c r="E316"/>
  <c r="V316" s="1"/>
  <c r="E340"/>
  <c r="V340" s="1"/>
  <c r="E364"/>
  <c r="V364" s="1"/>
  <c r="E388"/>
  <c r="V388" s="1"/>
  <c r="E412"/>
  <c r="V412" s="1"/>
  <c r="E436"/>
  <c r="V436" s="1"/>
  <c r="E460"/>
  <c r="V460" s="1"/>
  <c r="D274"/>
  <c r="U274" s="1"/>
  <c r="D298"/>
  <c r="U298" s="1"/>
  <c r="D322"/>
  <c r="U322" s="1"/>
  <c r="D346"/>
  <c r="U346" s="1"/>
  <c r="D370"/>
  <c r="U370" s="1"/>
  <c r="D394"/>
  <c r="U394" s="1"/>
  <c r="D418"/>
  <c r="U418" s="1"/>
  <c r="D442"/>
  <c r="U442" s="1"/>
  <c r="C256"/>
  <c r="T256" s="1"/>
  <c r="C304"/>
  <c r="C328"/>
  <c r="C352"/>
  <c r="C376"/>
  <c r="T376" s="1"/>
  <c r="C400"/>
  <c r="C424"/>
  <c r="C448"/>
  <c r="G261"/>
  <c r="X261" s="1"/>
  <c r="G285"/>
  <c r="X285" s="1"/>
  <c r="G309"/>
  <c r="G333"/>
  <c r="X333" s="1"/>
  <c r="G357"/>
  <c r="X357" s="1"/>
  <c r="G381"/>
  <c r="X381" s="1"/>
  <c r="G405"/>
  <c r="X405" s="1"/>
  <c r="G429"/>
  <c r="X429" s="1"/>
  <c r="G453"/>
  <c r="X453" s="1"/>
  <c r="F267"/>
  <c r="W267" s="1"/>
  <c r="F291"/>
  <c r="W291" s="1"/>
  <c r="F315"/>
  <c r="W315" s="1"/>
  <c r="F339"/>
  <c r="W339" s="1"/>
  <c r="F363"/>
  <c r="W363" s="1"/>
  <c r="F387"/>
  <c r="W387" s="1"/>
  <c r="F411"/>
  <c r="W411" s="1"/>
  <c r="F435"/>
  <c r="W435" s="1"/>
  <c r="F459"/>
  <c r="W459" s="1"/>
  <c r="E273"/>
  <c r="V273" s="1"/>
  <c r="E297"/>
  <c r="V297" s="1"/>
  <c r="E321"/>
  <c r="V321" s="1"/>
  <c r="E345"/>
  <c r="V345" s="1"/>
  <c r="E369"/>
  <c r="V369" s="1"/>
  <c r="E393"/>
  <c r="V393" s="1"/>
  <c r="E417"/>
  <c r="V417" s="1"/>
  <c r="E441"/>
  <c r="V441" s="1"/>
  <c r="D255"/>
  <c r="U255" s="1"/>
  <c r="D279"/>
  <c r="U279" s="1"/>
  <c r="D303"/>
  <c r="U303" s="1"/>
  <c r="D327"/>
  <c r="U327" s="1"/>
  <c r="D351"/>
  <c r="D375"/>
  <c r="U375" s="1"/>
  <c r="D399"/>
  <c r="D423"/>
  <c r="U423" s="1"/>
  <c r="D447"/>
  <c r="U447" s="1"/>
  <c r="C261"/>
  <c r="C285"/>
  <c r="C309"/>
  <c r="T309" s="1"/>
  <c r="C333"/>
  <c r="C357"/>
  <c r="C381"/>
  <c r="T381" s="1"/>
  <c r="C405"/>
  <c r="C429"/>
  <c r="C453"/>
  <c r="G257"/>
  <c r="G288"/>
  <c r="X288" s="1"/>
  <c r="G318"/>
  <c r="X318" s="1"/>
  <c r="G353"/>
  <c r="X353" s="1"/>
  <c r="G384"/>
  <c r="X384" s="1"/>
  <c r="G414"/>
  <c r="X414" s="1"/>
  <c r="G449"/>
  <c r="X449" s="1"/>
  <c r="F270"/>
  <c r="W270" s="1"/>
  <c r="F300"/>
  <c r="W300" s="1"/>
  <c r="F335"/>
  <c r="W335" s="1"/>
  <c r="F366"/>
  <c r="W366" s="1"/>
  <c r="F396"/>
  <c r="W396" s="1"/>
  <c r="F431"/>
  <c r="W431" s="1"/>
  <c r="E252"/>
  <c r="V252" s="1"/>
  <c r="E282"/>
  <c r="V282" s="1"/>
  <c r="E317"/>
  <c r="V317" s="1"/>
  <c r="E348"/>
  <c r="V348" s="1"/>
  <c r="E378"/>
  <c r="V378" s="1"/>
  <c r="E413"/>
  <c r="V413" s="1"/>
  <c r="E444"/>
  <c r="V444" s="1"/>
  <c r="D264"/>
  <c r="U264" s="1"/>
  <c r="D299"/>
  <c r="U299" s="1"/>
  <c r="D330"/>
  <c r="U330" s="1"/>
  <c r="D360"/>
  <c r="U360" s="1"/>
  <c r="D395"/>
  <c r="U395" s="1"/>
  <c r="D426"/>
  <c r="U426" s="1"/>
  <c r="D456"/>
  <c r="U456" s="1"/>
  <c r="C281"/>
  <c r="T281" s="1"/>
  <c r="C312"/>
  <c r="T312" s="1"/>
  <c r="C342"/>
  <c r="C377"/>
  <c r="C408"/>
  <c r="C438"/>
  <c r="E253"/>
  <c r="G259"/>
  <c r="X259" s="1"/>
  <c r="G290"/>
  <c r="X290" s="1"/>
  <c r="G320"/>
  <c r="X320" s="1"/>
  <c r="G355"/>
  <c r="X355" s="1"/>
  <c r="G386"/>
  <c r="X386" s="1"/>
  <c r="G416"/>
  <c r="X416" s="1"/>
  <c r="G451"/>
  <c r="X451" s="1"/>
  <c r="F272"/>
  <c r="W272" s="1"/>
  <c r="F302"/>
  <c r="W302" s="1"/>
  <c r="F337"/>
  <c r="W337" s="1"/>
  <c r="F368"/>
  <c r="W368" s="1"/>
  <c r="F398"/>
  <c r="W398" s="1"/>
  <c r="F433"/>
  <c r="W433" s="1"/>
  <c r="E254"/>
  <c r="V254" s="1"/>
  <c r="E284"/>
  <c r="V284" s="1"/>
  <c r="E319"/>
  <c r="V319" s="1"/>
  <c r="E350"/>
  <c r="V350" s="1"/>
  <c r="E380"/>
  <c r="V380" s="1"/>
  <c r="E415"/>
  <c r="V415" s="1"/>
  <c r="G258"/>
  <c r="X258" s="1"/>
  <c r="G289"/>
  <c r="X289" s="1"/>
  <c r="G319"/>
  <c r="X319" s="1"/>
  <c r="G354"/>
  <c r="X354" s="1"/>
  <c r="G385"/>
  <c r="X385" s="1"/>
  <c r="G415"/>
  <c r="X415" s="1"/>
  <c r="G450"/>
  <c r="X450" s="1"/>
  <c r="F271"/>
  <c r="W271" s="1"/>
  <c r="F301"/>
  <c r="W301" s="1"/>
  <c r="F336"/>
  <c r="W336" s="1"/>
  <c r="F367"/>
  <c r="W367" s="1"/>
  <c r="F397"/>
  <c r="W397" s="1"/>
  <c r="F432"/>
  <c r="W432" s="1"/>
  <c r="E283"/>
  <c r="V283" s="1"/>
  <c r="E318"/>
  <c r="V318" s="1"/>
  <c r="E349"/>
  <c r="V349" s="1"/>
  <c r="E379"/>
  <c r="V379" s="1"/>
  <c r="E414"/>
  <c r="V414" s="1"/>
  <c r="E445"/>
  <c r="V445" s="1"/>
  <c r="D265"/>
  <c r="U265" s="1"/>
  <c r="D300"/>
  <c r="U300" s="1"/>
  <c r="D331"/>
  <c r="U331" s="1"/>
  <c r="D361"/>
  <c r="U361" s="1"/>
  <c r="D396"/>
  <c r="U396" s="1"/>
  <c r="D427"/>
  <c r="U427" s="1"/>
  <c r="D457"/>
  <c r="U457" s="1"/>
  <c r="C282"/>
  <c r="C313"/>
  <c r="T313" s="1"/>
  <c r="C343"/>
  <c r="C378"/>
  <c r="C409"/>
  <c r="C439"/>
  <c r="G260"/>
  <c r="X260" s="1"/>
  <c r="G291"/>
  <c r="X291" s="1"/>
  <c r="G321"/>
  <c r="X321" s="1"/>
  <c r="G356"/>
  <c r="X356" s="1"/>
  <c r="G387"/>
  <c r="X387" s="1"/>
  <c r="G417"/>
  <c r="X417" s="1"/>
  <c r="G452"/>
  <c r="X452" s="1"/>
  <c r="F273"/>
  <c r="W273" s="1"/>
  <c r="F303"/>
  <c r="W303" s="1"/>
  <c r="F338"/>
  <c r="W338" s="1"/>
  <c r="F369"/>
  <c r="W369" s="1"/>
  <c r="F399"/>
  <c r="W399" s="1"/>
  <c r="F434"/>
  <c r="W434" s="1"/>
  <c r="E255"/>
  <c r="V255" s="1"/>
  <c r="E285"/>
  <c r="V285" s="1"/>
  <c r="E320"/>
  <c r="V320" s="1"/>
  <c r="E351"/>
  <c r="V351" s="1"/>
  <c r="E381"/>
  <c r="V381" s="1"/>
  <c r="E416"/>
  <c r="V416" s="1"/>
  <c r="E447"/>
  <c r="V447" s="1"/>
  <c r="D267"/>
  <c r="U267" s="1"/>
  <c r="D302"/>
  <c r="U302" s="1"/>
  <c r="D333"/>
  <c r="U333" s="1"/>
  <c r="D363"/>
  <c r="U363" s="1"/>
  <c r="D398"/>
  <c r="U398" s="1"/>
  <c r="D429"/>
  <c r="U429" s="1"/>
  <c r="D459"/>
  <c r="U459" s="1"/>
  <c r="C284"/>
  <c r="C315"/>
  <c r="C345"/>
  <c r="C380"/>
  <c r="C411"/>
  <c r="C441"/>
  <c r="G262"/>
  <c r="X262" s="1"/>
  <c r="G292"/>
  <c r="X292" s="1"/>
  <c r="G322"/>
  <c r="X322" s="1"/>
  <c r="G358"/>
  <c r="X358" s="1"/>
  <c r="G388"/>
  <c r="X388" s="1"/>
  <c r="G418"/>
  <c r="X418" s="1"/>
  <c r="G454"/>
  <c r="X454" s="1"/>
  <c r="F274"/>
  <c r="W274" s="1"/>
  <c r="F304"/>
  <c r="W304" s="1"/>
  <c r="F340"/>
  <c r="W340" s="1"/>
  <c r="F370"/>
  <c r="W370" s="1"/>
  <c r="F400"/>
  <c r="W400" s="1"/>
  <c r="F436"/>
  <c r="W436" s="1"/>
  <c r="E256"/>
  <c r="V256" s="1"/>
  <c r="E286"/>
  <c r="V286" s="1"/>
  <c r="E322"/>
  <c r="V322" s="1"/>
  <c r="G270"/>
  <c r="X270" s="1"/>
  <c r="G305"/>
  <c r="X305" s="1"/>
  <c r="G336"/>
  <c r="X336" s="1"/>
  <c r="G366"/>
  <c r="X366" s="1"/>
  <c r="G401"/>
  <c r="X401" s="1"/>
  <c r="G432"/>
  <c r="X432" s="1"/>
  <c r="F252"/>
  <c r="W252" s="1"/>
  <c r="F287"/>
  <c r="W287" s="1"/>
  <c r="F318"/>
  <c r="W318" s="1"/>
  <c r="F348"/>
  <c r="W348" s="1"/>
  <c r="F383"/>
  <c r="W383" s="1"/>
  <c r="F414"/>
  <c r="W414" s="1"/>
  <c r="F444"/>
  <c r="W444" s="1"/>
  <c r="E269"/>
  <c r="V269" s="1"/>
  <c r="E300"/>
  <c r="V300" s="1"/>
  <c r="E330"/>
  <c r="V330" s="1"/>
  <c r="E365"/>
  <c r="V365" s="1"/>
  <c r="E396"/>
  <c r="V396" s="1"/>
  <c r="E426"/>
  <c r="V426" s="1"/>
  <c r="E461"/>
  <c r="V461" s="1"/>
  <c r="D282"/>
  <c r="U282" s="1"/>
  <c r="D312"/>
  <c r="U312" s="1"/>
  <c r="D347"/>
  <c r="U347" s="1"/>
  <c r="D378"/>
  <c r="U378" s="1"/>
  <c r="D408"/>
  <c r="U408" s="1"/>
  <c r="D443"/>
  <c r="U443" s="1"/>
  <c r="C264"/>
  <c r="C294"/>
  <c r="C329"/>
  <c r="T329" s="1"/>
  <c r="C360"/>
  <c r="C390"/>
  <c r="C425"/>
  <c r="C456"/>
  <c r="G263"/>
  <c r="X263" s="1"/>
  <c r="G299"/>
  <c r="X299" s="1"/>
  <c r="G342"/>
  <c r="X342" s="1"/>
  <c r="G389"/>
  <c r="X389" s="1"/>
  <c r="G431"/>
  <c r="X431" s="1"/>
  <c r="F263"/>
  <c r="W263" s="1"/>
  <c r="F305"/>
  <c r="W305" s="1"/>
  <c r="F347"/>
  <c r="W347" s="1"/>
  <c r="F390"/>
  <c r="W390" s="1"/>
  <c r="F437"/>
  <c r="W437" s="1"/>
  <c r="E263"/>
  <c r="V263" s="1"/>
  <c r="E306"/>
  <c r="V306" s="1"/>
  <c r="E352"/>
  <c r="V352" s="1"/>
  <c r="E392"/>
  <c r="V392" s="1"/>
  <c r="E429"/>
  <c r="V429" s="1"/>
  <c r="D259"/>
  <c r="U259" s="1"/>
  <c r="D293"/>
  <c r="U293" s="1"/>
  <c r="D336"/>
  <c r="U336" s="1"/>
  <c r="D376"/>
  <c r="U376" s="1"/>
  <c r="D411"/>
  <c r="U411" s="1"/>
  <c r="D451"/>
  <c r="U451" s="1"/>
  <c r="C275"/>
  <c r="C318"/>
  <c r="C358"/>
  <c r="C393"/>
  <c r="C433"/>
  <c r="G264"/>
  <c r="X264" s="1"/>
  <c r="G306"/>
  <c r="X306" s="1"/>
  <c r="G343"/>
  <c r="X343" s="1"/>
  <c r="G390"/>
  <c r="X390" s="1"/>
  <c r="G433"/>
  <c r="X433" s="1"/>
  <c r="F264"/>
  <c r="W264" s="1"/>
  <c r="F311"/>
  <c r="W311" s="1"/>
  <c r="F349"/>
  <c r="W349" s="1"/>
  <c r="F391"/>
  <c r="W391" s="1"/>
  <c r="F438"/>
  <c r="W438" s="1"/>
  <c r="E270"/>
  <c r="V270" s="1"/>
  <c r="E307"/>
  <c r="V307" s="1"/>
  <c r="E353"/>
  <c r="V353" s="1"/>
  <c r="E394"/>
  <c r="V394" s="1"/>
  <c r="E430"/>
  <c r="V430" s="1"/>
  <c r="D260"/>
  <c r="U260" s="1"/>
  <c r="D301"/>
  <c r="U301" s="1"/>
  <c r="D337"/>
  <c r="U337" s="1"/>
  <c r="D377"/>
  <c r="U377" s="1"/>
  <c r="D412"/>
  <c r="U412" s="1"/>
  <c r="D452"/>
  <c r="U452" s="1"/>
  <c r="C283"/>
  <c r="C319"/>
  <c r="C359"/>
  <c r="C394"/>
  <c r="C434"/>
  <c r="G265"/>
  <c r="G307"/>
  <c r="G344"/>
  <c r="X344" s="1"/>
  <c r="G391"/>
  <c r="X391" s="1"/>
  <c r="G434"/>
  <c r="X434" s="1"/>
  <c r="F265"/>
  <c r="W265" s="1"/>
  <c r="F312"/>
  <c r="W312" s="1"/>
  <c r="F350"/>
  <c r="W350" s="1"/>
  <c r="F392"/>
  <c r="W392" s="1"/>
  <c r="F439"/>
  <c r="W439" s="1"/>
  <c r="E271"/>
  <c r="V271" s="1"/>
  <c r="E308"/>
  <c r="V308" s="1"/>
  <c r="E354"/>
  <c r="V354" s="1"/>
  <c r="E395"/>
  <c r="V395" s="1"/>
  <c r="E431"/>
  <c r="V431" s="1"/>
  <c r="D261"/>
  <c r="U261" s="1"/>
  <c r="D304"/>
  <c r="U304" s="1"/>
  <c r="D338"/>
  <c r="U338" s="1"/>
  <c r="D379"/>
  <c r="U379" s="1"/>
  <c r="D413"/>
  <c r="U413" s="1"/>
  <c r="D453"/>
  <c r="U453" s="1"/>
  <c r="C286"/>
  <c r="C320"/>
  <c r="C361"/>
  <c r="C395"/>
  <c r="C435"/>
  <c r="G266"/>
  <c r="G308"/>
  <c r="X308" s="1"/>
  <c r="G345"/>
  <c r="X345" s="1"/>
  <c r="G392"/>
  <c r="X392" s="1"/>
  <c r="G435"/>
  <c r="X435" s="1"/>
  <c r="F266"/>
  <c r="W266" s="1"/>
  <c r="F313"/>
  <c r="W313" s="1"/>
  <c r="F351"/>
  <c r="W351" s="1"/>
  <c r="F393"/>
  <c r="W393" s="1"/>
  <c r="F440"/>
  <c r="W440" s="1"/>
  <c r="E272"/>
  <c r="V272" s="1"/>
  <c r="E309"/>
  <c r="V309" s="1"/>
  <c r="E355"/>
  <c r="V355" s="1"/>
  <c r="E397"/>
  <c r="V397" s="1"/>
  <c r="E437"/>
  <c r="V437" s="1"/>
  <c r="D262"/>
  <c r="U262" s="1"/>
  <c r="D305"/>
  <c r="U305" s="1"/>
  <c r="D339"/>
  <c r="U339" s="1"/>
  <c r="D380"/>
  <c r="U380" s="1"/>
  <c r="D419"/>
  <c r="U419" s="1"/>
  <c r="D454"/>
  <c r="U454" s="1"/>
  <c r="C287"/>
  <c r="C321"/>
  <c r="C362"/>
  <c r="C401"/>
  <c r="T401" s="1"/>
  <c r="C436"/>
  <c r="G268"/>
  <c r="G311"/>
  <c r="X311" s="1"/>
  <c r="G347"/>
  <c r="X347" s="1"/>
  <c r="G394"/>
  <c r="X394" s="1"/>
  <c r="G437"/>
  <c r="X437" s="1"/>
  <c r="F269"/>
  <c r="W269" s="1"/>
  <c r="F316"/>
  <c r="W316" s="1"/>
  <c r="F353"/>
  <c r="W353" s="1"/>
  <c r="F395"/>
  <c r="W395" s="1"/>
  <c r="F442"/>
  <c r="W442" s="1"/>
  <c r="E275"/>
  <c r="V275" s="1"/>
  <c r="E311"/>
  <c r="V311" s="1"/>
  <c r="E357"/>
  <c r="V357" s="1"/>
  <c r="E399"/>
  <c r="V399" s="1"/>
  <c r="E439"/>
  <c r="V439" s="1"/>
  <c r="D266"/>
  <c r="U266" s="1"/>
  <c r="D307"/>
  <c r="U307" s="1"/>
  <c r="D341"/>
  <c r="U341" s="1"/>
  <c r="D382"/>
  <c r="U382" s="1"/>
  <c r="D421"/>
  <c r="U421" s="1"/>
  <c r="D458"/>
  <c r="U458" s="1"/>
  <c r="C289"/>
  <c r="C323"/>
  <c r="C364"/>
  <c r="C403"/>
  <c r="C440"/>
  <c r="F443"/>
  <c r="W443" s="1"/>
  <c r="G313"/>
  <c r="G269"/>
  <c r="X269" s="1"/>
  <c r="G312"/>
  <c r="G359"/>
  <c r="X359" s="1"/>
  <c r="G395"/>
  <c r="X395" s="1"/>
  <c r="G438"/>
  <c r="X438" s="1"/>
  <c r="F275"/>
  <c r="W275" s="1"/>
  <c r="F317"/>
  <c r="W317" s="1"/>
  <c r="F359"/>
  <c r="W359" s="1"/>
  <c r="F401"/>
  <c r="E276"/>
  <c r="V276" s="1"/>
  <c r="E323"/>
  <c r="V323" s="1"/>
  <c r="E358"/>
  <c r="V358" s="1"/>
  <c r="E400"/>
  <c r="V400" s="1"/>
  <c r="E440"/>
  <c r="V440" s="1"/>
  <c r="D268"/>
  <c r="U268" s="1"/>
  <c r="D308"/>
  <c r="U308" s="1"/>
  <c r="D348"/>
  <c r="U348" s="1"/>
  <c r="D383"/>
  <c r="U383" s="1"/>
  <c r="D422"/>
  <c r="U422" s="1"/>
  <c r="D460"/>
  <c r="U460" s="1"/>
  <c r="C290"/>
  <c r="C330"/>
  <c r="C365"/>
  <c r="C404"/>
  <c r="C442"/>
  <c r="G271"/>
  <c r="X271" s="1"/>
  <c r="G360"/>
  <c r="X360" s="1"/>
  <c r="G402"/>
  <c r="X402" s="1"/>
  <c r="G439"/>
  <c r="X439" s="1"/>
  <c r="F276"/>
  <c r="W276" s="1"/>
  <c r="F319"/>
  <c r="W319" s="1"/>
  <c r="F360"/>
  <c r="W360" s="1"/>
  <c r="F407"/>
  <c r="W407" s="1"/>
  <c r="F445"/>
  <c r="W445" s="1"/>
  <c r="E277"/>
  <c r="V277" s="1"/>
  <c r="E324"/>
  <c r="V324" s="1"/>
  <c r="E359"/>
  <c r="V359" s="1"/>
  <c r="E401"/>
  <c r="V401" s="1"/>
  <c r="E442"/>
  <c r="V442" s="1"/>
  <c r="D269"/>
  <c r="U269" s="1"/>
  <c r="D309"/>
  <c r="U309" s="1"/>
  <c r="D349"/>
  <c r="D384"/>
  <c r="U384" s="1"/>
  <c r="D424"/>
  <c r="U424" s="1"/>
  <c r="D461"/>
  <c r="U461" s="1"/>
  <c r="C291"/>
  <c r="C331"/>
  <c r="C366"/>
  <c r="C406"/>
  <c r="C443"/>
  <c r="G272"/>
  <c r="X272" s="1"/>
  <c r="G361"/>
  <c r="X361" s="1"/>
  <c r="G403"/>
  <c r="X403" s="1"/>
  <c r="G440"/>
  <c r="X440" s="1"/>
  <c r="F277"/>
  <c r="W277" s="1"/>
  <c r="F320"/>
  <c r="W320" s="1"/>
  <c r="F361"/>
  <c r="W361" s="1"/>
  <c r="G281"/>
  <c r="X281" s="1"/>
  <c r="G323"/>
  <c r="X323" s="1"/>
  <c r="G365"/>
  <c r="X365" s="1"/>
  <c r="G408"/>
  <c r="X408" s="1"/>
  <c r="G455"/>
  <c r="X455" s="1"/>
  <c r="F281"/>
  <c r="W281" s="1"/>
  <c r="F324"/>
  <c r="W324" s="1"/>
  <c r="F371"/>
  <c r="W371" s="1"/>
  <c r="F413"/>
  <c r="W413" s="1"/>
  <c r="F455"/>
  <c r="W455" s="1"/>
  <c r="E287"/>
  <c r="V287" s="1"/>
  <c r="E329"/>
  <c r="V329" s="1"/>
  <c r="E371"/>
  <c r="V371" s="1"/>
  <c r="E406"/>
  <c r="V406" s="1"/>
  <c r="E450"/>
  <c r="V450" s="1"/>
  <c r="D280"/>
  <c r="U280" s="1"/>
  <c r="D315"/>
  <c r="U315" s="1"/>
  <c r="D355"/>
  <c r="U355" s="1"/>
  <c r="D389"/>
  <c r="U389" s="1"/>
  <c r="D432"/>
  <c r="U432" s="1"/>
  <c r="C262"/>
  <c r="C297"/>
  <c r="C337"/>
  <c r="C371"/>
  <c r="C414"/>
  <c r="C454"/>
  <c r="G267"/>
  <c r="X267" s="1"/>
  <c r="G334"/>
  <c r="X334" s="1"/>
  <c r="G406"/>
  <c r="X406" s="1"/>
  <c r="F254"/>
  <c r="W254" s="1"/>
  <c r="F326"/>
  <c r="W326" s="1"/>
  <c r="F389"/>
  <c r="W389" s="1"/>
  <c r="F458"/>
  <c r="W458" s="1"/>
  <c r="E305"/>
  <c r="V305" s="1"/>
  <c r="E374"/>
  <c r="V374" s="1"/>
  <c r="E428"/>
  <c r="V428" s="1"/>
  <c r="D284"/>
  <c r="U284" s="1"/>
  <c r="D335"/>
  <c r="U335" s="1"/>
  <c r="D401"/>
  <c r="U401" s="1"/>
  <c r="D450"/>
  <c r="U450" s="1"/>
  <c r="C305"/>
  <c r="C356"/>
  <c r="C417"/>
  <c r="G410"/>
  <c r="X410" s="1"/>
  <c r="F257"/>
  <c r="W257" s="1"/>
  <c r="F329"/>
  <c r="W329" s="1"/>
  <c r="F409"/>
  <c r="W409" s="1"/>
  <c r="E257"/>
  <c r="V257" s="1"/>
  <c r="E326"/>
  <c r="V326" s="1"/>
  <c r="E377"/>
  <c r="V377" s="1"/>
  <c r="E446"/>
  <c r="V446" s="1"/>
  <c r="D287"/>
  <c r="U287" s="1"/>
  <c r="D352"/>
  <c r="U352" s="1"/>
  <c r="D404"/>
  <c r="U404" s="1"/>
  <c r="C258"/>
  <c r="C308"/>
  <c r="C368"/>
  <c r="C426"/>
  <c r="G282"/>
  <c r="X282" s="1"/>
  <c r="G340"/>
  <c r="X340" s="1"/>
  <c r="F278"/>
  <c r="W278" s="1"/>
  <c r="F342"/>
  <c r="W342" s="1"/>
  <c r="F412"/>
  <c r="W412" s="1"/>
  <c r="E259"/>
  <c r="V259" s="1"/>
  <c r="E328"/>
  <c r="V328" s="1"/>
  <c r="E383"/>
  <c r="V383" s="1"/>
  <c r="E449"/>
  <c r="V449" s="1"/>
  <c r="D289"/>
  <c r="U289" s="1"/>
  <c r="D354"/>
  <c r="U354" s="1"/>
  <c r="D406"/>
  <c r="U406" s="1"/>
  <c r="C311"/>
  <c r="C428"/>
  <c r="T428" s="1"/>
  <c r="G286"/>
  <c r="X286" s="1"/>
  <c r="E261"/>
  <c r="V261" s="1"/>
  <c r="E452"/>
  <c r="V452" s="1"/>
  <c r="D357"/>
  <c r="U357" s="1"/>
  <c r="C316"/>
  <c r="G273"/>
  <c r="X273" s="1"/>
  <c r="G335"/>
  <c r="X335" s="1"/>
  <c r="G407"/>
  <c r="X407" s="1"/>
  <c r="F255"/>
  <c r="W255" s="1"/>
  <c r="F327"/>
  <c r="W327" s="1"/>
  <c r="F394"/>
  <c r="W394" s="1"/>
  <c r="F460"/>
  <c r="W460" s="1"/>
  <c r="E310"/>
  <c r="V310" s="1"/>
  <c r="E375"/>
  <c r="V375" s="1"/>
  <c r="E438"/>
  <c r="V438" s="1"/>
  <c r="D285"/>
  <c r="U285" s="1"/>
  <c r="D340"/>
  <c r="U340" s="1"/>
  <c r="D402"/>
  <c r="U402" s="1"/>
  <c r="D455"/>
  <c r="U455" s="1"/>
  <c r="C306"/>
  <c r="C363"/>
  <c r="C418"/>
  <c r="G275"/>
  <c r="X275" s="1"/>
  <c r="G411"/>
  <c r="X411" s="1"/>
  <c r="F268"/>
  <c r="W268" s="1"/>
  <c r="F341"/>
  <c r="W341" s="1"/>
  <c r="E258"/>
  <c r="V258" s="1"/>
  <c r="E382"/>
  <c r="V382" s="1"/>
  <c r="D288"/>
  <c r="U288" s="1"/>
  <c r="D405"/>
  <c r="U405" s="1"/>
  <c r="C310"/>
  <c r="T310" s="1"/>
  <c r="C427"/>
  <c r="T427" s="1"/>
  <c r="G412"/>
  <c r="X412" s="1"/>
  <c r="C260"/>
  <c r="G419"/>
  <c r="X419" s="1"/>
  <c r="F416"/>
  <c r="W416" s="1"/>
  <c r="E390"/>
  <c r="V390" s="1"/>
  <c r="D291"/>
  <c r="U291" s="1"/>
  <c r="C265"/>
  <c r="T265" s="1"/>
  <c r="C382"/>
  <c r="G274"/>
  <c r="X274" s="1"/>
  <c r="G337"/>
  <c r="X337" s="1"/>
  <c r="G409"/>
  <c r="X409" s="1"/>
  <c r="F256"/>
  <c r="W256" s="1"/>
  <c r="F328"/>
  <c r="W328" s="1"/>
  <c r="F408"/>
  <c r="W408" s="1"/>
  <c r="F461"/>
  <c r="W461" s="1"/>
  <c r="E325"/>
  <c r="V325" s="1"/>
  <c r="E376"/>
  <c r="V376" s="1"/>
  <c r="E443"/>
  <c r="V443" s="1"/>
  <c r="D286"/>
  <c r="U286" s="1"/>
  <c r="D350"/>
  <c r="U350" s="1"/>
  <c r="D403"/>
  <c r="U403" s="1"/>
  <c r="C257"/>
  <c r="T257" s="1"/>
  <c r="C307"/>
  <c r="T307" s="1"/>
  <c r="C367"/>
  <c r="C419"/>
  <c r="G338"/>
  <c r="X338" s="1"/>
  <c r="G339"/>
  <c r="X339" s="1"/>
  <c r="F410"/>
  <c r="W410" s="1"/>
  <c r="E327"/>
  <c r="V327" s="1"/>
  <c r="E448"/>
  <c r="V448" s="1"/>
  <c r="D353"/>
  <c r="U353" s="1"/>
  <c r="C259"/>
  <c r="C369"/>
  <c r="G283"/>
  <c r="X283" s="1"/>
  <c r="C370"/>
  <c r="G346"/>
  <c r="X346" s="1"/>
  <c r="E332"/>
  <c r="V332" s="1"/>
  <c r="D409"/>
  <c r="U409" s="1"/>
  <c r="C431"/>
  <c r="F280"/>
  <c r="W280" s="1"/>
  <c r="G284"/>
  <c r="X284" s="1"/>
  <c r="G341"/>
  <c r="X341" s="1"/>
  <c r="G413"/>
  <c r="X413" s="1"/>
  <c r="F279"/>
  <c r="W279" s="1"/>
  <c r="F343"/>
  <c r="W343" s="1"/>
  <c r="F415"/>
  <c r="W415" s="1"/>
  <c r="E260"/>
  <c r="V260" s="1"/>
  <c r="E331"/>
  <c r="V331" s="1"/>
  <c r="E389"/>
  <c r="V389" s="1"/>
  <c r="E451"/>
  <c r="V451" s="1"/>
  <c r="D290"/>
  <c r="U290" s="1"/>
  <c r="D356"/>
  <c r="U356" s="1"/>
  <c r="D407"/>
  <c r="U407" s="1"/>
  <c r="C263"/>
  <c r="C314"/>
  <c r="C379"/>
  <c r="C430"/>
  <c r="F344"/>
  <c r="W344" s="1"/>
  <c r="G293"/>
  <c r="X293" s="1"/>
  <c r="G363"/>
  <c r="X363" s="1"/>
  <c r="G426"/>
  <c r="X426" s="1"/>
  <c r="F289"/>
  <c r="W289" s="1"/>
  <c r="F346"/>
  <c r="W346" s="1"/>
  <c r="F418"/>
  <c r="W418" s="1"/>
  <c r="E274"/>
  <c r="V274" s="1"/>
  <c r="E334"/>
  <c r="V334" s="1"/>
  <c r="E398"/>
  <c r="V398" s="1"/>
  <c r="E454"/>
  <c r="V454" s="1"/>
  <c r="D306"/>
  <c r="U306" s="1"/>
  <c r="D359"/>
  <c r="U359" s="1"/>
  <c r="D420"/>
  <c r="U420" s="1"/>
  <c r="C267"/>
  <c r="C322"/>
  <c r="C384"/>
  <c r="C437"/>
  <c r="G294"/>
  <c r="X294" s="1"/>
  <c r="G364"/>
  <c r="X364" s="1"/>
  <c r="G427"/>
  <c r="F290"/>
  <c r="W290" s="1"/>
  <c r="F352"/>
  <c r="W352" s="1"/>
  <c r="F419"/>
  <c r="W419" s="1"/>
  <c r="E278"/>
  <c r="V278" s="1"/>
  <c r="E335"/>
  <c r="V335" s="1"/>
  <c r="E402"/>
  <c r="V402" s="1"/>
  <c r="E455"/>
  <c r="V455" s="1"/>
  <c r="D310"/>
  <c r="U310" s="1"/>
  <c r="D362"/>
  <c r="U362" s="1"/>
  <c r="D425"/>
  <c r="U425" s="1"/>
  <c r="C268"/>
  <c r="T268" s="1"/>
  <c r="C332"/>
  <c r="C385"/>
  <c r="C449"/>
  <c r="T449" s="1"/>
  <c r="G296"/>
  <c r="X296" s="1"/>
  <c r="G368"/>
  <c r="X368" s="1"/>
  <c r="G430"/>
  <c r="X430" s="1"/>
  <c r="F293"/>
  <c r="W293" s="1"/>
  <c r="F364"/>
  <c r="W364" s="1"/>
  <c r="F421"/>
  <c r="W421" s="1"/>
  <c r="E280"/>
  <c r="V280" s="1"/>
  <c r="E342"/>
  <c r="V342" s="1"/>
  <c r="E404"/>
  <c r="V404" s="1"/>
  <c r="D253"/>
  <c r="U253" s="1"/>
  <c r="D313"/>
  <c r="U313" s="1"/>
  <c r="D365"/>
  <c r="U365" s="1"/>
  <c r="D430"/>
  <c r="U430" s="1"/>
  <c r="C270"/>
  <c r="C335"/>
  <c r="C387"/>
  <c r="C451"/>
  <c r="G297"/>
  <c r="X297" s="1"/>
  <c r="G369"/>
  <c r="X369" s="1"/>
  <c r="G436"/>
  <c r="X436" s="1"/>
  <c r="F294"/>
  <c r="W294" s="1"/>
  <c r="F365"/>
  <c r="W365" s="1"/>
  <c r="F422"/>
  <c r="W422" s="1"/>
  <c r="E281"/>
  <c r="V281" s="1"/>
  <c r="E343"/>
  <c r="V343" s="1"/>
  <c r="E405"/>
  <c r="V405" s="1"/>
  <c r="D254"/>
  <c r="U254" s="1"/>
  <c r="D314"/>
  <c r="U314" s="1"/>
  <c r="D371"/>
  <c r="U371" s="1"/>
  <c r="D431"/>
  <c r="U431" s="1"/>
  <c r="C271"/>
  <c r="C336"/>
  <c r="C388"/>
  <c r="C452"/>
  <c r="G298"/>
  <c r="X298" s="1"/>
  <c r="G370"/>
  <c r="X370" s="1"/>
  <c r="G441"/>
  <c r="X441" s="1"/>
  <c r="F295"/>
  <c r="W295" s="1"/>
  <c r="F372"/>
  <c r="W372" s="1"/>
  <c r="F423"/>
  <c r="W423" s="1"/>
  <c r="E293"/>
  <c r="V293" s="1"/>
  <c r="E344"/>
  <c r="V344" s="1"/>
  <c r="E407"/>
  <c r="V407" s="1"/>
  <c r="D256"/>
  <c r="U256" s="1"/>
  <c r="D316"/>
  <c r="U316" s="1"/>
  <c r="D372"/>
  <c r="U372" s="1"/>
  <c r="D433"/>
  <c r="U433" s="1"/>
  <c r="C272"/>
  <c r="C338"/>
  <c r="C389"/>
  <c r="C455"/>
  <c r="G315"/>
  <c r="X315" s="1"/>
  <c r="F375"/>
  <c r="W375" s="1"/>
  <c r="F441"/>
  <c r="W441" s="1"/>
  <c r="E296"/>
  <c r="V296" s="1"/>
  <c r="G310"/>
  <c r="G371"/>
  <c r="X371" s="1"/>
  <c r="G442"/>
  <c r="X442" s="1"/>
  <c r="F296"/>
  <c r="W296" s="1"/>
  <c r="F373"/>
  <c r="W373" s="1"/>
  <c r="F424"/>
  <c r="W424" s="1"/>
  <c r="E294"/>
  <c r="V294" s="1"/>
  <c r="E346"/>
  <c r="V346" s="1"/>
  <c r="E418"/>
  <c r="V418" s="1"/>
  <c r="D257"/>
  <c r="U257" s="1"/>
  <c r="D317"/>
  <c r="U317" s="1"/>
  <c r="D373"/>
  <c r="U373" s="1"/>
  <c r="D434"/>
  <c r="U434" s="1"/>
  <c r="C273"/>
  <c r="C339"/>
  <c r="C391"/>
  <c r="C457"/>
  <c r="G314"/>
  <c r="X314" s="1"/>
  <c r="G377"/>
  <c r="X377" s="1"/>
  <c r="G443"/>
  <c r="X443" s="1"/>
  <c r="F297"/>
  <c r="W297" s="1"/>
  <c r="F374"/>
  <c r="W374" s="1"/>
  <c r="F425"/>
  <c r="W425" s="1"/>
  <c r="E295"/>
  <c r="V295" s="1"/>
  <c r="E347"/>
  <c r="V347" s="1"/>
  <c r="E419"/>
  <c r="V419" s="1"/>
  <c r="D258"/>
  <c r="U258" s="1"/>
  <c r="D323"/>
  <c r="U323" s="1"/>
  <c r="D374"/>
  <c r="U374" s="1"/>
  <c r="D435"/>
  <c r="U435" s="1"/>
  <c r="C274"/>
  <c r="C340"/>
  <c r="C392"/>
  <c r="C458"/>
  <c r="G287"/>
  <c r="X287" s="1"/>
  <c r="G461"/>
  <c r="X461" s="1"/>
  <c r="F449"/>
  <c r="W449" s="1"/>
  <c r="E422"/>
  <c r="V422" s="1"/>
  <c r="D364"/>
  <c r="U364" s="1"/>
  <c r="C298"/>
  <c r="C461"/>
  <c r="G295"/>
  <c r="X295" s="1"/>
  <c r="G316"/>
  <c r="X316" s="1"/>
  <c r="F288"/>
  <c r="W288" s="1"/>
  <c r="F457"/>
  <c r="W457" s="1"/>
  <c r="E424"/>
  <c r="V424" s="1"/>
  <c r="D385"/>
  <c r="U385" s="1"/>
  <c r="C317"/>
  <c r="G317"/>
  <c r="X317" s="1"/>
  <c r="F292"/>
  <c r="W292" s="1"/>
  <c r="E262"/>
  <c r="V262" s="1"/>
  <c r="E425"/>
  <c r="V425" s="1"/>
  <c r="D386"/>
  <c r="U386" s="1"/>
  <c r="C334"/>
  <c r="G329"/>
  <c r="F298"/>
  <c r="W298" s="1"/>
  <c r="E279"/>
  <c r="V279" s="1"/>
  <c r="E427"/>
  <c r="V427" s="1"/>
  <c r="D387"/>
  <c r="U387" s="1"/>
  <c r="C341"/>
  <c r="E333"/>
  <c r="V333" s="1"/>
  <c r="D326"/>
  <c r="U326" s="1"/>
  <c r="C415"/>
  <c r="D328"/>
  <c r="U328" s="1"/>
  <c r="E391"/>
  <c r="V391" s="1"/>
  <c r="C432"/>
  <c r="G458"/>
  <c r="X458" s="1"/>
  <c r="D334"/>
  <c r="U334" s="1"/>
  <c r="F448"/>
  <c r="W448" s="1"/>
  <c r="F253"/>
  <c r="W253" s="1"/>
  <c r="F456"/>
  <c r="W456" s="1"/>
  <c r="E423"/>
  <c r="V423" s="1"/>
  <c r="D381"/>
  <c r="C299"/>
  <c r="G330"/>
  <c r="X330" s="1"/>
  <c r="F299"/>
  <c r="W299" s="1"/>
  <c r="E298"/>
  <c r="V298" s="1"/>
  <c r="E453"/>
  <c r="V453" s="1"/>
  <c r="D388"/>
  <c r="U388" s="1"/>
  <c r="C344"/>
  <c r="G331"/>
  <c r="X331" s="1"/>
  <c r="F314"/>
  <c r="W314" s="1"/>
  <c r="E299"/>
  <c r="V299" s="1"/>
  <c r="D252"/>
  <c r="U252" s="1"/>
  <c r="D397"/>
  <c r="U397" s="1"/>
  <c r="C346"/>
  <c r="G332"/>
  <c r="X332" s="1"/>
  <c r="F321"/>
  <c r="W321" s="1"/>
  <c r="E301"/>
  <c r="V301" s="1"/>
  <c r="D263"/>
  <c r="U263" s="1"/>
  <c r="D400"/>
  <c r="U400" s="1"/>
  <c r="C347"/>
  <c r="F325"/>
  <c r="W325" s="1"/>
  <c r="F345"/>
  <c r="W345" s="1"/>
  <c r="F388"/>
  <c r="W388" s="1"/>
  <c r="E373"/>
  <c r="V373" s="1"/>
  <c r="C288"/>
  <c r="G457"/>
  <c r="X457" s="1"/>
  <c r="C293"/>
  <c r="G459"/>
  <c r="X459" s="1"/>
  <c r="G460"/>
  <c r="X460" s="1"/>
  <c r="C459"/>
  <c r="G362"/>
  <c r="X362" s="1"/>
  <c r="F322"/>
  <c r="W322" s="1"/>
  <c r="E302"/>
  <c r="V302" s="1"/>
  <c r="D275"/>
  <c r="U275" s="1"/>
  <c r="D410"/>
  <c r="U410" s="1"/>
  <c r="C353"/>
  <c r="G367"/>
  <c r="X367" s="1"/>
  <c r="F323"/>
  <c r="W323" s="1"/>
  <c r="E303"/>
  <c r="V303" s="1"/>
  <c r="D276"/>
  <c r="U276" s="1"/>
  <c r="D428"/>
  <c r="U428" s="1"/>
  <c r="C354"/>
  <c r="G378"/>
  <c r="X378" s="1"/>
  <c r="E304"/>
  <c r="V304" s="1"/>
  <c r="D277"/>
  <c r="U277" s="1"/>
  <c r="D436"/>
  <c r="U436" s="1"/>
  <c r="C355"/>
  <c r="G379"/>
  <c r="X379" s="1"/>
  <c r="D278"/>
  <c r="U278" s="1"/>
  <c r="D437"/>
  <c r="U437" s="1"/>
  <c r="C383"/>
  <c r="G428"/>
  <c r="G456"/>
  <c r="X456" s="1"/>
  <c r="F420"/>
  <c r="W420" s="1"/>
  <c r="C450"/>
  <c r="C296"/>
  <c r="C295"/>
  <c r="E403"/>
  <c r="V403" s="1"/>
  <c r="G380"/>
  <c r="X380" s="1"/>
  <c r="F362"/>
  <c r="W362" s="1"/>
  <c r="E341"/>
  <c r="V341" s="1"/>
  <c r="D281"/>
  <c r="D444"/>
  <c r="U444" s="1"/>
  <c r="C386"/>
  <c r="G382"/>
  <c r="X382" s="1"/>
  <c r="F376"/>
  <c r="W376" s="1"/>
  <c r="E356"/>
  <c r="V356" s="1"/>
  <c r="D283"/>
  <c r="U283" s="1"/>
  <c r="D445"/>
  <c r="U445" s="1"/>
  <c r="C402"/>
  <c r="G383"/>
  <c r="X383" s="1"/>
  <c r="F377"/>
  <c r="W377" s="1"/>
  <c r="E366"/>
  <c r="V366" s="1"/>
  <c r="D292"/>
  <c r="U292" s="1"/>
  <c r="D446"/>
  <c r="U446" s="1"/>
  <c r="C407"/>
  <c r="G393"/>
  <c r="X393" s="1"/>
  <c r="F384"/>
  <c r="W384" s="1"/>
  <c r="E367"/>
  <c r="V367" s="1"/>
  <c r="D311"/>
  <c r="U311" s="1"/>
  <c r="D448"/>
  <c r="U448" s="1"/>
  <c r="C410"/>
  <c r="E372"/>
  <c r="V372" s="1"/>
  <c r="F417"/>
  <c r="W417" s="1"/>
  <c r="C416"/>
  <c r="D329"/>
  <c r="U329" s="1"/>
  <c r="F446"/>
  <c r="W446" s="1"/>
  <c r="F447"/>
  <c r="W447" s="1"/>
  <c r="D358"/>
  <c r="U358" s="1"/>
  <c r="D332"/>
  <c r="U332" s="1"/>
  <c r="E420"/>
  <c r="V420" s="1"/>
  <c r="E421"/>
  <c r="V421" s="1"/>
  <c r="C460"/>
  <c r="G404"/>
  <c r="X404" s="1"/>
  <c r="F385"/>
  <c r="W385" s="1"/>
  <c r="E368"/>
  <c r="V368" s="1"/>
  <c r="D324"/>
  <c r="U324" s="1"/>
  <c r="D449"/>
  <c r="C412"/>
  <c r="G425"/>
  <c r="X425" s="1"/>
  <c r="F386"/>
  <c r="W386" s="1"/>
  <c r="E370"/>
  <c r="V370" s="1"/>
  <c r="D325"/>
  <c r="U325" s="1"/>
  <c r="C266"/>
  <c r="T266" s="1"/>
  <c r="C413"/>
  <c r="C269"/>
  <c r="C292"/>
  <c r="J10" i="6"/>
  <c r="I13"/>
  <c r="I15"/>
  <c r="I17"/>
  <c r="I19"/>
  <c r="I21"/>
  <c r="I23"/>
  <c r="I25"/>
  <c r="I27"/>
  <c r="J29"/>
  <c r="L31"/>
  <c r="D36"/>
  <c r="I38"/>
  <c r="I43"/>
  <c r="M45"/>
  <c r="E48"/>
  <c r="L50"/>
  <c r="L53"/>
  <c r="E56"/>
  <c r="L58"/>
  <c r="E61"/>
  <c r="J63"/>
  <c r="I68"/>
  <c r="I73"/>
  <c r="I81"/>
  <c r="G86"/>
  <c r="D92"/>
  <c r="L94"/>
  <c r="J97"/>
  <c r="D100"/>
  <c r="L102"/>
  <c r="K108"/>
  <c r="G111"/>
  <c r="C114"/>
  <c r="M122"/>
  <c r="M125"/>
  <c r="I128"/>
  <c r="E131"/>
  <c r="E137"/>
  <c r="C140"/>
  <c r="L145"/>
  <c r="L148"/>
  <c r="C152"/>
  <c r="L154"/>
  <c r="G157"/>
  <c r="G160"/>
  <c r="C163"/>
  <c r="G166"/>
  <c r="F169"/>
  <c r="D172"/>
  <c r="K174"/>
  <c r="K183"/>
  <c r="K189"/>
  <c r="C196"/>
  <c r="L201"/>
  <c r="M204"/>
  <c r="C217"/>
  <c r="K219"/>
  <c r="D226"/>
  <c r="M228"/>
  <c r="M234"/>
  <c r="J241"/>
  <c r="M244"/>
  <c r="K247"/>
  <c r="M10"/>
  <c r="L13"/>
  <c r="L15"/>
  <c r="L17"/>
  <c r="L19"/>
  <c r="L21"/>
  <c r="L23"/>
  <c r="L25"/>
  <c r="L27"/>
  <c r="M29"/>
  <c r="D34"/>
  <c r="G36"/>
  <c r="G41"/>
  <c r="L43"/>
  <c r="C46"/>
  <c r="I48"/>
  <c r="I56"/>
  <c r="I61"/>
  <c r="G66"/>
  <c r="L68"/>
  <c r="E71"/>
  <c r="L73"/>
  <c r="K76"/>
  <c r="E79"/>
  <c r="L81"/>
  <c r="E84"/>
  <c r="K86"/>
  <c r="G92"/>
  <c r="I100"/>
  <c r="E106"/>
  <c r="K111"/>
  <c r="F114"/>
  <c r="F117"/>
  <c r="F120"/>
  <c r="C123"/>
  <c r="C126"/>
  <c r="L128"/>
  <c r="J131"/>
  <c r="M134"/>
  <c r="I137"/>
  <c r="G140"/>
  <c r="F143"/>
  <c r="F149"/>
  <c r="G152"/>
  <c r="M157"/>
  <c r="K160"/>
  <c r="M163"/>
  <c r="J169"/>
  <c r="G172"/>
  <c r="F178"/>
  <c r="F181"/>
  <c r="E187"/>
  <c r="F193"/>
  <c r="F196"/>
  <c r="E199"/>
  <c r="E202"/>
  <c r="C205"/>
  <c r="G208"/>
  <c r="J211"/>
  <c r="E214"/>
  <c r="F217"/>
  <c r="J223"/>
  <c r="G226"/>
  <c r="D229"/>
  <c r="G232"/>
  <c r="C235"/>
  <c r="M241"/>
  <c r="C245"/>
  <c r="J251"/>
  <c r="D221"/>
  <c r="C224"/>
  <c r="K229"/>
  <c r="M232"/>
  <c r="D236"/>
  <c r="J239"/>
  <c r="F242"/>
  <c r="I245"/>
  <c r="L248"/>
  <c r="E12"/>
  <c r="E14"/>
  <c r="E16"/>
  <c r="E18"/>
  <c r="E20"/>
  <c r="E22"/>
  <c r="E24"/>
  <c r="E26"/>
  <c r="E28"/>
  <c r="F30"/>
  <c r="I32"/>
  <c r="E37"/>
  <c r="J39"/>
  <c r="E44"/>
  <c r="J46"/>
  <c r="I54"/>
  <c r="E62"/>
  <c r="J64"/>
  <c r="F69"/>
  <c r="L71"/>
  <c r="K74"/>
  <c r="E77"/>
  <c r="L79"/>
  <c r="E82"/>
  <c r="J87"/>
  <c r="G90"/>
  <c r="J95"/>
  <c r="I98"/>
  <c r="E101"/>
  <c r="M106"/>
  <c r="I109"/>
  <c r="E112"/>
  <c r="I115"/>
  <c r="F118"/>
  <c r="M123"/>
  <c r="K126"/>
  <c r="I132"/>
  <c r="F135"/>
  <c r="D141"/>
  <c r="D147"/>
  <c r="I155"/>
  <c r="M158"/>
  <c r="J161"/>
  <c r="J164"/>
  <c r="G167"/>
  <c r="D170"/>
  <c r="D176"/>
  <c r="M178"/>
  <c r="L184"/>
  <c r="C191"/>
  <c r="E206"/>
  <c r="C209"/>
  <c r="C212"/>
  <c r="E221"/>
  <c r="D224"/>
  <c r="D227"/>
  <c r="L229"/>
  <c r="F236"/>
  <c r="K239"/>
  <c r="G242"/>
  <c r="K245"/>
  <c r="M248"/>
  <c r="F12"/>
  <c r="F14"/>
  <c r="F16"/>
  <c r="F18"/>
  <c r="F20"/>
  <c r="F22"/>
  <c r="U22" s="1"/>
  <c r="F24"/>
  <c r="F26"/>
  <c r="F28"/>
  <c r="G30"/>
  <c r="K32"/>
  <c r="F37"/>
  <c r="K39"/>
  <c r="F44"/>
  <c r="K46"/>
  <c r="J49"/>
  <c r="C52"/>
  <c r="J54"/>
  <c r="D57"/>
  <c r="F62"/>
  <c r="K64"/>
  <c r="G69"/>
  <c r="M71"/>
  <c r="L74"/>
  <c r="F77"/>
  <c r="M79"/>
  <c r="F82"/>
  <c r="E85"/>
  <c r="K87"/>
  <c r="I90"/>
  <c r="R90" s="1"/>
  <c r="L95"/>
  <c r="F101"/>
  <c r="D104"/>
  <c r="J109"/>
  <c r="F112"/>
  <c r="J115"/>
  <c r="G118"/>
  <c r="L126"/>
  <c r="J132"/>
  <c r="G135"/>
  <c r="C138"/>
  <c r="E141"/>
  <c r="F147"/>
  <c r="C150"/>
  <c r="K155"/>
  <c r="K161"/>
  <c r="L164"/>
  <c r="I167"/>
  <c r="E170"/>
  <c r="G173"/>
  <c r="E176"/>
  <c r="C182"/>
  <c r="C188"/>
  <c r="D191"/>
  <c r="C194"/>
  <c r="C197"/>
  <c r="E203"/>
  <c r="F206"/>
  <c r="D209"/>
  <c r="D212"/>
  <c r="I218"/>
  <c r="F221"/>
  <c r="E224"/>
  <c r="E227"/>
  <c r="M229"/>
  <c r="G236"/>
  <c r="L239"/>
  <c r="J242"/>
  <c r="M245"/>
  <c r="D10" i="5"/>
  <c r="U10" s="1"/>
  <c r="G14"/>
  <c r="X14" s="1"/>
  <c r="C18"/>
  <c r="F21"/>
  <c r="W21" s="1"/>
  <c r="E28"/>
  <c r="V28" s="1"/>
  <c r="D35"/>
  <c r="U35" s="1"/>
  <c r="G38"/>
  <c r="X38" s="1"/>
  <c r="C42"/>
  <c r="T42" s="1"/>
  <c r="F45"/>
  <c r="W45" s="1"/>
  <c r="E52"/>
  <c r="V52" s="1"/>
  <c r="D59"/>
  <c r="U59" s="1"/>
  <c r="G62"/>
  <c r="X62" s="1"/>
  <c r="C66"/>
  <c r="T66" s="1"/>
  <c r="F69"/>
  <c r="W69" s="1"/>
  <c r="E76"/>
  <c r="V76" s="1"/>
  <c r="D83"/>
  <c r="U83" s="1"/>
  <c r="G86"/>
  <c r="X86" s="1"/>
  <c r="C90"/>
  <c r="T90" s="1"/>
  <c r="F93"/>
  <c r="W93" s="1"/>
  <c r="E100"/>
  <c r="V100" s="1"/>
  <c r="D107"/>
  <c r="U107" s="1"/>
  <c r="G110"/>
  <c r="X110" s="1"/>
  <c r="C114"/>
  <c r="T114" s="1"/>
  <c r="F117"/>
  <c r="W117" s="1"/>
  <c r="E124"/>
  <c r="V124" s="1"/>
  <c r="D131"/>
  <c r="U131" s="1"/>
  <c r="G134"/>
  <c r="X134" s="1"/>
  <c r="C138"/>
  <c r="T138" s="1"/>
  <c r="F141"/>
  <c r="W141" s="1"/>
  <c r="E148"/>
  <c r="V148" s="1"/>
  <c r="D155"/>
  <c r="U155" s="1"/>
  <c r="G158"/>
  <c r="X158" s="1"/>
  <c r="C162"/>
  <c r="F165"/>
  <c r="W165" s="1"/>
  <c r="E172"/>
  <c r="V172" s="1"/>
  <c r="D179"/>
  <c r="U179" s="1"/>
  <c r="G182"/>
  <c r="X182" s="1"/>
  <c r="C186"/>
  <c r="T186" s="1"/>
  <c r="F189"/>
  <c r="W189" s="1"/>
  <c r="E196"/>
  <c r="V196" s="1"/>
  <c r="D203"/>
  <c r="U203" s="1"/>
  <c r="G206"/>
  <c r="X206" s="1"/>
  <c r="C210"/>
  <c r="T210" s="1"/>
  <c r="F213"/>
  <c r="W213" s="1"/>
  <c r="E220"/>
  <c r="V220" s="1"/>
  <c r="D227"/>
  <c r="U227" s="1"/>
  <c r="G230"/>
  <c r="X230" s="1"/>
  <c r="C234"/>
  <c r="T234" s="1"/>
  <c r="F237"/>
  <c r="W237" s="1"/>
  <c r="D244"/>
  <c r="U244" s="1"/>
  <c r="G247"/>
  <c r="X247" s="1"/>
  <c r="C251"/>
  <c r="G12" i="6"/>
  <c r="G14"/>
  <c r="G16"/>
  <c r="G18"/>
  <c r="G20"/>
  <c r="G22"/>
  <c r="G24"/>
  <c r="G26"/>
  <c r="G28"/>
  <c r="I30"/>
  <c r="L32"/>
  <c r="C35"/>
  <c r="G37"/>
  <c r="L39"/>
  <c r="C42"/>
  <c r="G44"/>
  <c r="L46"/>
  <c r="K49"/>
  <c r="D52"/>
  <c r="K54"/>
  <c r="E57"/>
  <c r="C60"/>
  <c r="G62"/>
  <c r="L64"/>
  <c r="U64" s="1"/>
  <c r="D67"/>
  <c r="I69"/>
  <c r="M74"/>
  <c r="G77"/>
  <c r="G82"/>
  <c r="F85"/>
  <c r="M87"/>
  <c r="J90"/>
  <c r="C93"/>
  <c r="M95"/>
  <c r="G101"/>
  <c r="F104"/>
  <c r="U104" s="1"/>
  <c r="K109"/>
  <c r="L115"/>
  <c r="I118"/>
  <c r="C121"/>
  <c r="M126"/>
  <c r="C130"/>
  <c r="K132"/>
  <c r="I135"/>
  <c r="D138"/>
  <c r="F141"/>
  <c r="G144"/>
  <c r="I147"/>
  <c r="E150"/>
  <c r="C153"/>
  <c r="M155"/>
  <c r="L161"/>
  <c r="M164"/>
  <c r="J167"/>
  <c r="F170"/>
  <c r="I173"/>
  <c r="F176"/>
  <c r="D182"/>
  <c r="D188"/>
  <c r="F191"/>
  <c r="D194"/>
  <c r="D197"/>
  <c r="C200"/>
  <c r="F203"/>
  <c r="G206"/>
  <c r="F209"/>
  <c r="E212"/>
  <c r="C215"/>
  <c r="J218"/>
  <c r="I221"/>
  <c r="F224"/>
  <c r="F227"/>
  <c r="F233"/>
  <c r="I236"/>
  <c r="M239"/>
  <c r="L242"/>
  <c r="E10" i="5"/>
  <c r="V10" s="1"/>
  <c r="D18"/>
  <c r="U18" s="1"/>
  <c r="G21"/>
  <c r="X21" s="1"/>
  <c r="C25"/>
  <c r="F28"/>
  <c r="W28" s="1"/>
  <c r="E35"/>
  <c r="V35" s="1"/>
  <c r="D42"/>
  <c r="U42" s="1"/>
  <c r="G45"/>
  <c r="X45" s="1"/>
  <c r="C49"/>
  <c r="T49" s="1"/>
  <c r="F52"/>
  <c r="W52" s="1"/>
  <c r="E59"/>
  <c r="V59" s="1"/>
  <c r="D66"/>
  <c r="U66" s="1"/>
  <c r="G69"/>
  <c r="X69" s="1"/>
  <c r="C73"/>
  <c r="T73" s="1"/>
  <c r="F76"/>
  <c r="W76" s="1"/>
  <c r="E83"/>
  <c r="V83" s="1"/>
  <c r="D90"/>
  <c r="U90" s="1"/>
  <c r="G93"/>
  <c r="X93" s="1"/>
  <c r="C97"/>
  <c r="T97" s="1"/>
  <c r="F100"/>
  <c r="W100" s="1"/>
  <c r="E107"/>
  <c r="V107" s="1"/>
  <c r="D114"/>
  <c r="U114" s="1"/>
  <c r="G117"/>
  <c r="X117" s="1"/>
  <c r="C121"/>
  <c r="T121" s="1"/>
  <c r="F124"/>
  <c r="W124" s="1"/>
  <c r="E131"/>
  <c r="V131" s="1"/>
  <c r="D138"/>
  <c r="U138" s="1"/>
  <c r="G141"/>
  <c r="X141" s="1"/>
  <c r="C145"/>
  <c r="T145" s="1"/>
  <c r="F148"/>
  <c r="W148" s="1"/>
  <c r="E155"/>
  <c r="V155" s="1"/>
  <c r="D162"/>
  <c r="U162" s="1"/>
  <c r="G165"/>
  <c r="X165" s="1"/>
  <c r="C169"/>
  <c r="T169" s="1"/>
  <c r="F172"/>
  <c r="W172" s="1"/>
  <c r="E179"/>
  <c r="V179" s="1"/>
  <c r="D186"/>
  <c r="U186" s="1"/>
  <c r="G189"/>
  <c r="X189" s="1"/>
  <c r="C193"/>
  <c r="T193" s="1"/>
  <c r="F196"/>
  <c r="W196" s="1"/>
  <c r="E203"/>
  <c r="V203" s="1"/>
  <c r="D210"/>
  <c r="U210" s="1"/>
  <c r="G213"/>
  <c r="X213" s="1"/>
  <c r="C217"/>
  <c r="T217" s="1"/>
  <c r="F220"/>
  <c r="W220" s="1"/>
  <c r="E227"/>
  <c r="V227" s="1"/>
  <c r="D234"/>
  <c r="U234" s="1"/>
  <c r="G237"/>
  <c r="X237" s="1"/>
  <c r="C241"/>
  <c r="T241" s="1"/>
  <c r="E244"/>
  <c r="V244" s="1"/>
  <c r="D251"/>
  <c r="U251" s="1"/>
  <c r="I12" i="6"/>
  <c r="I14"/>
  <c r="I16"/>
  <c r="I18"/>
  <c r="I20"/>
  <c r="I22"/>
  <c r="I24"/>
  <c r="I26"/>
  <c r="I28"/>
  <c r="K30"/>
  <c r="D35"/>
  <c r="I37"/>
  <c r="M39"/>
  <c r="D42"/>
  <c r="I44"/>
  <c r="M46"/>
  <c r="L49"/>
  <c r="E52"/>
  <c r="L54"/>
  <c r="F57"/>
  <c r="D60"/>
  <c r="I62"/>
  <c r="M64"/>
  <c r="E67"/>
  <c r="J69"/>
  <c r="I77"/>
  <c r="G85"/>
  <c r="K90"/>
  <c r="F93"/>
  <c r="C99"/>
  <c r="I101"/>
  <c r="G104"/>
  <c r="C107"/>
  <c r="L109"/>
  <c r="M115"/>
  <c r="J118"/>
  <c r="E121"/>
  <c r="C124"/>
  <c r="D130"/>
  <c r="L132"/>
  <c r="J135"/>
  <c r="G138"/>
  <c r="G141"/>
  <c r="I144"/>
  <c r="J147"/>
  <c r="F150"/>
  <c r="D153"/>
  <c r="D159"/>
  <c r="M161"/>
  <c r="K167"/>
  <c r="S167" s="1"/>
  <c r="J173"/>
  <c r="G176"/>
  <c r="D179"/>
  <c r="E182"/>
  <c r="C185"/>
  <c r="E188"/>
  <c r="G191"/>
  <c r="E194"/>
  <c r="E197"/>
  <c r="D200"/>
  <c r="G203"/>
  <c r="J206"/>
  <c r="G209"/>
  <c r="F212"/>
  <c r="D215"/>
  <c r="K218"/>
  <c r="J221"/>
  <c r="G224"/>
  <c r="G227"/>
  <c r="J233"/>
  <c r="J236"/>
  <c r="L249"/>
  <c r="I248"/>
  <c r="G248"/>
  <c r="I243"/>
  <c r="C241"/>
  <c r="K238"/>
  <c r="E236"/>
  <c r="I231"/>
  <c r="E229"/>
  <c r="M224"/>
  <c r="J222"/>
  <c r="F220"/>
  <c r="L215"/>
  <c r="J213"/>
  <c r="F211"/>
  <c r="M206"/>
  <c r="J204"/>
  <c r="F202"/>
  <c r="L197"/>
  <c r="J195"/>
  <c r="E193"/>
  <c r="L188"/>
  <c r="J186"/>
  <c r="D184"/>
  <c r="M179"/>
  <c r="K177"/>
  <c r="F175"/>
  <c r="E173"/>
  <c r="C171"/>
  <c r="L166"/>
  <c r="I164"/>
  <c r="G162"/>
  <c r="E160"/>
  <c r="C158"/>
  <c r="M153"/>
  <c r="L151"/>
  <c r="J149"/>
  <c r="G147"/>
  <c r="E145"/>
  <c r="M140"/>
  <c r="K138"/>
  <c r="I136"/>
  <c r="F134"/>
  <c r="D132"/>
  <c r="L127"/>
  <c r="K125"/>
  <c r="I123"/>
  <c r="F121"/>
  <c r="D119"/>
  <c r="M114"/>
  <c r="L112"/>
  <c r="K110"/>
  <c r="F108"/>
  <c r="F106"/>
  <c r="E104"/>
  <c r="C102"/>
  <c r="M97"/>
  <c r="K95"/>
  <c r="J93"/>
  <c r="I91"/>
  <c r="D89"/>
  <c r="C87"/>
  <c r="C85"/>
  <c r="C83"/>
  <c r="C81"/>
  <c r="C79"/>
  <c r="C77"/>
  <c r="C75"/>
  <c r="C73"/>
  <c r="C71"/>
  <c r="C69"/>
  <c r="C67"/>
  <c r="C65"/>
  <c r="C63"/>
  <c r="C61"/>
  <c r="C59"/>
  <c r="C57"/>
  <c r="C55"/>
  <c r="C53"/>
  <c r="C51"/>
  <c r="C49"/>
  <c r="C47"/>
  <c r="C45"/>
  <c r="C43"/>
  <c r="C41"/>
  <c r="C39"/>
  <c r="C37"/>
  <c r="L250"/>
  <c r="E248"/>
  <c r="L245"/>
  <c r="F243"/>
  <c r="I238"/>
  <c r="C236"/>
  <c r="K233"/>
  <c r="F231"/>
  <c r="C229"/>
  <c r="M226"/>
  <c r="K224"/>
  <c r="G222"/>
  <c r="D220"/>
  <c r="M217"/>
  <c r="J215"/>
  <c r="G213"/>
  <c r="C211"/>
  <c r="M208"/>
  <c r="K206"/>
  <c r="G204"/>
  <c r="D202"/>
  <c r="M199"/>
  <c r="J197"/>
  <c r="G195"/>
  <c r="L190"/>
  <c r="J188"/>
  <c r="G186"/>
  <c r="M181"/>
  <c r="K179"/>
  <c r="G177"/>
  <c r="D175"/>
  <c r="C173"/>
  <c r="L168"/>
  <c r="I166"/>
  <c r="F164"/>
  <c r="E162"/>
  <c r="C160"/>
  <c r="L155"/>
  <c r="K153"/>
  <c r="J151"/>
  <c r="G149"/>
  <c r="E147"/>
  <c r="M142"/>
  <c r="K140"/>
  <c r="I138"/>
  <c r="E136"/>
  <c r="D134"/>
  <c r="L129"/>
  <c r="J127"/>
  <c r="I125"/>
  <c r="F123"/>
  <c r="D121"/>
  <c r="M116"/>
  <c r="K114"/>
  <c r="J112"/>
  <c r="I110"/>
  <c r="D108"/>
  <c r="D106"/>
  <c r="C104"/>
  <c r="J250"/>
  <c r="J245"/>
  <c r="D243"/>
  <c r="K240"/>
  <c r="F238"/>
  <c r="G233"/>
  <c r="D231"/>
  <c r="K226"/>
  <c r="I224"/>
  <c r="E222"/>
  <c r="K217"/>
  <c r="G215"/>
  <c r="D213"/>
  <c r="K208"/>
  <c r="I206"/>
  <c r="D204"/>
  <c r="K199"/>
  <c r="G197"/>
  <c r="D195"/>
  <c r="M192"/>
  <c r="J190"/>
  <c r="G188"/>
  <c r="D186"/>
  <c r="M183"/>
  <c r="K181"/>
  <c r="I179"/>
  <c r="D177"/>
  <c r="L170"/>
  <c r="J168"/>
  <c r="F166"/>
  <c r="D164"/>
  <c r="C162"/>
  <c r="L157"/>
  <c r="J155"/>
  <c r="I153"/>
  <c r="G151"/>
  <c r="E149"/>
  <c r="C147"/>
  <c r="M144"/>
  <c r="K142"/>
  <c r="I140"/>
  <c r="E138"/>
  <c r="C136"/>
  <c r="M131"/>
  <c r="J129"/>
  <c r="G127"/>
  <c r="F125"/>
  <c r="D123"/>
  <c r="M118"/>
  <c r="K116"/>
  <c r="I114"/>
  <c r="G112"/>
  <c r="E110"/>
  <c r="K101"/>
  <c r="J99"/>
  <c r="I97"/>
  <c r="F95"/>
  <c r="E93"/>
  <c r="M88"/>
  <c r="L86"/>
  <c r="L84"/>
  <c r="L82"/>
  <c r="F232"/>
  <c r="I234"/>
  <c r="L236"/>
  <c r="D239"/>
  <c r="G241"/>
  <c r="L243"/>
  <c r="D246"/>
  <c r="Z33" i="1"/>
  <c r="Y33"/>
  <c r="V33"/>
  <c r="X33"/>
  <c r="W33"/>
  <c r="I251" i="6"/>
  <c r="M249"/>
  <c r="D248"/>
  <c r="G246"/>
  <c r="L244"/>
  <c r="M242"/>
  <c r="E239"/>
  <c r="K237"/>
  <c r="M235"/>
  <c r="E232"/>
  <c r="K230"/>
  <c r="C227"/>
  <c r="J225"/>
  <c r="K223"/>
  <c r="G220"/>
  <c r="G218"/>
  <c r="K216"/>
  <c r="E213"/>
  <c r="I211"/>
  <c r="M209"/>
  <c r="C206"/>
  <c r="E204"/>
  <c r="G202"/>
  <c r="J200"/>
  <c r="K198"/>
  <c r="F195"/>
  <c r="L193"/>
  <c r="M191"/>
  <c r="F188"/>
  <c r="K186"/>
  <c r="M184"/>
  <c r="C181"/>
  <c r="G179"/>
  <c r="J177"/>
  <c r="M175"/>
  <c r="C172"/>
  <c r="G170"/>
  <c r="I168"/>
  <c r="J166"/>
  <c r="E163"/>
  <c r="G161"/>
  <c r="G159"/>
  <c r="K157"/>
  <c r="E154"/>
  <c r="F152"/>
  <c r="I150"/>
  <c r="K148"/>
  <c r="M146"/>
  <c r="D145"/>
  <c r="J143"/>
  <c r="M141"/>
  <c r="D140"/>
  <c r="F138"/>
  <c r="L136"/>
  <c r="G133"/>
  <c r="I131"/>
  <c r="M129"/>
  <c r="C128"/>
  <c r="F126"/>
  <c r="J124"/>
  <c r="L122"/>
  <c r="E119"/>
  <c r="J117"/>
  <c r="K115"/>
  <c r="C112"/>
  <c r="G110"/>
  <c r="L108"/>
  <c r="E105"/>
  <c r="K103"/>
  <c r="E100"/>
  <c r="F98"/>
  <c r="M96"/>
  <c r="D93"/>
  <c r="G91"/>
  <c r="K89"/>
  <c r="F251"/>
  <c r="K249"/>
  <c r="E246"/>
  <c r="J244"/>
  <c r="K242"/>
  <c r="C239"/>
  <c r="I237"/>
  <c r="E251"/>
  <c r="J249"/>
  <c r="D251"/>
  <c r="I249"/>
  <c r="C246"/>
  <c r="G244"/>
  <c r="I242"/>
  <c r="L240"/>
  <c r="F237"/>
  <c r="I235"/>
  <c r="L233"/>
  <c r="F230"/>
  <c r="J228"/>
  <c r="E225"/>
  <c r="F223"/>
  <c r="K221"/>
  <c r="C220"/>
  <c r="C218"/>
  <c r="F216"/>
  <c r="K214"/>
  <c r="D211"/>
  <c r="I209"/>
  <c r="L207"/>
  <c r="M205"/>
  <c r="C202"/>
  <c r="R202" s="1"/>
  <c r="E200"/>
  <c r="F198"/>
  <c r="M196"/>
  <c r="G193"/>
  <c r="I191"/>
  <c r="M189"/>
  <c r="F186"/>
  <c r="I184"/>
  <c r="L182"/>
  <c r="C179"/>
  <c r="E177"/>
  <c r="I175"/>
  <c r="L173"/>
  <c r="L171"/>
  <c r="C170"/>
  <c r="D168"/>
  <c r="E166"/>
  <c r="K164"/>
  <c r="C161"/>
  <c r="C159"/>
  <c r="F157"/>
  <c r="D150"/>
  <c r="F148"/>
  <c r="I146"/>
  <c r="E143"/>
  <c r="I141"/>
  <c r="M139"/>
  <c r="G136"/>
  <c r="L134"/>
  <c r="C133"/>
  <c r="D131"/>
  <c r="I129"/>
  <c r="E124"/>
  <c r="G122"/>
  <c r="L120"/>
  <c r="E117"/>
  <c r="F115"/>
  <c r="J113"/>
  <c r="C110"/>
  <c r="G108"/>
  <c r="F103"/>
  <c r="L101"/>
  <c r="I96"/>
  <c r="K94"/>
  <c r="C91"/>
  <c r="F89"/>
  <c r="L87"/>
  <c r="E249"/>
  <c r="M247"/>
  <c r="D244"/>
  <c r="E242"/>
  <c r="I240"/>
  <c r="C237"/>
  <c r="E235"/>
  <c r="I233"/>
  <c r="L231"/>
  <c r="C230"/>
  <c r="F228"/>
  <c r="C223"/>
  <c r="G221"/>
  <c r="M219"/>
  <c r="C216"/>
  <c r="G214"/>
  <c r="M212"/>
  <c r="E209"/>
  <c r="I207"/>
  <c r="J205"/>
  <c r="M203"/>
  <c r="M201"/>
  <c r="C198"/>
  <c r="J196"/>
  <c r="M194"/>
  <c r="D193"/>
  <c r="E191"/>
  <c r="J189"/>
  <c r="C186"/>
  <c r="E184"/>
  <c r="I182"/>
  <c r="L180"/>
  <c r="T117" i="5"/>
  <c r="AG33" i="1"/>
  <c r="AH33"/>
  <c r="Q44"/>
  <c r="Q49" s="1"/>
  <c r="C33" i="10" s="1"/>
  <c r="D33" s="1"/>
  <c r="R44" i="1"/>
  <c r="R49" s="1"/>
  <c r="C34" i="10" s="1"/>
  <c r="D34" s="1"/>
  <c r="AD33" i="1"/>
  <c r="P49"/>
  <c r="C32" i="10" s="1"/>
  <c r="D32" s="1"/>
  <c r="AI33" i="1"/>
  <c r="B7" i="7"/>
  <c r="O49" i="1"/>
  <c r="C31" i="10" s="1"/>
  <c r="D31" s="1"/>
  <c r="I44" i="1"/>
  <c r="N49"/>
  <c r="L44"/>
  <c r="L49" s="1"/>
  <c r="C28" i="10" s="1"/>
  <c r="D28" s="1"/>
  <c r="AB33" i="1"/>
  <c r="M44"/>
  <c r="M49" s="1"/>
  <c r="C29" i="10" s="1"/>
  <c r="D29" s="1"/>
  <c r="AC33" i="1"/>
  <c r="AE33"/>
  <c r="S49"/>
  <c r="C35" i="10" s="1"/>
  <c r="D35" s="1"/>
  <c r="T12" i="5"/>
  <c r="T84"/>
  <c r="AA33" i="1"/>
  <c r="AF33"/>
  <c r="C30" i="10" l="1"/>
  <c r="D30" s="1"/>
  <c r="R47" i="6"/>
  <c r="C46" i="7" s="1"/>
  <c r="U139" i="6"/>
  <c r="F138" i="7" s="1"/>
  <c r="T125" i="6"/>
  <c r="S23"/>
  <c r="D22" i="7" s="1"/>
  <c r="V87" i="6"/>
  <c r="S380"/>
  <c r="V219"/>
  <c r="G218" i="7" s="1"/>
  <c r="U351" i="6"/>
  <c r="R155"/>
  <c r="C154" i="7" s="1"/>
  <c r="T150" i="6"/>
  <c r="E149" i="7" s="1"/>
  <c r="U88" i="6"/>
  <c r="F87" i="7" s="1"/>
  <c r="R247" i="6"/>
  <c r="C246" i="7" s="1"/>
  <c r="R67" i="5"/>
  <c r="U397" i="6"/>
  <c r="F396" i="7" s="1"/>
  <c r="R79" i="6"/>
  <c r="C78" i="7" s="1"/>
  <c r="S219" i="6"/>
  <c r="D218" i="7" s="1"/>
  <c r="S419" i="6"/>
  <c r="D418" i="7" s="1"/>
  <c r="R141" i="6"/>
  <c r="C140" i="7" s="1"/>
  <c r="R178" i="6"/>
  <c r="R121"/>
  <c r="C120" i="7" s="1"/>
  <c r="V230" i="6"/>
  <c r="G229" i="7" s="1"/>
  <c r="S14" i="6"/>
  <c r="D13" i="7" s="1"/>
  <c r="T59" i="6"/>
  <c r="E58" i="7" s="1"/>
  <c r="U176" i="6"/>
  <c r="F175" i="7" s="1"/>
  <c r="R29" i="6"/>
  <c r="C28" i="7" s="1"/>
  <c r="R174" i="6"/>
  <c r="C173" i="7" s="1"/>
  <c r="U324" i="6"/>
  <c r="F323" i="7" s="1"/>
  <c r="U63" i="6"/>
  <c r="F62" i="7" s="1"/>
  <c r="U206" i="6"/>
  <c r="F205" i="7" s="1"/>
  <c r="U196" i="6"/>
  <c r="F195" i="7" s="1"/>
  <c r="R66" i="6"/>
  <c r="C65" i="7" s="1"/>
  <c r="U24" i="6"/>
  <c r="F23" i="7" s="1"/>
  <c r="U181" i="6"/>
  <c r="F180" i="7" s="1"/>
  <c r="S99" i="6"/>
  <c r="D98" i="7" s="1"/>
  <c r="T113" i="6"/>
  <c r="E112" i="7" s="1"/>
  <c r="S150" i="6"/>
  <c r="D149" i="7" s="1"/>
  <c r="U336" i="6"/>
  <c r="F335" i="7" s="1"/>
  <c r="U43" i="6"/>
  <c r="F42" i="7" s="1"/>
  <c r="R43" i="5"/>
  <c r="V135" i="6"/>
  <c r="G134" i="7" s="1"/>
  <c r="V251" i="6"/>
  <c r="G250" i="7" s="1"/>
  <c r="R34" i="5"/>
  <c r="V207" i="6"/>
  <c r="G206" i="7" s="1"/>
  <c r="U142" i="6"/>
  <c r="F141" i="7" s="1"/>
  <c r="R106" i="6"/>
  <c r="C105" i="7" s="1"/>
  <c r="U400" i="6"/>
  <c r="F399" i="7" s="1"/>
  <c r="S296" i="6"/>
  <c r="D295" i="7" s="1"/>
  <c r="R25" i="5"/>
  <c r="U28" i="6"/>
  <c r="F27" i="7" s="1"/>
  <c r="R169" i="6"/>
  <c r="C168" i="7" s="1"/>
  <c r="U396" i="6"/>
  <c r="F395" i="7" s="1"/>
  <c r="T24" i="6"/>
  <c r="E23" i="7" s="1"/>
  <c r="V196" i="6"/>
  <c r="G195" i="7" s="1"/>
  <c r="U444" i="6"/>
  <c r="F443" i="7" s="1"/>
  <c r="U408" i="6"/>
  <c r="F407" i="7" s="1"/>
  <c r="R111" i="6"/>
  <c r="C110" i="7" s="1"/>
  <c r="S428" i="6"/>
  <c r="D427" i="7" s="1"/>
  <c r="R97" i="6"/>
  <c r="C96" i="7" s="1"/>
  <c r="T40" i="6"/>
  <c r="E39" i="7" s="1"/>
  <c r="S373" i="6"/>
  <c r="D372" i="7" s="1"/>
  <c r="T132" i="6"/>
  <c r="E131" i="7" s="1"/>
  <c r="U304" i="6"/>
  <c r="F303" i="7" s="1"/>
  <c r="S46" i="6"/>
  <c r="D45" i="7" s="1"/>
  <c r="U187" i="6"/>
  <c r="F186" i="7" s="1"/>
  <c r="S211" i="6"/>
  <c r="D210" i="7" s="1"/>
  <c r="S39" i="6"/>
  <c r="D38" i="7" s="1"/>
  <c r="R31" i="6"/>
  <c r="C30" i="7" s="1"/>
  <c r="U37" i="6"/>
  <c r="F36" i="7" s="1"/>
  <c r="R160" i="6"/>
  <c r="C159" i="7" s="1"/>
  <c r="R74" i="5"/>
  <c r="R56"/>
  <c r="U240" i="6"/>
  <c r="F239" i="7" s="1"/>
  <c r="V159" i="6"/>
  <c r="G158" i="7" s="1"/>
  <c r="U360" i="6"/>
  <c r="F359" i="7" s="1"/>
  <c r="S113" i="6"/>
  <c r="D112" i="7" s="1"/>
  <c r="U352" i="6"/>
  <c r="F351" i="7" s="1"/>
  <c r="R18" i="6"/>
  <c r="R27" i="5"/>
  <c r="S34" i="6"/>
  <c r="D33" i="7" s="1"/>
  <c r="U162" i="6"/>
  <c r="F161" i="7" s="1"/>
  <c r="U140" i="6"/>
  <c r="F139" i="7" s="1"/>
  <c r="U344" i="6"/>
  <c r="F343" i="7" s="1"/>
  <c r="S402" i="6"/>
  <c r="D401" i="7" s="1"/>
  <c r="U253" i="6"/>
  <c r="F252" i="7" s="1"/>
  <c r="U348" i="6"/>
  <c r="F347" i="7" s="1"/>
  <c r="R181" i="6"/>
  <c r="C180" i="7" s="1"/>
  <c r="R207" i="6"/>
  <c r="C206" i="7" s="1"/>
  <c r="U447" i="6"/>
  <c r="F446" i="7" s="1"/>
  <c r="U424" i="6"/>
  <c r="F423" i="7" s="1"/>
  <c r="S333" i="6"/>
  <c r="D332" i="7" s="1"/>
  <c r="U325" i="6"/>
  <c r="F324" i="7" s="1"/>
  <c r="U251" i="6"/>
  <c r="F250" i="7" s="1"/>
  <c r="S25" i="6"/>
  <c r="D24" i="7" s="1"/>
  <c r="U263" i="6"/>
  <c r="F262" i="7" s="1"/>
  <c r="U361" i="6"/>
  <c r="F360" i="7" s="1"/>
  <c r="U349" i="6"/>
  <c r="F348" i="7" s="1"/>
  <c r="U75" i="6"/>
  <c r="F74" i="7" s="1"/>
  <c r="S332" i="6"/>
  <c r="D331" i="7" s="1"/>
  <c r="S354" i="6"/>
  <c r="D353" i="7" s="1"/>
  <c r="S155" i="6"/>
  <c r="D154" i="7" s="1"/>
  <c r="U29" i="6"/>
  <c r="R231"/>
  <c r="C230" i="7" s="1"/>
  <c r="V50" i="6"/>
  <c r="G49" i="7" s="1"/>
  <c r="S127" i="6"/>
  <c r="D126" i="7" s="1"/>
  <c r="U456" i="6"/>
  <c r="F455" i="7" s="1"/>
  <c r="S422" i="6"/>
  <c r="D421" i="7" s="1"/>
  <c r="S364" i="6"/>
  <c r="D363" i="7" s="1"/>
  <c r="V92" i="6"/>
  <c r="G91" i="7" s="1"/>
  <c r="T210" i="6"/>
  <c r="E209" i="7" s="1"/>
  <c r="R102" i="5"/>
  <c r="U257" i="6"/>
  <c r="F256" i="7" s="1"/>
  <c r="S383" i="6"/>
  <c r="D382" i="7" s="1"/>
  <c r="T76" i="6"/>
  <c r="E75" i="7" s="1"/>
  <c r="U328" i="6"/>
  <c r="F327" i="7" s="1"/>
  <c r="R23" i="5"/>
  <c r="V10" i="6"/>
  <c r="G9" i="7" s="1"/>
  <c r="U204" i="6"/>
  <c r="F203" i="7" s="1"/>
  <c r="T42" i="6"/>
  <c r="E41" i="7" s="1"/>
  <c r="U99" i="6"/>
  <c r="F98" i="7" s="1"/>
  <c r="R50" i="6"/>
  <c r="C49" i="7" s="1"/>
  <c r="U280" i="6"/>
  <c r="F279" i="7" s="1"/>
  <c r="U277" i="6"/>
  <c r="F276" i="7" s="1"/>
  <c r="U388" i="6"/>
  <c r="F387" i="7" s="1"/>
  <c r="S452" i="6"/>
  <c r="D451" i="7" s="1"/>
  <c r="S257" i="6"/>
  <c r="D256" i="7" s="1"/>
  <c r="U329" i="6"/>
  <c r="F328" i="7" s="1"/>
  <c r="S369" i="6"/>
  <c r="D368" i="7" s="1"/>
  <c r="R166" i="6"/>
  <c r="S77"/>
  <c r="D76" i="7" s="1"/>
  <c r="U219" i="6"/>
  <c r="F218" i="7" s="1"/>
  <c r="S135" i="6"/>
  <c r="D134" i="7" s="1"/>
  <c r="S159" i="6"/>
  <c r="D158" i="7" s="1"/>
  <c r="T31" i="6"/>
  <c r="E30" i="7" s="1"/>
  <c r="S356" i="6"/>
  <c r="D355" i="7" s="1"/>
  <c r="U268" i="6"/>
  <c r="F267" i="7" s="1"/>
  <c r="U375" i="6"/>
  <c r="F374" i="7" s="1"/>
  <c r="S377" i="6"/>
  <c r="D376" i="7" s="1"/>
  <c r="U372" i="6"/>
  <c r="F371" i="7" s="1"/>
  <c r="U299" i="6"/>
  <c r="F298" i="7" s="1"/>
  <c r="S357" i="6"/>
  <c r="D356" i="7" s="1"/>
  <c r="R172" i="6"/>
  <c r="C171" i="7" s="1"/>
  <c r="V100" i="6"/>
  <c r="G99" i="7" s="1"/>
  <c r="U116" i="6"/>
  <c r="F115" i="7" s="1"/>
  <c r="S270" i="6"/>
  <c r="D269" i="7" s="1"/>
  <c r="U455" i="6"/>
  <c r="F454" i="7" s="1"/>
  <c r="S289" i="6"/>
  <c r="D288" i="7" s="1"/>
  <c r="S228" i="6"/>
  <c r="D227" i="7" s="1"/>
  <c r="U432" i="6"/>
  <c r="F431" i="7" s="1"/>
  <c r="U340" i="6"/>
  <c r="F339" i="7" s="1"/>
  <c r="U261" i="6"/>
  <c r="F260" i="7" s="1"/>
  <c r="T183" i="6"/>
  <c r="E182" i="7" s="1"/>
  <c r="S263" i="6"/>
  <c r="D262" i="7" s="1"/>
  <c r="U54" i="6"/>
  <c r="F53" i="7" s="1"/>
  <c r="S226" i="6"/>
  <c r="D225" i="7" s="1"/>
  <c r="V150" i="6"/>
  <c r="G149" i="7" s="1"/>
  <c r="S68" i="6"/>
  <c r="D67" i="7" s="1"/>
  <c r="S17" i="6"/>
  <c r="D16" i="7" s="1"/>
  <c r="S396" i="6"/>
  <c r="D395" i="7" s="1"/>
  <c r="S459" i="6"/>
  <c r="D458" i="7" s="1"/>
  <c r="S262" i="6"/>
  <c r="D261" i="7" s="1"/>
  <c r="S303" i="6"/>
  <c r="D302" i="7" s="1"/>
  <c r="U437" i="6"/>
  <c r="F436" i="7" s="1"/>
  <c r="S100" i="6"/>
  <c r="D99" i="7" s="1"/>
  <c r="R120" i="6"/>
  <c r="C119" i="7" s="1"/>
  <c r="U384" i="6"/>
  <c r="F383" i="7" s="1"/>
  <c r="S38" i="6"/>
  <c r="D37" i="7" s="1"/>
  <c r="V51" i="6"/>
  <c r="G50" i="7" s="1"/>
  <c r="R95" i="6"/>
  <c r="C94" i="7" s="1"/>
  <c r="T35" i="6"/>
  <c r="E34" i="7" s="1"/>
  <c r="U338" i="6"/>
  <c r="F337" i="7" s="1"/>
  <c r="U227" i="6"/>
  <c r="F226" i="7" s="1"/>
  <c r="S70" i="6"/>
  <c r="D69" i="7" s="1"/>
  <c r="S196" i="6"/>
  <c r="D195" i="7" s="1"/>
  <c r="S344" i="6"/>
  <c r="D343" i="7" s="1"/>
  <c r="U434" i="6"/>
  <c r="F433" i="7" s="1"/>
  <c r="S345" i="6"/>
  <c r="D344" i="7" s="1"/>
  <c r="S266" i="6"/>
  <c r="D265" i="7" s="1"/>
  <c r="R177" i="6"/>
  <c r="C176" i="7" s="1"/>
  <c r="U373" i="6"/>
  <c r="F372" i="7" s="1"/>
  <c r="U271" i="6"/>
  <c r="F270" i="7" s="1"/>
  <c r="U380" i="6"/>
  <c r="F379" i="7" s="1"/>
  <c r="F103"/>
  <c r="U10" i="6"/>
  <c r="F9" i="7" s="1"/>
  <c r="V90" i="6"/>
  <c r="G89" i="7" s="1"/>
  <c r="R165" i="6"/>
  <c r="C164" i="7" s="1"/>
  <c r="S446" i="6"/>
  <c r="D445" i="7" s="1"/>
  <c r="S439" i="6"/>
  <c r="D438" i="7" s="1"/>
  <c r="S416" i="6"/>
  <c r="D415" i="7" s="1"/>
  <c r="U256" i="6"/>
  <c r="F255" i="7" s="1"/>
  <c r="U345" i="6"/>
  <c r="F344" i="7" s="1"/>
  <c r="U274" i="6"/>
  <c r="F273" i="7" s="1"/>
  <c r="S306" i="6"/>
  <c r="D305" i="7" s="1"/>
  <c r="U425" i="6"/>
  <c r="F424" i="7" s="1"/>
  <c r="S254" i="6"/>
  <c r="D253" i="7" s="1"/>
  <c r="S287" i="6"/>
  <c r="D286" i="7" s="1"/>
  <c r="U459" i="6"/>
  <c r="F458" i="7" s="1"/>
  <c r="S36" i="6"/>
  <c r="D35" i="7" s="1"/>
  <c r="U107" i="6"/>
  <c r="F106" i="7" s="1"/>
  <c r="S318" i="6"/>
  <c r="D317" i="7" s="1"/>
  <c r="U460" i="6"/>
  <c r="F459" i="7" s="1"/>
  <c r="U318" i="6"/>
  <c r="F317" i="7" s="1"/>
  <c r="T236" i="6"/>
  <c r="E235" i="7" s="1"/>
  <c r="R14" i="6"/>
  <c r="C13" i="7" s="1"/>
  <c r="U410" i="6"/>
  <c r="F409" i="7" s="1"/>
  <c r="S418" i="6"/>
  <c r="D417" i="7" s="1"/>
  <c r="U411" i="6"/>
  <c r="F410" i="7" s="1"/>
  <c r="R175" i="5"/>
  <c r="C79" i="7"/>
  <c r="R60" i="5"/>
  <c r="R246"/>
  <c r="R80"/>
  <c r="R133"/>
  <c r="R104"/>
  <c r="R71"/>
  <c r="R92"/>
  <c r="R88"/>
  <c r="R107" i="6"/>
  <c r="C106" i="7" s="1"/>
  <c r="U413" i="6"/>
  <c r="F412" i="7" s="1"/>
  <c r="U409" i="6"/>
  <c r="F408" i="7" s="1"/>
  <c r="U445" i="6"/>
  <c r="F444" i="7" s="1"/>
  <c r="U353" i="6"/>
  <c r="F352" i="7" s="1"/>
  <c r="S293" i="6"/>
  <c r="D292" i="7" s="1"/>
  <c r="S393" i="6"/>
  <c r="D392" i="7" s="1"/>
  <c r="U285" i="6"/>
  <c r="F284" i="7" s="1"/>
  <c r="U398" i="6"/>
  <c r="F397" i="7" s="1"/>
  <c r="R12" i="5"/>
  <c r="S440" i="6"/>
  <c r="D439" i="7" s="1"/>
  <c r="R63" i="5"/>
  <c r="S379" i="6"/>
  <c r="D378" i="7" s="1"/>
  <c r="U78" i="6"/>
  <c r="F77" i="7" s="1"/>
  <c r="V121" i="6"/>
  <c r="G120" i="7" s="1"/>
  <c r="R16" i="5"/>
  <c r="R115"/>
  <c r="U399" i="6"/>
  <c r="F398" i="7" s="1"/>
  <c r="R30" i="5"/>
  <c r="R111"/>
  <c r="R219" i="6"/>
  <c r="C218" i="7" s="1"/>
  <c r="R149" i="6"/>
  <c r="R161" i="5"/>
  <c r="V99" i="6"/>
  <c r="G98" i="7" s="1"/>
  <c r="U386" i="6"/>
  <c r="F385" i="7" s="1"/>
  <c r="S359" i="6"/>
  <c r="D358" i="7" s="1"/>
  <c r="U364" i="6"/>
  <c r="F363" i="7" s="1"/>
  <c r="S453" i="6"/>
  <c r="D452" i="7" s="1"/>
  <c r="U296" i="6"/>
  <c r="F295" i="7" s="1"/>
  <c r="U292" i="6"/>
  <c r="F291" i="7" s="1"/>
  <c r="S261" i="6"/>
  <c r="D260" i="7" s="1"/>
  <c r="U366" i="6"/>
  <c r="F365" i="7" s="1"/>
  <c r="S338" i="6"/>
  <c r="D337" i="7" s="1"/>
  <c r="T54" i="6"/>
  <c r="E53" i="7" s="1"/>
  <c r="S322" i="6"/>
  <c r="D321" i="7" s="1"/>
  <c r="U221" i="6"/>
  <c r="F220" i="7" s="1"/>
  <c r="U326" i="6"/>
  <c r="F325" i="7" s="1"/>
  <c r="V31" i="6"/>
  <c r="G30" i="7" s="1"/>
  <c r="S401" i="6"/>
  <c r="D400" i="7" s="1"/>
  <c r="U298" i="6"/>
  <c r="F297" i="7" s="1"/>
  <c r="S412" i="6"/>
  <c r="D411" i="7" s="1"/>
  <c r="R132" i="5"/>
  <c r="S311" i="6"/>
  <c r="D310" i="7" s="1"/>
  <c r="U265" i="6"/>
  <c r="F264" i="7" s="1"/>
  <c r="V240" i="6"/>
  <c r="G239" i="7" s="1"/>
  <c r="U154" i="6"/>
  <c r="F153" i="7" s="1"/>
  <c r="U34" i="6"/>
  <c r="F33" i="7" s="1"/>
  <c r="R40" i="6"/>
  <c r="C39" i="7" s="1"/>
  <c r="R136" i="5"/>
  <c r="U401" i="6"/>
  <c r="T161" i="5"/>
  <c r="R65"/>
  <c r="S404" i="6"/>
  <c r="D403" i="7" s="1"/>
  <c r="R159" i="6"/>
  <c r="C158" i="7" s="1"/>
  <c r="R78" i="5"/>
  <c r="U423" i="6"/>
  <c r="F422" i="7" s="1"/>
  <c r="U420" i="6"/>
  <c r="F419" i="7" s="1"/>
  <c r="S304" i="6"/>
  <c r="D303" i="7" s="1"/>
  <c r="S271" i="6"/>
  <c r="D270" i="7" s="1"/>
  <c r="T251" i="6"/>
  <c r="E250" i="7" s="1"/>
  <c r="U407" i="6"/>
  <c r="F406" i="7" s="1"/>
  <c r="R117" i="6"/>
  <c r="C116" i="7" s="1"/>
  <c r="U25" i="6"/>
  <c r="F24" i="7" s="1"/>
  <c r="S207" i="6"/>
  <c r="D206" i="7" s="1"/>
  <c r="S31" i="6"/>
  <c r="D30" i="7" s="1"/>
  <c r="R95" i="5"/>
  <c r="T28" i="6"/>
  <c r="E27" i="7" s="1"/>
  <c r="S319" i="6"/>
  <c r="D318" i="7" s="1"/>
  <c r="S346" i="6"/>
  <c r="D345" i="7" s="1"/>
  <c r="U435" i="6"/>
  <c r="F434" i="7" s="1"/>
  <c r="U308" i="6"/>
  <c r="F307" i="7" s="1"/>
  <c r="R15" i="5"/>
  <c r="R146" i="6"/>
  <c r="C145" i="7" s="1"/>
  <c r="R54" i="5"/>
  <c r="S72" i="6"/>
  <c r="D71" i="7" s="1"/>
  <c r="S139" i="6"/>
  <c r="U281"/>
  <c r="F280" i="7" s="1"/>
  <c r="U169" i="6"/>
  <c r="F168" i="7" s="1"/>
  <c r="R226" i="5"/>
  <c r="S406" i="6"/>
  <c r="D405" i="7" s="1"/>
  <c r="R68" i="5"/>
  <c r="R232" i="6"/>
  <c r="C231" i="7" s="1"/>
  <c r="S118" i="6"/>
  <c r="D117" i="7" s="1"/>
  <c r="R154" i="5"/>
  <c r="R157"/>
  <c r="T230" i="6"/>
  <c r="E229" i="7" s="1"/>
  <c r="U350" i="6"/>
  <c r="F349" i="7" s="1"/>
  <c r="R75" i="5"/>
  <c r="T99" i="6"/>
  <c r="E98" i="7" s="1"/>
  <c r="F21"/>
  <c r="T17" i="6"/>
  <c r="E16" i="7" s="1"/>
  <c r="U103" i="6"/>
  <c r="F102" i="7" s="1"/>
  <c r="R85" i="5"/>
  <c r="S251" i="6"/>
  <c r="D250" i="7" s="1"/>
  <c r="R96" i="6"/>
  <c r="C95" i="7" s="1"/>
  <c r="R31" i="5"/>
  <c r="S282" i="6"/>
  <c r="D281" i="7" s="1"/>
  <c r="S258" i="6"/>
  <c r="D257" i="7" s="1"/>
  <c r="R248" i="5"/>
  <c r="U20" i="6"/>
  <c r="F19" i="7" s="1"/>
  <c r="R223" i="5"/>
  <c r="S259" i="6"/>
  <c r="D258" i="7" s="1"/>
  <c r="R235" i="5"/>
  <c r="R103"/>
  <c r="R32"/>
  <c r="U347" i="6"/>
  <c r="F346" i="7" s="1"/>
  <c r="S450" i="6"/>
  <c r="D449" i="7" s="1"/>
  <c r="U376" i="6"/>
  <c r="F375" i="7" s="1"/>
  <c r="S285" i="6"/>
  <c r="D284" i="7" s="1"/>
  <c r="S330" i="6"/>
  <c r="D329" i="7" s="1"/>
  <c r="R129" i="5"/>
  <c r="S126" i="6"/>
  <c r="D125" i="7" s="1"/>
  <c r="R39" i="6"/>
  <c r="C38" i="7" s="1"/>
  <c r="S96" i="6"/>
  <c r="D95" i="7" s="1"/>
  <c r="S165" i="6"/>
  <c r="D164" i="7" s="1"/>
  <c r="U264" i="6"/>
  <c r="F263" i="7" s="1"/>
  <c r="S397" i="6"/>
  <c r="D396" i="7" s="1"/>
  <c r="U343" i="6"/>
  <c r="F342" i="7" s="1"/>
  <c r="S342" i="6"/>
  <c r="D341" i="7" s="1"/>
  <c r="S461" i="6"/>
  <c r="D460" i="7" s="1"/>
  <c r="U457" i="6"/>
  <c r="F456" i="7" s="1"/>
  <c r="U417" i="6"/>
  <c r="F416" i="7" s="1"/>
  <c r="S298" i="6"/>
  <c r="D297" i="7" s="1"/>
  <c r="U368" i="6"/>
  <c r="F367" i="7" s="1"/>
  <c r="S426" i="6"/>
  <c r="D425" i="7" s="1"/>
  <c r="U390" i="6"/>
  <c r="F389" i="7" s="1"/>
  <c r="U286" i="6"/>
  <c r="F285" i="7" s="1"/>
  <c r="U381" i="6"/>
  <c r="F380" i="7" s="1"/>
  <c r="U378" i="6"/>
  <c r="F377" i="7" s="1"/>
  <c r="F445"/>
  <c r="S328" i="6"/>
  <c r="D327" i="7" s="1"/>
  <c r="S301" i="6"/>
  <c r="D300" i="7" s="1"/>
  <c r="U415" i="6"/>
  <c r="F414" i="7" s="1"/>
  <c r="U335" i="6"/>
  <c r="F334" i="7" s="1"/>
  <c r="U262" i="6"/>
  <c r="F261" i="7" s="1"/>
  <c r="U357" i="6"/>
  <c r="F356" i="7" s="1"/>
  <c r="U354" i="6"/>
  <c r="F353" i="7" s="1"/>
  <c r="U311" i="6"/>
  <c r="F310" i="7" s="1"/>
  <c r="S274" i="6"/>
  <c r="D273" i="7" s="1"/>
  <c r="U440" i="6"/>
  <c r="F439" i="7" s="1"/>
  <c r="U342" i="6"/>
  <c r="F341" i="7" s="1"/>
  <c r="U333" i="6"/>
  <c r="F332" i="7" s="1"/>
  <c r="S314" i="6"/>
  <c r="D313" i="7" s="1"/>
  <c r="U330" i="6"/>
  <c r="F329" i="7" s="1"/>
  <c r="R41" i="5"/>
  <c r="U46" i="6"/>
  <c r="F45" i="7" s="1"/>
  <c r="S50" i="6"/>
  <c r="D49" i="7" s="1"/>
  <c r="D346"/>
  <c r="D304"/>
  <c r="Y254" i="8"/>
  <c r="Q254" i="6"/>
  <c r="S254" i="2"/>
  <c r="S254" i="4"/>
  <c r="S254" i="3"/>
  <c r="S254" i="5"/>
  <c r="F316" i="7"/>
  <c r="U302" i="6"/>
  <c r="F301" i="7" s="1"/>
  <c r="S178" i="6"/>
  <c r="D177" i="7" s="1"/>
  <c r="S454" i="6"/>
  <c r="D453" i="7" s="1"/>
  <c r="D333"/>
  <c r="S436" i="6"/>
  <c r="D435" i="7" s="1"/>
  <c r="U356" i="6"/>
  <c r="F355" i="7" s="1"/>
  <c r="S337" i="6"/>
  <c r="D336" i="7" s="1"/>
  <c r="S448" i="6"/>
  <c r="D447" i="7" s="1"/>
  <c r="S365" i="6"/>
  <c r="D364" i="7" s="1"/>
  <c r="S313" i="6"/>
  <c r="D312" i="7" s="1"/>
  <c r="S329" i="6"/>
  <c r="D328" i="7" s="1"/>
  <c r="R201" i="6"/>
  <c r="C200" i="7" s="1"/>
  <c r="S130" i="6"/>
  <c r="D129" i="7" s="1"/>
  <c r="V169" i="6"/>
  <c r="G168" i="7" s="1"/>
  <c r="U443" i="6"/>
  <c r="F442" i="7" s="1"/>
  <c r="S256" i="6"/>
  <c r="D255" i="7" s="1"/>
  <c r="S382" i="6"/>
  <c r="D381" i="7" s="1"/>
  <c r="U374" i="6"/>
  <c r="F373" i="7" s="1"/>
  <c r="U121" i="6"/>
  <c r="F120" i="7" s="1"/>
  <c r="D308"/>
  <c r="S400" i="6"/>
  <c r="D399" i="7" s="1"/>
  <c r="S331" i="6"/>
  <c r="D330" i="7" s="1"/>
  <c r="U315" i="6"/>
  <c r="F314" i="7" s="1"/>
  <c r="V35" i="6"/>
  <c r="G34" i="7" s="1"/>
  <c r="F350"/>
  <c r="D379"/>
  <c r="R64" i="5"/>
  <c r="T243" i="6"/>
  <c r="E242" i="7" s="1"/>
  <c r="U391" i="6"/>
  <c r="F390" i="7" s="1"/>
  <c r="U393" i="6"/>
  <c r="F392" i="7" s="1"/>
  <c r="U365" i="6"/>
  <c r="F364" i="7" s="1"/>
  <c r="S350" i="6"/>
  <c r="D349" i="7" s="1"/>
  <c r="S424" i="6"/>
  <c r="D423" i="7" s="1"/>
  <c r="S275" i="6"/>
  <c r="D274" i="7" s="1"/>
  <c r="S366" i="6"/>
  <c r="D365" i="7" s="1"/>
  <c r="U438" i="6"/>
  <c r="F437" i="7" s="1"/>
  <c r="U334" i="6"/>
  <c r="F333" i="7" s="1"/>
  <c r="U429" i="6"/>
  <c r="F428" i="7" s="1"/>
  <c r="S449" i="6"/>
  <c r="S389"/>
  <c r="D388" i="7" s="1"/>
  <c r="U322" i="6"/>
  <c r="F321" i="7" s="1"/>
  <c r="F311"/>
  <c r="S281" i="6"/>
  <c r="U385"/>
  <c r="F384" i="7" s="1"/>
  <c r="S381" i="6"/>
  <c r="U448"/>
  <c r="F447" i="7" s="1"/>
  <c r="U414" i="6"/>
  <c r="F413" i="7" s="1"/>
  <c r="U310" i="6"/>
  <c r="F309" i="7" s="1"/>
  <c r="U405" i="6"/>
  <c r="F404" i="7" s="1"/>
  <c r="S386" i="6"/>
  <c r="D385" i="7" s="1"/>
  <c r="U402" i="6"/>
  <c r="F401" i="7" s="1"/>
  <c r="U273" i="6"/>
  <c r="F272" i="7" s="1"/>
  <c r="S441" i="6"/>
  <c r="D440" i="7" s="1"/>
  <c r="S363" i="6"/>
  <c r="D362" i="7" s="1"/>
  <c r="U346" i="6"/>
  <c r="F345" i="7" s="1"/>
  <c r="U389" i="6"/>
  <c r="F388" i="7" s="1"/>
  <c r="U421" i="6"/>
  <c r="F420" i="7" s="1"/>
  <c r="U316" i="6"/>
  <c r="F315" i="7" s="1"/>
  <c r="U266" i="6"/>
  <c r="F265" i="7" s="1"/>
  <c r="S326" i="6"/>
  <c r="D325" i="7" s="1"/>
  <c r="S417" i="6"/>
  <c r="D416" i="7" s="1"/>
  <c r="U309" i="6"/>
  <c r="F308" i="7" s="1"/>
  <c r="S290" i="6"/>
  <c r="D289" i="7" s="1"/>
  <c r="U306" i="6"/>
  <c r="F305" i="7" s="1"/>
  <c r="U276" i="6"/>
  <c r="F275" i="7" s="1"/>
  <c r="S443" i="6"/>
  <c r="D442" i="7" s="1"/>
  <c r="U392" i="6"/>
  <c r="F391" i="7" s="1"/>
  <c r="S279" i="6"/>
  <c r="D278" i="7" s="1"/>
  <c r="U377" i="6"/>
  <c r="F376" i="7" s="1"/>
  <c r="S286" i="6"/>
  <c r="D285" i="7" s="1"/>
  <c r="U287" i="6"/>
  <c r="F286" i="7" s="1"/>
  <c r="U279" i="6"/>
  <c r="F278" i="7" s="1"/>
  <c r="U371" i="6"/>
  <c r="F370" i="7" s="1"/>
  <c r="U294" i="6"/>
  <c r="F293" i="7" s="1"/>
  <c r="S457" i="6"/>
  <c r="D456" i="7" s="1"/>
  <c r="U282" i="6"/>
  <c r="F281" i="7" s="1"/>
  <c r="S394" i="6"/>
  <c r="D393" i="7" s="1"/>
  <c r="U321" i="6"/>
  <c r="F320" i="7" s="1"/>
  <c r="U297" i="6"/>
  <c r="F296" i="7" s="1"/>
  <c r="U458" i="6"/>
  <c r="F457" i="7" s="1"/>
  <c r="U270" i="6"/>
  <c r="F269" i="7" s="1"/>
  <c r="U452" i="6"/>
  <c r="F451" i="7" s="1"/>
  <c r="S433" i="6"/>
  <c r="D432" i="7" s="1"/>
  <c r="U258" i="6"/>
  <c r="F257" i="7" s="1"/>
  <c r="S284" i="6"/>
  <c r="D283" i="7" s="1"/>
  <c r="U293" i="6"/>
  <c r="F292" i="7" s="1"/>
  <c r="U416" i="6"/>
  <c r="F415" i="7" s="1"/>
  <c r="U428" i="6"/>
  <c r="F427" i="7" s="1"/>
  <c r="S409" i="6"/>
  <c r="D408" i="7" s="1"/>
  <c r="S371" i="6"/>
  <c r="D370" i="7" s="1"/>
  <c r="S421" i="6"/>
  <c r="D420" i="7" s="1"/>
  <c r="S321" i="6"/>
  <c r="D320" i="7" s="1"/>
  <c r="U404" i="6"/>
  <c r="F403" i="7" s="1"/>
  <c r="S385" i="6"/>
  <c r="D384" i="7" s="1"/>
  <c r="S272" i="6"/>
  <c r="D271" i="7" s="1"/>
  <c r="S378" i="6"/>
  <c r="D377" i="7" s="1"/>
  <c r="S429" i="6"/>
  <c r="D428" i="7" s="1"/>
  <c r="U367" i="6"/>
  <c r="F366" i="7" s="1"/>
  <c r="S297" i="6"/>
  <c r="D296" i="7" s="1"/>
  <c r="S460" i="6"/>
  <c r="D459" i="7" s="1"/>
  <c r="S361" i="6"/>
  <c r="D360" i="7" s="1"/>
  <c r="S413" i="6"/>
  <c r="D412" i="7" s="1"/>
  <c r="S403" i="6"/>
  <c r="D402" i="7" s="1"/>
  <c r="U288" i="6"/>
  <c r="F287" i="7" s="1"/>
  <c r="S398" i="6"/>
  <c r="D397" i="7" s="1"/>
  <c r="S273" i="6"/>
  <c r="D272" i="7" s="1"/>
  <c r="S349" i="6"/>
  <c r="U332"/>
  <c r="F331" i="7" s="1"/>
  <c r="S387" i="6"/>
  <c r="D386" i="7" s="1"/>
  <c r="S280" i="6"/>
  <c r="D279" i="7" s="1"/>
  <c r="S388" i="6"/>
  <c r="D387" i="7" s="1"/>
  <c r="S390" i="6"/>
  <c r="D389" i="7" s="1"/>
  <c r="S437" i="6"/>
  <c r="D436" i="7" s="1"/>
  <c r="U433" i="6"/>
  <c r="F432" i="7" s="1"/>
  <c r="S278" i="6"/>
  <c r="D277" i="7" s="1"/>
  <c r="S425" i="6"/>
  <c r="D424" i="7" s="1"/>
  <c r="U418" i="6"/>
  <c r="F417" i="7" s="1"/>
  <c r="U284" i="6"/>
  <c r="F283" i="7" s="1"/>
  <c r="S265" i="6"/>
  <c r="D264" i="7" s="1"/>
  <c r="S456" i="6"/>
  <c r="D455" i="7" s="1"/>
  <c r="U319" i="6"/>
  <c r="F318" i="7" s="1"/>
  <c r="S368" i="6"/>
  <c r="D367" i="7" s="1"/>
  <c r="U362" i="6"/>
  <c r="F361" i="7" s="1"/>
  <c r="U431" i="6"/>
  <c r="F430" i="7" s="1"/>
  <c r="S260" i="6"/>
  <c r="D259" i="7" s="1"/>
  <c r="S444" i="6"/>
  <c r="D443" i="7" s="1"/>
  <c r="U387" i="6"/>
  <c r="F386" i="7" s="1"/>
  <c r="S340" i="6"/>
  <c r="D339" i="7" s="1"/>
  <c r="U260" i="6"/>
  <c r="F259" i="7" s="1"/>
  <c r="U451" i="6"/>
  <c r="F450" i="7" s="1"/>
  <c r="S432" i="6"/>
  <c r="D431" i="7" s="1"/>
  <c r="S415" i="6"/>
  <c r="D414" i="7" s="1"/>
  <c r="U305" i="6"/>
  <c r="F304" i="7" s="1"/>
  <c r="S451" i="6"/>
  <c r="D450" i="7" s="1"/>
  <c r="S335" i="6"/>
  <c r="D334" i="7" s="1"/>
  <c r="U327" i="6"/>
  <c r="F326" i="7" s="1"/>
  <c r="U439" i="6"/>
  <c r="F438" i="7" s="1"/>
  <c r="S420" i="6"/>
  <c r="D419" i="7" s="1"/>
  <c r="U363" i="6"/>
  <c r="F362" i="7" s="1"/>
  <c r="S316" i="6"/>
  <c r="D315" i="7" s="1"/>
  <c r="U427" i="6"/>
  <c r="F426" i="7" s="1"/>
  <c r="S408" i="6"/>
  <c r="D407" i="7" s="1"/>
  <c r="U303" i="6"/>
  <c r="F302" i="7" s="1"/>
  <c r="S302" i="6"/>
  <c r="D301" i="7" s="1"/>
  <c r="S295" i="6"/>
  <c r="D294" i="7" s="1"/>
  <c r="U289" i="6"/>
  <c r="F288" i="7" s="1"/>
  <c r="U339" i="6"/>
  <c r="F338" i="7" s="1"/>
  <c r="S292" i="6"/>
  <c r="D291" i="7" s="1"/>
  <c r="U403" i="6"/>
  <c r="F402" i="7" s="1"/>
  <c r="S384" i="6"/>
  <c r="D383" i="7" s="1"/>
  <c r="S310" i="6"/>
  <c r="D309" i="7" s="1"/>
  <c r="S374" i="6"/>
  <c r="D373" i="7" s="1"/>
  <c r="U394" i="6"/>
  <c r="F393" i="7" s="1"/>
  <c r="S352" i="6"/>
  <c r="D351" i="7" s="1"/>
  <c r="S255" i="6"/>
  <c r="D254" i="7" s="1"/>
  <c r="U461" i="6"/>
  <c r="F460" i="7" s="1"/>
  <c r="U370" i="6"/>
  <c r="F369" i="7" s="1"/>
  <c r="S427" i="6"/>
  <c r="D426" i="7" s="1"/>
  <c r="S372" i="6"/>
  <c r="D371" i="7" s="1"/>
  <c r="S268" i="6"/>
  <c r="D267" i="7" s="1"/>
  <c r="S435" i="6"/>
  <c r="D434" i="7" s="1"/>
  <c r="U379" i="6"/>
  <c r="F378" i="7" s="1"/>
  <c r="S360" i="6"/>
  <c r="D359" i="7" s="1"/>
  <c r="U255" i="6"/>
  <c r="F254" i="7" s="1"/>
  <c r="S269" i="6"/>
  <c r="D268" i="7" s="1"/>
  <c r="U323" i="6"/>
  <c r="F322" i="7" s="1"/>
  <c r="S283" i="6"/>
  <c r="D282" i="7" s="1"/>
  <c r="S277" i="6"/>
  <c r="D276" i="7" s="1"/>
  <c r="U422" i="6"/>
  <c r="F421" i="7" s="1"/>
  <c r="S423" i="6"/>
  <c r="D422" i="7" s="1"/>
  <c r="U419" i="6"/>
  <c r="F418" i="7" s="1"/>
  <c r="S445" i="6"/>
  <c r="D444" i="7" s="1"/>
  <c r="U337" i="6"/>
  <c r="F336" i="7" s="1"/>
  <c r="S395" i="6"/>
  <c r="D394" i="7" s="1"/>
  <c r="S348" i="6"/>
  <c r="D347" i="7" s="1"/>
  <c r="U291" i="6"/>
  <c r="F290" i="7" s="1"/>
  <c r="U454" i="6"/>
  <c r="F453" i="7" s="1"/>
  <c r="S339" i="6"/>
  <c r="D338" i="7" s="1"/>
  <c r="U355" i="6"/>
  <c r="F354" i="7" s="1"/>
  <c r="S336" i="6"/>
  <c r="D335" i="7" s="1"/>
  <c r="S323" i="6"/>
  <c r="D322" i="7" s="1"/>
  <c r="S447" i="6"/>
  <c r="D446" i="7" s="1"/>
  <c r="S442" i="6"/>
  <c r="D441" i="7" s="1"/>
  <c r="S438" i="6"/>
  <c r="D437" i="7" s="1"/>
  <c r="S431" i="6"/>
  <c r="D430" i="7" s="1"/>
  <c r="U442" i="6"/>
  <c r="F441" i="7" s="1"/>
  <c r="S405" i="6"/>
  <c r="D404" i="7" s="1"/>
  <c r="U383" i="6"/>
  <c r="F382" i="7" s="1"/>
  <c r="S407" i="6"/>
  <c r="D406" i="7" s="1"/>
  <c r="U301" i="6"/>
  <c r="F300" i="7" s="1"/>
  <c r="S358" i="6"/>
  <c r="D357" i="7" s="1"/>
  <c r="S324" i="6"/>
  <c r="D323" i="7" s="1"/>
  <c r="U267" i="6"/>
  <c r="F266" i="7" s="1"/>
  <c r="U430" i="6"/>
  <c r="F429" i="7" s="1"/>
  <c r="S315" i="6"/>
  <c r="D314" i="7" s="1"/>
  <c r="U331" i="6"/>
  <c r="F330" i="7" s="1"/>
  <c r="S411" i="6"/>
  <c r="D410" i="7" s="1"/>
  <c r="S312" i="6"/>
  <c r="D311" i="7" s="1"/>
  <c r="S353" i="6"/>
  <c r="D352" i="7" s="1"/>
  <c r="S325" i="6"/>
  <c r="D324" i="7" s="1"/>
  <c r="S320" i="6"/>
  <c r="D319" i="7" s="1"/>
  <c r="S317" i="6"/>
  <c r="D316" i="7" s="1"/>
  <c r="S414" i="6"/>
  <c r="D413" i="7" s="1"/>
  <c r="U254" i="6"/>
  <c r="F253" i="7" s="1"/>
  <c r="U395" i="6"/>
  <c r="F394" i="7" s="1"/>
  <c r="S367" i="6"/>
  <c r="D366" i="7" s="1"/>
  <c r="U369" i="6"/>
  <c r="F368" i="7" s="1"/>
  <c r="S351" i="6"/>
  <c r="U359"/>
  <c r="F358" i="7" s="1"/>
  <c r="U341" i="6"/>
  <c r="F340" i="7" s="1"/>
  <c r="S341" i="6"/>
  <c r="D340" i="7" s="1"/>
  <c r="S455" i="6"/>
  <c r="D454" i="7" s="1"/>
  <c r="S376" i="6"/>
  <c r="D375" i="7" s="1"/>
  <c r="U269" i="6"/>
  <c r="F268" i="7" s="1"/>
  <c r="S327" i="6"/>
  <c r="D326" i="7" s="1"/>
  <c r="S300" i="6"/>
  <c r="D299" i="7" s="1"/>
  <c r="U406" i="6"/>
  <c r="F405" i="7" s="1"/>
  <c r="S291" i="6"/>
  <c r="D290" i="7" s="1"/>
  <c r="U307" i="6"/>
  <c r="F306" i="7" s="1"/>
  <c r="S288" i="6"/>
  <c r="D287" i="7" s="1"/>
  <c r="S362" i="6"/>
  <c r="D361" i="7" s="1"/>
  <c r="U412" i="6"/>
  <c r="F411" i="7" s="1"/>
  <c r="U275" i="6"/>
  <c r="F274" i="7" s="1"/>
  <c r="S355" i="6"/>
  <c r="D354" i="7" s="1"/>
  <c r="S391" i="6"/>
  <c r="D390" i="7" s="1"/>
  <c r="S308" i="6"/>
  <c r="D307" i="7" s="1"/>
  <c r="U313" i="6"/>
  <c r="F312" i="7" s="1"/>
  <c r="U300" i="6"/>
  <c r="F299" i="7" s="1"/>
  <c r="U295" i="6"/>
  <c r="F294" i="7" s="1"/>
  <c r="S299" i="6"/>
  <c r="D298" i="7" s="1"/>
  <c r="U290" i="6"/>
  <c r="F289" i="7" s="1"/>
  <c r="S343" i="6"/>
  <c r="D342" i="7" s="1"/>
  <c r="S430" i="6"/>
  <c r="D429" i="7" s="1"/>
  <c r="S294" i="6"/>
  <c r="D293" i="7" s="1"/>
  <c r="S276" i="6"/>
  <c r="D275" i="7" s="1"/>
  <c r="U382" i="6"/>
  <c r="F381" i="7" s="1"/>
  <c r="S267" i="6"/>
  <c r="D266" i="7" s="1"/>
  <c r="S458" i="6"/>
  <c r="D457" i="7" s="1"/>
  <c r="U283" i="6"/>
  <c r="F282" i="7" s="1"/>
  <c r="S264" i="6"/>
  <c r="D263" i="7" s="1"/>
  <c r="U320" i="6"/>
  <c r="F319" i="7" s="1"/>
  <c r="U314" i="6"/>
  <c r="F313" i="7" s="1"/>
  <c r="U278" i="6"/>
  <c r="F277" i="7" s="1"/>
  <c r="S392" i="6"/>
  <c r="D391" i="7" s="1"/>
  <c r="U272" i="6"/>
  <c r="F271" i="7" s="1"/>
  <c r="S370" i="6"/>
  <c r="D369" i="7" s="1"/>
  <c r="U449" i="6"/>
  <c r="F448" i="7" s="1"/>
  <c r="U441" i="6"/>
  <c r="F440" i="7" s="1"/>
  <c r="U252" i="6"/>
  <c r="F251" i="7" s="1"/>
  <c r="S253" i="6"/>
  <c r="D252" i="7" s="1"/>
  <c r="S375" i="6"/>
  <c r="D374" i="7" s="1"/>
  <c r="S307" i="6"/>
  <c r="D306" i="7" s="1"/>
  <c r="S399" i="6"/>
  <c r="S252"/>
  <c r="D251" i="7" s="1"/>
  <c r="U358" i="6"/>
  <c r="F357" i="7" s="1"/>
  <c r="U453" i="6"/>
  <c r="F452" i="7" s="1"/>
  <c r="S434" i="6"/>
  <c r="D433" i="7" s="1"/>
  <c r="U259" i="6"/>
  <c r="F258" i="7" s="1"/>
  <c r="U450" i="6"/>
  <c r="F449" i="7" s="1"/>
  <c r="U436" i="6"/>
  <c r="F435" i="7" s="1"/>
  <c r="S410" i="6"/>
  <c r="D409" i="7" s="1"/>
  <c r="U426" i="6"/>
  <c r="F425" i="7" s="1"/>
  <c r="R318" i="6"/>
  <c r="P318"/>
  <c r="P360"/>
  <c r="R360"/>
  <c r="T357"/>
  <c r="E356" i="7" s="1"/>
  <c r="V357" i="6"/>
  <c r="G356" i="7" s="1"/>
  <c r="R256" i="6"/>
  <c r="C255" i="7" s="1"/>
  <c r="P256" i="6"/>
  <c r="T433"/>
  <c r="E432" i="7" s="1"/>
  <c r="V433" i="6"/>
  <c r="G432" i="7" s="1"/>
  <c r="T265" i="6"/>
  <c r="E264" i="7" s="1"/>
  <c r="V265" i="6"/>
  <c r="T451"/>
  <c r="E450" i="7" s="1"/>
  <c r="V451" i="6"/>
  <c r="G450" i="7" s="1"/>
  <c r="V257" i="6"/>
  <c r="T257"/>
  <c r="E256" i="7" s="1"/>
  <c r="V334" i="6"/>
  <c r="G333" i="7" s="1"/>
  <c r="T334" i="6"/>
  <c r="E333" i="7" s="1"/>
  <c r="V330" i="6"/>
  <c r="G329" i="7" s="1"/>
  <c r="T330" i="6"/>
  <c r="E329" i="7" s="1"/>
  <c r="P298" i="6"/>
  <c r="R298"/>
  <c r="R283"/>
  <c r="P283"/>
  <c r="V310"/>
  <c r="T310"/>
  <c r="E309" i="7" s="1"/>
  <c r="P336" i="6"/>
  <c r="R336"/>
  <c r="V333"/>
  <c r="G332" i="7" s="1"/>
  <c r="T333" i="6"/>
  <c r="E332" i="7" s="1"/>
  <c r="R399" i="6"/>
  <c r="C398" i="7" s="1"/>
  <c r="P399" i="6"/>
  <c r="V397"/>
  <c r="G396" i="7" s="1"/>
  <c r="T397" i="6"/>
  <c r="E396" i="7" s="1"/>
  <c r="R324" i="6"/>
  <c r="P324"/>
  <c r="P366"/>
  <c r="R366"/>
  <c r="T308"/>
  <c r="E307" i="7" s="1"/>
  <c r="V308" i="6"/>
  <c r="G307" i="7" s="1"/>
  <c r="V403" i="6"/>
  <c r="G402" i="7" s="1"/>
  <c r="T403" i="6"/>
  <c r="E402" i="7" s="1"/>
  <c r="P441" i="6"/>
  <c r="R441"/>
  <c r="T391"/>
  <c r="E390" i="7" s="1"/>
  <c r="V391" i="6"/>
  <c r="G390" i="7" s="1"/>
  <c r="T292" i="6"/>
  <c r="E291" i="7" s="1"/>
  <c r="V292" i="6"/>
  <c r="G291" i="7" s="1"/>
  <c r="V287" i="6"/>
  <c r="G286" i="7" s="1"/>
  <c r="T287" i="6"/>
  <c r="E286" i="7" s="1"/>
  <c r="P259" i="6"/>
  <c r="R259"/>
  <c r="T273"/>
  <c r="E272" i="7" s="1"/>
  <c r="V273" i="6"/>
  <c r="G272" i="7" s="1"/>
  <c r="P312" i="6"/>
  <c r="R312"/>
  <c r="C311" i="7" s="1"/>
  <c r="V309" i="6"/>
  <c r="T309"/>
  <c r="E308" i="7" s="1"/>
  <c r="R375" i="6"/>
  <c r="C374" i="7" s="1"/>
  <c r="P375" i="6"/>
  <c r="V373"/>
  <c r="G372" i="7" s="1"/>
  <c r="T373" i="6"/>
  <c r="E372" i="7" s="1"/>
  <c r="R300" i="6"/>
  <c r="P300"/>
  <c r="T427"/>
  <c r="E426" i="7" s="1"/>
  <c r="V427" i="6"/>
  <c r="T299"/>
  <c r="E298" i="7" s="1"/>
  <c r="V299" i="6"/>
  <c r="G298" i="7" s="1"/>
  <c r="P267" i="6"/>
  <c r="R267"/>
  <c r="T346"/>
  <c r="E345" i="7" s="1"/>
  <c r="V346" i="6"/>
  <c r="G345" i="7" s="1"/>
  <c r="R391" i="6"/>
  <c r="P391"/>
  <c r="T319"/>
  <c r="E318" i="7" s="1"/>
  <c r="V319" i="6"/>
  <c r="G318" i="7" s="1"/>
  <c r="R439" i="6"/>
  <c r="P439"/>
  <c r="P436"/>
  <c r="R436"/>
  <c r="T460"/>
  <c r="E459" i="7" s="1"/>
  <c r="V460" i="6"/>
  <c r="G459" i="7" s="1"/>
  <c r="P433" i="6"/>
  <c r="R433"/>
  <c r="P288"/>
  <c r="R288"/>
  <c r="T285"/>
  <c r="E284" i="7" s="1"/>
  <c r="V285" i="6"/>
  <c r="G284" i="7" s="1"/>
  <c r="V448" i="6"/>
  <c r="G447" i="7" s="1"/>
  <c r="T448" i="6"/>
  <c r="E447" i="7" s="1"/>
  <c r="R351" i="6"/>
  <c r="C350" i="7" s="1"/>
  <c r="P351" i="6"/>
  <c r="V349"/>
  <c r="G348" i="7" s="1"/>
  <c r="T349" i="6"/>
  <c r="E348" i="7" s="1"/>
  <c r="R276" i="6"/>
  <c r="P276"/>
  <c r="T428"/>
  <c r="E427" i="7" s="1"/>
  <c r="V428" i="6"/>
  <c r="T362"/>
  <c r="E361" i="7" s="1"/>
  <c r="V362" i="6"/>
  <c r="G361" i="7" s="1"/>
  <c r="V353" i="6"/>
  <c r="G352" i="7" s="1"/>
  <c r="T353" i="6"/>
  <c r="E352" i="7" s="1"/>
  <c r="P365" i="6"/>
  <c r="R365"/>
  <c r="R406"/>
  <c r="P406"/>
  <c r="T275"/>
  <c r="E274" i="7" s="1"/>
  <c r="V275" i="6"/>
  <c r="G274" i="7" s="1"/>
  <c r="P331" i="6"/>
  <c r="R331"/>
  <c r="V263"/>
  <c r="G262" i="7" s="1"/>
  <c r="T263" i="6"/>
  <c r="E262" i="7" s="1"/>
  <c r="V450" i="6"/>
  <c r="G449" i="7" s="1"/>
  <c r="T450" i="6"/>
  <c r="E449" i="7" s="1"/>
  <c r="P378" i="6"/>
  <c r="R378"/>
  <c r="P392"/>
  <c r="R392"/>
  <c r="V416"/>
  <c r="G415" i="7" s="1"/>
  <c r="T416" i="6"/>
  <c r="E415" i="7" s="1"/>
  <c r="P389" i="6"/>
  <c r="R389"/>
  <c r="P450"/>
  <c r="R450"/>
  <c r="P264"/>
  <c r="R264"/>
  <c r="V261"/>
  <c r="G260" i="7" s="1"/>
  <c r="T261" i="6"/>
  <c r="E260" i="7" s="1"/>
  <c r="V424" i="6"/>
  <c r="G423" i="7" s="1"/>
  <c r="T424" i="6"/>
  <c r="E423" i="7" s="1"/>
  <c r="R327" i="6"/>
  <c r="P327"/>
  <c r="R446"/>
  <c r="P446"/>
  <c r="V325"/>
  <c r="G324" i="7" s="1"/>
  <c r="T325" i="6"/>
  <c r="E324" i="7" s="1"/>
  <c r="R252" i="6"/>
  <c r="P252"/>
  <c r="T314"/>
  <c r="E313" i="7" s="1"/>
  <c r="V314" i="6"/>
  <c r="G313" i="7" s="1"/>
  <c r="T419" i="6"/>
  <c r="E418" i="7" s="1"/>
  <c r="V419" i="6"/>
  <c r="G418" i="7" s="1"/>
  <c r="T298" i="6"/>
  <c r="E297" i="7" s="1"/>
  <c r="V298" i="6"/>
  <c r="G297" i="7" s="1"/>
  <c r="P402" i="6"/>
  <c r="R402"/>
  <c r="P265"/>
  <c r="R265"/>
  <c r="C264" i="7" s="1"/>
  <c r="P272" i="6"/>
  <c r="R272"/>
  <c r="T390"/>
  <c r="E389" i="7" s="1"/>
  <c r="V390" i="6"/>
  <c r="G389" i="7" s="1"/>
  <c r="P323" i="6"/>
  <c r="R323"/>
  <c r="V382"/>
  <c r="G381" i="7" s="1"/>
  <c r="T382" i="6"/>
  <c r="E381" i="7" s="1"/>
  <c r="R354" i="6"/>
  <c r="P354"/>
  <c r="V369"/>
  <c r="G368" i="7" s="1"/>
  <c r="T369" i="6"/>
  <c r="E368" i="7" s="1"/>
  <c r="R342" i="6"/>
  <c r="P342"/>
  <c r="R414"/>
  <c r="P414"/>
  <c r="V440"/>
  <c r="G439" i="7" s="1"/>
  <c r="T440" i="6"/>
  <c r="E439" i="7" s="1"/>
  <c r="V400" i="6"/>
  <c r="G399" i="7" s="1"/>
  <c r="T400" i="6"/>
  <c r="E399" i="7" s="1"/>
  <c r="R303" i="6"/>
  <c r="P303"/>
  <c r="R422"/>
  <c r="P422"/>
  <c r="V301"/>
  <c r="G300" i="7" s="1"/>
  <c r="T301" i="6"/>
  <c r="E300" i="7" s="1"/>
  <c r="V296" i="6"/>
  <c r="G295" i="7" s="1"/>
  <c r="T296" i="6"/>
  <c r="E295" i="7" s="1"/>
  <c r="T321" i="6"/>
  <c r="E320" i="7" s="1"/>
  <c r="V321" i="6"/>
  <c r="G320" i="7" s="1"/>
  <c r="T361" i="6"/>
  <c r="E360" i="7" s="1"/>
  <c r="V361" i="6"/>
  <c r="G360" i="7" s="1"/>
  <c r="V318" i="6"/>
  <c r="G317" i="7" s="1"/>
  <c r="T318" i="6"/>
  <c r="E317" i="7" s="1"/>
  <c r="P270" i="6"/>
  <c r="R270"/>
  <c r="V335"/>
  <c r="G334" i="7" s="1"/>
  <c r="T335" i="6"/>
  <c r="E334" i="7" s="1"/>
  <c r="P307" i="6"/>
  <c r="R307"/>
  <c r="C306" i="7" s="1"/>
  <c r="V331" i="6"/>
  <c r="G330" i="7" s="1"/>
  <c r="T331" i="6"/>
  <c r="E330" i="7" s="1"/>
  <c r="R299" i="6"/>
  <c r="P299"/>
  <c r="V454"/>
  <c r="G453" i="7" s="1"/>
  <c r="T454" i="6"/>
  <c r="E453" i="7" s="1"/>
  <c r="R431" i="6"/>
  <c r="P431"/>
  <c r="T458"/>
  <c r="E457" i="7" s="1"/>
  <c r="V458" i="6"/>
  <c r="G457" i="7" s="1"/>
  <c r="R382" i="6"/>
  <c r="P382"/>
  <c r="T409"/>
  <c r="E408" i="7" s="1"/>
  <c r="V409" i="6"/>
  <c r="G408" i="7" s="1"/>
  <c r="V376" i="6"/>
  <c r="T376"/>
  <c r="E375" i="7" s="1"/>
  <c r="R279" i="6"/>
  <c r="P279"/>
  <c r="R398"/>
  <c r="P398"/>
  <c r="V277"/>
  <c r="G276" i="7" s="1"/>
  <c r="T277" i="6"/>
  <c r="E276" i="7" s="1"/>
  <c r="P435" i="6"/>
  <c r="R435"/>
  <c r="R426"/>
  <c r="P426"/>
  <c r="V401"/>
  <c r="G400" i="7" s="1"/>
  <c r="T401" i="6"/>
  <c r="E400" i="7" s="1"/>
  <c r="P418" i="6"/>
  <c r="R418"/>
  <c r="V393"/>
  <c r="G392" i="7" s="1"/>
  <c r="T393" i="6"/>
  <c r="E392" i="7" s="1"/>
  <c r="P411" i="6"/>
  <c r="R411"/>
  <c r="P458"/>
  <c r="R458"/>
  <c r="P370"/>
  <c r="R370"/>
  <c r="V262"/>
  <c r="G261" i="7" s="1"/>
  <c r="T262" i="6"/>
  <c r="E261" i="7" s="1"/>
  <c r="T436" i="6"/>
  <c r="E435" i="7" s="1"/>
  <c r="V436" i="6"/>
  <c r="G435" i="7" s="1"/>
  <c r="T293" i="6"/>
  <c r="E292" i="7" s="1"/>
  <c r="V293" i="6"/>
  <c r="G292" i="7" s="1"/>
  <c r="P266" i="6"/>
  <c r="R266"/>
  <c r="C265" i="7" s="1"/>
  <c r="T290" i="6"/>
  <c r="E289" i="7" s="1"/>
  <c r="V290" i="6"/>
  <c r="G289" i="7" s="1"/>
  <c r="R260" i="6"/>
  <c r="P260"/>
  <c r="T410"/>
  <c r="E409" i="7" s="1"/>
  <c r="V410" i="6"/>
  <c r="G409" i="7" s="1"/>
  <c r="P394" i="6"/>
  <c r="R394"/>
  <c r="V425"/>
  <c r="G424" i="7" s="1"/>
  <c r="T425" i="6"/>
  <c r="E424" i="7" s="1"/>
  <c r="R345" i="6"/>
  <c r="P345"/>
  <c r="T371"/>
  <c r="E370" i="7" s="1"/>
  <c r="V371" i="6"/>
  <c r="G370" i="7" s="1"/>
  <c r="T456" i="6"/>
  <c r="E455" i="7" s="1"/>
  <c r="V456" i="6"/>
  <c r="G455" i="7" s="1"/>
  <c r="V352" i="6"/>
  <c r="G351" i="7" s="1"/>
  <c r="T352" i="6"/>
  <c r="E351" i="7" s="1"/>
  <c r="R255" i="6"/>
  <c r="C254" i="7" s="1"/>
  <c r="P255" i="6"/>
  <c r="V447"/>
  <c r="G446" i="7" s="1"/>
  <c r="T447" i="6"/>
  <c r="E446" i="7" s="1"/>
  <c r="R374" i="6"/>
  <c r="P374"/>
  <c r="V253"/>
  <c r="G252" i="7" s="1"/>
  <c r="T253" i="6"/>
  <c r="V444"/>
  <c r="G443" i="7" s="1"/>
  <c r="T444" i="6"/>
  <c r="E443" i="7" s="1"/>
  <c r="R355" i="6"/>
  <c r="P355"/>
  <c r="T268"/>
  <c r="E267" i="7" s="1"/>
  <c r="V268" i="6"/>
  <c r="V383"/>
  <c r="G382" i="7" s="1"/>
  <c r="T383" i="6"/>
  <c r="E382" i="7" s="1"/>
  <c r="T461" i="6"/>
  <c r="E460" i="7" s="1"/>
  <c r="V461" i="6"/>
  <c r="G460" i="7" s="1"/>
  <c r="T389" i="6"/>
  <c r="E388" i="7" s="1"/>
  <c r="V389" i="6"/>
  <c r="G388" i="7" s="1"/>
  <c r="P314" i="6"/>
  <c r="R314"/>
  <c r="T340"/>
  <c r="E339" i="7" s="1"/>
  <c r="V340" i="6"/>
  <c r="G339" i="7" s="1"/>
  <c r="T432" i="6"/>
  <c r="E431" i="7" s="1"/>
  <c r="V432" i="6"/>
  <c r="G431" i="7" s="1"/>
  <c r="V328" i="6"/>
  <c r="G327" i="7" s="1"/>
  <c r="T328" i="6"/>
  <c r="E327" i="7" s="1"/>
  <c r="V423" i="6"/>
  <c r="G422" i="7" s="1"/>
  <c r="T423" i="6"/>
  <c r="E422" i="7" s="1"/>
  <c r="V420" i="6"/>
  <c r="G419" i="7" s="1"/>
  <c r="T420" i="6"/>
  <c r="E419" i="7" s="1"/>
  <c r="P337" i="6"/>
  <c r="R337"/>
  <c r="T380"/>
  <c r="E379" i="7" s="1"/>
  <c r="V380" i="6"/>
  <c r="G379" i="7" s="1"/>
  <c r="R348" i="6"/>
  <c r="P348"/>
  <c r="V294"/>
  <c r="G293" i="7" s="1"/>
  <c r="T294" i="6"/>
  <c r="E293" i="7" s="1"/>
  <c r="V355" i="6"/>
  <c r="G354" i="7" s="1"/>
  <c r="T355" i="6"/>
  <c r="E354" i="7" s="1"/>
  <c r="T365" i="6"/>
  <c r="E364" i="7" s="1"/>
  <c r="V365" i="6"/>
  <c r="G364" i="7" s="1"/>
  <c r="V430" i="6"/>
  <c r="G429" i="7" s="1"/>
  <c r="T430" i="6"/>
  <c r="E429" i="7" s="1"/>
  <c r="V305" i="6"/>
  <c r="G304" i="7" s="1"/>
  <c r="T305" i="6"/>
  <c r="E304" i="7" s="1"/>
  <c r="T435" i="6"/>
  <c r="E434" i="7" s="1"/>
  <c r="V435" i="6"/>
  <c r="G434" i="7" s="1"/>
  <c r="T345" i="6"/>
  <c r="E344" i="7" s="1"/>
  <c r="V345" i="6"/>
  <c r="G344" i="7" s="1"/>
  <c r="R401" i="6"/>
  <c r="C400" i="7" s="1"/>
  <c r="P401" i="6"/>
  <c r="V441"/>
  <c r="G440" i="7" s="1"/>
  <c r="T441" i="6"/>
  <c r="E440" i="7" s="1"/>
  <c r="R377" i="6"/>
  <c r="P377"/>
  <c r="T313"/>
  <c r="E312" i="7" s="1"/>
  <c r="V313" i="6"/>
  <c r="T417"/>
  <c r="E416" i="7" s="1"/>
  <c r="V417" i="6"/>
  <c r="G416" i="7" s="1"/>
  <c r="P390" i="6"/>
  <c r="R390"/>
  <c r="T322"/>
  <c r="E321" i="7" s="1"/>
  <c r="V322" i="6"/>
  <c r="G321" i="7" s="1"/>
  <c r="R330" i="6"/>
  <c r="P330"/>
  <c r="V356"/>
  <c r="G355" i="7" s="1"/>
  <c r="T356" i="6"/>
  <c r="E355" i="7" s="1"/>
  <c r="T412" i="6"/>
  <c r="E411" i="7" s="1"/>
  <c r="V412" i="6"/>
  <c r="G411" i="7" s="1"/>
  <c r="R281" i="6"/>
  <c r="C280" i="7" s="1"/>
  <c r="P281" i="6"/>
  <c r="T307"/>
  <c r="E306" i="7" s="1"/>
  <c r="V307" i="6"/>
  <c r="T408"/>
  <c r="E407" i="7" s="1"/>
  <c r="V408" i="6"/>
  <c r="G407" i="7" s="1"/>
  <c r="P453" i="6"/>
  <c r="R453"/>
  <c r="V304"/>
  <c r="G303" i="7" s="1"/>
  <c r="T304" i="6"/>
  <c r="E303" i="7" s="1"/>
  <c r="V399" i="6"/>
  <c r="G398" i="7" s="1"/>
  <c r="T399" i="6"/>
  <c r="E398" i="7" s="1"/>
  <c r="R326" i="6"/>
  <c r="P326"/>
  <c r="V396"/>
  <c r="G395" i="7" s="1"/>
  <c r="T396" i="6"/>
  <c r="E395" i="7" s="1"/>
  <c r="V368" i="6"/>
  <c r="G367" i="7" s="1"/>
  <c r="T368" i="6"/>
  <c r="E367" i="7" s="1"/>
  <c r="R350" i="6"/>
  <c r="P350"/>
  <c r="T338"/>
  <c r="E337" i="7" s="1"/>
  <c r="V338" i="6"/>
  <c r="G337" i="7" s="1"/>
  <c r="V272" i="6"/>
  <c r="G271" i="7" s="1"/>
  <c r="T272" i="6"/>
  <c r="E271" i="7" s="1"/>
  <c r="P335" i="6"/>
  <c r="R335"/>
  <c r="T387"/>
  <c r="E386" i="7" s="1"/>
  <c r="V387" i="6"/>
  <c r="G386" i="7" s="1"/>
  <c r="P322" i="6"/>
  <c r="R322"/>
  <c r="V377"/>
  <c r="G376" i="7" s="1"/>
  <c r="T377" i="6"/>
  <c r="E376" i="7" s="1"/>
  <c r="P343" i="6"/>
  <c r="R343"/>
  <c r="V283"/>
  <c r="G282" i="7" s="1"/>
  <c r="T283" i="6"/>
  <c r="E282" i="7" s="1"/>
  <c r="R294" i="6"/>
  <c r="P294"/>
  <c r="T320"/>
  <c r="E319" i="7" s="1"/>
  <c r="V320" i="6"/>
  <c r="G319" i="7" s="1"/>
  <c r="T379" i="6"/>
  <c r="E378" i="7" s="1"/>
  <c r="V379" i="6"/>
  <c r="G378" i="7" s="1"/>
  <c r="V271" i="6"/>
  <c r="G270" i="7" s="1"/>
  <c r="T271" i="6"/>
  <c r="E270" i="7" s="1"/>
  <c r="T384" i="6"/>
  <c r="E383" i="7" s="1"/>
  <c r="V384" i="6"/>
  <c r="G383" i="7" s="1"/>
  <c r="R429" i="6"/>
  <c r="P429"/>
  <c r="V280"/>
  <c r="G279" i="7" s="1"/>
  <c r="T280" i="6"/>
  <c r="E279" i="7" s="1"/>
  <c r="V375" i="6"/>
  <c r="T375"/>
  <c r="E374" i="7" s="1"/>
  <c r="R302" i="6"/>
  <c r="P302"/>
  <c r="V372"/>
  <c r="G371" i="7" s="1"/>
  <c r="T372" i="6"/>
  <c r="E371" i="7" s="1"/>
  <c r="V282" i="6"/>
  <c r="G281" i="7" s="1"/>
  <c r="T282" i="6"/>
  <c r="E281" i="7" s="1"/>
  <c r="V421" i="6"/>
  <c r="G420" i="7" s="1"/>
  <c r="T421" i="6"/>
  <c r="E420" i="7" s="1"/>
  <c r="P338" i="6"/>
  <c r="R338"/>
  <c r="R319"/>
  <c r="P319"/>
  <c r="R311"/>
  <c r="P311"/>
  <c r="V402"/>
  <c r="G401" i="7" s="1"/>
  <c r="T402" i="6"/>
  <c r="E401" i="7" s="1"/>
  <c r="R451" i="6"/>
  <c r="P451"/>
  <c r="P438"/>
  <c r="R438"/>
  <c r="P434"/>
  <c r="R434"/>
  <c r="P363"/>
  <c r="R363"/>
  <c r="P361"/>
  <c r="R361"/>
  <c r="P290"/>
  <c r="R290"/>
  <c r="P368"/>
  <c r="R368"/>
  <c r="T434"/>
  <c r="E433" i="7" s="1"/>
  <c r="V434" i="6"/>
  <c r="G433" i="7" s="1"/>
  <c r="P461" i="6"/>
  <c r="R461"/>
  <c r="R282"/>
  <c r="P282"/>
  <c r="P443"/>
  <c r="R443"/>
  <c r="T316"/>
  <c r="E315" i="7" s="1"/>
  <c r="V316" i="6"/>
  <c r="G315" i="7" s="1"/>
  <c r="P269" i="6"/>
  <c r="R269"/>
  <c r="V332"/>
  <c r="G331" i="7" s="1"/>
  <c r="T332" i="6"/>
  <c r="E331" i="7" s="1"/>
  <c r="R305" i="6"/>
  <c r="P305"/>
  <c r="V455"/>
  <c r="G454" i="7" s="1"/>
  <c r="T455" i="6"/>
  <c r="E454" i="7" s="1"/>
  <c r="P427" i="6"/>
  <c r="R427"/>
  <c r="C426" i="7" s="1"/>
  <c r="R262" i="6"/>
  <c r="P262"/>
  <c r="T289"/>
  <c r="E288" i="7" s="1"/>
  <c r="V289" i="6"/>
  <c r="G288" i="7" s="1"/>
  <c r="T343" i="6"/>
  <c r="E342" i="7" s="1"/>
  <c r="V343" i="6"/>
  <c r="G342" i="7" s="1"/>
  <c r="T360" i="6"/>
  <c r="E359" i="7" s="1"/>
  <c r="V360" i="6"/>
  <c r="G359" i="7" s="1"/>
  <c r="R405" i="6"/>
  <c r="P405"/>
  <c r="V256"/>
  <c r="T256"/>
  <c r="E255" i="7" s="1"/>
  <c r="V351" i="6"/>
  <c r="G350" i="7" s="1"/>
  <c r="T351" i="6"/>
  <c r="E350" i="7" s="1"/>
  <c r="R278" i="6"/>
  <c r="P278"/>
  <c r="V348"/>
  <c r="G347" i="7" s="1"/>
  <c r="T348" i="6"/>
  <c r="E347" i="7" s="1"/>
  <c r="P362" i="6"/>
  <c r="R362"/>
  <c r="R287"/>
  <c r="P287"/>
  <c r="T337"/>
  <c r="E336" i="7" s="1"/>
  <c r="V337" i="6"/>
  <c r="G336" i="7" s="1"/>
  <c r="P409" i="6"/>
  <c r="R409"/>
  <c r="P395"/>
  <c r="R395"/>
  <c r="V259"/>
  <c r="G258" i="7" s="1"/>
  <c r="T259" i="6"/>
  <c r="E258" i="7" s="1"/>
  <c r="T291" i="6"/>
  <c r="E290" i="7" s="1"/>
  <c r="V291" i="6"/>
  <c r="G290" i="7" s="1"/>
  <c r="R263" i="6"/>
  <c r="P263"/>
  <c r="T413"/>
  <c r="E412" i="7" s="1"/>
  <c r="V413" i="6"/>
  <c r="G412" i="7" s="1"/>
  <c r="R383" i="6"/>
  <c r="P383"/>
  <c r="V311"/>
  <c r="G310" i="7" s="1"/>
  <c r="T311" i="6"/>
  <c r="E310" i="7" s="1"/>
  <c r="R449" i="6"/>
  <c r="C448" i="7" s="1"/>
  <c r="P449" i="6"/>
  <c r="T336"/>
  <c r="E335" i="7" s="1"/>
  <c r="V336" i="6"/>
  <c r="G335" i="7" s="1"/>
  <c r="R381" i="6"/>
  <c r="C380" i="7" s="1"/>
  <c r="P381" i="6"/>
  <c r="V327"/>
  <c r="G326" i="7" s="1"/>
  <c r="T327" i="6"/>
  <c r="E326" i="7" s="1"/>
  <c r="R254" i="6"/>
  <c r="P254"/>
  <c r="R445"/>
  <c r="P445"/>
  <c r="V324"/>
  <c r="G323" i="7" s="1"/>
  <c r="T324" i="6"/>
  <c r="E323" i="7" s="1"/>
  <c r="P367" i="6"/>
  <c r="R367"/>
  <c r="R358"/>
  <c r="P358"/>
  <c r="R334"/>
  <c r="P334"/>
  <c r="T366"/>
  <c r="E365" i="7" s="1"/>
  <c r="V366" i="6"/>
  <c r="G365" i="7" s="1"/>
  <c r="P339" i="6"/>
  <c r="R339"/>
  <c r="P317"/>
  <c r="R317"/>
  <c r="T274"/>
  <c r="E273" i="7" s="1"/>
  <c r="V274" i="6"/>
  <c r="G273" i="7" s="1"/>
  <c r="P413" i="6"/>
  <c r="R413"/>
  <c r="V439"/>
  <c r="G438" i="7" s="1"/>
  <c r="T439" i="6"/>
  <c r="E438" i="7" s="1"/>
  <c r="T312" i="6"/>
  <c r="E311" i="7" s="1"/>
  <c r="V312" i="6"/>
  <c r="P357"/>
  <c r="R357"/>
  <c r="V303"/>
  <c r="G302" i="7" s="1"/>
  <c r="T303" i="6"/>
  <c r="E302" i="7" s="1"/>
  <c r="R421" i="6"/>
  <c r="P421"/>
  <c r="V300"/>
  <c r="G299" i="7" s="1"/>
  <c r="T300" i="6"/>
  <c r="E299" i="7" s="1"/>
  <c r="R423" i="6"/>
  <c r="P423"/>
  <c r="R286"/>
  <c r="P286"/>
  <c r="P292"/>
  <c r="R292"/>
  <c r="P274"/>
  <c r="R274"/>
  <c r="P442"/>
  <c r="R442"/>
  <c r="T323"/>
  <c r="E322" i="7" s="1"/>
  <c r="V323" i="6"/>
  <c r="G322" i="7" s="1"/>
  <c r="R296" i="6"/>
  <c r="P296"/>
  <c r="R454"/>
  <c r="P454"/>
  <c r="P380"/>
  <c r="R380"/>
  <c r="V407"/>
  <c r="G406" i="7" s="1"/>
  <c r="T407" i="6"/>
  <c r="E406" i="7" s="1"/>
  <c r="T288" i="6"/>
  <c r="E287" i="7" s="1"/>
  <c r="V288" i="6"/>
  <c r="G287" i="7" s="1"/>
  <c r="R333" i="6"/>
  <c r="P333"/>
  <c r="V279"/>
  <c r="G278" i="7" s="1"/>
  <c r="T279" i="6"/>
  <c r="E278" i="7" s="1"/>
  <c r="R397" i="6"/>
  <c r="P397"/>
  <c r="V276"/>
  <c r="G275" i="7" s="1"/>
  <c r="T276" i="6"/>
  <c r="E275" i="7" s="1"/>
  <c r="R428" i="6"/>
  <c r="C427" i="7" s="1"/>
  <c r="P428" i="6"/>
  <c r="R419"/>
  <c r="P419"/>
  <c r="P412"/>
  <c r="R412"/>
  <c r="R393"/>
  <c r="P393"/>
  <c r="V284"/>
  <c r="G283" i="7" s="1"/>
  <c r="T284" i="6"/>
  <c r="E283" i="7" s="1"/>
  <c r="R257" i="6"/>
  <c r="C256" i="7" s="1"/>
  <c r="P257" i="6"/>
  <c r="P417"/>
  <c r="R417"/>
  <c r="P344"/>
  <c r="R344"/>
  <c r="T370"/>
  <c r="E369" i="7" s="1"/>
  <c r="V370" i="6"/>
  <c r="G369" i="7" s="1"/>
  <c r="T264" i="6"/>
  <c r="E263" i="7" s="1"/>
  <c r="V264" i="6"/>
  <c r="G263" i="7" s="1"/>
  <c r="R309" i="6"/>
  <c r="C308" i="7" s="1"/>
  <c r="P309" i="6"/>
  <c r="V255"/>
  <c r="T255"/>
  <c r="E254" i="7" s="1"/>
  <c r="V446" i="6"/>
  <c r="G445" i="7" s="1"/>
  <c r="T446" i="6"/>
  <c r="E445" i="7" s="1"/>
  <c r="R373" i="6"/>
  <c r="P373"/>
  <c r="V252"/>
  <c r="G251" i="7" s="1"/>
  <c r="T252" i="6"/>
  <c r="E251" i="7" s="1"/>
  <c r="V431" i="6"/>
  <c r="G430" i="7" s="1"/>
  <c r="T431" i="6"/>
  <c r="E430" i="7" s="1"/>
  <c r="V406" i="6"/>
  <c r="G405" i="7" s="1"/>
  <c r="T406" i="6"/>
  <c r="E405" i="7" s="1"/>
  <c r="T394" i="6"/>
  <c r="E393" i="7" s="1"/>
  <c r="V394" i="6"/>
  <c r="G393" i="7" s="1"/>
  <c r="T363" i="6"/>
  <c r="E362" i="7" s="1"/>
  <c r="V363" i="6"/>
  <c r="G362" i="7" s="1"/>
  <c r="P346" i="6"/>
  <c r="R346"/>
  <c r="V295"/>
  <c r="G294" i="7" s="1"/>
  <c r="T295" i="6"/>
  <c r="E294" i="7" s="1"/>
  <c r="R320" i="6"/>
  <c r="P320"/>
  <c r="T269"/>
  <c r="E268" i="7" s="1"/>
  <c r="V269" i="6"/>
  <c r="G268" i="7" s="1"/>
  <c r="P315" i="6"/>
  <c r="R315"/>
  <c r="T266"/>
  <c r="E265" i="7" s="1"/>
  <c r="V266" i="6"/>
  <c r="P410"/>
  <c r="R410"/>
  <c r="V354"/>
  <c r="G353" i="7" s="1"/>
  <c r="T354" i="6"/>
  <c r="E353" i="7" s="1"/>
  <c r="P295" i="6"/>
  <c r="R295"/>
  <c r="V449"/>
  <c r="G448" i="7" s="1"/>
  <c r="T449" i="6"/>
  <c r="E448" i="7" s="1"/>
  <c r="P332" i="6"/>
  <c r="R332"/>
  <c r="P386"/>
  <c r="R386"/>
  <c r="P313"/>
  <c r="R313"/>
  <c r="C312" i="7" s="1"/>
  <c r="T339" i="6"/>
  <c r="E338" i="7" s="1"/>
  <c r="V339" i="6"/>
  <c r="G338" i="7" s="1"/>
  <c r="R285" i="6"/>
  <c r="P285"/>
  <c r="R448"/>
  <c r="P448"/>
  <c r="V422"/>
  <c r="G421" i="7" s="1"/>
  <c r="T422" i="6"/>
  <c r="E421" i="7" s="1"/>
  <c r="R349" i="6"/>
  <c r="C348" i="7" s="1"/>
  <c r="P349" i="6"/>
  <c r="R273"/>
  <c r="P273"/>
  <c r="V438"/>
  <c r="G437" i="7" s="1"/>
  <c r="T438" i="6"/>
  <c r="E437" i="7" s="1"/>
  <c r="P437" i="6"/>
  <c r="R437"/>
  <c r="T457"/>
  <c r="E456" i="7" s="1"/>
  <c r="V457" i="6"/>
  <c r="G456" i="7" s="1"/>
  <c r="R353" i="6"/>
  <c r="P353"/>
  <c r="T306"/>
  <c r="E305" i="7" s="1"/>
  <c r="V306" i="6"/>
  <c r="G305" i="7" s="1"/>
  <c r="R404" i="6"/>
  <c r="P404"/>
  <c r="P459"/>
  <c r="R459"/>
  <c r="P460"/>
  <c r="R460"/>
  <c r="T388"/>
  <c r="E387" i="7" s="1"/>
  <c r="V388" i="6"/>
  <c r="G387" i="7" s="1"/>
  <c r="P387" i="6"/>
  <c r="R387"/>
  <c r="R275"/>
  <c r="P275"/>
  <c r="R261"/>
  <c r="P261"/>
  <c r="R424"/>
  <c r="P424"/>
  <c r="V398"/>
  <c r="G397" i="7" s="1"/>
  <c r="T398" i="6"/>
  <c r="E397" i="7" s="1"/>
  <c r="R325" i="6"/>
  <c r="P325"/>
  <c r="P457"/>
  <c r="R457"/>
  <c r="V358"/>
  <c r="G357" i="7" s="1"/>
  <c r="T358" i="6"/>
  <c r="E357" i="7" s="1"/>
  <c r="P364" i="6"/>
  <c r="R364"/>
  <c r="P407"/>
  <c r="R407"/>
  <c r="T317"/>
  <c r="E316" i="7" s="1"/>
  <c r="V317" i="6"/>
  <c r="G316" i="7" s="1"/>
  <c r="T386" i="6"/>
  <c r="E385" i="7" s="1"/>
  <c r="V386" i="6"/>
  <c r="G385" i="7" s="1"/>
  <c r="P371" i="6"/>
  <c r="R371"/>
  <c r="T414"/>
  <c r="E413" i="7" s="1"/>
  <c r="V414" i="6"/>
  <c r="G413" i="7" s="1"/>
  <c r="P340" i="6"/>
  <c r="R340"/>
  <c r="R284"/>
  <c r="P284"/>
  <c r="T270"/>
  <c r="E269" i="7" s="1"/>
  <c r="V270" i="6"/>
  <c r="G269" i="7" s="1"/>
  <c r="R400" i="6"/>
  <c r="P400"/>
  <c r="V374"/>
  <c r="G373" i="7" s="1"/>
  <c r="T374" i="6"/>
  <c r="E373" i="7" s="1"/>
  <c r="R301" i="6"/>
  <c r="P301"/>
  <c r="V359"/>
  <c r="G358" i="7" s="1"/>
  <c r="T359" i="6"/>
  <c r="E358" i="7" s="1"/>
  <c r="T315" i="6"/>
  <c r="E314" i="7" s="1"/>
  <c r="V315" i="6"/>
  <c r="G314" i="7" s="1"/>
  <c r="T443" i="6"/>
  <c r="E442" i="7" s="1"/>
  <c r="V443" i="6"/>
  <c r="G442" i="7" s="1"/>
  <c r="P316" i="6"/>
  <c r="R316"/>
  <c r="R308"/>
  <c r="P308"/>
  <c r="R356"/>
  <c r="P356"/>
  <c r="R440"/>
  <c r="P440"/>
  <c r="V367"/>
  <c r="G366" i="7" s="1"/>
  <c r="T367" i="6"/>
  <c r="E366" i="7" s="1"/>
  <c r="R297" i="6"/>
  <c r="P297"/>
  <c r="V350"/>
  <c r="G349" i="7" s="1"/>
  <c r="T350" i="6"/>
  <c r="E349" i="7" s="1"/>
  <c r="R277" i="6"/>
  <c r="P277"/>
  <c r="P455"/>
  <c r="R455"/>
  <c r="P369"/>
  <c r="R369"/>
  <c r="P293"/>
  <c r="R293"/>
  <c r="V404"/>
  <c r="G403" i="7" s="1"/>
  <c r="T404" i="6"/>
  <c r="E403" i="7" s="1"/>
  <c r="P291" i="6"/>
  <c r="R291"/>
  <c r="R379"/>
  <c r="P379"/>
  <c r="V258"/>
  <c r="G257" i="7" s="1"/>
  <c r="T258" i="6"/>
  <c r="E257" i="7" s="1"/>
  <c r="P268" i="6"/>
  <c r="R268"/>
  <c r="C267" i="7" s="1"/>
  <c r="V329" i="6"/>
  <c r="T329"/>
  <c r="E328" i="7" s="1"/>
  <c r="P258" i="6"/>
  <c r="R258"/>
  <c r="R452"/>
  <c r="P452"/>
  <c r="P456"/>
  <c r="R456"/>
  <c r="V453"/>
  <c r="G452" i="7" s="1"/>
  <c r="T453" i="6"/>
  <c r="E452" i="7" s="1"/>
  <c r="R352" i="6"/>
  <c r="P352"/>
  <c r="V326"/>
  <c r="G325" i="7" s="1"/>
  <c r="T326" i="6"/>
  <c r="E325" i="7" s="1"/>
  <c r="R253" i="6"/>
  <c r="C252" i="7" s="1"/>
  <c r="P253" i="6"/>
  <c r="R444"/>
  <c r="P444"/>
  <c r="T342"/>
  <c r="E341" i="7" s="1"/>
  <c r="V342" i="6"/>
  <c r="G341" i="7" s="1"/>
  <c r="T344" i="6"/>
  <c r="E343" i="7" s="1"/>
  <c r="V344" i="6"/>
  <c r="G343" i="7" s="1"/>
  <c r="V260" i="6"/>
  <c r="G259" i="7" s="1"/>
  <c r="T260" i="6"/>
  <c r="E259" i="7" s="1"/>
  <c r="P321" i="6"/>
  <c r="R321"/>
  <c r="R376"/>
  <c r="C375" i="7" s="1"/>
  <c r="P376" i="6"/>
  <c r="P359"/>
  <c r="R359"/>
  <c r="P289"/>
  <c r="R289"/>
  <c r="R403"/>
  <c r="P403"/>
  <c r="T341"/>
  <c r="E340" i="7" s="1"/>
  <c r="V341" i="6"/>
  <c r="G340" i="7" s="1"/>
  <c r="T347" i="6"/>
  <c r="E346" i="7" s="1"/>
  <c r="V347" i="6"/>
  <c r="G346" i="7" s="1"/>
  <c r="R329" i="6"/>
  <c r="C328" i="7" s="1"/>
  <c r="P329" i="6"/>
  <c r="V286"/>
  <c r="G285" i="7" s="1"/>
  <c r="T286" i="6"/>
  <c r="E285" i="7" s="1"/>
  <c r="P416" i="6"/>
  <c r="R416"/>
  <c r="T442"/>
  <c r="E441" i="7" s="1"/>
  <c r="V442" i="6"/>
  <c r="G441" i="7" s="1"/>
  <c r="P432" i="6"/>
  <c r="R432"/>
  <c r="T429"/>
  <c r="E428" i="7" s="1"/>
  <c r="V429" i="6"/>
  <c r="G428" i="7" s="1"/>
  <c r="R328" i="6"/>
  <c r="P328"/>
  <c r="V302"/>
  <c r="G301" i="7" s="1"/>
  <c r="T302" i="6"/>
  <c r="E301" i="7" s="1"/>
  <c r="R420" i="6"/>
  <c r="P420"/>
  <c r="R310"/>
  <c r="C309" i="7" s="1"/>
  <c r="P310" i="6"/>
  <c r="T452"/>
  <c r="E451" i="7" s="1"/>
  <c r="V452" i="6"/>
  <c r="G451" i="7" s="1"/>
  <c r="T437" i="6"/>
  <c r="E436" i="7" s="1"/>
  <c r="V437" i="6"/>
  <c r="G436" i="7" s="1"/>
  <c r="T459" i="6"/>
  <c r="E458" i="7" s="1"/>
  <c r="V459" i="6"/>
  <c r="G458" i="7" s="1"/>
  <c r="P408" i="6"/>
  <c r="R408"/>
  <c r="V405"/>
  <c r="G404" i="7" s="1"/>
  <c r="T405" i="6"/>
  <c r="E404" i="7" s="1"/>
  <c r="R304" i="6"/>
  <c r="P304"/>
  <c r="V278"/>
  <c r="G277" i="7" s="1"/>
  <c r="T278" i="6"/>
  <c r="E277" i="7" s="1"/>
  <c r="T267" i="6"/>
  <c r="E266" i="7" s="1"/>
  <c r="V267" i="6"/>
  <c r="G266" i="7" s="1"/>
  <c r="P341" i="6"/>
  <c r="R341"/>
  <c r="V281"/>
  <c r="G280" i="7" s="1"/>
  <c r="T281" i="6"/>
  <c r="E280" i="7" s="1"/>
  <c r="P271" i="6"/>
  <c r="R271"/>
  <c r="R430"/>
  <c r="P430"/>
  <c r="P385"/>
  <c r="R385"/>
  <c r="T411"/>
  <c r="E410" i="7" s="1"/>
  <c r="V411" i="6"/>
  <c r="G410" i="7" s="1"/>
  <c r="R396" i="6"/>
  <c r="P396"/>
  <c r="T426"/>
  <c r="E425" i="7" s="1"/>
  <c r="V426" i="6"/>
  <c r="G425" i="7" s="1"/>
  <c r="R425" i="6"/>
  <c r="P425"/>
  <c r="T395"/>
  <c r="E394" i="7" s="1"/>
  <c r="V395" i="6"/>
  <c r="G394" i="7" s="1"/>
  <c r="R415" i="6"/>
  <c r="P415"/>
  <c r="T364"/>
  <c r="E363" i="7" s="1"/>
  <c r="V364" i="6"/>
  <c r="G363" i="7" s="1"/>
  <c r="R306" i="6"/>
  <c r="P306"/>
  <c r="V297"/>
  <c r="G296" i="7" s="1"/>
  <c r="T297" i="6"/>
  <c r="E296" i="7" s="1"/>
  <c r="V392" i="6"/>
  <c r="G391" i="7" s="1"/>
  <c r="T392" i="6"/>
  <c r="E391" i="7" s="1"/>
  <c r="T385" i="6"/>
  <c r="E384" i="7" s="1"/>
  <c r="V385" i="6"/>
  <c r="G384" i="7" s="1"/>
  <c r="T418" i="6"/>
  <c r="E417" i="7" s="1"/>
  <c r="V418" i="6"/>
  <c r="G417" i="7" s="1"/>
  <c r="V415" i="6"/>
  <c r="G414" i="7" s="1"/>
  <c r="T415" i="6"/>
  <c r="E414" i="7" s="1"/>
  <c r="P388" i="6"/>
  <c r="R388"/>
  <c r="P347"/>
  <c r="R347"/>
  <c r="T378"/>
  <c r="E377" i="7" s="1"/>
  <c r="V378" i="6"/>
  <c r="G377" i="7" s="1"/>
  <c r="P384" i="6"/>
  <c r="R384"/>
  <c r="T381"/>
  <c r="E380" i="7" s="1"/>
  <c r="V381" i="6"/>
  <c r="G380" i="7" s="1"/>
  <c r="R280" i="6"/>
  <c r="P280"/>
  <c r="R447"/>
  <c r="P447"/>
  <c r="V254"/>
  <c r="G253" i="7" s="1"/>
  <c r="T254" i="6"/>
  <c r="E253" i="7" s="1"/>
  <c r="V445" i="6"/>
  <c r="G444" i="7" s="1"/>
  <c r="T445" i="6"/>
  <c r="E444" i="7" s="1"/>
  <c r="R372" i="6"/>
  <c r="P372"/>
  <c r="S121"/>
  <c r="D120" i="7" s="1"/>
  <c r="V39" i="6"/>
  <c r="G38" i="7" s="1"/>
  <c r="R56" i="6"/>
  <c r="C55" i="7" s="1"/>
  <c r="V75" i="6"/>
  <c r="G74" i="7" s="1"/>
  <c r="S66" i="6"/>
  <c r="D65" i="7" s="1"/>
  <c r="U66" i="6"/>
  <c r="F65" i="7" s="1"/>
  <c r="S13" i="6"/>
  <c r="D12" i="7" s="1"/>
  <c r="S223" i="6"/>
  <c r="D222" i="7" s="1"/>
  <c r="T187" i="6"/>
  <c r="E186" i="7" s="1"/>
  <c r="T182" i="6"/>
  <c r="E181" i="7" s="1"/>
  <c r="S51" i="6"/>
  <c r="D50" i="7" s="1"/>
  <c r="R34" i="6"/>
  <c r="C33" i="7" s="1"/>
  <c r="R20" i="6"/>
  <c r="C19" i="7" s="1"/>
  <c r="U191" i="6"/>
  <c r="F190" i="7" s="1"/>
  <c r="U59" i="6"/>
  <c r="F58" i="7" s="1"/>
  <c r="S192" i="6"/>
  <c r="D191" i="7" s="1"/>
  <c r="S250" i="6"/>
  <c r="D249" i="7" s="1"/>
  <c r="S32" i="6"/>
  <c r="D31" i="7" s="1"/>
  <c r="U177" i="6"/>
  <c r="F176" i="7" s="1"/>
  <c r="S83" i="6"/>
  <c r="D82" i="7" s="1"/>
  <c r="U244" i="6"/>
  <c r="F243" i="7" s="1"/>
  <c r="U85" i="6"/>
  <c r="F84" i="7" s="1"/>
  <c r="T23" i="6"/>
  <c r="E22" i="7" s="1"/>
  <c r="S86" i="6"/>
  <c r="D85" i="7" s="1"/>
  <c r="T164" i="6"/>
  <c r="E163" i="7" s="1"/>
  <c r="V148" i="6"/>
  <c r="G147" i="7" s="1"/>
  <c r="U70" i="6"/>
  <c r="F69" i="7" s="1"/>
  <c r="T121" i="6"/>
  <c r="E120" i="7" s="1"/>
  <c r="V131" i="6"/>
  <c r="G130" i="7" s="1"/>
  <c r="S125" i="6"/>
  <c r="D124" i="7" s="1"/>
  <c r="U90" i="6"/>
  <c r="F89" i="7" s="1"/>
  <c r="V188" i="6"/>
  <c r="G187" i="7" s="1"/>
  <c r="T240" i="6"/>
  <c r="E239" i="7" s="1"/>
  <c r="V173" i="6"/>
  <c r="G172" i="7" s="1"/>
  <c r="V79" i="6"/>
  <c r="G78" i="7" s="1"/>
  <c r="U14" i="6"/>
  <c r="F13" i="7" s="1"/>
  <c r="R54" i="6"/>
  <c r="C53" i="7" s="1"/>
  <c r="S131" i="6"/>
  <c r="D130" i="7" s="1"/>
  <c r="S169" i="6"/>
  <c r="D168" i="7" s="1"/>
  <c r="R82" i="6"/>
  <c r="C81" i="7" s="1"/>
  <c r="S78" i="6"/>
  <c r="D77" i="7" s="1"/>
  <c r="U60" i="6"/>
  <c r="F59" i="7" s="1"/>
  <c r="U83" i="6"/>
  <c r="F82" i="7" s="1"/>
  <c r="T14" i="6"/>
  <c r="E13" i="7" s="1"/>
  <c r="T181" i="6"/>
  <c r="E180" i="7" s="1"/>
  <c r="V234" i="6"/>
  <c r="G233" i="7" s="1"/>
  <c r="R38" i="6"/>
  <c r="C37" i="7" s="1"/>
  <c r="T70" i="6"/>
  <c r="E69" i="7" s="1"/>
  <c r="R10" i="6"/>
  <c r="C9" i="7" s="1"/>
  <c r="S158" i="6"/>
  <c r="D157" i="7" s="1"/>
  <c r="R119" i="6"/>
  <c r="C118" i="7" s="1"/>
  <c r="S35" i="6"/>
  <c r="D34" i="7" s="1"/>
  <c r="R199" i="6"/>
  <c r="C198" i="7" s="1"/>
  <c r="S92" i="6"/>
  <c r="D91" i="7" s="1"/>
  <c r="V17" i="6"/>
  <c r="G16" i="7" s="1"/>
  <c r="R125" i="6"/>
  <c r="C124" i="7" s="1"/>
  <c r="T46" i="6"/>
  <c r="E45" i="7" s="1"/>
  <c r="U135" i="6"/>
  <c r="F134" i="7" s="1"/>
  <c r="S172" i="6"/>
  <c r="D171" i="7" s="1"/>
  <c r="S33" i="6"/>
  <c r="D32" i="7" s="1"/>
  <c r="U113" i="6"/>
  <c r="F112" i="7" s="1"/>
  <c r="U214" i="6"/>
  <c r="F213" i="7" s="1"/>
  <c r="S52" i="6"/>
  <c r="D51" i="7" s="1"/>
  <c r="R83" i="6"/>
  <c r="C82" i="7" s="1"/>
  <c r="T66" i="6"/>
  <c r="E65" i="7" s="1"/>
  <c r="U235" i="6"/>
  <c r="F234" i="7" s="1"/>
  <c r="S62" i="6"/>
  <c r="D61" i="7" s="1"/>
  <c r="T10" i="6"/>
  <c r="E9" i="7" s="1"/>
  <c r="S235" i="6"/>
  <c r="D234" i="7" s="1"/>
  <c r="V195" i="6"/>
  <c r="G194" i="7" s="1"/>
  <c r="S161" i="6"/>
  <c r="D160" i="7" s="1"/>
  <c r="T69" i="6"/>
  <c r="E68" i="7" s="1"/>
  <c r="U137" i="6"/>
  <c r="F136" i="7" s="1"/>
  <c r="V83" i="6"/>
  <c r="G82" i="7" s="1"/>
  <c r="R116" i="6"/>
  <c r="C115" i="7" s="1"/>
  <c r="U42" i="6"/>
  <c r="F41" i="7" s="1"/>
  <c r="U56" i="6"/>
  <c r="F55" i="7" s="1"/>
  <c r="R26" i="5"/>
  <c r="R143"/>
  <c r="R53"/>
  <c r="R19"/>
  <c r="R219"/>
  <c r="R81"/>
  <c r="R147"/>
  <c r="R191"/>
  <c r="R146"/>
  <c r="R22"/>
  <c r="G86" i="7"/>
  <c r="R166" i="5"/>
  <c r="R99"/>
  <c r="R47"/>
  <c r="R208"/>
  <c r="R231"/>
  <c r="R187"/>
  <c r="R184"/>
  <c r="R249"/>
  <c r="R33"/>
  <c r="R82"/>
  <c r="F63" i="7"/>
  <c r="R216" i="5"/>
  <c r="D166" i="7"/>
  <c r="R153" i="5"/>
  <c r="T26"/>
  <c r="R70"/>
  <c r="R139"/>
  <c r="R77"/>
  <c r="E124" i="7"/>
  <c r="R239" i="5"/>
  <c r="R215"/>
  <c r="R151"/>
  <c r="R180"/>
  <c r="R57"/>
  <c r="R140"/>
  <c r="R50"/>
  <c r="T143"/>
  <c r="R84"/>
  <c r="T199" i="6"/>
  <c r="E198" i="7" s="1"/>
  <c r="U155" i="6"/>
  <c r="F154" i="7" s="1"/>
  <c r="V217" i="6"/>
  <c r="G216" i="7" s="1"/>
  <c r="T86" i="6"/>
  <c r="E85" i="7" s="1"/>
  <c r="R13" i="6"/>
  <c r="C12" i="7" s="1"/>
  <c r="S195" i="6"/>
  <c r="D194" i="7" s="1"/>
  <c r="T237" i="6"/>
  <c r="E236" i="7" s="1"/>
  <c r="V81" i="6"/>
  <c r="G80" i="7" s="1"/>
  <c r="S89" i="6"/>
  <c r="D88" i="7" s="1"/>
  <c r="R204" i="5"/>
  <c r="R48"/>
  <c r="R59" i="6"/>
  <c r="C58" i="7" s="1"/>
  <c r="S173" i="6"/>
  <c r="D172" i="7" s="1"/>
  <c r="R226" i="6"/>
  <c r="C225" i="7" s="1"/>
  <c r="R202" i="5"/>
  <c r="R201"/>
  <c r="R89"/>
  <c r="R128"/>
  <c r="U131" i="6"/>
  <c r="F130" i="7" s="1"/>
  <c r="T27" i="6"/>
  <c r="E26" i="7" s="1"/>
  <c r="U36" i="6"/>
  <c r="F35" i="7" s="1"/>
  <c r="R36" i="5"/>
  <c r="R176"/>
  <c r="U158" i="6"/>
  <c r="F157" i="7" s="1"/>
  <c r="S63" i="6"/>
  <c r="D62" i="7" s="1"/>
  <c r="U198" i="6"/>
  <c r="F197" i="7" s="1"/>
  <c r="R67" i="6"/>
  <c r="C66" i="7" s="1"/>
  <c r="S27" i="6"/>
  <c r="D26" i="7" s="1"/>
  <c r="V143" i="6"/>
  <c r="G142" i="7" s="1"/>
  <c r="R96" i="5"/>
  <c r="R188" i="6"/>
  <c r="C187" i="7" s="1"/>
  <c r="U69" i="6"/>
  <c r="F68" i="7" s="1"/>
  <c r="R189" i="6"/>
  <c r="C188" i="7" s="1"/>
  <c r="R245" i="5"/>
  <c r="R46"/>
  <c r="R20"/>
  <c r="R108"/>
  <c r="R106"/>
  <c r="R212"/>
  <c r="R239" i="6"/>
  <c r="C238" i="7" s="1"/>
  <c r="V235" i="6"/>
  <c r="G234" i="7" s="1"/>
  <c r="T155" i="6"/>
  <c r="E154" i="7" s="1"/>
  <c r="R151" i="6"/>
  <c r="C150" i="7" s="1"/>
  <c r="R108" i="6"/>
  <c r="C107" i="7" s="1"/>
  <c r="R113" i="6"/>
  <c r="C112" i="7" s="1"/>
  <c r="T114" i="6"/>
  <c r="E113" i="7" s="1"/>
  <c r="R91" i="5"/>
  <c r="R168"/>
  <c r="T186" i="6"/>
  <c r="E185" i="7" s="1"/>
  <c r="R154" i="6"/>
  <c r="C153" i="7" s="1"/>
  <c r="T57" i="6"/>
  <c r="E56" i="7" s="1"/>
  <c r="S71" i="6"/>
  <c r="D70" i="7" s="1"/>
  <c r="T109" i="6"/>
  <c r="E108" i="7" s="1"/>
  <c r="R224" i="5"/>
  <c r="R61"/>
  <c r="U136" i="6"/>
  <c r="F135" i="7" s="1"/>
  <c r="T62" i="6"/>
  <c r="E61" i="7" s="1"/>
  <c r="T166" i="5"/>
  <c r="R37"/>
  <c r="R40"/>
  <c r="S225" i="6"/>
  <c r="D224" i="7" s="1"/>
  <c r="S28" i="6"/>
  <c r="D27" i="7" s="1"/>
  <c r="R46" i="6"/>
  <c r="C45" i="7" s="1"/>
  <c r="U100" i="6"/>
  <c r="F99" i="7" s="1"/>
  <c r="R244" i="6"/>
  <c r="C243" i="7" s="1"/>
  <c r="U172" i="6"/>
  <c r="F171" i="7" s="1"/>
  <c r="S231" i="6"/>
  <c r="D230" i="7" s="1"/>
  <c r="S42" i="6"/>
  <c r="D41" i="7" s="1"/>
  <c r="S47" i="6"/>
  <c r="D46" i="7" s="1"/>
  <c r="U159" i="6"/>
  <c r="F158" i="7" s="1"/>
  <c r="V67" i="6"/>
  <c r="G66" i="7" s="1"/>
  <c r="U226" i="6"/>
  <c r="F225" i="7" s="1"/>
  <c r="R125" i="5"/>
  <c r="R32" i="6"/>
  <c r="C31" i="7" s="1"/>
  <c r="V111" i="6"/>
  <c r="G110" i="7" s="1"/>
  <c r="U217" i="6"/>
  <c r="F216" i="7" s="1"/>
  <c r="U96" i="6"/>
  <c r="F95" i="7" s="1"/>
  <c r="R55" i="5"/>
  <c r="T102"/>
  <c r="R118" i="6"/>
  <c r="C117" i="7" s="1"/>
  <c r="S60" i="6"/>
  <c r="D59" i="7" s="1"/>
  <c r="T211" i="6"/>
  <c r="E210" i="7" s="1"/>
  <c r="R86" i="6"/>
  <c r="C85" i="7" s="1"/>
  <c r="R162" i="6"/>
  <c r="R13" i="5"/>
  <c r="V41" i="6"/>
  <c r="G40" i="7" s="1"/>
  <c r="V149" i="6"/>
  <c r="G148" i="7" s="1"/>
  <c r="R144" i="5"/>
  <c r="R238"/>
  <c r="R79"/>
  <c r="S20" i="6"/>
  <c r="D19" i="7" s="1"/>
  <c r="R126" i="5"/>
  <c r="R195"/>
  <c r="R251" i="6"/>
  <c r="S204"/>
  <c r="D203" i="7" s="1"/>
  <c r="R150" i="5"/>
  <c r="R129" i="6"/>
  <c r="C128" i="7" s="1"/>
  <c r="R99" i="6"/>
  <c r="C98" i="7" s="1"/>
  <c r="R22" i="6"/>
  <c r="C21" i="7" s="1"/>
  <c r="S18" i="6"/>
  <c r="D17" i="7" s="1"/>
  <c r="R15" i="6"/>
  <c r="C14" i="7" s="1"/>
  <c r="U234" i="6"/>
  <c r="F233" i="7" s="1"/>
  <c r="S185" i="6"/>
  <c r="D184" i="7" s="1"/>
  <c r="T47" i="6"/>
  <c r="E46" i="7" s="1"/>
  <c r="R222" i="6"/>
  <c r="C221" i="7" s="1"/>
  <c r="U52" i="6"/>
  <c r="F51" i="7" s="1"/>
  <c r="R55" i="6"/>
  <c r="C54" i="7" s="1"/>
  <c r="S109" i="6"/>
  <c r="D108" i="7" s="1"/>
  <c r="S174" i="6"/>
  <c r="D173" i="7" s="1"/>
  <c r="U119" i="6"/>
  <c r="F118" i="7" s="1"/>
  <c r="S75" i="6"/>
  <c r="D74" i="7" s="1"/>
  <c r="U93" i="6"/>
  <c r="F92" i="7" s="1"/>
  <c r="R233" i="5"/>
  <c r="T101" i="6"/>
  <c r="E100" i="7" s="1"/>
  <c r="U32" i="6"/>
  <c r="F31" i="7" s="1"/>
  <c r="U67" i="6"/>
  <c r="F66" i="7" s="1"/>
  <c r="T154" i="6"/>
  <c r="E153" i="7" s="1"/>
  <c r="R205" i="5"/>
  <c r="V25" i="6"/>
  <c r="G24" i="7" s="1"/>
  <c r="V63" i="6"/>
  <c r="G62" i="7" s="1"/>
  <c r="R192" i="6"/>
  <c r="C191" i="7" s="1"/>
  <c r="S144" i="6"/>
  <c r="D143" i="7" s="1"/>
  <c r="U150" i="6"/>
  <c r="F149" i="7" s="1"/>
  <c r="R58" i="5"/>
  <c r="R242"/>
  <c r="S114" i="6"/>
  <c r="D113" i="7" s="1"/>
  <c r="R190" i="5"/>
  <c r="U146" i="6"/>
  <c r="F145" i="7" s="1"/>
  <c r="R197" i="5"/>
  <c r="R17"/>
  <c r="R51"/>
  <c r="T218" i="6"/>
  <c r="E217" i="7" s="1"/>
  <c r="R24" i="5"/>
  <c r="R44"/>
  <c r="R246" i="6"/>
  <c r="C245" i="7" s="1"/>
  <c r="R118" i="5"/>
  <c r="R113"/>
  <c r="T50" i="6"/>
  <c r="E49" i="7" s="1"/>
  <c r="S95" i="6"/>
  <c r="D94" i="7" s="1"/>
  <c r="S194" i="6"/>
  <c r="D193" i="7" s="1"/>
  <c r="U109" i="6"/>
  <c r="F108" i="7" s="1"/>
  <c r="S30" i="6"/>
  <c r="D29" i="7" s="1"/>
  <c r="V126" i="6"/>
  <c r="G125" i="7" s="1"/>
  <c r="S156" i="6"/>
  <c r="D155" i="7" s="1"/>
  <c r="R180" i="6"/>
  <c r="C179" i="7" s="1"/>
  <c r="F28"/>
  <c r="T174" i="6"/>
  <c r="E173" i="7" s="1"/>
  <c r="T224" i="5"/>
  <c r="R173"/>
  <c r="U139"/>
  <c r="R122"/>
  <c r="R135"/>
  <c r="R198"/>
  <c r="S24" i="6"/>
  <c r="D23" i="7" s="1"/>
  <c r="U128" i="6"/>
  <c r="F127" i="7" s="1"/>
  <c r="R196" i="6"/>
  <c r="C195" i="7" s="1"/>
  <c r="R21" i="6"/>
  <c r="C20" i="7" s="1"/>
  <c r="S45" i="6"/>
  <c r="D44" i="7" s="1"/>
  <c r="S19" i="6"/>
  <c r="D18" i="7" s="1"/>
  <c r="R164" i="5"/>
  <c r="S58" i="6"/>
  <c r="D57" i="7" s="1"/>
  <c r="R39" i="5"/>
  <c r="R183"/>
  <c r="R194"/>
  <c r="V233" i="6"/>
  <c r="G232" i="7" s="1"/>
  <c r="R102" i="6"/>
  <c r="T162"/>
  <c r="E161" i="7" s="1"/>
  <c r="R26" i="6"/>
  <c r="R19"/>
  <c r="C18" i="7" s="1"/>
  <c r="R209" i="5"/>
  <c r="R29"/>
  <c r="S104" i="6"/>
  <c r="D103" i="7" s="1"/>
  <c r="S107" i="6"/>
  <c r="D106" i="7" s="1"/>
  <c r="V185" i="6"/>
  <c r="G184" i="7" s="1"/>
  <c r="R84" i="6"/>
  <c r="C83" i="7" s="1"/>
  <c r="R171" i="5"/>
  <c r="U61" i="6"/>
  <c r="F60" i="7" s="1"/>
  <c r="R240" i="6"/>
  <c r="R183"/>
  <c r="C182" i="7" s="1"/>
  <c r="R72" i="6"/>
  <c r="C71" i="7" s="1"/>
  <c r="U133" i="6"/>
  <c r="F132" i="7" s="1"/>
  <c r="S200" i="6"/>
  <c r="D199" i="7" s="1"/>
  <c r="U76" i="6"/>
  <c r="F75" i="7" s="1"/>
  <c r="R195" i="6"/>
  <c r="C194" i="7" s="1"/>
  <c r="T72" i="6"/>
  <c r="E71" i="7" s="1"/>
  <c r="S97" i="6"/>
  <c r="D96" i="7" s="1"/>
  <c r="S146" i="6"/>
  <c r="D145" i="7" s="1"/>
  <c r="S215" i="6"/>
  <c r="D214" i="7" s="1"/>
  <c r="V74" i="6"/>
  <c r="G73" i="7" s="1"/>
  <c r="R213" i="6"/>
  <c r="C212" i="7" s="1"/>
  <c r="S220" i="6"/>
  <c r="D219" i="7" s="1"/>
  <c r="V239" i="6"/>
  <c r="G238" i="7" s="1"/>
  <c r="V130" i="6"/>
  <c r="G129" i="7" s="1"/>
  <c r="R87" i="5"/>
  <c r="R234" i="6"/>
  <c r="C233" i="7" s="1"/>
  <c r="T80" i="6"/>
  <c r="E79" i="7" s="1"/>
  <c r="R156" i="6"/>
  <c r="V107"/>
  <c r="G106" i="7" s="1"/>
  <c r="T119" i="6"/>
  <c r="E118" i="7" s="1"/>
  <c r="V59" i="6"/>
  <c r="G58" i="7" s="1"/>
  <c r="S64" i="6"/>
  <c r="D63" i="7" s="1"/>
  <c r="T239" i="6"/>
  <c r="E238" i="7" s="1"/>
  <c r="R28" i="6"/>
  <c r="C27" i="7" s="1"/>
  <c r="R109" i="6"/>
  <c r="C108" i="7" s="1"/>
  <c r="T107" i="6"/>
  <c r="E106" i="7" s="1"/>
  <c r="T103" i="6"/>
  <c r="E102" i="7" s="1"/>
  <c r="U80" i="6"/>
  <c r="F79" i="7" s="1"/>
  <c r="U92" i="6"/>
  <c r="F91" i="7" s="1"/>
  <c r="U192" i="6"/>
  <c r="F191" i="7" s="1"/>
  <c r="R143" i="6"/>
  <c r="U222"/>
  <c r="F221" i="7" s="1"/>
  <c r="U94" i="6"/>
  <c r="F93" i="7" s="1"/>
  <c r="T128" i="6"/>
  <c r="E127" i="7" s="1"/>
  <c r="T117" i="6"/>
  <c r="E116" i="7" s="1"/>
  <c r="U225" i="6"/>
  <c r="F224" i="7" s="1"/>
  <c r="T56" i="6"/>
  <c r="E55" i="7" s="1"/>
  <c r="V231" i="6"/>
  <c r="G230" i="7" s="1"/>
  <c r="V176" i="6"/>
  <c r="G175" i="7" s="1"/>
  <c r="U189" i="6"/>
  <c r="F188" i="7" s="1"/>
  <c r="S116" i="6"/>
  <c r="D115" i="7" s="1"/>
  <c r="S216" i="6"/>
  <c r="D215" i="7" s="1"/>
  <c r="R248" i="6"/>
  <c r="C247" i="7" s="1"/>
  <c r="T178" i="6"/>
  <c r="E177" i="7" s="1"/>
  <c r="R225" i="6"/>
  <c r="C224" i="7" s="1"/>
  <c r="R214" i="6"/>
  <c r="C213" i="7" s="1"/>
  <c r="S69" i="6"/>
  <c r="D68" i="7" s="1"/>
  <c r="S201" i="6"/>
  <c r="D200" i="7" s="1"/>
  <c r="T78" i="6"/>
  <c r="E77" i="7" s="1"/>
  <c r="R188" i="5"/>
  <c r="V225" i="6"/>
  <c r="G224" i="7" s="1"/>
  <c r="R217" i="6"/>
  <c r="C216" i="7" s="1"/>
  <c r="V168" i="6"/>
  <c r="G167" i="7" s="1"/>
  <c r="R177" i="5"/>
  <c r="U171" i="6"/>
  <c r="F170" i="7" s="1"/>
  <c r="S140" i="6"/>
  <c r="D139" i="7" s="1"/>
  <c r="U180" i="6"/>
  <c r="F179" i="7" s="1"/>
  <c r="V211" i="6"/>
  <c r="G210" i="7" s="1"/>
  <c r="R200" i="5"/>
  <c r="S182" i="6"/>
  <c r="D181" i="7" s="1"/>
  <c r="U44" i="6"/>
  <c r="F43" i="7" s="1"/>
  <c r="R149" i="5"/>
  <c r="U174" i="6"/>
  <c r="F173" i="7" s="1"/>
  <c r="R105" i="6"/>
  <c r="C104" i="7" s="1"/>
  <c r="V56" i="6"/>
  <c r="G55" i="7" s="1"/>
  <c r="R241" i="6"/>
  <c r="C240" i="7" s="1"/>
  <c r="T60" i="6"/>
  <c r="E59" i="7" s="1"/>
  <c r="V182" i="6"/>
  <c r="G181" i="7" s="1"/>
  <c r="R243" i="6"/>
  <c r="C242" i="7" s="1"/>
  <c r="S10" i="6"/>
  <c r="D9" i="7" s="1"/>
  <c r="S129" i="6"/>
  <c r="D128" i="7" s="1"/>
  <c r="V53" i="6"/>
  <c r="G52" i="7" s="1"/>
  <c r="S81" i="6"/>
  <c r="D80" i="7" s="1"/>
  <c r="S120" i="6"/>
  <c r="D119" i="7" s="1"/>
  <c r="V33" i="6"/>
  <c r="G32" i="7" s="1"/>
  <c r="R88" i="6"/>
  <c r="C87" i="7" s="1"/>
  <c r="T112" i="6"/>
  <c r="E111" i="7" s="1"/>
  <c r="R171" i="6"/>
  <c r="C170" i="7" s="1"/>
  <c r="T95" i="6"/>
  <c r="E94" i="7" s="1"/>
  <c r="S12" i="6"/>
  <c r="D11" i="7" s="1"/>
  <c r="R210" i="6"/>
  <c r="C209" i="7" s="1"/>
  <c r="T51" i="6"/>
  <c r="E50" i="7" s="1"/>
  <c r="R164" i="6"/>
  <c r="C163" i="7" s="1"/>
  <c r="V40" i="6"/>
  <c r="G39" i="7" s="1"/>
  <c r="U79" i="6"/>
  <c r="F78" i="7" s="1"/>
  <c r="T213" i="6"/>
  <c r="E212" i="7" s="1"/>
  <c r="V57" i="6"/>
  <c r="G56" i="7" s="1"/>
  <c r="T67" i="6"/>
  <c r="E66" i="7" s="1"/>
  <c r="R137" i="5"/>
  <c r="T64" i="6"/>
  <c r="E63" i="7" s="1"/>
  <c r="R187" i="6"/>
  <c r="C186" i="7" s="1"/>
  <c r="T100" i="6"/>
  <c r="E99" i="7" s="1"/>
  <c r="S210" i="6"/>
  <c r="D209" i="7" s="1"/>
  <c r="V216" i="6"/>
  <c r="G215" i="7" s="1"/>
  <c r="V94" i="6"/>
  <c r="G93" i="7" s="1"/>
  <c r="V15" i="6"/>
  <c r="G14" i="7" s="1"/>
  <c r="S79" i="6"/>
  <c r="D78" i="7" s="1"/>
  <c r="S76" i="6"/>
  <c r="D75" i="7" s="1"/>
  <c r="V120" i="6"/>
  <c r="G119" i="7" s="1"/>
  <c r="V243" i="6"/>
  <c r="G242" i="7" s="1"/>
  <c r="V80" i="6"/>
  <c r="G79" i="7" s="1"/>
  <c r="S213" i="6"/>
  <c r="D212" i="7" s="1"/>
  <c r="R198" i="6"/>
  <c r="C197" i="7" s="1"/>
  <c r="V42" i="6"/>
  <c r="G41" i="7" s="1"/>
  <c r="V187" i="6"/>
  <c r="G186" i="7" s="1"/>
  <c r="S85" i="6"/>
  <c r="D84" i="7" s="1"/>
  <c r="V237" i="6"/>
  <c r="G236" i="7" s="1"/>
  <c r="R72" i="5"/>
  <c r="R119"/>
  <c r="V113" i="6"/>
  <c r="G112" i="7" s="1"/>
  <c r="U35" i="6"/>
  <c r="F34" i="7" s="1"/>
  <c r="V44" i="6"/>
  <c r="G43" i="7" s="1"/>
  <c r="S166" i="6"/>
  <c r="D165" i="7" s="1"/>
  <c r="U68" i="6"/>
  <c r="F67" i="7" s="1"/>
  <c r="R221" i="6"/>
  <c r="C220" i="7" s="1"/>
  <c r="S168" i="6"/>
  <c r="D167" i="7" s="1"/>
  <c r="T214" i="6"/>
  <c r="E213" i="7" s="1"/>
  <c r="V249" i="6"/>
  <c r="G248" i="7" s="1"/>
  <c r="R216" i="6"/>
  <c r="C215" i="7" s="1"/>
  <c r="U223" i="6"/>
  <c r="F222" i="7" s="1"/>
  <c r="V103" i="6"/>
  <c r="G102" i="7" s="1"/>
  <c r="R215" i="6"/>
  <c r="C214" i="7" s="1"/>
  <c r="S54" i="6"/>
  <c r="D53" i="7" s="1"/>
  <c r="V245" i="6"/>
  <c r="G244" i="7" s="1"/>
  <c r="V32" i="6"/>
  <c r="G31" i="7" s="1"/>
  <c r="P50" i="6"/>
  <c r="V54"/>
  <c r="G53" i="7" s="1"/>
  <c r="V180" i="6"/>
  <c r="G179" i="7" s="1"/>
  <c r="U62" i="6"/>
  <c r="F61" i="7" s="1"/>
  <c r="R27" i="6"/>
  <c r="C26" i="7" s="1"/>
  <c r="S197" i="6"/>
  <c r="D196" i="7" s="1"/>
  <c r="T185" i="6"/>
  <c r="E184" i="7" s="1"/>
  <c r="S141" i="6"/>
  <c r="D140" i="7" s="1"/>
  <c r="U182" i="6"/>
  <c r="F181" i="7" s="1"/>
  <c r="T229" i="6"/>
  <c r="E228" i="7" s="1"/>
  <c r="R52" i="6"/>
  <c r="C51" i="7" s="1"/>
  <c r="U38" i="6"/>
  <c r="F37" i="7" s="1"/>
  <c r="R78" i="6"/>
  <c r="C77" i="7" s="1"/>
  <c r="U207" i="6"/>
  <c r="F206" i="7" s="1"/>
  <c r="S240" i="6"/>
  <c r="D239" i="7" s="1"/>
  <c r="S153" i="6"/>
  <c r="D152" i="7" s="1"/>
  <c r="R42" i="6"/>
  <c r="C41" i="7" s="1"/>
  <c r="S227" i="6"/>
  <c r="D226" i="7" s="1"/>
  <c r="U105" i="6"/>
  <c r="F104" i="7" s="1"/>
  <c r="U167" i="6"/>
  <c r="F166" i="7" s="1"/>
  <c r="S115" i="6"/>
  <c r="D114" i="7" s="1"/>
  <c r="S163" i="6"/>
  <c r="D162" i="7" s="1"/>
  <c r="S181" i="6"/>
  <c r="D180" i="7" s="1"/>
  <c r="R127" i="6"/>
  <c r="C126" i="7" s="1"/>
  <c r="V132" i="6"/>
  <c r="G131" i="7" s="1"/>
  <c r="R206" i="5"/>
  <c r="V76" i="6"/>
  <c r="G75" i="7" s="1"/>
  <c r="R16" i="6"/>
  <c r="C15" i="7" s="1"/>
  <c r="R229" i="6"/>
  <c r="C228" i="7" s="1"/>
  <c r="R93" i="6"/>
  <c r="C92" i="7" s="1"/>
  <c r="R74" i="6"/>
  <c r="C73" i="7" s="1"/>
  <c r="V200" i="6"/>
  <c r="G199" i="7" s="1"/>
  <c r="U199" i="6"/>
  <c r="F198" i="7" s="1"/>
  <c r="U50" i="6"/>
  <c r="F49" i="7" s="1"/>
  <c r="R12" i="6"/>
  <c r="C11" i="7" s="1"/>
  <c r="V27" i="6"/>
  <c r="G26" i="7" s="1"/>
  <c r="R194" i="6"/>
  <c r="C193" i="7" s="1"/>
  <c r="S74" i="6"/>
  <c r="D73" i="7" s="1"/>
  <c r="D133"/>
  <c r="U218" i="6"/>
  <c r="F217" i="7" s="1"/>
  <c r="T149" i="5"/>
  <c r="U138" i="6"/>
  <c r="F137" i="7" s="1"/>
  <c r="V24" i="6"/>
  <c r="G23" i="7" s="1"/>
  <c r="S209" i="6"/>
  <c r="D208" i="7" s="1"/>
  <c r="R218" i="6"/>
  <c r="C217" i="7" s="1"/>
  <c r="U129" i="6"/>
  <c r="F128" i="7" s="1"/>
  <c r="U12" i="6"/>
  <c r="F11" i="7" s="1"/>
  <c r="T223" i="6"/>
  <c r="E222" i="7" s="1"/>
  <c r="R103" i="6"/>
  <c r="C102" i="7" s="1"/>
  <c r="R250" i="6"/>
  <c r="C249" i="7" s="1"/>
  <c r="S41" i="6"/>
  <c r="D40" i="7" s="1"/>
  <c r="U110" i="6"/>
  <c r="F109" i="7" s="1"/>
  <c r="T216" i="6"/>
  <c r="E215" i="7" s="1"/>
  <c r="T212" i="6"/>
  <c r="E211" i="7" s="1"/>
  <c r="V66" i="6"/>
  <c r="G65" i="7" s="1"/>
  <c r="U86" i="6"/>
  <c r="F85" i="7" s="1"/>
  <c r="V215" i="6"/>
  <c r="G214" i="7" s="1"/>
  <c r="U212" i="6"/>
  <c r="F211" i="7" s="1"/>
  <c r="U132" i="6"/>
  <c r="F131" i="7" s="1"/>
  <c r="U224" i="6"/>
  <c r="F223" i="7" s="1"/>
  <c r="R167" i="6"/>
  <c r="C166" i="7" s="1"/>
  <c r="S44" i="6"/>
  <c r="D43" i="7" s="1"/>
  <c r="S15" i="6"/>
  <c r="D14" i="7" s="1"/>
  <c r="R204" i="6"/>
  <c r="C203" i="7" s="1"/>
  <c r="V49" i="6"/>
  <c r="G48" i="7" s="1"/>
  <c r="P113" i="6"/>
  <c r="S198"/>
  <c r="D197" i="7" s="1"/>
  <c r="S57" i="6"/>
  <c r="D56" i="7" s="1"/>
  <c r="S37" i="6"/>
  <c r="D36" i="7" s="1"/>
  <c r="U31" i="6"/>
  <c r="F30" i="7" s="1"/>
  <c r="T89" i="6"/>
  <c r="E88" i="7" s="1"/>
  <c r="V165" i="6"/>
  <c r="G164" i="7" s="1"/>
  <c r="S133" i="6"/>
  <c r="D132" i="7" s="1"/>
  <c r="S21" i="6"/>
  <c r="D20" i="7" s="1"/>
  <c r="V137" i="6"/>
  <c r="G136" i="7" s="1"/>
  <c r="T48" i="6"/>
  <c r="E47" i="7" s="1"/>
  <c r="U65" i="6"/>
  <c r="F64" i="7" s="1"/>
  <c r="R190" i="6"/>
  <c r="C189" i="7" s="1"/>
  <c r="V55" i="6"/>
  <c r="G54" i="7" s="1"/>
  <c r="U208" i="6"/>
  <c r="F207" i="7" s="1"/>
  <c r="R193" i="6"/>
  <c r="C192" i="7" s="1"/>
  <c r="S88" i="6"/>
  <c r="D87" i="7" s="1"/>
  <c r="U247" i="6"/>
  <c r="F246" i="7" s="1"/>
  <c r="V128" i="6"/>
  <c r="G127" i="7" s="1"/>
  <c r="U195" i="6"/>
  <c r="F194" i="7" s="1"/>
  <c r="R135" i="6"/>
  <c r="C134" i="7" s="1"/>
  <c r="V123" i="6"/>
  <c r="G122" i="7" s="1"/>
  <c r="S243" i="6"/>
  <c r="D242" i="7" s="1"/>
  <c r="R178" i="5"/>
  <c r="T145" i="6"/>
  <c r="E144" i="7" s="1"/>
  <c r="V19" i="6"/>
  <c r="G18" i="7" s="1"/>
  <c r="R70" i="6"/>
  <c r="C69" i="7" s="1"/>
  <c r="P34" i="6"/>
  <c r="V34"/>
  <c r="G33" i="7" s="1"/>
  <c r="V98" i="6"/>
  <c r="G97" i="7" s="1"/>
  <c r="S241" i="6"/>
  <c r="D240" i="7" s="1"/>
  <c r="U241" i="6"/>
  <c r="F240" i="7" s="1"/>
  <c r="R240" i="5"/>
  <c r="R148" i="6"/>
  <c r="C147" i="7" s="1"/>
  <c r="T58" i="6"/>
  <c r="E57" i="7" s="1"/>
  <c r="T198" i="6"/>
  <c r="E197" i="7" s="1"/>
  <c r="T52" i="6"/>
  <c r="E51" i="7" s="1"/>
  <c r="V171" i="6"/>
  <c r="G170" i="7" s="1"/>
  <c r="U97" i="6"/>
  <c r="F96" i="7" s="1"/>
  <c r="P76" i="6"/>
  <c r="U183"/>
  <c r="F182" i="7" s="1"/>
  <c r="R38" i="5"/>
  <c r="T49" i="6"/>
  <c r="E48" i="7" s="1"/>
  <c r="T231" i="6"/>
  <c r="E230" i="7" s="1"/>
  <c r="R225" i="5"/>
  <c r="R192"/>
  <c r="T224" i="6"/>
  <c r="E223" i="7" s="1"/>
  <c r="S212" i="6"/>
  <c r="D211" i="7" s="1"/>
  <c r="U118" i="6"/>
  <c r="F117" i="7" s="1"/>
  <c r="R48" i="6"/>
  <c r="C47" i="7" s="1"/>
  <c r="S229" i="6"/>
  <c r="D228" i="7" s="1"/>
  <c r="U209" i="6"/>
  <c r="F208" i="7" s="1"/>
  <c r="R130" i="6"/>
  <c r="C129" i="7" s="1"/>
  <c r="U239" i="6"/>
  <c r="F238" i="7" s="1"/>
  <c r="U147" i="6"/>
  <c r="F146" i="7" s="1"/>
  <c r="U229" i="6"/>
  <c r="F228" i="7" s="1"/>
  <c r="P25" i="6"/>
  <c r="S98"/>
  <c r="D97" i="7" s="1"/>
  <c r="U185" i="6"/>
  <c r="F184" i="7" s="1"/>
  <c r="R145" i="6"/>
  <c r="C144" i="7" s="1"/>
  <c r="U41" i="6"/>
  <c r="F40" i="7" s="1"/>
  <c r="T84" i="6"/>
  <c r="E83" i="7" s="1"/>
  <c r="V93" i="6"/>
  <c r="G92" i="7" s="1"/>
  <c r="S59" i="6"/>
  <c r="D58" i="7" s="1"/>
  <c r="U33" i="6"/>
  <c r="F32" i="7" s="1"/>
  <c r="R139" i="6"/>
  <c r="C138" i="7" s="1"/>
  <c r="V64" i="6"/>
  <c r="G63" i="7" s="1"/>
  <c r="U216" i="6"/>
  <c r="F215" i="7" s="1"/>
  <c r="U215" i="6"/>
  <c r="F214" i="7" s="1"/>
  <c r="R60" i="6"/>
  <c r="C59" i="7" s="1"/>
  <c r="U149" i="6"/>
  <c r="F148" i="7" s="1"/>
  <c r="V228" i="6"/>
  <c r="G227" i="7" s="1"/>
  <c r="V68" i="6"/>
  <c r="G67" i="7" s="1"/>
  <c r="V250" i="6"/>
  <c r="G249" i="7" s="1"/>
  <c r="S55" i="6"/>
  <c r="D54" i="7" s="1"/>
  <c r="U201" i="6"/>
  <c r="F200" i="7" s="1"/>
  <c r="U102" i="6"/>
  <c r="F101" i="7" s="1"/>
  <c r="T105" i="6"/>
  <c r="V106"/>
  <c r="G105" i="7" s="1"/>
  <c r="R126" i="6"/>
  <c r="C125" i="7" s="1"/>
  <c r="S189" i="6"/>
  <c r="D188" i="7" s="1"/>
  <c r="U47" i="6"/>
  <c r="F46" i="7" s="1"/>
  <c r="V202" i="6"/>
  <c r="G201" i="7" s="1"/>
  <c r="R223" i="6"/>
  <c r="C222" i="7" s="1"/>
  <c r="T169" i="6"/>
  <c r="E168" i="7" s="1"/>
  <c r="V70" i="6"/>
  <c r="G69" i="7" s="1"/>
  <c r="U152" i="6"/>
  <c r="F151" i="7" s="1"/>
  <c r="U39" i="6"/>
  <c r="F38" i="7" s="1"/>
  <c r="R212" i="6"/>
  <c r="C211" i="7" s="1"/>
  <c r="R17" i="6"/>
  <c r="C16" i="7" s="1"/>
  <c r="V117" i="6"/>
  <c r="G116" i="7" s="1"/>
  <c r="U45" i="6"/>
  <c r="F44" i="7" s="1"/>
  <c r="S244" i="6"/>
  <c r="D243" i="7" s="1"/>
  <c r="V174" i="6"/>
  <c r="G173" i="7" s="1"/>
  <c r="R35" i="6"/>
  <c r="C34" i="7" s="1"/>
  <c r="U51" i="6"/>
  <c r="F50" i="7" s="1"/>
  <c r="R98" i="5"/>
  <c r="R65" i="6"/>
  <c r="C64" i="7" s="1"/>
  <c r="T85" i="6"/>
  <c r="E84" i="7" s="1"/>
  <c r="U184" i="6"/>
  <c r="F183" i="7" s="1"/>
  <c r="S111" i="6"/>
  <c r="D110" i="7" s="1"/>
  <c r="T166" i="6"/>
  <c r="E165" i="7" s="1"/>
  <c r="S106" i="6"/>
  <c r="D105" i="7" s="1"/>
  <c r="R101" i="5"/>
  <c r="T247" i="6"/>
  <c r="E246" i="7" s="1"/>
  <c r="R227" i="6"/>
  <c r="C226" i="7" s="1"/>
  <c r="U13" i="6"/>
  <c r="F12" i="7" s="1"/>
  <c r="S56" i="6"/>
  <c r="D55" i="7" s="1"/>
  <c r="U210" i="6"/>
  <c r="F209" i="7" s="1"/>
  <c r="V22" i="6"/>
  <c r="G21" i="7" s="1"/>
  <c r="U161" i="6"/>
  <c r="F160" i="7" s="1"/>
  <c r="T77" i="6"/>
  <c r="E76" i="7" s="1"/>
  <c r="U123" i="6"/>
  <c r="F122" i="7" s="1"/>
  <c r="U202" i="6"/>
  <c r="F201" i="7" s="1"/>
  <c r="P72" i="6"/>
  <c r="U144"/>
  <c r="F143" i="7" s="1"/>
  <c r="R160" i="5"/>
  <c r="R167"/>
  <c r="U197" i="6"/>
  <c r="F196" i="7" s="1"/>
  <c r="T18" i="6"/>
  <c r="E17" i="7" s="1"/>
  <c r="V28" i="6"/>
  <c r="G27" i="7" s="1"/>
  <c r="U232" i="6"/>
  <c r="F231" i="7" s="1"/>
  <c r="S237" i="6"/>
  <c r="D236" i="7" s="1"/>
  <c r="S245" i="6"/>
  <c r="D244" i="7" s="1"/>
  <c r="R156" i="5"/>
  <c r="R197" i="6"/>
  <c r="C196" i="7" s="1"/>
  <c r="S183" i="6"/>
  <c r="D182" i="7" s="1"/>
  <c r="P40" i="6"/>
  <c r="P80"/>
  <c r="R176"/>
  <c r="C175" i="7" s="1"/>
  <c r="V109" i="6"/>
  <c r="G108" i="7" s="1"/>
  <c r="R21" i="5"/>
  <c r="V223" i="6"/>
  <c r="G222" i="7" s="1"/>
  <c r="U203" i="6"/>
  <c r="F202" i="7" s="1"/>
  <c r="R208" i="6"/>
  <c r="C207" i="7" s="1"/>
  <c r="R250" i="5"/>
  <c r="R186" i="6"/>
  <c r="C185" i="7" s="1"/>
  <c r="T87" i="6"/>
  <c r="E86" i="7" s="1"/>
  <c r="T61" i="6"/>
  <c r="E60" i="7" s="1"/>
  <c r="P78" i="6"/>
  <c r="R71"/>
  <c r="C70" i="7" s="1"/>
  <c r="V154" i="6"/>
  <c r="G153" i="7" s="1"/>
  <c r="V198" i="6"/>
  <c r="G197" i="7" s="1"/>
  <c r="V84" i="6"/>
  <c r="G83" i="7" s="1"/>
  <c r="U127" i="6"/>
  <c r="F126" i="7" s="1"/>
  <c r="R100" i="6"/>
  <c r="C99" i="7" s="1"/>
  <c r="V194" i="6"/>
  <c r="G193" i="7" s="1"/>
  <c r="T25" i="6"/>
  <c r="E24" i="7" s="1"/>
  <c r="S205" i="6"/>
  <c r="D204" i="7" s="1"/>
  <c r="U213" i="6"/>
  <c r="F212" i="7" s="1"/>
  <c r="R58" i="6"/>
  <c r="C57" i="7" s="1"/>
  <c r="S152" i="6"/>
  <c r="D151" i="7" s="1"/>
  <c r="T94" i="6"/>
  <c r="E93" i="7" s="1"/>
  <c r="S22" i="6"/>
  <c r="D21" i="7" s="1"/>
  <c r="R229" i="5"/>
  <c r="V201" i="6"/>
  <c r="G200" i="7" s="1"/>
  <c r="R131" i="6"/>
  <c r="C130" i="7" s="1"/>
  <c r="T93" i="6"/>
  <c r="E92" i="7" s="1"/>
  <c r="R181" i="5"/>
  <c r="T184" i="6"/>
  <c r="E183" i="7" s="1"/>
  <c r="U84" i="6"/>
  <c r="F83" i="7" s="1"/>
  <c r="S214" i="6"/>
  <c r="D213" i="7" s="1"/>
  <c r="R109" i="5"/>
  <c r="S137" i="6"/>
  <c r="D136" i="7" s="1"/>
  <c r="S170" i="6"/>
  <c r="D169" i="7" s="1"/>
  <c r="U134" i="6"/>
  <c r="F133" i="7" s="1"/>
  <c r="V152" i="6"/>
  <c r="G151" i="7" s="1"/>
  <c r="U165" i="6"/>
  <c r="F164" i="7" s="1"/>
  <c r="U246" i="6"/>
  <c r="F245" i="7" s="1"/>
  <c r="V156" i="6"/>
  <c r="G155" i="7" s="1"/>
  <c r="P83" i="6"/>
  <c r="R23"/>
  <c r="C22" i="7" s="1"/>
  <c r="T65" i="6"/>
  <c r="E64" i="7" s="1"/>
  <c r="P33" i="6"/>
  <c r="U179"/>
  <c r="F178" i="7" s="1"/>
  <c r="R209" i="6"/>
  <c r="C208" i="7" s="1"/>
  <c r="S43" i="6"/>
  <c r="D42" i="7" s="1"/>
  <c r="R221" i="5"/>
  <c r="R101" i="6"/>
  <c r="C100" i="7" s="1"/>
  <c r="V85" i="6"/>
  <c r="G84" i="7" s="1"/>
  <c r="S246" i="6"/>
  <c r="D245" i="7" s="1"/>
  <c r="U91" i="6"/>
  <c r="F90" i="7" s="1"/>
  <c r="S40" i="6"/>
  <c r="D39" i="7" s="1"/>
  <c r="R214" i="5"/>
  <c r="R130"/>
  <c r="T146" i="6"/>
  <c r="E145" i="7" s="1"/>
  <c r="T143" i="6"/>
  <c r="E142" i="7" s="1"/>
  <c r="V23" i="6"/>
  <c r="G22" i="7" s="1"/>
  <c r="S67" i="6"/>
  <c r="D66" i="7" s="1"/>
  <c r="U26" i="6"/>
  <c r="F25" i="7" s="1"/>
  <c r="U17" i="6"/>
  <c r="F16" i="7" s="1"/>
  <c r="U250" i="6"/>
  <c r="F249" i="7" s="1"/>
  <c r="T16" i="6"/>
  <c r="E15" i="7" s="1"/>
  <c r="U237" i="6"/>
  <c r="F236" i="7" s="1"/>
  <c r="R170" i="5"/>
  <c r="V16" i="6"/>
  <c r="G15" i="7" s="1"/>
  <c r="S218" i="6"/>
  <c r="D217" i="7" s="1"/>
  <c r="T138" i="6"/>
  <c r="E137" i="7" s="1"/>
  <c r="T45" i="6"/>
  <c r="E44" i="7" s="1"/>
  <c r="T15" i="6"/>
  <c r="E14" i="7" s="1"/>
  <c r="S80" i="6"/>
  <c r="D79" i="7" s="1"/>
  <c r="R142" i="6"/>
  <c r="C141" i="7" s="1"/>
  <c r="R120" i="5"/>
  <c r="U89" i="6"/>
  <c r="F88" i="7" s="1"/>
  <c r="R45" i="6"/>
  <c r="C44" i="7" s="1"/>
  <c r="R33" i="6"/>
  <c r="C32" i="7" s="1"/>
  <c r="R44" i="6"/>
  <c r="C43" i="7" s="1"/>
  <c r="T68" i="6"/>
  <c r="E67" i="7" s="1"/>
  <c r="U130" i="6"/>
  <c r="F129" i="7" s="1"/>
  <c r="U106" i="6"/>
  <c r="F105" i="7" s="1"/>
  <c r="P35" i="6"/>
  <c r="T36"/>
  <c r="E35" i="7" s="1"/>
  <c r="R174" i="5"/>
  <c r="T75" i="6"/>
  <c r="E74" i="7" s="1"/>
  <c r="S26" i="6"/>
  <c r="D25" i="7" s="1"/>
  <c r="T32" i="6"/>
  <c r="E31" i="7" s="1"/>
  <c r="V96" i="6"/>
  <c r="G95" i="7" s="1"/>
  <c r="R199" i="5"/>
  <c r="U175" i="6"/>
  <c r="F174" i="7" s="1"/>
  <c r="R63" i="6"/>
  <c r="C62" i="7" s="1"/>
  <c r="U168" i="6"/>
  <c r="F167" i="7" s="1"/>
  <c r="T152" i="6"/>
  <c r="E151" i="7" s="1"/>
  <c r="U124" i="6"/>
  <c r="F123" i="7" s="1"/>
  <c r="T41" i="6"/>
  <c r="E40" i="7" s="1"/>
  <c r="T30" i="6"/>
  <c r="E29" i="7" s="1"/>
  <c r="U248" i="6"/>
  <c r="F247" i="7" s="1"/>
  <c r="R203" i="6"/>
  <c r="C202" i="7" s="1"/>
  <c r="T106" i="6"/>
  <c r="E105" i="7" s="1"/>
  <c r="V69" i="6"/>
  <c r="G68" i="7" s="1"/>
  <c r="S203" i="6"/>
  <c r="D202" i="7" s="1"/>
  <c r="S184" i="6"/>
  <c r="D183" i="7" s="1"/>
  <c r="U194" i="6"/>
  <c r="F193" i="7" s="1"/>
  <c r="T137" i="6"/>
  <c r="E136" i="7" s="1"/>
  <c r="V102" i="6"/>
  <c r="G101" i="7" s="1"/>
  <c r="T156" i="5"/>
  <c r="R207"/>
  <c r="V48" i="6"/>
  <c r="G47" i="7" s="1"/>
  <c r="V60" i="6"/>
  <c r="G59" i="7" s="1"/>
  <c r="T44" i="6"/>
  <c r="E43" i="7" s="1"/>
  <c r="V20" i="6"/>
  <c r="G19" i="7" s="1"/>
  <c r="U71" i="6"/>
  <c r="F70" i="7" s="1"/>
  <c r="U178" i="6"/>
  <c r="F177" i="7" s="1"/>
  <c r="U242" i="6"/>
  <c r="F241" i="7" s="1"/>
  <c r="V21" i="6"/>
  <c r="G20" i="7" s="1"/>
  <c r="T130" i="6"/>
  <c r="E129" i="7" s="1"/>
  <c r="T120" i="6"/>
  <c r="E119" i="7" s="1"/>
  <c r="U40" i="6"/>
  <c r="F39" i="7" s="1"/>
  <c r="U238" i="6"/>
  <c r="F237" i="7" s="1"/>
  <c r="R94" i="5"/>
  <c r="T175" i="6"/>
  <c r="E174" i="7" s="1"/>
  <c r="R87" i="6"/>
  <c r="C86" i="7" s="1"/>
  <c r="T147" i="6"/>
  <c r="E146" i="7" s="1"/>
  <c r="T81" i="6"/>
  <c r="E80" i="7" s="1"/>
  <c r="S128" i="6"/>
  <c r="D127" i="7" s="1"/>
  <c r="S123" i="6"/>
  <c r="D122" i="7" s="1"/>
  <c r="U87" i="6"/>
  <c r="F86" i="7" s="1"/>
  <c r="T156" i="6"/>
  <c r="E155" i="7" s="1"/>
  <c r="P88" i="6"/>
  <c r="V12"/>
  <c r="G11" i="7" s="1"/>
  <c r="V238" i="6"/>
  <c r="G237" i="7" s="1"/>
  <c r="P27" i="6"/>
  <c r="R175"/>
  <c r="C174" i="7" s="1"/>
  <c r="T250" i="6"/>
  <c r="E249" i="7" s="1"/>
  <c r="S94" i="6"/>
  <c r="D93" i="7" s="1"/>
  <c r="T102" i="6"/>
  <c r="E101" i="7" s="1"/>
  <c r="R94" i="6"/>
  <c r="C93" i="7" s="1"/>
  <c r="R123" i="5"/>
  <c r="T111" i="6"/>
  <c r="E110" i="7" s="1"/>
  <c r="T180" i="6"/>
  <c r="E179" i="7" s="1"/>
  <c r="V89" i="6"/>
  <c r="G88" i="7" s="1"/>
  <c r="S90" i="6"/>
  <c r="D89" i="7" s="1"/>
  <c r="P65" i="6"/>
  <c r="V186"/>
  <c r="G185" i="7" s="1"/>
  <c r="V65" i="6"/>
  <c r="G64" i="7" s="1"/>
  <c r="V118" i="6"/>
  <c r="G117" i="7" s="1"/>
  <c r="U163" i="6"/>
  <c r="F162" i="7" s="1"/>
  <c r="R123" i="6"/>
  <c r="C122" i="7" s="1"/>
  <c r="S188" i="6"/>
  <c r="D187" i="7" s="1"/>
  <c r="S180" i="6"/>
  <c r="D179" i="7" s="1"/>
  <c r="U49" i="6"/>
  <c r="F48" i="7" s="1"/>
  <c r="R227" i="5"/>
  <c r="U173" i="6"/>
  <c r="F172" i="7" s="1"/>
  <c r="T192" i="6"/>
  <c r="E191" i="7" s="1"/>
  <c r="R24" i="6"/>
  <c r="C23" i="7" s="1"/>
  <c r="V58" i="6"/>
  <c r="G57" i="7" s="1"/>
  <c r="U48" i="6"/>
  <c r="F47" i="7" s="1"/>
  <c r="S171" i="6"/>
  <c r="D170" i="7" s="1"/>
  <c r="S148" i="6"/>
  <c r="D147" i="7" s="1"/>
  <c r="T34" i="6"/>
  <c r="E33" i="7" s="1"/>
  <c r="V52" i="6"/>
  <c r="G51" i="7" s="1"/>
  <c r="R112" i="5"/>
  <c r="S179" i="6"/>
  <c r="D178" i="7" s="1"/>
  <c r="P75" i="6"/>
  <c r="R76"/>
  <c r="C75" i="7" s="1"/>
  <c r="T168" i="6"/>
  <c r="E167" i="7" s="1"/>
  <c r="T126" i="6"/>
  <c r="E125" i="7" s="1"/>
  <c r="S103" i="6"/>
  <c r="D102" i="7" s="1"/>
  <c r="R140" i="6"/>
  <c r="C139" i="7" s="1"/>
  <c r="T83" i="6"/>
  <c r="E82" i="7" s="1"/>
  <c r="U245" i="6"/>
  <c r="F244" i="7" s="1"/>
  <c r="R184" i="6"/>
  <c r="C183" i="7" s="1"/>
  <c r="V61" i="6"/>
  <c r="G60" i="7" s="1"/>
  <c r="S53" i="6"/>
  <c r="D52" i="7" s="1"/>
  <c r="T171" i="6"/>
  <c r="E170" i="7" s="1"/>
  <c r="T178" i="5"/>
  <c r="V164" i="6"/>
  <c r="G163" i="7" s="1"/>
  <c r="U186" i="6"/>
  <c r="F185" i="7" s="1"/>
  <c r="V210" i="6"/>
  <c r="G209" i="7" s="1"/>
  <c r="R134" i="6"/>
  <c r="C133" i="7" s="1"/>
  <c r="T173" i="6"/>
  <c r="E172" i="7" s="1"/>
  <c r="V189" i="6"/>
  <c r="G188" i="7" s="1"/>
  <c r="R242" i="6"/>
  <c r="C241" i="7" s="1"/>
  <c r="S145" i="6"/>
  <c r="D144" i="7" s="1"/>
  <c r="U249" i="6"/>
  <c r="F248" i="7" s="1"/>
  <c r="P19" i="6"/>
  <c r="T160"/>
  <c r="E159" i="7" s="1"/>
  <c r="T207" i="6"/>
  <c r="E206" i="7" s="1"/>
  <c r="S102" i="6"/>
  <c r="D101" i="7" s="1"/>
  <c r="T134" i="6"/>
  <c r="E133" i="7" s="1"/>
  <c r="S132" i="6"/>
  <c r="D131" i="7" s="1"/>
  <c r="R162" i="5"/>
  <c r="R86"/>
  <c r="T19" i="6"/>
  <c r="E18" i="7" s="1"/>
  <c r="R236" i="5"/>
  <c r="T98" i="6"/>
  <c r="E97" i="7" s="1"/>
  <c r="R144" i="6"/>
  <c r="C143" i="7" s="1"/>
  <c r="U81" i="6"/>
  <c r="F80" i="7" s="1"/>
  <c r="S206" i="6"/>
  <c r="D205" i="7" s="1"/>
  <c r="U145" i="6"/>
  <c r="F144" i="7" s="1"/>
  <c r="S151" i="6"/>
  <c r="D150" i="7" s="1"/>
  <c r="V72" i="6"/>
  <c r="G71" i="7" s="1"/>
  <c r="U126" i="6"/>
  <c r="F125" i="7" s="1"/>
  <c r="S142" i="6"/>
  <c r="D141" i="7" s="1"/>
  <c r="S65" i="6"/>
  <c r="D64" i="7" s="1"/>
  <c r="R157" i="6"/>
  <c r="C156" i="7" s="1"/>
  <c r="S247" i="6"/>
  <c r="D246" i="7" s="1"/>
  <c r="R116" i="5"/>
  <c r="R35"/>
  <c r="R210"/>
  <c r="R159"/>
  <c r="U73" i="6"/>
  <c r="F72" i="7" s="1"/>
  <c r="T225" i="6"/>
  <c r="E224" i="7" s="1"/>
  <c r="V145" i="6"/>
  <c r="G144" i="7" s="1"/>
  <c r="T188" i="6"/>
  <c r="E187" i="7" s="1"/>
  <c r="S143" i="6"/>
  <c r="D142" i="7" s="1"/>
  <c r="T240" i="5"/>
  <c r="R163"/>
  <c r="R53" i="6"/>
  <c r="C52" i="7" s="1"/>
  <c r="S236" i="6"/>
  <c r="D235" i="7" s="1"/>
  <c r="V144" i="6"/>
  <c r="G143" i="7" s="1"/>
  <c r="U74" i="6"/>
  <c r="F73" i="7" s="1"/>
  <c r="T157" i="6"/>
  <c r="E156" i="7" s="1"/>
  <c r="T73" i="6"/>
  <c r="E72" i="7" s="1"/>
  <c r="T13" i="6"/>
  <c r="E12" i="7" s="1"/>
  <c r="R89" i="6"/>
  <c r="C88" i="7" s="1"/>
  <c r="U156" i="6"/>
  <c r="F155" i="7" s="1"/>
  <c r="R228" i="6"/>
  <c r="C227" i="7" s="1"/>
  <c r="R243" i="5"/>
  <c r="R105"/>
  <c r="U153" i="6"/>
  <c r="F152" i="7" s="1"/>
  <c r="T53" i="6"/>
  <c r="E52" i="7" s="1"/>
  <c r="R64" i="6"/>
  <c r="C63" i="7" s="1"/>
  <c r="S29" i="6"/>
  <c r="D28" i="7" s="1"/>
  <c r="T71" i="6"/>
  <c r="E70" i="7" s="1"/>
  <c r="T176" i="6"/>
  <c r="E175" i="7" s="1"/>
  <c r="V142" i="6"/>
  <c r="G141" i="7" s="1"/>
  <c r="P158" i="6"/>
  <c r="U16"/>
  <c r="F15" i="7" s="1"/>
  <c r="V172" i="6"/>
  <c r="G171" i="7" s="1"/>
  <c r="T21" i="6"/>
  <c r="E20" i="7" s="1"/>
  <c r="T148" i="6"/>
  <c r="E147" i="7" s="1"/>
  <c r="P156" i="6"/>
  <c r="V73"/>
  <c r="G72" i="7" s="1"/>
  <c r="R222" i="5"/>
  <c r="S101" i="6"/>
  <c r="D100" i="7" s="1"/>
  <c r="P102" i="6"/>
  <c r="R147"/>
  <c r="C146" i="7" s="1"/>
  <c r="S48" i="6"/>
  <c r="D47" i="7" s="1"/>
  <c r="V45" i="6"/>
  <c r="G44" i="7" s="1"/>
  <c r="R90" i="5"/>
  <c r="U143" i="6"/>
  <c r="F142" i="7" s="1"/>
  <c r="S91" i="6"/>
  <c r="D90" i="7" s="1"/>
  <c r="P165" i="6"/>
  <c r="T165"/>
  <c r="E164" i="7" s="1"/>
  <c r="S230" i="6"/>
  <c r="D229" i="7" s="1"/>
  <c r="R169" i="5"/>
  <c r="V125" i="6"/>
  <c r="G124" i="7" s="1"/>
  <c r="V127" i="6"/>
  <c r="G126" i="7" s="1"/>
  <c r="P107" i="6"/>
  <c r="P229"/>
  <c r="S108"/>
  <c r="D107" i="7" s="1"/>
  <c r="V36" i="6"/>
  <c r="G35" i="7" s="1"/>
  <c r="R244" i="5"/>
  <c r="V62" i="6"/>
  <c r="G61" i="7" s="1"/>
  <c r="R228" i="5"/>
  <c r="S232" i="6"/>
  <c r="D231" i="7" s="1"/>
  <c r="T234" i="6"/>
  <c r="E233" i="7" s="1"/>
  <c r="V104" i="6"/>
  <c r="G103" i="7" s="1"/>
  <c r="S175" i="6"/>
  <c r="D174" i="7" s="1"/>
  <c r="P241" i="6"/>
  <c r="P22"/>
  <c r="S193"/>
  <c r="D192" i="7" s="1"/>
  <c r="V37" i="6"/>
  <c r="G36" i="7" s="1"/>
  <c r="R98" i="6"/>
  <c r="C97" i="7" s="1"/>
  <c r="P20" i="6"/>
  <c r="R232" i="5"/>
  <c r="T133" i="6"/>
  <c r="E132" i="7" s="1"/>
  <c r="V116" i="6"/>
  <c r="G115" i="7" s="1"/>
  <c r="R238" i="6"/>
  <c r="C237" i="7" s="1"/>
  <c r="S16" i="6"/>
  <c r="D15" i="7" s="1"/>
  <c r="V43" i="6"/>
  <c r="G42" i="7" s="1"/>
  <c r="S49" i="6"/>
  <c r="D48" i="7" s="1"/>
  <c r="P190" i="6"/>
  <c r="V115"/>
  <c r="G114" i="7" s="1"/>
  <c r="R211" i="5"/>
  <c r="V192" i="6"/>
  <c r="G191" i="7" s="1"/>
  <c r="V134" i="6"/>
  <c r="G133" i="7" s="1"/>
  <c r="R14" i="5"/>
  <c r="R152"/>
  <c r="R30" i="6"/>
  <c r="C29" i="7" s="1"/>
  <c r="R205" i="6"/>
  <c r="C204" i="7" s="1"/>
  <c r="U27" i="6"/>
  <c r="F26" i="7" s="1"/>
  <c r="T38" i="6"/>
  <c r="E37" i="7" s="1"/>
  <c r="R115" i="6"/>
  <c r="C114" i="7" s="1"/>
  <c r="P29" i="6"/>
  <c r="V181"/>
  <c r="G180" i="7" s="1"/>
  <c r="T238" i="6"/>
  <c r="E237" i="7" s="1"/>
  <c r="S248" i="6"/>
  <c r="D247" i="7" s="1"/>
  <c r="P109" i="6"/>
  <c r="S202"/>
  <c r="D201" i="7" s="1"/>
  <c r="U114" i="6"/>
  <c r="F113" i="7" s="1"/>
  <c r="U111" i="6"/>
  <c r="F110" i="7" s="1"/>
  <c r="R36" i="6"/>
  <c r="C35" i="7" s="1"/>
  <c r="T55" i="6"/>
  <c r="E54" i="7" s="1"/>
  <c r="S190" i="6"/>
  <c r="D189" i="7" s="1"/>
  <c r="T124" i="6"/>
  <c r="E123" i="7" s="1"/>
  <c r="P26" i="6"/>
  <c r="S199"/>
  <c r="D198" i="7" s="1"/>
  <c r="T33" i="6"/>
  <c r="E32" i="7" s="1"/>
  <c r="V119" i="6"/>
  <c r="G118" i="7" s="1"/>
  <c r="V242" i="6"/>
  <c r="G241" i="7" s="1"/>
  <c r="R73" i="5"/>
  <c r="P90" i="6"/>
  <c r="P23"/>
  <c r="R218" i="5"/>
  <c r="R185"/>
  <c r="R170" i="6"/>
  <c r="C169" i="7" s="1"/>
  <c r="U211" i="6"/>
  <c r="F210" i="7" s="1"/>
  <c r="U21" i="6"/>
  <c r="F20" i="7" s="1"/>
  <c r="R163" i="6"/>
  <c r="C162" i="7" s="1"/>
  <c r="V105" i="6"/>
  <c r="G104" i="7" s="1"/>
  <c r="R122" i="6"/>
  <c r="C121" i="7" s="1"/>
  <c r="U55" i="6"/>
  <c r="F54" i="7" s="1"/>
  <c r="P167" i="6"/>
  <c r="P68"/>
  <c r="U115"/>
  <c r="F114" i="7" s="1"/>
  <c r="T200" i="6"/>
  <c r="E199" i="7" s="1"/>
  <c r="P62" i="6"/>
  <c r="T82"/>
  <c r="E81" i="7" s="1"/>
  <c r="U205" i="6"/>
  <c r="F204" i="7" s="1"/>
  <c r="P217" i="6"/>
  <c r="S136"/>
  <c r="D135" i="7" s="1"/>
  <c r="P41" i="6"/>
  <c r="R114" i="5"/>
  <c r="V105"/>
  <c r="S117" i="6"/>
  <c r="D116" i="7" s="1"/>
  <c r="U98" i="6"/>
  <c r="F97" i="7" s="1"/>
  <c r="V236" i="6"/>
  <c r="G235" i="7" s="1"/>
  <c r="R142" i="5"/>
  <c r="S93" i="6"/>
  <c r="D92" i="7" s="1"/>
  <c r="S222" i="6"/>
  <c r="D221" i="7" s="1"/>
  <c r="U151" i="6"/>
  <c r="F150" i="7" s="1"/>
  <c r="U220" i="6"/>
  <c r="F219" i="7" s="1"/>
  <c r="V227" i="6"/>
  <c r="G226" i="7" s="1"/>
  <c r="P60" i="6"/>
  <c r="S87"/>
  <c r="D86" i="7" s="1"/>
  <c r="V232" i="6"/>
  <c r="G231" i="7" s="1"/>
  <c r="P58" i="6"/>
  <c r="R137"/>
  <c r="C136" i="7" s="1"/>
  <c r="R110" i="5"/>
  <c r="R127"/>
  <c r="R203"/>
  <c r="U230" i="6"/>
  <c r="F229" i="7" s="1"/>
  <c r="R150" i="6"/>
  <c r="C149" i="7" s="1"/>
  <c r="T131" i="6"/>
  <c r="E130" i="7" s="1"/>
  <c r="V153" i="6"/>
  <c r="G152" i="7" s="1"/>
  <c r="U18" i="6"/>
  <c r="F17" i="7" s="1"/>
  <c r="S84" i="6"/>
  <c r="D83" i="7" s="1"/>
  <c r="R152" i="6"/>
  <c r="C151" i="7" s="1"/>
  <c r="U72" i="6"/>
  <c r="F71" i="7" s="1"/>
  <c r="P14" i="6"/>
  <c r="V229"/>
  <c r="G228" i="7" s="1"/>
  <c r="V205" i="6"/>
  <c r="G204" i="7" s="1"/>
  <c r="R49" i="6"/>
  <c r="C48" i="7" s="1"/>
  <c r="V97" i="6"/>
  <c r="G96" i="7" s="1"/>
  <c r="U57" i="6"/>
  <c r="F56" i="7" s="1"/>
  <c r="V157" i="6"/>
  <c r="G156" i="7" s="1"/>
  <c r="S61" i="6"/>
  <c r="D60" i="7" s="1"/>
  <c r="R224" i="6"/>
  <c r="P178"/>
  <c r="P84"/>
  <c r="T167"/>
  <c r="E166" i="7" s="1"/>
  <c r="U170" i="6"/>
  <c r="F169" i="7" s="1"/>
  <c r="U53" i="6"/>
  <c r="F52" i="7" s="1"/>
  <c r="T74" i="6"/>
  <c r="E73" i="7" s="1"/>
  <c r="V167" i="6"/>
  <c r="G166" i="7" s="1"/>
  <c r="R114" i="6"/>
  <c r="C113" i="7" s="1"/>
  <c r="P57" i="6"/>
  <c r="V178"/>
  <c r="G177" i="7" s="1"/>
  <c r="U19" i="6"/>
  <c r="F18" i="7" s="1"/>
  <c r="P59" i="6"/>
  <c r="P130"/>
  <c r="U141"/>
  <c r="F140" i="7" s="1"/>
  <c r="R132" i="6"/>
  <c r="C131" i="7" s="1"/>
  <c r="R62" i="6"/>
  <c r="C61" i="7" s="1"/>
  <c r="P38" i="6"/>
  <c r="R18" i="5"/>
  <c r="U101" i="6"/>
  <c r="F100" i="7" s="1"/>
  <c r="T233" i="6"/>
  <c r="E232" i="7" s="1"/>
  <c r="V160" i="6"/>
  <c r="G159" i="7" s="1"/>
  <c r="V246" i="6"/>
  <c r="G245" i="7" s="1"/>
  <c r="V155" i="6"/>
  <c r="G154" i="7" s="1"/>
  <c r="T222" i="6"/>
  <c r="E221" i="7" s="1"/>
  <c r="R124" i="6"/>
  <c r="C123" i="7" s="1"/>
  <c r="V78" i="6"/>
  <c r="G77" i="7" s="1"/>
  <c r="V30" i="6"/>
  <c r="G29" i="7" s="1"/>
  <c r="S224" i="6"/>
  <c r="D223" i="7" s="1"/>
  <c r="P64" i="6"/>
  <c r="P13"/>
  <c r="T163"/>
  <c r="E162" i="7" s="1"/>
  <c r="P30" i="6"/>
  <c r="R182" i="5"/>
  <c r="P93" i="6"/>
  <c r="S112"/>
  <c r="D111" i="7" s="1"/>
  <c r="T22" i="6"/>
  <c r="E21" i="7" s="1"/>
  <c r="R145" i="5"/>
  <c r="P45" i="6"/>
  <c r="R25"/>
  <c r="V177"/>
  <c r="G176" i="7" s="1"/>
  <c r="P73" i="6"/>
  <c r="R52" i="5"/>
  <c r="P199" i="6"/>
  <c r="R134" i="5"/>
  <c r="S157" i="6"/>
  <c r="D156" i="7" s="1"/>
  <c r="T63" i="6"/>
  <c r="E62" i="7" s="1"/>
  <c r="V38" i="6"/>
  <c r="G37" i="7" s="1"/>
  <c r="R165" i="5"/>
  <c r="P36" i="6"/>
  <c r="R77"/>
  <c r="C76" i="7" s="1"/>
  <c r="R66" i="5"/>
  <c r="V13" i="6"/>
  <c r="G12" i="7" s="1"/>
  <c r="T228" i="6"/>
  <c r="E227" i="7" s="1"/>
  <c r="V140" i="6"/>
  <c r="G139" i="7" s="1"/>
  <c r="R69" i="5"/>
  <c r="R45"/>
  <c r="V190" i="6"/>
  <c r="G189" i="7" s="1"/>
  <c r="T12" i="6"/>
  <c r="E11" i="7" s="1"/>
  <c r="T208" i="6"/>
  <c r="E207" i="7" s="1"/>
  <c r="S160" i="6"/>
  <c r="D159" i="7" s="1"/>
  <c r="U117" i="6"/>
  <c r="F116" i="7" s="1"/>
  <c r="S122" i="6"/>
  <c r="D121" i="7" s="1"/>
  <c r="R62" i="5"/>
  <c r="T29" i="6"/>
  <c r="E28" i="7" s="1"/>
  <c r="P12" i="6"/>
  <c r="R158" i="5"/>
  <c r="P16" i="6"/>
  <c r="T25" i="5"/>
  <c r="U166" i="6"/>
  <c r="F165" i="7" s="1"/>
  <c r="P51" i="6"/>
  <c r="V29"/>
  <c r="G28" i="7" s="1"/>
  <c r="R68" i="6"/>
  <c r="C67" i="7" s="1"/>
  <c r="P238" i="6"/>
  <c r="U120"/>
  <c r="F119" i="7" s="1"/>
  <c r="P70" i="6"/>
  <c r="P66"/>
  <c r="S110"/>
  <c r="D109" i="7" s="1"/>
  <c r="P176" i="6"/>
  <c r="P187"/>
  <c r="T43"/>
  <c r="E42" i="7" s="1"/>
  <c r="P15" i="6"/>
  <c r="P210"/>
  <c r="P74"/>
  <c r="P208"/>
  <c r="V166"/>
  <c r="G165" i="7" s="1"/>
  <c r="T18" i="5"/>
  <c r="C17" i="7" s="1"/>
  <c r="T115" i="6"/>
  <c r="E114" i="7" s="1"/>
  <c r="R158" i="6"/>
  <c r="C157" i="7" s="1"/>
  <c r="V82" i="6"/>
  <c r="G81" i="7" s="1"/>
  <c r="S187" i="6"/>
  <c r="D186" i="7" s="1"/>
  <c r="R251" i="5"/>
  <c r="P77" i="6"/>
  <c r="U125"/>
  <c r="F124" i="7" s="1"/>
  <c r="P135" i="6"/>
  <c r="P92"/>
  <c r="P144"/>
  <c r="P79"/>
  <c r="V161"/>
  <c r="G160" i="7" s="1"/>
  <c r="T26" i="6"/>
  <c r="E25" i="7" s="1"/>
  <c r="T123" i="6"/>
  <c r="E122" i="7" s="1"/>
  <c r="V138" i="6"/>
  <c r="G137" i="7" s="1"/>
  <c r="R189" i="5"/>
  <c r="R191" i="6"/>
  <c r="C190" i="7" s="1"/>
  <c r="T244" i="6"/>
  <c r="E243" i="7" s="1"/>
  <c r="V26" i="6"/>
  <c r="G25" i="7" s="1"/>
  <c r="V213" i="6"/>
  <c r="G212" i="7" s="1"/>
  <c r="R173" i="6"/>
  <c r="C172" i="7" s="1"/>
  <c r="R69" i="6"/>
  <c r="C68" i="7" s="1"/>
  <c r="P54" i="6"/>
  <c r="T158"/>
  <c r="E157" i="7" s="1"/>
  <c r="R220" i="5"/>
  <c r="U122" i="6"/>
  <c r="F121" i="7" s="1"/>
  <c r="T245" i="6"/>
  <c r="E244" i="7" s="1"/>
  <c r="V112" i="6"/>
  <c r="G111" i="7" s="1"/>
  <c r="T90" i="6"/>
  <c r="E89" i="7" s="1"/>
  <c r="P28" i="6"/>
  <c r="R245"/>
  <c r="C244" i="7" s="1"/>
  <c r="U160" i="6"/>
  <c r="F159" i="7" s="1"/>
  <c r="S238" i="6"/>
  <c r="D237" i="7" s="1"/>
  <c r="T190" i="6"/>
  <c r="E189" i="7" s="1"/>
  <c r="P111" i="6"/>
  <c r="P174"/>
  <c r="P32"/>
  <c r="R148" i="5"/>
  <c r="U30" i="6"/>
  <c r="F29" i="7" s="1"/>
  <c r="T20" i="6"/>
  <c r="E19" i="7" s="1"/>
  <c r="R92" i="6"/>
  <c r="C91" i="7" s="1"/>
  <c r="T241" i="6"/>
  <c r="E240" i="7" s="1"/>
  <c r="V77" i="6"/>
  <c r="G76" i="7" s="1"/>
  <c r="U58" i="6"/>
  <c r="F57" i="7" s="1"/>
  <c r="D233"/>
  <c r="T232" i="6"/>
  <c r="E231" i="7" s="1"/>
  <c r="P44" i="6"/>
  <c r="R138"/>
  <c r="C137" i="7" s="1"/>
  <c r="R241" i="5"/>
  <c r="V46" i="6"/>
  <c r="G45" i="7" s="1"/>
  <c r="P192" i="6"/>
  <c r="P142"/>
  <c r="P155"/>
  <c r="V47"/>
  <c r="G46" i="7" s="1"/>
  <c r="R193" i="5"/>
  <c r="U148" i="6"/>
  <c r="F147" i="7" s="1"/>
  <c r="T127" i="6"/>
  <c r="E126" i="7" s="1"/>
  <c r="T144" i="6"/>
  <c r="E143" i="7" s="1"/>
  <c r="R81" i="6"/>
  <c r="C80" i="7" s="1"/>
  <c r="R200" i="6"/>
  <c r="C199" i="7" s="1"/>
  <c r="R73" i="6"/>
  <c r="C72" i="7" s="1"/>
  <c r="R42" i="5"/>
  <c r="T39" i="6"/>
  <c r="E38" i="7" s="1"/>
  <c r="R230" i="5"/>
  <c r="T162"/>
  <c r="V129" i="6"/>
  <c r="G128" i="7" s="1"/>
  <c r="T179" i="6"/>
  <c r="E178" i="7" s="1"/>
  <c r="U23" i="6"/>
  <c r="F22" i="7" s="1"/>
  <c r="P82" i="6"/>
  <c r="S208"/>
  <c r="D207" i="7" s="1"/>
  <c r="P127" i="6"/>
  <c r="U190"/>
  <c r="F189" i="7" s="1"/>
  <c r="V206" i="6"/>
  <c r="G205" i="7" s="1"/>
  <c r="P185" i="6"/>
  <c r="V88"/>
  <c r="G87" i="7" s="1"/>
  <c r="R247" i="5"/>
  <c r="P37" i="6"/>
  <c r="P85"/>
  <c r="P18"/>
  <c r="P46"/>
  <c r="P17"/>
  <c r="P81"/>
  <c r="P203"/>
  <c r="S239"/>
  <c r="D238" i="7" s="1"/>
  <c r="V101" i="6"/>
  <c r="G100" i="7" s="1"/>
  <c r="T92" i="6"/>
  <c r="E91" i="7" s="1"/>
  <c r="V151" i="6"/>
  <c r="G150" i="7" s="1"/>
  <c r="R153" i="6"/>
  <c r="C152" i="7" s="1"/>
  <c r="U112" i="6"/>
  <c r="F111" i="7" s="1"/>
  <c r="R97" i="5"/>
  <c r="V199" i="6"/>
  <c r="G198" i="7" s="1"/>
  <c r="V86" i="6"/>
  <c r="G85" i="7" s="1"/>
  <c r="R59" i="5"/>
  <c r="P137" i="6"/>
  <c r="U95"/>
  <c r="F94" i="7" s="1"/>
  <c r="T204" i="6"/>
  <c r="E203" i="7" s="1"/>
  <c r="T416" i="5"/>
  <c r="R416"/>
  <c r="R371"/>
  <c r="T371"/>
  <c r="R401"/>
  <c r="W401"/>
  <c r="T360"/>
  <c r="R360"/>
  <c r="T380"/>
  <c r="R380"/>
  <c r="T357"/>
  <c r="R357"/>
  <c r="T444"/>
  <c r="R444"/>
  <c r="U77" i="6"/>
  <c r="F76" i="7" s="1"/>
  <c r="R353" i="5"/>
  <c r="T353"/>
  <c r="T341"/>
  <c r="R341"/>
  <c r="T431"/>
  <c r="R431"/>
  <c r="T311"/>
  <c r="R311"/>
  <c r="T337"/>
  <c r="R337"/>
  <c r="T345"/>
  <c r="R345"/>
  <c r="T333"/>
  <c r="R333"/>
  <c r="T420"/>
  <c r="R420"/>
  <c r="P21" i="6"/>
  <c r="V18"/>
  <c r="G17" i="7" s="1"/>
  <c r="T292" i="5"/>
  <c r="R292"/>
  <c r="T418"/>
  <c r="R418"/>
  <c r="T297"/>
  <c r="R297"/>
  <c r="R294"/>
  <c r="T294"/>
  <c r="T315"/>
  <c r="R315"/>
  <c r="R375"/>
  <c r="X375"/>
  <c r="R396"/>
  <c r="T396"/>
  <c r="T269"/>
  <c r="R269"/>
  <c r="T410"/>
  <c r="R410"/>
  <c r="T458"/>
  <c r="R458"/>
  <c r="T451"/>
  <c r="R451"/>
  <c r="T363"/>
  <c r="R363"/>
  <c r="T262"/>
  <c r="R262"/>
  <c r="T264"/>
  <c r="R264"/>
  <c r="T284"/>
  <c r="R284"/>
  <c r="T285"/>
  <c r="R285"/>
  <c r="T372"/>
  <c r="R372"/>
  <c r="T413"/>
  <c r="R413"/>
  <c r="T295"/>
  <c r="R295"/>
  <c r="T392"/>
  <c r="R392"/>
  <c r="T387"/>
  <c r="R387"/>
  <c r="R306"/>
  <c r="T306"/>
  <c r="T261"/>
  <c r="R261"/>
  <c r="T445"/>
  <c r="R445"/>
  <c r="R348"/>
  <c r="T348"/>
  <c r="U200" i="6"/>
  <c r="F199" i="7" s="1"/>
  <c r="V71" i="6"/>
  <c r="G70" i="7" s="1"/>
  <c r="R117" i="5"/>
  <c r="R43" i="6"/>
  <c r="C42" i="7" s="1"/>
  <c r="R296" i="5"/>
  <c r="T296"/>
  <c r="R344"/>
  <c r="T344"/>
  <c r="T340"/>
  <c r="R340"/>
  <c r="T335"/>
  <c r="R335"/>
  <c r="T370"/>
  <c r="R370"/>
  <c r="T417"/>
  <c r="R417"/>
  <c r="R376"/>
  <c r="X376"/>
  <c r="R421"/>
  <c r="T421"/>
  <c r="R324"/>
  <c r="T324"/>
  <c r="T450"/>
  <c r="R450"/>
  <c r="R329"/>
  <c r="X329"/>
  <c r="T274"/>
  <c r="R274"/>
  <c r="R270"/>
  <c r="T270"/>
  <c r="T356"/>
  <c r="R356"/>
  <c r="T397"/>
  <c r="R397"/>
  <c r="T300"/>
  <c r="R300"/>
  <c r="T459"/>
  <c r="R459"/>
  <c r="T334"/>
  <c r="R334"/>
  <c r="T430"/>
  <c r="R430"/>
  <c r="T369"/>
  <c r="R369"/>
  <c r="R305"/>
  <c r="T305"/>
  <c r="T443"/>
  <c r="R443"/>
  <c r="R312"/>
  <c r="X312"/>
  <c r="R439"/>
  <c r="T439"/>
  <c r="R399"/>
  <c r="U399"/>
  <c r="R255"/>
  <c r="X255"/>
  <c r="T373"/>
  <c r="R373"/>
  <c r="T276"/>
  <c r="R276"/>
  <c r="R141"/>
  <c r="P147" i="6"/>
  <c r="T379" i="5"/>
  <c r="R379"/>
  <c r="T259"/>
  <c r="R259"/>
  <c r="T382"/>
  <c r="R382"/>
  <c r="T406"/>
  <c r="R406"/>
  <c r="T442"/>
  <c r="R442"/>
  <c r="T409"/>
  <c r="R409"/>
  <c r="T446"/>
  <c r="R446"/>
  <c r="R252"/>
  <c r="T252"/>
  <c r="T407"/>
  <c r="R407"/>
  <c r="R428"/>
  <c r="X428"/>
  <c r="T314"/>
  <c r="R314"/>
  <c r="T366"/>
  <c r="R366"/>
  <c r="T404"/>
  <c r="R404"/>
  <c r="R313"/>
  <c r="X313"/>
  <c r="T378"/>
  <c r="R378"/>
  <c r="R351"/>
  <c r="U351"/>
  <c r="R422"/>
  <c r="T422"/>
  <c r="R325"/>
  <c r="T325"/>
  <c r="T151" i="6"/>
  <c r="E150" i="7" s="1"/>
  <c r="S147" i="6"/>
  <c r="D146" i="7" s="1"/>
  <c r="V158" i="6"/>
  <c r="G157" i="7" s="1"/>
  <c r="P169" i="6"/>
  <c r="P31"/>
  <c r="P99"/>
  <c r="R49" i="5"/>
  <c r="R213"/>
  <c r="T141" i="6"/>
  <c r="E140" i="7" s="1"/>
  <c r="U193" i="6"/>
  <c r="F192" i="7" s="1"/>
  <c r="P55" i="6"/>
  <c r="R41"/>
  <c r="C40" i="7" s="1"/>
  <c r="R185" i="6"/>
  <c r="C184" i="7" s="1"/>
  <c r="T412" i="5"/>
  <c r="R412"/>
  <c r="T383"/>
  <c r="R383"/>
  <c r="T293"/>
  <c r="R293"/>
  <c r="T452"/>
  <c r="R452"/>
  <c r="R427"/>
  <c r="X427"/>
  <c r="T263"/>
  <c r="R263"/>
  <c r="T331"/>
  <c r="R331"/>
  <c r="T365"/>
  <c r="R365"/>
  <c r="T343"/>
  <c r="R343"/>
  <c r="R253"/>
  <c r="V253"/>
  <c r="R256"/>
  <c r="X256"/>
  <c r="T398"/>
  <c r="R398"/>
  <c r="T301"/>
  <c r="R301"/>
  <c r="V191" i="6"/>
  <c r="G190" i="7" s="1"/>
  <c r="R110" i="6"/>
  <c r="C109" i="7" s="1"/>
  <c r="S221" i="6"/>
  <c r="D220" i="7" s="1"/>
  <c r="V91" i="6"/>
  <c r="G90" i="7" s="1"/>
  <c r="P69" i="6"/>
  <c r="R449" i="5"/>
  <c r="U449"/>
  <c r="T299"/>
  <c r="R299"/>
  <c r="T388"/>
  <c r="R388"/>
  <c r="T291"/>
  <c r="R291"/>
  <c r="T330"/>
  <c r="R330"/>
  <c r="T440"/>
  <c r="R440"/>
  <c r="T438"/>
  <c r="R438"/>
  <c r="T280"/>
  <c r="R280"/>
  <c r="T374"/>
  <c r="R374"/>
  <c r="T277"/>
  <c r="R277"/>
  <c r="T288"/>
  <c r="R288"/>
  <c r="R381"/>
  <c r="U381"/>
  <c r="R310"/>
  <c r="X310"/>
  <c r="T336"/>
  <c r="R336"/>
  <c r="T290"/>
  <c r="R290"/>
  <c r="T403"/>
  <c r="R403"/>
  <c r="R268"/>
  <c r="X268"/>
  <c r="T282"/>
  <c r="R282"/>
  <c r="T408"/>
  <c r="R408"/>
  <c r="R447"/>
  <c r="T447"/>
  <c r="R350"/>
  <c r="T350"/>
  <c r="T317"/>
  <c r="R317"/>
  <c r="T271"/>
  <c r="R271"/>
  <c r="T437"/>
  <c r="R437"/>
  <c r="T364"/>
  <c r="R364"/>
  <c r="T436"/>
  <c r="R436"/>
  <c r="T377"/>
  <c r="R377"/>
  <c r="R309"/>
  <c r="X309"/>
  <c r="R423"/>
  <c r="T423"/>
  <c r="T326"/>
  <c r="R326"/>
  <c r="R121"/>
  <c r="R61" i="6"/>
  <c r="C60" i="7" s="1"/>
  <c r="T248" i="6"/>
  <c r="E247" i="7" s="1"/>
  <c r="T355" i="5"/>
  <c r="R355"/>
  <c r="T384"/>
  <c r="R384"/>
  <c r="T260"/>
  <c r="R260"/>
  <c r="T426"/>
  <c r="R426"/>
  <c r="R323"/>
  <c r="T323"/>
  <c r="R266"/>
  <c r="X266"/>
  <c r="T342"/>
  <c r="R342"/>
  <c r="T302"/>
  <c r="R302"/>
  <c r="U164" i="6"/>
  <c r="F163" i="7" s="1"/>
  <c r="T322" i="5"/>
  <c r="R322"/>
  <c r="R419"/>
  <c r="T419"/>
  <c r="T368"/>
  <c r="R368"/>
  <c r="R349"/>
  <c r="U349"/>
  <c r="T289"/>
  <c r="R289"/>
  <c r="T362"/>
  <c r="R362"/>
  <c r="T435"/>
  <c r="R435"/>
  <c r="R307"/>
  <c r="X307"/>
  <c r="T278"/>
  <c r="R278"/>
  <c r="P86" i="6"/>
  <c r="T104"/>
  <c r="E103" i="7" s="1"/>
  <c r="U228" i="6"/>
  <c r="F227" i="7" s="1"/>
  <c r="R206" i="6"/>
  <c r="C205" i="7" s="1"/>
  <c r="P52" i="6"/>
  <c r="T142"/>
  <c r="E141" i="7" s="1"/>
  <c r="U15" i="6"/>
  <c r="F14" i="7" s="1"/>
  <c r="S176" i="6"/>
  <c r="D175" i="7" s="1"/>
  <c r="V226" i="6"/>
  <c r="G225" i="7" s="1"/>
  <c r="T460" i="5"/>
  <c r="R460"/>
  <c r="T267"/>
  <c r="R267"/>
  <c r="T367"/>
  <c r="R367"/>
  <c r="T308"/>
  <c r="R308"/>
  <c r="T321"/>
  <c r="R321"/>
  <c r="T395"/>
  <c r="R395"/>
  <c r="R265"/>
  <c r="X265"/>
  <c r="R448"/>
  <c r="T448"/>
  <c r="T254"/>
  <c r="R254"/>
  <c r="R83"/>
  <c r="T402"/>
  <c r="R402"/>
  <c r="R76"/>
  <c r="P43" i="6"/>
  <c r="P42"/>
  <c r="V122"/>
  <c r="G121" i="7" s="1"/>
  <c r="T135" i="6"/>
  <c r="E134" i="7" s="1"/>
  <c r="R179" i="5"/>
  <c r="P95" i="6"/>
  <c r="P24"/>
  <c r="S124"/>
  <c r="D123" i="7" s="1"/>
  <c r="R235" i="6"/>
  <c r="C234" i="7" s="1"/>
  <c r="P105" i="6"/>
  <c r="P154"/>
  <c r="V209"/>
  <c r="G208" i="7" s="1"/>
  <c r="T227" i="6"/>
  <c r="E226" i="7" s="1"/>
  <c r="V241" i="6"/>
  <c r="G240" i="7" s="1"/>
  <c r="P67" i="6"/>
  <c r="T347" i="5"/>
  <c r="R347"/>
  <c r="T455"/>
  <c r="R455"/>
  <c r="T258"/>
  <c r="R258"/>
  <c r="T287"/>
  <c r="R287"/>
  <c r="T361"/>
  <c r="R361"/>
  <c r="T434"/>
  <c r="R434"/>
  <c r="R424"/>
  <c r="T424"/>
  <c r="T327"/>
  <c r="R327"/>
  <c r="R172"/>
  <c r="T389"/>
  <c r="R389"/>
  <c r="R320"/>
  <c r="T320"/>
  <c r="T394"/>
  <c r="R394"/>
  <c r="T400"/>
  <c r="R400"/>
  <c r="R303"/>
  <c r="T303"/>
  <c r="R186"/>
  <c r="V124" i="6"/>
  <c r="G123" i="7" s="1"/>
  <c r="R124" i="5"/>
  <c r="T251"/>
  <c r="R217"/>
  <c r="R28"/>
  <c r="R233" i="6"/>
  <c r="C232" i="7" s="1"/>
  <c r="P48" i="6"/>
  <c r="P53"/>
  <c r="T37"/>
  <c r="E36" i="7" s="1"/>
  <c r="U236" i="6"/>
  <c r="F235" i="7" s="1"/>
  <c r="S233" i="6"/>
  <c r="D232" i="7" s="1"/>
  <c r="P71" i="6"/>
  <c r="S82"/>
  <c r="D81" i="7" s="1"/>
  <c r="R354" i="5"/>
  <c r="T354"/>
  <c r="T432"/>
  <c r="R432"/>
  <c r="T338"/>
  <c r="R338"/>
  <c r="T316"/>
  <c r="R316"/>
  <c r="T286"/>
  <c r="R286"/>
  <c r="T359"/>
  <c r="R359"/>
  <c r="T433"/>
  <c r="R433"/>
  <c r="R257"/>
  <c r="X257"/>
  <c r="T279"/>
  <c r="R279"/>
  <c r="R155"/>
  <c r="V14" i="6"/>
  <c r="G13" i="7" s="1"/>
  <c r="P56" i="6"/>
  <c r="R100" i="5"/>
  <c r="R182" i="6"/>
  <c r="C181" i="7" s="1"/>
  <c r="R234" i="5"/>
  <c r="R196"/>
  <c r="T461"/>
  <c r="R461"/>
  <c r="T457"/>
  <c r="R457"/>
  <c r="R272"/>
  <c r="T272"/>
  <c r="T319"/>
  <c r="R319"/>
  <c r="T393"/>
  <c r="R393"/>
  <c r="T453"/>
  <c r="R453"/>
  <c r="R352"/>
  <c r="T352"/>
  <c r="S217" i="6"/>
  <c r="D216" i="7" s="1"/>
  <c r="P49" i="6"/>
  <c r="R93" i="5"/>
  <c r="R131"/>
  <c r="R237"/>
  <c r="S138" i="6"/>
  <c r="D137" i="7" s="1"/>
  <c r="V197" i="6"/>
  <c r="G196" i="7" s="1"/>
  <c r="P132" i="6"/>
  <c r="T386" i="5"/>
  <c r="R386"/>
  <c r="T298"/>
  <c r="R298"/>
  <c r="R391"/>
  <c r="T391"/>
  <c r="T385"/>
  <c r="R385"/>
  <c r="T283"/>
  <c r="R283"/>
  <c r="T358"/>
  <c r="R358"/>
  <c r="T456"/>
  <c r="R456"/>
  <c r="T429"/>
  <c r="R429"/>
  <c r="R328"/>
  <c r="T328"/>
  <c r="T79" i="6"/>
  <c r="E78" i="7" s="1"/>
  <c r="R107" i="5"/>
  <c r="T136" i="6"/>
  <c r="E135" i="7" s="1"/>
  <c r="V162" i="6"/>
  <c r="G161" i="7" s="1"/>
  <c r="V163" i="6"/>
  <c r="G162" i="7" s="1"/>
  <c r="V95" i="6"/>
  <c r="G94" i="7" s="1"/>
  <c r="T415" i="5"/>
  <c r="R415"/>
  <c r="T339"/>
  <c r="R339"/>
  <c r="T332"/>
  <c r="R332"/>
  <c r="T454"/>
  <c r="R454"/>
  <c r="T318"/>
  <c r="R318"/>
  <c r="T425"/>
  <c r="R425"/>
  <c r="T441"/>
  <c r="R441"/>
  <c r="T405"/>
  <c r="R405"/>
  <c r="T304"/>
  <c r="R304"/>
  <c r="T206" i="6"/>
  <c r="E205" i="7" s="1"/>
  <c r="T172" i="6"/>
  <c r="E171" i="7" s="1"/>
  <c r="R138" i="5"/>
  <c r="T88" i="6"/>
  <c r="E87" i="7" s="1"/>
  <c r="T139" i="6"/>
  <c r="E138" i="7" s="1"/>
  <c r="R249" i="6"/>
  <c r="C248" i="7" s="1"/>
  <c r="P119" i="6"/>
  <c r="R168"/>
  <c r="C167" i="7" s="1"/>
  <c r="V204" i="6"/>
  <c r="G203" i="7" s="1"/>
  <c r="R281" i="5"/>
  <c r="U281"/>
  <c r="T346"/>
  <c r="R346"/>
  <c r="T273"/>
  <c r="R273"/>
  <c r="T414"/>
  <c r="R414"/>
  <c r="T275"/>
  <c r="R275"/>
  <c r="T390"/>
  <c r="R390"/>
  <c r="T411"/>
  <c r="R411"/>
  <c r="R75" i="6"/>
  <c r="C74" i="7" s="1"/>
  <c r="U82" i="6"/>
  <c r="F81" i="7" s="1"/>
  <c r="P116" i="6"/>
  <c r="P245"/>
  <c r="V208"/>
  <c r="G207" i="7" s="1"/>
  <c r="P123" i="6"/>
  <c r="P104"/>
  <c r="P114"/>
  <c r="P97"/>
  <c r="P106"/>
  <c r="R51"/>
  <c r="C50" i="7" s="1"/>
  <c r="P250" i="6"/>
  <c r="P47"/>
  <c r="T149"/>
  <c r="E148" i="7" s="1"/>
  <c r="T153" i="6"/>
  <c r="E152" i="7" s="1"/>
  <c r="T116" i="6"/>
  <c r="E115" i="7" s="1"/>
  <c r="R136" i="6"/>
  <c r="C135" i="7" s="1"/>
  <c r="U188" i="6"/>
  <c r="F187" i="7" s="1"/>
  <c r="P160" i="6"/>
  <c r="P140"/>
  <c r="P162"/>
  <c r="P243"/>
  <c r="T97"/>
  <c r="E96" i="7" s="1"/>
  <c r="P236" i="6"/>
  <c r="T217"/>
  <c r="E216" i="7" s="1"/>
  <c r="P197" i="6"/>
  <c r="T140"/>
  <c r="E139" i="7" s="1"/>
  <c r="P121" i="6"/>
  <c r="U243"/>
  <c r="F242" i="7" s="1"/>
  <c r="R211" i="6"/>
  <c r="C210" i="7" s="1"/>
  <c r="R236" i="6"/>
  <c r="C235" i="7" s="1"/>
  <c r="R57" i="6"/>
  <c r="C56" i="7" s="1"/>
  <c r="P149" i="6"/>
  <c r="P151"/>
  <c r="R91"/>
  <c r="C90" i="7" s="1"/>
  <c r="U157" i="6"/>
  <c r="F156" i="7" s="1"/>
  <c r="P226" i="6"/>
  <c r="R37"/>
  <c r="C36" i="7" s="1"/>
  <c r="P63" i="6"/>
  <c r="T195"/>
  <c r="E194" i="7" s="1"/>
  <c r="P153" i="6"/>
  <c r="P112"/>
  <c r="V114"/>
  <c r="G113" i="7" s="1"/>
  <c r="V248" i="6"/>
  <c r="G247" i="7" s="1"/>
  <c r="P118" i="6"/>
  <c r="T118"/>
  <c r="E117" i="7" s="1"/>
  <c r="P61" i="6"/>
  <c r="T215"/>
  <c r="E214" i="7" s="1"/>
  <c r="T226" i="6"/>
  <c r="E225" i="7" s="1"/>
  <c r="P215" i="6"/>
  <c r="R85"/>
  <c r="C84" i="7" s="1"/>
  <c r="P222" i="6"/>
  <c r="V222"/>
  <c r="G221" i="7" s="1"/>
  <c r="P183" i="6"/>
  <c r="P164"/>
  <c r="P125"/>
  <c r="V183"/>
  <c r="G182" i="7" s="1"/>
  <c r="R104" i="6"/>
  <c r="C103" i="7" s="1"/>
  <c r="P248" i="6"/>
  <c r="T177"/>
  <c r="E176" i="7" s="1"/>
  <c r="V147" i="6"/>
  <c r="G146" i="7" s="1"/>
  <c r="P145" i="6"/>
  <c r="S162"/>
  <c r="D161" i="7" s="1"/>
  <c r="P234" i="6"/>
  <c r="S149"/>
  <c r="D148" i="7" s="1"/>
  <c r="P39" i="6"/>
  <c r="T197"/>
  <c r="E196" i="7" s="1"/>
  <c r="P224" i="6"/>
  <c r="S177"/>
  <c r="D176" i="7" s="1"/>
  <c r="V224" i="6"/>
  <c r="G223" i="7" s="1"/>
  <c r="U231" i="6"/>
  <c r="F230" i="7" s="1"/>
  <c r="U108" i="6"/>
  <c r="F107" i="7" s="1"/>
  <c r="P108" i="6"/>
  <c r="T91"/>
  <c r="E90" i="7" s="1"/>
  <c r="T161" i="6"/>
  <c r="E160" i="7" s="1"/>
  <c r="P177" i="6"/>
  <c r="P201"/>
  <c r="P129"/>
  <c r="P227"/>
  <c r="P143"/>
  <c r="P175"/>
  <c r="P126"/>
  <c r="T194"/>
  <c r="E193" i="7" s="1"/>
  <c r="P87" i="6"/>
  <c r="P202"/>
  <c r="T205"/>
  <c r="E204" i="7" s="1"/>
  <c r="P194" i="6"/>
  <c r="P172"/>
  <c r="V175"/>
  <c r="G174" i="7" s="1"/>
  <c r="R237" i="6"/>
  <c r="C236" i="7" s="1"/>
  <c r="P232" i="6"/>
  <c r="P221"/>
  <c r="R112"/>
  <c r="C111" i="7" s="1"/>
  <c r="T189" i="6"/>
  <c r="E188" i="7" s="1"/>
  <c r="V244" i="6"/>
  <c r="G243" i="7" s="1"/>
  <c r="V214" i="6"/>
  <c r="G213" i="7" s="1"/>
  <c r="V221" i="6"/>
  <c r="G220" i="7" s="1"/>
  <c r="P150" i="6"/>
  <c r="T221"/>
  <c r="E220" i="7" s="1"/>
  <c r="C201"/>
  <c r="P91" i="6"/>
  <c r="P134"/>
  <c r="S119"/>
  <c r="D118" i="7" s="1"/>
  <c r="P207" i="6"/>
  <c r="T129"/>
  <c r="E128" i="7" s="1"/>
  <c r="P193" i="6"/>
  <c r="P98"/>
  <c r="P225"/>
  <c r="P200"/>
  <c r="T235"/>
  <c r="E234" i="7" s="1"/>
  <c r="P179" i="6"/>
  <c r="P246"/>
  <c r="T191"/>
  <c r="E190" i="7" s="1"/>
  <c r="P138" i="6"/>
  <c r="P195"/>
  <c r="P181"/>
  <c r="P131"/>
  <c r="P212"/>
  <c r="P237"/>
  <c r="P218"/>
  <c r="T202"/>
  <c r="E201" i="7" s="1"/>
  <c r="P141" i="6"/>
  <c r="P100"/>
  <c r="P117"/>
  <c r="P166"/>
  <c r="P204"/>
  <c r="P251"/>
  <c r="T201"/>
  <c r="E200" i="7" s="1"/>
  <c r="P110" i="6"/>
  <c r="V141"/>
  <c r="G140" i="7" s="1"/>
  <c r="P170" i="6"/>
  <c r="S164"/>
  <c r="D163" i="7" s="1"/>
  <c r="S154" i="6"/>
  <c r="D153" i="7" s="1"/>
  <c r="P182" i="6"/>
  <c r="R179"/>
  <c r="C178" i="7" s="1"/>
  <c r="P235" i="6"/>
  <c r="T219"/>
  <c r="E218" i="7" s="1"/>
  <c r="T159" i="6"/>
  <c r="E158" i="7" s="1"/>
  <c r="P247" i="6"/>
  <c r="P180"/>
  <c r="P148"/>
  <c r="P189"/>
  <c r="P196"/>
  <c r="P249"/>
  <c r="P157"/>
  <c r="P120"/>
  <c r="P191"/>
  <c r="P244"/>
  <c r="P122"/>
  <c r="V136"/>
  <c r="G135" i="7" s="1"/>
  <c r="T249" i="6"/>
  <c r="E248" i="7" s="1"/>
  <c r="P213" i="6"/>
  <c r="P146"/>
  <c r="P228"/>
  <c r="V218"/>
  <c r="G217" i="7" s="1"/>
  <c r="P211" i="6"/>
  <c r="P206"/>
  <c r="P205"/>
  <c r="P161"/>
  <c r="P186"/>
  <c r="P115"/>
  <c r="V212"/>
  <c r="G211" i="7" s="1"/>
  <c r="T122" i="6"/>
  <c r="E121" i="7" s="1"/>
  <c r="P124" i="6"/>
  <c r="V146"/>
  <c r="G145" i="7" s="1"/>
  <c r="T209" i="6"/>
  <c r="E208" i="7" s="1"/>
  <c r="S105" i="6"/>
  <c r="D104" i="7" s="1"/>
  <c r="P231" i="6"/>
  <c r="V179"/>
  <c r="G178" i="7" s="1"/>
  <c r="P240" i="6"/>
  <c r="T203"/>
  <c r="E202" i="7" s="1"/>
  <c r="P94" i="6"/>
  <c r="C89" i="7"/>
  <c r="V203" i="6"/>
  <c r="G202" i="7" s="1"/>
  <c r="P139" i="6"/>
  <c r="T108"/>
  <c r="E107" i="7" s="1"/>
  <c r="V108" i="6"/>
  <c r="G107" i="7" s="1"/>
  <c r="R220" i="6"/>
  <c r="C219" i="7" s="1"/>
  <c r="P220" i="6"/>
  <c r="P209"/>
  <c r="P101"/>
  <c r="P242"/>
  <c r="T196"/>
  <c r="E195" i="7" s="1"/>
  <c r="P171" i="6"/>
  <c r="P173"/>
  <c r="P163"/>
  <c r="V133"/>
  <c r="G132" i="7" s="1"/>
  <c r="P159" i="6"/>
  <c r="P219"/>
  <c r="P184"/>
  <c r="P233"/>
  <c r="S186"/>
  <c r="D185" i="7" s="1"/>
  <c r="P230" i="6"/>
  <c r="R230"/>
  <c r="C229" i="7" s="1"/>
  <c r="V139" i="6"/>
  <c r="G138" i="7" s="1"/>
  <c r="V110" i="6"/>
  <c r="G109" i="7" s="1"/>
  <c r="T110" i="6"/>
  <c r="E109" i="7" s="1"/>
  <c r="U233" i="6"/>
  <c r="F232" i="7" s="1"/>
  <c r="P214" i="6"/>
  <c r="P223"/>
  <c r="P133"/>
  <c r="R133"/>
  <c r="C132" i="7" s="1"/>
  <c r="V193" i="6"/>
  <c r="G192" i="7" s="1"/>
  <c r="T193" i="6"/>
  <c r="E192" i="7" s="1"/>
  <c r="V220" i="6"/>
  <c r="G219" i="7" s="1"/>
  <c r="T220" i="6"/>
  <c r="E219" i="7" s="1"/>
  <c r="V184" i="6"/>
  <c r="G183" i="7" s="1"/>
  <c r="P239" i="6"/>
  <c r="S191"/>
  <c r="D190" i="7" s="1"/>
  <c r="V170" i="6"/>
  <c r="G169" i="7" s="1"/>
  <c r="T170" i="6"/>
  <c r="E169" i="7" s="1"/>
  <c r="P198" i="6"/>
  <c r="T96"/>
  <c r="E95" i="7" s="1"/>
  <c r="P168" i="6"/>
  <c r="P152"/>
  <c r="P89"/>
  <c r="S249"/>
  <c r="D248" i="7" s="1"/>
  <c r="R161" i="6"/>
  <c r="P216"/>
  <c r="R128"/>
  <c r="C127" i="7" s="1"/>
  <c r="P128" i="6"/>
  <c r="D72" i="7"/>
  <c r="P188" i="6"/>
  <c r="T246"/>
  <c r="E245" i="7" s="1"/>
  <c r="P103" i="6"/>
  <c r="T242"/>
  <c r="E241" i="7" s="1"/>
  <c r="P96" i="6"/>
  <c r="V247"/>
  <c r="G246" i="7" s="1"/>
  <c r="P136" i="6"/>
  <c r="S242"/>
  <c r="D241" i="7" s="1"/>
  <c r="C177" l="1"/>
  <c r="F400"/>
  <c r="F463" s="1"/>
  <c r="F464" s="1"/>
  <c r="C165"/>
  <c r="C386"/>
  <c r="C370"/>
  <c r="C291"/>
  <c r="C268"/>
  <c r="C313"/>
  <c r="C369"/>
  <c r="C415"/>
  <c r="C338"/>
  <c r="C322"/>
  <c r="C160"/>
  <c r="M18" i="1"/>
  <c r="O18" s="1"/>
  <c r="D138" i="7"/>
  <c r="C250"/>
  <c r="C148"/>
  <c r="C314"/>
  <c r="C378"/>
  <c r="C307"/>
  <c r="C450"/>
  <c r="C407"/>
  <c r="C293"/>
  <c r="C390"/>
  <c r="C25"/>
  <c r="C395"/>
  <c r="C284"/>
  <c r="C319"/>
  <c r="C422"/>
  <c r="C333"/>
  <c r="G255"/>
  <c r="C310"/>
  <c r="C344"/>
  <c r="C438"/>
  <c r="C292"/>
  <c r="C458"/>
  <c r="C389"/>
  <c r="C258"/>
  <c r="C359"/>
  <c r="C351"/>
  <c r="C403"/>
  <c r="C420"/>
  <c r="C325"/>
  <c r="C347"/>
  <c r="C317"/>
  <c r="C416"/>
  <c r="G312"/>
  <c r="C414"/>
  <c r="C439"/>
  <c r="C260"/>
  <c r="C272"/>
  <c r="C372"/>
  <c r="C418"/>
  <c r="C304"/>
  <c r="C278"/>
  <c r="C353"/>
  <c r="C445"/>
  <c r="D348"/>
  <c r="C383"/>
  <c r="G265"/>
  <c r="C273"/>
  <c r="C316"/>
  <c r="C437"/>
  <c r="C432"/>
  <c r="G264"/>
  <c r="C303"/>
  <c r="C355"/>
  <c r="C274"/>
  <c r="C428"/>
  <c r="G375"/>
  <c r="C326"/>
  <c r="C323"/>
  <c r="C424"/>
  <c r="G254"/>
  <c r="C277"/>
  <c r="C405"/>
  <c r="G308"/>
  <c r="C346"/>
  <c r="C290"/>
  <c r="C315"/>
  <c r="C457"/>
  <c r="C364"/>
  <c r="C435"/>
  <c r="D448"/>
  <c r="C443"/>
  <c r="C447"/>
  <c r="C396"/>
  <c r="C285"/>
  <c r="C382"/>
  <c r="C349"/>
  <c r="C329"/>
  <c r="C381"/>
  <c r="C142"/>
  <c r="C387"/>
  <c r="C459"/>
  <c r="C442"/>
  <c r="C410"/>
  <c r="C271"/>
  <c r="C263"/>
  <c r="C449"/>
  <c r="C335"/>
  <c r="C332"/>
  <c r="C357"/>
  <c r="C262"/>
  <c r="C404"/>
  <c r="C281"/>
  <c r="C318"/>
  <c r="C430"/>
  <c r="C421"/>
  <c r="C406"/>
  <c r="C384"/>
  <c r="C368"/>
  <c r="C363"/>
  <c r="C345"/>
  <c r="C343"/>
  <c r="C366"/>
  <c r="C460"/>
  <c r="C337"/>
  <c r="G267"/>
  <c r="C393"/>
  <c r="C417"/>
  <c r="C401"/>
  <c r="C388"/>
  <c r="G427"/>
  <c r="C454"/>
  <c r="C371"/>
  <c r="C429"/>
  <c r="C402"/>
  <c r="C300"/>
  <c r="C354"/>
  <c r="C298"/>
  <c r="C275"/>
  <c r="C282"/>
  <c r="C270"/>
  <c r="C288"/>
  <c r="C455"/>
  <c r="C456"/>
  <c r="C331"/>
  <c r="C379"/>
  <c r="C356"/>
  <c r="C394"/>
  <c r="C367"/>
  <c r="C342"/>
  <c r="C336"/>
  <c r="C391"/>
  <c r="C266"/>
  <c r="C297"/>
  <c r="Y255" i="8"/>
  <c r="Q255" i="6"/>
  <c r="S255" i="2"/>
  <c r="S255" i="3"/>
  <c r="S255" i="4"/>
  <c r="S255" i="5"/>
  <c r="C302" i="7"/>
  <c r="C419"/>
  <c r="C276"/>
  <c r="C352"/>
  <c r="C444"/>
  <c r="C376"/>
  <c r="C259"/>
  <c r="C425"/>
  <c r="C223"/>
  <c r="C358"/>
  <c r="G311"/>
  <c r="C408"/>
  <c r="C289"/>
  <c r="C452"/>
  <c r="E252"/>
  <c r="C434"/>
  <c r="C377"/>
  <c r="C440"/>
  <c r="C451"/>
  <c r="C399"/>
  <c r="C324"/>
  <c r="C453"/>
  <c r="C253"/>
  <c r="C261"/>
  <c r="C413"/>
  <c r="D380"/>
  <c r="C385"/>
  <c r="C340"/>
  <c r="C257"/>
  <c r="C436"/>
  <c r="C294"/>
  <c r="C360"/>
  <c r="C321"/>
  <c r="G426"/>
  <c r="D350"/>
  <c r="C446"/>
  <c r="C305"/>
  <c r="C327"/>
  <c r="C296"/>
  <c r="C392"/>
  <c r="C295"/>
  <c r="C301"/>
  <c r="C373"/>
  <c r="C341"/>
  <c r="C251"/>
  <c r="C320"/>
  <c r="C411"/>
  <c r="C412"/>
  <c r="C362"/>
  <c r="G306"/>
  <c r="C269"/>
  <c r="D280"/>
  <c r="C279"/>
  <c r="G328"/>
  <c r="C283"/>
  <c r="C423"/>
  <c r="C286"/>
  <c r="G374"/>
  <c r="C397"/>
  <c r="C299"/>
  <c r="G256"/>
  <c r="D398"/>
  <c r="G309"/>
  <c r="C431"/>
  <c r="C339"/>
  <c r="C409"/>
  <c r="C441"/>
  <c r="C361"/>
  <c r="C433"/>
  <c r="C334"/>
  <c r="C330"/>
  <c r="C287"/>
  <c r="C365"/>
  <c r="C101"/>
  <c r="C161"/>
  <c r="C155"/>
  <c r="C239"/>
  <c r="E104"/>
  <c r="C24"/>
  <c r="D463" l="1"/>
  <c r="D464" s="1"/>
  <c r="N22" i="1"/>
  <c r="E463" i="7"/>
  <c r="E464" s="1"/>
  <c r="G463"/>
  <c r="G464" s="1"/>
  <c r="C463"/>
  <c r="C464" s="1"/>
  <c r="Y256" i="8"/>
  <c r="S256" i="4"/>
  <c r="Q256" i="6"/>
  <c r="S256" i="2"/>
  <c r="S256" i="5"/>
  <c r="S256" i="3"/>
  <c r="G7" i="7" l="1"/>
  <c r="F465" s="1"/>
  <c r="G7" i="9"/>
  <c r="Y257" i="8"/>
  <c r="S257" i="4"/>
  <c r="Q257" i="6"/>
  <c r="S257" i="2"/>
  <c r="S257" i="3"/>
  <c r="S257" i="5"/>
  <c r="C465" i="7" l="1"/>
  <c r="M38" i="1" s="1"/>
  <c r="D465" i="7"/>
  <c r="N38" i="1" s="1"/>
  <c r="F464" i="9"/>
  <c r="P39" i="1" s="1"/>
  <c r="E464" i="9"/>
  <c r="O39" i="1" s="1"/>
  <c r="D464" i="9"/>
  <c r="N39" i="1" s="1"/>
  <c r="G464" i="9"/>
  <c r="Q39" i="1" s="1"/>
  <c r="C464" i="9"/>
  <c r="E465" i="7"/>
  <c r="O38" i="1" s="1"/>
  <c r="G465" i="7"/>
  <c r="Q38" i="1" s="1"/>
  <c r="M39"/>
  <c r="P38"/>
  <c r="Y258" i="8"/>
  <c r="Q258" i="6"/>
  <c r="S258" i="5"/>
  <c r="S258" i="3"/>
  <c r="S258" i="4"/>
  <c r="S258" i="2"/>
  <c r="O40" i="1" l="1"/>
  <c r="G46" s="1"/>
  <c r="M40"/>
  <c r="G44" s="1"/>
  <c r="Q40"/>
  <c r="N40"/>
  <c r="P40"/>
  <c r="F47" s="1"/>
  <c r="Y259" i="8"/>
  <c r="S259" i="3"/>
  <c r="S259" i="4"/>
  <c r="S259" i="2"/>
  <c r="Q259" i="6"/>
  <c r="S259" i="5"/>
  <c r="G48" i="1" l="1"/>
  <c r="K48"/>
  <c r="K49" s="1"/>
  <c r="C27" i="10" s="1"/>
  <c r="D27" s="1"/>
  <c r="H45" i="1"/>
  <c r="I45"/>
  <c r="I49" s="1"/>
  <c r="C25" i="10" s="1"/>
  <c r="D25" s="1"/>
  <c r="J47" i="1"/>
  <c r="G45"/>
  <c r="F45"/>
  <c r="J45"/>
  <c r="F46"/>
  <c r="J46"/>
  <c r="H46"/>
  <c r="H47"/>
  <c r="J44"/>
  <c r="H44"/>
  <c r="F44"/>
  <c r="G47"/>
  <c r="F48"/>
  <c r="H48"/>
  <c r="J48"/>
  <c r="Y260" i="8"/>
  <c r="S260" i="3"/>
  <c r="S260" i="4"/>
  <c r="Q260" i="6"/>
  <c r="S260" i="2"/>
  <c r="S260" i="5"/>
  <c r="G49" i="1" l="1"/>
  <c r="C23" i="10" s="1"/>
  <c r="D23" s="1"/>
  <c r="H49" i="1"/>
  <c r="C24" i="10" s="1"/>
  <c r="D24" s="1"/>
  <c r="F49" i="1"/>
  <c r="C22" i="10" s="1"/>
  <c r="D22" s="1"/>
  <c r="J49" i="1"/>
  <c r="Y261" i="8"/>
  <c r="S261" i="2"/>
  <c r="S261" i="3"/>
  <c r="S261" i="4"/>
  <c r="Q261" i="6"/>
  <c r="S261" i="5"/>
  <c r="C26" i="10" l="1"/>
  <c r="D26" s="1"/>
  <c r="Y262" i="8"/>
  <c r="S262" i="3"/>
  <c r="S262" i="4"/>
  <c r="S262" i="2"/>
  <c r="Q262" i="6"/>
  <c r="S262" i="5"/>
  <c r="Y263" i="8" l="1"/>
  <c r="S263" i="3"/>
  <c r="S263" i="4"/>
  <c r="S263" i="2"/>
  <c r="Q263" i="6"/>
  <c r="S263" i="5"/>
  <c r="Y264" i="8" l="1"/>
  <c r="S264" i="2"/>
  <c r="S264" i="3"/>
  <c r="S264" i="4"/>
  <c r="Q264" i="6"/>
  <c r="S264" i="5"/>
  <c r="Y265" i="8" l="1"/>
  <c r="S265" i="4"/>
  <c r="S265" i="3"/>
  <c r="S265" i="5"/>
  <c r="S265" i="2"/>
  <c r="Q265" i="6"/>
  <c r="Y266" i="8" l="1"/>
  <c r="S266" i="3"/>
  <c r="S266" i="4"/>
  <c r="S266" i="5"/>
  <c r="S266" i="2"/>
  <c r="Q266" i="6"/>
  <c r="Y267" i="8" l="1"/>
  <c r="S267" i="3"/>
  <c r="S267" i="4"/>
  <c r="S267" i="5"/>
  <c r="S267" i="2"/>
  <c r="Q267" i="6"/>
  <c r="Y268" i="8" l="1"/>
  <c r="S268" i="3"/>
  <c r="S268" i="4"/>
  <c r="S268" i="5"/>
  <c r="S268" i="2"/>
  <c r="Q268" i="6"/>
  <c r="Y269" i="8" l="1"/>
  <c r="S269" i="3"/>
  <c r="S269" i="4"/>
  <c r="S269" i="2"/>
  <c r="S269" i="5"/>
  <c r="Q269" i="6"/>
  <c r="Y270" i="8" l="1"/>
  <c r="S270" i="5"/>
  <c r="Q270" i="6"/>
  <c r="S270" i="2"/>
  <c r="S270" i="3"/>
  <c r="S270" i="4"/>
  <c r="Y271" i="8" l="1"/>
  <c r="S271" i="2"/>
  <c r="S271" i="3"/>
  <c r="Q271" i="6"/>
  <c r="S271" i="5"/>
  <c r="S271" i="4"/>
  <c r="Y272" i="8" l="1"/>
  <c r="Q272" i="6"/>
  <c r="S272" i="5"/>
  <c r="S272" i="2"/>
  <c r="S272" i="4"/>
  <c r="S272" i="3"/>
  <c r="Y273" i="8" l="1"/>
  <c r="S273" i="3"/>
  <c r="S273" i="4"/>
  <c r="Q273" i="6"/>
  <c r="S273" i="2"/>
  <c r="S273" i="5"/>
  <c r="Y274" i="8" l="1"/>
  <c r="S274" i="3"/>
  <c r="S274" i="4"/>
  <c r="S274" i="5"/>
  <c r="Q274" i="6"/>
  <c r="S274" i="2"/>
  <c r="Y275" i="8" l="1"/>
  <c r="S275" i="5"/>
  <c r="Q275" i="6"/>
  <c r="S275" i="4"/>
  <c r="S275" i="2"/>
  <c r="S275" i="3"/>
  <c r="Y276" i="8" l="1"/>
  <c r="Q276" i="6"/>
  <c r="S276" i="5"/>
  <c r="S276" i="3"/>
  <c r="S276" i="4"/>
  <c r="S276" i="2"/>
  <c r="Y277" i="8" l="1"/>
  <c r="Q277" i="6"/>
  <c r="S277" i="3"/>
  <c r="S277" i="4"/>
  <c r="S277" i="2"/>
  <c r="S277" i="5"/>
  <c r="Y278" i="8" l="1"/>
  <c r="Q278" i="6"/>
  <c r="S278" i="4"/>
  <c r="S278" i="3"/>
  <c r="S278" i="2"/>
  <c r="S278" i="5"/>
  <c r="Y279" i="8" l="1"/>
  <c r="Q279" i="6"/>
  <c r="S279" i="3"/>
  <c r="S279" i="4"/>
  <c r="S279" i="2"/>
  <c r="S279" i="5"/>
  <c r="Y280" i="8" l="1"/>
  <c r="Q280" i="6"/>
  <c r="S280" i="3"/>
  <c r="S280" i="4"/>
  <c r="S280" i="5"/>
  <c r="S280" i="2"/>
  <c r="Y281" i="8" l="1"/>
  <c r="S281" i="2"/>
  <c r="Q281" i="6"/>
  <c r="S281" i="4"/>
  <c r="S281" i="3"/>
  <c r="S281" i="5"/>
  <c r="Y282" i="8" l="1"/>
  <c r="Q282" i="6"/>
  <c r="S282" i="5"/>
  <c r="S282" i="4"/>
  <c r="S282" i="2"/>
  <c r="S282" i="3"/>
  <c r="Y283" i="8" l="1"/>
  <c r="S283" i="5"/>
  <c r="S283" i="2"/>
  <c r="Q283" i="6"/>
  <c r="S283" i="4"/>
  <c r="S283" i="3"/>
  <c r="Y284" i="8" l="1"/>
  <c r="S284" i="5"/>
  <c r="S284" i="2"/>
  <c r="Q284" i="6"/>
  <c r="S284" i="4"/>
  <c r="S284" i="3"/>
  <c r="Y285" i="8" l="1"/>
  <c r="S285" i="5"/>
  <c r="S285" i="2"/>
  <c r="Q285" i="6"/>
  <c r="S285" i="3"/>
  <c r="S285" i="4"/>
  <c r="Y286" i="8" l="1"/>
  <c r="S286" i="5"/>
  <c r="S286" i="2"/>
  <c r="Q286" i="6"/>
  <c r="S286" i="3"/>
  <c r="S286" i="4"/>
  <c r="Y287" i="8" l="1"/>
  <c r="S287" i="4"/>
  <c r="S287" i="5"/>
  <c r="S287" i="2"/>
  <c r="Q287" i="6"/>
  <c r="S287" i="3"/>
  <c r="Y288" i="8" l="1"/>
  <c r="S288" i="3"/>
  <c r="S288" i="4"/>
  <c r="S288" i="2"/>
  <c r="Q288" i="6"/>
  <c r="S288" i="5"/>
  <c r="Y289" i="8" l="1"/>
  <c r="S289" i="3"/>
  <c r="S289" i="4"/>
  <c r="S289" i="5"/>
  <c r="S289" i="2"/>
  <c r="Q289" i="6"/>
  <c r="Y290" i="8" l="1"/>
  <c r="S290" i="3"/>
  <c r="S290" i="4"/>
  <c r="S290" i="5"/>
  <c r="S290" i="2"/>
  <c r="Q290" i="6"/>
  <c r="Y291" i="8" l="1"/>
  <c r="S291" i="3"/>
  <c r="S291" i="4"/>
  <c r="S291" i="5"/>
  <c r="S291" i="2"/>
  <c r="Q291" i="6"/>
  <c r="Y292" i="8" l="1"/>
  <c r="S292" i="3"/>
  <c r="S292" i="4"/>
  <c r="S292" i="5"/>
  <c r="S292" i="2"/>
  <c r="Q292" i="6"/>
  <c r="Y293" i="8" l="1"/>
  <c r="S293" i="3"/>
  <c r="S293" i="4"/>
  <c r="S293" i="5"/>
  <c r="S293" i="2"/>
  <c r="Q293" i="6"/>
  <c r="Y294" i="8" l="1"/>
  <c r="S294" i="5"/>
  <c r="Q294" i="6"/>
  <c r="S294" i="2"/>
  <c r="S294" i="3"/>
  <c r="S294" i="4"/>
  <c r="Y295" i="8" l="1"/>
  <c r="S295" i="3"/>
  <c r="S295" i="5"/>
  <c r="S295" i="2"/>
  <c r="Q295" i="6"/>
  <c r="S295" i="4"/>
  <c r="S297" i="5" l="1"/>
  <c r="Y296" i="8"/>
  <c r="S296" i="5"/>
  <c r="Q296" i="6"/>
  <c r="S296" i="2"/>
  <c r="S296" i="3"/>
  <c r="S296" i="4"/>
  <c r="Y297" i="8" l="1"/>
  <c r="S297" i="4"/>
  <c r="S297" i="3"/>
  <c r="S297" i="2"/>
  <c r="Q297" i="6"/>
  <c r="Y298" i="8" l="1"/>
  <c r="S298" i="3"/>
  <c r="S298" i="4"/>
  <c r="S298" i="5"/>
  <c r="S298" i="2"/>
  <c r="Q298" i="6"/>
  <c r="Y299" i="8" l="1"/>
  <c r="S299" i="5"/>
  <c r="Q299" i="6"/>
  <c r="S299" i="4"/>
  <c r="S299" i="2"/>
  <c r="S299" i="3"/>
  <c r="Y300" i="8" l="1"/>
  <c r="Q300" i="6"/>
  <c r="S300" i="5"/>
  <c r="S300" i="3"/>
  <c r="S300" i="4"/>
  <c r="S300" i="2"/>
  <c r="Y301" i="8" l="1"/>
  <c r="Q301" i="6"/>
  <c r="S301" i="4"/>
  <c r="S301" i="3"/>
  <c r="S301" i="2"/>
  <c r="S301" i="5"/>
  <c r="Y302" i="8" l="1"/>
  <c r="Q302" i="6"/>
  <c r="S302" i="4"/>
  <c r="S302" i="3"/>
  <c r="S302" i="2"/>
  <c r="S302" i="5"/>
  <c r="Y303" i="8" l="1"/>
  <c r="S303" i="3"/>
  <c r="Q303" i="6"/>
  <c r="S303" i="4"/>
  <c r="S303" i="2"/>
  <c r="S303" i="5"/>
  <c r="Y304" i="8" l="1"/>
  <c r="Q304" i="6"/>
  <c r="S304" i="4"/>
  <c r="S304" i="3"/>
  <c r="S304" i="5"/>
  <c r="S304" i="2"/>
  <c r="Y305" i="8" l="1"/>
  <c r="Q305" i="6"/>
  <c r="S305" i="4"/>
  <c r="S305" i="3"/>
  <c r="S305" i="2"/>
  <c r="S305" i="5"/>
  <c r="Y306" i="8" l="1"/>
  <c r="Q306" i="6"/>
  <c r="S306" i="5"/>
  <c r="S306" i="4"/>
  <c r="S306" i="2"/>
  <c r="S306" i="3"/>
  <c r="Y307" i="8" l="1"/>
  <c r="Q307" i="6"/>
  <c r="S307" i="4"/>
  <c r="S307" i="3"/>
  <c r="S307" i="5"/>
  <c r="S307" i="2"/>
  <c r="Y308" i="8" l="1"/>
  <c r="Q308" i="6"/>
  <c r="S308" i="4"/>
  <c r="S308" i="3"/>
  <c r="S308" i="2"/>
  <c r="S308" i="5"/>
  <c r="Y309" i="8" l="1"/>
  <c r="Q309" i="6"/>
  <c r="S309" i="4"/>
  <c r="S309" i="3"/>
  <c r="S309" i="2"/>
  <c r="S309" i="5"/>
  <c r="Y310" i="8" l="1"/>
  <c r="Q310" i="6"/>
  <c r="S310" i="3"/>
  <c r="S310" i="4"/>
  <c r="S310" i="2"/>
  <c r="S310" i="5"/>
  <c r="Y311" i="8" l="1"/>
  <c r="S311" i="2"/>
  <c r="Q311" i="6"/>
  <c r="S311" i="5"/>
  <c r="S311" i="4"/>
  <c r="S311" i="3"/>
  <c r="Y312" i="8" l="1"/>
  <c r="S312" i="2"/>
  <c r="Q312" i="6"/>
  <c r="S312" i="4"/>
  <c r="S312" i="3"/>
  <c r="S312" i="5"/>
  <c r="Y313" i="8" l="1"/>
  <c r="S313" i="2"/>
  <c r="Q313" i="6"/>
  <c r="S313" i="5"/>
  <c r="S313" i="4"/>
  <c r="S313" i="3"/>
  <c r="Y314" i="8" l="1"/>
  <c r="S314" i="2"/>
  <c r="Q314" i="6"/>
  <c r="S314" i="4"/>
  <c r="S314" i="3"/>
  <c r="S314" i="5"/>
  <c r="Y315" i="8" l="1"/>
  <c r="S315" i="5"/>
  <c r="S315" i="2"/>
  <c r="Q315" i="6"/>
  <c r="S315" i="4"/>
  <c r="S315" i="3"/>
  <c r="Y316" i="8" l="1"/>
  <c r="S316" i="5"/>
  <c r="S316" i="2"/>
  <c r="Q316" i="6"/>
  <c r="S316" i="4"/>
  <c r="S316" i="3"/>
  <c r="Y317" i="8" l="1"/>
  <c r="S317" i="4"/>
  <c r="S317" i="3"/>
  <c r="S317" i="5"/>
  <c r="S317" i="2"/>
  <c r="Q317" i="6"/>
  <c r="Y318" i="8" l="1"/>
  <c r="S318" i="5"/>
  <c r="Q318" i="6"/>
  <c r="S318" i="2"/>
  <c r="S318" i="4"/>
  <c r="S318" i="3"/>
  <c r="Y319" i="8" l="1"/>
  <c r="S319" i="3"/>
  <c r="S319" i="5"/>
  <c r="S319" i="2"/>
  <c r="Q319" i="6"/>
  <c r="S319" i="4"/>
  <c r="Y320" i="8" l="1"/>
  <c r="S320" i="5"/>
  <c r="Q320" i="6"/>
  <c r="S320" i="2"/>
  <c r="S320" i="3"/>
  <c r="S320" i="4"/>
  <c r="Y321" i="8" l="1"/>
  <c r="S321" i="4"/>
  <c r="S321" i="2"/>
  <c r="S321" i="3"/>
  <c r="S321" i="5"/>
  <c r="Q321" i="6"/>
  <c r="Y322" i="8" l="1"/>
  <c r="S322" i="4"/>
  <c r="S322" i="3"/>
  <c r="S322" i="5"/>
  <c r="S322" i="2"/>
  <c r="Q322" i="6"/>
  <c r="Y323" i="8" l="1"/>
  <c r="S323" i="5"/>
  <c r="Q323" i="6"/>
  <c r="S323" i="4"/>
  <c r="S323" i="2"/>
  <c r="S323" i="3"/>
  <c r="Y324" i="8" l="1"/>
  <c r="Q324" i="6"/>
  <c r="S324" i="5"/>
  <c r="S324" i="3"/>
  <c r="S324" i="4"/>
  <c r="S324" i="2"/>
  <c r="Y325" i="8" l="1"/>
  <c r="Q325" i="6"/>
  <c r="S325" i="4"/>
  <c r="S325" i="3"/>
  <c r="S325" i="2"/>
  <c r="S325" i="5"/>
  <c r="Y326" i="8" l="1"/>
  <c r="Q326" i="6"/>
  <c r="S326" i="4"/>
  <c r="S326" i="2"/>
  <c r="S326" i="3"/>
  <c r="S326" i="5"/>
  <c r="Y327" i="8" l="1"/>
  <c r="Q327" i="6"/>
  <c r="S327" i="4"/>
  <c r="S327" i="3"/>
  <c r="S327" i="2"/>
  <c r="S327" i="5"/>
  <c r="Y328" i="8" l="1"/>
  <c r="Q328" i="6"/>
  <c r="S328" i="4"/>
  <c r="S328" i="3"/>
  <c r="S328" i="5"/>
  <c r="S328" i="2"/>
  <c r="Y329" i="8" l="1"/>
  <c r="Q329" i="6"/>
  <c r="S329" i="3"/>
  <c r="S329" i="4"/>
  <c r="S329" i="2"/>
  <c r="S329" i="5"/>
  <c r="Y330" i="8" l="1"/>
  <c r="Q330" i="6"/>
  <c r="S330" i="4"/>
  <c r="S330" i="5"/>
  <c r="S330" i="2"/>
  <c r="S330" i="3"/>
  <c r="Y331" i="8" l="1"/>
  <c r="S331" i="4"/>
  <c r="Q331" i="6"/>
  <c r="S331" i="3"/>
  <c r="S331" i="5"/>
  <c r="S331" i="2"/>
  <c r="Y332" i="8" l="1"/>
  <c r="Q332" i="6"/>
  <c r="S332" i="4"/>
  <c r="S332" i="3"/>
  <c r="S332" i="5"/>
  <c r="S332" i="2"/>
  <c r="Y333" i="8" l="1"/>
  <c r="S333" i="2"/>
  <c r="Q333" i="6"/>
  <c r="S333" i="4"/>
  <c r="S333" i="3"/>
  <c r="S333" i="5"/>
  <c r="Y334" i="8" l="1"/>
  <c r="Q334" i="6"/>
  <c r="S334" i="4"/>
  <c r="S334" i="3"/>
  <c r="S334" i="5"/>
  <c r="S334" i="2"/>
  <c r="Y335" i="8" l="1"/>
  <c r="Q335" i="6"/>
  <c r="S335" i="4"/>
  <c r="S335" i="3"/>
  <c r="S335" i="5"/>
  <c r="S335" i="2"/>
  <c r="Y336" i="8" l="1"/>
  <c r="Q336" i="6"/>
  <c r="S336" i="4"/>
  <c r="S336" i="3"/>
  <c r="S336" i="2"/>
  <c r="S336" i="5"/>
  <c r="Y337" i="8" l="1"/>
  <c r="Q337" i="6"/>
  <c r="S337" i="4"/>
  <c r="S337" i="5"/>
  <c r="S337" i="3"/>
  <c r="S337" i="2"/>
  <c r="Y338" i="8" l="1"/>
  <c r="Q338" i="6"/>
  <c r="S338" i="3"/>
  <c r="S338" i="4"/>
  <c r="S338" i="5"/>
  <c r="S338" i="2"/>
  <c r="Y339" i="8" l="1"/>
  <c r="S339" i="4"/>
  <c r="Q339" i="6"/>
  <c r="S339" i="5"/>
  <c r="S339" i="3"/>
  <c r="S339" i="2"/>
  <c r="Y340" i="8" l="1"/>
  <c r="S340" i="2"/>
  <c r="Q340" i="6"/>
  <c r="S340" i="4"/>
  <c r="S340" i="3"/>
  <c r="S340" i="5"/>
  <c r="Y341" i="8" l="1"/>
  <c r="S341" i="2"/>
  <c r="Q341" i="6"/>
  <c r="S341" i="4"/>
  <c r="S341" i="3"/>
  <c r="S341" i="5"/>
  <c r="Y342" i="8" l="1"/>
  <c r="S342" i="5"/>
  <c r="Q342" i="6"/>
  <c r="S342" i="2"/>
  <c r="S342" i="3"/>
  <c r="S342" i="4"/>
  <c r="Y343" i="8" l="1"/>
  <c r="S343" i="2"/>
  <c r="S343" i="5"/>
  <c r="Q343" i="6"/>
  <c r="S343" i="3"/>
  <c r="S343" i="4"/>
  <c r="Y344" i="8" l="1"/>
  <c r="S344" i="5"/>
  <c r="Q344" i="6"/>
  <c r="S344" i="2"/>
  <c r="S344" i="3"/>
  <c r="S344" i="4"/>
  <c r="Y345" i="8" l="1"/>
  <c r="S345" i="2"/>
  <c r="Q345" i="6"/>
  <c r="S345" i="3"/>
  <c r="S345" i="5"/>
  <c r="S345" i="4"/>
  <c r="Y346" i="8" l="1"/>
  <c r="S346" i="5"/>
  <c r="S346" i="2"/>
  <c r="Q346" i="6"/>
  <c r="S346" i="3"/>
  <c r="S346" i="4"/>
  <c r="Y347" i="8" l="1"/>
  <c r="S347" i="5"/>
  <c r="Q347" i="6"/>
  <c r="S347" i="4"/>
  <c r="S347" i="2"/>
  <c r="S347" i="3"/>
  <c r="Y348" i="8" l="1"/>
  <c r="Q348" i="6"/>
  <c r="S348" i="5"/>
  <c r="S348" i="3"/>
  <c r="S348" i="4"/>
  <c r="S348" i="2"/>
  <c r="Y349" i="8" l="1"/>
  <c r="Q349" i="6"/>
  <c r="S349" i="2"/>
  <c r="S349" i="4"/>
  <c r="S349" i="3"/>
  <c r="S349" i="5"/>
  <c r="Y350" i="8" l="1"/>
  <c r="S350" i="3"/>
  <c r="Q350" i="6"/>
  <c r="S350" i="2"/>
  <c r="S350" i="4"/>
  <c r="S350" i="5"/>
  <c r="Y351" i="8" l="1"/>
  <c r="S351" i="3"/>
  <c r="Q351" i="6"/>
  <c r="S351" i="2"/>
  <c r="S351" i="4"/>
  <c r="S351" i="5"/>
  <c r="Y352" i="8" l="1"/>
  <c r="S352" i="4"/>
  <c r="S352" i="2"/>
  <c r="S352" i="5"/>
  <c r="S352" i="3"/>
  <c r="Q352" i="6"/>
  <c r="Y353" i="8" l="1"/>
  <c r="S353" i="4"/>
  <c r="S353" i="3"/>
  <c r="Q353" i="6"/>
  <c r="S353" i="2"/>
  <c r="S353" i="5"/>
  <c r="Y354" i="8" l="1"/>
  <c r="Q354" i="6"/>
  <c r="S354" i="4"/>
  <c r="S354" i="2"/>
  <c r="S354" i="3"/>
  <c r="S354" i="5"/>
  <c r="Y355" i="8" l="1"/>
  <c r="S355" i="4"/>
  <c r="S355" i="5"/>
  <c r="S355" i="3"/>
  <c r="Q355" i="6"/>
  <c r="S355" i="2"/>
  <c r="Y356" i="8" l="1"/>
  <c r="S356" i="4"/>
  <c r="Q356" i="6"/>
  <c r="S356" i="2"/>
  <c r="S356" i="5"/>
  <c r="S356" i="3"/>
  <c r="Y357" i="8" l="1"/>
  <c r="S357" i="4"/>
  <c r="S357" i="5"/>
  <c r="S357" i="3"/>
  <c r="Q357" i="6"/>
  <c r="S357" i="2"/>
  <c r="Y358" i="8" l="1"/>
  <c r="S358" i="4"/>
  <c r="S358" i="5"/>
  <c r="S358" i="3"/>
  <c r="Q358" i="6"/>
  <c r="S358" i="2"/>
  <c r="Y359" i="8" l="1"/>
  <c r="S359" i="3"/>
  <c r="S359" i="4"/>
  <c r="S359" i="5"/>
  <c r="Q359" i="6"/>
  <c r="S359" i="2"/>
  <c r="Y360" i="8" l="1"/>
  <c r="S360" i="4"/>
  <c r="S360" i="3"/>
  <c r="Q360" i="6"/>
  <c r="S360" i="2"/>
  <c r="S360" i="5"/>
  <c r="Y361" i="8" l="1"/>
  <c r="S361" i="5"/>
  <c r="S361" i="4"/>
  <c r="S361" i="3"/>
  <c r="Q361" i="6"/>
  <c r="S361" i="2"/>
  <c r="Y362" i="8" l="1"/>
  <c r="S362" i="2"/>
  <c r="S362" i="5"/>
  <c r="S362" i="4"/>
  <c r="S362" i="3"/>
  <c r="Q362" i="6"/>
  <c r="Y363" i="8" l="1"/>
  <c r="S363" i="5"/>
  <c r="S363" i="4"/>
  <c r="S363" i="3"/>
  <c r="Q363" i="6"/>
  <c r="S363" i="2"/>
  <c r="Y364" i="8" l="1"/>
  <c r="S364" i="5"/>
  <c r="S364" i="4"/>
  <c r="S364" i="3"/>
  <c r="Q364" i="6"/>
  <c r="S364" i="2"/>
  <c r="Y365" i="8" l="1"/>
  <c r="S365" i="5"/>
  <c r="S365" i="4"/>
  <c r="S365" i="3"/>
  <c r="Q365" i="6"/>
  <c r="S365" i="2"/>
  <c r="Y366" i="8" l="1"/>
  <c r="S366" i="5"/>
  <c r="Q366" i="6"/>
  <c r="S366" i="2"/>
  <c r="S366" i="3"/>
  <c r="S366" i="4"/>
  <c r="Y367" i="8" l="1"/>
  <c r="S367" i="5"/>
  <c r="S367" i="3"/>
  <c r="S367" i="2"/>
  <c r="Q367" i="6"/>
  <c r="S367" i="4"/>
  <c r="Y368" i="8" l="1"/>
  <c r="S368" i="5"/>
  <c r="Q368" i="6"/>
  <c r="S368" i="2"/>
  <c r="S368" i="3"/>
  <c r="S368" i="4"/>
  <c r="Y369" i="8" l="1"/>
  <c r="S369" i="4"/>
  <c r="S369" i="3"/>
  <c r="S369" i="5"/>
  <c r="Q369" i="6"/>
  <c r="S369" i="2"/>
  <c r="Y370" i="8" l="1"/>
  <c r="S370" i="4"/>
  <c r="S370" i="3"/>
  <c r="S370" i="5"/>
  <c r="Q370" i="6"/>
  <c r="S370" i="2"/>
  <c r="Y371" i="8" l="1"/>
  <c r="S371" i="5"/>
  <c r="Q371" i="6"/>
  <c r="S371" i="2"/>
  <c r="S371" i="3"/>
  <c r="S371" i="4"/>
  <c r="Y372" i="8" l="1"/>
  <c r="Q372" i="6"/>
  <c r="S372" i="5"/>
  <c r="S372" i="3"/>
  <c r="S372" i="4"/>
  <c r="S372" i="2"/>
  <c r="Y373" i="8" l="1"/>
  <c r="S373" i="2"/>
  <c r="Q373" i="6"/>
  <c r="S373" i="4"/>
  <c r="S373" i="3"/>
  <c r="S373" i="5"/>
  <c r="Y374" i="8" l="1"/>
  <c r="S374" i="2"/>
  <c r="Q374" i="6"/>
  <c r="S374" i="4"/>
  <c r="S374" i="3"/>
  <c r="S374" i="5"/>
  <c r="Y375" i="8" l="1"/>
  <c r="S375" i="2"/>
  <c r="Q375" i="6"/>
  <c r="S375" i="4"/>
  <c r="S375" i="3"/>
  <c r="S375" i="5"/>
  <c r="Y376" i="8" l="1"/>
  <c r="S376" i="2"/>
  <c r="Q376" i="6"/>
  <c r="S376" i="3"/>
  <c r="S376" i="5"/>
  <c r="S376" i="4"/>
  <c r="Y377" i="8" l="1"/>
  <c r="S377" i="2"/>
  <c r="Q377" i="6"/>
  <c r="S377" i="3"/>
  <c r="S377" i="4"/>
  <c r="S377" i="5"/>
  <c r="Y378" i="8" l="1"/>
  <c r="Q378" i="6"/>
  <c r="S378" i="4"/>
  <c r="S378" i="2"/>
  <c r="S378" i="3"/>
  <c r="S378" i="5"/>
  <c r="Y379" i="8" l="1"/>
  <c r="S379" i="2"/>
  <c r="Q379" i="6"/>
  <c r="S379" i="3"/>
  <c r="S379" i="5"/>
  <c r="S379" i="4"/>
  <c r="Y380" i="8" l="1"/>
  <c r="S380" i="3"/>
  <c r="Q380" i="6"/>
  <c r="S380" i="2"/>
  <c r="S380" i="5"/>
  <c r="S380" i="4"/>
  <c r="Y381" i="8" l="1"/>
  <c r="S381" i="3"/>
  <c r="S381" i="2"/>
  <c r="Q381" i="6"/>
  <c r="S381" i="5"/>
  <c r="S381" i="4"/>
  <c r="Y382" i="8" l="1"/>
  <c r="S382" i="3"/>
  <c r="S382" i="2"/>
  <c r="Q382" i="6"/>
  <c r="S382" i="5"/>
  <c r="S382" i="4"/>
  <c r="Y383" i="8" l="1"/>
  <c r="S383" i="5"/>
  <c r="S383" i="4"/>
  <c r="S383" i="3"/>
  <c r="S383" i="2"/>
  <c r="Q383" i="6"/>
  <c r="Y384" i="8" l="1"/>
  <c r="S384" i="4"/>
  <c r="S384" i="3"/>
  <c r="S384" i="2"/>
  <c r="Q384" i="6"/>
  <c r="S384" i="5"/>
  <c r="Y385" i="8" l="1"/>
  <c r="S385" i="5"/>
  <c r="S385" i="4"/>
  <c r="S385" i="3"/>
  <c r="S385" i="2"/>
  <c r="Q385" i="6"/>
  <c r="Y386" i="8" l="1"/>
  <c r="S386" i="5"/>
  <c r="S386" i="4"/>
  <c r="S386" i="3"/>
  <c r="S386" i="2"/>
  <c r="Q386" i="6"/>
  <c r="Y387" i="8" l="1"/>
  <c r="S387" i="5"/>
  <c r="S387" i="4"/>
  <c r="S387" i="3"/>
  <c r="S387" i="2"/>
  <c r="Q387" i="6"/>
  <c r="Y388" i="8" l="1"/>
  <c r="S388" i="3"/>
  <c r="S388" i="5"/>
  <c r="S388" i="4"/>
  <c r="S388" i="2"/>
  <c r="Q388" i="6"/>
  <c r="Y389" i="8" l="1"/>
  <c r="S389" i="5"/>
  <c r="S389" i="4"/>
  <c r="S389" i="3"/>
  <c r="S389" i="2"/>
  <c r="Q389" i="6"/>
  <c r="Y390" i="8" l="1"/>
  <c r="S390" i="5"/>
  <c r="Q390" i="6"/>
  <c r="S390" i="2"/>
  <c r="S390" i="3"/>
  <c r="S390" i="4"/>
  <c r="Y391" i="8" l="1"/>
  <c r="S391" i="5"/>
  <c r="S391" i="3"/>
  <c r="S391" i="2"/>
  <c r="Q391" i="6"/>
  <c r="S391" i="4"/>
  <c r="Y392" i="8" l="1"/>
  <c r="S392" i="5"/>
  <c r="Q392" i="6"/>
  <c r="S392" i="2"/>
  <c r="S392" i="3"/>
  <c r="S392" i="4"/>
  <c r="Y393" i="8" l="1"/>
  <c r="S393" i="4"/>
  <c r="S393" i="5"/>
  <c r="S393" i="3"/>
  <c r="S393" i="2"/>
  <c r="Q393" i="6"/>
  <c r="Y394" i="8" l="1"/>
  <c r="S394" i="4"/>
  <c r="S394" i="5"/>
  <c r="S394" i="3"/>
  <c r="Q394" i="6"/>
  <c r="S394" i="2"/>
  <c r="Y395" i="8" l="1"/>
  <c r="S395" i="5"/>
  <c r="Q395" i="6"/>
  <c r="S395" i="2"/>
  <c r="S395" i="3"/>
  <c r="S395" i="4"/>
  <c r="Y396" i="8" l="1"/>
  <c r="Q396" i="6"/>
  <c r="S396" i="5"/>
  <c r="S396" i="3"/>
  <c r="S396" i="4"/>
  <c r="S396" i="2"/>
  <c r="Y397" i="8" l="1"/>
  <c r="Q397" i="6"/>
  <c r="S397" i="4"/>
  <c r="S397" i="3"/>
  <c r="S397" i="2"/>
  <c r="S397" i="5"/>
  <c r="Y398" i="8" l="1"/>
  <c r="Q398" i="6"/>
  <c r="S398" i="4"/>
  <c r="S398" i="3"/>
  <c r="S398" i="2"/>
  <c r="S398" i="5"/>
  <c r="Y399" i="8" l="1"/>
  <c r="Q399" i="6"/>
  <c r="S399" i="4"/>
  <c r="S399" i="3"/>
  <c r="S399" i="2"/>
  <c r="S399" i="5"/>
  <c r="Y400" i="8" l="1"/>
  <c r="Q400" i="6"/>
  <c r="S400" i="5"/>
  <c r="S400" i="4"/>
  <c r="S400" i="3"/>
  <c r="S400" i="2"/>
  <c r="Y401" i="8" l="1"/>
  <c r="Q401" i="6"/>
  <c r="S401" i="4"/>
  <c r="S401" i="3"/>
  <c r="S401" i="2"/>
  <c r="S401" i="5"/>
  <c r="Y402" i="8" l="1"/>
  <c r="Q402" i="6"/>
  <c r="S402" i="4"/>
  <c r="S402" i="2"/>
  <c r="S402" i="3"/>
  <c r="S402" i="5"/>
  <c r="Y403" i="8" l="1"/>
  <c r="S403" i="2"/>
  <c r="Q403" i="6"/>
  <c r="S403" i="5"/>
  <c r="S403" i="4"/>
  <c r="S403" i="3"/>
  <c r="Y404" i="8" l="1"/>
  <c r="S404" i="2"/>
  <c r="Q404" i="6"/>
  <c r="S404" i="5"/>
  <c r="S404" i="4"/>
  <c r="S404" i="3"/>
  <c r="Y405" i="8" l="1"/>
  <c r="S405" i="2"/>
  <c r="Q405" i="6"/>
  <c r="S405" i="5"/>
  <c r="S405" i="4"/>
  <c r="S405" i="3"/>
  <c r="Y406" i="8" l="1"/>
  <c r="S406" i="2"/>
  <c r="Q406" i="6"/>
  <c r="S406" i="5"/>
  <c r="S406" i="4"/>
  <c r="S406" i="3"/>
  <c r="Y407" i="8" l="1"/>
  <c r="S407" i="2"/>
  <c r="Q407" i="6"/>
  <c r="S407" i="5"/>
  <c r="S407" i="3"/>
  <c r="S407" i="4"/>
  <c r="Y408" i="8" l="1"/>
  <c r="S408" i="2"/>
  <c r="Q408" i="6"/>
  <c r="S408" i="3"/>
  <c r="S408" i="4"/>
  <c r="S408" i="5"/>
  <c r="Y409" i="8" l="1"/>
  <c r="S409" i="3"/>
  <c r="S409" i="2"/>
  <c r="Q409" i="6"/>
  <c r="S409" i="5"/>
  <c r="S409" i="4"/>
  <c r="Y410" i="8" l="1"/>
  <c r="S410" i="3"/>
  <c r="S410" i="2"/>
  <c r="Q410" i="6"/>
  <c r="S410" i="4"/>
  <c r="S410" i="5"/>
  <c r="Y411" i="8" l="1"/>
  <c r="S411" i="3"/>
  <c r="S411" i="2"/>
  <c r="Q411" i="6"/>
  <c r="S411" i="4"/>
  <c r="S411" i="5"/>
  <c r="Y412" i="8" l="1"/>
  <c r="S412" i="3"/>
  <c r="S412" i="2"/>
  <c r="Q412" i="6"/>
  <c r="S412" i="5"/>
  <c r="S412" i="4"/>
  <c r="Y413" i="8" l="1"/>
  <c r="S413" i="4"/>
  <c r="S413" i="3"/>
  <c r="S413" i="2"/>
  <c r="Q413" i="6"/>
  <c r="S413" i="5"/>
  <c r="Y414" i="8" l="1"/>
  <c r="Q414" i="6"/>
  <c r="S414" i="5"/>
  <c r="S414" i="2"/>
  <c r="S414" i="3"/>
  <c r="S414" i="4"/>
  <c r="Y415" i="8" l="1"/>
  <c r="S415" i="5"/>
  <c r="S415" i="2"/>
  <c r="S415" i="3"/>
  <c r="Q415" i="6"/>
  <c r="S415" i="4"/>
  <c r="Y416" i="8" l="1"/>
  <c r="S416" i="5"/>
  <c r="Q416" i="6"/>
  <c r="S416" i="3"/>
  <c r="S416" i="4"/>
  <c r="S416" i="2"/>
  <c r="Y417" i="8" l="1"/>
  <c r="S417" i="4"/>
  <c r="S417" i="5"/>
  <c r="S417" i="3"/>
  <c r="S417" i="2"/>
  <c r="Q417" i="6"/>
  <c r="Y418" i="8" l="1"/>
  <c r="S418" i="4"/>
  <c r="S418" i="5"/>
  <c r="S418" i="3"/>
  <c r="S418" i="2"/>
  <c r="Q418" i="6"/>
  <c r="Y419" i="8" l="1"/>
  <c r="S419" i="5"/>
  <c r="Q419" i="6"/>
  <c r="S419" i="2"/>
  <c r="S419" i="4"/>
  <c r="S419" i="3"/>
  <c r="Y420" i="8" l="1"/>
  <c r="Q420" i="6"/>
  <c r="S420" i="5"/>
  <c r="S420" i="3"/>
  <c r="S420" i="4"/>
  <c r="S420" i="2"/>
  <c r="Y421" i="8" l="1"/>
  <c r="Q421" i="6"/>
  <c r="S421" i="3"/>
  <c r="S421" i="4"/>
  <c r="S421" i="2"/>
  <c r="S421" i="5"/>
  <c r="Y422" i="8" l="1"/>
  <c r="Q422" i="6"/>
  <c r="S422" i="4"/>
  <c r="S422" i="3"/>
  <c r="S422" i="2"/>
  <c r="S422" i="5"/>
  <c r="Y423" i="8" l="1"/>
  <c r="Q423" i="6"/>
  <c r="S423" i="4"/>
  <c r="S423" i="3"/>
  <c r="S423" i="2"/>
  <c r="S423" i="5"/>
  <c r="Y424" i="8" l="1"/>
  <c r="Q424" i="6"/>
  <c r="S424" i="5"/>
  <c r="S424" i="4"/>
  <c r="S424" i="3"/>
  <c r="S424" i="2"/>
  <c r="Y425" i="8" l="1"/>
  <c r="Q425" i="6"/>
  <c r="S425" i="4"/>
  <c r="S425" i="3"/>
  <c r="S425" i="2"/>
  <c r="S425" i="5"/>
  <c r="Y426" i="8" l="1"/>
  <c r="Q426" i="6"/>
  <c r="S426" i="2"/>
  <c r="S426" i="3"/>
  <c r="S426" i="5"/>
  <c r="S426" i="4"/>
  <c r="Y427" i="8" l="1"/>
  <c r="S427" i="5"/>
  <c r="S427" i="4"/>
  <c r="Q427" i="6"/>
  <c r="S427" i="3"/>
  <c r="S427" i="2"/>
  <c r="Y428" i="8" l="1"/>
  <c r="S428" i="5"/>
  <c r="Q428" i="6"/>
  <c r="S428" i="4"/>
  <c r="S428" i="3"/>
  <c r="S428" i="2"/>
  <c r="Y429" i="8" l="1"/>
  <c r="S429" i="5"/>
  <c r="Q429" i="6"/>
  <c r="S429" i="4"/>
  <c r="S429" i="3"/>
  <c r="S429" i="2"/>
  <c r="Y430" i="8" l="1"/>
  <c r="S430" i="5"/>
  <c r="Q430" i="6"/>
  <c r="S430" i="4"/>
  <c r="S430" i="3"/>
  <c r="S430" i="2"/>
  <c r="Y431" i="8" l="1"/>
  <c r="S431" i="5"/>
  <c r="Q431" i="6"/>
  <c r="S431" i="4"/>
  <c r="S431" i="3"/>
  <c r="S431" i="2"/>
  <c r="Y432" i="8" l="1"/>
  <c r="S432" i="2"/>
  <c r="Q432" i="6"/>
  <c r="S432" i="4"/>
  <c r="S432" i="3"/>
  <c r="S432" i="5"/>
  <c r="Y433" i="8" l="1"/>
  <c r="S433" i="2"/>
  <c r="S433" i="5"/>
  <c r="Q433" i="6"/>
  <c r="S433" i="4"/>
  <c r="S433" i="3"/>
  <c r="Y434" i="8" l="1"/>
  <c r="S434" i="2"/>
  <c r="S434" i="5"/>
  <c r="Q434" i="6"/>
  <c r="S434" i="4"/>
  <c r="S434" i="3"/>
  <c r="Y435" i="8" l="1"/>
  <c r="S435" i="2"/>
  <c r="S435" i="5"/>
  <c r="S435" i="4"/>
  <c r="Q435" i="6"/>
  <c r="S435" i="3"/>
  <c r="Y436" i="8" l="1"/>
  <c r="S436" i="2"/>
  <c r="S436" i="5"/>
  <c r="Q436" i="6"/>
  <c r="S436" i="4"/>
  <c r="S436" i="3"/>
  <c r="Y437" i="8" l="1"/>
  <c r="S437" i="2"/>
  <c r="S437" i="5"/>
  <c r="Q437" i="6"/>
  <c r="S437" i="3"/>
  <c r="S437" i="4"/>
  <c r="Y438" i="8" l="1"/>
  <c r="S438" i="5"/>
  <c r="Q438" i="6"/>
  <c r="S438" i="3"/>
  <c r="S438" i="4"/>
  <c r="S438" i="2"/>
  <c r="Y439" i="8" l="1"/>
  <c r="S439" i="3"/>
  <c r="S439" i="2"/>
  <c r="S439" i="5"/>
  <c r="Q439" i="6"/>
  <c r="S439" i="4"/>
  <c r="Y440" i="8" l="1"/>
  <c r="Q440" i="6"/>
  <c r="S440" i="5"/>
  <c r="S440" i="3"/>
  <c r="S440" i="4"/>
  <c r="S440" i="2"/>
  <c r="Y441" i="8" l="1"/>
  <c r="S441" i="3"/>
  <c r="S441" i="2"/>
  <c r="Q441" i="6"/>
  <c r="S441" i="4"/>
  <c r="S441" i="5"/>
  <c r="Y442" i="8" l="1"/>
  <c r="S442" i="2"/>
  <c r="S442" i="3"/>
  <c r="Q442" i="6"/>
  <c r="S442" i="4"/>
  <c r="S442" i="5"/>
  <c r="Y443" i="8" l="1"/>
  <c r="S443" i="5"/>
  <c r="Q443" i="6"/>
  <c r="S443" i="2"/>
  <c r="S443" i="3"/>
  <c r="S443" i="4"/>
  <c r="Y444" i="8" l="1"/>
  <c r="Q444" i="6"/>
  <c r="S444" i="3"/>
  <c r="S444" i="5"/>
  <c r="S444" i="4"/>
  <c r="S444" i="2"/>
  <c r="Y445" i="8" l="1"/>
  <c r="Q445" i="6"/>
  <c r="S445" i="3"/>
  <c r="S445" i="2"/>
  <c r="S445" i="4"/>
  <c r="S445" i="5"/>
  <c r="Y446" i="8" l="1"/>
  <c r="Q446" i="6"/>
  <c r="S446" i="3"/>
  <c r="S446" i="2"/>
  <c r="S446" i="4"/>
  <c r="S446" i="5"/>
  <c r="Y447" i="8" l="1"/>
  <c r="Q447" i="6"/>
  <c r="S447" i="2"/>
  <c r="S447" i="3"/>
  <c r="S447" i="4"/>
  <c r="S447" i="5"/>
  <c r="Y448" i="8" l="1"/>
  <c r="S448" i="4"/>
  <c r="Q448" i="6"/>
  <c r="S448" i="3"/>
  <c r="S448" i="2"/>
  <c r="S448" i="5"/>
  <c r="Y449" i="8" l="1"/>
  <c r="S449" i="4"/>
  <c r="Q449" i="6"/>
  <c r="S449" i="3"/>
  <c r="S449" i="2"/>
  <c r="S449" i="5"/>
  <c r="Y450" i="8" l="1"/>
  <c r="Q450" i="6"/>
  <c r="S450" i="2"/>
  <c r="S450" i="3"/>
  <c r="S450" i="5"/>
  <c r="S450" i="4"/>
  <c r="Y451" i="8" l="1"/>
  <c r="S451" i="4"/>
  <c r="S451" i="3"/>
  <c r="Q451" i="6"/>
  <c r="S451" i="2"/>
  <c r="S451" i="5"/>
  <c r="Y452" i="8" l="1"/>
  <c r="S452" i="5"/>
  <c r="S452" i="4"/>
  <c r="Q452" i="6"/>
  <c r="S452" i="3"/>
  <c r="S452" i="2"/>
  <c r="Y453" i="8" l="1"/>
  <c r="S453" i="5"/>
  <c r="S453" i="4"/>
  <c r="Q453" i="6"/>
  <c r="S453" i="3"/>
  <c r="S453" i="2"/>
  <c r="Y454" i="8" l="1"/>
  <c r="S454" i="5"/>
  <c r="S454" i="4"/>
  <c r="S454" i="2"/>
  <c r="Q454" i="6"/>
  <c r="S454" i="3"/>
  <c r="Y455" i="8" l="1"/>
  <c r="S455" i="5"/>
  <c r="S455" i="4"/>
  <c r="Q455" i="6"/>
  <c r="S455" i="3"/>
  <c r="S455" i="2"/>
  <c r="Y456" i="8" l="1"/>
  <c r="S456" i="4"/>
  <c r="Q456" i="6"/>
  <c r="S456" i="3"/>
  <c r="S456" i="2"/>
  <c r="S456" i="5"/>
  <c r="Y457" i="8" l="1"/>
  <c r="S457" i="4"/>
  <c r="S457" i="5"/>
  <c r="Q457" i="6"/>
  <c r="S457" i="3"/>
  <c r="S457" i="2"/>
  <c r="Y458" i="8" l="1"/>
  <c r="S458" i="5"/>
  <c r="S458" i="4"/>
  <c r="Q458" i="6"/>
  <c r="S458" i="3"/>
  <c r="S458" i="2"/>
  <c r="Y459" i="8" l="1"/>
  <c r="S459" i="5"/>
  <c r="S459" i="4"/>
  <c r="S459" i="3"/>
  <c r="Q459" i="6"/>
  <c r="S459" i="2"/>
  <c r="Y460" i="8" l="1"/>
  <c r="S460" i="5"/>
  <c r="S460" i="4"/>
  <c r="S460" i="3"/>
  <c r="Q460" i="6"/>
  <c r="S460" i="2"/>
  <c r="Y461" i="8" l="1"/>
  <c r="S461" i="2"/>
  <c r="S461" i="5"/>
  <c r="S461" i="4"/>
  <c r="Q461" i="6"/>
  <c r="S461" i="3"/>
</calcChain>
</file>

<file path=xl/sharedStrings.xml><?xml version="1.0" encoding="utf-8"?>
<sst xmlns="http://schemas.openxmlformats.org/spreadsheetml/2006/main" count="4799" uniqueCount="1016">
  <si>
    <t>KONGU ENGINEERING COLLEGE, ERODE - 638 060</t>
  </si>
  <si>
    <t>THEORY CUM PRACTICAL COURSE OUTCOME ANALYSIS</t>
  </si>
  <si>
    <t>Name of Faculty(s)</t>
  </si>
  <si>
    <t>BATCH</t>
  </si>
  <si>
    <t>Course Code and Name</t>
  </si>
  <si>
    <t>XXXXXXXX XXXXX XXXXXXXX</t>
  </si>
  <si>
    <t>Branch / Year / Semester</t>
  </si>
  <si>
    <t>II</t>
  </si>
  <si>
    <t>IV</t>
  </si>
  <si>
    <t>S.No</t>
  </si>
  <si>
    <t xml:space="preserve">Roll No. of Students </t>
  </si>
  <si>
    <t>Name of the student</t>
  </si>
  <si>
    <t>Target Plan</t>
  </si>
  <si>
    <t xml:space="preserve">Percentage of Marks Expected : </t>
  </si>
  <si>
    <t>Average Marks of Each CO</t>
  </si>
  <si>
    <t>Total No of Students enrolled in the course:</t>
  </si>
  <si>
    <t>Course Outcomes</t>
  </si>
  <si>
    <t>CO-1</t>
  </si>
  <si>
    <t>CO-2</t>
  </si>
  <si>
    <t>CO-3</t>
  </si>
  <si>
    <t>CO-4</t>
  </si>
  <si>
    <t>CO-5</t>
  </si>
  <si>
    <t>Continuous Assessment Based Analysis (%)</t>
  </si>
  <si>
    <t>End Semester Exam Based Analysis (%)</t>
  </si>
  <si>
    <r>
      <rPr>
        <b/>
        <sz val="12"/>
        <color theme="1"/>
        <rFont val="Palatino Linotype"/>
        <family val="1"/>
      </rPr>
      <t>Overall Attainment (</t>
    </r>
    <r>
      <rPr>
        <b/>
        <sz val="12"/>
        <color rgb="FFFF0000"/>
        <rFont val="Palatino Linotype"/>
        <family val="1"/>
      </rPr>
      <t>50% Internal + 50% ESE</t>
    </r>
    <r>
      <rPr>
        <b/>
        <sz val="12"/>
        <color theme="1"/>
        <rFont val="Palatino Linotype"/>
        <family val="1"/>
      </rPr>
      <t>)</t>
    </r>
  </si>
  <si>
    <t>COs/POs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</si>
  <si>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</si>
  <si>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</si>
  <si>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</si>
  <si>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</si>
  <si>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</si>
  <si>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</si>
  <si>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</si>
  <si>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</si>
  <si>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</si>
  <si>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</si>
  <si>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</si>
  <si>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</si>
  <si>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</si>
  <si>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</si>
  <si>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:</t>
  </si>
  <si>
    <t>Course Code</t>
  </si>
  <si>
    <t>Course Name</t>
  </si>
  <si>
    <t>Date</t>
  </si>
  <si>
    <t xml:space="preserve">Continuous Assessment Test </t>
  </si>
  <si>
    <t>I</t>
  </si>
  <si>
    <t>Max marks</t>
  </si>
  <si>
    <t xml:space="preserve">Roll No </t>
  </si>
  <si>
    <t>Q. Nos</t>
  </si>
  <si>
    <t>TOT MARKS</t>
  </si>
  <si>
    <t>S.NO</t>
  </si>
  <si>
    <t>CO1</t>
  </si>
  <si>
    <t>CO2</t>
  </si>
  <si>
    <t>CO3</t>
  </si>
  <si>
    <t>CO4</t>
  </si>
  <si>
    <t>CO5</t>
  </si>
  <si>
    <t>Max Marks</t>
  </si>
  <si>
    <t>COs</t>
  </si>
  <si>
    <t>III</t>
  </si>
  <si>
    <t>No. of Tutorials</t>
  </si>
  <si>
    <t>2T+1P</t>
  </si>
  <si>
    <t>Asssesment</t>
  </si>
  <si>
    <t xml:space="preserve">: </t>
  </si>
  <si>
    <t>Tutorials / Assignments</t>
  </si>
  <si>
    <t>Credit Distribution</t>
  </si>
  <si>
    <t>3.5T+0.5P</t>
  </si>
  <si>
    <t>3T+1P</t>
  </si>
  <si>
    <t>Tutorial</t>
  </si>
  <si>
    <t xml:space="preserve">Model Lab Date </t>
  </si>
  <si>
    <t>Assesment</t>
  </si>
  <si>
    <t>Lab Assesment / Model</t>
  </si>
  <si>
    <t>No. of Experiements</t>
  </si>
  <si>
    <t>Continuous Lab Assessment</t>
  </si>
  <si>
    <t xml:space="preserve">Model Assessment </t>
  </si>
  <si>
    <t xml:space="preserve">Model Assessment  </t>
  </si>
  <si>
    <t xml:space="preserve">Total No of Students </t>
  </si>
  <si>
    <t>Percentage of Students Expected</t>
  </si>
  <si>
    <t>CO - 1</t>
  </si>
  <si>
    <t>CO - 2</t>
  </si>
  <si>
    <t>CO - 3</t>
  </si>
  <si>
    <t>CO - 4</t>
  </si>
  <si>
    <t>CO - 5</t>
  </si>
  <si>
    <t>Maxmum Marks/ Grade Evaluated</t>
  </si>
  <si>
    <t xml:space="preserve">Roll No of Students </t>
  </si>
  <si>
    <t>Expected Marks</t>
  </si>
  <si>
    <t>No of Students obtained                        Expected Marks</t>
  </si>
  <si>
    <t>Percentage of CO / ESE Attainment</t>
  </si>
  <si>
    <t>ESE</t>
  </si>
  <si>
    <t>11.a</t>
  </si>
  <si>
    <t>11.b</t>
  </si>
  <si>
    <t>12.a</t>
  </si>
  <si>
    <t>12.b</t>
  </si>
  <si>
    <t>13.a</t>
  </si>
  <si>
    <t>13.b</t>
  </si>
  <si>
    <t>14.a</t>
  </si>
  <si>
    <t>14.b</t>
  </si>
  <si>
    <t>15.a</t>
  </si>
  <si>
    <t>15.b</t>
  </si>
  <si>
    <t xml:space="preserve">Impact of delivery methods </t>
  </si>
  <si>
    <t>Avg</t>
  </si>
  <si>
    <r>
      <rPr>
        <b/>
        <sz val="12"/>
        <color rgb="FF000000"/>
        <rFont val="Palatino Linotype"/>
        <family val="1"/>
      </rPr>
      <t>POs attainment remarks</t>
    </r>
    <r>
      <rPr>
        <b/>
        <sz val="12"/>
        <color rgb="FF000000"/>
        <rFont val="Palatino Linotype"/>
        <family val="1"/>
      </rPr>
      <t xml:space="preserve"> </t>
    </r>
  </si>
  <si>
    <t>POs</t>
  </si>
  <si>
    <t>Target Level</t>
  </si>
  <si>
    <t>Attainment Level</t>
  </si>
  <si>
    <t xml:space="preserve">% of Attainment </t>
  </si>
  <si>
    <t>Observations</t>
  </si>
  <si>
    <t>Actions for improvement</t>
  </si>
  <si>
    <t>(X-2) SEM</t>
  </si>
  <si>
    <t>(X-1) SEM</t>
  </si>
  <si>
    <t>A Sec</t>
  </si>
  <si>
    <t>B sec</t>
  </si>
  <si>
    <t>Mean of individual class GPA(a.)</t>
  </si>
  <si>
    <t xml:space="preserve">Total No. of successful students (b.)                                                                       
</t>
  </si>
  <si>
    <t>Total No. of students appeared in the examination (c.)</t>
  </si>
  <si>
    <t>Academic Performance Index  (d.)</t>
  </si>
  <si>
    <t>Total No. of students above API (e.)</t>
  </si>
  <si>
    <t>Percentage of Equal and above API for individual class (f.)</t>
  </si>
  <si>
    <t>Semester (X-2)</t>
  </si>
  <si>
    <t>Semester (X-1)</t>
  </si>
  <si>
    <t>C Sec</t>
  </si>
  <si>
    <t xml:space="preserve">D Sec </t>
  </si>
  <si>
    <t>THEORY CUM LABORATORY COURSE OUTCOME ANALYSIS - TARGET FIXING</t>
  </si>
  <si>
    <t>HoD</t>
  </si>
  <si>
    <t>Course Handling faculty</t>
  </si>
  <si>
    <t xml:space="preserve">Course  Coordinator </t>
  </si>
  <si>
    <t xml:space="preserve">Percentage of Students Expected to attain Expected Marks: </t>
  </si>
  <si>
    <t>Percentage of students secured average API and above( Previous 2 semester average)</t>
  </si>
  <si>
    <t>Calculated Target</t>
  </si>
  <si>
    <t>TARGET</t>
  </si>
  <si>
    <t xml:space="preserve">Number  of Students Expected to attain Expected Marks: </t>
  </si>
  <si>
    <t>Course Articulation Matrix</t>
  </si>
  <si>
    <t>CO ATTAINMENT:</t>
  </si>
  <si>
    <t>PO ATTAINMENT</t>
  </si>
  <si>
    <t>Total No. of Students</t>
  </si>
  <si>
    <t>End Semester Examination</t>
  </si>
  <si>
    <t>End semester Examination</t>
  </si>
  <si>
    <t>Toatl Average of ALL sections</t>
  </si>
  <si>
    <t>Avg of previous two semester</t>
  </si>
  <si>
    <t>abcd</t>
  </si>
  <si>
    <t>22ABXCXX</t>
  </si>
  <si>
    <t>23XXR001</t>
  </si>
  <si>
    <t>23XXR002</t>
  </si>
  <si>
    <t>23XXR003</t>
  </si>
  <si>
    <t>23XXR004</t>
  </si>
  <si>
    <t>23XXR005</t>
  </si>
  <si>
    <t>23XXR006</t>
  </si>
  <si>
    <t>23XXR007</t>
  </si>
  <si>
    <t>23XXR008</t>
  </si>
  <si>
    <t>23XXR009</t>
  </si>
  <si>
    <t>23XXR010</t>
  </si>
  <si>
    <t>23XXR011</t>
  </si>
  <si>
    <t>23XXR012</t>
  </si>
  <si>
    <t>23XXR013</t>
  </si>
  <si>
    <t>23XXR014</t>
  </si>
  <si>
    <t>23XXR015</t>
  </si>
  <si>
    <t>23XXR016</t>
  </si>
  <si>
    <t>23XXR017</t>
  </si>
  <si>
    <t>23XXR018</t>
  </si>
  <si>
    <t>23XXR019</t>
  </si>
  <si>
    <t>23XXR020</t>
  </si>
  <si>
    <t>23XXR021</t>
  </si>
  <si>
    <t>23XXR022</t>
  </si>
  <si>
    <t>23XXR023</t>
  </si>
  <si>
    <t>23XXR024</t>
  </si>
  <si>
    <t>23XXR025</t>
  </si>
  <si>
    <t>23XXR026</t>
  </si>
  <si>
    <t>23XXR027</t>
  </si>
  <si>
    <t>23XXR028</t>
  </si>
  <si>
    <t>23XXR029</t>
  </si>
  <si>
    <t>23XXR030</t>
  </si>
  <si>
    <t>23XXR031</t>
  </si>
  <si>
    <t>23XXR032</t>
  </si>
  <si>
    <t>23XXR033</t>
  </si>
  <si>
    <t>23XXR034</t>
  </si>
  <si>
    <t>23XXR035</t>
  </si>
  <si>
    <t>23XXR036</t>
  </si>
  <si>
    <t>23XXR037</t>
  </si>
  <si>
    <t>23XXR038</t>
  </si>
  <si>
    <t>23XXR039</t>
  </si>
  <si>
    <t>23XXR040</t>
  </si>
  <si>
    <t>23XXR041</t>
  </si>
  <si>
    <t>23XXR042</t>
  </si>
  <si>
    <t>23XXR043</t>
  </si>
  <si>
    <t>23XXR044</t>
  </si>
  <si>
    <t>23XXR045</t>
  </si>
  <si>
    <t>23XXR046</t>
  </si>
  <si>
    <t>23XXR047</t>
  </si>
  <si>
    <t>23XXR048</t>
  </si>
  <si>
    <t>23XXR049</t>
  </si>
  <si>
    <t>23XXR050</t>
  </si>
  <si>
    <t>23XXR051</t>
  </si>
  <si>
    <t>23XXR052</t>
  </si>
  <si>
    <t>23XXR053</t>
  </si>
  <si>
    <t>23XXR054</t>
  </si>
  <si>
    <t>23XXR055</t>
  </si>
  <si>
    <t>23XXR056</t>
  </si>
  <si>
    <t>23XXR057</t>
  </si>
  <si>
    <t>23XXR058</t>
  </si>
  <si>
    <t>23XXR059</t>
  </si>
  <si>
    <t>23XXR060</t>
  </si>
  <si>
    <t>23XXR061</t>
  </si>
  <si>
    <t>23XXR062</t>
  </si>
  <si>
    <t>23XXR063</t>
  </si>
  <si>
    <t>23XXR064</t>
  </si>
  <si>
    <t>23XXR065</t>
  </si>
  <si>
    <t>23XXR066</t>
  </si>
  <si>
    <t>23XXR067</t>
  </si>
  <si>
    <t>23XXR068</t>
  </si>
  <si>
    <t>23XXR069</t>
  </si>
  <si>
    <t>23XXR070</t>
  </si>
  <si>
    <t>23XXR071</t>
  </si>
  <si>
    <t>23XXR072</t>
  </si>
  <si>
    <t>23XXR073</t>
  </si>
  <si>
    <t>23XXR074</t>
  </si>
  <si>
    <t>23XXR075</t>
  </si>
  <si>
    <t>23XXR076</t>
  </si>
  <si>
    <t>23XXR077</t>
  </si>
  <si>
    <t>23XXR078</t>
  </si>
  <si>
    <t>23XXR079</t>
  </si>
  <si>
    <t>23XXR080</t>
  </si>
  <si>
    <t>23XXR081</t>
  </si>
  <si>
    <t>23XXR082</t>
  </si>
  <si>
    <t>23XXR083</t>
  </si>
  <si>
    <t>23XXR084</t>
  </si>
  <si>
    <t>23XXR085</t>
  </si>
  <si>
    <t>23XXR086</t>
  </si>
  <si>
    <t>23XXR087</t>
  </si>
  <si>
    <t>23XXR088</t>
  </si>
  <si>
    <t>23XXR089</t>
  </si>
  <si>
    <t>23XXR090</t>
  </si>
  <si>
    <t>23XXR091</t>
  </si>
  <si>
    <t>23XXR092</t>
  </si>
  <si>
    <t>23XXR093</t>
  </si>
  <si>
    <t>23XXR094</t>
  </si>
  <si>
    <t>23XXR095</t>
  </si>
  <si>
    <t>23XXR096</t>
  </si>
  <si>
    <t>23XXR097</t>
  </si>
  <si>
    <t>23XXR098</t>
  </si>
  <si>
    <t>23XXR099</t>
  </si>
  <si>
    <t>23XXR100</t>
  </si>
  <si>
    <t>23XXR101</t>
  </si>
  <si>
    <t>23XXR102</t>
  </si>
  <si>
    <t>23XXR103</t>
  </si>
  <si>
    <t>23XXR104</t>
  </si>
  <si>
    <t>23XXR105</t>
  </si>
  <si>
    <t>23XXR106</t>
  </si>
  <si>
    <t>23XXR107</t>
  </si>
  <si>
    <t>23XXR108</t>
  </si>
  <si>
    <t>23XXR109</t>
  </si>
  <si>
    <t>23XXR110</t>
  </si>
  <si>
    <t>23XXR111</t>
  </si>
  <si>
    <t>23XXR112</t>
  </si>
  <si>
    <t>23XXR113</t>
  </si>
  <si>
    <t>23XXR114</t>
  </si>
  <si>
    <t>23XXR115</t>
  </si>
  <si>
    <t>23XXR116</t>
  </si>
  <si>
    <t>23XXR117</t>
  </si>
  <si>
    <t>23XXR118</t>
  </si>
  <si>
    <t>23XXR119</t>
  </si>
  <si>
    <t>23XXR120</t>
  </si>
  <si>
    <t>23XXR121</t>
  </si>
  <si>
    <t>23XXR122</t>
  </si>
  <si>
    <t>23XXR123</t>
  </si>
  <si>
    <t>23XXR124</t>
  </si>
  <si>
    <t>23XXR125</t>
  </si>
  <si>
    <t>23XXR126</t>
  </si>
  <si>
    <t>23XXR127</t>
  </si>
  <si>
    <t>23XXR128</t>
  </si>
  <si>
    <t>23XXR129</t>
  </si>
  <si>
    <t>23XXR130</t>
  </si>
  <si>
    <t>23XXR131</t>
  </si>
  <si>
    <t>23XXR132</t>
  </si>
  <si>
    <t>23XXR133</t>
  </si>
  <si>
    <t>23XXR134</t>
  </si>
  <si>
    <t>23XXR135</t>
  </si>
  <si>
    <t>23XXR136</t>
  </si>
  <si>
    <t>23XXR137</t>
  </si>
  <si>
    <t>23XXR138</t>
  </si>
  <si>
    <t>23XXR139</t>
  </si>
  <si>
    <t>23XXR140</t>
  </si>
  <si>
    <t>23XXR141</t>
  </si>
  <si>
    <t>23XXR142</t>
  </si>
  <si>
    <t>23XXR143</t>
  </si>
  <si>
    <t>23XXR144</t>
  </si>
  <si>
    <t>23XXR145</t>
  </si>
  <si>
    <t>23XXR146</t>
  </si>
  <si>
    <t>23XXR147</t>
  </si>
  <si>
    <t>23XXR148</t>
  </si>
  <si>
    <t>23XXR149</t>
  </si>
  <si>
    <t>23XXR150</t>
  </si>
  <si>
    <t>23XXR151</t>
  </si>
  <si>
    <t>23XXR152</t>
  </si>
  <si>
    <t>23XXR153</t>
  </si>
  <si>
    <t>23XXR154</t>
  </si>
  <si>
    <t>23XXR155</t>
  </si>
  <si>
    <t>23XXR156</t>
  </si>
  <si>
    <t>23XXR157</t>
  </si>
  <si>
    <t>23XXR158</t>
  </si>
  <si>
    <t>23XXR159</t>
  </si>
  <si>
    <t>23XXR160</t>
  </si>
  <si>
    <t>23XXR161</t>
  </si>
  <si>
    <t>23XXR162</t>
  </si>
  <si>
    <t>23XXR163</t>
  </si>
  <si>
    <t>23XXR164</t>
  </si>
  <si>
    <t>23XXR165</t>
  </si>
  <si>
    <t>23XXR166</t>
  </si>
  <si>
    <t>23XXR167</t>
  </si>
  <si>
    <t>23XXR168</t>
  </si>
  <si>
    <t>23XXR169</t>
  </si>
  <si>
    <t>23XXR170</t>
  </si>
  <si>
    <t>23XXR171</t>
  </si>
  <si>
    <t>23XXR172</t>
  </si>
  <si>
    <t>23XXR173</t>
  </si>
  <si>
    <t>23XXR174</t>
  </si>
  <si>
    <t>23XXR175</t>
  </si>
  <si>
    <t>23XXR176</t>
  </si>
  <si>
    <t>23XXR177</t>
  </si>
  <si>
    <t>23XXR178</t>
  </si>
  <si>
    <t>23XXR179</t>
  </si>
  <si>
    <t>23XXR180</t>
  </si>
  <si>
    <t>23XXR181</t>
  </si>
  <si>
    <t>23XXR182</t>
  </si>
  <si>
    <t>23XXR183</t>
  </si>
  <si>
    <t>23XXR184</t>
  </si>
  <si>
    <t>23XXR185</t>
  </si>
  <si>
    <t>23XXR186</t>
  </si>
  <si>
    <t>23XXR187</t>
  </si>
  <si>
    <t>23XXR188</t>
  </si>
  <si>
    <t>23XXR189</t>
  </si>
  <si>
    <t>23XXR190</t>
  </si>
  <si>
    <t>23XXR191</t>
  </si>
  <si>
    <t>23XXR192</t>
  </si>
  <si>
    <t>23XXR193</t>
  </si>
  <si>
    <t>23XXR194</t>
  </si>
  <si>
    <t>23XXR195</t>
  </si>
  <si>
    <t>23XXR196</t>
  </si>
  <si>
    <t>23XXR197</t>
  </si>
  <si>
    <t>23XXR198</t>
  </si>
  <si>
    <t>23XXR199</t>
  </si>
  <si>
    <t>23XXR200</t>
  </si>
  <si>
    <t>23XXR201</t>
  </si>
  <si>
    <t>23XXR202</t>
  </si>
  <si>
    <t>23XXR203</t>
  </si>
  <si>
    <t>23XXR204</t>
  </si>
  <si>
    <t>23XXR205</t>
  </si>
  <si>
    <t>23XXR206</t>
  </si>
  <si>
    <t>23XXR207</t>
  </si>
  <si>
    <t>23XXR208</t>
  </si>
  <si>
    <t>23XXR209</t>
  </si>
  <si>
    <t>23XXR210</t>
  </si>
  <si>
    <t>23XXR211</t>
  </si>
  <si>
    <t>23XXR212</t>
  </si>
  <si>
    <t>23XXR213</t>
  </si>
  <si>
    <t>23XXR214</t>
  </si>
  <si>
    <t>23XXR215</t>
  </si>
  <si>
    <t>23XXR216</t>
  </si>
  <si>
    <t>23XXR217</t>
  </si>
  <si>
    <t>23XXR218</t>
  </si>
  <si>
    <t>23XXR219</t>
  </si>
  <si>
    <t>23XXR220</t>
  </si>
  <si>
    <t>23XXR221</t>
  </si>
  <si>
    <t>23XXR222</t>
  </si>
  <si>
    <t>23XXR223</t>
  </si>
  <si>
    <t>23XXR224</t>
  </si>
  <si>
    <t>23XXR225</t>
  </si>
  <si>
    <t>23XXR226</t>
  </si>
  <si>
    <t>23XXR227</t>
  </si>
  <si>
    <t>23XXR228</t>
  </si>
  <si>
    <t>23XXR229</t>
  </si>
  <si>
    <t>23XXR230</t>
  </si>
  <si>
    <t>23XXR231</t>
  </si>
  <si>
    <t>23XXR232</t>
  </si>
  <si>
    <t>23XXR233</t>
  </si>
  <si>
    <t>23XXR234</t>
  </si>
  <si>
    <t>23XXR235</t>
  </si>
  <si>
    <t>23XXR236</t>
  </si>
  <si>
    <t>23XXR237</t>
  </si>
  <si>
    <t>23XXR238</t>
  </si>
  <si>
    <t>23XXR239</t>
  </si>
  <si>
    <t>23XXR240</t>
  </si>
  <si>
    <t>23XXR241</t>
  </si>
  <si>
    <t>23XXR242</t>
  </si>
  <si>
    <t>23XXR243</t>
  </si>
  <si>
    <t>23XXR244</t>
  </si>
  <si>
    <t>23XXR245</t>
  </si>
  <si>
    <t>23XXR246</t>
  </si>
  <si>
    <t>23XXR247</t>
  </si>
  <si>
    <t>23XXR248</t>
  </si>
  <si>
    <t>23XXR249</t>
  </si>
  <si>
    <t>23XXR250</t>
  </si>
  <si>
    <t>23XXR251</t>
  </si>
  <si>
    <t>23XXR252</t>
  </si>
  <si>
    <t>23XXR253</t>
  </si>
  <si>
    <t>23XXR254</t>
  </si>
  <si>
    <t>23XXR255</t>
  </si>
  <si>
    <t>23XXR256</t>
  </si>
  <si>
    <t>23XXR257</t>
  </si>
  <si>
    <t>23XXR258</t>
  </si>
  <si>
    <t>23XXR259</t>
  </si>
  <si>
    <t>23XXR260</t>
  </si>
  <si>
    <t>23XXR261</t>
  </si>
  <si>
    <t>23XXR262</t>
  </si>
  <si>
    <t>23XXR263</t>
  </si>
  <si>
    <t>23XXR264</t>
  </si>
  <si>
    <t>23XXR265</t>
  </si>
  <si>
    <t>23XXR266</t>
  </si>
  <si>
    <t>23XXR267</t>
  </si>
  <si>
    <t>23XXR268</t>
  </si>
  <si>
    <t>23XXR269</t>
  </si>
  <si>
    <t>23XXR270</t>
  </si>
  <si>
    <t>23XXR271</t>
  </si>
  <si>
    <t>23XXR272</t>
  </si>
  <si>
    <t>23XXR273</t>
  </si>
  <si>
    <t>23XXR274</t>
  </si>
  <si>
    <t>23XXR275</t>
  </si>
  <si>
    <t>23XXR276</t>
  </si>
  <si>
    <t>23XXR277</t>
  </si>
  <si>
    <t>23XXR278</t>
  </si>
  <si>
    <t>23XXR279</t>
  </si>
  <si>
    <t>23XXR280</t>
  </si>
  <si>
    <t>23XXR281</t>
  </si>
  <si>
    <t>23XXR282</t>
  </si>
  <si>
    <t>23XXR283</t>
  </si>
  <si>
    <t>23XXR284</t>
  </si>
  <si>
    <t>23XXR285</t>
  </si>
  <si>
    <t>23XXR286</t>
  </si>
  <si>
    <t>23XXR287</t>
  </si>
  <si>
    <t>23XXR288</t>
  </si>
  <si>
    <t>23XXR289</t>
  </si>
  <si>
    <t>23XXR290</t>
  </si>
  <si>
    <t>23XXR291</t>
  </si>
  <si>
    <t>23XXR292</t>
  </si>
  <si>
    <t>23XXR293</t>
  </si>
  <si>
    <t>23XXR294</t>
  </si>
  <si>
    <t>23XXR295</t>
  </si>
  <si>
    <t>23XXR296</t>
  </si>
  <si>
    <t>23XXR297</t>
  </si>
  <si>
    <t>23XXR298</t>
  </si>
  <si>
    <t>23XXR299</t>
  </si>
  <si>
    <t>23XXR300</t>
  </si>
  <si>
    <t>23XXR301</t>
  </si>
  <si>
    <t>23XXR302</t>
  </si>
  <si>
    <t>23XXR303</t>
  </si>
  <si>
    <t>23XXR304</t>
  </si>
  <si>
    <t>23XXR305</t>
  </si>
  <si>
    <t>23XXR306</t>
  </si>
  <si>
    <t>23XXR307</t>
  </si>
  <si>
    <t>23XXR308</t>
  </si>
  <si>
    <t>23XXR309</t>
  </si>
  <si>
    <t>23XXR310</t>
  </si>
  <si>
    <t>23XXR311</t>
  </si>
  <si>
    <t>23XXR312</t>
  </si>
  <si>
    <t>23XXR313</t>
  </si>
  <si>
    <t>23XXR314</t>
  </si>
  <si>
    <t>23XXR315</t>
  </si>
  <si>
    <t>23XXR316</t>
  </si>
  <si>
    <t>23XXR317</t>
  </si>
  <si>
    <t>23XXR318</t>
  </si>
  <si>
    <t>23XXR319</t>
  </si>
  <si>
    <t>23XXR320</t>
  </si>
  <si>
    <t>23XXR321</t>
  </si>
  <si>
    <t>23XXR322</t>
  </si>
  <si>
    <t>23XXR323</t>
  </si>
  <si>
    <t>23XXR324</t>
  </si>
  <si>
    <t>23XXR325</t>
  </si>
  <si>
    <t>23XXR326</t>
  </si>
  <si>
    <t>23XXR327</t>
  </si>
  <si>
    <t>23XXR328</t>
  </si>
  <si>
    <t>23XXR329</t>
  </si>
  <si>
    <t>23XXR330</t>
  </si>
  <si>
    <t>23XXR331</t>
  </si>
  <si>
    <t>23XXR332</t>
  </si>
  <si>
    <t>23XXR333</t>
  </si>
  <si>
    <t>23XXR334</t>
  </si>
  <si>
    <t>23XXR335</t>
  </si>
  <si>
    <t>23XXR336</t>
  </si>
  <si>
    <t>23XXR337</t>
  </si>
  <si>
    <t>23XXR338</t>
  </si>
  <si>
    <t>23XXR339</t>
  </si>
  <si>
    <t>23XXR340</t>
  </si>
  <si>
    <t>23XXR341</t>
  </si>
  <si>
    <t>23XXR342</t>
  </si>
  <si>
    <t>23XXR343</t>
  </si>
  <si>
    <t>23XXR344</t>
  </si>
  <si>
    <t>23XXR345</t>
  </si>
  <si>
    <t>23XXR346</t>
  </si>
  <si>
    <t>23XXR347</t>
  </si>
  <si>
    <t>23XXR348</t>
  </si>
  <si>
    <t>23XXR349</t>
  </si>
  <si>
    <t>23XXR350</t>
  </si>
  <si>
    <t>23XXR351</t>
  </si>
  <si>
    <t>23XXR352</t>
  </si>
  <si>
    <t>23XXR353</t>
  </si>
  <si>
    <t>23XXR354</t>
  </si>
  <si>
    <t>23XXR355</t>
  </si>
  <si>
    <t>23XXR356</t>
  </si>
  <si>
    <t>23XXR357</t>
  </si>
  <si>
    <t>23XXR358</t>
  </si>
  <si>
    <t>23XXR359</t>
  </si>
  <si>
    <t>23XXR360</t>
  </si>
  <si>
    <t>23XXR361</t>
  </si>
  <si>
    <t>23XXR362</t>
  </si>
  <si>
    <t>23XXR363</t>
  </si>
  <si>
    <t>23XXR364</t>
  </si>
  <si>
    <t>23XXR365</t>
  </si>
  <si>
    <t>23XXR366</t>
  </si>
  <si>
    <t>23XXR367</t>
  </si>
  <si>
    <t>23XXR368</t>
  </si>
  <si>
    <t>23XXR369</t>
  </si>
  <si>
    <t>23XXR370</t>
  </si>
  <si>
    <t>23XXR371</t>
  </si>
  <si>
    <t>23XXR372</t>
  </si>
  <si>
    <t>23XXR373</t>
  </si>
  <si>
    <t>23XXR374</t>
  </si>
  <si>
    <t>23XXR375</t>
  </si>
  <si>
    <t>23XXR376</t>
  </si>
  <si>
    <t>23XXR377</t>
  </si>
  <si>
    <t>23XXR378</t>
  </si>
  <si>
    <t>23XXR379</t>
  </si>
  <si>
    <t>23XXR380</t>
  </si>
  <si>
    <t>23XXR381</t>
  </si>
  <si>
    <t>23XXR382</t>
  </si>
  <si>
    <t>23XXR383</t>
  </si>
  <si>
    <t>23XXR384</t>
  </si>
  <si>
    <t>23XXR385</t>
  </si>
  <si>
    <t>23XXR386</t>
  </si>
  <si>
    <t>23XXR387</t>
  </si>
  <si>
    <t>23XXR388</t>
  </si>
  <si>
    <t>23XXR389</t>
  </si>
  <si>
    <t>23XXR390</t>
  </si>
  <si>
    <t>23XXR391</t>
  </si>
  <si>
    <t>23XXR392</t>
  </si>
  <si>
    <t>23XXR393</t>
  </si>
  <si>
    <t>23XXR394</t>
  </si>
  <si>
    <t>23XXR395</t>
  </si>
  <si>
    <t>23XXR396</t>
  </si>
  <si>
    <t>23XXR397</t>
  </si>
  <si>
    <t>23XXR398</t>
  </si>
  <si>
    <t>23XXR399</t>
  </si>
  <si>
    <t>23XXR400</t>
  </si>
  <si>
    <t>23XXR401</t>
  </si>
  <si>
    <t>23XXR402</t>
  </si>
  <si>
    <t>23XXR403</t>
  </si>
  <si>
    <t>23XXR404</t>
  </si>
  <si>
    <t>23XXR405</t>
  </si>
  <si>
    <t>23XXR406</t>
  </si>
  <si>
    <t>23XXR407</t>
  </si>
  <si>
    <t>23XXR408</t>
  </si>
  <si>
    <t>23XXR409</t>
  </si>
  <si>
    <t>23XXR410</t>
  </si>
  <si>
    <t>23XXR411</t>
  </si>
  <si>
    <t>23XXR412</t>
  </si>
  <si>
    <t>23XXR413</t>
  </si>
  <si>
    <t>23XXR414</t>
  </si>
  <si>
    <t>23XXR415</t>
  </si>
  <si>
    <t>23XXR416</t>
  </si>
  <si>
    <t>23XXR417</t>
  </si>
  <si>
    <t>23XXR418</t>
  </si>
  <si>
    <t>23XXR419</t>
  </si>
  <si>
    <t>23XXR420</t>
  </si>
  <si>
    <t>23XXR421</t>
  </si>
  <si>
    <t>DEPARTMENT OF __________________________________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</si>
  <si>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</si>
  <si>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</si>
  <si>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</si>
  <si>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</si>
  <si>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</si>
  <si>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</si>
  <si>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</si>
  <si>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</si>
  <si>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</si>
  <si>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</si>
  <si>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</si>
  <si>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</si>
  <si>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</si>
  <si>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</si>
  <si>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</si>
  <si>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</si>
  <si>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</si>
  <si>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</si>
  <si>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</si>
  <si>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</si>
  <si>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</si>
  <si>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</si>
  <si>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</si>
  <si>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</si>
  <si>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</si>
  <si>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</si>
  <si>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</si>
  <si>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</si>
  <si>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</si>
  <si>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</si>
  <si>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</si>
  <si>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</si>
  <si>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</si>
  <si>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</si>
  <si>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</si>
  <si>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</si>
  <si>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</si>
  <si>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</si>
  <si>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</si>
  <si>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</si>
  <si>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</si>
  <si>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</si>
  <si>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</si>
  <si>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</si>
  <si>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</si>
  <si>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</si>
  <si>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</si>
  <si>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</si>
  <si>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</si>
  <si>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</si>
  <si>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</si>
  <si>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</si>
  <si>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</si>
  <si>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</si>
  <si>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</si>
  <si>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</si>
  <si>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</si>
  <si>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</si>
  <si>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</si>
  <si>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</si>
  <si>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</si>
  <si>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</si>
  <si>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</si>
  <si>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</si>
  <si>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</si>
  <si>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</si>
  <si>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</si>
  <si>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</si>
  <si>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</si>
  <si>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</si>
  <si>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</si>
  <si>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</si>
  <si>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</si>
  <si>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</si>
  <si>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</si>
  <si>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</si>
  <si>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</si>
  <si>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</si>
  <si>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</si>
  <si>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</si>
  <si>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</si>
  <si>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</si>
  <si>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</si>
  <si>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</si>
  <si>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</si>
  <si>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</si>
  <si>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</si>
  <si>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</si>
  <si>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</si>
  <si>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</si>
  <si>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</si>
  <si>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</si>
  <si>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</si>
  <si>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</si>
  <si>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</si>
  <si>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</si>
  <si>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</si>
  <si>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</si>
  <si>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</si>
  <si>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</si>
  <si>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</si>
  <si>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</si>
  <si>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</si>
  <si>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</si>
  <si>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</si>
  <si>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</si>
  <si>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</si>
  <si>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</si>
  <si>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</si>
  <si>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</si>
  <si>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</si>
  <si>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</si>
  <si>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</si>
  <si>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</si>
  <si>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</si>
  <si>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</si>
  <si>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</si>
  <si>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</si>
  <si>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</si>
  <si>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</si>
  <si>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</si>
  <si>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</si>
  <si>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</si>
  <si>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</si>
  <si>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</si>
  <si>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</si>
  <si>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</si>
  <si>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</si>
  <si>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</si>
  <si>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</si>
  <si>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</si>
  <si>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</si>
  <si>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</si>
  <si>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</si>
  <si>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</si>
  <si>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</si>
  <si>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</si>
  <si>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</si>
  <si>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</si>
  <si>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</si>
  <si>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</si>
  <si>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</si>
  <si>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</si>
  <si>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</si>
  <si>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</si>
  <si>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</si>
  <si>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</si>
  <si>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</si>
  <si>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</si>
  <si>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</si>
  <si>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</si>
  <si>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</si>
  <si>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</si>
  <si>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</si>
  <si>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</si>
  <si>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</si>
  <si>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</si>
  <si>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</si>
  <si>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</si>
  <si>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</si>
  <si>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</si>
  <si>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</si>
  <si>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</si>
  <si>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</si>
  <si>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</si>
  <si>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</si>
  <si>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</si>
  <si>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</si>
  <si>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</si>
  <si>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</si>
  <si>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</si>
  <si>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</si>
  <si>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</si>
  <si>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</si>
  <si>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</si>
  <si>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</si>
  <si>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</si>
  <si>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</si>
  <si>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</si>
  <si>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</si>
  <si>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</si>
  <si>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</si>
  <si>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</si>
  <si>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</si>
  <si>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</si>
  <si>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</si>
  <si>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</si>
  <si>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</si>
  <si>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</si>
  <si>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</si>
  <si>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</si>
  <si>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</si>
  <si>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</si>
  <si>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</si>
  <si>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</si>
  <si>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</si>
  <si>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</si>
  <si>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</si>
  <si>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</si>
  <si>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</si>
  <si>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</si>
  <si>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</si>
  <si>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</si>
  <si>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</si>
  <si>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</si>
  <si>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</si>
  <si>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</si>
  <si>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</si>
  <si>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</si>
  <si>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</si>
  <si>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</si>
  <si>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</si>
  <si>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</si>
  <si>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</si>
  <si>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</si>
  <si>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</si>
  <si>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</si>
  <si>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</si>
  <si>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</si>
  <si>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</si>
  <si>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</si>
  <si>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</si>
  <si>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</si>
  <si>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</si>
  <si>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</si>
  <si>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</si>
  <si>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</si>
  <si>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</si>
  <si>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</si>
  <si>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</si>
  <si>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</si>
  <si>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</si>
  <si>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</si>
  <si>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</si>
  <si>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</si>
  <si>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</si>
  <si>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</si>
  <si>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</si>
  <si>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</si>
  <si>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</si>
  <si>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</si>
  <si>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</si>
  <si>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</si>
  <si>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</si>
  <si>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</si>
  <si>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</si>
  <si>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</si>
  <si>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</si>
  <si>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</si>
  <si>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</si>
  <si>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Student 251</t>
  </si>
  <si>
    <t>Student 252</t>
  </si>
  <si>
    <t>Student 253</t>
  </si>
  <si>
    <t>Student 254</t>
  </si>
  <si>
    <t>Student 255</t>
  </si>
  <si>
    <t>Student 256</t>
  </si>
  <si>
    <t>Student 257</t>
  </si>
  <si>
    <t>Student 258</t>
  </si>
  <si>
    <t>Student 259</t>
  </si>
  <si>
    <t>Student 260</t>
  </si>
  <si>
    <t>Student 261</t>
  </si>
  <si>
    <t>Student 262</t>
  </si>
  <si>
    <t>Student 263</t>
  </si>
  <si>
    <t>Student 264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</si>
  <si>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</si>
  <si>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</si>
  <si>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</si>
  <si>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</si>
  <si>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</si>
  <si>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</si>
  <si>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</si>
  <si>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Student 272</t>
  </si>
  <si>
    <t>Student 273</t>
  </si>
  <si>
    <t>Student 274</t>
  </si>
  <si>
    <t>Student 275</t>
  </si>
  <si>
    <t>Student 276</t>
  </si>
  <si>
    <t>Student 277</t>
  </si>
  <si>
    <t>Student 278</t>
  </si>
  <si>
    <t>Student 279</t>
  </si>
  <si>
    <t>Student 280</t>
  </si>
  <si>
    <t>Student 281</t>
  </si>
  <si>
    <t>Student 282</t>
  </si>
  <si>
    <t>Student 283</t>
  </si>
  <si>
    <t>Student 284</t>
  </si>
  <si>
    <t>Student 285</t>
  </si>
  <si>
    <t>Student 286</t>
  </si>
  <si>
    <t>Student 287</t>
  </si>
  <si>
    <t>Student 288</t>
  </si>
  <si>
    <t>Student 289</t>
  </si>
  <si>
    <t>Student 290</t>
  </si>
  <si>
    <t>Student 291</t>
  </si>
  <si>
    <t>Student 292</t>
  </si>
  <si>
    <t>Student 293</t>
  </si>
  <si>
    <t>Student 294</t>
  </si>
  <si>
    <t>Student 295</t>
  </si>
  <si>
    <t>Student 296</t>
  </si>
  <si>
    <t>Student 297</t>
  </si>
  <si>
    <t>Student 298</t>
  </si>
  <si>
    <t>Student 299</t>
  </si>
  <si>
    <t>Student 300</t>
  </si>
  <si>
    <t>Student 301</t>
  </si>
  <si>
    <t>Student 302</t>
  </si>
  <si>
    <t>Student 303</t>
  </si>
  <si>
    <t>Student 304</t>
  </si>
  <si>
    <t>Student 305</t>
  </si>
  <si>
    <t>Student 306</t>
  </si>
  <si>
    <t>Student 307</t>
  </si>
  <si>
    <t>Student 308</t>
  </si>
  <si>
    <t>Student 309</t>
  </si>
  <si>
    <t>Student 310</t>
  </si>
  <si>
    <t>Student 311</t>
  </si>
  <si>
    <t>Student 312</t>
  </si>
  <si>
    <t>Student 313</t>
  </si>
  <si>
    <t>Student 314</t>
  </si>
  <si>
    <t>Student 315</t>
  </si>
  <si>
    <t>Student 316</t>
  </si>
  <si>
    <t>Student 317</t>
  </si>
  <si>
    <t>Student 318</t>
  </si>
  <si>
    <t>Student 319</t>
  </si>
  <si>
    <t>Student 320</t>
  </si>
  <si>
    <t>Student 321</t>
  </si>
  <si>
    <t>Student 322</t>
  </si>
  <si>
    <t>Student 323</t>
  </si>
  <si>
    <t>Student 324</t>
  </si>
  <si>
    <t>Student 325</t>
  </si>
  <si>
    <t>Student 326</t>
  </si>
  <si>
    <t>Student 327</t>
  </si>
  <si>
    <t>Student 328</t>
  </si>
  <si>
    <t>Student 329</t>
  </si>
  <si>
    <t>Student 330</t>
  </si>
  <si>
    <t>Student 331</t>
  </si>
  <si>
    <t>Student 332</t>
  </si>
  <si>
    <t>Student 333</t>
  </si>
  <si>
    <t>Student 334</t>
  </si>
  <si>
    <t>Student 335</t>
  </si>
  <si>
    <t>Student 336</t>
  </si>
  <si>
    <t>Student 337</t>
  </si>
  <si>
    <t>Student 338</t>
  </si>
  <si>
    <t>Student 339</t>
  </si>
  <si>
    <t>Student 340</t>
  </si>
  <si>
    <t>Student 341</t>
  </si>
  <si>
    <t>Student 342</t>
  </si>
  <si>
    <t>Student 343</t>
  </si>
  <si>
    <t>Student 344</t>
  </si>
  <si>
    <t>Student 345</t>
  </si>
  <si>
    <t>Student 346</t>
  </si>
  <si>
    <t>Student 347</t>
  </si>
  <si>
    <t>Student 348</t>
  </si>
  <si>
    <t>Student 349</t>
  </si>
  <si>
    <t>Student 350</t>
  </si>
  <si>
    <t>Student 351</t>
  </si>
  <si>
    <t>Student 352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</si>
  <si>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</si>
  <si>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</si>
  <si>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</si>
  <si>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</si>
  <si>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</si>
  <si>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</si>
  <si>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</si>
  <si>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Student 360</t>
  </si>
  <si>
    <t>Student 361</t>
  </si>
  <si>
    <t>Student 362</t>
  </si>
  <si>
    <t>Student 363</t>
  </si>
  <si>
    <t>Student 364</t>
  </si>
  <si>
    <t>Student 365</t>
  </si>
  <si>
    <t>Student 366</t>
  </si>
  <si>
    <t>Student 367</t>
  </si>
  <si>
    <t>Student 368</t>
  </si>
  <si>
    <t>Student 369</t>
  </si>
  <si>
    <t>Student 370</t>
  </si>
  <si>
    <t>Student 371</t>
  </si>
  <si>
    <t>Student 372</t>
  </si>
  <si>
    <t>Student 373</t>
  </si>
  <si>
    <t>Student 374</t>
  </si>
  <si>
    <t>Student 375</t>
  </si>
  <si>
    <t>Student 376</t>
  </si>
  <si>
    <t>Student 377</t>
  </si>
  <si>
    <t>Student 378</t>
  </si>
  <si>
    <t>Student 379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</si>
  <si>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</si>
  <si>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</si>
  <si>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</si>
  <si>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</si>
  <si>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</si>
  <si>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</si>
  <si>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</si>
  <si>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</si>
  <si>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</si>
  <si>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</si>
  <si>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Student 390</t>
  </si>
  <si>
    <t>Student 391</t>
  </si>
  <si>
    <t>Student 392</t>
  </si>
  <si>
    <t>Student 393</t>
  </si>
  <si>
    <t>Student 394</t>
  </si>
  <si>
    <t>Student 395</t>
  </si>
  <si>
    <t>Student 396</t>
  </si>
  <si>
    <t>Student 397</t>
  </si>
  <si>
    <t>Student 398</t>
  </si>
  <si>
    <t>Student 399</t>
  </si>
  <si>
    <t>Student 400</t>
  </si>
  <si>
    <t>Student 401</t>
  </si>
  <si>
    <t>Student 402</t>
  </si>
  <si>
    <t>Student 403</t>
  </si>
  <si>
    <t>Student 404</t>
  </si>
  <si>
    <t>Student 405</t>
  </si>
  <si>
    <t>Student 406</t>
  </si>
  <si>
    <t>Student 407</t>
  </si>
  <si>
    <t>Student 408</t>
  </si>
  <si>
    <t>Student 409</t>
  </si>
  <si>
    <t>Student 410</t>
  </si>
  <si>
    <t>Student 411</t>
  </si>
  <si>
    <t>Student 412</t>
  </si>
  <si>
    <t>Student 413</t>
  </si>
  <si>
    <t>Student 414</t>
  </si>
  <si>
    <t>Student 415</t>
  </si>
  <si>
    <t>Student 416</t>
  </si>
  <si>
    <t>Student 417</t>
  </si>
  <si>
    <t>Student 418</t>
  </si>
  <si>
    <t>Student 419</t>
  </si>
  <si>
    <t>Student 420</t>
  </si>
  <si>
    <t>Student 421</t>
  </si>
  <si>
    <t>Student 422</t>
  </si>
  <si>
    <t>Student 423</t>
  </si>
  <si>
    <t>Student 424</t>
  </si>
  <si>
    <t>Student 425</t>
  </si>
  <si>
    <t>Student 426</t>
  </si>
  <si>
    <t>Student 427</t>
  </si>
  <si>
    <t>Student 428</t>
  </si>
  <si>
    <t>Student 429</t>
  </si>
  <si>
    <t>Student 430</t>
  </si>
  <si>
    <t>Student 431</t>
  </si>
  <si>
    <t>Student 432</t>
  </si>
  <si>
    <t>Student 433</t>
  </si>
  <si>
    <t>Student 434</t>
  </si>
  <si>
    <t>Student 435</t>
  </si>
  <si>
    <t>Student 436</t>
  </si>
  <si>
    <t>Student 437</t>
  </si>
  <si>
    <t>Student 438</t>
  </si>
  <si>
    <t>Student 439</t>
  </si>
  <si>
    <t>Student 440</t>
  </si>
  <si>
    <t>Student 441</t>
  </si>
  <si>
    <t>Student 442</t>
  </si>
  <si>
    <t>Student 443</t>
  </si>
  <si>
    <t>Student 444</t>
  </si>
  <si>
    <t>Student 445</t>
  </si>
  <si>
    <t>Student 446</t>
  </si>
  <si>
    <t>Student 447</t>
  </si>
  <si>
    <t>Student 448</t>
  </si>
  <si>
    <t>Student 449</t>
  </si>
  <si>
    <t>Student 450</t>
  </si>
  <si>
    <t xml:space="preserve">Year  Coordinator </t>
  </si>
  <si>
    <t>DEPARTMENT OF ________________________________________</t>
  </si>
  <si>
    <t>E Sec</t>
  </si>
  <si>
    <t xml:space="preserve">F Sec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</si>
</sst>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0.0"/>
  </numFmts>
  <fonts count="24">
    <font>
      <sz val="11"/>
      <color theme="1"/>
      <name val="Calibri"/>
      <scheme val="minor"/>
    </font>
    <font>
      <b/>
      <sz val="12"/>
      <color theme="1"/>
      <name val="Palatino Linotype"/>
      <family val="1"/>
    </font>
    <font>
      <sz val="11"/>
      <name val="Calibri"/>
      <family val="2"/>
    </font>
    <font>
      <sz val="12"/>
      <color theme="1"/>
      <name val="Palatino Linotype"/>
      <family val="1"/>
    </font>
    <font>
      <u/>
      <sz val="12"/>
      <color theme="10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Calibri"/>
      <family val="2"/>
    </font>
    <font>
      <b/>
      <sz val="12"/>
      <color rgb="FF000000"/>
      <name val="Palatino Linotype"/>
      <family val="1"/>
    </font>
    <font>
      <b/>
      <sz val="13"/>
      <color theme="1"/>
      <name val="Palatino Linotype"/>
      <family val="1"/>
    </font>
    <font>
      <sz val="13"/>
      <color theme="1"/>
      <name val="Palatino Linotype"/>
      <family val="1"/>
    </font>
    <font>
      <b/>
      <sz val="11"/>
      <color theme="1"/>
      <name val="Calibri"/>
      <family val="2"/>
    </font>
    <font>
      <sz val="11"/>
      <color theme="1"/>
      <name val="Palatino Linotype"/>
      <family val="1"/>
    </font>
    <font>
      <sz val="12"/>
      <color rgb="FFFF0000"/>
      <name val="Palatino Linotype"/>
      <family val="1"/>
    </font>
    <font>
      <b/>
      <sz val="12"/>
      <color rgb="FFFF0000"/>
      <name val="Palatino Linotype"/>
      <family val="1"/>
    </font>
    <font>
      <sz val="12"/>
      <color rgb="FF000000"/>
      <name val="Palatino Linotype"/>
      <family val="1"/>
    </font>
    <font>
      <sz val="11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b/>
      <sz val="12"/>
      <name val="Palatino Linotype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name val="Palatino Linotype"/>
      <family val="1"/>
    </font>
    <font>
      <sz val="11"/>
      <name val="Calibri"/>
      <family val="2"/>
      <scheme val="minor"/>
    </font>
    <font>
      <sz val="8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DFDD9"/>
        <bgColor theme="0"/>
      </patternFill>
    </fill>
    <fill>
      <patternFill patternType="solid">
        <fgColor rgb="FFFDFDD9"/>
        <bgColor indexed="64"/>
      </patternFill>
    </fill>
    <fill>
      <patternFill patternType="solid">
        <fgColor rgb="FFFDFDD9"/>
        <bgColor rgb="FFFFFF00"/>
      </patternFill>
    </fill>
    <fill>
      <patternFill patternType="solid">
        <fgColor rgb="FFFDFDD9"/>
        <bgColor rgb="FFFFFFFF"/>
      </patternFill>
    </fill>
    <fill>
      <patternFill patternType="solid">
        <fgColor theme="7" tint="0.79998168889431442"/>
        <bgColor rgb="FFCCC0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B2A1C7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363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/>
    <xf numFmtId="0" fontId="4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165" fontId="3" fillId="0" borderId="7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165" fontId="1" fillId="4" borderId="29" xfId="0" applyNumberFormat="1" applyFont="1" applyFill="1" applyBorder="1" applyAlignment="1">
      <alignment horizontal="center" vertical="center"/>
    </xf>
    <xf numFmtId="165" fontId="1" fillId="4" borderId="1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1" fillId="4" borderId="36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2" borderId="12" xfId="0" applyFont="1" applyFill="1" applyBorder="1" applyAlignment="1">
      <alignment horizontal="center" vertical="center" wrapText="1"/>
    </xf>
    <xf numFmtId="0" fontId="3" fillId="0" borderId="0" xfId="0" applyFont="1"/>
    <xf numFmtId="0" fontId="6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0" xfId="0" applyFont="1"/>
    <xf numFmtId="0" fontId="1" fillId="2" borderId="46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/>
    </xf>
    <xf numFmtId="0" fontId="1" fillId="6" borderId="55" xfId="0" applyFont="1" applyFill="1" applyBorder="1" applyAlignment="1">
      <alignment horizontal="center" vertical="center"/>
    </xf>
    <xf numFmtId="0" fontId="1" fillId="6" borderId="4" xfId="0" applyFont="1" applyFill="1" applyBorder="1"/>
    <xf numFmtId="0" fontId="1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43" xfId="0" applyFont="1" applyFill="1" applyBorder="1" applyAlignment="1">
      <alignment horizontal="center" vertical="center"/>
    </xf>
    <xf numFmtId="0" fontId="3" fillId="6" borderId="50" xfId="0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 wrapText="1"/>
    </xf>
    <xf numFmtId="0" fontId="1" fillId="6" borderId="50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1" fontId="3" fillId="6" borderId="46" xfId="0" applyNumberFormat="1" applyFont="1" applyFill="1" applyBorder="1" applyAlignment="1">
      <alignment horizontal="center" vertical="center"/>
    </xf>
    <xf numFmtId="0" fontId="1" fillId="6" borderId="5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57" xfId="0" applyFont="1" applyFill="1" applyBorder="1" applyAlignment="1">
      <alignment horizontal="center" vertical="center"/>
    </xf>
    <xf numFmtId="0" fontId="1" fillId="6" borderId="58" xfId="0" applyFont="1" applyFill="1" applyBorder="1" applyAlignment="1">
      <alignment horizontal="center" vertical="center"/>
    </xf>
    <xf numFmtId="0" fontId="3" fillId="6" borderId="58" xfId="0" applyFont="1" applyFill="1" applyBorder="1" applyAlignment="1">
      <alignment horizontal="center" vertical="center"/>
    </xf>
    <xf numFmtId="0" fontId="3" fillId="6" borderId="5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" fontId="3" fillId="0" borderId="46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65" fontId="3" fillId="0" borderId="6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3" fillId="0" borderId="6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6" borderId="8" xfId="0" applyFont="1" applyFill="1" applyBorder="1" applyAlignment="1">
      <alignment horizontal="center" vertical="center" wrapText="1"/>
    </xf>
    <xf numFmtId="0" fontId="1" fillId="6" borderId="70" xfId="0" applyFont="1" applyFill="1" applyBorder="1" applyAlignment="1">
      <alignment horizontal="center" vertical="center"/>
    </xf>
    <xf numFmtId="0" fontId="6" fillId="0" borderId="23" xfId="0" applyFont="1" applyBorder="1"/>
    <xf numFmtId="0" fontId="6" fillId="0" borderId="18" xfId="0" applyFont="1" applyBorder="1"/>
    <xf numFmtId="0" fontId="10" fillId="0" borderId="7" xfId="0" applyFont="1" applyBorder="1" applyAlignment="1">
      <alignment horizontal="center" vertical="center"/>
    </xf>
    <xf numFmtId="0" fontId="1" fillId="6" borderId="4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2" borderId="32" xfId="0" applyFont="1" applyFill="1" applyBorder="1"/>
    <xf numFmtId="0" fontId="0" fillId="0" borderId="32" xfId="0" applyBorder="1"/>
    <xf numFmtId="0" fontId="2" fillId="7" borderId="32" xfId="0" applyFont="1" applyFill="1" applyBorder="1"/>
    <xf numFmtId="0" fontId="20" fillId="7" borderId="32" xfId="0" applyFont="1" applyFill="1" applyBorder="1" applyAlignment="1">
      <alignment vertical="center"/>
    </xf>
    <xf numFmtId="0" fontId="2" fillId="0" borderId="7" xfId="0" applyFont="1" applyBorder="1"/>
    <xf numFmtId="0" fontId="3" fillId="0" borderId="64" xfId="0" applyFont="1" applyBorder="1" applyAlignment="1">
      <alignment horizontal="center" vertical="center"/>
    </xf>
    <xf numFmtId="0" fontId="2" fillId="0" borderId="65" xfId="0" applyFont="1" applyBorder="1"/>
    <xf numFmtId="0" fontId="3" fillId="0" borderId="63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2" fillId="0" borderId="67" xfId="0" applyFont="1" applyBorder="1"/>
    <xf numFmtId="1" fontId="3" fillId="2" borderId="89" xfId="0" applyNumberFormat="1" applyFont="1" applyFill="1" applyBorder="1" applyAlignment="1">
      <alignment horizontal="center" vertical="center"/>
    </xf>
    <xf numFmtId="0" fontId="3" fillId="2" borderId="89" xfId="0" applyFont="1" applyFill="1" applyBorder="1" applyAlignment="1">
      <alignment horizontal="center" vertical="center"/>
    </xf>
    <xf numFmtId="0" fontId="0" fillId="0" borderId="89" xfId="0" applyBorder="1"/>
    <xf numFmtId="0" fontId="1" fillId="2" borderId="89" xfId="0" applyFont="1" applyFill="1" applyBorder="1" applyAlignment="1">
      <alignment horizontal="center" vertical="center"/>
    </xf>
    <xf numFmtId="0" fontId="1" fillId="2" borderId="89" xfId="0" applyFont="1" applyFill="1" applyBorder="1" applyAlignment="1">
      <alignment horizontal="center" vertical="center" wrapText="1"/>
    </xf>
    <xf numFmtId="0" fontId="3" fillId="0" borderId="89" xfId="0" applyFont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70" xfId="0" applyFont="1" applyFill="1" applyBorder="1" applyAlignment="1">
      <alignment horizontal="center" vertical="center"/>
    </xf>
    <xf numFmtId="0" fontId="3" fillId="6" borderId="89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1" fillId="6" borderId="89" xfId="0" applyFont="1" applyFill="1" applyBorder="1" applyAlignment="1">
      <alignment horizontal="center" vertical="center"/>
    </xf>
    <xf numFmtId="0" fontId="1" fillId="6" borderId="89" xfId="0" applyFont="1" applyFill="1" applyBorder="1" applyAlignment="1">
      <alignment horizontal="center" vertical="center" wrapText="1"/>
    </xf>
    <xf numFmtId="0" fontId="3" fillId="6" borderId="89" xfId="0" applyFont="1" applyFill="1" applyBorder="1"/>
    <xf numFmtId="0" fontId="1" fillId="6" borderId="89" xfId="0" applyFont="1" applyFill="1" applyBorder="1"/>
    <xf numFmtId="1" fontId="3" fillId="6" borderId="89" xfId="0" applyNumberFormat="1" applyFont="1" applyFill="1" applyBorder="1" applyAlignment="1">
      <alignment horizontal="center" vertical="center"/>
    </xf>
    <xf numFmtId="2" fontId="3" fillId="6" borderId="89" xfId="0" applyNumberFormat="1" applyFont="1" applyFill="1" applyBorder="1" applyAlignment="1">
      <alignment horizontal="center" vertical="center"/>
    </xf>
    <xf numFmtId="1" fontId="1" fillId="6" borderId="89" xfId="0" applyNumberFormat="1" applyFont="1" applyFill="1" applyBorder="1" applyAlignment="1">
      <alignment horizontal="center" vertical="center"/>
    </xf>
    <xf numFmtId="1" fontId="3" fillId="0" borderId="77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 wrapText="1"/>
    </xf>
    <xf numFmtId="0" fontId="1" fillId="6" borderId="54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6" fillId="0" borderId="32" xfId="0" applyFont="1" applyBorder="1"/>
    <xf numFmtId="0" fontId="5" fillId="11" borderId="89" xfId="0" applyFont="1" applyFill="1" applyBorder="1" applyAlignment="1">
      <alignment horizontal="center" vertical="center"/>
    </xf>
    <xf numFmtId="0" fontId="11" fillId="11" borderId="89" xfId="0" applyFont="1" applyFill="1" applyBorder="1" applyAlignment="1">
      <alignment horizontal="center" vertical="center"/>
    </xf>
    <xf numFmtId="0" fontId="16" fillId="2" borderId="89" xfId="0" applyFont="1" applyFill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11" borderId="100" xfId="0" applyFont="1" applyFill="1" applyBorder="1" applyAlignment="1">
      <alignment horizontal="center" vertical="center" wrapText="1"/>
    </xf>
    <xf numFmtId="0" fontId="3" fillId="6" borderId="32" xfId="0" applyFont="1" applyFill="1" applyBorder="1"/>
    <xf numFmtId="0" fontId="3" fillId="6" borderId="3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4" borderId="54" xfId="0" applyFont="1" applyFill="1" applyBorder="1" applyAlignment="1">
      <alignment horizontal="center" vertical="center"/>
    </xf>
    <xf numFmtId="0" fontId="1" fillId="4" borderId="58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92" xfId="0" applyFont="1" applyFill="1" applyBorder="1" applyAlignment="1">
      <alignment horizontal="center" vertical="center" wrapText="1"/>
    </xf>
    <xf numFmtId="0" fontId="1" fillId="4" borderId="94" xfId="0" applyFont="1" applyFill="1" applyBorder="1" applyAlignment="1">
      <alignment horizontal="center" vertical="center" wrapText="1"/>
    </xf>
    <xf numFmtId="0" fontId="18" fillId="10" borderId="89" xfId="0" applyFont="1" applyFill="1" applyBorder="1" applyAlignment="1" applyProtection="1">
      <alignment horizontal="center" vertical="center"/>
      <protection locked="0"/>
    </xf>
    <xf numFmtId="0" fontId="18" fillId="10" borderId="89" xfId="0" applyFont="1" applyFill="1" applyBorder="1" applyAlignment="1" applyProtection="1">
      <alignment horizontal="center" vertical="center" wrapText="1"/>
      <protection locked="0"/>
    </xf>
    <xf numFmtId="0" fontId="19" fillId="10" borderId="89" xfId="0" applyFont="1" applyFill="1" applyBorder="1" applyAlignment="1" applyProtection="1">
      <alignment horizontal="center" vertical="center" wrapText="1"/>
      <protection locked="0"/>
    </xf>
    <xf numFmtId="0" fontId="18" fillId="12" borderId="89" xfId="0" applyFont="1" applyFill="1" applyBorder="1" applyAlignment="1" applyProtection="1">
      <alignment horizontal="center" vertical="center" wrapText="1"/>
      <protection locked="0"/>
    </xf>
    <xf numFmtId="0" fontId="1" fillId="10" borderId="70" xfId="0" applyFont="1" applyFill="1" applyBorder="1" applyAlignment="1" applyProtection="1">
      <alignment horizontal="center" vertical="center"/>
      <protection locked="0"/>
    </xf>
    <xf numFmtId="0" fontId="3" fillId="9" borderId="12" xfId="0" applyFont="1" applyFill="1" applyBorder="1" applyAlignment="1" applyProtection="1">
      <alignment horizontal="center"/>
      <protection locked="0"/>
    </xf>
    <xf numFmtId="1" fontId="3" fillId="9" borderId="12" xfId="0" applyNumberFormat="1" applyFont="1" applyFill="1" applyBorder="1" applyAlignment="1" applyProtection="1">
      <alignment horizontal="center" vertical="center"/>
      <protection locked="0"/>
    </xf>
    <xf numFmtId="0" fontId="6" fillId="10" borderId="12" xfId="0" applyFont="1" applyFill="1" applyBorder="1" applyProtection="1">
      <protection locked="0"/>
    </xf>
    <xf numFmtId="1" fontId="3" fillId="9" borderId="10" xfId="0" applyNumberFormat="1" applyFont="1" applyFill="1" applyBorder="1" applyAlignment="1" applyProtection="1">
      <alignment horizontal="center" vertical="center"/>
      <protection locked="0"/>
    </xf>
    <xf numFmtId="0" fontId="6" fillId="10" borderId="10" xfId="0" applyFont="1" applyFill="1" applyBorder="1" applyProtection="1">
      <protection locked="0"/>
    </xf>
    <xf numFmtId="1" fontId="3" fillId="9" borderId="89" xfId="0" applyNumberFormat="1" applyFont="1" applyFill="1" applyBorder="1" applyAlignment="1" applyProtection="1">
      <alignment horizontal="center" vertical="center"/>
      <protection locked="0"/>
    </xf>
    <xf numFmtId="0" fontId="6" fillId="10" borderId="89" xfId="0" applyFont="1" applyFill="1" applyBorder="1" applyProtection="1">
      <protection locked="0"/>
    </xf>
    <xf numFmtId="0" fontId="3" fillId="9" borderId="89" xfId="0" applyFont="1" applyFill="1" applyBorder="1" applyAlignment="1" applyProtection="1">
      <alignment horizontal="center" vertical="center"/>
      <protection locked="0"/>
    </xf>
    <xf numFmtId="0" fontId="0" fillId="10" borderId="89" xfId="0" applyFill="1" applyBorder="1" applyProtection="1">
      <protection locked="0"/>
    </xf>
    <xf numFmtId="0" fontId="3" fillId="11" borderId="38" xfId="0" applyFont="1" applyFill="1" applyBorder="1" applyAlignment="1" applyProtection="1">
      <alignment horizontal="center" vertical="center" wrapText="1"/>
      <protection locked="0"/>
    </xf>
    <xf numFmtId="0" fontId="3" fillId="11" borderId="39" xfId="0" applyFont="1" applyFill="1" applyBorder="1" applyAlignment="1" applyProtection="1">
      <alignment horizontal="center" vertical="center" wrapText="1"/>
      <protection locked="0"/>
    </xf>
    <xf numFmtId="0" fontId="3" fillId="11" borderId="36" xfId="0" applyFont="1" applyFill="1" applyBorder="1" applyAlignment="1" applyProtection="1">
      <alignment horizontal="center" vertical="center" wrapText="1"/>
      <protection locked="0"/>
    </xf>
    <xf numFmtId="0" fontId="3" fillId="11" borderId="37" xfId="0" applyFont="1" applyFill="1" applyBorder="1" applyAlignment="1" applyProtection="1">
      <alignment horizontal="center" vertical="center" wrapText="1"/>
      <protection locked="0"/>
    </xf>
    <xf numFmtId="0" fontId="3" fillId="11" borderId="34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" fillId="9" borderId="89" xfId="0" applyFont="1" applyFill="1" applyBorder="1" applyAlignment="1" applyProtection="1">
      <alignment horizontal="center" vertical="center"/>
      <protection locked="0"/>
    </xf>
    <xf numFmtId="0" fontId="11" fillId="10" borderId="89" xfId="0" applyFont="1" applyFill="1" applyBorder="1" applyAlignment="1" applyProtection="1">
      <alignment horizontal="center" vertical="center"/>
      <protection locked="0"/>
    </xf>
    <xf numFmtId="0" fontId="3" fillId="10" borderId="89" xfId="0" applyFont="1" applyFill="1" applyBorder="1" applyAlignment="1" applyProtection="1">
      <alignment horizontal="center" vertical="center"/>
      <protection locked="0"/>
    </xf>
    <xf numFmtId="0" fontId="10" fillId="10" borderId="12" xfId="0" applyFont="1" applyFill="1" applyBorder="1" applyAlignment="1" applyProtection="1">
      <alignment horizontal="center" vertical="center"/>
      <protection locked="0"/>
    </xf>
    <xf numFmtId="0" fontId="1" fillId="2" borderId="89" xfId="0" applyFont="1" applyFill="1" applyBorder="1" applyAlignment="1" applyProtection="1">
      <alignment horizontal="center" vertical="center"/>
      <protection locked="0"/>
    </xf>
    <xf numFmtId="0" fontId="1" fillId="6" borderId="12" xfId="0" applyFont="1" applyFill="1" applyBorder="1" applyAlignment="1" applyProtection="1">
      <alignment horizontal="center" vertical="center"/>
      <protection locked="0"/>
    </xf>
    <xf numFmtId="0" fontId="3" fillId="10" borderId="12" xfId="0" applyFont="1" applyFill="1" applyBorder="1" applyAlignment="1" applyProtection="1">
      <alignment horizontal="center"/>
      <protection locked="0"/>
    </xf>
    <xf numFmtId="0" fontId="5" fillId="11" borderId="89" xfId="0" applyFont="1" applyFill="1" applyBorder="1" applyAlignment="1" applyProtection="1">
      <alignment vertical="center"/>
      <protection locked="0"/>
    </xf>
    <xf numFmtId="0" fontId="11" fillId="11" borderId="89" xfId="0" applyFont="1" applyFill="1" applyBorder="1" applyAlignment="1" applyProtection="1">
      <alignment horizontal="center" vertical="center"/>
      <protection locked="0"/>
    </xf>
    <xf numFmtId="0" fontId="3" fillId="12" borderId="89" xfId="0" applyFont="1" applyFill="1" applyBorder="1" applyAlignment="1" applyProtection="1">
      <alignment horizontal="center" vertical="center"/>
      <protection locked="0"/>
    </xf>
    <xf numFmtId="0" fontId="1" fillId="6" borderId="89" xfId="0" applyFont="1" applyFill="1" applyBorder="1" applyAlignment="1" applyProtection="1">
      <alignment horizontal="center" vertical="center"/>
      <protection locked="0"/>
    </xf>
    <xf numFmtId="1" fontId="1" fillId="0" borderId="12" xfId="0" applyNumberFormat="1" applyFont="1" applyBorder="1" applyAlignment="1">
      <alignment horizontal="center" vertical="center"/>
    </xf>
    <xf numFmtId="0" fontId="18" fillId="14" borderId="89" xfId="0" applyFont="1" applyFill="1" applyBorder="1" applyAlignment="1">
      <alignment horizontal="center" vertical="center"/>
    </xf>
    <xf numFmtId="0" fontId="18" fillId="7" borderId="89" xfId="0" applyFont="1" applyFill="1" applyBorder="1" applyAlignment="1">
      <alignment horizontal="center" vertical="center"/>
    </xf>
    <xf numFmtId="0" fontId="18" fillId="7" borderId="89" xfId="0" applyFont="1" applyFill="1" applyBorder="1" applyAlignment="1">
      <alignment horizontal="center"/>
    </xf>
    <xf numFmtId="0" fontId="18" fillId="7" borderId="89" xfId="0" applyFont="1" applyFill="1" applyBorder="1" applyAlignment="1">
      <alignment horizontal="center" wrapText="1"/>
    </xf>
    <xf numFmtId="2" fontId="18" fillId="7" borderId="89" xfId="0" applyNumberFormat="1" applyFont="1" applyFill="1" applyBorder="1" applyAlignment="1">
      <alignment horizontal="center" vertical="center"/>
    </xf>
    <xf numFmtId="0" fontId="18" fillId="7" borderId="89" xfId="0" applyFont="1" applyFill="1" applyBorder="1" applyAlignment="1">
      <alignment horizontal="left" vertical="center" wrapText="1"/>
    </xf>
    <xf numFmtId="0" fontId="18" fillId="0" borderId="89" xfId="0" applyFont="1" applyBorder="1" applyAlignment="1">
      <alignment horizontal="center" wrapText="1"/>
    </xf>
    <xf numFmtId="0" fontId="18" fillId="0" borderId="89" xfId="0" applyFont="1" applyBorder="1" applyAlignment="1">
      <alignment horizontal="center"/>
    </xf>
    <xf numFmtId="2" fontId="18" fillId="0" borderId="89" xfId="0" applyNumberFormat="1" applyFont="1" applyBorder="1" applyAlignment="1">
      <alignment horizontal="center" vertical="center"/>
    </xf>
    <xf numFmtId="0" fontId="18" fillId="0" borderId="89" xfId="0" applyFont="1" applyBorder="1" applyAlignment="1">
      <alignment horizontal="center" vertical="center"/>
    </xf>
    <xf numFmtId="0" fontId="18" fillId="0" borderId="89" xfId="0" applyFont="1" applyBorder="1"/>
    <xf numFmtId="43" fontId="18" fillId="0" borderId="89" xfId="0" applyNumberFormat="1" applyFont="1" applyBorder="1"/>
    <xf numFmtId="0" fontId="18" fillId="7" borderId="89" xfId="0" applyFont="1" applyFill="1" applyBorder="1"/>
    <xf numFmtId="164" fontId="18" fillId="0" borderId="89" xfId="1" applyFont="1" applyFill="1" applyBorder="1"/>
    <xf numFmtId="0" fontId="0" fillId="0" borderId="0" xfId="0"/>
    <xf numFmtId="0" fontId="1" fillId="0" borderId="0" xfId="0" applyFont="1" applyAlignment="1">
      <alignment horizontal="center" vertical="center"/>
    </xf>
    <xf numFmtId="2" fontId="18" fillId="0" borderId="86" xfId="0" applyNumberFormat="1" applyFont="1" applyBorder="1" applyAlignment="1">
      <alignment horizontal="center" vertical="center"/>
    </xf>
    <xf numFmtId="2" fontId="18" fillId="0" borderId="87" xfId="0" applyNumberFormat="1" applyFont="1" applyBorder="1" applyAlignment="1">
      <alignment horizontal="center" vertical="center"/>
    </xf>
    <xf numFmtId="2" fontId="18" fillId="0" borderId="88" xfId="0" applyNumberFormat="1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10" borderId="89" xfId="0" applyFont="1" applyFill="1" applyBorder="1" applyAlignment="1" applyProtection="1">
      <alignment horizontal="center" vertical="center"/>
      <protection locked="0"/>
    </xf>
    <xf numFmtId="0" fontId="17" fillId="0" borderId="89" xfId="0" applyFont="1" applyBorder="1" applyAlignment="1">
      <alignment horizontal="center" vertical="center"/>
    </xf>
    <xf numFmtId="0" fontId="18" fillId="14" borderId="89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1" fillId="9" borderId="5" xfId="0" applyFont="1" applyFill="1" applyBorder="1" applyAlignment="1" applyProtection="1">
      <alignment horizontal="center" vertical="center"/>
      <protection locked="0"/>
    </xf>
    <xf numFmtId="0" fontId="2" fillId="10" borderId="6" xfId="0" applyFont="1" applyFill="1" applyBorder="1" applyProtection="1">
      <protection locked="0"/>
    </xf>
    <xf numFmtId="0" fontId="2" fillId="10" borderId="7" xfId="0" applyFont="1" applyFill="1" applyBorder="1" applyProtection="1">
      <protection locked="0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9" borderId="1" xfId="0" applyFont="1" applyFill="1" applyBorder="1" applyAlignment="1" applyProtection="1">
      <alignment horizontal="center"/>
      <protection locked="0"/>
    </xf>
    <xf numFmtId="0" fontId="2" fillId="10" borderId="2" xfId="0" applyFont="1" applyFill="1" applyBorder="1" applyProtection="1">
      <protection locked="0"/>
    </xf>
    <xf numFmtId="0" fontId="2" fillId="10" borderId="3" xfId="0" applyFont="1" applyFill="1" applyBorder="1" applyProtection="1">
      <protection locked="0"/>
    </xf>
    <xf numFmtId="0" fontId="2" fillId="10" borderId="9" xfId="0" applyFont="1" applyFill="1" applyBorder="1" applyProtection="1">
      <protection locked="0"/>
    </xf>
    <xf numFmtId="0" fontId="7" fillId="4" borderId="59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54" xfId="0" applyFont="1" applyBorder="1"/>
    <xf numFmtId="0" fontId="7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91" xfId="0" applyFont="1" applyFill="1" applyBorder="1" applyAlignment="1">
      <alignment horizontal="center" vertical="center" wrapText="1"/>
    </xf>
    <xf numFmtId="0" fontId="1" fillId="4" borderId="93" xfId="0" applyFont="1" applyFill="1" applyBorder="1" applyAlignment="1">
      <alignment horizontal="center" vertical="center" wrapText="1"/>
    </xf>
    <xf numFmtId="0" fontId="3" fillId="10" borderId="8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9" xfId="0" applyFont="1" applyBorder="1"/>
    <xf numFmtId="0" fontId="1" fillId="2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21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20" xfId="0" applyFont="1" applyBorder="1"/>
    <xf numFmtId="0" fontId="2" fillId="0" borderId="23" xfId="0" applyFont="1" applyBorder="1"/>
    <xf numFmtId="0" fontId="2" fillId="0" borderId="25" xfId="0" applyFont="1" applyBorder="1"/>
    <xf numFmtId="0" fontId="0" fillId="0" borderId="0" xfId="0"/>
    <xf numFmtId="0" fontId="2" fillId="0" borderId="26" xfId="0" applyFont="1" applyBorder="1"/>
    <xf numFmtId="0" fontId="1" fillId="13" borderId="10" xfId="0" applyFont="1" applyFill="1" applyBorder="1" applyAlignment="1">
      <alignment horizontal="center" vertical="center"/>
    </xf>
    <xf numFmtId="0" fontId="2" fillId="14" borderId="28" xfId="0" applyFont="1" applyFill="1" applyBorder="1"/>
    <xf numFmtId="0" fontId="2" fillId="14" borderId="11" xfId="0" applyFont="1" applyFill="1" applyBorder="1"/>
    <xf numFmtId="0" fontId="2" fillId="0" borderId="24" xfId="0" applyFont="1" applyBorder="1"/>
    <xf numFmtId="0" fontId="2" fillId="0" borderId="27" xfId="0" applyFont="1" applyBorder="1"/>
    <xf numFmtId="0" fontId="1" fillId="15" borderId="17" xfId="0" applyFont="1" applyFill="1" applyBorder="1" applyAlignment="1">
      <alignment horizontal="center" vertical="center"/>
    </xf>
    <xf numFmtId="0" fontId="2" fillId="14" borderId="23" xfId="0" applyFont="1" applyFill="1" applyBorder="1"/>
    <xf numFmtId="0" fontId="2" fillId="14" borderId="18" xfId="0" applyFont="1" applyFill="1" applyBorder="1"/>
    <xf numFmtId="0" fontId="2" fillId="14" borderId="25" xfId="0" applyFont="1" applyFill="1" applyBorder="1"/>
    <xf numFmtId="0" fontId="0" fillId="14" borderId="0" xfId="0" applyFill="1"/>
    <xf numFmtId="0" fontId="2" fillId="14" borderId="26" xfId="0" applyFont="1" applyFill="1" applyBorder="1"/>
    <xf numFmtId="0" fontId="2" fillId="14" borderId="19" xfId="0" applyFont="1" applyFill="1" applyBorder="1"/>
    <xf numFmtId="0" fontId="2" fillId="14" borderId="20" xfId="0" applyFont="1" applyFill="1" applyBorder="1"/>
    <xf numFmtId="0" fontId="2" fillId="14" borderId="21" xfId="0" applyFont="1" applyFill="1" applyBorder="1"/>
    <xf numFmtId="0" fontId="21" fillId="2" borderId="17" xfId="0" applyFont="1" applyFill="1" applyBorder="1" applyAlignment="1">
      <alignment horizontal="center" vertical="center" wrapText="1"/>
    </xf>
    <xf numFmtId="0" fontId="22" fillId="0" borderId="0" xfId="0" applyFont="1"/>
    <xf numFmtId="2" fontId="1" fillId="13" borderId="17" xfId="0" applyNumberFormat="1" applyFont="1" applyFill="1" applyBorder="1" applyAlignment="1">
      <alignment horizontal="center" vertical="center"/>
    </xf>
    <xf numFmtId="0" fontId="2" fillId="14" borderId="24" xfId="0" applyFont="1" applyFill="1" applyBorder="1"/>
    <xf numFmtId="0" fontId="2" fillId="14" borderId="27" xfId="0" applyFont="1" applyFill="1" applyBorder="1"/>
    <xf numFmtId="0" fontId="2" fillId="14" borderId="22" xfId="0" applyFont="1" applyFill="1" applyBorder="1"/>
    <xf numFmtId="2" fontId="1" fillId="15" borderId="17" xfId="0" applyNumberFormat="1" applyFont="1" applyFill="1" applyBorder="1" applyAlignment="1">
      <alignment horizontal="center" vertical="center"/>
    </xf>
    <xf numFmtId="0" fontId="3" fillId="9" borderId="89" xfId="0" applyFont="1" applyFill="1" applyBorder="1" applyAlignment="1">
      <alignment horizontal="center"/>
    </xf>
    <xf numFmtId="0" fontId="1" fillId="4" borderId="90" xfId="0" applyFont="1" applyFill="1" applyBorder="1" applyAlignment="1">
      <alignment horizontal="center" vertical="center" wrapText="1"/>
    </xf>
    <xf numFmtId="0" fontId="1" fillId="4" borderId="95" xfId="0" applyFont="1" applyFill="1" applyBorder="1" applyAlignment="1">
      <alignment horizontal="center" vertical="center" wrapText="1"/>
    </xf>
    <xf numFmtId="0" fontId="1" fillId="4" borderId="96" xfId="0" applyFont="1" applyFill="1" applyBorder="1" applyAlignment="1">
      <alignment horizontal="center" vertical="center" wrapText="1"/>
    </xf>
    <xf numFmtId="0" fontId="1" fillId="8" borderId="32" xfId="0" applyFont="1" applyFill="1" applyBorder="1" applyAlignment="1">
      <alignment horizontal="center" vertical="center"/>
    </xf>
    <xf numFmtId="0" fontId="2" fillId="7" borderId="32" xfId="0" applyFont="1" applyFill="1" applyBorder="1"/>
    <xf numFmtId="0" fontId="5" fillId="10" borderId="89" xfId="0" applyFont="1" applyFill="1" applyBorder="1" applyAlignment="1" applyProtection="1">
      <alignment horizontal="center" vertical="center"/>
      <protection locked="0"/>
    </xf>
    <xf numFmtId="0" fontId="20" fillId="10" borderId="89" xfId="0" applyFont="1" applyFill="1" applyBorder="1" applyAlignment="1" applyProtection="1">
      <alignment horizontal="center" vertical="center"/>
      <protection locked="0"/>
    </xf>
    <xf numFmtId="0" fontId="1" fillId="4" borderId="92" xfId="0" applyFont="1" applyFill="1" applyBorder="1" applyAlignment="1">
      <alignment horizontal="center" vertical="center" wrapText="1"/>
    </xf>
    <xf numFmtId="0" fontId="1" fillId="4" borderId="94" xfId="0" applyFont="1" applyFill="1" applyBorder="1" applyAlignment="1">
      <alignment horizontal="center" vertical="center" wrapText="1"/>
    </xf>
    <xf numFmtId="0" fontId="16" fillId="10" borderId="97" xfId="0" applyFont="1" applyFill="1" applyBorder="1" applyAlignment="1">
      <alignment horizontal="center" vertical="center" wrapText="1"/>
    </xf>
    <xf numFmtId="0" fontId="1" fillId="10" borderId="98" xfId="0" applyFont="1" applyFill="1" applyBorder="1" applyAlignment="1">
      <alignment horizontal="center" vertical="center" wrapText="1"/>
    </xf>
    <xf numFmtId="0" fontId="1" fillId="10" borderId="99" xfId="0" applyFont="1" applyFill="1" applyBorder="1" applyAlignment="1">
      <alignment horizontal="center" vertical="center" wrapText="1"/>
    </xf>
    <xf numFmtId="0" fontId="1" fillId="10" borderId="70" xfId="0" applyFont="1" applyFill="1" applyBorder="1" applyAlignment="1" applyProtection="1">
      <alignment horizontal="center" vertical="center"/>
      <protection locked="0"/>
    </xf>
    <xf numFmtId="0" fontId="2" fillId="10" borderId="59" xfId="0" applyFont="1" applyFill="1" applyBorder="1" applyProtection="1">
      <protection locked="0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9" xfId="0" applyFont="1" applyFill="1" applyBorder="1" applyAlignment="1">
      <alignment horizontal="center" vertical="center" wrapText="1"/>
    </xf>
    <xf numFmtId="0" fontId="2" fillId="0" borderId="89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2" fillId="0" borderId="9" xfId="0" applyFont="1" applyBorder="1"/>
    <xf numFmtId="1" fontId="10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2" borderId="8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6" fillId="10" borderId="5" xfId="0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2" fillId="0" borderId="49" xfId="0" applyFont="1" applyBorder="1"/>
    <xf numFmtId="0" fontId="1" fillId="0" borderId="5" xfId="0" applyFont="1" applyBorder="1" applyAlignment="1">
      <alignment horizontal="center" vertical="center"/>
    </xf>
    <xf numFmtId="0" fontId="1" fillId="6" borderId="51" xfId="0" applyFont="1" applyFill="1" applyBorder="1" applyAlignment="1">
      <alignment horizontal="center" vertical="center"/>
    </xf>
    <xf numFmtId="0" fontId="2" fillId="0" borderId="52" xfId="0" applyFont="1" applyBorder="1"/>
    <xf numFmtId="0" fontId="2" fillId="0" borderId="82" xfId="0" applyFont="1" applyBorder="1"/>
    <xf numFmtId="0" fontId="1" fillId="2" borderId="32" xfId="0" applyFont="1" applyFill="1" applyBorder="1" applyAlignment="1">
      <alignment horizontal="center" vertical="center"/>
    </xf>
    <xf numFmtId="0" fontId="2" fillId="0" borderId="32" xfId="0" applyFont="1" applyBorder="1"/>
    <xf numFmtId="0" fontId="1" fillId="6" borderId="53" xfId="0" applyFont="1" applyFill="1" applyBorder="1" applyAlignment="1">
      <alignment horizontal="center" vertical="center"/>
    </xf>
    <xf numFmtId="0" fontId="1" fillId="6" borderId="42" xfId="0" applyFont="1" applyFill="1" applyBorder="1" applyAlignment="1">
      <alignment horizontal="center" vertical="center" wrapText="1"/>
    </xf>
    <xf numFmtId="0" fontId="2" fillId="0" borderId="44" xfId="0" applyFont="1" applyBorder="1"/>
    <xf numFmtId="0" fontId="2" fillId="0" borderId="45" xfId="0" applyFont="1" applyBorder="1"/>
    <xf numFmtId="0" fontId="1" fillId="0" borderId="5" xfId="0" applyFont="1" applyBorder="1" applyAlignment="1">
      <alignment horizontal="center" vertical="center" wrapText="1"/>
    </xf>
    <xf numFmtId="0" fontId="2" fillId="0" borderId="43" xfId="0" applyFont="1" applyBorder="1"/>
    <xf numFmtId="0" fontId="1" fillId="0" borderId="70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28" xfId="0" applyFont="1" applyBorder="1"/>
    <xf numFmtId="0" fontId="2" fillId="0" borderId="11" xfId="0" applyFont="1" applyBorder="1"/>
    <xf numFmtId="0" fontId="1" fillId="0" borderId="70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70" xfId="0" applyFont="1" applyBorder="1" applyAlignment="1" applyProtection="1">
      <alignment horizontal="center"/>
      <protection locked="0"/>
    </xf>
    <xf numFmtId="0" fontId="2" fillId="0" borderId="48" xfId="0" applyFont="1" applyBorder="1" applyProtection="1">
      <protection locked="0"/>
    </xf>
    <xf numFmtId="0" fontId="1" fillId="0" borderId="89" xfId="0" applyFont="1" applyBorder="1" applyAlignment="1">
      <alignment horizontal="center" vertical="center" wrapText="1"/>
    </xf>
    <xf numFmtId="0" fontId="1" fillId="10" borderId="89" xfId="0" applyFont="1" applyFill="1" applyBorder="1" applyAlignment="1">
      <alignment horizontal="center" vertical="center"/>
    </xf>
    <xf numFmtId="0" fontId="2" fillId="10" borderId="89" xfId="0" applyFont="1" applyFill="1" applyBorder="1"/>
    <xf numFmtId="0" fontId="2" fillId="10" borderId="86" xfId="0" applyFont="1" applyFill="1" applyBorder="1"/>
    <xf numFmtId="0" fontId="1" fillId="2" borderId="89" xfId="0" applyFont="1" applyFill="1" applyBorder="1" applyAlignment="1">
      <alignment horizontal="center" vertical="center"/>
    </xf>
    <xf numFmtId="0" fontId="1" fillId="6" borderId="89" xfId="0" applyFont="1" applyFill="1" applyBorder="1" applyAlignment="1">
      <alignment horizontal="center" vertical="center"/>
    </xf>
    <xf numFmtId="0" fontId="1" fillId="6" borderId="89" xfId="0" applyFont="1" applyFill="1" applyBorder="1" applyAlignment="1">
      <alignment horizontal="center" vertical="center" wrapText="1"/>
    </xf>
    <xf numFmtId="0" fontId="5" fillId="2" borderId="89" xfId="0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/>
    </xf>
    <xf numFmtId="0" fontId="1" fillId="11" borderId="89" xfId="0" applyFont="1" applyFill="1" applyBorder="1" applyAlignment="1">
      <alignment horizontal="center" vertical="center"/>
    </xf>
    <xf numFmtId="0" fontId="3" fillId="6" borderId="89" xfId="0" applyFont="1" applyFill="1" applyBorder="1" applyAlignment="1">
      <alignment horizontal="center" vertical="center"/>
    </xf>
    <xf numFmtId="0" fontId="1" fillId="11" borderId="89" xfId="0" applyFont="1" applyFill="1" applyBorder="1" applyAlignment="1" applyProtection="1">
      <alignment horizontal="center" vertical="center"/>
      <protection locked="0"/>
    </xf>
    <xf numFmtId="0" fontId="2" fillId="10" borderId="89" xfId="0" applyFont="1" applyFill="1" applyBorder="1" applyProtection="1">
      <protection locked="0"/>
    </xf>
    <xf numFmtId="0" fontId="1" fillId="0" borderId="0" xfId="0" applyFont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2" fillId="0" borderId="60" xfId="0" applyFont="1" applyBorder="1"/>
    <xf numFmtId="0" fontId="1" fillId="6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1" fillId="6" borderId="1" xfId="0" applyFont="1" applyFill="1" applyBorder="1" applyAlignment="1">
      <alignment horizontal="center" vertical="center"/>
    </xf>
    <xf numFmtId="0" fontId="10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1" fillId="6" borderId="10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1" fillId="6" borderId="47" xfId="0" applyFont="1" applyFill="1" applyBorder="1" applyAlignment="1">
      <alignment horizontal="center" vertical="center" wrapText="1"/>
    </xf>
    <xf numFmtId="0" fontId="6" fillId="0" borderId="17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7" fillId="4" borderId="71" xfId="0" applyFont="1" applyFill="1" applyBorder="1" applyAlignment="1">
      <alignment horizontal="center" vertical="center" wrapText="1"/>
    </xf>
    <xf numFmtId="0" fontId="2" fillId="0" borderId="72" xfId="0" applyFont="1" applyBorder="1"/>
    <xf numFmtId="0" fontId="2" fillId="0" borderId="73" xfId="0" applyFont="1" applyBorder="1"/>
    <xf numFmtId="0" fontId="2" fillId="0" borderId="41" xfId="0" applyFont="1" applyBorder="1"/>
    <xf numFmtId="0" fontId="2" fillId="0" borderId="74" xfId="0" applyFont="1" applyBorder="1"/>
    <xf numFmtId="0" fontId="2" fillId="0" borderId="75" xfId="0" applyFont="1" applyBorder="1"/>
    <xf numFmtId="0" fontId="2" fillId="0" borderId="76" xfId="0" applyFont="1" applyBorder="1"/>
    <xf numFmtId="0" fontId="2" fillId="0" borderId="39" xfId="0" applyFont="1" applyBorder="1"/>
    <xf numFmtId="0" fontId="3" fillId="10" borderId="71" xfId="0" applyFont="1" applyFill="1" applyBorder="1" applyAlignment="1" applyProtection="1">
      <alignment horizontal="left" vertical="center" wrapText="1"/>
      <protection locked="0"/>
    </xf>
    <xf numFmtId="0" fontId="2" fillId="10" borderId="72" xfId="0" applyFont="1" applyFill="1" applyBorder="1" applyProtection="1">
      <protection locked="0"/>
    </xf>
    <xf numFmtId="0" fontId="2" fillId="10" borderId="73" xfId="0" applyFont="1" applyFill="1" applyBorder="1" applyProtection="1">
      <protection locked="0"/>
    </xf>
    <xf numFmtId="0" fontId="2" fillId="10" borderId="41" xfId="0" applyFont="1" applyFill="1" applyBorder="1" applyProtection="1">
      <protection locked="0"/>
    </xf>
    <xf numFmtId="0" fontId="0" fillId="10" borderId="0" xfId="0" applyFill="1" applyProtection="1">
      <protection locked="0"/>
    </xf>
    <xf numFmtId="0" fontId="2" fillId="10" borderId="74" xfId="0" applyFont="1" applyFill="1" applyBorder="1" applyProtection="1">
      <protection locked="0"/>
    </xf>
    <xf numFmtId="0" fontId="2" fillId="10" borderId="75" xfId="0" applyFont="1" applyFill="1" applyBorder="1" applyProtection="1">
      <protection locked="0"/>
    </xf>
    <xf numFmtId="0" fontId="2" fillId="10" borderId="76" xfId="0" applyFont="1" applyFill="1" applyBorder="1" applyProtection="1">
      <protection locked="0"/>
    </xf>
    <xf numFmtId="0" fontId="2" fillId="10" borderId="39" xfId="0" applyFont="1" applyFill="1" applyBorder="1" applyProtection="1">
      <protection locked="0"/>
    </xf>
    <xf numFmtId="0" fontId="7" fillId="0" borderId="78" xfId="0" applyFont="1" applyBorder="1" applyAlignment="1">
      <alignment horizontal="center" vertical="center" wrapText="1"/>
    </xf>
    <xf numFmtId="0" fontId="2" fillId="0" borderId="79" xfId="0" applyFont="1" applyBorder="1"/>
    <xf numFmtId="0" fontId="2" fillId="0" borderId="35" xfId="0" applyFont="1" applyBorder="1"/>
    <xf numFmtId="0" fontId="7" fillId="4" borderId="80" xfId="0" applyFont="1" applyFill="1" applyBorder="1" applyAlignment="1">
      <alignment horizontal="center" vertical="center" wrapText="1"/>
    </xf>
    <xf numFmtId="0" fontId="2" fillId="0" borderId="83" xfId="0" applyFont="1" applyBorder="1"/>
    <xf numFmtId="0" fontId="1" fillId="4" borderId="81" xfId="0" applyFont="1" applyFill="1" applyBorder="1" applyAlignment="1">
      <alignment horizontal="center" vertical="center" wrapText="1"/>
    </xf>
    <xf numFmtId="0" fontId="2" fillId="0" borderId="84" xfId="0" applyFont="1" applyBorder="1"/>
    <xf numFmtId="0" fontId="1" fillId="4" borderId="80" xfId="0" applyFont="1" applyFill="1" applyBorder="1" applyAlignment="1">
      <alignment horizontal="center" vertical="center" wrapText="1"/>
    </xf>
    <xf numFmtId="0" fontId="1" fillId="4" borderId="82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2" fillId="0" borderId="31" xfId="0" applyFont="1" applyBorder="1"/>
    <xf numFmtId="0" fontId="2" fillId="0" borderId="85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DF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489858</xdr:colOff>
      <xdr:row>0</xdr:row>
      <xdr:rowOff>13607</xdr:rowOff>
    </xdr:from>
    <xdr:to>
      <xdr:col>10</xdr:col>
      <xdr:colOff>239486</xdr:colOff>
      <xdr:row>6</xdr:row>
      <xdr:rowOff>185057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92929" y="13607"/>
          <a:ext cx="6253843" cy="1314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11</xdr:col>
      <xdr:colOff>419100</xdr:colOff>
      <xdr:row>5</xdr:row>
      <xdr:rowOff>123825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76425" y="142875"/>
          <a:ext cx="6257925" cy="1314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6"/>
  <sheetViews>
    <sheetView topLeftCell="A2" zoomScale="85" zoomScaleNormal="85" workbookViewId="0">
      <selection activeCell="A2" sqref="A2:M2"/>
    </sheetView>
  </sheetViews>
  <sheetFormatPr defaultRowHeight="15"/>
  <cols>
    <col min="1" max="1" width="23.85546875" customWidth="1"/>
    <col min="4" max="4" width="9.5703125" bestFit="1" customWidth="1"/>
  </cols>
  <sheetData>
    <row r="1" spans="1:13" ht="18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</row>
    <row r="2" spans="1:13" ht="15" customHeight="1">
      <c r="A2" s="185" t="s">
        <v>1013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</row>
    <row r="3" spans="1:13" ht="15" customHeight="1">
      <c r="A3" s="186" t="s">
        <v>121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</row>
    <row r="4" spans="1:13" ht="15" customHeight="1">
      <c r="A4" s="165" t="s">
        <v>50</v>
      </c>
      <c r="B4" s="187" t="s">
        <v>107</v>
      </c>
      <c r="C4" s="187"/>
      <c r="D4" s="187"/>
      <c r="E4" s="187"/>
      <c r="F4" s="187"/>
      <c r="G4" s="187"/>
      <c r="H4" s="187" t="s">
        <v>108</v>
      </c>
      <c r="I4" s="187"/>
      <c r="J4" s="187"/>
      <c r="K4" s="187"/>
      <c r="L4" s="187"/>
      <c r="M4" s="187"/>
    </row>
    <row r="5" spans="1:13" ht="15" customHeight="1">
      <c r="A5" s="165"/>
      <c r="B5" s="165" t="s">
        <v>109</v>
      </c>
      <c r="C5" s="165" t="s">
        <v>110</v>
      </c>
      <c r="D5" s="165" t="s">
        <v>119</v>
      </c>
      <c r="E5" s="165" t="s">
        <v>120</v>
      </c>
      <c r="F5" s="165" t="s">
        <v>1014</v>
      </c>
      <c r="G5" s="165" t="s">
        <v>1015</v>
      </c>
      <c r="H5" s="165" t="s">
        <v>109</v>
      </c>
      <c r="I5" s="165" t="s">
        <v>110</v>
      </c>
      <c r="J5" s="165" t="s">
        <v>119</v>
      </c>
      <c r="K5" s="165" t="s">
        <v>120</v>
      </c>
      <c r="L5" s="165" t="s">
        <v>1014</v>
      </c>
      <c r="M5" s="165" t="s">
        <v>1015</v>
      </c>
    </row>
    <row r="6" spans="1:13" ht="15" customHeight="1">
      <c r="A6" s="166">
        <v>1</v>
      </c>
      <c r="B6" s="133"/>
      <c r="C6" s="134"/>
      <c r="D6" s="134"/>
      <c r="E6" s="134"/>
      <c r="F6" s="135"/>
      <c r="G6" s="135"/>
      <c r="H6" s="133"/>
      <c r="I6" s="134"/>
      <c r="J6" s="134"/>
      <c r="K6" s="134"/>
      <c r="L6" s="135"/>
      <c r="M6" s="135"/>
    </row>
    <row r="7" spans="1:13" ht="15" customHeight="1">
      <c r="A7" s="166">
        <v>2</v>
      </c>
      <c r="B7" s="133"/>
      <c r="C7" s="134"/>
      <c r="D7" s="134"/>
      <c r="E7" s="134"/>
      <c r="F7" s="135"/>
      <c r="G7" s="135"/>
      <c r="H7" s="133"/>
      <c r="I7" s="134"/>
      <c r="J7" s="134"/>
      <c r="K7" s="134"/>
      <c r="L7" s="135"/>
      <c r="M7" s="135"/>
    </row>
    <row r="8" spans="1:13" ht="15" customHeight="1">
      <c r="A8" s="166">
        <v>3</v>
      </c>
      <c r="B8" s="133"/>
      <c r="C8" s="134"/>
      <c r="D8" s="134"/>
      <c r="E8" s="134"/>
      <c r="F8" s="135"/>
      <c r="G8" s="135"/>
      <c r="H8" s="133"/>
      <c r="I8" s="134"/>
      <c r="J8" s="134"/>
      <c r="K8" s="134"/>
      <c r="L8" s="135"/>
      <c r="M8" s="135"/>
    </row>
    <row r="9" spans="1:13" ht="15" customHeight="1">
      <c r="A9" s="166">
        <v>4</v>
      </c>
      <c r="B9" s="133"/>
      <c r="C9" s="134"/>
      <c r="D9" s="134"/>
      <c r="E9" s="134"/>
      <c r="F9" s="135"/>
      <c r="G9" s="135"/>
      <c r="H9" s="133"/>
      <c r="I9" s="134"/>
      <c r="J9" s="134"/>
      <c r="K9" s="134"/>
      <c r="L9" s="135"/>
      <c r="M9" s="135"/>
    </row>
    <row r="10" spans="1:13" ht="15" customHeight="1">
      <c r="A10" s="166">
        <v>5</v>
      </c>
      <c r="B10" s="133"/>
      <c r="C10" s="134"/>
      <c r="D10" s="134"/>
      <c r="E10" s="134"/>
      <c r="F10" s="135"/>
      <c r="G10" s="135"/>
      <c r="H10" s="133"/>
      <c r="I10" s="134"/>
      <c r="J10" s="134"/>
      <c r="K10" s="134"/>
      <c r="L10" s="135"/>
      <c r="M10" s="135"/>
    </row>
    <row r="11" spans="1:13" ht="15" customHeight="1">
      <c r="A11" s="166">
        <v>6</v>
      </c>
      <c r="B11" s="133"/>
      <c r="C11" s="134"/>
      <c r="D11" s="134"/>
      <c r="E11" s="134"/>
      <c r="F11" s="135"/>
      <c r="G11" s="135"/>
      <c r="H11" s="133"/>
      <c r="I11" s="134"/>
      <c r="J11" s="134"/>
      <c r="K11" s="134"/>
      <c r="L11" s="135"/>
      <c r="M11" s="135"/>
    </row>
    <row r="12" spans="1:13" ht="15" customHeight="1">
      <c r="A12" s="166">
        <v>7</v>
      </c>
      <c r="B12" s="133"/>
      <c r="C12" s="134"/>
      <c r="D12" s="134"/>
      <c r="E12" s="134"/>
      <c r="F12" s="135"/>
      <c r="G12" s="135"/>
      <c r="H12" s="133"/>
      <c r="I12" s="134"/>
      <c r="J12" s="134"/>
      <c r="K12" s="134"/>
      <c r="L12" s="135"/>
      <c r="M12" s="135"/>
    </row>
    <row r="13" spans="1:13" ht="15" customHeight="1">
      <c r="A13" s="166">
        <v>8</v>
      </c>
      <c r="B13" s="133"/>
      <c r="C13" s="134"/>
      <c r="D13" s="134"/>
      <c r="E13" s="134"/>
      <c r="F13" s="135"/>
      <c r="G13" s="135"/>
      <c r="H13" s="133"/>
      <c r="I13" s="134"/>
      <c r="J13" s="134"/>
      <c r="K13" s="134"/>
      <c r="L13" s="135"/>
      <c r="M13" s="135"/>
    </row>
    <row r="14" spans="1:13" ht="15" customHeight="1">
      <c r="A14" s="166">
        <v>9</v>
      </c>
      <c r="B14" s="133"/>
      <c r="C14" s="134"/>
      <c r="D14" s="134"/>
      <c r="E14" s="134"/>
      <c r="F14" s="135"/>
      <c r="G14" s="135"/>
      <c r="H14" s="133"/>
      <c r="I14" s="134"/>
      <c r="J14" s="134"/>
      <c r="K14" s="134"/>
      <c r="L14" s="135"/>
      <c r="M14" s="135"/>
    </row>
    <row r="15" spans="1:13" ht="15" customHeight="1">
      <c r="A15" s="166">
        <v>10</v>
      </c>
      <c r="B15" s="133"/>
      <c r="C15" s="134"/>
      <c r="D15" s="134"/>
      <c r="E15" s="134"/>
      <c r="F15" s="135"/>
      <c r="G15" s="135"/>
      <c r="H15" s="133"/>
      <c r="I15" s="134"/>
      <c r="J15" s="134"/>
      <c r="K15" s="134"/>
      <c r="L15" s="135"/>
      <c r="M15" s="135"/>
    </row>
    <row r="16" spans="1:13" ht="15" customHeight="1">
      <c r="A16" s="166">
        <v>11</v>
      </c>
      <c r="B16" s="133"/>
      <c r="C16" s="134"/>
      <c r="D16" s="134"/>
      <c r="E16" s="134"/>
      <c r="F16" s="135"/>
      <c r="G16" s="135"/>
      <c r="H16" s="133"/>
      <c r="I16" s="134"/>
      <c r="J16" s="134"/>
      <c r="K16" s="134"/>
      <c r="L16" s="135"/>
      <c r="M16" s="135"/>
    </row>
    <row r="17" spans="1:13" ht="15" customHeight="1">
      <c r="A17" s="166">
        <v>12</v>
      </c>
      <c r="B17" s="133"/>
      <c r="C17" s="134"/>
      <c r="D17" s="134"/>
      <c r="E17" s="134"/>
      <c r="F17" s="135"/>
      <c r="G17" s="135"/>
      <c r="H17" s="133"/>
      <c r="I17" s="134"/>
      <c r="J17" s="134"/>
      <c r="K17" s="134"/>
      <c r="L17" s="135"/>
      <c r="M17" s="135"/>
    </row>
    <row r="18" spans="1:13" ht="15" customHeight="1">
      <c r="A18" s="166">
        <v>13</v>
      </c>
      <c r="B18" s="133"/>
      <c r="C18" s="134"/>
      <c r="D18" s="134"/>
      <c r="E18" s="134"/>
      <c r="F18" s="135"/>
      <c r="G18" s="135"/>
      <c r="H18" s="133"/>
      <c r="I18" s="134"/>
      <c r="J18" s="134"/>
      <c r="K18" s="134"/>
      <c r="L18" s="135"/>
      <c r="M18" s="135"/>
    </row>
    <row r="19" spans="1:13" ht="15" customHeight="1">
      <c r="A19" s="166">
        <v>14</v>
      </c>
      <c r="B19" s="133"/>
      <c r="C19" s="134"/>
      <c r="D19" s="134"/>
      <c r="E19" s="134"/>
      <c r="F19" s="135"/>
      <c r="G19" s="135"/>
      <c r="H19" s="133"/>
      <c r="I19" s="134"/>
      <c r="J19" s="134"/>
      <c r="K19" s="134"/>
      <c r="L19" s="135"/>
      <c r="M19" s="135"/>
    </row>
    <row r="20" spans="1:13" ht="15" customHeight="1">
      <c r="A20" s="166">
        <v>15</v>
      </c>
      <c r="B20" s="133"/>
      <c r="C20" s="134"/>
      <c r="D20" s="134"/>
      <c r="E20" s="134"/>
      <c r="F20" s="135"/>
      <c r="G20" s="135"/>
      <c r="H20" s="133"/>
      <c r="I20" s="134"/>
      <c r="J20" s="134"/>
      <c r="K20" s="134"/>
      <c r="L20" s="135"/>
      <c r="M20" s="135"/>
    </row>
    <row r="21" spans="1:13" ht="15" customHeight="1">
      <c r="A21" s="166">
        <v>16</v>
      </c>
      <c r="B21" s="133"/>
      <c r="C21" s="134"/>
      <c r="D21" s="134"/>
      <c r="E21" s="134"/>
      <c r="F21" s="135"/>
      <c r="G21" s="135"/>
      <c r="H21" s="133"/>
      <c r="I21" s="134"/>
      <c r="J21" s="134"/>
      <c r="K21" s="134"/>
      <c r="L21" s="135"/>
      <c r="M21" s="135"/>
    </row>
    <row r="22" spans="1:13" ht="15" customHeight="1">
      <c r="A22" s="166">
        <v>17</v>
      </c>
      <c r="B22" s="133"/>
      <c r="C22" s="134"/>
      <c r="D22" s="134"/>
      <c r="E22" s="134"/>
      <c r="F22" s="135"/>
      <c r="G22" s="135"/>
      <c r="H22" s="133"/>
      <c r="I22" s="134"/>
      <c r="J22" s="134"/>
      <c r="K22" s="134"/>
      <c r="L22" s="135"/>
      <c r="M22" s="135"/>
    </row>
    <row r="23" spans="1:13" ht="15.75">
      <c r="A23" s="166">
        <v>18</v>
      </c>
      <c r="B23" s="133"/>
      <c r="C23" s="134"/>
      <c r="D23" s="134"/>
      <c r="E23" s="134"/>
      <c r="F23" s="135"/>
      <c r="G23" s="135"/>
      <c r="H23" s="133"/>
      <c r="I23" s="134"/>
      <c r="J23" s="134"/>
      <c r="K23" s="134"/>
      <c r="L23" s="135"/>
      <c r="M23" s="135"/>
    </row>
    <row r="24" spans="1:13" ht="15.75">
      <c r="A24" s="166">
        <v>19</v>
      </c>
      <c r="B24" s="133"/>
      <c r="C24" s="134"/>
      <c r="D24" s="134"/>
      <c r="E24" s="134"/>
      <c r="F24" s="135"/>
      <c r="G24" s="135"/>
      <c r="H24" s="133"/>
      <c r="I24" s="134"/>
      <c r="J24" s="134"/>
      <c r="K24" s="134"/>
      <c r="L24" s="135"/>
      <c r="M24" s="135"/>
    </row>
    <row r="25" spans="1:13" ht="15.75">
      <c r="A25" s="166">
        <v>20</v>
      </c>
      <c r="B25" s="133"/>
      <c r="C25" s="134"/>
      <c r="D25" s="134"/>
      <c r="E25" s="134"/>
      <c r="F25" s="135"/>
      <c r="G25" s="135"/>
      <c r="H25" s="133"/>
      <c r="I25" s="134"/>
      <c r="J25" s="134"/>
      <c r="K25" s="134"/>
      <c r="L25" s="135"/>
      <c r="M25" s="135"/>
    </row>
    <row r="26" spans="1:13" ht="15.75">
      <c r="A26" s="166">
        <v>21</v>
      </c>
      <c r="B26" s="133"/>
      <c r="C26" s="134"/>
      <c r="D26" s="134"/>
      <c r="E26" s="134"/>
      <c r="F26" s="135"/>
      <c r="G26" s="135"/>
      <c r="H26" s="133"/>
      <c r="I26" s="134"/>
      <c r="J26" s="134"/>
      <c r="K26" s="134"/>
      <c r="L26" s="135"/>
      <c r="M26" s="135"/>
    </row>
    <row r="27" spans="1:13" ht="15.75">
      <c r="A27" s="166">
        <v>22</v>
      </c>
      <c r="B27" s="133"/>
      <c r="C27" s="134"/>
      <c r="D27" s="134"/>
      <c r="E27" s="134"/>
      <c r="F27" s="135"/>
      <c r="G27" s="135"/>
      <c r="H27" s="133"/>
      <c r="I27" s="134"/>
      <c r="J27" s="134"/>
      <c r="K27" s="134"/>
      <c r="L27" s="135"/>
      <c r="M27" s="135"/>
    </row>
    <row r="28" spans="1:13" ht="15.75">
      <c r="A28" s="166">
        <v>23</v>
      </c>
      <c r="B28" s="133"/>
      <c r="C28" s="134"/>
      <c r="D28" s="134"/>
      <c r="E28" s="134"/>
      <c r="F28" s="135"/>
      <c r="G28" s="135"/>
      <c r="H28" s="133"/>
      <c r="I28" s="134"/>
      <c r="J28" s="134"/>
      <c r="K28" s="134"/>
      <c r="L28" s="135"/>
      <c r="M28" s="135"/>
    </row>
    <row r="29" spans="1:13" ht="15.75">
      <c r="A29" s="166">
        <v>24</v>
      </c>
      <c r="B29" s="133"/>
      <c r="C29" s="134"/>
      <c r="D29" s="134"/>
      <c r="E29" s="134"/>
      <c r="F29" s="135"/>
      <c r="G29" s="135"/>
      <c r="H29" s="133"/>
      <c r="I29" s="134"/>
      <c r="J29" s="134"/>
      <c r="K29" s="134"/>
      <c r="L29" s="135"/>
      <c r="M29" s="135"/>
    </row>
    <row r="30" spans="1:13" ht="15.75">
      <c r="A30" s="166">
        <v>25</v>
      </c>
      <c r="B30" s="133"/>
      <c r="C30" s="134"/>
      <c r="D30" s="134"/>
      <c r="E30" s="134"/>
      <c r="F30" s="135"/>
      <c r="G30" s="135"/>
      <c r="H30" s="133"/>
      <c r="I30" s="134"/>
      <c r="J30" s="134"/>
      <c r="K30" s="134"/>
      <c r="L30" s="135"/>
      <c r="M30" s="135"/>
    </row>
    <row r="31" spans="1:13" ht="15.75">
      <c r="A31" s="166">
        <v>26</v>
      </c>
      <c r="B31" s="133"/>
      <c r="C31" s="134"/>
      <c r="D31" s="134"/>
      <c r="E31" s="134"/>
      <c r="F31" s="135"/>
      <c r="G31" s="135"/>
      <c r="H31" s="133"/>
      <c r="I31" s="134"/>
      <c r="J31" s="134"/>
      <c r="K31" s="134"/>
      <c r="L31" s="135"/>
      <c r="M31" s="135"/>
    </row>
    <row r="32" spans="1:13" ht="15.75">
      <c r="A32" s="166">
        <v>27</v>
      </c>
      <c r="B32" s="133"/>
      <c r="C32" s="134"/>
      <c r="D32" s="134"/>
      <c r="E32" s="134"/>
      <c r="F32" s="135"/>
      <c r="G32" s="135"/>
      <c r="H32" s="133"/>
      <c r="I32" s="134"/>
      <c r="J32" s="134"/>
      <c r="K32" s="134"/>
      <c r="L32" s="135"/>
      <c r="M32" s="135"/>
    </row>
    <row r="33" spans="1:13" ht="15.75">
      <c r="A33" s="166">
        <v>28</v>
      </c>
      <c r="B33" s="133"/>
      <c r="C33" s="134"/>
      <c r="D33" s="134"/>
      <c r="E33" s="134"/>
      <c r="F33" s="135"/>
      <c r="G33" s="135"/>
      <c r="H33" s="133"/>
      <c r="I33" s="134"/>
      <c r="J33" s="134"/>
      <c r="K33" s="134"/>
      <c r="L33" s="135"/>
      <c r="M33" s="135"/>
    </row>
    <row r="34" spans="1:13" ht="15.75">
      <c r="A34" s="166">
        <v>29</v>
      </c>
      <c r="B34" s="133"/>
      <c r="C34" s="134"/>
      <c r="D34" s="134"/>
      <c r="E34" s="134"/>
      <c r="F34" s="135"/>
      <c r="G34" s="135"/>
      <c r="H34" s="133"/>
      <c r="I34" s="134"/>
      <c r="J34" s="134"/>
      <c r="K34" s="134"/>
      <c r="L34" s="135"/>
      <c r="M34" s="135"/>
    </row>
    <row r="35" spans="1:13" ht="15.75">
      <c r="A35" s="166">
        <v>30</v>
      </c>
      <c r="B35" s="133"/>
      <c r="C35" s="134"/>
      <c r="D35" s="134"/>
      <c r="E35" s="134"/>
      <c r="F35" s="135"/>
      <c r="G35" s="135"/>
      <c r="H35" s="133"/>
      <c r="I35" s="134"/>
      <c r="J35" s="134"/>
      <c r="K35" s="134"/>
      <c r="L35" s="135"/>
      <c r="M35" s="135"/>
    </row>
    <row r="36" spans="1:13" ht="15.75">
      <c r="A36" s="166">
        <v>31</v>
      </c>
      <c r="B36" s="133"/>
      <c r="C36" s="134"/>
      <c r="D36" s="134"/>
      <c r="E36" s="134"/>
      <c r="F36" s="135"/>
      <c r="G36" s="135"/>
      <c r="H36" s="133"/>
      <c r="I36" s="134"/>
      <c r="J36" s="134"/>
      <c r="K36" s="134"/>
      <c r="L36" s="135"/>
      <c r="M36" s="135"/>
    </row>
    <row r="37" spans="1:13" ht="15.75">
      <c r="A37" s="166">
        <v>32</v>
      </c>
      <c r="B37" s="133"/>
      <c r="C37" s="134"/>
      <c r="D37" s="134"/>
      <c r="E37" s="134"/>
      <c r="F37" s="135"/>
      <c r="G37" s="135"/>
      <c r="H37" s="133"/>
      <c r="I37" s="134"/>
      <c r="J37" s="134"/>
      <c r="K37" s="134"/>
      <c r="L37" s="135"/>
      <c r="M37" s="135"/>
    </row>
    <row r="38" spans="1:13" ht="15.75">
      <c r="A38" s="166">
        <v>33</v>
      </c>
      <c r="B38" s="133"/>
      <c r="C38" s="134"/>
      <c r="D38" s="134"/>
      <c r="E38" s="134"/>
      <c r="F38" s="135"/>
      <c r="G38" s="135"/>
      <c r="H38" s="133"/>
      <c r="I38" s="134"/>
      <c r="J38" s="134"/>
      <c r="K38" s="134"/>
      <c r="L38" s="135"/>
      <c r="M38" s="135"/>
    </row>
    <row r="39" spans="1:13" ht="15.75">
      <c r="A39" s="166">
        <v>34</v>
      </c>
      <c r="B39" s="133"/>
      <c r="C39" s="134"/>
      <c r="D39" s="134"/>
      <c r="E39" s="134"/>
      <c r="F39" s="135"/>
      <c r="G39" s="135"/>
      <c r="H39" s="133"/>
      <c r="I39" s="136"/>
      <c r="J39" s="136"/>
      <c r="K39" s="136"/>
      <c r="L39" s="135"/>
      <c r="M39" s="135"/>
    </row>
    <row r="40" spans="1:13" ht="15.75">
      <c r="A40" s="166">
        <v>35</v>
      </c>
      <c r="B40" s="133"/>
      <c r="C40" s="134"/>
      <c r="D40" s="134"/>
      <c r="E40" s="134"/>
      <c r="F40" s="135"/>
      <c r="G40" s="135"/>
      <c r="H40" s="133"/>
      <c r="I40" s="134"/>
      <c r="J40" s="134"/>
      <c r="K40" s="134"/>
      <c r="L40" s="135"/>
      <c r="M40" s="135"/>
    </row>
    <row r="41" spans="1:13" ht="15.75">
      <c r="A41" s="166">
        <v>36</v>
      </c>
      <c r="B41" s="133"/>
      <c r="C41" s="134"/>
      <c r="D41" s="134"/>
      <c r="E41" s="134"/>
      <c r="F41" s="135"/>
      <c r="G41" s="135"/>
      <c r="H41" s="133"/>
      <c r="I41" s="134"/>
      <c r="J41" s="134"/>
      <c r="K41" s="134"/>
      <c r="L41" s="135"/>
      <c r="M41" s="135"/>
    </row>
    <row r="42" spans="1:13" ht="15.75">
      <c r="A42" s="166">
        <v>37</v>
      </c>
      <c r="B42" s="133"/>
      <c r="C42" s="134"/>
      <c r="D42" s="134"/>
      <c r="E42" s="134"/>
      <c r="F42" s="135"/>
      <c r="G42" s="135"/>
      <c r="H42" s="133"/>
      <c r="I42" s="134"/>
      <c r="J42" s="134"/>
      <c r="K42" s="134"/>
      <c r="L42" s="135"/>
      <c r="M42" s="135"/>
    </row>
    <row r="43" spans="1:13" ht="15.75">
      <c r="A43" s="166">
        <v>38</v>
      </c>
      <c r="B43" s="133"/>
      <c r="C43" s="134"/>
      <c r="D43" s="134"/>
      <c r="E43" s="134"/>
      <c r="F43" s="135"/>
      <c r="G43" s="135"/>
      <c r="H43" s="133"/>
      <c r="I43" s="134"/>
      <c r="J43" s="134"/>
      <c r="K43" s="134"/>
      <c r="L43" s="135"/>
      <c r="M43" s="135"/>
    </row>
    <row r="44" spans="1:13" ht="15.75">
      <c r="A44" s="166">
        <v>39</v>
      </c>
      <c r="B44" s="133"/>
      <c r="C44" s="134"/>
      <c r="D44" s="134"/>
      <c r="E44" s="134"/>
      <c r="F44" s="135"/>
      <c r="G44" s="135"/>
      <c r="H44" s="133"/>
      <c r="I44" s="134"/>
      <c r="J44" s="134"/>
      <c r="K44" s="134"/>
      <c r="L44" s="135"/>
      <c r="M44" s="135"/>
    </row>
    <row r="45" spans="1:13" ht="15.75">
      <c r="A45" s="166">
        <v>40</v>
      </c>
      <c r="B45" s="133"/>
      <c r="C45" s="134"/>
      <c r="D45" s="134"/>
      <c r="E45" s="134"/>
      <c r="F45" s="135"/>
      <c r="G45" s="135"/>
      <c r="H45" s="133"/>
      <c r="I45" s="134"/>
      <c r="J45" s="134"/>
      <c r="K45" s="134"/>
      <c r="L45" s="135"/>
      <c r="M45" s="135"/>
    </row>
    <row r="46" spans="1:13" ht="15.75">
      <c r="A46" s="166">
        <v>41</v>
      </c>
      <c r="B46" s="133"/>
      <c r="C46" s="134"/>
      <c r="D46" s="134"/>
      <c r="E46" s="134"/>
      <c r="F46" s="135"/>
      <c r="G46" s="135"/>
      <c r="H46" s="133"/>
      <c r="I46" s="134"/>
      <c r="J46" s="134"/>
      <c r="K46" s="134"/>
      <c r="L46" s="135"/>
      <c r="M46" s="135"/>
    </row>
    <row r="47" spans="1:13" ht="15.75">
      <c r="A47" s="166">
        <v>42</v>
      </c>
      <c r="B47" s="133"/>
      <c r="C47" s="134"/>
      <c r="D47" s="134"/>
      <c r="E47" s="134"/>
      <c r="F47" s="135"/>
      <c r="G47" s="135"/>
      <c r="H47" s="133"/>
      <c r="I47" s="134"/>
      <c r="J47" s="134"/>
      <c r="K47" s="134"/>
      <c r="L47" s="135"/>
      <c r="M47" s="135"/>
    </row>
    <row r="48" spans="1:13" ht="15.75">
      <c r="A48" s="166">
        <v>43</v>
      </c>
      <c r="B48" s="133"/>
      <c r="C48" s="134"/>
      <c r="D48" s="134"/>
      <c r="E48" s="134"/>
      <c r="F48" s="135"/>
      <c r="G48" s="135"/>
      <c r="H48" s="133"/>
      <c r="I48" s="134"/>
      <c r="J48" s="134"/>
      <c r="K48" s="134"/>
      <c r="L48" s="135"/>
      <c r="M48" s="135"/>
    </row>
    <row r="49" spans="1:13" ht="15.75">
      <c r="A49" s="166">
        <v>44</v>
      </c>
      <c r="B49" s="133"/>
      <c r="C49" s="134"/>
      <c r="D49" s="134"/>
      <c r="E49" s="134"/>
      <c r="F49" s="135"/>
      <c r="G49" s="135"/>
      <c r="H49" s="133"/>
      <c r="I49" s="134"/>
      <c r="J49" s="134"/>
      <c r="K49" s="134"/>
      <c r="L49" s="135"/>
      <c r="M49" s="135"/>
    </row>
    <row r="50" spans="1:13" ht="15.75">
      <c r="A50" s="166">
        <v>45</v>
      </c>
      <c r="B50" s="133"/>
      <c r="C50" s="134"/>
      <c r="D50" s="134"/>
      <c r="E50" s="134"/>
      <c r="F50" s="135"/>
      <c r="G50" s="135"/>
      <c r="H50" s="133"/>
      <c r="I50" s="134"/>
      <c r="J50" s="134"/>
      <c r="K50" s="134"/>
      <c r="L50" s="135"/>
      <c r="M50" s="135"/>
    </row>
    <row r="51" spans="1:13" ht="15.75">
      <c r="A51" s="166">
        <v>46</v>
      </c>
      <c r="B51" s="133"/>
      <c r="C51" s="134"/>
      <c r="D51" s="134"/>
      <c r="E51" s="134"/>
      <c r="F51" s="135"/>
      <c r="G51" s="135"/>
      <c r="H51" s="133"/>
      <c r="I51" s="134"/>
      <c r="J51" s="134"/>
      <c r="K51" s="134"/>
      <c r="L51" s="135"/>
      <c r="M51" s="135"/>
    </row>
    <row r="52" spans="1:13" ht="15.75">
      <c r="A52" s="166">
        <v>47</v>
      </c>
      <c r="B52" s="133"/>
      <c r="C52" s="134"/>
      <c r="D52" s="134"/>
      <c r="E52" s="134"/>
      <c r="F52" s="135"/>
      <c r="G52" s="135"/>
      <c r="H52" s="133"/>
      <c r="I52" s="134"/>
      <c r="J52" s="134"/>
      <c r="K52" s="134"/>
      <c r="L52" s="135"/>
      <c r="M52" s="135"/>
    </row>
    <row r="53" spans="1:13" ht="15.75">
      <c r="A53" s="166">
        <v>48</v>
      </c>
      <c r="B53" s="133"/>
      <c r="C53" s="134"/>
      <c r="D53" s="134"/>
      <c r="E53" s="134"/>
      <c r="F53" s="135"/>
      <c r="G53" s="135"/>
      <c r="H53" s="133"/>
      <c r="I53" s="134"/>
      <c r="J53" s="134"/>
      <c r="K53" s="134"/>
      <c r="L53" s="135"/>
      <c r="M53" s="135"/>
    </row>
    <row r="54" spans="1:13" ht="15.75">
      <c r="A54" s="166">
        <v>49</v>
      </c>
      <c r="B54" s="133"/>
      <c r="C54" s="134"/>
      <c r="D54" s="134"/>
      <c r="E54" s="134"/>
      <c r="F54" s="135"/>
      <c r="G54" s="135"/>
      <c r="H54" s="133"/>
      <c r="I54" s="134"/>
      <c r="J54" s="134"/>
      <c r="K54" s="134"/>
      <c r="L54" s="135"/>
      <c r="M54" s="135"/>
    </row>
    <row r="55" spans="1:13" ht="15.75">
      <c r="A55" s="166">
        <v>50</v>
      </c>
      <c r="B55" s="133"/>
      <c r="C55" s="134"/>
      <c r="D55" s="134"/>
      <c r="E55" s="134"/>
      <c r="F55" s="135"/>
      <c r="G55" s="135"/>
      <c r="H55" s="133"/>
      <c r="I55" s="134"/>
      <c r="J55" s="134"/>
      <c r="K55" s="134"/>
      <c r="L55" s="135"/>
      <c r="M55" s="135"/>
    </row>
    <row r="56" spans="1:13" ht="15.75">
      <c r="A56" s="166">
        <v>51</v>
      </c>
      <c r="B56" s="133"/>
      <c r="C56" s="134"/>
      <c r="D56" s="134"/>
      <c r="E56" s="134"/>
      <c r="F56" s="135"/>
      <c r="G56" s="135"/>
      <c r="H56" s="133"/>
      <c r="I56" s="134"/>
      <c r="J56" s="134"/>
      <c r="K56" s="134"/>
      <c r="L56" s="135"/>
      <c r="M56" s="135"/>
    </row>
    <row r="57" spans="1:13" ht="15.75">
      <c r="A57" s="166">
        <v>52</v>
      </c>
      <c r="B57" s="133"/>
      <c r="C57" s="134"/>
      <c r="D57" s="134"/>
      <c r="E57" s="134"/>
      <c r="F57" s="135"/>
      <c r="G57" s="135"/>
      <c r="H57" s="133"/>
      <c r="I57" s="134"/>
      <c r="J57" s="134"/>
      <c r="K57" s="134"/>
      <c r="L57" s="135"/>
      <c r="M57" s="135"/>
    </row>
    <row r="58" spans="1:13" ht="15.75">
      <c r="A58" s="166">
        <v>53</v>
      </c>
      <c r="B58" s="133"/>
      <c r="C58" s="134"/>
      <c r="D58" s="134"/>
      <c r="E58" s="134"/>
      <c r="F58" s="135"/>
      <c r="G58" s="135"/>
      <c r="H58" s="133"/>
      <c r="I58" s="134"/>
      <c r="J58" s="134"/>
      <c r="K58" s="134"/>
      <c r="L58" s="135"/>
      <c r="M58" s="135"/>
    </row>
    <row r="59" spans="1:13" ht="15.75">
      <c r="A59" s="166">
        <v>54</v>
      </c>
      <c r="B59" s="133"/>
      <c r="C59" s="134"/>
      <c r="D59" s="134"/>
      <c r="E59" s="134"/>
      <c r="F59" s="135"/>
      <c r="G59" s="135"/>
      <c r="H59" s="133"/>
      <c r="I59" s="134"/>
      <c r="J59" s="134"/>
      <c r="K59" s="134"/>
      <c r="L59" s="135"/>
      <c r="M59" s="135"/>
    </row>
    <row r="60" spans="1:13" ht="15.75">
      <c r="A60" s="166">
        <v>55</v>
      </c>
      <c r="B60" s="133"/>
      <c r="C60" s="134"/>
      <c r="D60" s="134"/>
      <c r="E60" s="134"/>
      <c r="F60" s="135"/>
      <c r="G60" s="135"/>
      <c r="H60" s="133"/>
      <c r="I60" s="134"/>
      <c r="J60" s="134"/>
      <c r="K60" s="134"/>
      <c r="L60" s="135"/>
      <c r="M60" s="135"/>
    </row>
    <row r="61" spans="1:13" ht="15.75">
      <c r="A61" s="166">
        <v>56</v>
      </c>
      <c r="B61" s="133"/>
      <c r="C61" s="134"/>
      <c r="D61" s="134"/>
      <c r="E61" s="134"/>
      <c r="F61" s="135"/>
      <c r="G61" s="135"/>
      <c r="H61" s="133"/>
      <c r="I61" s="134"/>
      <c r="J61" s="134"/>
      <c r="K61" s="134"/>
      <c r="L61" s="135"/>
      <c r="M61" s="135"/>
    </row>
    <row r="62" spans="1:13" ht="15.75">
      <c r="A62" s="166">
        <v>57</v>
      </c>
      <c r="B62" s="133"/>
      <c r="C62" s="134"/>
      <c r="D62" s="134"/>
      <c r="E62" s="134"/>
      <c r="F62" s="135"/>
      <c r="G62" s="135"/>
      <c r="H62" s="133"/>
      <c r="I62" s="134"/>
      <c r="J62" s="134"/>
      <c r="K62" s="134"/>
      <c r="L62" s="135"/>
      <c r="M62" s="135"/>
    </row>
    <row r="63" spans="1:13" ht="15.75">
      <c r="A63" s="166">
        <v>58</v>
      </c>
      <c r="B63" s="133"/>
      <c r="C63" s="134"/>
      <c r="D63" s="134"/>
      <c r="E63" s="134"/>
      <c r="F63" s="135"/>
      <c r="G63" s="135"/>
      <c r="H63" s="133"/>
      <c r="I63" s="134"/>
      <c r="J63" s="134"/>
      <c r="K63" s="134"/>
      <c r="L63" s="135"/>
      <c r="M63" s="135"/>
    </row>
    <row r="64" spans="1:13" ht="15.75">
      <c r="A64" s="166">
        <v>59</v>
      </c>
      <c r="B64" s="133"/>
      <c r="C64" s="134"/>
      <c r="D64" s="134"/>
      <c r="E64" s="134"/>
      <c r="F64" s="135"/>
      <c r="G64" s="135"/>
      <c r="H64" s="133"/>
      <c r="I64" s="134"/>
      <c r="J64" s="134"/>
      <c r="K64" s="134"/>
      <c r="L64" s="135"/>
      <c r="M64" s="135"/>
    </row>
    <row r="65" spans="1:13" ht="15.75">
      <c r="A65" s="166">
        <v>60</v>
      </c>
      <c r="B65" s="133"/>
      <c r="C65" s="134"/>
      <c r="D65" s="134"/>
      <c r="E65" s="134"/>
      <c r="F65" s="135"/>
      <c r="G65" s="135"/>
      <c r="H65" s="133"/>
      <c r="I65" s="134"/>
      <c r="J65" s="134"/>
      <c r="K65" s="134"/>
      <c r="L65" s="135"/>
      <c r="M65" s="135"/>
    </row>
    <row r="66" spans="1:13" ht="15.75">
      <c r="A66" s="166">
        <v>61</v>
      </c>
      <c r="B66" s="133"/>
      <c r="C66" s="134"/>
      <c r="D66" s="134"/>
      <c r="E66" s="134"/>
      <c r="F66" s="135"/>
      <c r="G66" s="135"/>
      <c r="H66" s="133"/>
      <c r="I66" s="134"/>
      <c r="J66" s="134"/>
      <c r="K66" s="134"/>
      <c r="L66" s="135"/>
      <c r="M66" s="135"/>
    </row>
    <row r="67" spans="1:13" ht="15.75">
      <c r="A67" s="166">
        <v>62</v>
      </c>
      <c r="B67" s="133"/>
      <c r="C67" s="134"/>
      <c r="D67" s="134"/>
      <c r="E67" s="134"/>
      <c r="F67" s="135"/>
      <c r="G67" s="135"/>
      <c r="H67" s="133"/>
      <c r="I67" s="134"/>
      <c r="J67" s="134"/>
      <c r="K67" s="134"/>
      <c r="L67" s="135"/>
      <c r="M67" s="135"/>
    </row>
    <row r="68" spans="1:13" ht="15.75">
      <c r="A68" s="166">
        <v>63</v>
      </c>
      <c r="B68" s="133"/>
      <c r="C68" s="134"/>
      <c r="D68" s="134"/>
      <c r="E68" s="134"/>
      <c r="F68" s="135"/>
      <c r="G68" s="135"/>
      <c r="H68" s="133"/>
      <c r="I68" s="134"/>
      <c r="J68" s="134"/>
      <c r="K68" s="134"/>
      <c r="L68" s="135"/>
      <c r="M68" s="135"/>
    </row>
    <row r="69" spans="1:13" ht="15.75">
      <c r="A69" s="166">
        <v>64</v>
      </c>
      <c r="B69" s="133"/>
      <c r="C69" s="134"/>
      <c r="D69" s="134"/>
      <c r="E69" s="134"/>
      <c r="F69" s="135"/>
      <c r="G69" s="135"/>
      <c r="H69" s="133"/>
      <c r="I69" s="134"/>
      <c r="J69" s="134"/>
      <c r="K69" s="134"/>
      <c r="L69" s="135"/>
      <c r="M69" s="135"/>
    </row>
    <row r="70" spans="1:13" ht="15.75">
      <c r="A70" s="166">
        <v>65</v>
      </c>
      <c r="B70" s="133"/>
      <c r="C70" s="134"/>
      <c r="D70" s="134"/>
      <c r="E70" s="134"/>
      <c r="F70" s="135"/>
      <c r="G70" s="133"/>
      <c r="H70" s="133"/>
      <c r="I70" s="134"/>
      <c r="J70" s="134"/>
      <c r="K70" s="134"/>
      <c r="L70" s="135"/>
      <c r="M70" s="133"/>
    </row>
    <row r="71" spans="1:13" ht="15.75">
      <c r="A71" s="166">
        <v>66</v>
      </c>
      <c r="B71" s="133"/>
      <c r="C71" s="134"/>
      <c r="D71" s="134"/>
      <c r="E71" s="134"/>
      <c r="F71" s="133"/>
      <c r="G71" s="133"/>
      <c r="H71" s="133"/>
      <c r="I71" s="134"/>
      <c r="J71" s="134"/>
      <c r="K71" s="134"/>
      <c r="L71" s="133"/>
      <c r="M71" s="133"/>
    </row>
    <row r="72" spans="1:13" ht="15.75">
      <c r="A72" s="166">
        <v>67</v>
      </c>
      <c r="B72" s="133"/>
      <c r="C72" s="134"/>
      <c r="D72" s="134"/>
      <c r="E72" s="134"/>
      <c r="F72" s="133"/>
      <c r="G72" s="133"/>
      <c r="H72" s="133"/>
      <c r="I72" s="134"/>
      <c r="J72" s="134"/>
      <c r="K72" s="134"/>
      <c r="L72" s="133"/>
      <c r="M72" s="133"/>
    </row>
    <row r="73" spans="1:13" ht="15.75">
      <c r="A73" s="166">
        <v>68</v>
      </c>
      <c r="B73" s="133"/>
      <c r="C73" s="134"/>
      <c r="D73" s="134"/>
      <c r="E73" s="134"/>
      <c r="F73" s="133"/>
      <c r="G73" s="133"/>
      <c r="H73" s="133"/>
      <c r="I73" s="134"/>
      <c r="J73" s="134"/>
      <c r="K73" s="134"/>
      <c r="L73" s="133"/>
      <c r="M73" s="133"/>
    </row>
    <row r="74" spans="1:13" ht="15.75">
      <c r="A74" s="166">
        <v>69</v>
      </c>
      <c r="B74" s="133"/>
      <c r="C74" s="134"/>
      <c r="D74" s="134"/>
      <c r="E74" s="134"/>
      <c r="F74" s="133"/>
      <c r="G74" s="133"/>
      <c r="H74" s="133"/>
      <c r="I74" s="134"/>
      <c r="J74" s="134"/>
      <c r="K74" s="134"/>
      <c r="L74" s="133"/>
      <c r="M74" s="133"/>
    </row>
    <row r="75" spans="1:13" ht="15.75">
      <c r="A75" s="166">
        <v>70</v>
      </c>
      <c r="B75" s="133"/>
      <c r="C75" s="134"/>
      <c r="D75" s="134"/>
      <c r="E75" s="134"/>
      <c r="F75" s="133"/>
      <c r="G75" s="133"/>
      <c r="H75" s="133"/>
      <c r="I75" s="134"/>
      <c r="J75" s="134"/>
      <c r="K75" s="134"/>
      <c r="L75" s="133"/>
      <c r="M75" s="133"/>
    </row>
    <row r="76" spans="1:13" ht="15.75">
      <c r="A76" s="167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77"/>
      <c r="M76" s="177"/>
    </row>
    <row r="77" spans="1:13" ht="31.5">
      <c r="A77" s="168" t="s">
        <v>111</v>
      </c>
      <c r="B77" s="169">
        <f t="shared" ref="B77:M77" si="0">IFERROR(AVERAGE(B6:B76),0)</f>
        <v>0</v>
      </c>
      <c r="C77" s="169">
        <f t="shared" si="0"/>
        <v>0</v>
      </c>
      <c r="D77" s="169">
        <f t="shared" si="0"/>
        <v>0</v>
      </c>
      <c r="E77" s="169">
        <f t="shared" si="0"/>
        <v>0</v>
      </c>
      <c r="F77" s="169">
        <f t="shared" si="0"/>
        <v>0</v>
      </c>
      <c r="G77" s="169">
        <f t="shared" si="0"/>
        <v>0</v>
      </c>
      <c r="H77" s="169">
        <f t="shared" si="0"/>
        <v>0</v>
      </c>
      <c r="I77" s="169">
        <f t="shared" si="0"/>
        <v>0</v>
      </c>
      <c r="J77" s="169">
        <f t="shared" si="0"/>
        <v>0</v>
      </c>
      <c r="K77" s="169">
        <f t="shared" si="0"/>
        <v>0</v>
      </c>
      <c r="L77" s="169">
        <f t="shared" si="0"/>
        <v>0</v>
      </c>
      <c r="M77" s="169">
        <f t="shared" si="0"/>
        <v>0</v>
      </c>
    </row>
    <row r="78" spans="1:13" ht="47.25">
      <c r="A78" s="170" t="s">
        <v>112</v>
      </c>
      <c r="B78" s="166">
        <f t="shared" ref="B78:M78" si="1">COUNTA(B6:B76)</f>
        <v>0</v>
      </c>
      <c r="C78" s="166">
        <f t="shared" si="1"/>
        <v>0</v>
      </c>
      <c r="D78" s="166">
        <f t="shared" si="1"/>
        <v>0</v>
      </c>
      <c r="E78" s="166">
        <f t="shared" si="1"/>
        <v>0</v>
      </c>
      <c r="F78" s="166">
        <f t="shared" si="1"/>
        <v>0</v>
      </c>
      <c r="G78" s="166">
        <f t="shared" si="1"/>
        <v>0</v>
      </c>
      <c r="H78" s="166">
        <f t="shared" si="1"/>
        <v>0</v>
      </c>
      <c r="I78" s="166">
        <f t="shared" si="1"/>
        <v>0</v>
      </c>
      <c r="J78" s="166">
        <f t="shared" si="1"/>
        <v>0</v>
      </c>
      <c r="K78" s="166">
        <f t="shared" si="1"/>
        <v>0</v>
      </c>
      <c r="L78" s="166">
        <f t="shared" si="1"/>
        <v>0</v>
      </c>
      <c r="M78" s="166">
        <f t="shared" si="1"/>
        <v>0</v>
      </c>
    </row>
    <row r="79" spans="1:13" ht="47.25">
      <c r="A79" s="168" t="s">
        <v>113</v>
      </c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</row>
    <row r="80" spans="1:13" ht="31.5">
      <c r="A80" s="168" t="s">
        <v>114</v>
      </c>
      <c r="B80" s="169">
        <f t="shared" ref="B80:M80" si="2">IFERROR(B77*(B78/B79),0)</f>
        <v>0</v>
      </c>
      <c r="C80" s="169">
        <f t="shared" si="2"/>
        <v>0</v>
      </c>
      <c r="D80" s="169">
        <f t="shared" si="2"/>
        <v>0</v>
      </c>
      <c r="E80" s="169">
        <f t="shared" si="2"/>
        <v>0</v>
      </c>
      <c r="F80" s="169">
        <f t="shared" si="2"/>
        <v>0</v>
      </c>
      <c r="G80" s="169">
        <f t="shared" si="2"/>
        <v>0</v>
      </c>
      <c r="H80" s="169">
        <f t="shared" si="2"/>
        <v>0</v>
      </c>
      <c r="I80" s="169">
        <f t="shared" si="2"/>
        <v>0</v>
      </c>
      <c r="J80" s="169">
        <f t="shared" si="2"/>
        <v>0</v>
      </c>
      <c r="K80" s="169">
        <f t="shared" si="2"/>
        <v>0</v>
      </c>
      <c r="L80" s="169">
        <f t="shared" si="2"/>
        <v>0</v>
      </c>
      <c r="M80" s="169">
        <f t="shared" si="2"/>
        <v>0</v>
      </c>
    </row>
    <row r="81" spans="1:13" ht="31.5">
      <c r="A81" s="168" t="s">
        <v>115</v>
      </c>
      <c r="B81" s="166">
        <f t="shared" ref="B81:M81" si="3">COUNTIF(B6:B76,"&gt;="&amp;B80)</f>
        <v>0</v>
      </c>
      <c r="C81" s="166">
        <f t="shared" si="3"/>
        <v>0</v>
      </c>
      <c r="D81" s="166">
        <f t="shared" si="3"/>
        <v>0</v>
      </c>
      <c r="E81" s="166">
        <f t="shared" si="3"/>
        <v>0</v>
      </c>
      <c r="F81" s="166">
        <f t="shared" si="3"/>
        <v>0</v>
      </c>
      <c r="G81" s="166">
        <f t="shared" si="3"/>
        <v>0</v>
      </c>
      <c r="H81" s="166">
        <f t="shared" si="3"/>
        <v>0</v>
      </c>
      <c r="I81" s="166">
        <f t="shared" si="3"/>
        <v>0</v>
      </c>
      <c r="J81" s="166">
        <f t="shared" si="3"/>
        <v>0</v>
      </c>
      <c r="K81" s="166">
        <f t="shared" si="3"/>
        <v>0</v>
      </c>
      <c r="L81" s="166">
        <f t="shared" si="3"/>
        <v>0</v>
      </c>
      <c r="M81" s="166">
        <f t="shared" si="3"/>
        <v>0</v>
      </c>
    </row>
    <row r="82" spans="1:13" ht="47.25">
      <c r="A82" s="168" t="s">
        <v>116</v>
      </c>
      <c r="B82" s="169">
        <f t="shared" ref="B82:M82" si="4">IFERROR((B81/B79)*100,0)</f>
        <v>0</v>
      </c>
      <c r="C82" s="169">
        <f t="shared" si="4"/>
        <v>0</v>
      </c>
      <c r="D82" s="169">
        <f t="shared" si="4"/>
        <v>0</v>
      </c>
      <c r="E82" s="169">
        <f t="shared" si="4"/>
        <v>0</v>
      </c>
      <c r="F82" s="169">
        <f t="shared" si="4"/>
        <v>0</v>
      </c>
      <c r="G82" s="169">
        <f t="shared" si="4"/>
        <v>0</v>
      </c>
      <c r="H82" s="169">
        <f t="shared" si="4"/>
        <v>0</v>
      </c>
      <c r="I82" s="169">
        <f t="shared" si="4"/>
        <v>0</v>
      </c>
      <c r="J82" s="169">
        <f t="shared" si="4"/>
        <v>0</v>
      </c>
      <c r="K82" s="169">
        <f t="shared" si="4"/>
        <v>0</v>
      </c>
      <c r="L82" s="169">
        <f t="shared" si="4"/>
        <v>0</v>
      </c>
      <c r="M82" s="169">
        <f t="shared" si="4"/>
        <v>0</v>
      </c>
    </row>
    <row r="83" spans="1:13" ht="31.5">
      <c r="A83" s="171" t="s">
        <v>136</v>
      </c>
      <c r="B83" s="181">
        <f>IFERROR(SUM(B82:G82)/COUNTIF(B82:G82,"&lt;&gt;0"),0)</f>
        <v>0</v>
      </c>
      <c r="C83" s="182"/>
      <c r="D83" s="182"/>
      <c r="E83" s="182"/>
      <c r="F83" s="182"/>
      <c r="G83" s="183"/>
      <c r="H83" s="181">
        <f>IFERROR(SUM(H82:M82)/COUNTIF(H82:M82,"&lt;&gt;0"),0)</f>
        <v>0</v>
      </c>
      <c r="I83" s="182"/>
      <c r="J83" s="182"/>
      <c r="K83" s="182"/>
      <c r="L83" s="182"/>
      <c r="M83" s="183"/>
    </row>
    <row r="84" spans="1:13" ht="15.75">
      <c r="A84" s="172" t="s">
        <v>117</v>
      </c>
      <c r="B84" s="173">
        <f>B83</f>
        <v>0</v>
      </c>
      <c r="C84" s="174"/>
      <c r="D84" s="174"/>
      <c r="E84" s="174"/>
      <c r="F84" s="174"/>
      <c r="G84" s="174"/>
      <c r="H84" s="174"/>
      <c r="I84" s="174"/>
      <c r="J84" s="174"/>
      <c r="K84" s="174"/>
      <c r="L84" s="175"/>
      <c r="M84" s="175"/>
    </row>
    <row r="85" spans="1:13" ht="15.75">
      <c r="A85" s="172" t="s">
        <v>118</v>
      </c>
      <c r="B85" s="173">
        <f>H83</f>
        <v>0</v>
      </c>
      <c r="C85" s="174"/>
      <c r="D85" s="174"/>
      <c r="E85" s="174"/>
      <c r="F85" s="174"/>
      <c r="G85" s="174"/>
      <c r="H85" s="174"/>
      <c r="I85" s="174"/>
      <c r="J85" s="174"/>
      <c r="K85" s="174"/>
      <c r="L85" s="178"/>
      <c r="M85" s="176"/>
    </row>
    <row r="86" spans="1:13" ht="46.5" customHeight="1">
      <c r="A86" s="171" t="s">
        <v>137</v>
      </c>
      <c r="B86" s="173">
        <f>AVERAGE(B84:B85)</f>
        <v>0</v>
      </c>
      <c r="C86" s="174"/>
      <c r="D86" s="174"/>
      <c r="E86" s="174"/>
      <c r="F86" s="174"/>
      <c r="G86" s="174"/>
      <c r="H86" s="174"/>
      <c r="I86" s="174"/>
      <c r="J86" s="174"/>
      <c r="K86" s="174"/>
      <c r="L86" s="175"/>
      <c r="M86" s="175"/>
    </row>
  </sheetData>
  <sheetProtection password="CDE8" sheet="1" objects="1" scenarios="1" selectLockedCells="1"/>
  <protectedRanges>
    <protectedRange sqref="A79:A82 A83:M86 A77:M78 B80:M82" name="Range1_1"/>
  </protectedRanges>
  <mergeCells count="7">
    <mergeCell ref="B83:G83"/>
    <mergeCell ref="H83:M83"/>
    <mergeCell ref="A1:M1"/>
    <mergeCell ref="A2:M2"/>
    <mergeCell ref="A3:M3"/>
    <mergeCell ref="B4:G4"/>
    <mergeCell ref="H4:M4"/>
  </mergeCells>
  <dataValidations count="1">
    <dataValidation type="decimal" allowBlank="1" showInputMessage="1" showErrorMessage="1" error="ENTER the GPA &#10;&#10;IF THERE IS NO GPA LEAVE THE CELL AS BLANK&#10;" prompt="ENTER the GPA&#10;&#10;IF THERE IS NO GPA, LEAVE THE CELL AS BLANK" sqref="C6:E70 C72:E75 I6:K70 I72:K75">
      <formula1>0.1</formula1>
      <formula2>10</formula2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992"/>
  <sheetViews>
    <sheetView zoomScale="70" zoomScaleNormal="70" workbookViewId="0">
      <selection activeCell="A8" sqref="A8:O8"/>
    </sheetView>
  </sheetViews>
  <sheetFormatPr defaultColWidth="14.42578125" defaultRowHeight="15" customHeight="1"/>
  <cols>
    <col min="1" max="1" width="11.140625" customWidth="1"/>
    <col min="2" max="2" width="30.85546875" bestFit="1" customWidth="1"/>
    <col min="3" max="3" width="32.7109375" customWidth="1"/>
    <col min="4" max="4" width="6.5703125" customWidth="1"/>
    <col min="5" max="5" width="11.42578125" customWidth="1"/>
    <col min="6" max="8" width="9.140625" customWidth="1"/>
    <col min="9" max="9" width="10.28515625" customWidth="1"/>
    <col min="10" max="14" width="9.140625" customWidth="1"/>
    <col min="15" max="15" width="11.28515625" customWidth="1"/>
    <col min="16" max="16" width="10.85546875" customWidth="1"/>
    <col min="17" max="20" width="9.140625" customWidth="1"/>
    <col min="21" max="25" width="9.140625" hidden="1" customWidth="1"/>
    <col min="26" max="35" width="14.42578125" hidden="1" customWidth="1"/>
  </cols>
  <sheetData>
    <row r="1" spans="1:27" s="179" customFormat="1" ht="15" customHeight="1"/>
    <row r="2" spans="1:27" s="179" customFormat="1" ht="15" customHeight="1"/>
    <row r="3" spans="1:27" s="179" customFormat="1" ht="15" customHeight="1"/>
    <row r="4" spans="1:27" s="179" customFormat="1" ht="15" customHeight="1"/>
    <row r="5" spans="1:27" s="179" customFormat="1" ht="15" customHeight="1"/>
    <row r="6" spans="1:27" s="179" customFormat="1" ht="15" customHeight="1"/>
    <row r="7" spans="1:27" ht="17.25" customHeight="1">
      <c r="A7" s="194"/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6"/>
      <c r="P7" s="1"/>
      <c r="Q7" s="1"/>
      <c r="R7" s="1"/>
      <c r="S7" s="1"/>
      <c r="T7" s="1"/>
      <c r="U7" s="1"/>
      <c r="V7" s="1"/>
      <c r="W7" s="1"/>
      <c r="X7" s="2"/>
      <c r="Y7" s="2"/>
    </row>
    <row r="8" spans="1:27" ht="17.25" customHeight="1">
      <c r="A8" s="197" t="s">
        <v>561</v>
      </c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9"/>
      <c r="P8" s="1"/>
      <c r="Q8" s="1"/>
      <c r="R8" s="3"/>
      <c r="S8" s="1"/>
      <c r="T8" s="1"/>
      <c r="U8" s="1"/>
      <c r="V8" s="1"/>
      <c r="W8" s="1"/>
      <c r="X8" s="2"/>
      <c r="Y8" s="2"/>
    </row>
    <row r="9" spans="1:27" ht="17.25" customHeight="1">
      <c r="A9" s="194" t="s">
        <v>1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6"/>
      <c r="P9" s="1"/>
      <c r="Q9" s="1"/>
      <c r="R9" s="3"/>
      <c r="S9" s="1"/>
      <c r="T9" s="1"/>
      <c r="U9" s="1"/>
      <c r="V9" s="1"/>
      <c r="W9" s="1"/>
      <c r="X9" s="2"/>
      <c r="Y9" s="2"/>
    </row>
    <row r="10" spans="1:27" ht="30.75" customHeight="1">
      <c r="A10" s="4"/>
      <c r="B10" s="4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"/>
      <c r="S10" s="1"/>
      <c r="T10" s="1"/>
      <c r="U10" s="1"/>
      <c r="V10" s="1"/>
      <c r="W10" s="1"/>
      <c r="X10" s="1"/>
      <c r="Y10" s="1"/>
    </row>
    <row r="11" spans="1:27" ht="31.5" customHeight="1">
      <c r="A11" s="188" t="s">
        <v>2</v>
      </c>
      <c r="B11" s="189"/>
      <c r="C11" s="190"/>
      <c r="D11" s="191">
        <v>1</v>
      </c>
      <c r="E11" s="192"/>
      <c r="F11" s="193"/>
      <c r="G11" s="191">
        <v>1</v>
      </c>
      <c r="H11" s="192"/>
      <c r="I11" s="193"/>
      <c r="J11" s="191">
        <v>1</v>
      </c>
      <c r="K11" s="192"/>
      <c r="L11" s="193"/>
      <c r="M11" s="191">
        <v>1</v>
      </c>
      <c r="N11" s="192"/>
      <c r="O11" s="193"/>
      <c r="P11" s="137" t="s">
        <v>3</v>
      </c>
      <c r="Q11" s="249" t="s">
        <v>64</v>
      </c>
      <c r="R11" s="249"/>
      <c r="S11" s="249"/>
      <c r="T11" s="80"/>
      <c r="U11" s="80"/>
      <c r="V11" s="247"/>
      <c r="W11" s="248"/>
      <c r="X11" s="248"/>
      <c r="Y11" s="248"/>
      <c r="Z11" s="248"/>
    </row>
    <row r="12" spans="1:27" ht="36" customHeight="1">
      <c r="A12" s="188" t="s">
        <v>4</v>
      </c>
      <c r="B12" s="189"/>
      <c r="C12" s="190"/>
      <c r="D12" s="191" t="s">
        <v>139</v>
      </c>
      <c r="E12" s="192"/>
      <c r="F12" s="193"/>
      <c r="G12" s="191" t="s">
        <v>5</v>
      </c>
      <c r="H12" s="192"/>
      <c r="I12" s="192"/>
      <c r="J12" s="192"/>
      <c r="K12" s="192"/>
      <c r="L12" s="192"/>
      <c r="M12" s="192"/>
      <c r="N12" s="192"/>
      <c r="O12" s="200"/>
      <c r="P12" s="256"/>
      <c r="Q12" s="250" t="s">
        <v>66</v>
      </c>
      <c r="R12" s="250"/>
      <c r="S12" s="250"/>
      <c r="T12" s="81"/>
      <c r="U12" s="81"/>
      <c r="V12" s="78"/>
      <c r="W12" s="78"/>
      <c r="X12" s="78"/>
      <c r="Y12" s="78"/>
      <c r="Z12" s="79"/>
      <c r="AA12" s="9" t="s">
        <v>60</v>
      </c>
    </row>
    <row r="13" spans="1:27" ht="33" customHeight="1">
      <c r="A13" s="188" t="s">
        <v>6</v>
      </c>
      <c r="B13" s="189"/>
      <c r="C13" s="190"/>
      <c r="D13" s="191" t="s">
        <v>138</v>
      </c>
      <c r="E13" s="192"/>
      <c r="F13" s="192"/>
      <c r="G13" s="193"/>
      <c r="H13" s="191">
        <v>1</v>
      </c>
      <c r="I13" s="192"/>
      <c r="J13" s="192"/>
      <c r="K13" s="193"/>
      <c r="L13" s="191" t="s">
        <v>8</v>
      </c>
      <c r="M13" s="192"/>
      <c r="N13" s="192"/>
      <c r="O13" s="200"/>
      <c r="P13" s="257"/>
      <c r="Q13" s="250"/>
      <c r="R13" s="250"/>
      <c r="S13" s="250"/>
      <c r="T13" s="81"/>
      <c r="U13" s="81"/>
      <c r="V13" s="78"/>
      <c r="W13" s="78"/>
      <c r="X13" s="78"/>
      <c r="Y13" s="78"/>
      <c r="Z13" s="79"/>
      <c r="AA13" s="9" t="s">
        <v>66</v>
      </c>
    </row>
    <row r="14" spans="1:27" ht="17.25" customHeight="1">
      <c r="A14" s="4"/>
      <c r="B14" s="4"/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AA14" s="9" t="s">
        <v>65</v>
      </c>
    </row>
    <row r="15" spans="1:27" ht="29.25" customHeight="1">
      <c r="A15" s="6" t="s">
        <v>9</v>
      </c>
      <c r="B15" s="6" t="s">
        <v>10</v>
      </c>
      <c r="C15" s="7" t="s">
        <v>11</v>
      </c>
      <c r="D15" s="4"/>
      <c r="E15" s="258" t="s">
        <v>12</v>
      </c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90"/>
      <c r="Q15" s="4"/>
      <c r="R15" s="4"/>
      <c r="S15" s="4"/>
      <c r="T15" s="4"/>
      <c r="U15" s="4"/>
      <c r="V15" s="4"/>
      <c r="W15" s="4"/>
      <c r="X15" s="4"/>
      <c r="Y15" s="4"/>
      <c r="Z15" s="8"/>
    </row>
    <row r="16" spans="1:27" ht="21.75" customHeight="1">
      <c r="A16" s="138">
        <v>1</v>
      </c>
      <c r="B16" s="139" t="s">
        <v>140</v>
      </c>
      <c r="C16" s="140"/>
      <c r="D16" s="1"/>
      <c r="E16" s="209" t="s">
        <v>13</v>
      </c>
      <c r="F16" s="215"/>
      <c r="G16" s="215"/>
      <c r="H16" s="216"/>
      <c r="I16" s="209" t="s">
        <v>14</v>
      </c>
      <c r="J16" s="215"/>
      <c r="K16" s="215"/>
      <c r="L16" s="216"/>
      <c r="M16" s="209" t="s">
        <v>127</v>
      </c>
      <c r="N16" s="210"/>
      <c r="O16" s="212" t="s">
        <v>128</v>
      </c>
      <c r="P16" s="213"/>
      <c r="Q16" s="1"/>
      <c r="R16" s="1"/>
      <c r="S16" s="1"/>
      <c r="T16" s="1"/>
      <c r="U16" s="1"/>
      <c r="V16" s="1"/>
      <c r="W16" s="1"/>
      <c r="X16" s="1"/>
      <c r="Y16" s="1"/>
    </row>
    <row r="17" spans="1:35" ht="21.75" customHeight="1">
      <c r="A17" s="138">
        <f>A16+1</f>
        <v>2</v>
      </c>
      <c r="B17" s="139" t="s">
        <v>141</v>
      </c>
      <c r="C17" s="140"/>
      <c r="D17" s="1"/>
      <c r="E17" s="211"/>
      <c r="F17" s="217"/>
      <c r="G17" s="217"/>
      <c r="H17" s="214"/>
      <c r="I17" s="211"/>
      <c r="J17" s="217"/>
      <c r="K17" s="217"/>
      <c r="L17" s="214"/>
      <c r="M17" s="211"/>
      <c r="N17" s="202"/>
      <c r="O17" s="211"/>
      <c r="P17" s="214"/>
      <c r="Q17" s="9"/>
      <c r="R17" s="1"/>
      <c r="S17" s="1"/>
      <c r="T17" s="1"/>
      <c r="U17" s="1"/>
      <c r="V17" s="1"/>
      <c r="W17" s="1"/>
      <c r="X17" s="1"/>
      <c r="Y17" s="1"/>
    </row>
    <row r="18" spans="1:35" ht="23.25" customHeight="1">
      <c r="A18" s="138">
        <f t="shared" ref="A18:A81" si="0">A17+1</f>
        <v>3</v>
      </c>
      <c r="B18" s="139" t="s">
        <v>142</v>
      </c>
      <c r="C18" s="140"/>
      <c r="D18" s="1"/>
      <c r="E18" s="212" t="s">
        <v>125</v>
      </c>
      <c r="F18" s="218"/>
      <c r="G18" s="218"/>
      <c r="H18" s="213"/>
      <c r="I18" s="236" t="s">
        <v>126</v>
      </c>
      <c r="J18" s="218"/>
      <c r="K18" s="218"/>
      <c r="L18" s="213"/>
      <c r="M18" s="238">
        <f>Target!B86</f>
        <v>0</v>
      </c>
      <c r="N18" s="239"/>
      <c r="O18" s="242">
        <f>ROUND(M18+5,0)</f>
        <v>5</v>
      </c>
      <c r="P18" s="229"/>
      <c r="Q18" s="9"/>
      <c r="R18" s="1"/>
      <c r="S18" s="1"/>
      <c r="T18" s="1"/>
      <c r="U18" s="1"/>
      <c r="V18" s="1"/>
      <c r="W18" s="1"/>
      <c r="X18" s="1"/>
      <c r="Y18" s="1"/>
    </row>
    <row r="19" spans="1:35" ht="24.75" customHeight="1">
      <c r="A19" s="138">
        <f t="shared" si="0"/>
        <v>4</v>
      </c>
      <c r="B19" s="139" t="s">
        <v>143</v>
      </c>
      <c r="C19" s="140"/>
      <c r="D19" s="1"/>
      <c r="E19" s="219"/>
      <c r="F19" s="220"/>
      <c r="G19" s="220"/>
      <c r="H19" s="221"/>
      <c r="I19" s="219"/>
      <c r="J19" s="237"/>
      <c r="K19" s="237"/>
      <c r="L19" s="221"/>
      <c r="M19" s="230"/>
      <c r="N19" s="240"/>
      <c r="O19" s="230"/>
      <c r="P19" s="232"/>
      <c r="Q19" s="1"/>
      <c r="R19" s="1"/>
      <c r="S19" s="1"/>
      <c r="T19" s="1"/>
      <c r="U19" s="1"/>
      <c r="V19" s="1"/>
      <c r="W19" s="1"/>
      <c r="X19" s="1"/>
      <c r="Y19" s="1"/>
    </row>
    <row r="20" spans="1:35" ht="21.75" customHeight="1">
      <c r="A20" s="138">
        <f t="shared" si="0"/>
        <v>5</v>
      </c>
      <c r="B20" s="139" t="s">
        <v>144</v>
      </c>
      <c r="C20" s="140"/>
      <c r="D20" s="1"/>
      <c r="E20" s="211"/>
      <c r="F20" s="217"/>
      <c r="G20" s="217"/>
      <c r="H20" s="214"/>
      <c r="I20" s="211"/>
      <c r="J20" s="217"/>
      <c r="K20" s="217"/>
      <c r="L20" s="214"/>
      <c r="M20" s="233"/>
      <c r="N20" s="241"/>
      <c r="O20" s="233"/>
      <c r="P20" s="235"/>
      <c r="Q20" s="1"/>
      <c r="R20" s="1"/>
      <c r="S20" s="1"/>
      <c r="T20" s="1"/>
      <c r="U20" s="1"/>
      <c r="V20" s="1"/>
      <c r="W20" s="1"/>
      <c r="X20" s="1"/>
      <c r="Y20" s="1"/>
    </row>
    <row r="21" spans="1:35" ht="21.75" customHeight="1">
      <c r="A21" s="138">
        <f t="shared" si="0"/>
        <v>6</v>
      </c>
      <c r="B21" s="139" t="s">
        <v>145</v>
      </c>
      <c r="C21" s="140"/>
      <c r="D21" s="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"/>
      <c r="R21" s="1"/>
      <c r="S21" s="1"/>
      <c r="T21" s="1"/>
      <c r="U21" s="1"/>
      <c r="V21" s="1"/>
      <c r="W21" s="1"/>
      <c r="X21" s="1"/>
      <c r="Y21" s="1"/>
    </row>
    <row r="22" spans="1:35" ht="21.75" customHeight="1">
      <c r="A22" s="138">
        <f t="shared" si="0"/>
        <v>7</v>
      </c>
      <c r="B22" s="139" t="s">
        <v>146</v>
      </c>
      <c r="C22" s="140"/>
      <c r="D22" s="1"/>
      <c r="E22" s="212" t="s">
        <v>15</v>
      </c>
      <c r="F22" s="218"/>
      <c r="G22" s="218"/>
      <c r="H22" s="213"/>
      <c r="I22" s="222">
        <f>+COUNTA(B16:B476)</f>
        <v>421</v>
      </c>
      <c r="J22" s="212" t="s">
        <v>129</v>
      </c>
      <c r="K22" s="218"/>
      <c r="L22" s="218"/>
      <c r="M22" s="225"/>
      <c r="N22" s="227">
        <f>ROUND((O18/100)*I22,0)</f>
        <v>21</v>
      </c>
      <c r="O22" s="228"/>
      <c r="P22" s="229"/>
      <c r="Q22" s="1"/>
      <c r="R22" s="1"/>
      <c r="S22" s="1"/>
      <c r="T22" s="1"/>
      <c r="U22" s="1"/>
      <c r="V22" s="1"/>
      <c r="W22" s="1"/>
      <c r="X22" s="1"/>
      <c r="Y22" s="1"/>
    </row>
    <row r="23" spans="1:35" ht="21.75" customHeight="1">
      <c r="A23" s="138">
        <f t="shared" si="0"/>
        <v>8</v>
      </c>
      <c r="B23" s="139" t="s">
        <v>147</v>
      </c>
      <c r="C23" s="140"/>
      <c r="D23" s="1"/>
      <c r="E23" s="219"/>
      <c r="F23" s="220"/>
      <c r="G23" s="220"/>
      <c r="H23" s="221"/>
      <c r="I23" s="223"/>
      <c r="J23" s="219"/>
      <c r="K23" s="220"/>
      <c r="L23" s="220"/>
      <c r="M23" s="226"/>
      <c r="N23" s="230"/>
      <c r="O23" s="231"/>
      <c r="P23" s="232"/>
      <c r="Q23" s="1"/>
      <c r="R23" s="1"/>
      <c r="S23" s="1"/>
      <c r="T23" s="1"/>
      <c r="U23" s="1"/>
      <c r="V23" s="1"/>
      <c r="W23" s="1"/>
      <c r="X23" s="1"/>
      <c r="Y23" s="1"/>
    </row>
    <row r="24" spans="1:35" ht="21.75" customHeight="1">
      <c r="A24" s="138">
        <f t="shared" si="0"/>
        <v>9</v>
      </c>
      <c r="B24" s="139" t="s">
        <v>148</v>
      </c>
      <c r="C24" s="140"/>
      <c r="D24" s="1"/>
      <c r="E24" s="211"/>
      <c r="F24" s="217"/>
      <c r="G24" s="217"/>
      <c r="H24" s="214"/>
      <c r="I24" s="224"/>
      <c r="J24" s="211"/>
      <c r="K24" s="217"/>
      <c r="L24" s="217"/>
      <c r="M24" s="202"/>
      <c r="N24" s="233"/>
      <c r="O24" s="234"/>
      <c r="P24" s="235"/>
      <c r="Q24" s="1"/>
      <c r="R24" s="1"/>
      <c r="S24" s="1"/>
      <c r="T24" s="1"/>
      <c r="U24" s="1"/>
      <c r="V24" s="1"/>
      <c r="W24" s="1"/>
      <c r="X24" s="1"/>
      <c r="Y24" s="1"/>
    </row>
    <row r="25" spans="1:35" ht="21.75" customHeight="1" thickBot="1">
      <c r="A25" s="138">
        <f t="shared" si="0"/>
        <v>10</v>
      </c>
      <c r="B25" s="139" t="s">
        <v>149</v>
      </c>
      <c r="C25" s="14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35" ht="21.75" customHeight="1" thickBot="1">
      <c r="A26" s="138">
        <f t="shared" si="0"/>
        <v>11</v>
      </c>
      <c r="B26" s="139" t="s">
        <v>150</v>
      </c>
      <c r="C26" s="140"/>
      <c r="D26" s="1"/>
      <c r="E26" s="253" t="s">
        <v>130</v>
      </c>
      <c r="F26" s="254"/>
      <c r="G26" s="254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5"/>
      <c r="T26" s="78"/>
      <c r="U26" s="1"/>
      <c r="V26" s="1"/>
      <c r="W26" s="1"/>
      <c r="X26" s="1"/>
      <c r="Y26" s="1"/>
    </row>
    <row r="27" spans="1:35" ht="21.75" customHeight="1" thickBot="1">
      <c r="A27" s="138">
        <f t="shared" si="0"/>
        <v>12</v>
      </c>
      <c r="B27" s="139" t="s">
        <v>151</v>
      </c>
      <c r="C27" s="140"/>
      <c r="D27" s="1"/>
      <c r="E27" s="206" t="s">
        <v>25</v>
      </c>
      <c r="F27" s="206" t="s">
        <v>26</v>
      </c>
      <c r="G27" s="206" t="s">
        <v>27</v>
      </c>
      <c r="H27" s="206" t="s">
        <v>28</v>
      </c>
      <c r="I27" s="206" t="s">
        <v>29</v>
      </c>
      <c r="J27" s="206" t="s">
        <v>30</v>
      </c>
      <c r="K27" s="206" t="s">
        <v>31</v>
      </c>
      <c r="L27" s="245" t="s">
        <v>32</v>
      </c>
      <c r="M27" s="245" t="s">
        <v>33</v>
      </c>
      <c r="N27" s="131" t="s">
        <v>34</v>
      </c>
      <c r="O27" s="206" t="s">
        <v>35</v>
      </c>
      <c r="P27" s="206" t="s">
        <v>36</v>
      </c>
      <c r="Q27" s="245" t="s">
        <v>37</v>
      </c>
      <c r="R27" s="251" t="s">
        <v>38</v>
      </c>
      <c r="S27" s="244" t="s">
        <v>39</v>
      </c>
      <c r="T27" s="78"/>
      <c r="U27" s="1"/>
      <c r="V27" s="17" t="s">
        <v>26</v>
      </c>
      <c r="W27" s="18" t="s">
        <v>27</v>
      </c>
      <c r="X27" s="18" t="s">
        <v>28</v>
      </c>
      <c r="Y27" s="18" t="s">
        <v>29</v>
      </c>
      <c r="Z27" s="18" t="s">
        <v>30</v>
      </c>
      <c r="AA27" s="18" t="s">
        <v>31</v>
      </c>
      <c r="AB27" s="18" t="s">
        <v>32</v>
      </c>
      <c r="AC27" s="18" t="s">
        <v>33</v>
      </c>
      <c r="AD27" s="18" t="s">
        <v>34</v>
      </c>
      <c r="AE27" s="18" t="s">
        <v>35</v>
      </c>
      <c r="AF27" s="18" t="s">
        <v>36</v>
      </c>
      <c r="AG27" s="18" t="s">
        <v>37</v>
      </c>
      <c r="AH27" s="18" t="s">
        <v>38</v>
      </c>
      <c r="AI27" s="18" t="s">
        <v>39</v>
      </c>
    </row>
    <row r="28" spans="1:35" ht="21.75" customHeight="1" thickBot="1">
      <c r="A28" s="138">
        <f t="shared" si="0"/>
        <v>13</v>
      </c>
      <c r="B28" s="139" t="s">
        <v>152</v>
      </c>
      <c r="C28" s="140"/>
      <c r="D28" s="1"/>
      <c r="E28" s="207"/>
      <c r="F28" s="207"/>
      <c r="G28" s="207"/>
      <c r="H28" s="207"/>
      <c r="I28" s="207"/>
      <c r="J28" s="207"/>
      <c r="K28" s="207"/>
      <c r="L28" s="246"/>
      <c r="M28" s="246"/>
      <c r="N28" s="132"/>
      <c r="O28" s="207"/>
      <c r="P28" s="207"/>
      <c r="Q28" s="246"/>
      <c r="R28" s="252"/>
      <c r="S28" s="244"/>
      <c r="T28" s="78"/>
      <c r="U28" s="1"/>
      <c r="V28" s="20" t="str">
        <f t="shared" ref="V28:AI32" si="1">IF(ISBLANK(F29),"","P")</f>
        <v/>
      </c>
      <c r="W28" s="20" t="str">
        <f t="shared" si="1"/>
        <v/>
      </c>
      <c r="X28" s="20" t="str">
        <f t="shared" si="1"/>
        <v/>
      </c>
      <c r="Y28" s="20" t="str">
        <f t="shared" si="1"/>
        <v/>
      </c>
      <c r="Z28" s="20" t="str">
        <f t="shared" si="1"/>
        <v/>
      </c>
      <c r="AA28" s="20" t="str">
        <f t="shared" si="1"/>
        <v/>
      </c>
      <c r="AB28" s="20" t="str">
        <f t="shared" si="1"/>
        <v/>
      </c>
      <c r="AC28" s="20" t="str">
        <f t="shared" si="1"/>
        <v/>
      </c>
      <c r="AD28" s="20" t="str">
        <f t="shared" si="1"/>
        <v/>
      </c>
      <c r="AE28" s="20" t="str">
        <f t="shared" si="1"/>
        <v/>
      </c>
      <c r="AF28" s="20" t="str">
        <f t="shared" si="1"/>
        <v/>
      </c>
      <c r="AG28" s="20" t="str">
        <f t="shared" si="1"/>
        <v/>
      </c>
      <c r="AH28" s="20" t="str">
        <f t="shared" si="1"/>
        <v/>
      </c>
      <c r="AI28" s="20" t="str">
        <f t="shared" si="1"/>
        <v/>
      </c>
    </row>
    <row r="29" spans="1:35" ht="21.75" customHeight="1" thickBot="1">
      <c r="A29" s="138">
        <f t="shared" si="0"/>
        <v>14</v>
      </c>
      <c r="B29" s="139" t="s">
        <v>153</v>
      </c>
      <c r="C29" s="140"/>
      <c r="D29" s="1"/>
      <c r="E29" s="98" t="str">
        <f>M37</f>
        <v>CO-1</v>
      </c>
      <c r="F29" s="147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"/>
      <c r="U29" s="1"/>
      <c r="V29" s="20" t="str">
        <f t="shared" si="1"/>
        <v/>
      </c>
      <c r="W29" s="20" t="str">
        <f t="shared" si="1"/>
        <v/>
      </c>
      <c r="X29" s="20" t="str">
        <f t="shared" si="1"/>
        <v/>
      </c>
      <c r="Y29" s="20" t="str">
        <f t="shared" si="1"/>
        <v/>
      </c>
      <c r="Z29" s="20" t="str">
        <f t="shared" si="1"/>
        <v/>
      </c>
      <c r="AA29" s="20" t="str">
        <f t="shared" si="1"/>
        <v/>
      </c>
      <c r="AB29" s="20" t="str">
        <f t="shared" si="1"/>
        <v/>
      </c>
      <c r="AC29" s="20" t="str">
        <f t="shared" si="1"/>
        <v/>
      </c>
      <c r="AD29" s="20" t="str">
        <f t="shared" si="1"/>
        <v/>
      </c>
      <c r="AE29" s="20" t="str">
        <f t="shared" si="1"/>
        <v/>
      </c>
      <c r="AF29" s="20" t="str">
        <f t="shared" si="1"/>
        <v/>
      </c>
      <c r="AG29" s="20" t="str">
        <f t="shared" si="1"/>
        <v/>
      </c>
      <c r="AH29" s="20" t="str">
        <f t="shared" si="1"/>
        <v/>
      </c>
      <c r="AI29" s="20" t="str">
        <f t="shared" si="1"/>
        <v/>
      </c>
    </row>
    <row r="30" spans="1:35" ht="21.75" customHeight="1" thickBot="1">
      <c r="A30" s="138">
        <f t="shared" si="0"/>
        <v>15</v>
      </c>
      <c r="B30" s="139" t="s">
        <v>154</v>
      </c>
      <c r="C30" s="140"/>
      <c r="D30" s="1"/>
      <c r="E30" s="19" t="str">
        <f>N37</f>
        <v>CO-2</v>
      </c>
      <c r="F30" s="149"/>
      <c r="G30" s="150"/>
      <c r="H30" s="150"/>
      <c r="I30" s="151"/>
      <c r="J30" s="151"/>
      <c r="K30" s="151"/>
      <c r="L30" s="151"/>
      <c r="M30" s="151"/>
      <c r="N30" s="151"/>
      <c r="O30" s="151"/>
      <c r="P30" s="150"/>
      <c r="Q30" s="150"/>
      <c r="R30" s="150"/>
      <c r="S30" s="150"/>
      <c r="T30" s="1"/>
      <c r="U30" s="1"/>
      <c r="V30" s="20" t="str">
        <f t="shared" si="1"/>
        <v/>
      </c>
      <c r="W30" s="20" t="str">
        <f t="shared" si="1"/>
        <v/>
      </c>
      <c r="X30" s="20" t="str">
        <f t="shared" si="1"/>
        <v/>
      </c>
      <c r="Y30" s="20" t="str">
        <f t="shared" si="1"/>
        <v/>
      </c>
      <c r="Z30" s="20" t="str">
        <f t="shared" si="1"/>
        <v/>
      </c>
      <c r="AA30" s="20" t="str">
        <f t="shared" si="1"/>
        <v/>
      </c>
      <c r="AB30" s="20" t="str">
        <f t="shared" si="1"/>
        <v/>
      </c>
      <c r="AC30" s="20" t="str">
        <f t="shared" si="1"/>
        <v/>
      </c>
      <c r="AD30" s="20" t="str">
        <f t="shared" si="1"/>
        <v/>
      </c>
      <c r="AE30" s="20" t="str">
        <f t="shared" si="1"/>
        <v/>
      </c>
      <c r="AF30" s="20" t="str">
        <f t="shared" si="1"/>
        <v/>
      </c>
      <c r="AG30" s="20" t="str">
        <f t="shared" si="1"/>
        <v/>
      </c>
      <c r="AH30" s="20" t="str">
        <f t="shared" si="1"/>
        <v/>
      </c>
      <c r="AI30" s="20" t="str">
        <f t="shared" si="1"/>
        <v/>
      </c>
    </row>
    <row r="31" spans="1:35" ht="21.75" customHeight="1" thickBot="1">
      <c r="A31" s="138">
        <f t="shared" si="0"/>
        <v>16</v>
      </c>
      <c r="B31" s="139" t="s">
        <v>155</v>
      </c>
      <c r="C31" s="140"/>
      <c r="D31" s="1"/>
      <c r="E31" s="19" t="str">
        <f>O37</f>
        <v>CO-3</v>
      </c>
      <c r="F31" s="149"/>
      <c r="G31" s="150"/>
      <c r="H31" s="150"/>
      <c r="I31" s="151"/>
      <c r="J31" s="151"/>
      <c r="K31" s="151"/>
      <c r="L31" s="151"/>
      <c r="M31" s="151"/>
      <c r="N31" s="151"/>
      <c r="O31" s="151"/>
      <c r="P31" s="150"/>
      <c r="Q31" s="150"/>
      <c r="R31" s="150"/>
      <c r="S31" s="150"/>
      <c r="T31" s="1"/>
      <c r="U31" s="1"/>
      <c r="V31" s="20" t="str">
        <f t="shared" si="1"/>
        <v/>
      </c>
      <c r="W31" s="20" t="str">
        <f t="shared" si="1"/>
        <v/>
      </c>
      <c r="X31" s="20" t="str">
        <f t="shared" si="1"/>
        <v/>
      </c>
      <c r="Y31" s="20" t="str">
        <f t="shared" si="1"/>
        <v/>
      </c>
      <c r="Z31" s="20" t="str">
        <f t="shared" si="1"/>
        <v/>
      </c>
      <c r="AA31" s="20" t="str">
        <f t="shared" si="1"/>
        <v/>
      </c>
      <c r="AB31" s="20" t="str">
        <f t="shared" si="1"/>
        <v/>
      </c>
      <c r="AC31" s="20" t="str">
        <f t="shared" si="1"/>
        <v/>
      </c>
      <c r="AD31" s="20" t="str">
        <f t="shared" si="1"/>
        <v/>
      </c>
      <c r="AE31" s="20" t="str">
        <f t="shared" si="1"/>
        <v/>
      </c>
      <c r="AF31" s="20" t="str">
        <f t="shared" si="1"/>
        <v/>
      </c>
      <c r="AG31" s="20" t="str">
        <f t="shared" si="1"/>
        <v/>
      </c>
      <c r="AH31" s="20" t="str">
        <f t="shared" si="1"/>
        <v/>
      </c>
      <c r="AI31" s="20" t="str">
        <f t="shared" si="1"/>
        <v/>
      </c>
    </row>
    <row r="32" spans="1:35" ht="21.75" customHeight="1" thickBot="1">
      <c r="A32" s="138">
        <f t="shared" si="0"/>
        <v>17</v>
      </c>
      <c r="B32" s="139" t="s">
        <v>156</v>
      </c>
      <c r="C32" s="140"/>
      <c r="D32" s="1"/>
      <c r="E32" s="19" t="str">
        <f>P37</f>
        <v>CO-4</v>
      </c>
      <c r="F32" s="149"/>
      <c r="G32" s="150"/>
      <c r="H32" s="150"/>
      <c r="I32" s="151"/>
      <c r="J32" s="151"/>
      <c r="K32" s="151"/>
      <c r="L32" s="151"/>
      <c r="M32" s="151"/>
      <c r="N32" s="151"/>
      <c r="O32" s="151"/>
      <c r="P32" s="150"/>
      <c r="Q32" s="150"/>
      <c r="R32" s="150"/>
      <c r="S32" s="150"/>
      <c r="T32" s="1"/>
      <c r="U32" s="1"/>
      <c r="V32" s="20" t="str">
        <f t="shared" si="1"/>
        <v/>
      </c>
      <c r="W32" s="20" t="str">
        <f t="shared" si="1"/>
        <v/>
      </c>
      <c r="X32" s="20" t="str">
        <f t="shared" si="1"/>
        <v/>
      </c>
      <c r="Y32" s="20" t="str">
        <f t="shared" si="1"/>
        <v/>
      </c>
      <c r="Z32" s="20" t="str">
        <f t="shared" si="1"/>
        <v/>
      </c>
      <c r="AA32" s="20" t="str">
        <f t="shared" si="1"/>
        <v/>
      </c>
      <c r="AB32" s="20" t="str">
        <f t="shared" si="1"/>
        <v/>
      </c>
      <c r="AC32" s="20" t="str">
        <f t="shared" si="1"/>
        <v/>
      </c>
      <c r="AD32" s="20" t="str">
        <f t="shared" si="1"/>
        <v/>
      </c>
      <c r="AE32" s="20" t="str">
        <f t="shared" si="1"/>
        <v/>
      </c>
      <c r="AF32" s="20" t="str">
        <f t="shared" si="1"/>
        <v/>
      </c>
      <c r="AG32" s="20" t="str">
        <f t="shared" si="1"/>
        <v/>
      </c>
      <c r="AH32" s="20" t="str">
        <f t="shared" si="1"/>
        <v/>
      </c>
      <c r="AI32" s="20" t="str">
        <f t="shared" si="1"/>
        <v/>
      </c>
    </row>
    <row r="33" spans="1:35" ht="21.75" customHeight="1" thickBot="1">
      <c r="A33" s="138">
        <f t="shared" si="0"/>
        <v>18</v>
      </c>
      <c r="B33" s="139" t="s">
        <v>157</v>
      </c>
      <c r="C33" s="140"/>
      <c r="D33" s="1"/>
      <c r="E33" s="19" t="str">
        <f>Q37</f>
        <v>CO-5</v>
      </c>
      <c r="F33" s="149"/>
      <c r="G33" s="150"/>
      <c r="H33" s="150"/>
      <c r="I33" s="151"/>
      <c r="J33" s="151"/>
      <c r="K33" s="151"/>
      <c r="L33" s="151"/>
      <c r="M33" s="151"/>
      <c r="N33" s="151"/>
      <c r="O33" s="151"/>
      <c r="P33" s="150"/>
      <c r="Q33" s="150"/>
      <c r="R33" s="150"/>
      <c r="S33" s="150"/>
      <c r="T33" s="1"/>
      <c r="U33" s="1"/>
      <c r="V33" s="22" t="str">
        <f t="shared" ref="V33:AI33" si="2">IF(SUM(V28:V32)=0,"-",ROUND(((SUM(V28:V32))/COUNT(V28:V32)),2))</f>
        <v>-</v>
      </c>
      <c r="W33" s="22" t="str">
        <f t="shared" si="2"/>
        <v>-</v>
      </c>
      <c r="X33" s="22" t="str">
        <f t="shared" si="2"/>
        <v>-</v>
      </c>
      <c r="Y33" s="22" t="str">
        <f t="shared" si="2"/>
        <v>-</v>
      </c>
      <c r="Z33" s="22" t="str">
        <f t="shared" si="2"/>
        <v>-</v>
      </c>
      <c r="AA33" s="22" t="str">
        <f t="shared" si="2"/>
        <v>-</v>
      </c>
      <c r="AB33" s="22" t="str">
        <f t="shared" si="2"/>
        <v>-</v>
      </c>
      <c r="AC33" s="22" t="str">
        <f t="shared" si="2"/>
        <v>-</v>
      </c>
      <c r="AD33" s="22" t="str">
        <f t="shared" si="2"/>
        <v>-</v>
      </c>
      <c r="AE33" s="22" t="str">
        <f t="shared" si="2"/>
        <v>-</v>
      </c>
      <c r="AF33" s="22" t="str">
        <f t="shared" si="2"/>
        <v>-</v>
      </c>
      <c r="AG33" s="22" t="str">
        <f t="shared" si="2"/>
        <v>-</v>
      </c>
      <c r="AH33" s="22" t="str">
        <f t="shared" si="2"/>
        <v>-</v>
      </c>
      <c r="AI33" s="22" t="str">
        <f t="shared" si="2"/>
        <v>-</v>
      </c>
    </row>
    <row r="34" spans="1:35" ht="21.75" customHeight="1" thickBot="1">
      <c r="A34" s="138">
        <f t="shared" si="0"/>
        <v>19</v>
      </c>
      <c r="B34" s="139" t="s">
        <v>158</v>
      </c>
      <c r="C34" s="140"/>
      <c r="D34" s="1"/>
      <c r="E34" s="21" t="s">
        <v>99</v>
      </c>
      <c r="F34" s="21" t="str">
        <f t="shared" ref="F34:S34" si="3">IF(SUM(F29:F33)=0,"-",ROUND(((SUM(F29:F33))/COUNT(F29:F33)),2))</f>
        <v>-</v>
      </c>
      <c r="G34" s="21" t="str">
        <f t="shared" si="3"/>
        <v>-</v>
      </c>
      <c r="H34" s="21" t="str">
        <f t="shared" si="3"/>
        <v>-</v>
      </c>
      <c r="I34" s="21" t="str">
        <f t="shared" si="3"/>
        <v>-</v>
      </c>
      <c r="J34" s="21" t="str">
        <f t="shared" si="3"/>
        <v>-</v>
      </c>
      <c r="K34" s="21" t="str">
        <f t="shared" si="3"/>
        <v>-</v>
      </c>
      <c r="L34" s="21" t="str">
        <f t="shared" si="3"/>
        <v>-</v>
      </c>
      <c r="M34" s="21" t="str">
        <f t="shared" si="3"/>
        <v>-</v>
      </c>
      <c r="N34" s="21" t="str">
        <f t="shared" si="3"/>
        <v>-</v>
      </c>
      <c r="O34" s="21" t="str">
        <f t="shared" si="3"/>
        <v>-</v>
      </c>
      <c r="P34" s="21" t="str">
        <f t="shared" si="3"/>
        <v>-</v>
      </c>
      <c r="Q34" s="21" t="str">
        <f t="shared" si="3"/>
        <v>-</v>
      </c>
      <c r="R34" s="21" t="str">
        <f t="shared" si="3"/>
        <v>-</v>
      </c>
      <c r="S34" s="21" t="str">
        <f t="shared" si="3"/>
        <v>-</v>
      </c>
      <c r="T34" s="1"/>
      <c r="U34" s="1"/>
      <c r="V34" s="1"/>
      <c r="W34" s="1"/>
      <c r="X34" s="1"/>
      <c r="Y34" s="1"/>
    </row>
    <row r="35" spans="1:35" ht="21.75" customHeight="1">
      <c r="A35" s="138">
        <f t="shared" si="0"/>
        <v>20</v>
      </c>
      <c r="B35" s="139" t="s">
        <v>159</v>
      </c>
      <c r="C35" s="140"/>
      <c r="D35" s="1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1"/>
      <c r="U35" s="1"/>
      <c r="V35" s="1"/>
      <c r="W35" s="1"/>
      <c r="X35" s="1"/>
      <c r="Y35" s="1"/>
    </row>
    <row r="36" spans="1:35" ht="21.75" customHeight="1">
      <c r="A36" s="138">
        <f t="shared" si="0"/>
        <v>21</v>
      </c>
      <c r="B36" s="139" t="s">
        <v>160</v>
      </c>
      <c r="C36" s="140"/>
      <c r="D36" s="1"/>
      <c r="F36" s="16"/>
      <c r="G36" s="208" t="s">
        <v>131</v>
      </c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16"/>
      <c r="S36" s="16"/>
      <c r="T36" s="1"/>
      <c r="U36" s="1"/>
      <c r="V36" s="1"/>
      <c r="W36" s="1"/>
      <c r="X36" s="1"/>
      <c r="Y36" s="1"/>
    </row>
    <row r="37" spans="1:35" ht="21.75" customHeight="1">
      <c r="A37" s="138">
        <f t="shared" si="0"/>
        <v>22</v>
      </c>
      <c r="B37" s="139" t="s">
        <v>161</v>
      </c>
      <c r="C37" s="140"/>
      <c r="D37" s="1"/>
      <c r="G37" s="201" t="s">
        <v>16</v>
      </c>
      <c r="H37" s="202"/>
      <c r="I37" s="202"/>
      <c r="J37" s="202"/>
      <c r="K37" s="202"/>
      <c r="L37" s="203"/>
      <c r="M37" s="127" t="s">
        <v>17</v>
      </c>
      <c r="N37" s="128" t="s">
        <v>18</v>
      </c>
      <c r="O37" s="128" t="s">
        <v>19</v>
      </c>
      <c r="P37" s="128" t="s">
        <v>20</v>
      </c>
      <c r="Q37" s="128" t="s">
        <v>21</v>
      </c>
      <c r="T37" s="1"/>
      <c r="U37" s="1"/>
      <c r="V37" s="1"/>
      <c r="W37" s="1"/>
      <c r="X37" s="1"/>
      <c r="Y37" s="1"/>
    </row>
    <row r="38" spans="1:35" ht="21.75" customHeight="1">
      <c r="A38" s="138">
        <f t="shared" si="0"/>
        <v>23</v>
      </c>
      <c r="B38" s="139" t="s">
        <v>162</v>
      </c>
      <c r="C38" s="140"/>
      <c r="D38" s="1"/>
      <c r="G38" s="204" t="s">
        <v>22</v>
      </c>
      <c r="H38" s="189"/>
      <c r="I38" s="189"/>
      <c r="J38" s="189"/>
      <c r="K38" s="189"/>
      <c r="L38" s="190"/>
      <c r="M38" s="10">
        <f>'Internal CO'!C465</f>
        <v>0</v>
      </c>
      <c r="N38" s="11">
        <f>'Internal CO'!D465</f>
        <v>0</v>
      </c>
      <c r="O38" s="11">
        <f>'Internal CO'!E465</f>
        <v>0</v>
      </c>
      <c r="P38" s="11">
        <f>'Internal CO'!F465</f>
        <v>0</v>
      </c>
      <c r="Q38" s="11">
        <f>'Internal CO'!G465</f>
        <v>0</v>
      </c>
      <c r="T38" s="1"/>
      <c r="U38" s="1"/>
      <c r="V38" s="1"/>
      <c r="W38" s="1"/>
      <c r="X38" s="1"/>
      <c r="Y38" s="1"/>
    </row>
    <row r="39" spans="1:35" ht="21.75" customHeight="1">
      <c r="A39" s="138">
        <f t="shared" si="0"/>
        <v>24</v>
      </c>
      <c r="B39" s="139" t="s">
        <v>163</v>
      </c>
      <c r="C39" s="140"/>
      <c r="D39" s="1"/>
      <c r="G39" s="205" t="s">
        <v>23</v>
      </c>
      <c r="H39" s="189"/>
      <c r="I39" s="189"/>
      <c r="J39" s="189"/>
      <c r="K39" s="189"/>
      <c r="L39" s="190"/>
      <c r="M39" s="10">
        <f>'ESE CO'!C464</f>
        <v>0</v>
      </c>
      <c r="N39" s="11">
        <f>'ESE CO'!D464</f>
        <v>0</v>
      </c>
      <c r="O39" s="11">
        <f>'ESE CO'!E464</f>
        <v>0</v>
      </c>
      <c r="P39" s="11">
        <f>'ESE CO'!F464</f>
        <v>0</v>
      </c>
      <c r="Q39" s="11">
        <f>'ESE CO'!G464</f>
        <v>0</v>
      </c>
      <c r="T39" s="1"/>
      <c r="U39" s="1"/>
      <c r="V39" s="1"/>
      <c r="W39" s="1"/>
      <c r="X39" s="1"/>
      <c r="Y39" s="1"/>
    </row>
    <row r="40" spans="1:35" ht="21.75" customHeight="1">
      <c r="A40" s="138">
        <f t="shared" si="0"/>
        <v>25</v>
      </c>
      <c r="B40" s="139" t="s">
        <v>164</v>
      </c>
      <c r="C40" s="140"/>
      <c r="D40" s="1"/>
      <c r="G40" s="205" t="s">
        <v>24</v>
      </c>
      <c r="H40" s="189"/>
      <c r="I40" s="189"/>
      <c r="J40" s="189"/>
      <c r="K40" s="189"/>
      <c r="L40" s="190"/>
      <c r="M40" s="12">
        <f>IFERROR(M38*0.5+M39*0.5,"")</f>
        <v>0</v>
      </c>
      <c r="N40" s="13">
        <f>IFERROR(N38*0.5+N39*0.5,"")</f>
        <v>0</v>
      </c>
      <c r="O40" s="13">
        <f>IFERROR(O38*0.5+O39*0.5,"")</f>
        <v>0</v>
      </c>
      <c r="P40" s="13">
        <f>IFERROR(P38*0.5+P39*0.5,"")</f>
        <v>0</v>
      </c>
      <c r="Q40" s="13">
        <f>IFERROR(Q38*0.5+Q39*0.5,"")</f>
        <v>0</v>
      </c>
      <c r="T40" s="1"/>
      <c r="U40" s="1"/>
      <c r="V40" s="1"/>
      <c r="W40" s="1"/>
      <c r="X40" s="1"/>
      <c r="Y40" s="1"/>
    </row>
    <row r="41" spans="1:35" ht="21.75" customHeight="1">
      <c r="A41" s="138">
        <f t="shared" si="0"/>
        <v>26</v>
      </c>
      <c r="B41" s="139" t="s">
        <v>165</v>
      </c>
      <c r="C41" s="140"/>
      <c r="D41" s="1"/>
      <c r="T41" s="1"/>
      <c r="U41" s="1"/>
      <c r="V41" s="1"/>
      <c r="W41" s="1"/>
      <c r="X41" s="1"/>
      <c r="Y41" s="1"/>
    </row>
    <row r="42" spans="1:35" ht="21.75" customHeight="1">
      <c r="A42" s="138">
        <f t="shared" si="0"/>
        <v>27</v>
      </c>
      <c r="B42" s="139" t="s">
        <v>166</v>
      </c>
      <c r="C42" s="140"/>
      <c r="D42" s="1"/>
      <c r="E42" s="243" t="s">
        <v>132</v>
      </c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1"/>
      <c r="U42" s="1"/>
      <c r="V42" s="1"/>
      <c r="W42" s="1"/>
      <c r="X42" s="1"/>
      <c r="Y42" s="1"/>
    </row>
    <row r="43" spans="1:35" ht="21.75" customHeight="1" thickBot="1">
      <c r="A43" s="138">
        <f t="shared" si="0"/>
        <v>28</v>
      </c>
      <c r="B43" s="139" t="s">
        <v>167</v>
      </c>
      <c r="C43" s="140"/>
      <c r="D43" s="1"/>
      <c r="E43" s="129" t="s">
        <v>25</v>
      </c>
      <c r="F43" s="130" t="s">
        <v>26</v>
      </c>
      <c r="G43" s="130" t="s">
        <v>27</v>
      </c>
      <c r="H43" s="130" t="s">
        <v>28</v>
      </c>
      <c r="I43" s="130" t="s">
        <v>29</v>
      </c>
      <c r="J43" s="130" t="s">
        <v>30</v>
      </c>
      <c r="K43" s="130" t="s">
        <v>31</v>
      </c>
      <c r="L43" s="130" t="s">
        <v>32</v>
      </c>
      <c r="M43" s="130" t="s">
        <v>33</v>
      </c>
      <c r="N43" s="130" t="s">
        <v>34</v>
      </c>
      <c r="O43" s="130" t="s">
        <v>35</v>
      </c>
      <c r="P43" s="130" t="s">
        <v>36</v>
      </c>
      <c r="Q43" s="130" t="s">
        <v>37</v>
      </c>
      <c r="R43" s="130" t="s">
        <v>38</v>
      </c>
      <c r="S43" s="130" t="s">
        <v>39</v>
      </c>
      <c r="T43" s="1"/>
      <c r="U43" s="1"/>
      <c r="V43" s="1"/>
      <c r="W43" s="1"/>
      <c r="X43" s="1"/>
      <c r="Y43" s="1"/>
    </row>
    <row r="44" spans="1:35" ht="21.75" customHeight="1" thickBot="1">
      <c r="A44" s="138">
        <f t="shared" si="0"/>
        <v>29</v>
      </c>
      <c r="B44" s="139" t="s">
        <v>168</v>
      </c>
      <c r="C44" s="140"/>
      <c r="D44" s="1"/>
      <c r="E44" s="21" t="str">
        <f>+E29</f>
        <v>CO-1</v>
      </c>
      <c r="F44" s="24" t="str">
        <f t="shared" ref="F44:S44" si="4">IF(V28="P",(F29*($M$40/100)),"-")</f>
        <v>-</v>
      </c>
      <c r="G44" s="24" t="str">
        <f t="shared" si="4"/>
        <v>-</v>
      </c>
      <c r="H44" s="24" t="str">
        <f t="shared" si="4"/>
        <v>-</v>
      </c>
      <c r="I44" s="24" t="str">
        <f t="shared" si="4"/>
        <v>-</v>
      </c>
      <c r="J44" s="24" t="str">
        <f t="shared" si="4"/>
        <v>-</v>
      </c>
      <c r="K44" s="24" t="str">
        <f t="shared" si="4"/>
        <v>-</v>
      </c>
      <c r="L44" s="24" t="str">
        <f t="shared" si="4"/>
        <v>-</v>
      </c>
      <c r="M44" s="24" t="str">
        <f t="shared" si="4"/>
        <v>-</v>
      </c>
      <c r="N44" s="24" t="str">
        <f t="shared" si="4"/>
        <v>-</v>
      </c>
      <c r="O44" s="24" t="str">
        <f t="shared" si="4"/>
        <v>-</v>
      </c>
      <c r="P44" s="24" t="str">
        <f t="shared" si="4"/>
        <v>-</v>
      </c>
      <c r="Q44" s="24" t="str">
        <f t="shared" si="4"/>
        <v>-</v>
      </c>
      <c r="R44" s="24" t="str">
        <f t="shared" si="4"/>
        <v>-</v>
      </c>
      <c r="S44" s="24" t="str">
        <f t="shared" si="4"/>
        <v>-</v>
      </c>
      <c r="T44" s="1"/>
      <c r="U44" s="1"/>
      <c r="V44" s="1"/>
      <c r="W44" s="1"/>
      <c r="X44" s="1"/>
      <c r="Y44" s="1"/>
    </row>
    <row r="45" spans="1:35" ht="21.75" customHeight="1" thickBot="1">
      <c r="A45" s="138">
        <f t="shared" si="0"/>
        <v>30</v>
      </c>
      <c r="B45" s="139" t="s">
        <v>169</v>
      </c>
      <c r="C45" s="140"/>
      <c r="D45" s="1"/>
      <c r="E45" s="21" t="str">
        <f>+E30</f>
        <v>CO-2</v>
      </c>
      <c r="F45" s="24" t="str">
        <f t="shared" ref="F45:S45" si="5">IF(V29="P",(F30*($N$40/100)),"-")</f>
        <v>-</v>
      </c>
      <c r="G45" s="24" t="str">
        <f t="shared" si="5"/>
        <v>-</v>
      </c>
      <c r="H45" s="24" t="str">
        <f t="shared" si="5"/>
        <v>-</v>
      </c>
      <c r="I45" s="24" t="str">
        <f t="shared" si="5"/>
        <v>-</v>
      </c>
      <c r="J45" s="24" t="str">
        <f t="shared" si="5"/>
        <v>-</v>
      </c>
      <c r="K45" s="24" t="str">
        <f t="shared" si="5"/>
        <v>-</v>
      </c>
      <c r="L45" s="24" t="str">
        <f t="shared" si="5"/>
        <v>-</v>
      </c>
      <c r="M45" s="24" t="str">
        <f t="shared" si="5"/>
        <v>-</v>
      </c>
      <c r="N45" s="24" t="str">
        <f t="shared" si="5"/>
        <v>-</v>
      </c>
      <c r="O45" s="24" t="str">
        <f t="shared" si="5"/>
        <v>-</v>
      </c>
      <c r="P45" s="24" t="str">
        <f t="shared" si="5"/>
        <v>-</v>
      </c>
      <c r="Q45" s="24" t="str">
        <f t="shared" si="5"/>
        <v>-</v>
      </c>
      <c r="R45" s="24" t="str">
        <f t="shared" si="5"/>
        <v>-</v>
      </c>
      <c r="S45" s="24" t="str">
        <f t="shared" si="5"/>
        <v>-</v>
      </c>
      <c r="T45" s="1"/>
      <c r="U45" s="1"/>
      <c r="V45" s="1"/>
      <c r="W45" s="1"/>
      <c r="X45" s="1"/>
      <c r="Y45" s="1"/>
    </row>
    <row r="46" spans="1:35" ht="21.75" customHeight="1" thickBot="1">
      <c r="A46" s="138">
        <f t="shared" si="0"/>
        <v>31</v>
      </c>
      <c r="B46" s="139" t="s">
        <v>170</v>
      </c>
      <c r="C46" s="140"/>
      <c r="D46" s="1"/>
      <c r="E46" s="21" t="str">
        <f>+E31</f>
        <v>CO-3</v>
      </c>
      <c r="F46" s="24" t="str">
        <f t="shared" ref="F46:S46" si="6">IF(V30="P",(F31*($O$40/100)),"-")</f>
        <v>-</v>
      </c>
      <c r="G46" s="24" t="str">
        <f t="shared" si="6"/>
        <v>-</v>
      </c>
      <c r="H46" s="24" t="str">
        <f t="shared" si="6"/>
        <v>-</v>
      </c>
      <c r="I46" s="24" t="str">
        <f t="shared" si="6"/>
        <v>-</v>
      </c>
      <c r="J46" s="24" t="str">
        <f t="shared" si="6"/>
        <v>-</v>
      </c>
      <c r="K46" s="24" t="str">
        <f t="shared" si="6"/>
        <v>-</v>
      </c>
      <c r="L46" s="24" t="str">
        <f t="shared" si="6"/>
        <v>-</v>
      </c>
      <c r="M46" s="24" t="str">
        <f t="shared" si="6"/>
        <v>-</v>
      </c>
      <c r="N46" s="24" t="str">
        <f t="shared" si="6"/>
        <v>-</v>
      </c>
      <c r="O46" s="24" t="str">
        <f t="shared" si="6"/>
        <v>-</v>
      </c>
      <c r="P46" s="24" t="str">
        <f t="shared" si="6"/>
        <v>-</v>
      </c>
      <c r="Q46" s="24" t="str">
        <f t="shared" si="6"/>
        <v>-</v>
      </c>
      <c r="R46" s="24" t="str">
        <f t="shared" si="6"/>
        <v>-</v>
      </c>
      <c r="S46" s="24" t="str">
        <f t="shared" si="6"/>
        <v>-</v>
      </c>
      <c r="T46" s="1"/>
      <c r="U46" s="1"/>
      <c r="V46" s="1"/>
      <c r="W46" s="1"/>
      <c r="X46" s="1"/>
      <c r="Y46" s="1"/>
    </row>
    <row r="47" spans="1:35" ht="28.5" customHeight="1" thickBot="1">
      <c r="A47" s="138">
        <f t="shared" si="0"/>
        <v>32</v>
      </c>
      <c r="B47" s="139" t="s">
        <v>171</v>
      </c>
      <c r="C47" s="140"/>
      <c r="D47" s="1"/>
      <c r="E47" s="21" t="str">
        <f>+E32</f>
        <v>CO-4</v>
      </c>
      <c r="F47" s="24" t="str">
        <f t="shared" ref="F47:S47" si="7">IF(V31="P",(F32*($P$40/100)),"-")</f>
        <v>-</v>
      </c>
      <c r="G47" s="24" t="str">
        <f t="shared" si="7"/>
        <v>-</v>
      </c>
      <c r="H47" s="24" t="str">
        <f t="shared" si="7"/>
        <v>-</v>
      </c>
      <c r="I47" s="24" t="str">
        <f t="shared" si="7"/>
        <v>-</v>
      </c>
      <c r="J47" s="24" t="str">
        <f t="shared" si="7"/>
        <v>-</v>
      </c>
      <c r="K47" s="24" t="str">
        <f t="shared" si="7"/>
        <v>-</v>
      </c>
      <c r="L47" s="24" t="str">
        <f t="shared" si="7"/>
        <v>-</v>
      </c>
      <c r="M47" s="24" t="str">
        <f t="shared" si="7"/>
        <v>-</v>
      </c>
      <c r="N47" s="24" t="str">
        <f t="shared" si="7"/>
        <v>-</v>
      </c>
      <c r="O47" s="24" t="str">
        <f t="shared" si="7"/>
        <v>-</v>
      </c>
      <c r="P47" s="24" t="str">
        <f t="shared" si="7"/>
        <v>-</v>
      </c>
      <c r="Q47" s="24" t="str">
        <f t="shared" si="7"/>
        <v>-</v>
      </c>
      <c r="R47" s="24" t="str">
        <f t="shared" si="7"/>
        <v>-</v>
      </c>
      <c r="S47" s="24" t="str">
        <f t="shared" si="7"/>
        <v>-</v>
      </c>
      <c r="T47" s="1"/>
      <c r="U47" s="1"/>
      <c r="V47" s="1"/>
      <c r="W47" s="1"/>
      <c r="X47" s="1"/>
      <c r="Y47" s="1"/>
    </row>
    <row r="48" spans="1:35" ht="21.75" customHeight="1" thickBot="1">
      <c r="A48" s="138">
        <f t="shared" si="0"/>
        <v>33</v>
      </c>
      <c r="B48" s="139" t="s">
        <v>172</v>
      </c>
      <c r="C48" s="140"/>
      <c r="D48" s="1"/>
      <c r="E48" s="21" t="str">
        <f>+E33</f>
        <v>CO-5</v>
      </c>
      <c r="F48" s="24" t="str">
        <f t="shared" ref="F48:S48" si="8">IF(V32="P",(F33*($Q$40/100)),"-")</f>
        <v>-</v>
      </c>
      <c r="G48" s="24" t="str">
        <f t="shared" si="8"/>
        <v>-</v>
      </c>
      <c r="H48" s="24" t="str">
        <f t="shared" si="8"/>
        <v>-</v>
      </c>
      <c r="I48" s="24" t="str">
        <f t="shared" si="8"/>
        <v>-</v>
      </c>
      <c r="J48" s="24" t="str">
        <f t="shared" si="8"/>
        <v>-</v>
      </c>
      <c r="K48" s="24" t="str">
        <f t="shared" si="8"/>
        <v>-</v>
      </c>
      <c r="L48" s="24" t="str">
        <f t="shared" si="8"/>
        <v>-</v>
      </c>
      <c r="M48" s="24" t="str">
        <f t="shared" si="8"/>
        <v>-</v>
      </c>
      <c r="N48" s="24" t="str">
        <f t="shared" si="8"/>
        <v>-</v>
      </c>
      <c r="O48" s="24" t="str">
        <f t="shared" si="8"/>
        <v>-</v>
      </c>
      <c r="P48" s="24" t="str">
        <f t="shared" si="8"/>
        <v>-</v>
      </c>
      <c r="Q48" s="24" t="str">
        <f t="shared" si="8"/>
        <v>-</v>
      </c>
      <c r="R48" s="24" t="str">
        <f t="shared" si="8"/>
        <v>-</v>
      </c>
      <c r="S48" s="24" t="str">
        <f t="shared" si="8"/>
        <v>-</v>
      </c>
      <c r="T48" s="1"/>
      <c r="U48" s="1"/>
      <c r="V48" s="1"/>
      <c r="W48" s="1"/>
      <c r="X48" s="1"/>
      <c r="Y48" s="1"/>
    </row>
    <row r="49" spans="1:25" ht="21.75" customHeight="1" thickBot="1">
      <c r="A49" s="138">
        <f t="shared" si="0"/>
        <v>34</v>
      </c>
      <c r="B49" s="139" t="s">
        <v>173</v>
      </c>
      <c r="C49" s="140"/>
      <c r="D49" s="1"/>
      <c r="E49" s="21" t="s">
        <v>99</v>
      </c>
      <c r="F49" s="25" t="str">
        <f t="shared" ref="F49:S49" si="9">IF(SUM(F44:F48)=0,"-",ROUND(((SUM(F44:F48))/COUNT(F44:F48)),2))</f>
        <v>-</v>
      </c>
      <c r="G49" s="25" t="str">
        <f t="shared" si="9"/>
        <v>-</v>
      </c>
      <c r="H49" s="25" t="str">
        <f t="shared" si="9"/>
        <v>-</v>
      </c>
      <c r="I49" s="25" t="str">
        <f t="shared" si="9"/>
        <v>-</v>
      </c>
      <c r="J49" s="25" t="str">
        <f t="shared" si="9"/>
        <v>-</v>
      </c>
      <c r="K49" s="25" t="str">
        <f t="shared" si="9"/>
        <v>-</v>
      </c>
      <c r="L49" s="25" t="str">
        <f t="shared" si="9"/>
        <v>-</v>
      </c>
      <c r="M49" s="25" t="str">
        <f t="shared" si="9"/>
        <v>-</v>
      </c>
      <c r="N49" s="25" t="str">
        <f t="shared" si="9"/>
        <v>-</v>
      </c>
      <c r="O49" s="25" t="str">
        <f t="shared" si="9"/>
        <v>-</v>
      </c>
      <c r="P49" s="25" t="str">
        <f t="shared" si="9"/>
        <v>-</v>
      </c>
      <c r="Q49" s="25" t="str">
        <f t="shared" si="9"/>
        <v>-</v>
      </c>
      <c r="R49" s="25" t="str">
        <f t="shared" si="9"/>
        <v>-</v>
      </c>
      <c r="S49" s="25" t="str">
        <f t="shared" si="9"/>
        <v>-</v>
      </c>
      <c r="T49" s="1"/>
      <c r="U49" s="1"/>
      <c r="V49" s="1"/>
      <c r="W49" s="1"/>
      <c r="X49" s="1"/>
      <c r="Y49" s="1"/>
    </row>
    <row r="50" spans="1:25" ht="21.75" customHeight="1">
      <c r="A50" s="138">
        <f t="shared" si="0"/>
        <v>35</v>
      </c>
      <c r="B50" s="139" t="s">
        <v>174</v>
      </c>
      <c r="C50" s="14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.75" customHeight="1">
      <c r="A51" s="138">
        <f>A50+1</f>
        <v>36</v>
      </c>
      <c r="B51" s="139" t="s">
        <v>175</v>
      </c>
      <c r="C51" s="14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.75" customHeight="1">
      <c r="A52" s="138">
        <f t="shared" si="0"/>
        <v>37</v>
      </c>
      <c r="B52" s="139" t="s">
        <v>176</v>
      </c>
      <c r="C52" s="14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.75" customHeight="1">
      <c r="A53" s="138">
        <f t="shared" si="0"/>
        <v>38</v>
      </c>
      <c r="B53" s="139" t="s">
        <v>177</v>
      </c>
      <c r="C53" s="14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.75" customHeight="1">
      <c r="A54" s="138">
        <f t="shared" si="0"/>
        <v>39</v>
      </c>
      <c r="B54" s="139" t="s">
        <v>178</v>
      </c>
      <c r="C54" s="14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.75" customHeight="1">
      <c r="A55" s="138">
        <f>A54+1</f>
        <v>40</v>
      </c>
      <c r="B55" s="139" t="s">
        <v>179</v>
      </c>
      <c r="C55" s="14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>
      <c r="A56" s="138">
        <f t="shared" si="0"/>
        <v>41</v>
      </c>
      <c r="B56" s="139" t="s">
        <v>180</v>
      </c>
      <c r="C56" s="14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.75" customHeight="1">
      <c r="A57" s="138">
        <f t="shared" si="0"/>
        <v>42</v>
      </c>
      <c r="B57" s="139" t="s">
        <v>181</v>
      </c>
      <c r="C57" s="14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.75" customHeight="1">
      <c r="A58" s="138">
        <f t="shared" si="0"/>
        <v>43</v>
      </c>
      <c r="B58" s="139" t="s">
        <v>182</v>
      </c>
      <c r="C58" s="14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.75" customHeight="1">
      <c r="A59" s="138">
        <f t="shared" si="0"/>
        <v>44</v>
      </c>
      <c r="B59" s="139" t="s">
        <v>183</v>
      </c>
      <c r="C59" s="14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.75" customHeight="1">
      <c r="A60" s="138">
        <f t="shared" si="0"/>
        <v>45</v>
      </c>
      <c r="B60" s="139" t="s">
        <v>184</v>
      </c>
      <c r="C60" s="14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.75" customHeight="1">
      <c r="A61" s="138">
        <f t="shared" si="0"/>
        <v>46</v>
      </c>
      <c r="B61" s="139" t="s">
        <v>185</v>
      </c>
      <c r="C61" s="14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.75" customHeight="1">
      <c r="A62" s="138">
        <f t="shared" si="0"/>
        <v>47</v>
      </c>
      <c r="B62" s="139" t="s">
        <v>186</v>
      </c>
      <c r="C62" s="14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.75" customHeight="1">
      <c r="A63" s="138">
        <f t="shared" si="0"/>
        <v>48</v>
      </c>
      <c r="B63" s="139" t="s">
        <v>187</v>
      </c>
      <c r="C63" s="14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.75" customHeight="1">
      <c r="A64" s="138">
        <f t="shared" si="0"/>
        <v>49</v>
      </c>
      <c r="B64" s="139" t="s">
        <v>188</v>
      </c>
      <c r="C64" s="14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.75" customHeight="1">
      <c r="A65" s="138">
        <f t="shared" si="0"/>
        <v>50</v>
      </c>
      <c r="B65" s="139" t="s">
        <v>189</v>
      </c>
      <c r="C65" s="14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.75" customHeight="1">
      <c r="A66" s="138">
        <f t="shared" si="0"/>
        <v>51</v>
      </c>
      <c r="B66" s="139" t="s">
        <v>190</v>
      </c>
      <c r="C66" s="14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.75" customHeight="1">
      <c r="A67" s="138">
        <f t="shared" si="0"/>
        <v>52</v>
      </c>
      <c r="B67" s="139" t="s">
        <v>191</v>
      </c>
      <c r="C67" s="14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.75" customHeight="1">
      <c r="A68" s="138">
        <f t="shared" si="0"/>
        <v>53</v>
      </c>
      <c r="B68" s="139" t="s">
        <v>192</v>
      </c>
      <c r="C68" s="14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.75" customHeight="1">
      <c r="A69" s="138">
        <f t="shared" si="0"/>
        <v>54</v>
      </c>
      <c r="B69" s="139" t="s">
        <v>193</v>
      </c>
      <c r="C69" s="14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.75" customHeight="1">
      <c r="A70" s="138">
        <f t="shared" si="0"/>
        <v>55</v>
      </c>
      <c r="B70" s="139" t="s">
        <v>194</v>
      </c>
      <c r="C70" s="14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.75" customHeight="1">
      <c r="A71" s="138">
        <f t="shared" si="0"/>
        <v>56</v>
      </c>
      <c r="B71" s="139" t="s">
        <v>195</v>
      </c>
      <c r="C71" s="14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.75" customHeight="1">
      <c r="A72" s="138">
        <f t="shared" si="0"/>
        <v>57</v>
      </c>
      <c r="B72" s="139" t="s">
        <v>196</v>
      </c>
      <c r="C72" s="14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.75" customHeight="1">
      <c r="A73" s="138">
        <f t="shared" si="0"/>
        <v>58</v>
      </c>
      <c r="B73" s="139" t="s">
        <v>197</v>
      </c>
      <c r="C73" s="14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.75" customHeight="1">
      <c r="A74" s="138">
        <f t="shared" si="0"/>
        <v>59</v>
      </c>
      <c r="B74" s="139" t="s">
        <v>198</v>
      </c>
      <c r="C74" s="14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.75" customHeight="1">
      <c r="A75" s="138">
        <f t="shared" si="0"/>
        <v>60</v>
      </c>
      <c r="B75" s="139" t="s">
        <v>199</v>
      </c>
      <c r="C75" s="14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.75" customHeight="1">
      <c r="A76" s="138">
        <f t="shared" si="0"/>
        <v>61</v>
      </c>
      <c r="B76" s="139" t="s">
        <v>200</v>
      </c>
      <c r="C76" s="14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.75" customHeight="1">
      <c r="A77" s="138">
        <f t="shared" si="0"/>
        <v>62</v>
      </c>
      <c r="B77" s="139" t="s">
        <v>201</v>
      </c>
      <c r="C77" s="14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.75" customHeight="1">
      <c r="A78" s="138">
        <f t="shared" si="0"/>
        <v>63</v>
      </c>
      <c r="B78" s="139" t="s">
        <v>202</v>
      </c>
      <c r="C78" s="14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.75" customHeight="1">
      <c r="A79" s="138">
        <f t="shared" si="0"/>
        <v>64</v>
      </c>
      <c r="B79" s="139" t="s">
        <v>203</v>
      </c>
      <c r="C79" s="14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.75" customHeight="1">
      <c r="A80" s="138">
        <f t="shared" si="0"/>
        <v>65</v>
      </c>
      <c r="B80" s="139" t="s">
        <v>204</v>
      </c>
      <c r="C80" s="14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.75" customHeight="1">
      <c r="A81" s="138">
        <f t="shared" si="0"/>
        <v>66</v>
      </c>
      <c r="B81" s="139" t="s">
        <v>205</v>
      </c>
      <c r="C81" s="14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.75" customHeight="1">
      <c r="A82" s="138">
        <f t="shared" ref="A82:A145" si="10">A81+1</f>
        <v>67</v>
      </c>
      <c r="B82" s="139" t="s">
        <v>206</v>
      </c>
      <c r="C82" s="14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.75" customHeight="1">
      <c r="A83" s="138">
        <f t="shared" si="10"/>
        <v>68</v>
      </c>
      <c r="B83" s="139" t="s">
        <v>207</v>
      </c>
      <c r="C83" s="14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.75" customHeight="1">
      <c r="A84" s="138">
        <f t="shared" si="10"/>
        <v>69</v>
      </c>
      <c r="B84" s="139" t="s">
        <v>208</v>
      </c>
      <c r="C84" s="14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.75" customHeight="1">
      <c r="A85" s="138">
        <f t="shared" si="10"/>
        <v>70</v>
      </c>
      <c r="B85" s="139" t="s">
        <v>209</v>
      </c>
      <c r="C85" s="14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.75" customHeight="1">
      <c r="A86" s="138">
        <f t="shared" si="10"/>
        <v>71</v>
      </c>
      <c r="B86" s="139" t="s">
        <v>210</v>
      </c>
      <c r="C86" s="14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.75" customHeight="1">
      <c r="A87" s="138">
        <f t="shared" si="10"/>
        <v>72</v>
      </c>
      <c r="B87" s="139" t="s">
        <v>211</v>
      </c>
      <c r="C87" s="14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.75" customHeight="1">
      <c r="A88" s="138">
        <f t="shared" si="10"/>
        <v>73</v>
      </c>
      <c r="B88" s="139" t="s">
        <v>212</v>
      </c>
      <c r="C88" s="14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.75" customHeight="1">
      <c r="A89" s="138">
        <f t="shared" si="10"/>
        <v>74</v>
      </c>
      <c r="B89" s="139" t="s">
        <v>213</v>
      </c>
      <c r="C89" s="14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.75" customHeight="1">
      <c r="A90" s="138">
        <f t="shared" si="10"/>
        <v>75</v>
      </c>
      <c r="B90" s="139" t="s">
        <v>214</v>
      </c>
      <c r="C90" s="14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.75" customHeight="1">
      <c r="A91" s="138">
        <f t="shared" si="10"/>
        <v>76</v>
      </c>
      <c r="B91" s="139" t="s">
        <v>215</v>
      </c>
      <c r="C91" s="14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.75" customHeight="1">
      <c r="A92" s="138">
        <f t="shared" si="10"/>
        <v>77</v>
      </c>
      <c r="B92" s="139" t="s">
        <v>216</v>
      </c>
      <c r="C92" s="14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.75" customHeight="1">
      <c r="A93" s="138">
        <f t="shared" si="10"/>
        <v>78</v>
      </c>
      <c r="B93" s="139" t="s">
        <v>217</v>
      </c>
      <c r="C93" s="14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.75" customHeight="1">
      <c r="A94" s="138">
        <f t="shared" si="10"/>
        <v>79</v>
      </c>
      <c r="B94" s="139" t="s">
        <v>218</v>
      </c>
      <c r="C94" s="14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.75" customHeight="1">
      <c r="A95" s="138">
        <f t="shared" si="10"/>
        <v>80</v>
      </c>
      <c r="B95" s="139" t="s">
        <v>219</v>
      </c>
      <c r="C95" s="14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.75" customHeight="1">
      <c r="A96" s="138">
        <f t="shared" si="10"/>
        <v>81</v>
      </c>
      <c r="B96" s="139" t="s">
        <v>220</v>
      </c>
      <c r="C96" s="14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.75" customHeight="1">
      <c r="A97" s="138">
        <f t="shared" si="10"/>
        <v>82</v>
      </c>
      <c r="B97" s="139" t="s">
        <v>221</v>
      </c>
      <c r="C97" s="14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.75" customHeight="1">
      <c r="A98" s="138">
        <f t="shared" si="10"/>
        <v>83</v>
      </c>
      <c r="B98" s="139" t="s">
        <v>222</v>
      </c>
      <c r="C98" s="14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.75" customHeight="1">
      <c r="A99" s="138">
        <f t="shared" si="10"/>
        <v>84</v>
      </c>
      <c r="B99" s="139" t="s">
        <v>223</v>
      </c>
      <c r="C99" s="14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.75" customHeight="1">
      <c r="A100" s="138">
        <f t="shared" si="10"/>
        <v>85</v>
      </c>
      <c r="B100" s="139" t="s">
        <v>224</v>
      </c>
      <c r="C100" s="14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.75" customHeight="1">
      <c r="A101" s="138">
        <f t="shared" si="10"/>
        <v>86</v>
      </c>
      <c r="B101" s="139" t="s">
        <v>225</v>
      </c>
      <c r="C101" s="14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.75" customHeight="1">
      <c r="A102" s="138">
        <f t="shared" si="10"/>
        <v>87</v>
      </c>
      <c r="B102" s="139" t="s">
        <v>226</v>
      </c>
      <c r="C102" s="14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.75" customHeight="1">
      <c r="A103" s="138">
        <f t="shared" si="10"/>
        <v>88</v>
      </c>
      <c r="B103" s="139" t="s">
        <v>227</v>
      </c>
      <c r="C103" s="14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.75" customHeight="1">
      <c r="A104" s="138">
        <f t="shared" si="10"/>
        <v>89</v>
      </c>
      <c r="B104" s="139" t="s">
        <v>228</v>
      </c>
      <c r="C104" s="14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.75" customHeight="1">
      <c r="A105" s="138">
        <f t="shared" si="10"/>
        <v>90</v>
      </c>
      <c r="B105" s="139" t="s">
        <v>229</v>
      </c>
      <c r="C105" s="14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.75" customHeight="1">
      <c r="A106" s="138">
        <f t="shared" si="10"/>
        <v>91</v>
      </c>
      <c r="B106" s="139" t="s">
        <v>230</v>
      </c>
      <c r="C106" s="14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.75" customHeight="1">
      <c r="A107" s="138">
        <f t="shared" si="10"/>
        <v>92</v>
      </c>
      <c r="B107" s="139" t="s">
        <v>231</v>
      </c>
      <c r="C107" s="14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.75" customHeight="1">
      <c r="A108" s="138">
        <f t="shared" si="10"/>
        <v>93</v>
      </c>
      <c r="B108" s="139" t="s">
        <v>232</v>
      </c>
      <c r="C108" s="14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.75" customHeight="1">
      <c r="A109" s="138">
        <f t="shared" si="10"/>
        <v>94</v>
      </c>
      <c r="B109" s="139" t="s">
        <v>233</v>
      </c>
      <c r="C109" s="14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.75" customHeight="1">
      <c r="A110" s="138">
        <f t="shared" si="10"/>
        <v>95</v>
      </c>
      <c r="B110" s="139" t="s">
        <v>234</v>
      </c>
      <c r="C110" s="14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.75" customHeight="1">
      <c r="A111" s="138">
        <f t="shared" si="10"/>
        <v>96</v>
      </c>
      <c r="B111" s="139" t="s">
        <v>235</v>
      </c>
      <c r="C111" s="14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.75" customHeight="1">
      <c r="A112" s="138">
        <f t="shared" si="10"/>
        <v>97</v>
      </c>
      <c r="B112" s="139" t="s">
        <v>236</v>
      </c>
      <c r="C112" s="14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.75" customHeight="1">
      <c r="A113" s="138">
        <f t="shared" si="10"/>
        <v>98</v>
      </c>
      <c r="B113" s="139" t="s">
        <v>237</v>
      </c>
      <c r="C113" s="14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.75" customHeight="1">
      <c r="A114" s="138">
        <f t="shared" si="10"/>
        <v>99</v>
      </c>
      <c r="B114" s="139" t="s">
        <v>238</v>
      </c>
      <c r="C114" s="14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.75" customHeight="1">
      <c r="A115" s="138">
        <f t="shared" si="10"/>
        <v>100</v>
      </c>
      <c r="B115" s="139" t="s">
        <v>239</v>
      </c>
      <c r="C115" s="14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.75" customHeight="1">
      <c r="A116" s="138">
        <f t="shared" si="10"/>
        <v>101</v>
      </c>
      <c r="B116" s="139" t="s">
        <v>240</v>
      </c>
      <c r="C116" s="14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.75" customHeight="1">
      <c r="A117" s="138">
        <f t="shared" si="10"/>
        <v>102</v>
      </c>
      <c r="B117" s="139" t="s">
        <v>241</v>
      </c>
      <c r="C117" s="14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.75" customHeight="1">
      <c r="A118" s="138">
        <f t="shared" si="10"/>
        <v>103</v>
      </c>
      <c r="B118" s="139" t="s">
        <v>242</v>
      </c>
      <c r="C118" s="14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.75" customHeight="1">
      <c r="A119" s="138">
        <f t="shared" si="10"/>
        <v>104</v>
      </c>
      <c r="B119" s="139" t="s">
        <v>243</v>
      </c>
      <c r="C119" s="14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.75" customHeight="1">
      <c r="A120" s="138">
        <f t="shared" si="10"/>
        <v>105</v>
      </c>
      <c r="B120" s="139" t="s">
        <v>244</v>
      </c>
      <c r="C120" s="14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.75" customHeight="1">
      <c r="A121" s="138">
        <f t="shared" si="10"/>
        <v>106</v>
      </c>
      <c r="B121" s="139" t="s">
        <v>245</v>
      </c>
      <c r="C121" s="14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.75" customHeight="1">
      <c r="A122" s="138">
        <f t="shared" si="10"/>
        <v>107</v>
      </c>
      <c r="B122" s="139" t="s">
        <v>246</v>
      </c>
      <c r="C122" s="14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.75" customHeight="1">
      <c r="A123" s="138">
        <f t="shared" si="10"/>
        <v>108</v>
      </c>
      <c r="B123" s="139" t="s">
        <v>247</v>
      </c>
      <c r="C123" s="14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.75" customHeight="1">
      <c r="A124" s="138">
        <f t="shared" si="10"/>
        <v>109</v>
      </c>
      <c r="B124" s="139" t="s">
        <v>248</v>
      </c>
      <c r="C124" s="14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.75" customHeight="1">
      <c r="A125" s="138">
        <f t="shared" si="10"/>
        <v>110</v>
      </c>
      <c r="B125" s="139" t="s">
        <v>249</v>
      </c>
      <c r="C125" s="14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.75" customHeight="1">
      <c r="A126" s="138">
        <f t="shared" si="10"/>
        <v>111</v>
      </c>
      <c r="B126" s="139" t="s">
        <v>250</v>
      </c>
      <c r="C126" s="14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.75" customHeight="1">
      <c r="A127" s="138">
        <f t="shared" si="10"/>
        <v>112</v>
      </c>
      <c r="B127" s="139" t="s">
        <v>251</v>
      </c>
      <c r="C127" s="14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.75" customHeight="1">
      <c r="A128" s="138">
        <f t="shared" si="10"/>
        <v>113</v>
      </c>
      <c r="B128" s="139" t="s">
        <v>252</v>
      </c>
      <c r="C128" s="14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.75" customHeight="1">
      <c r="A129" s="138">
        <f t="shared" si="10"/>
        <v>114</v>
      </c>
      <c r="B129" s="139" t="s">
        <v>253</v>
      </c>
      <c r="C129" s="14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.75" customHeight="1">
      <c r="A130" s="138">
        <f t="shared" si="10"/>
        <v>115</v>
      </c>
      <c r="B130" s="139" t="s">
        <v>254</v>
      </c>
      <c r="C130" s="14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.75" customHeight="1">
      <c r="A131" s="138">
        <f t="shared" si="10"/>
        <v>116</v>
      </c>
      <c r="B131" s="139" t="s">
        <v>255</v>
      </c>
      <c r="C131" s="14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.75" customHeight="1">
      <c r="A132" s="138">
        <f t="shared" si="10"/>
        <v>117</v>
      </c>
      <c r="B132" s="139" t="s">
        <v>256</v>
      </c>
      <c r="C132" s="14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.75" customHeight="1">
      <c r="A133" s="138">
        <f t="shared" si="10"/>
        <v>118</v>
      </c>
      <c r="B133" s="139" t="s">
        <v>257</v>
      </c>
      <c r="C133" s="14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.75" customHeight="1">
      <c r="A134" s="138">
        <f t="shared" si="10"/>
        <v>119</v>
      </c>
      <c r="B134" s="139" t="s">
        <v>258</v>
      </c>
      <c r="C134" s="14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.75" customHeight="1">
      <c r="A135" s="138">
        <f t="shared" si="10"/>
        <v>120</v>
      </c>
      <c r="B135" s="139" t="s">
        <v>259</v>
      </c>
      <c r="C135" s="14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.75" customHeight="1">
      <c r="A136" s="138">
        <f t="shared" si="10"/>
        <v>121</v>
      </c>
      <c r="B136" s="139" t="s">
        <v>260</v>
      </c>
      <c r="C136" s="14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.75" customHeight="1">
      <c r="A137" s="138">
        <f t="shared" si="10"/>
        <v>122</v>
      </c>
      <c r="B137" s="139" t="s">
        <v>261</v>
      </c>
      <c r="C137" s="14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.75" customHeight="1">
      <c r="A138" s="138">
        <f t="shared" si="10"/>
        <v>123</v>
      </c>
      <c r="B138" s="139" t="s">
        <v>262</v>
      </c>
      <c r="C138" s="14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.75" customHeight="1">
      <c r="A139" s="138">
        <f t="shared" si="10"/>
        <v>124</v>
      </c>
      <c r="B139" s="139" t="s">
        <v>263</v>
      </c>
      <c r="C139" s="14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.75" customHeight="1">
      <c r="A140" s="138">
        <f t="shared" si="10"/>
        <v>125</v>
      </c>
      <c r="B140" s="139" t="s">
        <v>264</v>
      </c>
      <c r="C140" s="14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.75" customHeight="1">
      <c r="A141" s="138">
        <f t="shared" si="10"/>
        <v>126</v>
      </c>
      <c r="B141" s="139" t="s">
        <v>265</v>
      </c>
      <c r="C141" s="14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.75" customHeight="1">
      <c r="A142" s="138">
        <f t="shared" si="10"/>
        <v>127</v>
      </c>
      <c r="B142" s="139" t="s">
        <v>266</v>
      </c>
      <c r="C142" s="14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.75" customHeight="1">
      <c r="A143" s="138">
        <f t="shared" si="10"/>
        <v>128</v>
      </c>
      <c r="B143" s="139" t="s">
        <v>267</v>
      </c>
      <c r="C143" s="14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.75" customHeight="1">
      <c r="A144" s="138">
        <f t="shared" si="10"/>
        <v>129</v>
      </c>
      <c r="B144" s="139" t="s">
        <v>268</v>
      </c>
      <c r="C144" s="14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.75" customHeight="1">
      <c r="A145" s="138">
        <f t="shared" si="10"/>
        <v>130</v>
      </c>
      <c r="B145" s="139" t="s">
        <v>269</v>
      </c>
      <c r="C145" s="14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.75" customHeight="1">
      <c r="A146" s="138">
        <f t="shared" ref="A146:A209" si="11">A145+1</f>
        <v>131</v>
      </c>
      <c r="B146" s="139" t="s">
        <v>270</v>
      </c>
      <c r="C146" s="14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.75" customHeight="1">
      <c r="A147" s="138">
        <f t="shared" si="11"/>
        <v>132</v>
      </c>
      <c r="B147" s="139" t="s">
        <v>271</v>
      </c>
      <c r="C147" s="14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.75" customHeight="1">
      <c r="A148" s="138">
        <f t="shared" si="11"/>
        <v>133</v>
      </c>
      <c r="B148" s="139" t="s">
        <v>272</v>
      </c>
      <c r="C148" s="14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.75" customHeight="1">
      <c r="A149" s="138">
        <f t="shared" si="11"/>
        <v>134</v>
      </c>
      <c r="B149" s="139" t="s">
        <v>273</v>
      </c>
      <c r="C149" s="14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.75" customHeight="1">
      <c r="A150" s="138">
        <f t="shared" si="11"/>
        <v>135</v>
      </c>
      <c r="B150" s="139" t="s">
        <v>274</v>
      </c>
      <c r="C150" s="14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.75" customHeight="1">
      <c r="A151" s="138">
        <f t="shared" si="11"/>
        <v>136</v>
      </c>
      <c r="B151" s="139" t="s">
        <v>275</v>
      </c>
      <c r="C151" s="14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.75" customHeight="1">
      <c r="A152" s="138">
        <f t="shared" si="11"/>
        <v>137</v>
      </c>
      <c r="B152" s="139" t="s">
        <v>276</v>
      </c>
      <c r="C152" s="14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.75" customHeight="1">
      <c r="A153" s="138">
        <f t="shared" si="11"/>
        <v>138</v>
      </c>
      <c r="B153" s="139" t="s">
        <v>277</v>
      </c>
      <c r="C153" s="14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.75" customHeight="1">
      <c r="A154" s="138">
        <f t="shared" si="11"/>
        <v>139</v>
      </c>
      <c r="B154" s="139" t="s">
        <v>278</v>
      </c>
      <c r="C154" s="14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.75" customHeight="1">
      <c r="A155" s="138">
        <f t="shared" si="11"/>
        <v>140</v>
      </c>
      <c r="B155" s="139" t="s">
        <v>279</v>
      </c>
      <c r="C155" s="14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.75" customHeight="1">
      <c r="A156" s="138">
        <f t="shared" si="11"/>
        <v>141</v>
      </c>
      <c r="B156" s="139" t="s">
        <v>280</v>
      </c>
      <c r="C156" s="14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.75" customHeight="1">
      <c r="A157" s="138">
        <f t="shared" si="11"/>
        <v>142</v>
      </c>
      <c r="B157" s="139" t="s">
        <v>281</v>
      </c>
      <c r="C157" s="14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.75" customHeight="1">
      <c r="A158" s="138">
        <f t="shared" si="11"/>
        <v>143</v>
      </c>
      <c r="B158" s="139" t="s">
        <v>282</v>
      </c>
      <c r="C158" s="14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.75" customHeight="1">
      <c r="A159" s="138">
        <f t="shared" si="11"/>
        <v>144</v>
      </c>
      <c r="B159" s="139" t="s">
        <v>283</v>
      </c>
      <c r="C159" s="14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.75" customHeight="1">
      <c r="A160" s="138">
        <f t="shared" si="11"/>
        <v>145</v>
      </c>
      <c r="B160" s="139" t="s">
        <v>284</v>
      </c>
      <c r="C160" s="14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.75" customHeight="1">
      <c r="A161" s="138">
        <f t="shared" si="11"/>
        <v>146</v>
      </c>
      <c r="B161" s="139" t="s">
        <v>285</v>
      </c>
      <c r="C161" s="14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.75" customHeight="1">
      <c r="A162" s="138">
        <f t="shared" si="11"/>
        <v>147</v>
      </c>
      <c r="B162" s="139" t="s">
        <v>286</v>
      </c>
      <c r="C162" s="14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.75" customHeight="1">
      <c r="A163" s="138">
        <f t="shared" si="11"/>
        <v>148</v>
      </c>
      <c r="B163" s="139" t="s">
        <v>287</v>
      </c>
      <c r="C163" s="14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.75" customHeight="1">
      <c r="A164" s="138">
        <f t="shared" si="11"/>
        <v>149</v>
      </c>
      <c r="B164" s="139" t="s">
        <v>288</v>
      </c>
      <c r="C164" s="14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.75" customHeight="1">
      <c r="A165" s="138">
        <f t="shared" si="11"/>
        <v>150</v>
      </c>
      <c r="B165" s="139" t="s">
        <v>289</v>
      </c>
      <c r="C165" s="14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.75" customHeight="1">
      <c r="A166" s="138">
        <f t="shared" si="11"/>
        <v>151</v>
      </c>
      <c r="B166" s="139" t="s">
        <v>290</v>
      </c>
      <c r="C166" s="14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.75" customHeight="1">
      <c r="A167" s="138">
        <f t="shared" si="11"/>
        <v>152</v>
      </c>
      <c r="B167" s="139" t="s">
        <v>291</v>
      </c>
      <c r="C167" s="14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.75" customHeight="1">
      <c r="A168" s="138">
        <f t="shared" si="11"/>
        <v>153</v>
      </c>
      <c r="B168" s="139" t="s">
        <v>292</v>
      </c>
      <c r="C168" s="14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.75" customHeight="1">
      <c r="A169" s="138">
        <f t="shared" si="11"/>
        <v>154</v>
      </c>
      <c r="B169" s="139" t="s">
        <v>293</v>
      </c>
      <c r="C169" s="14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.75" customHeight="1">
      <c r="A170" s="138">
        <f t="shared" si="11"/>
        <v>155</v>
      </c>
      <c r="B170" s="139" t="s">
        <v>294</v>
      </c>
      <c r="C170" s="14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.75" customHeight="1">
      <c r="A171" s="138">
        <f t="shared" si="11"/>
        <v>156</v>
      </c>
      <c r="B171" s="139" t="s">
        <v>295</v>
      </c>
      <c r="C171" s="14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.75" customHeight="1">
      <c r="A172" s="138">
        <f t="shared" si="11"/>
        <v>157</v>
      </c>
      <c r="B172" s="139" t="s">
        <v>296</v>
      </c>
      <c r="C172" s="14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.75" customHeight="1">
      <c r="A173" s="138">
        <f t="shared" si="11"/>
        <v>158</v>
      </c>
      <c r="B173" s="139" t="s">
        <v>297</v>
      </c>
      <c r="C173" s="14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.75" customHeight="1">
      <c r="A174" s="138">
        <f t="shared" si="11"/>
        <v>159</v>
      </c>
      <c r="B174" s="139" t="s">
        <v>298</v>
      </c>
      <c r="C174" s="14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.75" customHeight="1">
      <c r="A175" s="138">
        <f t="shared" si="11"/>
        <v>160</v>
      </c>
      <c r="B175" s="139" t="s">
        <v>299</v>
      </c>
      <c r="C175" s="14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.75" customHeight="1">
      <c r="A176" s="138">
        <f t="shared" si="11"/>
        <v>161</v>
      </c>
      <c r="B176" s="139" t="s">
        <v>300</v>
      </c>
      <c r="C176" s="14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.75" customHeight="1">
      <c r="A177" s="138">
        <f t="shared" si="11"/>
        <v>162</v>
      </c>
      <c r="B177" s="139" t="s">
        <v>301</v>
      </c>
      <c r="C177" s="14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.75" customHeight="1">
      <c r="A178" s="138">
        <f t="shared" si="11"/>
        <v>163</v>
      </c>
      <c r="B178" s="139" t="s">
        <v>302</v>
      </c>
      <c r="C178" s="14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.75" customHeight="1">
      <c r="A179" s="138">
        <f t="shared" si="11"/>
        <v>164</v>
      </c>
      <c r="B179" s="139" t="s">
        <v>303</v>
      </c>
      <c r="C179" s="14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.75" customHeight="1">
      <c r="A180" s="138">
        <f t="shared" si="11"/>
        <v>165</v>
      </c>
      <c r="B180" s="139" t="s">
        <v>304</v>
      </c>
      <c r="C180" s="14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.75" customHeight="1">
      <c r="A181" s="138">
        <f t="shared" si="11"/>
        <v>166</v>
      </c>
      <c r="B181" s="139" t="s">
        <v>305</v>
      </c>
      <c r="C181" s="14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.75" customHeight="1">
      <c r="A182" s="138">
        <f t="shared" si="11"/>
        <v>167</v>
      </c>
      <c r="B182" s="139" t="s">
        <v>306</v>
      </c>
      <c r="C182" s="14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.75" customHeight="1">
      <c r="A183" s="138">
        <f t="shared" si="11"/>
        <v>168</v>
      </c>
      <c r="B183" s="139" t="s">
        <v>307</v>
      </c>
      <c r="C183" s="14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.75" customHeight="1">
      <c r="A184" s="138">
        <f t="shared" si="11"/>
        <v>169</v>
      </c>
      <c r="B184" s="139" t="s">
        <v>308</v>
      </c>
      <c r="C184" s="14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.75" customHeight="1">
      <c r="A185" s="138">
        <f t="shared" si="11"/>
        <v>170</v>
      </c>
      <c r="B185" s="139" t="s">
        <v>309</v>
      </c>
      <c r="C185" s="14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.75" customHeight="1">
      <c r="A186" s="138">
        <f t="shared" si="11"/>
        <v>171</v>
      </c>
      <c r="B186" s="139" t="s">
        <v>310</v>
      </c>
      <c r="C186" s="14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.75" customHeight="1">
      <c r="A187" s="138">
        <f t="shared" si="11"/>
        <v>172</v>
      </c>
      <c r="B187" s="139" t="s">
        <v>311</v>
      </c>
      <c r="C187" s="14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.75" customHeight="1">
      <c r="A188" s="138">
        <f t="shared" si="11"/>
        <v>173</v>
      </c>
      <c r="B188" s="139" t="s">
        <v>312</v>
      </c>
      <c r="C188" s="14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.75" customHeight="1">
      <c r="A189" s="138">
        <f t="shared" si="11"/>
        <v>174</v>
      </c>
      <c r="B189" s="139" t="s">
        <v>313</v>
      </c>
      <c r="C189" s="14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.75" customHeight="1">
      <c r="A190" s="138">
        <f t="shared" si="11"/>
        <v>175</v>
      </c>
      <c r="B190" s="139" t="s">
        <v>314</v>
      </c>
      <c r="C190" s="14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.75" customHeight="1">
      <c r="A191" s="138">
        <f t="shared" si="11"/>
        <v>176</v>
      </c>
      <c r="B191" s="139" t="s">
        <v>315</v>
      </c>
      <c r="C191" s="14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.75" customHeight="1">
      <c r="A192" s="138">
        <f t="shared" si="11"/>
        <v>177</v>
      </c>
      <c r="B192" s="139" t="s">
        <v>316</v>
      </c>
      <c r="C192" s="14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.75" customHeight="1">
      <c r="A193" s="138">
        <f t="shared" si="11"/>
        <v>178</v>
      </c>
      <c r="B193" s="139" t="s">
        <v>317</v>
      </c>
      <c r="C193" s="14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.75" customHeight="1">
      <c r="A194" s="138">
        <f t="shared" si="11"/>
        <v>179</v>
      </c>
      <c r="B194" s="139" t="s">
        <v>318</v>
      </c>
      <c r="C194" s="14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.75" customHeight="1">
      <c r="A195" s="138">
        <f t="shared" si="11"/>
        <v>180</v>
      </c>
      <c r="B195" s="139" t="s">
        <v>319</v>
      </c>
      <c r="C195" s="14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.75" customHeight="1">
      <c r="A196" s="138">
        <f t="shared" si="11"/>
        <v>181</v>
      </c>
      <c r="B196" s="139" t="s">
        <v>320</v>
      </c>
      <c r="C196" s="14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.75" customHeight="1">
      <c r="A197" s="138">
        <f t="shared" si="11"/>
        <v>182</v>
      </c>
      <c r="B197" s="139" t="s">
        <v>321</v>
      </c>
      <c r="C197" s="14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.75" customHeight="1">
      <c r="A198" s="138">
        <f t="shared" si="11"/>
        <v>183</v>
      </c>
      <c r="B198" s="139" t="s">
        <v>322</v>
      </c>
      <c r="C198" s="14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.75" customHeight="1">
      <c r="A199" s="138">
        <f t="shared" si="11"/>
        <v>184</v>
      </c>
      <c r="B199" s="139" t="s">
        <v>323</v>
      </c>
      <c r="C199" s="14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.75" customHeight="1">
      <c r="A200" s="138">
        <f t="shared" si="11"/>
        <v>185</v>
      </c>
      <c r="B200" s="139" t="s">
        <v>324</v>
      </c>
      <c r="C200" s="14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7.25" customHeight="1">
      <c r="A201" s="138">
        <f t="shared" si="11"/>
        <v>186</v>
      </c>
      <c r="B201" s="139" t="s">
        <v>325</v>
      </c>
      <c r="C201" s="14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7.25" customHeight="1">
      <c r="A202" s="138">
        <f t="shared" si="11"/>
        <v>187</v>
      </c>
      <c r="B202" s="139" t="s">
        <v>326</v>
      </c>
      <c r="C202" s="14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7.25" customHeight="1">
      <c r="A203" s="138">
        <f t="shared" si="11"/>
        <v>188</v>
      </c>
      <c r="B203" s="139" t="s">
        <v>327</v>
      </c>
      <c r="C203" s="14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7.25" customHeight="1">
      <c r="A204" s="138">
        <f t="shared" si="11"/>
        <v>189</v>
      </c>
      <c r="B204" s="139" t="s">
        <v>328</v>
      </c>
      <c r="C204" s="14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7.25" customHeight="1">
      <c r="A205" s="138">
        <f t="shared" si="11"/>
        <v>190</v>
      </c>
      <c r="B205" s="139" t="s">
        <v>329</v>
      </c>
      <c r="C205" s="14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7.25" customHeight="1">
      <c r="A206" s="138">
        <f t="shared" si="11"/>
        <v>191</v>
      </c>
      <c r="B206" s="139" t="s">
        <v>330</v>
      </c>
      <c r="C206" s="14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7.25" customHeight="1">
      <c r="A207" s="138">
        <f t="shared" si="11"/>
        <v>192</v>
      </c>
      <c r="B207" s="139" t="s">
        <v>331</v>
      </c>
      <c r="C207" s="14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7.25" customHeight="1">
      <c r="A208" s="138">
        <f t="shared" si="11"/>
        <v>193</v>
      </c>
      <c r="B208" s="139" t="s">
        <v>332</v>
      </c>
      <c r="C208" s="14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7.25" customHeight="1">
      <c r="A209" s="138">
        <f t="shared" si="11"/>
        <v>194</v>
      </c>
      <c r="B209" s="139" t="s">
        <v>333</v>
      </c>
      <c r="C209" s="14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7.25" customHeight="1">
      <c r="A210" s="138">
        <f t="shared" ref="A210:A273" si="12">A209+1</f>
        <v>195</v>
      </c>
      <c r="B210" s="139" t="s">
        <v>334</v>
      </c>
      <c r="C210" s="14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7.25" customHeight="1">
      <c r="A211" s="138">
        <f t="shared" si="12"/>
        <v>196</v>
      </c>
      <c r="B211" s="139" t="s">
        <v>335</v>
      </c>
      <c r="C211" s="14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7.25" customHeight="1">
      <c r="A212" s="138">
        <f t="shared" si="12"/>
        <v>197</v>
      </c>
      <c r="B212" s="139" t="s">
        <v>336</v>
      </c>
      <c r="C212" s="14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7.25" customHeight="1">
      <c r="A213" s="138">
        <f t="shared" si="12"/>
        <v>198</v>
      </c>
      <c r="B213" s="139" t="s">
        <v>337</v>
      </c>
      <c r="C213" s="14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7.25" customHeight="1">
      <c r="A214" s="138">
        <f t="shared" si="12"/>
        <v>199</v>
      </c>
      <c r="B214" s="139" t="s">
        <v>338</v>
      </c>
      <c r="C214" s="14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7.25" customHeight="1">
      <c r="A215" s="138">
        <f t="shared" si="12"/>
        <v>200</v>
      </c>
      <c r="B215" s="139" t="s">
        <v>339</v>
      </c>
      <c r="C215" s="14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7.25" customHeight="1">
      <c r="A216" s="138">
        <f t="shared" si="12"/>
        <v>201</v>
      </c>
      <c r="B216" s="139" t="s">
        <v>340</v>
      </c>
      <c r="C216" s="14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7.25" customHeight="1">
      <c r="A217" s="138">
        <f t="shared" si="12"/>
        <v>202</v>
      </c>
      <c r="B217" s="139" t="s">
        <v>341</v>
      </c>
      <c r="C217" s="14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7.25" customHeight="1">
      <c r="A218" s="138">
        <f t="shared" si="12"/>
        <v>203</v>
      </c>
      <c r="B218" s="139" t="s">
        <v>342</v>
      </c>
      <c r="C218" s="14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7.25" customHeight="1">
      <c r="A219" s="138">
        <f t="shared" si="12"/>
        <v>204</v>
      </c>
      <c r="B219" s="139" t="s">
        <v>343</v>
      </c>
      <c r="C219" s="14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7.25" customHeight="1">
      <c r="A220" s="138">
        <f t="shared" si="12"/>
        <v>205</v>
      </c>
      <c r="B220" s="139" t="s">
        <v>344</v>
      </c>
      <c r="C220" s="14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7.25" customHeight="1">
      <c r="A221" s="138">
        <f t="shared" si="12"/>
        <v>206</v>
      </c>
      <c r="B221" s="139" t="s">
        <v>345</v>
      </c>
      <c r="C221" s="14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7.25" customHeight="1">
      <c r="A222" s="138">
        <f t="shared" si="12"/>
        <v>207</v>
      </c>
      <c r="B222" s="139" t="s">
        <v>346</v>
      </c>
      <c r="C222" s="14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7.25" customHeight="1">
      <c r="A223" s="138">
        <f t="shared" si="12"/>
        <v>208</v>
      </c>
      <c r="B223" s="139" t="s">
        <v>347</v>
      </c>
      <c r="C223" s="14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7.25" customHeight="1">
      <c r="A224" s="138">
        <f t="shared" si="12"/>
        <v>209</v>
      </c>
      <c r="B224" s="139" t="s">
        <v>348</v>
      </c>
      <c r="C224" s="14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7.25" customHeight="1">
      <c r="A225" s="138">
        <f t="shared" si="12"/>
        <v>210</v>
      </c>
      <c r="B225" s="139" t="s">
        <v>349</v>
      </c>
      <c r="C225" s="14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7.25" customHeight="1">
      <c r="A226" s="138">
        <f t="shared" si="12"/>
        <v>211</v>
      </c>
      <c r="B226" s="139" t="s">
        <v>350</v>
      </c>
      <c r="C226" s="14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7.25" customHeight="1">
      <c r="A227" s="138">
        <f t="shared" si="12"/>
        <v>212</v>
      </c>
      <c r="B227" s="139" t="s">
        <v>351</v>
      </c>
      <c r="C227" s="14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7.25" customHeight="1">
      <c r="A228" s="138">
        <f t="shared" si="12"/>
        <v>213</v>
      </c>
      <c r="B228" s="139" t="s">
        <v>352</v>
      </c>
      <c r="C228" s="14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7.25" customHeight="1">
      <c r="A229" s="138">
        <f t="shared" si="12"/>
        <v>214</v>
      </c>
      <c r="B229" s="139" t="s">
        <v>353</v>
      </c>
      <c r="C229" s="14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7.25" customHeight="1">
      <c r="A230" s="138">
        <f t="shared" si="12"/>
        <v>215</v>
      </c>
      <c r="B230" s="139" t="s">
        <v>354</v>
      </c>
      <c r="C230" s="14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7.25" customHeight="1">
      <c r="A231" s="138">
        <f t="shared" si="12"/>
        <v>216</v>
      </c>
      <c r="B231" s="139" t="s">
        <v>355</v>
      </c>
      <c r="C231" s="14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7.25" customHeight="1">
      <c r="A232" s="138">
        <f t="shared" si="12"/>
        <v>217</v>
      </c>
      <c r="B232" s="139" t="s">
        <v>356</v>
      </c>
      <c r="C232" s="14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7.25" customHeight="1">
      <c r="A233" s="138">
        <f t="shared" si="12"/>
        <v>218</v>
      </c>
      <c r="B233" s="139" t="s">
        <v>357</v>
      </c>
      <c r="C233" s="14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7.25" customHeight="1">
      <c r="A234" s="138">
        <f t="shared" si="12"/>
        <v>219</v>
      </c>
      <c r="B234" s="139" t="s">
        <v>358</v>
      </c>
      <c r="C234" s="140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7.25" customHeight="1">
      <c r="A235" s="138">
        <f t="shared" si="12"/>
        <v>220</v>
      </c>
      <c r="B235" s="139" t="s">
        <v>359</v>
      </c>
      <c r="C235" s="140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7.25" customHeight="1">
      <c r="A236" s="138">
        <f t="shared" si="12"/>
        <v>221</v>
      </c>
      <c r="B236" s="139" t="s">
        <v>360</v>
      </c>
      <c r="C236" s="140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7.25" customHeight="1">
      <c r="A237" s="138">
        <f t="shared" si="12"/>
        <v>222</v>
      </c>
      <c r="B237" s="139" t="s">
        <v>361</v>
      </c>
      <c r="C237" s="140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7.25" customHeight="1">
      <c r="A238" s="138">
        <f t="shared" si="12"/>
        <v>223</v>
      </c>
      <c r="B238" s="139" t="s">
        <v>362</v>
      </c>
      <c r="C238" s="140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7.25" customHeight="1">
      <c r="A239" s="138">
        <f t="shared" si="12"/>
        <v>224</v>
      </c>
      <c r="B239" s="139" t="s">
        <v>363</v>
      </c>
      <c r="C239" s="140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7.25" customHeight="1">
      <c r="A240" s="138">
        <f t="shared" si="12"/>
        <v>225</v>
      </c>
      <c r="B240" s="139" t="s">
        <v>364</v>
      </c>
      <c r="C240" s="140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7.25" customHeight="1">
      <c r="A241" s="138">
        <f t="shared" si="12"/>
        <v>226</v>
      </c>
      <c r="B241" s="139" t="s">
        <v>365</v>
      </c>
      <c r="C241" s="140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7.25" customHeight="1">
      <c r="A242" s="138">
        <f t="shared" si="12"/>
        <v>227</v>
      </c>
      <c r="B242" s="139" t="s">
        <v>366</v>
      </c>
      <c r="C242" s="140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7.25" customHeight="1">
      <c r="A243" s="138">
        <f t="shared" si="12"/>
        <v>228</v>
      </c>
      <c r="B243" s="139" t="s">
        <v>367</v>
      </c>
      <c r="C243" s="140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7.25" customHeight="1">
      <c r="A244" s="138">
        <f t="shared" si="12"/>
        <v>229</v>
      </c>
      <c r="B244" s="139" t="s">
        <v>368</v>
      </c>
      <c r="C244" s="140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7.25" customHeight="1">
      <c r="A245" s="138">
        <f t="shared" si="12"/>
        <v>230</v>
      </c>
      <c r="B245" s="139" t="s">
        <v>369</v>
      </c>
      <c r="C245" s="140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7.25" customHeight="1">
      <c r="A246" s="138">
        <f t="shared" si="12"/>
        <v>231</v>
      </c>
      <c r="B246" s="139" t="s">
        <v>370</v>
      </c>
      <c r="C246" s="140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7.25" customHeight="1">
      <c r="A247" s="138">
        <f t="shared" si="12"/>
        <v>232</v>
      </c>
      <c r="B247" s="139" t="s">
        <v>371</v>
      </c>
      <c r="C247" s="140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7.25" customHeight="1">
      <c r="A248" s="138">
        <f t="shared" si="12"/>
        <v>233</v>
      </c>
      <c r="B248" s="139" t="s">
        <v>372</v>
      </c>
      <c r="C248" s="140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7.25" customHeight="1">
      <c r="A249" s="138">
        <f t="shared" si="12"/>
        <v>234</v>
      </c>
      <c r="B249" s="139" t="s">
        <v>373</v>
      </c>
      <c r="C249" s="140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7.25" customHeight="1">
      <c r="A250" s="138">
        <f t="shared" si="12"/>
        <v>235</v>
      </c>
      <c r="B250" s="139" t="s">
        <v>374</v>
      </c>
      <c r="C250" s="140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7.25" customHeight="1">
      <c r="A251" s="138">
        <f t="shared" si="12"/>
        <v>236</v>
      </c>
      <c r="B251" s="139" t="s">
        <v>375</v>
      </c>
      <c r="C251" s="140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7.25" customHeight="1">
      <c r="A252" s="138">
        <f t="shared" si="12"/>
        <v>237</v>
      </c>
      <c r="B252" s="139" t="s">
        <v>376</v>
      </c>
      <c r="C252" s="140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7.25" customHeight="1">
      <c r="A253" s="138">
        <f t="shared" si="12"/>
        <v>238</v>
      </c>
      <c r="B253" s="139" t="s">
        <v>377</v>
      </c>
      <c r="C253" s="140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7.25" customHeight="1">
      <c r="A254" s="138">
        <f t="shared" si="12"/>
        <v>239</v>
      </c>
      <c r="B254" s="141" t="s">
        <v>378</v>
      </c>
      <c r="C254" s="14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7.25" customHeight="1">
      <c r="A255" s="138">
        <f t="shared" si="12"/>
        <v>240</v>
      </c>
      <c r="B255" s="143" t="s">
        <v>379</v>
      </c>
      <c r="C255" s="14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7.25" customHeight="1">
      <c r="A256" s="138">
        <f t="shared" si="12"/>
        <v>241</v>
      </c>
      <c r="B256" s="143" t="s">
        <v>380</v>
      </c>
      <c r="C256" s="14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7.25" customHeight="1">
      <c r="A257" s="138">
        <f t="shared" si="12"/>
        <v>242</v>
      </c>
      <c r="B257" s="143" t="s">
        <v>381</v>
      </c>
      <c r="C257" s="14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7.25" customHeight="1">
      <c r="A258" s="138">
        <f t="shared" si="12"/>
        <v>243</v>
      </c>
      <c r="B258" s="143" t="s">
        <v>382</v>
      </c>
      <c r="C258" s="14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7.25" customHeight="1">
      <c r="A259" s="138">
        <f t="shared" si="12"/>
        <v>244</v>
      </c>
      <c r="B259" s="143" t="s">
        <v>383</v>
      </c>
      <c r="C259" s="14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7.25" customHeight="1">
      <c r="A260" s="138">
        <f t="shared" si="12"/>
        <v>245</v>
      </c>
      <c r="B260" s="143" t="s">
        <v>384</v>
      </c>
      <c r="C260" s="14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7.25" customHeight="1">
      <c r="A261" s="138">
        <f t="shared" si="12"/>
        <v>246</v>
      </c>
      <c r="B261" s="143" t="s">
        <v>385</v>
      </c>
      <c r="C261" s="14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7.25" customHeight="1">
      <c r="A262" s="138">
        <f t="shared" si="12"/>
        <v>247</v>
      </c>
      <c r="B262" s="143" t="s">
        <v>386</v>
      </c>
      <c r="C262" s="14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7.25" customHeight="1">
      <c r="A263" s="138">
        <f t="shared" si="12"/>
        <v>248</v>
      </c>
      <c r="B263" s="143" t="s">
        <v>387</v>
      </c>
      <c r="C263" s="14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7.25" customHeight="1">
      <c r="A264" s="138">
        <f t="shared" si="12"/>
        <v>249</v>
      </c>
      <c r="B264" s="143" t="s">
        <v>388</v>
      </c>
      <c r="C264" s="14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7.25" customHeight="1">
      <c r="A265" s="138">
        <f t="shared" si="12"/>
        <v>250</v>
      </c>
      <c r="B265" s="143" t="s">
        <v>389</v>
      </c>
      <c r="C265" s="14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7.25" customHeight="1">
      <c r="A266" s="138">
        <f t="shared" si="12"/>
        <v>251</v>
      </c>
      <c r="B266" s="143" t="s">
        <v>390</v>
      </c>
      <c r="C266" s="14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7.25" customHeight="1">
      <c r="A267" s="138">
        <f t="shared" si="12"/>
        <v>252</v>
      </c>
      <c r="B267" s="143" t="s">
        <v>391</v>
      </c>
      <c r="C267" s="14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7.25" customHeight="1">
      <c r="A268" s="138">
        <f t="shared" si="12"/>
        <v>253</v>
      </c>
      <c r="B268" s="143" t="s">
        <v>392</v>
      </c>
      <c r="C268" s="14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7.25" customHeight="1">
      <c r="A269" s="138">
        <f t="shared" si="12"/>
        <v>254</v>
      </c>
      <c r="B269" s="143" t="s">
        <v>393</v>
      </c>
      <c r="C269" s="14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7.25" customHeight="1">
      <c r="A270" s="138">
        <f t="shared" si="12"/>
        <v>255</v>
      </c>
      <c r="B270" s="143" t="s">
        <v>394</v>
      </c>
      <c r="C270" s="14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7.25" customHeight="1">
      <c r="A271" s="138">
        <f t="shared" si="12"/>
        <v>256</v>
      </c>
      <c r="B271" s="143" t="s">
        <v>395</v>
      </c>
      <c r="C271" s="14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7.25" customHeight="1">
      <c r="A272" s="138">
        <f t="shared" si="12"/>
        <v>257</v>
      </c>
      <c r="B272" s="143" t="s">
        <v>396</v>
      </c>
      <c r="C272" s="14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7.25" customHeight="1">
      <c r="A273" s="138">
        <f t="shared" si="12"/>
        <v>258</v>
      </c>
      <c r="B273" s="143" t="s">
        <v>397</v>
      </c>
      <c r="C273" s="14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7.25" customHeight="1">
      <c r="A274" s="138">
        <f t="shared" ref="A274:A337" si="13">A273+1</f>
        <v>259</v>
      </c>
      <c r="B274" s="143" t="s">
        <v>398</v>
      </c>
      <c r="C274" s="14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7.25" customHeight="1">
      <c r="A275" s="138">
        <f t="shared" si="13"/>
        <v>260</v>
      </c>
      <c r="B275" s="143" t="s">
        <v>399</v>
      </c>
      <c r="C275" s="14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7.25" customHeight="1">
      <c r="A276" s="138">
        <f t="shared" si="13"/>
        <v>261</v>
      </c>
      <c r="B276" s="143" t="s">
        <v>400</v>
      </c>
      <c r="C276" s="14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7.25" customHeight="1">
      <c r="A277" s="138">
        <f t="shared" si="13"/>
        <v>262</v>
      </c>
      <c r="B277" s="143" t="s">
        <v>401</v>
      </c>
      <c r="C277" s="14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7.25" customHeight="1">
      <c r="A278" s="138">
        <f t="shared" si="13"/>
        <v>263</v>
      </c>
      <c r="B278" s="143" t="s">
        <v>402</v>
      </c>
      <c r="C278" s="14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7.25" customHeight="1">
      <c r="A279" s="138">
        <f t="shared" si="13"/>
        <v>264</v>
      </c>
      <c r="B279" s="143" t="s">
        <v>403</v>
      </c>
      <c r="C279" s="14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7.25" customHeight="1">
      <c r="A280" s="138">
        <f t="shared" si="13"/>
        <v>265</v>
      </c>
      <c r="B280" s="143" t="s">
        <v>404</v>
      </c>
      <c r="C280" s="14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7.25" customHeight="1">
      <c r="A281" s="138">
        <f t="shared" si="13"/>
        <v>266</v>
      </c>
      <c r="B281" s="143" t="s">
        <v>405</v>
      </c>
      <c r="C281" s="14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7.25" customHeight="1">
      <c r="A282" s="138">
        <f t="shared" si="13"/>
        <v>267</v>
      </c>
      <c r="B282" s="143" t="s">
        <v>406</v>
      </c>
      <c r="C282" s="14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7.25" customHeight="1">
      <c r="A283" s="138">
        <f t="shared" si="13"/>
        <v>268</v>
      </c>
      <c r="B283" s="143" t="s">
        <v>407</v>
      </c>
      <c r="C283" s="14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7.25" customHeight="1">
      <c r="A284" s="138">
        <f t="shared" si="13"/>
        <v>269</v>
      </c>
      <c r="B284" s="143" t="s">
        <v>408</v>
      </c>
      <c r="C284" s="14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7.25" customHeight="1">
      <c r="A285" s="138">
        <f t="shared" si="13"/>
        <v>270</v>
      </c>
      <c r="B285" s="143" t="s">
        <v>409</v>
      </c>
      <c r="C285" s="14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7.25" customHeight="1">
      <c r="A286" s="138">
        <f t="shared" si="13"/>
        <v>271</v>
      </c>
      <c r="B286" s="143" t="s">
        <v>410</v>
      </c>
      <c r="C286" s="14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7.25" customHeight="1">
      <c r="A287" s="138">
        <f t="shared" si="13"/>
        <v>272</v>
      </c>
      <c r="B287" s="143" t="s">
        <v>411</v>
      </c>
      <c r="C287" s="14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7.25" customHeight="1">
      <c r="A288" s="138">
        <f t="shared" si="13"/>
        <v>273</v>
      </c>
      <c r="B288" s="143" t="s">
        <v>412</v>
      </c>
      <c r="C288" s="14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7.25" customHeight="1">
      <c r="A289" s="138">
        <f t="shared" si="13"/>
        <v>274</v>
      </c>
      <c r="B289" s="143" t="s">
        <v>413</v>
      </c>
      <c r="C289" s="14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7.25" customHeight="1">
      <c r="A290" s="138">
        <f t="shared" si="13"/>
        <v>275</v>
      </c>
      <c r="B290" s="143" t="s">
        <v>414</v>
      </c>
      <c r="C290" s="14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7.25" customHeight="1">
      <c r="A291" s="138">
        <f t="shared" si="13"/>
        <v>276</v>
      </c>
      <c r="B291" s="143" t="s">
        <v>415</v>
      </c>
      <c r="C291" s="14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7.25" customHeight="1">
      <c r="A292" s="138">
        <f t="shared" si="13"/>
        <v>277</v>
      </c>
      <c r="B292" s="143" t="s">
        <v>416</v>
      </c>
      <c r="C292" s="14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7.25" customHeight="1">
      <c r="A293" s="138">
        <f t="shared" si="13"/>
        <v>278</v>
      </c>
      <c r="B293" s="143" t="s">
        <v>417</v>
      </c>
      <c r="C293" s="14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7.25" customHeight="1">
      <c r="A294" s="138">
        <f t="shared" si="13"/>
        <v>279</v>
      </c>
      <c r="B294" s="143" t="s">
        <v>418</v>
      </c>
      <c r="C294" s="14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7.25" customHeight="1">
      <c r="A295" s="138">
        <f t="shared" si="13"/>
        <v>280</v>
      </c>
      <c r="B295" s="143" t="s">
        <v>419</v>
      </c>
      <c r="C295" s="14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7.25" customHeight="1">
      <c r="A296" s="138">
        <f t="shared" si="13"/>
        <v>281</v>
      </c>
      <c r="B296" s="143" t="s">
        <v>420</v>
      </c>
      <c r="C296" s="14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7.25" customHeight="1">
      <c r="A297" s="138">
        <f t="shared" si="13"/>
        <v>282</v>
      </c>
      <c r="B297" s="143" t="s">
        <v>421</v>
      </c>
      <c r="C297" s="14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7.25" customHeight="1">
      <c r="A298" s="138">
        <f t="shared" si="13"/>
        <v>283</v>
      </c>
      <c r="B298" s="143" t="s">
        <v>422</v>
      </c>
      <c r="C298" s="14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7.25" customHeight="1">
      <c r="A299" s="138">
        <f t="shared" si="13"/>
        <v>284</v>
      </c>
      <c r="B299" s="143" t="s">
        <v>423</v>
      </c>
      <c r="C299" s="14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7.25" customHeight="1">
      <c r="A300" s="138">
        <f t="shared" si="13"/>
        <v>285</v>
      </c>
      <c r="B300" s="143" t="s">
        <v>424</v>
      </c>
      <c r="C300" s="14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7.25" customHeight="1">
      <c r="A301" s="138">
        <f t="shared" si="13"/>
        <v>286</v>
      </c>
      <c r="B301" s="143" t="s">
        <v>425</v>
      </c>
      <c r="C301" s="14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7.25" customHeight="1">
      <c r="A302" s="138">
        <f t="shared" si="13"/>
        <v>287</v>
      </c>
      <c r="B302" s="143" t="s">
        <v>426</v>
      </c>
      <c r="C302" s="14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7.25" customHeight="1">
      <c r="A303" s="138">
        <f t="shared" si="13"/>
        <v>288</v>
      </c>
      <c r="B303" s="143" t="s">
        <v>427</v>
      </c>
      <c r="C303" s="14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7.25" customHeight="1">
      <c r="A304" s="138">
        <f t="shared" si="13"/>
        <v>289</v>
      </c>
      <c r="B304" s="143" t="s">
        <v>428</v>
      </c>
      <c r="C304" s="14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7.25" customHeight="1">
      <c r="A305" s="138">
        <f t="shared" si="13"/>
        <v>290</v>
      </c>
      <c r="B305" s="143" t="s">
        <v>429</v>
      </c>
      <c r="C305" s="14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7.25" customHeight="1">
      <c r="A306" s="138">
        <f t="shared" si="13"/>
        <v>291</v>
      </c>
      <c r="B306" s="143" t="s">
        <v>430</v>
      </c>
      <c r="C306" s="14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7.25" customHeight="1">
      <c r="A307" s="138">
        <f t="shared" si="13"/>
        <v>292</v>
      </c>
      <c r="B307" s="143" t="s">
        <v>431</v>
      </c>
      <c r="C307" s="14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7.25" customHeight="1">
      <c r="A308" s="138">
        <f t="shared" si="13"/>
        <v>293</v>
      </c>
      <c r="B308" s="143" t="s">
        <v>432</v>
      </c>
      <c r="C308" s="14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7.25" customHeight="1">
      <c r="A309" s="138">
        <f t="shared" si="13"/>
        <v>294</v>
      </c>
      <c r="B309" s="143" t="s">
        <v>433</v>
      </c>
      <c r="C309" s="14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7.25" customHeight="1">
      <c r="A310" s="138">
        <f t="shared" si="13"/>
        <v>295</v>
      </c>
      <c r="B310" s="143" t="s">
        <v>434</v>
      </c>
      <c r="C310" s="14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7.25" customHeight="1">
      <c r="A311" s="138">
        <f t="shared" si="13"/>
        <v>296</v>
      </c>
      <c r="B311" s="143" t="s">
        <v>435</v>
      </c>
      <c r="C311" s="14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7.25" customHeight="1">
      <c r="A312" s="138">
        <f t="shared" si="13"/>
        <v>297</v>
      </c>
      <c r="B312" s="143" t="s">
        <v>436</v>
      </c>
      <c r="C312" s="14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7.25" customHeight="1">
      <c r="A313" s="138">
        <f t="shared" si="13"/>
        <v>298</v>
      </c>
      <c r="B313" s="143" t="s">
        <v>437</v>
      </c>
      <c r="C313" s="14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7.25" customHeight="1">
      <c r="A314" s="138">
        <f t="shared" si="13"/>
        <v>299</v>
      </c>
      <c r="B314" s="143" t="s">
        <v>438</v>
      </c>
      <c r="C314" s="14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7.25" customHeight="1">
      <c r="A315" s="138">
        <f t="shared" si="13"/>
        <v>300</v>
      </c>
      <c r="B315" s="143" t="s">
        <v>439</v>
      </c>
      <c r="C315" s="14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7.25" customHeight="1">
      <c r="A316" s="138">
        <f t="shared" si="13"/>
        <v>301</v>
      </c>
      <c r="B316" s="143" t="s">
        <v>440</v>
      </c>
      <c r="C316" s="14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7.25" customHeight="1">
      <c r="A317" s="138">
        <f t="shared" si="13"/>
        <v>302</v>
      </c>
      <c r="B317" s="143" t="s">
        <v>441</v>
      </c>
      <c r="C317" s="14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7.25" customHeight="1">
      <c r="A318" s="138">
        <f t="shared" si="13"/>
        <v>303</v>
      </c>
      <c r="B318" s="143" t="s">
        <v>442</v>
      </c>
      <c r="C318" s="14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7.25" customHeight="1">
      <c r="A319" s="138">
        <f t="shared" si="13"/>
        <v>304</v>
      </c>
      <c r="B319" s="143" t="s">
        <v>443</v>
      </c>
      <c r="C319" s="14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7.25" customHeight="1">
      <c r="A320" s="138">
        <f t="shared" si="13"/>
        <v>305</v>
      </c>
      <c r="B320" s="143" t="s">
        <v>444</v>
      </c>
      <c r="C320" s="14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7.25" customHeight="1">
      <c r="A321" s="138">
        <f t="shared" si="13"/>
        <v>306</v>
      </c>
      <c r="B321" s="143" t="s">
        <v>445</v>
      </c>
      <c r="C321" s="14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7.25" customHeight="1">
      <c r="A322" s="138">
        <f t="shared" si="13"/>
        <v>307</v>
      </c>
      <c r="B322" s="143" t="s">
        <v>446</v>
      </c>
      <c r="C322" s="14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7.25" customHeight="1">
      <c r="A323" s="138">
        <f t="shared" si="13"/>
        <v>308</v>
      </c>
      <c r="B323" s="143" t="s">
        <v>447</v>
      </c>
      <c r="C323" s="14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7.25" customHeight="1">
      <c r="A324" s="138">
        <f t="shared" si="13"/>
        <v>309</v>
      </c>
      <c r="B324" s="143" t="s">
        <v>448</v>
      </c>
      <c r="C324" s="14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7.25" customHeight="1">
      <c r="A325" s="138">
        <f t="shared" si="13"/>
        <v>310</v>
      </c>
      <c r="B325" s="143" t="s">
        <v>449</v>
      </c>
      <c r="C325" s="14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7.25" customHeight="1">
      <c r="A326" s="138">
        <f t="shared" si="13"/>
        <v>311</v>
      </c>
      <c r="B326" s="143" t="s">
        <v>450</v>
      </c>
      <c r="C326" s="14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7.25" customHeight="1">
      <c r="A327" s="138">
        <f t="shared" si="13"/>
        <v>312</v>
      </c>
      <c r="B327" s="143" t="s">
        <v>451</v>
      </c>
      <c r="C327" s="14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7.25" customHeight="1">
      <c r="A328" s="138">
        <f t="shared" si="13"/>
        <v>313</v>
      </c>
      <c r="B328" s="143" t="s">
        <v>452</v>
      </c>
      <c r="C328" s="14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7.25" customHeight="1">
      <c r="A329" s="138">
        <f t="shared" si="13"/>
        <v>314</v>
      </c>
      <c r="B329" s="143" t="s">
        <v>453</v>
      </c>
      <c r="C329" s="14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7.25" customHeight="1">
      <c r="A330" s="138">
        <f t="shared" si="13"/>
        <v>315</v>
      </c>
      <c r="B330" s="143" t="s">
        <v>454</v>
      </c>
      <c r="C330" s="14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7.25" customHeight="1">
      <c r="A331" s="138">
        <f t="shared" si="13"/>
        <v>316</v>
      </c>
      <c r="B331" s="143" t="s">
        <v>455</v>
      </c>
      <c r="C331" s="14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7.25" customHeight="1">
      <c r="A332" s="138">
        <f t="shared" si="13"/>
        <v>317</v>
      </c>
      <c r="B332" s="143" t="s">
        <v>456</v>
      </c>
      <c r="C332" s="14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7.25" customHeight="1">
      <c r="A333" s="138">
        <f t="shared" si="13"/>
        <v>318</v>
      </c>
      <c r="B333" s="143" t="s">
        <v>457</v>
      </c>
      <c r="C333" s="14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7.25" customHeight="1">
      <c r="A334" s="138">
        <f t="shared" si="13"/>
        <v>319</v>
      </c>
      <c r="B334" s="143" t="s">
        <v>458</v>
      </c>
      <c r="C334" s="14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25" customHeight="1">
      <c r="A335" s="138">
        <f t="shared" si="13"/>
        <v>320</v>
      </c>
      <c r="B335" s="143" t="s">
        <v>459</v>
      </c>
      <c r="C335" s="14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7.25" customHeight="1">
      <c r="A336" s="138">
        <f t="shared" si="13"/>
        <v>321</v>
      </c>
      <c r="B336" s="143" t="s">
        <v>460</v>
      </c>
      <c r="C336" s="14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25" customHeight="1">
      <c r="A337" s="138">
        <f t="shared" si="13"/>
        <v>322</v>
      </c>
      <c r="B337" s="143" t="s">
        <v>461</v>
      </c>
      <c r="C337" s="14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25" customHeight="1">
      <c r="A338" s="138">
        <f t="shared" ref="A338:A401" si="14">A337+1</f>
        <v>323</v>
      </c>
      <c r="B338" s="143" t="s">
        <v>462</v>
      </c>
      <c r="C338" s="14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25" customHeight="1">
      <c r="A339" s="138">
        <f t="shared" si="14"/>
        <v>324</v>
      </c>
      <c r="B339" s="143" t="s">
        <v>463</v>
      </c>
      <c r="C339" s="14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25" customHeight="1">
      <c r="A340" s="138">
        <f t="shared" si="14"/>
        <v>325</v>
      </c>
      <c r="B340" s="143" t="s">
        <v>464</v>
      </c>
      <c r="C340" s="14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25" customHeight="1">
      <c r="A341" s="138">
        <f t="shared" si="14"/>
        <v>326</v>
      </c>
      <c r="B341" s="143" t="s">
        <v>465</v>
      </c>
      <c r="C341" s="14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25" customHeight="1">
      <c r="A342" s="138">
        <f t="shared" si="14"/>
        <v>327</v>
      </c>
      <c r="B342" s="143" t="s">
        <v>466</v>
      </c>
      <c r="C342" s="14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25" customHeight="1">
      <c r="A343" s="138">
        <f t="shared" si="14"/>
        <v>328</v>
      </c>
      <c r="B343" s="143" t="s">
        <v>467</v>
      </c>
      <c r="C343" s="14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25" customHeight="1">
      <c r="A344" s="138">
        <f t="shared" si="14"/>
        <v>329</v>
      </c>
      <c r="B344" s="143" t="s">
        <v>468</v>
      </c>
      <c r="C344" s="14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25" customHeight="1">
      <c r="A345" s="138">
        <f t="shared" si="14"/>
        <v>330</v>
      </c>
      <c r="B345" s="143" t="s">
        <v>469</v>
      </c>
      <c r="C345" s="14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25" customHeight="1">
      <c r="A346" s="138">
        <f t="shared" si="14"/>
        <v>331</v>
      </c>
      <c r="B346" s="143" t="s">
        <v>470</v>
      </c>
      <c r="C346" s="14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25" customHeight="1">
      <c r="A347" s="138">
        <f t="shared" si="14"/>
        <v>332</v>
      </c>
      <c r="B347" s="143" t="s">
        <v>471</v>
      </c>
      <c r="C347" s="14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25" customHeight="1">
      <c r="A348" s="138">
        <f t="shared" si="14"/>
        <v>333</v>
      </c>
      <c r="B348" s="143" t="s">
        <v>472</v>
      </c>
      <c r="C348" s="14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25" customHeight="1">
      <c r="A349" s="138">
        <f t="shared" si="14"/>
        <v>334</v>
      </c>
      <c r="B349" s="143" t="s">
        <v>473</v>
      </c>
      <c r="C349" s="14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25" customHeight="1">
      <c r="A350" s="138">
        <f t="shared" si="14"/>
        <v>335</v>
      </c>
      <c r="B350" s="143" t="s">
        <v>474</v>
      </c>
      <c r="C350" s="14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25" customHeight="1">
      <c r="A351" s="138">
        <f t="shared" si="14"/>
        <v>336</v>
      </c>
      <c r="B351" s="143" t="s">
        <v>475</v>
      </c>
      <c r="C351" s="14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25" customHeight="1">
      <c r="A352" s="138">
        <f t="shared" si="14"/>
        <v>337</v>
      </c>
      <c r="B352" s="143" t="s">
        <v>476</v>
      </c>
      <c r="C352" s="14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25" customHeight="1">
      <c r="A353" s="138">
        <f t="shared" si="14"/>
        <v>338</v>
      </c>
      <c r="B353" s="143" t="s">
        <v>477</v>
      </c>
      <c r="C353" s="14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25" customHeight="1">
      <c r="A354" s="138">
        <f t="shared" si="14"/>
        <v>339</v>
      </c>
      <c r="B354" s="143" t="s">
        <v>478</v>
      </c>
      <c r="C354" s="14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25" customHeight="1">
      <c r="A355" s="138">
        <f t="shared" si="14"/>
        <v>340</v>
      </c>
      <c r="B355" s="143" t="s">
        <v>479</v>
      </c>
      <c r="C355" s="14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25" customHeight="1">
      <c r="A356" s="138">
        <f t="shared" si="14"/>
        <v>341</v>
      </c>
      <c r="B356" s="143" t="s">
        <v>480</v>
      </c>
      <c r="C356" s="14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25" customHeight="1">
      <c r="A357" s="138">
        <f t="shared" si="14"/>
        <v>342</v>
      </c>
      <c r="B357" s="143" t="s">
        <v>481</v>
      </c>
      <c r="C357" s="14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25" customHeight="1">
      <c r="A358" s="138">
        <f t="shared" si="14"/>
        <v>343</v>
      </c>
      <c r="B358" s="143" t="s">
        <v>482</v>
      </c>
      <c r="C358" s="14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25" customHeight="1">
      <c r="A359" s="138">
        <f t="shared" si="14"/>
        <v>344</v>
      </c>
      <c r="B359" s="143" t="s">
        <v>483</v>
      </c>
      <c r="C359" s="14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25" customHeight="1">
      <c r="A360" s="138">
        <f t="shared" si="14"/>
        <v>345</v>
      </c>
      <c r="B360" s="143" t="s">
        <v>484</v>
      </c>
      <c r="C360" s="14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25" customHeight="1">
      <c r="A361" s="138">
        <f t="shared" si="14"/>
        <v>346</v>
      </c>
      <c r="B361" s="143" t="s">
        <v>485</v>
      </c>
      <c r="C361" s="14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25" customHeight="1">
      <c r="A362" s="138">
        <f t="shared" si="14"/>
        <v>347</v>
      </c>
      <c r="B362" s="143" t="s">
        <v>486</v>
      </c>
      <c r="C362" s="14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25" customHeight="1">
      <c r="A363" s="138">
        <f t="shared" si="14"/>
        <v>348</v>
      </c>
      <c r="B363" s="143" t="s">
        <v>487</v>
      </c>
      <c r="C363" s="14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25" customHeight="1">
      <c r="A364" s="138">
        <f t="shared" si="14"/>
        <v>349</v>
      </c>
      <c r="B364" s="143" t="s">
        <v>488</v>
      </c>
      <c r="C364" s="14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25" customHeight="1">
      <c r="A365" s="138">
        <f t="shared" si="14"/>
        <v>350</v>
      </c>
      <c r="B365" s="143" t="s">
        <v>489</v>
      </c>
      <c r="C365" s="14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25" customHeight="1">
      <c r="A366" s="138">
        <f t="shared" si="14"/>
        <v>351</v>
      </c>
      <c r="B366" s="143" t="s">
        <v>490</v>
      </c>
      <c r="C366" s="14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25" customHeight="1">
      <c r="A367" s="138">
        <f t="shared" si="14"/>
        <v>352</v>
      </c>
      <c r="B367" s="143" t="s">
        <v>491</v>
      </c>
      <c r="C367" s="14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25" customHeight="1">
      <c r="A368" s="138">
        <f t="shared" si="14"/>
        <v>353</v>
      </c>
      <c r="B368" s="143" t="s">
        <v>492</v>
      </c>
      <c r="C368" s="14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25" customHeight="1">
      <c r="A369" s="138">
        <f t="shared" si="14"/>
        <v>354</v>
      </c>
      <c r="B369" s="143" t="s">
        <v>493</v>
      </c>
      <c r="C369" s="14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25" customHeight="1">
      <c r="A370" s="138">
        <f t="shared" si="14"/>
        <v>355</v>
      </c>
      <c r="B370" s="143" t="s">
        <v>494</v>
      </c>
      <c r="C370" s="14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25" customHeight="1">
      <c r="A371" s="138">
        <f t="shared" si="14"/>
        <v>356</v>
      </c>
      <c r="B371" s="143" t="s">
        <v>495</v>
      </c>
      <c r="C371" s="14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25" customHeight="1">
      <c r="A372" s="138">
        <f t="shared" si="14"/>
        <v>357</v>
      </c>
      <c r="B372" s="143" t="s">
        <v>496</v>
      </c>
      <c r="C372" s="14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25" customHeight="1">
      <c r="A373" s="138">
        <f t="shared" si="14"/>
        <v>358</v>
      </c>
      <c r="B373" s="143" t="s">
        <v>497</v>
      </c>
      <c r="C373" s="14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25" customHeight="1">
      <c r="A374" s="138">
        <f t="shared" si="14"/>
        <v>359</v>
      </c>
      <c r="B374" s="143" t="s">
        <v>498</v>
      </c>
      <c r="C374" s="14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25" customHeight="1">
      <c r="A375" s="138">
        <f t="shared" si="14"/>
        <v>360</v>
      </c>
      <c r="B375" s="143" t="s">
        <v>499</v>
      </c>
      <c r="C375" s="14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25" customHeight="1">
      <c r="A376" s="138">
        <f t="shared" si="14"/>
        <v>361</v>
      </c>
      <c r="B376" s="143" t="s">
        <v>500</v>
      </c>
      <c r="C376" s="14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25" customHeight="1">
      <c r="A377" s="138">
        <f t="shared" si="14"/>
        <v>362</v>
      </c>
      <c r="B377" s="143" t="s">
        <v>501</v>
      </c>
      <c r="C377" s="14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25" customHeight="1">
      <c r="A378" s="138">
        <f t="shared" si="14"/>
        <v>363</v>
      </c>
      <c r="B378" s="143" t="s">
        <v>502</v>
      </c>
      <c r="C378" s="14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25" customHeight="1">
      <c r="A379" s="138">
        <f t="shared" si="14"/>
        <v>364</v>
      </c>
      <c r="B379" s="143" t="s">
        <v>503</v>
      </c>
      <c r="C379" s="14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25" customHeight="1">
      <c r="A380" s="138">
        <f t="shared" si="14"/>
        <v>365</v>
      </c>
      <c r="B380" s="143" t="s">
        <v>504</v>
      </c>
      <c r="C380" s="14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25" customHeight="1">
      <c r="A381" s="138">
        <f t="shared" si="14"/>
        <v>366</v>
      </c>
      <c r="B381" s="143" t="s">
        <v>505</v>
      </c>
      <c r="C381" s="14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25" customHeight="1">
      <c r="A382" s="138">
        <f t="shared" si="14"/>
        <v>367</v>
      </c>
      <c r="B382" s="143" t="s">
        <v>506</v>
      </c>
      <c r="C382" s="14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25" customHeight="1">
      <c r="A383" s="138">
        <f t="shared" si="14"/>
        <v>368</v>
      </c>
      <c r="B383" s="143" t="s">
        <v>507</v>
      </c>
      <c r="C383" s="14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25" customHeight="1">
      <c r="A384" s="138">
        <f t="shared" si="14"/>
        <v>369</v>
      </c>
      <c r="B384" s="143" t="s">
        <v>508</v>
      </c>
      <c r="C384" s="14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25" customHeight="1">
      <c r="A385" s="138">
        <f t="shared" si="14"/>
        <v>370</v>
      </c>
      <c r="B385" s="143" t="s">
        <v>509</v>
      </c>
      <c r="C385" s="14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25" customHeight="1">
      <c r="A386" s="138">
        <f t="shared" si="14"/>
        <v>371</v>
      </c>
      <c r="B386" s="143" t="s">
        <v>510</v>
      </c>
      <c r="C386" s="14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25" customHeight="1">
      <c r="A387" s="138">
        <f t="shared" si="14"/>
        <v>372</v>
      </c>
      <c r="B387" s="143" t="s">
        <v>511</v>
      </c>
      <c r="C387" s="14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25" customHeight="1">
      <c r="A388" s="138">
        <f t="shared" si="14"/>
        <v>373</v>
      </c>
      <c r="B388" s="143" t="s">
        <v>512</v>
      </c>
      <c r="C388" s="14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25" customHeight="1">
      <c r="A389" s="138">
        <f t="shared" si="14"/>
        <v>374</v>
      </c>
      <c r="B389" s="143" t="s">
        <v>513</v>
      </c>
      <c r="C389" s="14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25" customHeight="1">
      <c r="A390" s="138">
        <f t="shared" si="14"/>
        <v>375</v>
      </c>
      <c r="B390" s="143" t="s">
        <v>514</v>
      </c>
      <c r="C390" s="14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25" customHeight="1">
      <c r="A391" s="138">
        <f t="shared" si="14"/>
        <v>376</v>
      </c>
      <c r="B391" s="143" t="s">
        <v>515</v>
      </c>
      <c r="C391" s="14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25" customHeight="1">
      <c r="A392" s="138">
        <f t="shared" si="14"/>
        <v>377</v>
      </c>
      <c r="B392" s="143" t="s">
        <v>516</v>
      </c>
      <c r="C392" s="14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25" customHeight="1">
      <c r="A393" s="138">
        <f t="shared" si="14"/>
        <v>378</v>
      </c>
      <c r="B393" s="143" t="s">
        <v>517</v>
      </c>
      <c r="C393" s="14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25" customHeight="1">
      <c r="A394" s="138">
        <f t="shared" si="14"/>
        <v>379</v>
      </c>
      <c r="B394" s="143" t="s">
        <v>518</v>
      </c>
      <c r="C394" s="14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25" customHeight="1">
      <c r="A395" s="138">
        <f t="shared" si="14"/>
        <v>380</v>
      </c>
      <c r="B395" s="143" t="s">
        <v>519</v>
      </c>
      <c r="C395" s="14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25" customHeight="1">
      <c r="A396" s="138">
        <f t="shared" si="14"/>
        <v>381</v>
      </c>
      <c r="B396" s="143" t="s">
        <v>520</v>
      </c>
      <c r="C396" s="14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25" customHeight="1">
      <c r="A397" s="138">
        <f t="shared" si="14"/>
        <v>382</v>
      </c>
      <c r="B397" s="143" t="s">
        <v>521</v>
      </c>
      <c r="C397" s="14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25" customHeight="1">
      <c r="A398" s="138">
        <f t="shared" si="14"/>
        <v>383</v>
      </c>
      <c r="B398" s="143" t="s">
        <v>522</v>
      </c>
      <c r="C398" s="14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25" customHeight="1">
      <c r="A399" s="138">
        <f t="shared" si="14"/>
        <v>384</v>
      </c>
      <c r="B399" s="143" t="s">
        <v>523</v>
      </c>
      <c r="C399" s="14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25" customHeight="1">
      <c r="A400" s="138">
        <f t="shared" si="14"/>
        <v>385</v>
      </c>
      <c r="B400" s="143" t="s">
        <v>524</v>
      </c>
      <c r="C400" s="14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25" customHeight="1">
      <c r="A401" s="138">
        <f t="shared" si="14"/>
        <v>386</v>
      </c>
      <c r="B401" s="143" t="s">
        <v>525</v>
      </c>
      <c r="C401" s="14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25" customHeight="1">
      <c r="A402" s="138">
        <f t="shared" ref="A402:A465" si="15">A401+1</f>
        <v>387</v>
      </c>
      <c r="B402" s="143" t="s">
        <v>526</v>
      </c>
      <c r="C402" s="14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25" customHeight="1">
      <c r="A403" s="138">
        <f t="shared" si="15"/>
        <v>388</v>
      </c>
      <c r="B403" s="143" t="s">
        <v>527</v>
      </c>
      <c r="C403" s="14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25" customHeight="1">
      <c r="A404" s="138">
        <f t="shared" si="15"/>
        <v>389</v>
      </c>
      <c r="B404" s="143" t="s">
        <v>528</v>
      </c>
      <c r="C404" s="14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25" customHeight="1">
      <c r="A405" s="138">
        <f t="shared" si="15"/>
        <v>390</v>
      </c>
      <c r="B405" s="143" t="s">
        <v>529</v>
      </c>
      <c r="C405" s="14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25" customHeight="1">
      <c r="A406" s="138">
        <f t="shared" si="15"/>
        <v>391</v>
      </c>
      <c r="B406" s="143" t="s">
        <v>530</v>
      </c>
      <c r="C406" s="14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25" customHeight="1">
      <c r="A407" s="138">
        <f t="shared" si="15"/>
        <v>392</v>
      </c>
      <c r="B407" s="143" t="s">
        <v>531</v>
      </c>
      <c r="C407" s="14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25" customHeight="1">
      <c r="A408" s="138">
        <f t="shared" si="15"/>
        <v>393</v>
      </c>
      <c r="B408" s="143" t="s">
        <v>532</v>
      </c>
      <c r="C408" s="14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25" customHeight="1">
      <c r="A409" s="138">
        <f t="shared" si="15"/>
        <v>394</v>
      </c>
      <c r="B409" s="143" t="s">
        <v>533</v>
      </c>
      <c r="C409" s="14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25" customHeight="1">
      <c r="A410" s="138">
        <f t="shared" si="15"/>
        <v>395</v>
      </c>
      <c r="B410" s="143" t="s">
        <v>534</v>
      </c>
      <c r="C410" s="14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25" customHeight="1">
      <c r="A411" s="138">
        <f t="shared" si="15"/>
        <v>396</v>
      </c>
      <c r="B411" s="143" t="s">
        <v>535</v>
      </c>
      <c r="C411" s="14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25" customHeight="1">
      <c r="A412" s="138">
        <f t="shared" si="15"/>
        <v>397</v>
      </c>
      <c r="B412" s="143" t="s">
        <v>536</v>
      </c>
      <c r="C412" s="14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25" customHeight="1">
      <c r="A413" s="138">
        <f t="shared" si="15"/>
        <v>398</v>
      </c>
      <c r="B413" s="143" t="s">
        <v>537</v>
      </c>
      <c r="C413" s="14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25" customHeight="1">
      <c r="A414" s="138">
        <f t="shared" si="15"/>
        <v>399</v>
      </c>
      <c r="B414" s="143" t="s">
        <v>538</v>
      </c>
      <c r="C414" s="14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25" customHeight="1">
      <c r="A415" s="138">
        <f t="shared" si="15"/>
        <v>400</v>
      </c>
      <c r="B415" s="143" t="s">
        <v>539</v>
      </c>
      <c r="C415" s="14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25" customHeight="1">
      <c r="A416" s="138">
        <f t="shared" si="15"/>
        <v>401</v>
      </c>
      <c r="B416" s="143" t="s">
        <v>540</v>
      </c>
      <c r="C416" s="14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25" customHeight="1">
      <c r="A417" s="138">
        <f t="shared" si="15"/>
        <v>402</v>
      </c>
      <c r="B417" s="143" t="s">
        <v>541</v>
      </c>
      <c r="C417" s="14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25" customHeight="1">
      <c r="A418" s="138">
        <f t="shared" si="15"/>
        <v>403</v>
      </c>
      <c r="B418" s="143" t="s">
        <v>542</v>
      </c>
      <c r="C418" s="14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25" customHeight="1">
      <c r="A419" s="138">
        <f t="shared" si="15"/>
        <v>404</v>
      </c>
      <c r="B419" s="143" t="s">
        <v>543</v>
      </c>
      <c r="C419" s="14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25" customHeight="1">
      <c r="A420" s="138">
        <f t="shared" si="15"/>
        <v>405</v>
      </c>
      <c r="B420" s="143" t="s">
        <v>544</v>
      </c>
      <c r="C420" s="14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25" customHeight="1">
      <c r="A421" s="138">
        <f t="shared" si="15"/>
        <v>406</v>
      </c>
      <c r="B421" s="143" t="s">
        <v>545</v>
      </c>
      <c r="C421" s="14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7.25" customHeight="1">
      <c r="A422" s="138">
        <f t="shared" si="15"/>
        <v>407</v>
      </c>
      <c r="B422" s="143" t="s">
        <v>546</v>
      </c>
      <c r="C422" s="14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7.25" customHeight="1">
      <c r="A423" s="138">
        <f t="shared" si="15"/>
        <v>408</v>
      </c>
      <c r="B423" s="143" t="s">
        <v>547</v>
      </c>
      <c r="C423" s="14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7.25" customHeight="1">
      <c r="A424" s="138">
        <f t="shared" si="15"/>
        <v>409</v>
      </c>
      <c r="B424" s="143" t="s">
        <v>548</v>
      </c>
      <c r="C424" s="14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7.25" customHeight="1">
      <c r="A425" s="138">
        <f t="shared" si="15"/>
        <v>410</v>
      </c>
      <c r="B425" s="143" t="s">
        <v>549</v>
      </c>
      <c r="C425" s="14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7.25" customHeight="1">
      <c r="A426" s="138">
        <f t="shared" si="15"/>
        <v>411</v>
      </c>
      <c r="B426" s="143" t="s">
        <v>550</v>
      </c>
      <c r="C426" s="14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7.25" customHeight="1">
      <c r="A427" s="138">
        <f t="shared" si="15"/>
        <v>412</v>
      </c>
      <c r="B427" s="143" t="s">
        <v>551</v>
      </c>
      <c r="C427" s="14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7.25" customHeight="1">
      <c r="A428" s="138">
        <f t="shared" si="15"/>
        <v>413</v>
      </c>
      <c r="B428" s="143" t="s">
        <v>552</v>
      </c>
      <c r="C428" s="14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7.25" customHeight="1">
      <c r="A429" s="138">
        <f t="shared" si="15"/>
        <v>414</v>
      </c>
      <c r="B429" s="143" t="s">
        <v>553</v>
      </c>
      <c r="C429" s="14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7.25" customHeight="1">
      <c r="A430" s="138">
        <f t="shared" si="15"/>
        <v>415</v>
      </c>
      <c r="B430" s="143" t="s">
        <v>554</v>
      </c>
      <c r="C430" s="14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7.25" customHeight="1">
      <c r="A431" s="138">
        <f t="shared" si="15"/>
        <v>416</v>
      </c>
      <c r="B431" s="143" t="s">
        <v>555</v>
      </c>
      <c r="C431" s="14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7.25" customHeight="1">
      <c r="A432" s="138">
        <f t="shared" si="15"/>
        <v>417</v>
      </c>
      <c r="B432" s="143" t="s">
        <v>556</v>
      </c>
      <c r="C432" s="14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7.25" customHeight="1">
      <c r="A433" s="138">
        <f t="shared" si="15"/>
        <v>418</v>
      </c>
      <c r="B433" s="143" t="s">
        <v>557</v>
      </c>
      <c r="C433" s="14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7.25" customHeight="1">
      <c r="A434" s="138">
        <f t="shared" si="15"/>
        <v>419</v>
      </c>
      <c r="B434" s="143" t="s">
        <v>558</v>
      </c>
      <c r="C434" s="14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7.25" customHeight="1">
      <c r="A435" s="138">
        <f t="shared" si="15"/>
        <v>420</v>
      </c>
      <c r="B435" s="143" t="s">
        <v>559</v>
      </c>
      <c r="C435" s="14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7.25" customHeight="1">
      <c r="A436" s="138">
        <f t="shared" si="15"/>
        <v>421</v>
      </c>
      <c r="B436" s="143" t="s">
        <v>560</v>
      </c>
      <c r="C436" s="14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7.25" customHeight="1">
      <c r="A437" s="138">
        <f t="shared" si="15"/>
        <v>422</v>
      </c>
      <c r="B437" s="143"/>
      <c r="C437" s="14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7.25" customHeight="1">
      <c r="A438" s="138">
        <f t="shared" si="15"/>
        <v>423</v>
      </c>
      <c r="B438" s="143"/>
      <c r="C438" s="14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7.25" customHeight="1">
      <c r="A439" s="138">
        <f t="shared" si="15"/>
        <v>424</v>
      </c>
      <c r="B439" s="143"/>
      <c r="C439" s="14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7.25" customHeight="1">
      <c r="A440" s="138">
        <f t="shared" si="15"/>
        <v>425</v>
      </c>
      <c r="B440" s="143"/>
      <c r="C440" s="14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7.25" customHeight="1">
      <c r="A441" s="138">
        <f t="shared" si="15"/>
        <v>426</v>
      </c>
      <c r="B441" s="143"/>
      <c r="C441" s="14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7.25" customHeight="1">
      <c r="A442" s="138">
        <f t="shared" si="15"/>
        <v>427</v>
      </c>
      <c r="B442" s="143"/>
      <c r="C442" s="14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7.25" customHeight="1">
      <c r="A443" s="138">
        <f t="shared" si="15"/>
        <v>428</v>
      </c>
      <c r="B443" s="143"/>
      <c r="C443" s="14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7.25" customHeight="1">
      <c r="A444" s="138">
        <f t="shared" si="15"/>
        <v>429</v>
      </c>
      <c r="B444" s="143"/>
      <c r="C444" s="14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7.25" customHeight="1">
      <c r="A445" s="138">
        <f t="shared" si="15"/>
        <v>430</v>
      </c>
      <c r="B445" s="143"/>
      <c r="C445" s="14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7.25" customHeight="1">
      <c r="A446" s="138">
        <f t="shared" si="15"/>
        <v>431</v>
      </c>
      <c r="B446" s="143"/>
      <c r="C446" s="145"/>
      <c r="D446" s="1"/>
      <c r="T446" s="1"/>
      <c r="U446" s="1"/>
      <c r="V446" s="1"/>
      <c r="W446" s="1"/>
      <c r="X446" s="1"/>
      <c r="Y446" s="1"/>
    </row>
    <row r="447" spans="1:25" ht="17.25" customHeight="1">
      <c r="A447" s="138">
        <f t="shared" si="15"/>
        <v>432</v>
      </c>
      <c r="B447" s="143"/>
      <c r="C447" s="145"/>
      <c r="D447" s="1"/>
      <c r="T447" s="1"/>
      <c r="U447" s="1"/>
      <c r="V447" s="1"/>
      <c r="W447" s="1"/>
      <c r="X447" s="1"/>
      <c r="Y447" s="1"/>
    </row>
    <row r="448" spans="1:25" ht="17.25" customHeight="1">
      <c r="A448" s="138">
        <f t="shared" si="15"/>
        <v>433</v>
      </c>
      <c r="B448" s="143"/>
      <c r="C448" s="145"/>
      <c r="D448" s="1"/>
      <c r="T448" s="1"/>
      <c r="U448" s="1"/>
      <c r="V448" s="1"/>
      <c r="W448" s="1"/>
      <c r="X448" s="1"/>
      <c r="Y448" s="1"/>
    </row>
    <row r="449" spans="1:25" ht="17.25" customHeight="1">
      <c r="A449" s="138">
        <f t="shared" si="15"/>
        <v>434</v>
      </c>
      <c r="B449" s="143"/>
      <c r="C449" s="145"/>
      <c r="D449" s="1"/>
      <c r="T449" s="1"/>
      <c r="U449" s="1"/>
      <c r="V449" s="1"/>
      <c r="W449" s="1"/>
      <c r="X449" s="1"/>
      <c r="Y449" s="1"/>
    </row>
    <row r="450" spans="1:25" ht="17.25" customHeight="1">
      <c r="A450" s="138">
        <f t="shared" si="15"/>
        <v>435</v>
      </c>
      <c r="B450" s="143"/>
      <c r="C450" s="145"/>
      <c r="D450" s="1"/>
      <c r="T450" s="1"/>
      <c r="U450" s="1"/>
    </row>
    <row r="451" spans="1:25" ht="17.25" customHeight="1">
      <c r="A451" s="138">
        <f t="shared" si="15"/>
        <v>436</v>
      </c>
      <c r="B451" s="143"/>
      <c r="C451" s="145"/>
      <c r="D451" s="1"/>
      <c r="U451" s="1"/>
    </row>
    <row r="452" spans="1:25" ht="17.25" customHeight="1">
      <c r="A452" s="138">
        <f t="shared" si="15"/>
        <v>437</v>
      </c>
      <c r="B452" s="143"/>
      <c r="C452" s="145"/>
      <c r="D452" s="1"/>
      <c r="U452" s="1"/>
    </row>
    <row r="453" spans="1:25" ht="17.25" customHeight="1">
      <c r="A453" s="138">
        <f t="shared" si="15"/>
        <v>438</v>
      </c>
      <c r="B453" s="143"/>
      <c r="C453" s="145"/>
      <c r="D453" s="1"/>
      <c r="U453" s="1"/>
    </row>
    <row r="454" spans="1:25" ht="17.25" customHeight="1">
      <c r="A454" s="138">
        <f t="shared" si="15"/>
        <v>439</v>
      </c>
      <c r="B454" s="143"/>
      <c r="C454" s="145"/>
      <c r="D454" s="1"/>
      <c r="U454" s="1"/>
    </row>
    <row r="455" spans="1:25" ht="17.25" customHeight="1">
      <c r="A455" s="138">
        <f t="shared" si="15"/>
        <v>440</v>
      </c>
      <c r="B455" s="143"/>
      <c r="C455" s="145"/>
      <c r="D455" s="1"/>
      <c r="U455" s="1"/>
    </row>
    <row r="456" spans="1:25" ht="15.75" customHeight="1">
      <c r="A456" s="138">
        <f t="shared" si="15"/>
        <v>441</v>
      </c>
      <c r="B456" s="143"/>
      <c r="C456" s="146"/>
    </row>
    <row r="457" spans="1:25" ht="15.75" customHeight="1">
      <c r="A457" s="138">
        <f t="shared" si="15"/>
        <v>442</v>
      </c>
      <c r="B457" s="143"/>
      <c r="C457" s="146"/>
    </row>
    <row r="458" spans="1:25" ht="15.75" customHeight="1">
      <c r="A458" s="138">
        <f t="shared" si="15"/>
        <v>443</v>
      </c>
      <c r="B458" s="143"/>
      <c r="C458" s="146"/>
    </row>
    <row r="459" spans="1:25" ht="15.75" customHeight="1">
      <c r="A459" s="138">
        <f t="shared" si="15"/>
        <v>444</v>
      </c>
      <c r="B459" s="143"/>
      <c r="C459" s="146"/>
    </row>
    <row r="460" spans="1:25" ht="15.75" customHeight="1">
      <c r="A460" s="138">
        <f t="shared" si="15"/>
        <v>445</v>
      </c>
      <c r="B460" s="143"/>
      <c r="C460" s="146"/>
    </row>
    <row r="461" spans="1:25" ht="15.75" customHeight="1">
      <c r="A461" s="138">
        <f t="shared" si="15"/>
        <v>446</v>
      </c>
      <c r="B461" s="143"/>
      <c r="C461" s="146"/>
    </row>
    <row r="462" spans="1:25" ht="15.75" customHeight="1">
      <c r="A462" s="138">
        <f t="shared" si="15"/>
        <v>447</v>
      </c>
      <c r="B462" s="143"/>
      <c r="C462" s="146"/>
    </row>
    <row r="463" spans="1:25" ht="15.75" customHeight="1">
      <c r="A463" s="138">
        <f t="shared" si="15"/>
        <v>448</v>
      </c>
      <c r="B463" s="143"/>
      <c r="C463" s="146"/>
    </row>
    <row r="464" spans="1:25" ht="15.75" customHeight="1">
      <c r="A464" s="138">
        <f t="shared" si="15"/>
        <v>449</v>
      </c>
      <c r="B464" s="143"/>
      <c r="C464" s="146"/>
    </row>
    <row r="465" spans="1:3" ht="15.75" customHeight="1">
      <c r="A465" s="138">
        <f t="shared" si="15"/>
        <v>450</v>
      </c>
      <c r="B465" s="143"/>
      <c r="C465" s="146"/>
    </row>
    <row r="466" spans="1:3" ht="15.75" customHeight="1">
      <c r="A466" s="152"/>
      <c r="B466" s="152"/>
      <c r="C466" s="152"/>
    </row>
    <row r="467" spans="1:3" ht="15.75" customHeight="1"/>
    <row r="468" spans="1:3" ht="15.75" customHeight="1"/>
    <row r="469" spans="1:3" ht="15.75" customHeight="1"/>
    <row r="470" spans="1:3" ht="15.75" customHeight="1"/>
    <row r="471" spans="1:3" ht="15.75" customHeight="1"/>
    <row r="472" spans="1:3" ht="15.75" customHeight="1"/>
    <row r="473" spans="1:3" ht="15.75" customHeight="1"/>
    <row r="474" spans="1:3" ht="15.75" customHeight="1"/>
    <row r="475" spans="1:3" ht="15.75" customHeight="1"/>
    <row r="476" spans="1:3" ht="15.75" customHeight="1"/>
    <row r="477" spans="1:3" ht="15.75" customHeight="1"/>
    <row r="478" spans="1:3" ht="15.75" customHeight="1"/>
    <row r="479" spans="1:3" ht="15.75" customHeight="1"/>
    <row r="480" spans="1:3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sheetProtection password="CC28" sheet="1" objects="1" scenarios="1" formatRows="0" insertColumns="0" insertRows="0" deleteColumns="0" deleteRows="0" selectLockedCells="1"/>
  <protectedRanges>
    <protectedRange sqref="E15:P24 E36:S49" name="Range2"/>
    <protectedRange sqref="A7 A9 A11:C13 E15:P24 E27:S28 E29:E34 E34:T34 E36:S49" name="BAse"/>
  </protectedRanges>
  <mergeCells count="53">
    <mergeCell ref="E42:S42"/>
    <mergeCell ref="S27:S28"/>
    <mergeCell ref="Q27:Q28"/>
    <mergeCell ref="L27:L28"/>
    <mergeCell ref="V11:Z11"/>
    <mergeCell ref="Q11:S11"/>
    <mergeCell ref="Q12:S13"/>
    <mergeCell ref="M27:M28"/>
    <mergeCell ref="O27:O28"/>
    <mergeCell ref="P27:P28"/>
    <mergeCell ref="R27:R28"/>
    <mergeCell ref="E26:S26"/>
    <mergeCell ref="P12:P13"/>
    <mergeCell ref="L13:O13"/>
    <mergeCell ref="E15:P15"/>
    <mergeCell ref="I16:L17"/>
    <mergeCell ref="M16:N17"/>
    <mergeCell ref="O16:P17"/>
    <mergeCell ref="E16:H17"/>
    <mergeCell ref="H13:K13"/>
    <mergeCell ref="E22:H24"/>
    <mergeCell ref="I22:I24"/>
    <mergeCell ref="J22:M24"/>
    <mergeCell ref="N22:P24"/>
    <mergeCell ref="E18:H20"/>
    <mergeCell ref="I18:L20"/>
    <mergeCell ref="M18:N20"/>
    <mergeCell ref="O18:P20"/>
    <mergeCell ref="G37:L37"/>
    <mergeCell ref="G38:L38"/>
    <mergeCell ref="G39:L39"/>
    <mergeCell ref="G40:L40"/>
    <mergeCell ref="E27:E28"/>
    <mergeCell ref="F27:F28"/>
    <mergeCell ref="G27:G28"/>
    <mergeCell ref="H27:H28"/>
    <mergeCell ref="I27:I28"/>
    <mergeCell ref="J27:J28"/>
    <mergeCell ref="K27:K28"/>
    <mergeCell ref="G36:Q36"/>
    <mergeCell ref="A12:C12"/>
    <mergeCell ref="D12:F12"/>
    <mergeCell ref="A13:C13"/>
    <mergeCell ref="D13:G13"/>
    <mergeCell ref="A7:O7"/>
    <mergeCell ref="A8:O8"/>
    <mergeCell ref="A9:O9"/>
    <mergeCell ref="D11:F11"/>
    <mergeCell ref="G11:I11"/>
    <mergeCell ref="J11:L11"/>
    <mergeCell ref="M11:O11"/>
    <mergeCell ref="A11:C11"/>
    <mergeCell ref="G12:O12"/>
  </mergeCells>
  <phoneticPr fontId="23" type="noConversion"/>
  <dataValidations count="4">
    <dataValidation type="list" allowBlank="1" showErrorMessage="1" sqref="V11">
      <formula1>$AA$12:$AA$14</formula1>
    </dataValidation>
    <dataValidation type="list" allowBlank="1" showInputMessage="1" showErrorMessage="1" sqref="T12:U13 Q12">
      <formula1>$AA$12:$AA$14</formula1>
    </dataValidation>
    <dataValidation type="whole" allowBlank="1" showInputMessage="1" showErrorMessage="1" sqref="F29:S33">
      <formula1>1</formula1>
      <formula2>3</formula2>
    </dataValidation>
    <dataValidation allowBlank="1" showErrorMessage="1" sqref="P12:P13"/>
  </dataValidations>
  <pageMargins left="0.2" right="0.2" top="0.5" bottom="0.5" header="0" footer="0"/>
  <pageSetup scale="57" fitToHeight="0" orientation="landscape" r:id="rId1"/>
  <ignoredErrors>
    <ignoredError sqref="A446:A463 A385:A401 A380:A384 A402:A445 A464:A465 A120:A379 A18:A30 A17 A16 A31:A119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95"/>
  <sheetViews>
    <sheetView zoomScale="76" zoomScaleNormal="55" workbookViewId="0">
      <selection activeCell="S16" sqref="S16"/>
    </sheetView>
  </sheetViews>
  <sheetFormatPr defaultColWidth="14.42578125" defaultRowHeight="15" customHeight="1"/>
  <cols>
    <col min="1" max="1" width="20.42578125" customWidth="1"/>
    <col min="2" max="2" width="7.7109375" customWidth="1"/>
    <col min="3" max="16" width="6.28515625" customWidth="1"/>
    <col min="17" max="17" width="5.140625" customWidth="1"/>
    <col min="18" max="18" width="10.5703125" customWidth="1"/>
    <col min="19" max="24" width="11.140625" customWidth="1"/>
    <col min="25" max="25" width="9.140625" customWidth="1"/>
  </cols>
  <sheetData>
    <row r="1" spans="1:25" ht="23.25" customHeight="1">
      <c r="A1" s="259">
        <f>BASE!A7</f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6"/>
      <c r="S1" s="259">
        <f>BASE!A7</f>
        <v>0</v>
      </c>
      <c r="T1" s="195"/>
      <c r="U1" s="195"/>
      <c r="V1" s="195"/>
      <c r="W1" s="195"/>
      <c r="X1" s="196"/>
      <c r="Y1" s="26"/>
    </row>
    <row r="2" spans="1:25" ht="23.25" customHeight="1">
      <c r="A2" s="259" t="str">
        <f>+BASE!A8</f>
        <v>DEPARTMENT OF __________________________________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6"/>
      <c r="S2" s="259" t="str">
        <f>BASE!A8</f>
        <v>DEPARTMENT OF __________________________________</v>
      </c>
      <c r="T2" s="195"/>
      <c r="U2" s="195"/>
      <c r="V2" s="195"/>
      <c r="W2" s="195"/>
      <c r="X2" s="196"/>
      <c r="Y2" s="26"/>
    </row>
    <row r="3" spans="1:25" ht="23.25" customHeight="1">
      <c r="A3" s="259" t="str">
        <f>+BASE!A9</f>
        <v>THEORY CUM PRACTICAL COURSE OUTCOME ANALYSIS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6"/>
      <c r="S3" s="259" t="str">
        <f>BASE!A9</f>
        <v>THEORY CUM PRACTICAL COURSE OUTCOME ANALYSIS</v>
      </c>
      <c r="T3" s="195"/>
      <c r="U3" s="195"/>
      <c r="V3" s="195"/>
      <c r="W3" s="195"/>
      <c r="X3" s="196"/>
      <c r="Y3" s="26"/>
    </row>
    <row r="4" spans="1:25" ht="47.25" customHeight="1">
      <c r="A4" s="27" t="str">
        <f>BASE!A11</f>
        <v>Name of Faculty(s)</v>
      </c>
      <c r="B4" s="6" t="s">
        <v>40</v>
      </c>
      <c r="C4" s="188">
        <f>BASE!D11</f>
        <v>1</v>
      </c>
      <c r="D4" s="189"/>
      <c r="E4" s="189"/>
      <c r="F4" s="190"/>
      <c r="G4" s="188">
        <f>BASE!G11</f>
        <v>1</v>
      </c>
      <c r="H4" s="189"/>
      <c r="I4" s="189"/>
      <c r="J4" s="190"/>
      <c r="K4" s="188">
        <f>BASE!J11</f>
        <v>1</v>
      </c>
      <c r="L4" s="189"/>
      <c r="M4" s="189"/>
      <c r="N4" s="190"/>
      <c r="O4" s="262">
        <f>BASE!M11</f>
        <v>1</v>
      </c>
      <c r="P4" s="189"/>
      <c r="Q4" s="189"/>
      <c r="R4" s="190"/>
      <c r="S4" s="263" t="s">
        <v>41</v>
      </c>
      <c r="T4" s="264"/>
      <c r="U4" s="258" t="str">
        <f>BASE!D12</f>
        <v>22ABXCXX</v>
      </c>
      <c r="V4" s="189"/>
      <c r="W4" s="189"/>
      <c r="X4" s="190"/>
      <c r="Y4" s="28"/>
    </row>
    <row r="5" spans="1:25" ht="39" customHeight="1">
      <c r="A5" s="27" t="str">
        <f>BASE!A12</f>
        <v>Course Code and Name</v>
      </c>
      <c r="B5" s="6" t="s">
        <v>40</v>
      </c>
      <c r="C5" s="188" t="str">
        <f>BASE!D12</f>
        <v>22ABXCXX</v>
      </c>
      <c r="D5" s="189"/>
      <c r="E5" s="189"/>
      <c r="F5" s="190"/>
      <c r="G5" s="188" t="str">
        <f>BASE!G12</f>
        <v>XXXXXXXX XXXXX XXXXXXXX</v>
      </c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90"/>
      <c r="S5" s="268" t="s">
        <v>42</v>
      </c>
      <c r="T5" s="264"/>
      <c r="U5" s="188" t="str">
        <f>BASE!G12</f>
        <v>XXXXXXXX XXXXX XXXXXXXX</v>
      </c>
      <c r="V5" s="189"/>
      <c r="W5" s="189"/>
      <c r="X5" s="190"/>
      <c r="Y5" s="28"/>
    </row>
    <row r="6" spans="1:25" ht="51" customHeight="1">
      <c r="A6" s="27" t="str">
        <f>BASE!A13</f>
        <v>Branch / Year / Semester</v>
      </c>
      <c r="B6" s="6" t="s">
        <v>40</v>
      </c>
      <c r="C6" s="188" t="str">
        <f>+BASE!D13</f>
        <v>abcd</v>
      </c>
      <c r="D6" s="189"/>
      <c r="E6" s="189"/>
      <c r="F6" s="190"/>
      <c r="G6" s="258">
        <f>BASE!H13</f>
        <v>1</v>
      </c>
      <c r="H6" s="190"/>
      <c r="I6" s="258" t="str">
        <f>BASE!L13</f>
        <v>IV</v>
      </c>
      <c r="J6" s="190"/>
      <c r="K6" s="258" t="s">
        <v>43</v>
      </c>
      <c r="L6" s="189"/>
      <c r="M6" s="190"/>
      <c r="N6" s="29" t="s">
        <v>40</v>
      </c>
      <c r="O6" s="269"/>
      <c r="P6" s="192"/>
      <c r="Q6" s="192"/>
      <c r="R6" s="193"/>
      <c r="S6" s="263" t="str">
        <f>BASE!A13</f>
        <v>Branch / Year / Semester</v>
      </c>
      <c r="T6" s="264"/>
      <c r="U6" s="258" t="str">
        <f>BASE!D13</f>
        <v>abcd</v>
      </c>
      <c r="V6" s="190"/>
      <c r="W6" s="6">
        <f>BASE!H13</f>
        <v>1</v>
      </c>
      <c r="X6" s="6" t="str">
        <f>BASE!L13</f>
        <v>IV</v>
      </c>
      <c r="Y6" s="28"/>
    </row>
    <row r="7" spans="1:25" ht="51" customHeight="1">
      <c r="A7" s="27" t="s">
        <v>44</v>
      </c>
      <c r="B7" s="6" t="s">
        <v>40</v>
      </c>
      <c r="C7" s="258" t="s">
        <v>45</v>
      </c>
      <c r="D7" s="189"/>
      <c r="E7" s="189"/>
      <c r="F7" s="190"/>
      <c r="G7" s="270" t="s">
        <v>133</v>
      </c>
      <c r="H7" s="189"/>
      <c r="I7" s="189"/>
      <c r="J7" s="190"/>
      <c r="K7" s="30" t="s">
        <v>40</v>
      </c>
      <c r="L7" s="265">
        <f>ROWS(A12:A480)-COUNTIF(A12:A480,"")</f>
        <v>421</v>
      </c>
      <c r="M7" s="189"/>
      <c r="N7" s="190"/>
      <c r="O7" s="266" t="s">
        <v>46</v>
      </c>
      <c r="P7" s="190"/>
      <c r="Q7" s="30" t="s">
        <v>40</v>
      </c>
      <c r="R7" s="156"/>
      <c r="S7" s="263" t="str">
        <f>A7</f>
        <v xml:space="preserve">Continuous Assessment Test </v>
      </c>
      <c r="T7" s="264"/>
      <c r="U7" s="188" t="str">
        <f>C7</f>
        <v>I</v>
      </c>
      <c r="V7" s="189"/>
      <c r="W7" s="189"/>
      <c r="X7" s="190"/>
      <c r="Y7" s="28"/>
    </row>
    <row r="8" spans="1:25" ht="21" customHeight="1">
      <c r="A8" s="31"/>
      <c r="B8" s="32"/>
      <c r="C8" s="15"/>
      <c r="D8" s="15"/>
      <c r="E8" s="15"/>
      <c r="F8" s="15"/>
      <c r="G8" s="15"/>
      <c r="H8" s="15"/>
      <c r="I8" s="16"/>
      <c r="J8" s="16"/>
      <c r="K8" s="16"/>
      <c r="L8" s="16"/>
      <c r="M8" s="16"/>
      <c r="N8" s="16"/>
      <c r="O8" s="16"/>
      <c r="P8" s="16"/>
      <c r="Q8" s="16"/>
      <c r="R8" s="14"/>
      <c r="S8" s="15"/>
      <c r="T8" s="28"/>
      <c r="U8" s="28"/>
      <c r="V8" s="28"/>
      <c r="W8" s="28"/>
      <c r="X8" s="28"/>
      <c r="Y8" s="28"/>
    </row>
    <row r="9" spans="1:25" ht="22.5" customHeight="1">
      <c r="A9" s="260" t="s">
        <v>47</v>
      </c>
      <c r="B9" s="91" t="s">
        <v>48</v>
      </c>
      <c r="C9" s="89">
        <v>1</v>
      </c>
      <c r="D9" s="89">
        <v>2</v>
      </c>
      <c r="E9" s="89">
        <v>3</v>
      </c>
      <c r="F9" s="89">
        <v>4</v>
      </c>
      <c r="G9" s="89">
        <v>5</v>
      </c>
      <c r="H9" s="89">
        <v>6</v>
      </c>
      <c r="I9" s="89">
        <v>7</v>
      </c>
      <c r="J9" s="89">
        <v>8</v>
      </c>
      <c r="K9" s="89">
        <v>9</v>
      </c>
      <c r="L9" s="89">
        <v>10</v>
      </c>
      <c r="M9" s="89">
        <v>11</v>
      </c>
      <c r="N9" s="89">
        <v>12</v>
      </c>
      <c r="O9" s="89">
        <v>13</v>
      </c>
      <c r="P9" s="89">
        <v>14</v>
      </c>
      <c r="Q9" s="89"/>
      <c r="R9" s="260" t="s">
        <v>49</v>
      </c>
      <c r="S9" s="260" t="s">
        <v>50</v>
      </c>
      <c r="T9" s="91" t="s">
        <v>51</v>
      </c>
      <c r="U9" s="91" t="s">
        <v>52</v>
      </c>
      <c r="V9" s="91" t="s">
        <v>53</v>
      </c>
      <c r="W9" s="91" t="s">
        <v>54</v>
      </c>
      <c r="X9" s="91" t="s">
        <v>55</v>
      </c>
      <c r="Y9" s="28"/>
    </row>
    <row r="10" spans="1:25" ht="40.5" customHeight="1">
      <c r="A10" s="261"/>
      <c r="B10" s="92" t="s">
        <v>56</v>
      </c>
      <c r="C10" s="91">
        <v>2</v>
      </c>
      <c r="D10" s="91">
        <v>2</v>
      </c>
      <c r="E10" s="91">
        <v>2</v>
      </c>
      <c r="F10" s="91">
        <v>2</v>
      </c>
      <c r="G10" s="91">
        <v>2</v>
      </c>
      <c r="H10" s="91">
        <v>2</v>
      </c>
      <c r="I10" s="91">
        <v>2</v>
      </c>
      <c r="J10" s="91">
        <v>2</v>
      </c>
      <c r="K10" s="91">
        <v>2</v>
      </c>
      <c r="L10" s="91">
        <v>2</v>
      </c>
      <c r="M10" s="91">
        <v>10</v>
      </c>
      <c r="N10" s="91">
        <v>10</v>
      </c>
      <c r="O10" s="91">
        <v>10</v>
      </c>
      <c r="P10" s="91">
        <v>10</v>
      </c>
      <c r="Q10" s="91"/>
      <c r="R10" s="261"/>
      <c r="S10" s="261"/>
      <c r="T10" s="89">
        <f>SUMIF($C$11:$Q$11,1,C10:Q10)</f>
        <v>42</v>
      </c>
      <c r="U10" s="89">
        <f>SUMIF($C$11:$Q$11,2,C10:Q10)</f>
        <v>18</v>
      </c>
      <c r="V10" s="89">
        <f>SUMIF($C$11:$Q$11,3,C10:Q10)</f>
        <v>0</v>
      </c>
      <c r="W10" s="89">
        <f>SUMIF($C$11:$Q$11,4,C10:Q10)</f>
        <v>0</v>
      </c>
      <c r="X10" s="89">
        <f>SUMIF($C$11:$Q$11,5,C10:Q10)</f>
        <v>0</v>
      </c>
      <c r="Y10" s="28"/>
    </row>
    <row r="11" spans="1:25" ht="22.5" customHeight="1">
      <c r="A11" s="261"/>
      <c r="B11" s="91" t="s">
        <v>57</v>
      </c>
      <c r="C11" s="153">
        <v>1</v>
      </c>
      <c r="D11" s="153">
        <v>1</v>
      </c>
      <c r="E11" s="153">
        <v>1</v>
      </c>
      <c r="F11" s="153">
        <v>1</v>
      </c>
      <c r="G11" s="153">
        <v>1</v>
      </c>
      <c r="H11" s="153">
        <v>1</v>
      </c>
      <c r="I11" s="153">
        <v>2</v>
      </c>
      <c r="J11" s="153">
        <v>2</v>
      </c>
      <c r="K11" s="153">
        <v>2</v>
      </c>
      <c r="L11" s="153">
        <v>2</v>
      </c>
      <c r="M11" s="153">
        <v>1</v>
      </c>
      <c r="N11" s="153">
        <v>1</v>
      </c>
      <c r="O11" s="153">
        <v>1</v>
      </c>
      <c r="P11" s="153">
        <v>2</v>
      </c>
      <c r="Q11" s="91"/>
      <c r="R11" s="261"/>
      <c r="S11" s="261"/>
      <c r="T11" s="267"/>
      <c r="U11" s="261"/>
      <c r="V11" s="261"/>
      <c r="W11" s="261"/>
      <c r="X11" s="261"/>
      <c r="Y11" s="28"/>
    </row>
    <row r="12" spans="1:25" ht="20.25" customHeight="1">
      <c r="A12" s="88" t="str">
        <f>IF(BASE!B16="","",BASE!B16)</f>
        <v>23XXR001</v>
      </c>
      <c r="B12" s="121" t="s">
        <v>40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89"/>
      <c r="R12" s="91">
        <f t="shared" ref="R12:R252" si="0">SUM(C12:Q12)</f>
        <v>0</v>
      </c>
      <c r="S12" s="91">
        <f>BASE!A16</f>
        <v>1</v>
      </c>
      <c r="T12" s="89">
        <f>SUMIF($C$11:$Q$11,1,C12:Q12)</f>
        <v>0</v>
      </c>
      <c r="U12" s="89">
        <f t="shared" ref="U12:U252" si="1">SUMIF($C$11:$Q$11,2,C12:Q12)</f>
        <v>0</v>
      </c>
      <c r="V12" s="89">
        <f t="shared" ref="V12:V252" si="2">SUMIF($C$11:$Q$11,3,C12:Q12)</f>
        <v>0</v>
      </c>
      <c r="W12" s="89">
        <f t="shared" ref="W12:W252" si="3">SUMIF($C$11:$Q$11,4,C12:Q12)</f>
        <v>0</v>
      </c>
      <c r="X12" s="89">
        <f t="shared" ref="X12:X252" si="4">SUMIF($C$11:$Q$11,5,C12:Q12)</f>
        <v>0</v>
      </c>
      <c r="Y12" s="28"/>
    </row>
    <row r="13" spans="1:25" ht="20.25" customHeight="1">
      <c r="A13" s="88" t="str">
        <f>IF(BASE!B17="","",BASE!B17)</f>
        <v>23XXR002</v>
      </c>
      <c r="B13" s="121" t="s">
        <v>40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89"/>
      <c r="R13" s="91">
        <f t="shared" si="0"/>
        <v>0</v>
      </c>
      <c r="S13" s="91">
        <f>BASE!A17</f>
        <v>2</v>
      </c>
      <c r="T13" s="89">
        <f t="shared" ref="T13:T252" si="5">SUMIF($C$11:$Q$11,1,C13:Q13)</f>
        <v>0</v>
      </c>
      <c r="U13" s="89">
        <f t="shared" si="1"/>
        <v>0</v>
      </c>
      <c r="V13" s="89">
        <f t="shared" si="2"/>
        <v>0</v>
      </c>
      <c r="W13" s="89">
        <f t="shared" si="3"/>
        <v>0</v>
      </c>
      <c r="X13" s="89">
        <f t="shared" si="4"/>
        <v>0</v>
      </c>
      <c r="Y13" s="28"/>
    </row>
    <row r="14" spans="1:25" ht="20.25" customHeight="1">
      <c r="A14" s="88" t="str">
        <f>IF(BASE!B18="","",BASE!B18)</f>
        <v>23XXR003</v>
      </c>
      <c r="B14" s="121" t="s">
        <v>40</v>
      </c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89"/>
      <c r="R14" s="91">
        <f t="shared" si="0"/>
        <v>0</v>
      </c>
      <c r="S14" s="91">
        <f>BASE!A18</f>
        <v>3</v>
      </c>
      <c r="T14" s="89">
        <f t="shared" si="5"/>
        <v>0</v>
      </c>
      <c r="U14" s="89">
        <f t="shared" si="1"/>
        <v>0</v>
      </c>
      <c r="V14" s="89">
        <f t="shared" si="2"/>
        <v>0</v>
      </c>
      <c r="W14" s="89">
        <f t="shared" si="3"/>
        <v>0</v>
      </c>
      <c r="X14" s="89">
        <f t="shared" si="4"/>
        <v>0</v>
      </c>
      <c r="Y14" s="28"/>
    </row>
    <row r="15" spans="1:25" ht="20.25" customHeight="1">
      <c r="A15" s="88" t="str">
        <f>IF(BASE!B19="","",BASE!B19)</f>
        <v>23XXR004</v>
      </c>
      <c r="B15" s="121" t="s">
        <v>40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89"/>
      <c r="R15" s="91">
        <f t="shared" si="0"/>
        <v>0</v>
      </c>
      <c r="S15" s="91">
        <f>BASE!A19</f>
        <v>4</v>
      </c>
      <c r="T15" s="89">
        <f t="shared" si="5"/>
        <v>0</v>
      </c>
      <c r="U15" s="89">
        <f t="shared" si="1"/>
        <v>0</v>
      </c>
      <c r="V15" s="89">
        <f t="shared" si="2"/>
        <v>0</v>
      </c>
      <c r="W15" s="89">
        <f t="shared" si="3"/>
        <v>0</v>
      </c>
      <c r="X15" s="89">
        <f t="shared" si="4"/>
        <v>0</v>
      </c>
      <c r="Y15" s="28"/>
    </row>
    <row r="16" spans="1:25" ht="20.25" customHeight="1">
      <c r="A16" s="88" t="str">
        <f>IF(BASE!B20="","",BASE!B20)</f>
        <v>23XXR005</v>
      </c>
      <c r="B16" s="121" t="s">
        <v>40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89"/>
      <c r="R16" s="91">
        <f t="shared" si="0"/>
        <v>0</v>
      </c>
      <c r="S16" s="91">
        <f>BASE!A20</f>
        <v>5</v>
      </c>
      <c r="T16" s="89">
        <f t="shared" si="5"/>
        <v>0</v>
      </c>
      <c r="U16" s="89">
        <f t="shared" si="1"/>
        <v>0</v>
      </c>
      <c r="V16" s="89">
        <f t="shared" si="2"/>
        <v>0</v>
      </c>
      <c r="W16" s="89">
        <f t="shared" si="3"/>
        <v>0</v>
      </c>
      <c r="X16" s="89">
        <f t="shared" si="4"/>
        <v>0</v>
      </c>
      <c r="Y16" s="28"/>
    </row>
    <row r="17" spans="1:25" ht="20.25" customHeight="1">
      <c r="A17" s="88" t="str">
        <f>IF(BASE!B21="","",BASE!B21)</f>
        <v>23XXR006</v>
      </c>
      <c r="B17" s="121" t="s">
        <v>40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89"/>
      <c r="R17" s="91">
        <f t="shared" si="0"/>
        <v>0</v>
      </c>
      <c r="S17" s="91">
        <f>BASE!A21</f>
        <v>6</v>
      </c>
      <c r="T17" s="89">
        <f t="shared" si="5"/>
        <v>0</v>
      </c>
      <c r="U17" s="89">
        <f t="shared" si="1"/>
        <v>0</v>
      </c>
      <c r="V17" s="89">
        <f t="shared" si="2"/>
        <v>0</v>
      </c>
      <c r="W17" s="89">
        <f t="shared" si="3"/>
        <v>0</v>
      </c>
      <c r="X17" s="89">
        <f t="shared" si="4"/>
        <v>0</v>
      </c>
      <c r="Y17" s="28"/>
    </row>
    <row r="18" spans="1:25" ht="20.25" customHeight="1">
      <c r="A18" s="88" t="str">
        <f>IF(BASE!B22="","",BASE!B22)</f>
        <v>23XXR007</v>
      </c>
      <c r="B18" s="121" t="s">
        <v>40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89"/>
      <c r="R18" s="91">
        <f t="shared" si="0"/>
        <v>0</v>
      </c>
      <c r="S18" s="91">
        <f>BASE!A22</f>
        <v>7</v>
      </c>
      <c r="T18" s="89">
        <f t="shared" si="5"/>
        <v>0</v>
      </c>
      <c r="U18" s="89">
        <f t="shared" si="1"/>
        <v>0</v>
      </c>
      <c r="V18" s="89">
        <f t="shared" si="2"/>
        <v>0</v>
      </c>
      <c r="W18" s="89">
        <f t="shared" si="3"/>
        <v>0</v>
      </c>
      <c r="X18" s="89">
        <f t="shared" si="4"/>
        <v>0</v>
      </c>
      <c r="Y18" s="28"/>
    </row>
    <row r="19" spans="1:25" ht="20.25" customHeight="1">
      <c r="A19" s="88" t="str">
        <f>IF(BASE!B23="","",BASE!B23)</f>
        <v>23XXR008</v>
      </c>
      <c r="B19" s="121" t="s">
        <v>40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89"/>
      <c r="R19" s="91">
        <f t="shared" si="0"/>
        <v>0</v>
      </c>
      <c r="S19" s="91">
        <f>BASE!A23</f>
        <v>8</v>
      </c>
      <c r="T19" s="89">
        <f t="shared" si="5"/>
        <v>0</v>
      </c>
      <c r="U19" s="89">
        <f t="shared" si="1"/>
        <v>0</v>
      </c>
      <c r="V19" s="89">
        <f t="shared" si="2"/>
        <v>0</v>
      </c>
      <c r="W19" s="89">
        <f t="shared" si="3"/>
        <v>0</v>
      </c>
      <c r="X19" s="89">
        <f t="shared" si="4"/>
        <v>0</v>
      </c>
      <c r="Y19" s="28"/>
    </row>
    <row r="20" spans="1:25" ht="20.25" customHeight="1">
      <c r="A20" s="88" t="str">
        <f>IF(BASE!B24="","",BASE!B24)</f>
        <v>23XXR009</v>
      </c>
      <c r="B20" s="121" t="s">
        <v>40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89"/>
      <c r="R20" s="91">
        <f t="shared" si="0"/>
        <v>0</v>
      </c>
      <c r="S20" s="91">
        <f>BASE!A24</f>
        <v>9</v>
      </c>
      <c r="T20" s="89">
        <f t="shared" si="5"/>
        <v>0</v>
      </c>
      <c r="U20" s="89">
        <f t="shared" si="1"/>
        <v>0</v>
      </c>
      <c r="V20" s="89">
        <f t="shared" si="2"/>
        <v>0</v>
      </c>
      <c r="W20" s="89">
        <f t="shared" si="3"/>
        <v>0</v>
      </c>
      <c r="X20" s="89">
        <f t="shared" si="4"/>
        <v>0</v>
      </c>
      <c r="Y20" s="28"/>
    </row>
    <row r="21" spans="1:25" ht="20.25" customHeight="1">
      <c r="A21" s="88" t="str">
        <f>IF(BASE!B25="","",BASE!B25)</f>
        <v>23XXR010</v>
      </c>
      <c r="B21" s="121" t="s">
        <v>40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89"/>
      <c r="R21" s="91">
        <f t="shared" si="0"/>
        <v>0</v>
      </c>
      <c r="S21" s="91">
        <f>BASE!A25</f>
        <v>10</v>
      </c>
      <c r="T21" s="89">
        <f t="shared" si="5"/>
        <v>0</v>
      </c>
      <c r="U21" s="89">
        <f t="shared" si="1"/>
        <v>0</v>
      </c>
      <c r="V21" s="89">
        <f t="shared" si="2"/>
        <v>0</v>
      </c>
      <c r="W21" s="89">
        <f t="shared" si="3"/>
        <v>0</v>
      </c>
      <c r="X21" s="89">
        <f t="shared" si="4"/>
        <v>0</v>
      </c>
      <c r="Y21" s="28"/>
    </row>
    <row r="22" spans="1:25" ht="20.25" customHeight="1">
      <c r="A22" s="88" t="str">
        <f>IF(BASE!B26="","",BASE!B26)</f>
        <v>23XXR011</v>
      </c>
      <c r="B22" s="121" t="s">
        <v>40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89"/>
      <c r="R22" s="91">
        <f t="shared" si="0"/>
        <v>0</v>
      </c>
      <c r="S22" s="91">
        <f>BASE!A26</f>
        <v>11</v>
      </c>
      <c r="T22" s="89">
        <f t="shared" si="5"/>
        <v>0</v>
      </c>
      <c r="U22" s="89">
        <f t="shared" si="1"/>
        <v>0</v>
      </c>
      <c r="V22" s="89">
        <f t="shared" si="2"/>
        <v>0</v>
      </c>
      <c r="W22" s="89">
        <f t="shared" si="3"/>
        <v>0</v>
      </c>
      <c r="X22" s="89">
        <f t="shared" si="4"/>
        <v>0</v>
      </c>
      <c r="Y22" s="28"/>
    </row>
    <row r="23" spans="1:25" ht="20.25" customHeight="1">
      <c r="A23" s="88" t="str">
        <f>IF(BASE!B27="","",BASE!B27)</f>
        <v>23XXR012</v>
      </c>
      <c r="B23" s="121" t="s">
        <v>40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89"/>
      <c r="R23" s="91">
        <f t="shared" si="0"/>
        <v>0</v>
      </c>
      <c r="S23" s="91">
        <f>BASE!A27</f>
        <v>12</v>
      </c>
      <c r="T23" s="89">
        <f t="shared" si="5"/>
        <v>0</v>
      </c>
      <c r="U23" s="89">
        <f t="shared" si="1"/>
        <v>0</v>
      </c>
      <c r="V23" s="89">
        <f t="shared" si="2"/>
        <v>0</v>
      </c>
      <c r="W23" s="89">
        <f t="shared" si="3"/>
        <v>0</v>
      </c>
      <c r="X23" s="89">
        <f t="shared" si="4"/>
        <v>0</v>
      </c>
      <c r="Y23" s="28"/>
    </row>
    <row r="24" spans="1:25" ht="20.25" customHeight="1">
      <c r="A24" s="88" t="str">
        <f>IF(BASE!B28="","",BASE!B28)</f>
        <v>23XXR013</v>
      </c>
      <c r="B24" s="121" t="s">
        <v>40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89"/>
      <c r="R24" s="91">
        <f t="shared" si="0"/>
        <v>0</v>
      </c>
      <c r="S24" s="91">
        <f>BASE!A28</f>
        <v>13</v>
      </c>
      <c r="T24" s="89">
        <f t="shared" si="5"/>
        <v>0</v>
      </c>
      <c r="U24" s="89">
        <f t="shared" si="1"/>
        <v>0</v>
      </c>
      <c r="V24" s="89">
        <f t="shared" si="2"/>
        <v>0</v>
      </c>
      <c r="W24" s="89">
        <f t="shared" si="3"/>
        <v>0</v>
      </c>
      <c r="X24" s="89">
        <f t="shared" si="4"/>
        <v>0</v>
      </c>
      <c r="Y24" s="28"/>
    </row>
    <row r="25" spans="1:25" ht="20.25" customHeight="1">
      <c r="A25" s="88" t="str">
        <f>IF(BASE!B29="","",BASE!B29)</f>
        <v>23XXR014</v>
      </c>
      <c r="B25" s="121" t="s">
        <v>40</v>
      </c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89"/>
      <c r="R25" s="91">
        <f t="shared" si="0"/>
        <v>0</v>
      </c>
      <c r="S25" s="91">
        <f>BASE!A29</f>
        <v>14</v>
      </c>
      <c r="T25" s="89">
        <f t="shared" si="5"/>
        <v>0</v>
      </c>
      <c r="U25" s="89">
        <f t="shared" si="1"/>
        <v>0</v>
      </c>
      <c r="V25" s="89">
        <f t="shared" si="2"/>
        <v>0</v>
      </c>
      <c r="W25" s="89">
        <f t="shared" si="3"/>
        <v>0</v>
      </c>
      <c r="X25" s="89">
        <f t="shared" si="4"/>
        <v>0</v>
      </c>
      <c r="Y25" s="28"/>
    </row>
    <row r="26" spans="1:25" ht="20.25" customHeight="1">
      <c r="A26" s="88" t="str">
        <f>IF(BASE!B30="","",BASE!B30)</f>
        <v>23XXR015</v>
      </c>
      <c r="B26" s="121" t="s">
        <v>40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89"/>
      <c r="R26" s="91">
        <f t="shared" si="0"/>
        <v>0</v>
      </c>
      <c r="S26" s="91">
        <f>BASE!A30</f>
        <v>15</v>
      </c>
      <c r="T26" s="89">
        <f t="shared" si="5"/>
        <v>0</v>
      </c>
      <c r="U26" s="89">
        <f t="shared" si="1"/>
        <v>0</v>
      </c>
      <c r="V26" s="89">
        <f t="shared" si="2"/>
        <v>0</v>
      </c>
      <c r="W26" s="89">
        <f t="shared" si="3"/>
        <v>0</v>
      </c>
      <c r="X26" s="89">
        <f t="shared" si="4"/>
        <v>0</v>
      </c>
      <c r="Y26" s="28"/>
    </row>
    <row r="27" spans="1:25" ht="20.25" customHeight="1">
      <c r="A27" s="88" t="str">
        <f>IF(BASE!B31="","",BASE!B31)</f>
        <v>23XXR016</v>
      </c>
      <c r="B27" s="121" t="s">
        <v>40</v>
      </c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89"/>
      <c r="R27" s="91">
        <f t="shared" si="0"/>
        <v>0</v>
      </c>
      <c r="S27" s="91">
        <f>BASE!A31</f>
        <v>16</v>
      </c>
      <c r="T27" s="89">
        <f t="shared" si="5"/>
        <v>0</v>
      </c>
      <c r="U27" s="89">
        <f t="shared" si="1"/>
        <v>0</v>
      </c>
      <c r="V27" s="89">
        <f t="shared" si="2"/>
        <v>0</v>
      </c>
      <c r="W27" s="89">
        <f t="shared" si="3"/>
        <v>0</v>
      </c>
      <c r="X27" s="89">
        <f t="shared" si="4"/>
        <v>0</v>
      </c>
      <c r="Y27" s="28"/>
    </row>
    <row r="28" spans="1:25" ht="20.25" customHeight="1">
      <c r="A28" s="88" t="str">
        <f>IF(BASE!B32="","",BASE!B32)</f>
        <v>23XXR017</v>
      </c>
      <c r="B28" s="121" t="s">
        <v>40</v>
      </c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89"/>
      <c r="R28" s="91">
        <f t="shared" si="0"/>
        <v>0</v>
      </c>
      <c r="S28" s="91">
        <f>BASE!A32</f>
        <v>17</v>
      </c>
      <c r="T28" s="89">
        <f t="shared" si="5"/>
        <v>0</v>
      </c>
      <c r="U28" s="89">
        <f t="shared" si="1"/>
        <v>0</v>
      </c>
      <c r="V28" s="89">
        <f t="shared" si="2"/>
        <v>0</v>
      </c>
      <c r="W28" s="89">
        <f t="shared" si="3"/>
        <v>0</v>
      </c>
      <c r="X28" s="89">
        <f t="shared" si="4"/>
        <v>0</v>
      </c>
      <c r="Y28" s="28"/>
    </row>
    <row r="29" spans="1:25" ht="20.25" customHeight="1">
      <c r="A29" s="88" t="str">
        <f>IF(BASE!B33="","",BASE!B33)</f>
        <v>23XXR018</v>
      </c>
      <c r="B29" s="121" t="s">
        <v>40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89"/>
      <c r="R29" s="91">
        <f t="shared" si="0"/>
        <v>0</v>
      </c>
      <c r="S29" s="91">
        <f>BASE!A33</f>
        <v>18</v>
      </c>
      <c r="T29" s="89">
        <f t="shared" si="5"/>
        <v>0</v>
      </c>
      <c r="U29" s="89">
        <f t="shared" si="1"/>
        <v>0</v>
      </c>
      <c r="V29" s="89">
        <f t="shared" si="2"/>
        <v>0</v>
      </c>
      <c r="W29" s="89">
        <f t="shared" si="3"/>
        <v>0</v>
      </c>
      <c r="X29" s="89">
        <f t="shared" si="4"/>
        <v>0</v>
      </c>
      <c r="Y29" s="28"/>
    </row>
    <row r="30" spans="1:25" ht="20.25" customHeight="1">
      <c r="A30" s="88" t="str">
        <f>IF(BASE!B34="","",BASE!B34)</f>
        <v>23XXR019</v>
      </c>
      <c r="B30" s="121" t="s">
        <v>40</v>
      </c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89"/>
      <c r="R30" s="91">
        <f t="shared" si="0"/>
        <v>0</v>
      </c>
      <c r="S30" s="91">
        <f>BASE!A34</f>
        <v>19</v>
      </c>
      <c r="T30" s="89">
        <f t="shared" si="5"/>
        <v>0</v>
      </c>
      <c r="U30" s="89">
        <f t="shared" si="1"/>
        <v>0</v>
      </c>
      <c r="V30" s="89">
        <f t="shared" si="2"/>
        <v>0</v>
      </c>
      <c r="W30" s="89">
        <f t="shared" si="3"/>
        <v>0</v>
      </c>
      <c r="X30" s="89">
        <f t="shared" si="4"/>
        <v>0</v>
      </c>
      <c r="Y30" s="28"/>
    </row>
    <row r="31" spans="1:25" ht="20.25" customHeight="1">
      <c r="A31" s="88" t="str">
        <f>IF(BASE!B35="","",BASE!B35)</f>
        <v>23XXR020</v>
      </c>
      <c r="B31" s="121" t="s">
        <v>40</v>
      </c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89"/>
      <c r="R31" s="91">
        <f t="shared" si="0"/>
        <v>0</v>
      </c>
      <c r="S31" s="91">
        <f>BASE!A35</f>
        <v>20</v>
      </c>
      <c r="T31" s="89">
        <f t="shared" si="5"/>
        <v>0</v>
      </c>
      <c r="U31" s="89">
        <f t="shared" si="1"/>
        <v>0</v>
      </c>
      <c r="V31" s="89">
        <f t="shared" si="2"/>
        <v>0</v>
      </c>
      <c r="W31" s="89">
        <f t="shared" si="3"/>
        <v>0</v>
      </c>
      <c r="X31" s="89">
        <f t="shared" si="4"/>
        <v>0</v>
      </c>
      <c r="Y31" s="28"/>
    </row>
    <row r="32" spans="1:25" ht="20.25" customHeight="1">
      <c r="A32" s="88" t="str">
        <f>IF(BASE!B36="","",BASE!B36)</f>
        <v>23XXR021</v>
      </c>
      <c r="B32" s="121" t="s">
        <v>40</v>
      </c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89"/>
      <c r="R32" s="91">
        <f t="shared" si="0"/>
        <v>0</v>
      </c>
      <c r="S32" s="91">
        <f>BASE!A36</f>
        <v>21</v>
      </c>
      <c r="T32" s="89">
        <f t="shared" si="5"/>
        <v>0</v>
      </c>
      <c r="U32" s="89">
        <f t="shared" si="1"/>
        <v>0</v>
      </c>
      <c r="V32" s="89">
        <f t="shared" si="2"/>
        <v>0</v>
      </c>
      <c r="W32" s="89">
        <f t="shared" si="3"/>
        <v>0</v>
      </c>
      <c r="X32" s="89">
        <f t="shared" si="4"/>
        <v>0</v>
      </c>
      <c r="Y32" s="28"/>
    </row>
    <row r="33" spans="1:25" ht="20.25" customHeight="1">
      <c r="A33" s="88" t="str">
        <f>IF(BASE!B37="","",BASE!B37)</f>
        <v>23XXR022</v>
      </c>
      <c r="B33" s="121" t="s">
        <v>40</v>
      </c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89"/>
      <c r="R33" s="91">
        <f t="shared" si="0"/>
        <v>0</v>
      </c>
      <c r="S33" s="91">
        <f>BASE!A37</f>
        <v>22</v>
      </c>
      <c r="T33" s="89">
        <f t="shared" si="5"/>
        <v>0</v>
      </c>
      <c r="U33" s="89">
        <f t="shared" si="1"/>
        <v>0</v>
      </c>
      <c r="V33" s="89">
        <f t="shared" si="2"/>
        <v>0</v>
      </c>
      <c r="W33" s="89">
        <f t="shared" si="3"/>
        <v>0</v>
      </c>
      <c r="X33" s="89">
        <f t="shared" si="4"/>
        <v>0</v>
      </c>
      <c r="Y33" s="28"/>
    </row>
    <row r="34" spans="1:25" ht="20.25" customHeight="1">
      <c r="A34" s="88" t="str">
        <f>IF(BASE!B38="","",BASE!B38)</f>
        <v>23XXR023</v>
      </c>
      <c r="B34" s="121" t="s">
        <v>40</v>
      </c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89"/>
      <c r="R34" s="91">
        <f t="shared" si="0"/>
        <v>0</v>
      </c>
      <c r="S34" s="91">
        <f>BASE!A38</f>
        <v>23</v>
      </c>
      <c r="T34" s="89">
        <f t="shared" si="5"/>
        <v>0</v>
      </c>
      <c r="U34" s="89">
        <f t="shared" si="1"/>
        <v>0</v>
      </c>
      <c r="V34" s="89">
        <f t="shared" si="2"/>
        <v>0</v>
      </c>
      <c r="W34" s="89">
        <f t="shared" si="3"/>
        <v>0</v>
      </c>
      <c r="X34" s="89">
        <f t="shared" si="4"/>
        <v>0</v>
      </c>
      <c r="Y34" s="28"/>
    </row>
    <row r="35" spans="1:25" ht="20.25" customHeight="1">
      <c r="A35" s="88" t="str">
        <f>IF(BASE!B39="","",BASE!B39)</f>
        <v>23XXR024</v>
      </c>
      <c r="B35" s="121" t="s">
        <v>40</v>
      </c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89"/>
      <c r="R35" s="91">
        <f t="shared" si="0"/>
        <v>0</v>
      </c>
      <c r="S35" s="91">
        <f>BASE!A39</f>
        <v>24</v>
      </c>
      <c r="T35" s="89">
        <f t="shared" si="5"/>
        <v>0</v>
      </c>
      <c r="U35" s="89">
        <f t="shared" si="1"/>
        <v>0</v>
      </c>
      <c r="V35" s="89">
        <f t="shared" si="2"/>
        <v>0</v>
      </c>
      <c r="W35" s="89">
        <f t="shared" si="3"/>
        <v>0</v>
      </c>
      <c r="X35" s="89">
        <f t="shared" si="4"/>
        <v>0</v>
      </c>
      <c r="Y35" s="28"/>
    </row>
    <row r="36" spans="1:25" ht="20.25" customHeight="1">
      <c r="A36" s="88" t="str">
        <f>IF(BASE!B40="","",BASE!B40)</f>
        <v>23XXR025</v>
      </c>
      <c r="B36" s="121" t="s">
        <v>40</v>
      </c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89"/>
      <c r="R36" s="91">
        <f t="shared" si="0"/>
        <v>0</v>
      </c>
      <c r="S36" s="91">
        <f>BASE!A40</f>
        <v>25</v>
      </c>
      <c r="T36" s="89">
        <f t="shared" si="5"/>
        <v>0</v>
      </c>
      <c r="U36" s="89">
        <f t="shared" si="1"/>
        <v>0</v>
      </c>
      <c r="V36" s="89">
        <f t="shared" si="2"/>
        <v>0</v>
      </c>
      <c r="W36" s="89">
        <f t="shared" si="3"/>
        <v>0</v>
      </c>
      <c r="X36" s="89">
        <f t="shared" si="4"/>
        <v>0</v>
      </c>
      <c r="Y36" s="28"/>
    </row>
    <row r="37" spans="1:25" ht="20.25" customHeight="1">
      <c r="A37" s="88" t="str">
        <f>IF(BASE!B41="","",BASE!B41)</f>
        <v>23XXR026</v>
      </c>
      <c r="B37" s="121" t="s">
        <v>40</v>
      </c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89"/>
      <c r="R37" s="91">
        <f t="shared" si="0"/>
        <v>0</v>
      </c>
      <c r="S37" s="91">
        <f>BASE!A41</f>
        <v>26</v>
      </c>
      <c r="T37" s="89">
        <f t="shared" si="5"/>
        <v>0</v>
      </c>
      <c r="U37" s="89">
        <f t="shared" si="1"/>
        <v>0</v>
      </c>
      <c r="V37" s="89">
        <f t="shared" si="2"/>
        <v>0</v>
      </c>
      <c r="W37" s="89">
        <f t="shared" si="3"/>
        <v>0</v>
      </c>
      <c r="X37" s="89">
        <f t="shared" si="4"/>
        <v>0</v>
      </c>
      <c r="Y37" s="28"/>
    </row>
    <row r="38" spans="1:25" ht="20.25" customHeight="1">
      <c r="A38" s="88" t="str">
        <f>IF(BASE!B42="","",BASE!B42)</f>
        <v>23XXR027</v>
      </c>
      <c r="B38" s="121" t="s">
        <v>40</v>
      </c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89"/>
      <c r="R38" s="91">
        <f t="shared" si="0"/>
        <v>0</v>
      </c>
      <c r="S38" s="91">
        <f>BASE!A42</f>
        <v>27</v>
      </c>
      <c r="T38" s="89">
        <f t="shared" si="5"/>
        <v>0</v>
      </c>
      <c r="U38" s="89">
        <f t="shared" si="1"/>
        <v>0</v>
      </c>
      <c r="V38" s="89">
        <f t="shared" si="2"/>
        <v>0</v>
      </c>
      <c r="W38" s="89">
        <f t="shared" si="3"/>
        <v>0</v>
      </c>
      <c r="X38" s="89">
        <f t="shared" si="4"/>
        <v>0</v>
      </c>
      <c r="Y38" s="28"/>
    </row>
    <row r="39" spans="1:25" ht="20.25" customHeight="1">
      <c r="A39" s="88" t="str">
        <f>IF(BASE!B43="","",BASE!B43)</f>
        <v>23XXR028</v>
      </c>
      <c r="B39" s="121" t="s">
        <v>40</v>
      </c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89"/>
      <c r="R39" s="91">
        <f t="shared" si="0"/>
        <v>0</v>
      </c>
      <c r="S39" s="91">
        <f>BASE!A43</f>
        <v>28</v>
      </c>
      <c r="T39" s="89">
        <f t="shared" si="5"/>
        <v>0</v>
      </c>
      <c r="U39" s="89">
        <f t="shared" si="1"/>
        <v>0</v>
      </c>
      <c r="V39" s="89">
        <f t="shared" si="2"/>
        <v>0</v>
      </c>
      <c r="W39" s="89">
        <f t="shared" si="3"/>
        <v>0</v>
      </c>
      <c r="X39" s="89">
        <f t="shared" si="4"/>
        <v>0</v>
      </c>
      <c r="Y39" s="28"/>
    </row>
    <row r="40" spans="1:25" ht="20.25" customHeight="1">
      <c r="A40" s="88" t="str">
        <f>IF(BASE!B44="","",BASE!B44)</f>
        <v>23XXR029</v>
      </c>
      <c r="B40" s="121" t="s">
        <v>40</v>
      </c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89"/>
      <c r="R40" s="91">
        <f t="shared" si="0"/>
        <v>0</v>
      </c>
      <c r="S40" s="91">
        <f>BASE!A44</f>
        <v>29</v>
      </c>
      <c r="T40" s="89">
        <f t="shared" si="5"/>
        <v>0</v>
      </c>
      <c r="U40" s="89">
        <f t="shared" si="1"/>
        <v>0</v>
      </c>
      <c r="V40" s="89">
        <f t="shared" si="2"/>
        <v>0</v>
      </c>
      <c r="W40" s="89">
        <f t="shared" si="3"/>
        <v>0</v>
      </c>
      <c r="X40" s="89">
        <f t="shared" si="4"/>
        <v>0</v>
      </c>
      <c r="Y40" s="28"/>
    </row>
    <row r="41" spans="1:25" ht="20.25" customHeight="1">
      <c r="A41" s="88" t="str">
        <f>IF(BASE!B45="","",BASE!B45)</f>
        <v>23XXR030</v>
      </c>
      <c r="B41" s="121" t="s">
        <v>40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89"/>
      <c r="R41" s="91">
        <f t="shared" si="0"/>
        <v>0</v>
      </c>
      <c r="S41" s="91">
        <f>BASE!A45</f>
        <v>30</v>
      </c>
      <c r="T41" s="89">
        <f t="shared" si="5"/>
        <v>0</v>
      </c>
      <c r="U41" s="89">
        <f t="shared" si="1"/>
        <v>0</v>
      </c>
      <c r="V41" s="89">
        <f t="shared" si="2"/>
        <v>0</v>
      </c>
      <c r="W41" s="89">
        <f t="shared" si="3"/>
        <v>0</v>
      </c>
      <c r="X41" s="89">
        <f t="shared" si="4"/>
        <v>0</v>
      </c>
      <c r="Y41" s="28"/>
    </row>
    <row r="42" spans="1:25" ht="20.25" customHeight="1">
      <c r="A42" s="88" t="str">
        <f>IF(BASE!B46="","",BASE!B46)</f>
        <v>23XXR031</v>
      </c>
      <c r="B42" s="121" t="s">
        <v>40</v>
      </c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89"/>
      <c r="R42" s="91">
        <f t="shared" si="0"/>
        <v>0</v>
      </c>
      <c r="S42" s="91">
        <f>BASE!A46</f>
        <v>31</v>
      </c>
      <c r="T42" s="89">
        <f t="shared" si="5"/>
        <v>0</v>
      </c>
      <c r="U42" s="89">
        <f t="shared" si="1"/>
        <v>0</v>
      </c>
      <c r="V42" s="89">
        <f t="shared" si="2"/>
        <v>0</v>
      </c>
      <c r="W42" s="89">
        <f t="shared" si="3"/>
        <v>0</v>
      </c>
      <c r="X42" s="89">
        <f t="shared" si="4"/>
        <v>0</v>
      </c>
      <c r="Y42" s="28"/>
    </row>
    <row r="43" spans="1:25" ht="20.25" customHeight="1">
      <c r="A43" s="88" t="str">
        <f>IF(BASE!B47="","",BASE!B47)</f>
        <v>23XXR032</v>
      </c>
      <c r="B43" s="121" t="s">
        <v>40</v>
      </c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89"/>
      <c r="R43" s="91">
        <f t="shared" si="0"/>
        <v>0</v>
      </c>
      <c r="S43" s="91">
        <f>BASE!A47</f>
        <v>32</v>
      </c>
      <c r="T43" s="89">
        <f t="shared" si="5"/>
        <v>0</v>
      </c>
      <c r="U43" s="89">
        <f t="shared" si="1"/>
        <v>0</v>
      </c>
      <c r="V43" s="89">
        <f t="shared" si="2"/>
        <v>0</v>
      </c>
      <c r="W43" s="89">
        <f t="shared" si="3"/>
        <v>0</v>
      </c>
      <c r="X43" s="89">
        <f t="shared" si="4"/>
        <v>0</v>
      </c>
      <c r="Y43" s="28"/>
    </row>
    <row r="44" spans="1:25" ht="20.25" customHeight="1">
      <c r="A44" s="88" t="str">
        <f>IF(BASE!B48="","",BASE!B48)</f>
        <v>23XXR033</v>
      </c>
      <c r="B44" s="121" t="s">
        <v>40</v>
      </c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89"/>
      <c r="R44" s="91">
        <f t="shared" si="0"/>
        <v>0</v>
      </c>
      <c r="S44" s="91">
        <f>BASE!A48</f>
        <v>33</v>
      </c>
      <c r="T44" s="89">
        <f t="shared" si="5"/>
        <v>0</v>
      </c>
      <c r="U44" s="89">
        <f t="shared" si="1"/>
        <v>0</v>
      </c>
      <c r="V44" s="89">
        <f t="shared" si="2"/>
        <v>0</v>
      </c>
      <c r="W44" s="89">
        <f t="shared" si="3"/>
        <v>0</v>
      </c>
      <c r="X44" s="89">
        <f t="shared" si="4"/>
        <v>0</v>
      </c>
      <c r="Y44" s="28"/>
    </row>
    <row r="45" spans="1:25" ht="20.25" customHeight="1">
      <c r="A45" s="88" t="str">
        <f>IF(BASE!B49="","",BASE!B49)</f>
        <v>23XXR034</v>
      </c>
      <c r="B45" s="121" t="s">
        <v>40</v>
      </c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89"/>
      <c r="R45" s="91">
        <f t="shared" si="0"/>
        <v>0</v>
      </c>
      <c r="S45" s="91">
        <f>BASE!A49</f>
        <v>34</v>
      </c>
      <c r="T45" s="89">
        <f t="shared" si="5"/>
        <v>0</v>
      </c>
      <c r="U45" s="89">
        <f t="shared" si="1"/>
        <v>0</v>
      </c>
      <c r="V45" s="89">
        <f t="shared" si="2"/>
        <v>0</v>
      </c>
      <c r="W45" s="89">
        <f t="shared" si="3"/>
        <v>0</v>
      </c>
      <c r="X45" s="89">
        <f t="shared" si="4"/>
        <v>0</v>
      </c>
      <c r="Y45" s="28"/>
    </row>
    <row r="46" spans="1:25" ht="20.25" customHeight="1">
      <c r="A46" s="88" t="str">
        <f>IF(BASE!B50="","",BASE!B50)</f>
        <v>23XXR035</v>
      </c>
      <c r="B46" s="121" t="s">
        <v>40</v>
      </c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89"/>
      <c r="R46" s="91">
        <f t="shared" si="0"/>
        <v>0</v>
      </c>
      <c r="S46" s="91">
        <f>BASE!A50</f>
        <v>35</v>
      </c>
      <c r="T46" s="89">
        <f t="shared" si="5"/>
        <v>0</v>
      </c>
      <c r="U46" s="89">
        <f t="shared" si="1"/>
        <v>0</v>
      </c>
      <c r="V46" s="89">
        <f t="shared" si="2"/>
        <v>0</v>
      </c>
      <c r="W46" s="89">
        <f t="shared" si="3"/>
        <v>0</v>
      </c>
      <c r="X46" s="89">
        <f t="shared" si="4"/>
        <v>0</v>
      </c>
      <c r="Y46" s="28"/>
    </row>
    <row r="47" spans="1:25" ht="20.25" customHeight="1">
      <c r="A47" s="88" t="str">
        <f>IF(BASE!B51="","",BASE!B51)</f>
        <v>23XXR036</v>
      </c>
      <c r="B47" s="121" t="s">
        <v>40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89"/>
      <c r="R47" s="91">
        <f t="shared" si="0"/>
        <v>0</v>
      </c>
      <c r="S47" s="91">
        <f>BASE!A51</f>
        <v>36</v>
      </c>
      <c r="T47" s="89">
        <f t="shared" si="5"/>
        <v>0</v>
      </c>
      <c r="U47" s="89">
        <f t="shared" si="1"/>
        <v>0</v>
      </c>
      <c r="V47" s="89">
        <f t="shared" si="2"/>
        <v>0</v>
      </c>
      <c r="W47" s="89">
        <f t="shared" si="3"/>
        <v>0</v>
      </c>
      <c r="X47" s="89">
        <f t="shared" si="4"/>
        <v>0</v>
      </c>
      <c r="Y47" s="28"/>
    </row>
    <row r="48" spans="1:25" ht="20.25" customHeight="1">
      <c r="A48" s="88" t="str">
        <f>IF(BASE!B52="","",BASE!B52)</f>
        <v>23XXR037</v>
      </c>
      <c r="B48" s="121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89"/>
      <c r="R48" s="91">
        <f t="shared" si="0"/>
        <v>0</v>
      </c>
      <c r="S48" s="91">
        <f>BASE!A52</f>
        <v>37</v>
      </c>
      <c r="T48" s="89">
        <f t="shared" si="5"/>
        <v>0</v>
      </c>
      <c r="U48" s="89">
        <f t="shared" si="1"/>
        <v>0</v>
      </c>
      <c r="V48" s="89">
        <f t="shared" si="2"/>
        <v>0</v>
      </c>
      <c r="W48" s="89">
        <f t="shared" si="3"/>
        <v>0</v>
      </c>
      <c r="X48" s="89">
        <f t="shared" si="4"/>
        <v>0</v>
      </c>
      <c r="Y48" s="28"/>
    </row>
    <row r="49" spans="1:25" ht="20.25" customHeight="1">
      <c r="A49" s="88" t="str">
        <f>IF(BASE!B53="","",BASE!B53)</f>
        <v>23XXR038</v>
      </c>
      <c r="B49" s="121" t="s">
        <v>40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89"/>
      <c r="R49" s="91">
        <f t="shared" si="0"/>
        <v>0</v>
      </c>
      <c r="S49" s="91">
        <f>BASE!A53</f>
        <v>38</v>
      </c>
      <c r="T49" s="89">
        <f t="shared" si="5"/>
        <v>0</v>
      </c>
      <c r="U49" s="89">
        <f t="shared" si="1"/>
        <v>0</v>
      </c>
      <c r="V49" s="89">
        <f t="shared" si="2"/>
        <v>0</v>
      </c>
      <c r="W49" s="89">
        <f t="shared" si="3"/>
        <v>0</v>
      </c>
      <c r="X49" s="89">
        <f t="shared" si="4"/>
        <v>0</v>
      </c>
      <c r="Y49" s="28"/>
    </row>
    <row r="50" spans="1:25" ht="20.25" customHeight="1">
      <c r="A50" s="88" t="str">
        <f>IF(BASE!B54="","",BASE!B54)</f>
        <v>23XXR039</v>
      </c>
      <c r="B50" s="121" t="s">
        <v>40</v>
      </c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89"/>
      <c r="R50" s="91">
        <f t="shared" si="0"/>
        <v>0</v>
      </c>
      <c r="S50" s="91">
        <f>BASE!A54</f>
        <v>39</v>
      </c>
      <c r="T50" s="89">
        <f t="shared" si="5"/>
        <v>0</v>
      </c>
      <c r="U50" s="89">
        <f t="shared" si="1"/>
        <v>0</v>
      </c>
      <c r="V50" s="89">
        <f t="shared" si="2"/>
        <v>0</v>
      </c>
      <c r="W50" s="89">
        <f t="shared" si="3"/>
        <v>0</v>
      </c>
      <c r="X50" s="89">
        <f t="shared" si="4"/>
        <v>0</v>
      </c>
      <c r="Y50" s="28"/>
    </row>
    <row r="51" spans="1:25" ht="20.25" customHeight="1">
      <c r="A51" s="88" t="str">
        <f>IF(BASE!B55="","",BASE!B55)</f>
        <v>23XXR040</v>
      </c>
      <c r="B51" s="121" t="s">
        <v>40</v>
      </c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89"/>
      <c r="R51" s="91">
        <f t="shared" si="0"/>
        <v>0</v>
      </c>
      <c r="S51" s="91">
        <f>BASE!A55</f>
        <v>40</v>
      </c>
      <c r="T51" s="89">
        <f t="shared" si="5"/>
        <v>0</v>
      </c>
      <c r="U51" s="89">
        <f t="shared" si="1"/>
        <v>0</v>
      </c>
      <c r="V51" s="89">
        <f t="shared" si="2"/>
        <v>0</v>
      </c>
      <c r="W51" s="89">
        <f t="shared" si="3"/>
        <v>0</v>
      </c>
      <c r="X51" s="89">
        <f t="shared" si="4"/>
        <v>0</v>
      </c>
      <c r="Y51" s="28"/>
    </row>
    <row r="52" spans="1:25" ht="20.25" customHeight="1">
      <c r="A52" s="88" t="str">
        <f>IF(BASE!B56="","",BASE!B56)</f>
        <v>23XXR041</v>
      </c>
      <c r="B52" s="121" t="s">
        <v>40</v>
      </c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89"/>
      <c r="R52" s="91">
        <f t="shared" si="0"/>
        <v>0</v>
      </c>
      <c r="S52" s="91">
        <f>BASE!A56</f>
        <v>41</v>
      </c>
      <c r="T52" s="89">
        <f t="shared" si="5"/>
        <v>0</v>
      </c>
      <c r="U52" s="89">
        <f t="shared" si="1"/>
        <v>0</v>
      </c>
      <c r="V52" s="89">
        <f t="shared" si="2"/>
        <v>0</v>
      </c>
      <c r="W52" s="89">
        <f t="shared" si="3"/>
        <v>0</v>
      </c>
      <c r="X52" s="89">
        <f t="shared" si="4"/>
        <v>0</v>
      </c>
      <c r="Y52" s="28"/>
    </row>
    <row r="53" spans="1:25" ht="20.25" customHeight="1">
      <c r="A53" s="88" t="str">
        <f>IF(BASE!B57="","",BASE!B57)</f>
        <v>23XXR042</v>
      </c>
      <c r="B53" s="121" t="s">
        <v>40</v>
      </c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89"/>
      <c r="R53" s="91">
        <f t="shared" si="0"/>
        <v>0</v>
      </c>
      <c r="S53" s="91">
        <f>BASE!A57</f>
        <v>42</v>
      </c>
      <c r="T53" s="89">
        <f t="shared" si="5"/>
        <v>0</v>
      </c>
      <c r="U53" s="89">
        <f t="shared" si="1"/>
        <v>0</v>
      </c>
      <c r="V53" s="89">
        <f t="shared" si="2"/>
        <v>0</v>
      </c>
      <c r="W53" s="89">
        <f t="shared" si="3"/>
        <v>0</v>
      </c>
      <c r="X53" s="89">
        <f t="shared" si="4"/>
        <v>0</v>
      </c>
      <c r="Y53" s="28"/>
    </row>
    <row r="54" spans="1:25" ht="20.25" customHeight="1">
      <c r="A54" s="88" t="str">
        <f>IF(BASE!B58="","",BASE!B58)</f>
        <v>23XXR043</v>
      </c>
      <c r="B54" s="121" t="s">
        <v>40</v>
      </c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89"/>
      <c r="R54" s="91">
        <f t="shared" si="0"/>
        <v>0</v>
      </c>
      <c r="S54" s="91">
        <f>BASE!A58</f>
        <v>43</v>
      </c>
      <c r="T54" s="89">
        <f t="shared" si="5"/>
        <v>0</v>
      </c>
      <c r="U54" s="89">
        <f t="shared" si="1"/>
        <v>0</v>
      </c>
      <c r="V54" s="89">
        <f t="shared" si="2"/>
        <v>0</v>
      </c>
      <c r="W54" s="89">
        <f t="shared" si="3"/>
        <v>0</v>
      </c>
      <c r="X54" s="89">
        <f t="shared" si="4"/>
        <v>0</v>
      </c>
      <c r="Y54" s="28"/>
    </row>
    <row r="55" spans="1:25" ht="20.25" customHeight="1">
      <c r="A55" s="88" t="str">
        <f>IF(BASE!B59="","",BASE!B59)</f>
        <v>23XXR044</v>
      </c>
      <c r="B55" s="121" t="s">
        <v>40</v>
      </c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89"/>
      <c r="R55" s="91">
        <f t="shared" si="0"/>
        <v>0</v>
      </c>
      <c r="S55" s="91">
        <f>BASE!A59</f>
        <v>44</v>
      </c>
      <c r="T55" s="89">
        <f t="shared" si="5"/>
        <v>0</v>
      </c>
      <c r="U55" s="89">
        <f t="shared" si="1"/>
        <v>0</v>
      </c>
      <c r="V55" s="89">
        <f t="shared" si="2"/>
        <v>0</v>
      </c>
      <c r="W55" s="89">
        <f t="shared" si="3"/>
        <v>0</v>
      </c>
      <c r="X55" s="89">
        <f t="shared" si="4"/>
        <v>0</v>
      </c>
      <c r="Y55" s="28"/>
    </row>
    <row r="56" spans="1:25" ht="20.25" customHeight="1">
      <c r="A56" s="88" t="str">
        <f>IF(BASE!B60="","",BASE!B60)</f>
        <v>23XXR045</v>
      </c>
      <c r="B56" s="121" t="s">
        <v>40</v>
      </c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89"/>
      <c r="R56" s="91">
        <f t="shared" si="0"/>
        <v>0</v>
      </c>
      <c r="S56" s="91">
        <f>BASE!A60</f>
        <v>45</v>
      </c>
      <c r="T56" s="89">
        <f t="shared" si="5"/>
        <v>0</v>
      </c>
      <c r="U56" s="89">
        <f t="shared" si="1"/>
        <v>0</v>
      </c>
      <c r="V56" s="89">
        <f t="shared" si="2"/>
        <v>0</v>
      </c>
      <c r="W56" s="89">
        <f t="shared" si="3"/>
        <v>0</v>
      </c>
      <c r="X56" s="89">
        <f t="shared" si="4"/>
        <v>0</v>
      </c>
      <c r="Y56" s="28"/>
    </row>
    <row r="57" spans="1:25" ht="20.25" customHeight="1">
      <c r="A57" s="88" t="str">
        <f>IF(BASE!B61="","",BASE!B61)</f>
        <v>23XXR046</v>
      </c>
      <c r="B57" s="121" t="s">
        <v>40</v>
      </c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89"/>
      <c r="R57" s="91">
        <f t="shared" si="0"/>
        <v>0</v>
      </c>
      <c r="S57" s="91">
        <f>BASE!A61</f>
        <v>46</v>
      </c>
      <c r="T57" s="89">
        <f t="shared" si="5"/>
        <v>0</v>
      </c>
      <c r="U57" s="89">
        <f t="shared" si="1"/>
        <v>0</v>
      </c>
      <c r="V57" s="89">
        <f t="shared" si="2"/>
        <v>0</v>
      </c>
      <c r="W57" s="89">
        <f t="shared" si="3"/>
        <v>0</v>
      </c>
      <c r="X57" s="89">
        <f t="shared" si="4"/>
        <v>0</v>
      </c>
      <c r="Y57" s="28"/>
    </row>
    <row r="58" spans="1:25" ht="20.25" customHeight="1">
      <c r="A58" s="88" t="str">
        <f>IF(BASE!B62="","",BASE!B62)</f>
        <v>23XXR047</v>
      </c>
      <c r="B58" s="121" t="s">
        <v>40</v>
      </c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89"/>
      <c r="R58" s="91">
        <f t="shared" si="0"/>
        <v>0</v>
      </c>
      <c r="S58" s="91">
        <f>BASE!A62</f>
        <v>47</v>
      </c>
      <c r="T58" s="89">
        <f t="shared" si="5"/>
        <v>0</v>
      </c>
      <c r="U58" s="89">
        <f t="shared" si="1"/>
        <v>0</v>
      </c>
      <c r="V58" s="89">
        <f t="shared" si="2"/>
        <v>0</v>
      </c>
      <c r="W58" s="89">
        <f t="shared" si="3"/>
        <v>0</v>
      </c>
      <c r="X58" s="89">
        <f t="shared" si="4"/>
        <v>0</v>
      </c>
      <c r="Y58" s="28"/>
    </row>
    <row r="59" spans="1:25" ht="20.25" customHeight="1">
      <c r="A59" s="88" t="str">
        <f>IF(BASE!B63="","",BASE!B63)</f>
        <v>23XXR048</v>
      </c>
      <c r="B59" s="121" t="s">
        <v>40</v>
      </c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89"/>
      <c r="R59" s="91">
        <f t="shared" si="0"/>
        <v>0</v>
      </c>
      <c r="S59" s="91">
        <f>BASE!A63</f>
        <v>48</v>
      </c>
      <c r="T59" s="89">
        <f t="shared" si="5"/>
        <v>0</v>
      </c>
      <c r="U59" s="89">
        <f t="shared" si="1"/>
        <v>0</v>
      </c>
      <c r="V59" s="89">
        <f t="shared" si="2"/>
        <v>0</v>
      </c>
      <c r="W59" s="89">
        <f t="shared" si="3"/>
        <v>0</v>
      </c>
      <c r="X59" s="89">
        <f t="shared" si="4"/>
        <v>0</v>
      </c>
      <c r="Y59" s="28"/>
    </row>
    <row r="60" spans="1:25" ht="20.25" customHeight="1">
      <c r="A60" s="88" t="str">
        <f>IF(BASE!B64="","",BASE!B64)</f>
        <v>23XXR049</v>
      </c>
      <c r="B60" s="121" t="s">
        <v>40</v>
      </c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89"/>
      <c r="R60" s="91">
        <f t="shared" si="0"/>
        <v>0</v>
      </c>
      <c r="S60" s="91">
        <f>BASE!A64</f>
        <v>49</v>
      </c>
      <c r="T60" s="89">
        <f t="shared" si="5"/>
        <v>0</v>
      </c>
      <c r="U60" s="89">
        <f t="shared" si="1"/>
        <v>0</v>
      </c>
      <c r="V60" s="89">
        <f t="shared" si="2"/>
        <v>0</v>
      </c>
      <c r="W60" s="89">
        <f t="shared" si="3"/>
        <v>0</v>
      </c>
      <c r="X60" s="89">
        <f t="shared" si="4"/>
        <v>0</v>
      </c>
      <c r="Y60" s="28"/>
    </row>
    <row r="61" spans="1:25" ht="20.25" customHeight="1">
      <c r="A61" s="88" t="str">
        <f>IF(BASE!B65="","",BASE!B65)</f>
        <v>23XXR050</v>
      </c>
      <c r="B61" s="121" t="s">
        <v>40</v>
      </c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89"/>
      <c r="R61" s="91">
        <f t="shared" si="0"/>
        <v>0</v>
      </c>
      <c r="S61" s="91">
        <f>BASE!A65</f>
        <v>50</v>
      </c>
      <c r="T61" s="89">
        <f t="shared" si="5"/>
        <v>0</v>
      </c>
      <c r="U61" s="89">
        <f t="shared" si="1"/>
        <v>0</v>
      </c>
      <c r="V61" s="89">
        <f t="shared" si="2"/>
        <v>0</v>
      </c>
      <c r="W61" s="89">
        <f t="shared" si="3"/>
        <v>0</v>
      </c>
      <c r="X61" s="89">
        <f t="shared" si="4"/>
        <v>0</v>
      </c>
      <c r="Y61" s="28"/>
    </row>
    <row r="62" spans="1:25" ht="20.25" customHeight="1">
      <c r="A62" s="88" t="str">
        <f>IF(BASE!B66="","",BASE!B66)</f>
        <v>23XXR051</v>
      </c>
      <c r="B62" s="121" t="s">
        <v>40</v>
      </c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89"/>
      <c r="R62" s="91">
        <f t="shared" si="0"/>
        <v>0</v>
      </c>
      <c r="S62" s="91">
        <f>BASE!A66</f>
        <v>51</v>
      </c>
      <c r="T62" s="89">
        <f t="shared" si="5"/>
        <v>0</v>
      </c>
      <c r="U62" s="89">
        <f t="shared" si="1"/>
        <v>0</v>
      </c>
      <c r="V62" s="89">
        <f t="shared" si="2"/>
        <v>0</v>
      </c>
      <c r="W62" s="89">
        <f t="shared" si="3"/>
        <v>0</v>
      </c>
      <c r="X62" s="89">
        <f t="shared" si="4"/>
        <v>0</v>
      </c>
      <c r="Y62" s="28"/>
    </row>
    <row r="63" spans="1:25" ht="20.25" customHeight="1">
      <c r="A63" s="88" t="str">
        <f>IF(BASE!B67="","",BASE!B67)</f>
        <v>23XXR052</v>
      </c>
      <c r="B63" s="121" t="s">
        <v>40</v>
      </c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89"/>
      <c r="R63" s="91">
        <f t="shared" si="0"/>
        <v>0</v>
      </c>
      <c r="S63" s="91">
        <f>BASE!A67</f>
        <v>52</v>
      </c>
      <c r="T63" s="89">
        <f t="shared" si="5"/>
        <v>0</v>
      </c>
      <c r="U63" s="89">
        <f t="shared" si="1"/>
        <v>0</v>
      </c>
      <c r="V63" s="89">
        <f t="shared" si="2"/>
        <v>0</v>
      </c>
      <c r="W63" s="89">
        <f t="shared" si="3"/>
        <v>0</v>
      </c>
      <c r="X63" s="89">
        <f t="shared" si="4"/>
        <v>0</v>
      </c>
      <c r="Y63" s="28"/>
    </row>
    <row r="64" spans="1:25" ht="20.25" customHeight="1">
      <c r="A64" s="88" t="str">
        <f>IF(BASE!B68="","",BASE!B68)</f>
        <v>23XXR053</v>
      </c>
      <c r="B64" s="121" t="s">
        <v>40</v>
      </c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89"/>
      <c r="R64" s="91">
        <f t="shared" si="0"/>
        <v>0</v>
      </c>
      <c r="S64" s="91">
        <f>BASE!A68</f>
        <v>53</v>
      </c>
      <c r="T64" s="89">
        <f t="shared" si="5"/>
        <v>0</v>
      </c>
      <c r="U64" s="89">
        <f t="shared" si="1"/>
        <v>0</v>
      </c>
      <c r="V64" s="89">
        <f t="shared" si="2"/>
        <v>0</v>
      </c>
      <c r="W64" s="89">
        <f t="shared" si="3"/>
        <v>0</v>
      </c>
      <c r="X64" s="89">
        <f t="shared" si="4"/>
        <v>0</v>
      </c>
      <c r="Y64" s="28"/>
    </row>
    <row r="65" spans="1:25" ht="20.25" customHeight="1">
      <c r="A65" s="88" t="str">
        <f>IF(BASE!B69="","",BASE!B69)</f>
        <v>23XXR054</v>
      </c>
      <c r="B65" s="121" t="s">
        <v>40</v>
      </c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89"/>
      <c r="R65" s="91">
        <f t="shared" si="0"/>
        <v>0</v>
      </c>
      <c r="S65" s="91">
        <f>BASE!A69</f>
        <v>54</v>
      </c>
      <c r="T65" s="89">
        <f t="shared" si="5"/>
        <v>0</v>
      </c>
      <c r="U65" s="89">
        <f t="shared" si="1"/>
        <v>0</v>
      </c>
      <c r="V65" s="89">
        <f t="shared" si="2"/>
        <v>0</v>
      </c>
      <c r="W65" s="89">
        <f t="shared" si="3"/>
        <v>0</v>
      </c>
      <c r="X65" s="89">
        <f t="shared" si="4"/>
        <v>0</v>
      </c>
      <c r="Y65" s="28"/>
    </row>
    <row r="66" spans="1:25" ht="20.25" customHeight="1">
      <c r="A66" s="88" t="str">
        <f>IF(BASE!B70="","",BASE!B70)</f>
        <v>23XXR055</v>
      </c>
      <c r="B66" s="121" t="s">
        <v>40</v>
      </c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89"/>
      <c r="R66" s="91">
        <f t="shared" si="0"/>
        <v>0</v>
      </c>
      <c r="S66" s="91">
        <f>BASE!A70</f>
        <v>55</v>
      </c>
      <c r="T66" s="89">
        <f t="shared" si="5"/>
        <v>0</v>
      </c>
      <c r="U66" s="89">
        <f t="shared" si="1"/>
        <v>0</v>
      </c>
      <c r="V66" s="89">
        <f t="shared" si="2"/>
        <v>0</v>
      </c>
      <c r="W66" s="89">
        <f t="shared" si="3"/>
        <v>0</v>
      </c>
      <c r="X66" s="89">
        <f t="shared" si="4"/>
        <v>0</v>
      </c>
      <c r="Y66" s="28"/>
    </row>
    <row r="67" spans="1:25" ht="20.25" customHeight="1">
      <c r="A67" s="88" t="str">
        <f>IF(BASE!B71="","",BASE!B71)</f>
        <v>23XXR056</v>
      </c>
      <c r="B67" s="121" t="s">
        <v>40</v>
      </c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89"/>
      <c r="R67" s="91">
        <f t="shared" si="0"/>
        <v>0</v>
      </c>
      <c r="S67" s="91">
        <f>BASE!A71</f>
        <v>56</v>
      </c>
      <c r="T67" s="89">
        <f t="shared" si="5"/>
        <v>0</v>
      </c>
      <c r="U67" s="89">
        <f t="shared" si="1"/>
        <v>0</v>
      </c>
      <c r="V67" s="89">
        <f t="shared" si="2"/>
        <v>0</v>
      </c>
      <c r="W67" s="89">
        <f t="shared" si="3"/>
        <v>0</v>
      </c>
      <c r="X67" s="89">
        <f t="shared" si="4"/>
        <v>0</v>
      </c>
      <c r="Y67" s="28"/>
    </row>
    <row r="68" spans="1:25" ht="20.25" customHeight="1">
      <c r="A68" s="88" t="str">
        <f>IF(BASE!B72="","",BASE!B72)</f>
        <v>23XXR057</v>
      </c>
      <c r="B68" s="121" t="s">
        <v>40</v>
      </c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89"/>
      <c r="R68" s="91">
        <f t="shared" si="0"/>
        <v>0</v>
      </c>
      <c r="S68" s="91">
        <f>BASE!A72</f>
        <v>57</v>
      </c>
      <c r="T68" s="89">
        <f t="shared" si="5"/>
        <v>0</v>
      </c>
      <c r="U68" s="89">
        <f t="shared" si="1"/>
        <v>0</v>
      </c>
      <c r="V68" s="89">
        <f t="shared" si="2"/>
        <v>0</v>
      </c>
      <c r="W68" s="89">
        <f t="shared" si="3"/>
        <v>0</v>
      </c>
      <c r="X68" s="89">
        <f t="shared" si="4"/>
        <v>0</v>
      </c>
      <c r="Y68" s="28"/>
    </row>
    <row r="69" spans="1:25" ht="20.25" customHeight="1">
      <c r="A69" s="88" t="str">
        <f>IF(BASE!B73="","",BASE!B73)</f>
        <v>23XXR058</v>
      </c>
      <c r="B69" s="121" t="s">
        <v>40</v>
      </c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89"/>
      <c r="R69" s="91">
        <f t="shared" si="0"/>
        <v>0</v>
      </c>
      <c r="S69" s="91">
        <f>BASE!A73</f>
        <v>58</v>
      </c>
      <c r="T69" s="89">
        <f t="shared" si="5"/>
        <v>0</v>
      </c>
      <c r="U69" s="89">
        <f t="shared" si="1"/>
        <v>0</v>
      </c>
      <c r="V69" s="89">
        <f t="shared" si="2"/>
        <v>0</v>
      </c>
      <c r="W69" s="89">
        <f t="shared" si="3"/>
        <v>0</v>
      </c>
      <c r="X69" s="89">
        <f t="shared" si="4"/>
        <v>0</v>
      </c>
      <c r="Y69" s="28"/>
    </row>
    <row r="70" spans="1:25" ht="20.25" customHeight="1">
      <c r="A70" s="88" t="str">
        <f>IF(BASE!B74="","",BASE!B74)</f>
        <v>23XXR059</v>
      </c>
      <c r="B70" s="121" t="s">
        <v>40</v>
      </c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89"/>
      <c r="R70" s="91">
        <f t="shared" si="0"/>
        <v>0</v>
      </c>
      <c r="S70" s="91">
        <f>BASE!A74</f>
        <v>59</v>
      </c>
      <c r="T70" s="89">
        <f t="shared" si="5"/>
        <v>0</v>
      </c>
      <c r="U70" s="89">
        <f t="shared" si="1"/>
        <v>0</v>
      </c>
      <c r="V70" s="89">
        <f t="shared" si="2"/>
        <v>0</v>
      </c>
      <c r="W70" s="89">
        <f t="shared" si="3"/>
        <v>0</v>
      </c>
      <c r="X70" s="89">
        <f t="shared" si="4"/>
        <v>0</v>
      </c>
      <c r="Y70" s="28"/>
    </row>
    <row r="71" spans="1:25" ht="20.25" customHeight="1">
      <c r="A71" s="88" t="str">
        <f>IF(BASE!B75="","",BASE!B75)</f>
        <v>23XXR060</v>
      </c>
      <c r="B71" s="121" t="s">
        <v>40</v>
      </c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89"/>
      <c r="R71" s="91">
        <f t="shared" si="0"/>
        <v>0</v>
      </c>
      <c r="S71" s="91">
        <f>BASE!A75</f>
        <v>60</v>
      </c>
      <c r="T71" s="89">
        <f t="shared" si="5"/>
        <v>0</v>
      </c>
      <c r="U71" s="89">
        <f t="shared" si="1"/>
        <v>0</v>
      </c>
      <c r="V71" s="89">
        <f t="shared" si="2"/>
        <v>0</v>
      </c>
      <c r="W71" s="89">
        <f t="shared" si="3"/>
        <v>0</v>
      </c>
      <c r="X71" s="89">
        <f t="shared" si="4"/>
        <v>0</v>
      </c>
      <c r="Y71" s="28"/>
    </row>
    <row r="72" spans="1:25" ht="20.25" customHeight="1">
      <c r="A72" s="88" t="str">
        <f>IF(BASE!B76="","",BASE!B76)</f>
        <v>23XXR061</v>
      </c>
      <c r="B72" s="121" t="s">
        <v>40</v>
      </c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89"/>
      <c r="R72" s="91">
        <f t="shared" si="0"/>
        <v>0</v>
      </c>
      <c r="S72" s="91">
        <f>BASE!A76</f>
        <v>61</v>
      </c>
      <c r="T72" s="89">
        <f t="shared" si="5"/>
        <v>0</v>
      </c>
      <c r="U72" s="89">
        <f t="shared" si="1"/>
        <v>0</v>
      </c>
      <c r="V72" s="89">
        <f t="shared" si="2"/>
        <v>0</v>
      </c>
      <c r="W72" s="89">
        <f t="shared" si="3"/>
        <v>0</v>
      </c>
      <c r="X72" s="89">
        <f t="shared" si="4"/>
        <v>0</v>
      </c>
      <c r="Y72" s="28"/>
    </row>
    <row r="73" spans="1:25" ht="20.25" customHeight="1">
      <c r="A73" s="88" t="str">
        <f>IF(BASE!B77="","",BASE!B77)</f>
        <v>23XXR062</v>
      </c>
      <c r="B73" s="121" t="s">
        <v>40</v>
      </c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89"/>
      <c r="R73" s="91">
        <f t="shared" si="0"/>
        <v>0</v>
      </c>
      <c r="S73" s="91">
        <f>BASE!A77</f>
        <v>62</v>
      </c>
      <c r="T73" s="89">
        <f t="shared" si="5"/>
        <v>0</v>
      </c>
      <c r="U73" s="89">
        <f t="shared" si="1"/>
        <v>0</v>
      </c>
      <c r="V73" s="89">
        <f t="shared" si="2"/>
        <v>0</v>
      </c>
      <c r="W73" s="89">
        <f t="shared" si="3"/>
        <v>0</v>
      </c>
      <c r="X73" s="89">
        <f t="shared" si="4"/>
        <v>0</v>
      </c>
      <c r="Y73" s="28"/>
    </row>
    <row r="74" spans="1:25" ht="20.25" customHeight="1">
      <c r="A74" s="88" t="str">
        <f>IF(BASE!B78="","",BASE!B78)</f>
        <v>23XXR063</v>
      </c>
      <c r="B74" s="121" t="s">
        <v>40</v>
      </c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89"/>
      <c r="R74" s="91">
        <f t="shared" si="0"/>
        <v>0</v>
      </c>
      <c r="S74" s="91">
        <f>BASE!A78</f>
        <v>63</v>
      </c>
      <c r="T74" s="89">
        <f t="shared" si="5"/>
        <v>0</v>
      </c>
      <c r="U74" s="89">
        <f t="shared" si="1"/>
        <v>0</v>
      </c>
      <c r="V74" s="89">
        <f t="shared" si="2"/>
        <v>0</v>
      </c>
      <c r="W74" s="89">
        <f t="shared" si="3"/>
        <v>0</v>
      </c>
      <c r="X74" s="89">
        <f t="shared" si="4"/>
        <v>0</v>
      </c>
      <c r="Y74" s="28"/>
    </row>
    <row r="75" spans="1:25" ht="20.25" customHeight="1">
      <c r="A75" s="88" t="str">
        <f>IF(BASE!B79="","",BASE!B79)</f>
        <v>23XXR064</v>
      </c>
      <c r="B75" s="121" t="s">
        <v>40</v>
      </c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89"/>
      <c r="R75" s="91">
        <f t="shared" si="0"/>
        <v>0</v>
      </c>
      <c r="S75" s="91">
        <f>BASE!A79</f>
        <v>64</v>
      </c>
      <c r="T75" s="89">
        <f t="shared" si="5"/>
        <v>0</v>
      </c>
      <c r="U75" s="89">
        <f t="shared" si="1"/>
        <v>0</v>
      </c>
      <c r="V75" s="89">
        <f t="shared" si="2"/>
        <v>0</v>
      </c>
      <c r="W75" s="89">
        <f t="shared" si="3"/>
        <v>0</v>
      </c>
      <c r="X75" s="89">
        <f t="shared" si="4"/>
        <v>0</v>
      </c>
      <c r="Y75" s="28"/>
    </row>
    <row r="76" spans="1:25" ht="20.25" customHeight="1">
      <c r="A76" s="88" t="str">
        <f>IF(BASE!B80="","",BASE!B80)</f>
        <v>23XXR065</v>
      </c>
      <c r="B76" s="121" t="s">
        <v>40</v>
      </c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89"/>
      <c r="R76" s="91">
        <f t="shared" si="0"/>
        <v>0</v>
      </c>
      <c r="S76" s="91">
        <f>BASE!A80</f>
        <v>65</v>
      </c>
      <c r="T76" s="89">
        <f t="shared" si="5"/>
        <v>0</v>
      </c>
      <c r="U76" s="89">
        <f t="shared" si="1"/>
        <v>0</v>
      </c>
      <c r="V76" s="89">
        <f t="shared" si="2"/>
        <v>0</v>
      </c>
      <c r="W76" s="89">
        <f t="shared" si="3"/>
        <v>0</v>
      </c>
      <c r="X76" s="89">
        <f t="shared" si="4"/>
        <v>0</v>
      </c>
      <c r="Y76" s="28"/>
    </row>
    <row r="77" spans="1:25" ht="20.25" customHeight="1">
      <c r="A77" s="88" t="str">
        <f>IF(BASE!B81="","",BASE!B81)</f>
        <v>23XXR066</v>
      </c>
      <c r="B77" s="121" t="s">
        <v>40</v>
      </c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89"/>
      <c r="R77" s="91">
        <f t="shared" si="0"/>
        <v>0</v>
      </c>
      <c r="S77" s="91">
        <f>BASE!A81</f>
        <v>66</v>
      </c>
      <c r="T77" s="89">
        <f t="shared" si="5"/>
        <v>0</v>
      </c>
      <c r="U77" s="89">
        <f t="shared" si="1"/>
        <v>0</v>
      </c>
      <c r="V77" s="89">
        <f t="shared" si="2"/>
        <v>0</v>
      </c>
      <c r="W77" s="89">
        <f t="shared" si="3"/>
        <v>0</v>
      </c>
      <c r="X77" s="89">
        <f t="shared" si="4"/>
        <v>0</v>
      </c>
      <c r="Y77" s="28"/>
    </row>
    <row r="78" spans="1:25" ht="20.25" customHeight="1">
      <c r="A78" s="88" t="str">
        <f>IF(BASE!B82="","",BASE!B82)</f>
        <v>23XXR067</v>
      </c>
      <c r="B78" s="121" t="s">
        <v>40</v>
      </c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89"/>
      <c r="R78" s="91">
        <f t="shared" si="0"/>
        <v>0</v>
      </c>
      <c r="S78" s="91">
        <f>BASE!A82</f>
        <v>67</v>
      </c>
      <c r="T78" s="89">
        <f t="shared" si="5"/>
        <v>0</v>
      </c>
      <c r="U78" s="89">
        <f t="shared" si="1"/>
        <v>0</v>
      </c>
      <c r="V78" s="89">
        <f t="shared" si="2"/>
        <v>0</v>
      </c>
      <c r="W78" s="89">
        <f t="shared" si="3"/>
        <v>0</v>
      </c>
      <c r="X78" s="89">
        <f t="shared" si="4"/>
        <v>0</v>
      </c>
      <c r="Y78" s="28"/>
    </row>
    <row r="79" spans="1:25" ht="20.25" customHeight="1">
      <c r="A79" s="88" t="str">
        <f>IF(BASE!B83="","",BASE!B83)</f>
        <v>23XXR068</v>
      </c>
      <c r="B79" s="121" t="s">
        <v>40</v>
      </c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89"/>
      <c r="R79" s="91">
        <f t="shared" si="0"/>
        <v>0</v>
      </c>
      <c r="S79" s="91">
        <f>BASE!A83</f>
        <v>68</v>
      </c>
      <c r="T79" s="89">
        <f t="shared" si="5"/>
        <v>0</v>
      </c>
      <c r="U79" s="89">
        <f t="shared" si="1"/>
        <v>0</v>
      </c>
      <c r="V79" s="89">
        <f t="shared" si="2"/>
        <v>0</v>
      </c>
      <c r="W79" s="89">
        <f t="shared" si="3"/>
        <v>0</v>
      </c>
      <c r="X79" s="89">
        <f t="shared" si="4"/>
        <v>0</v>
      </c>
      <c r="Y79" s="28"/>
    </row>
    <row r="80" spans="1:25" ht="20.25" customHeight="1">
      <c r="A80" s="88" t="str">
        <f>IF(BASE!B84="","",BASE!B84)</f>
        <v>23XXR069</v>
      </c>
      <c r="B80" s="121" t="s">
        <v>40</v>
      </c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89"/>
      <c r="R80" s="91">
        <f t="shared" si="0"/>
        <v>0</v>
      </c>
      <c r="S80" s="91">
        <f>BASE!A84</f>
        <v>69</v>
      </c>
      <c r="T80" s="89">
        <f t="shared" si="5"/>
        <v>0</v>
      </c>
      <c r="U80" s="89">
        <f t="shared" si="1"/>
        <v>0</v>
      </c>
      <c r="V80" s="89">
        <f t="shared" si="2"/>
        <v>0</v>
      </c>
      <c r="W80" s="89">
        <f t="shared" si="3"/>
        <v>0</v>
      </c>
      <c r="X80" s="89">
        <f t="shared" si="4"/>
        <v>0</v>
      </c>
      <c r="Y80" s="28"/>
    </row>
    <row r="81" spans="1:25" ht="20.25" customHeight="1">
      <c r="A81" s="88" t="str">
        <f>IF(BASE!B85="","",BASE!B85)</f>
        <v>23XXR070</v>
      </c>
      <c r="B81" s="121" t="s">
        <v>40</v>
      </c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89"/>
      <c r="R81" s="91">
        <f t="shared" si="0"/>
        <v>0</v>
      </c>
      <c r="S81" s="91">
        <f>BASE!A85</f>
        <v>70</v>
      </c>
      <c r="T81" s="89">
        <f t="shared" si="5"/>
        <v>0</v>
      </c>
      <c r="U81" s="89">
        <f t="shared" si="1"/>
        <v>0</v>
      </c>
      <c r="V81" s="89">
        <f t="shared" si="2"/>
        <v>0</v>
      </c>
      <c r="W81" s="89">
        <f t="shared" si="3"/>
        <v>0</v>
      </c>
      <c r="X81" s="89">
        <f t="shared" si="4"/>
        <v>0</v>
      </c>
      <c r="Y81" s="28"/>
    </row>
    <row r="82" spans="1:25" ht="20.25" customHeight="1">
      <c r="A82" s="88" t="str">
        <f>IF(BASE!B86="","",BASE!B86)</f>
        <v>23XXR071</v>
      </c>
      <c r="B82" s="121" t="s">
        <v>40</v>
      </c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89"/>
      <c r="R82" s="91">
        <f t="shared" si="0"/>
        <v>0</v>
      </c>
      <c r="S82" s="91">
        <f>BASE!A86</f>
        <v>71</v>
      </c>
      <c r="T82" s="89">
        <f t="shared" si="5"/>
        <v>0</v>
      </c>
      <c r="U82" s="89">
        <f t="shared" si="1"/>
        <v>0</v>
      </c>
      <c r="V82" s="89">
        <f t="shared" si="2"/>
        <v>0</v>
      </c>
      <c r="W82" s="89">
        <f t="shared" si="3"/>
        <v>0</v>
      </c>
      <c r="X82" s="89">
        <f t="shared" si="4"/>
        <v>0</v>
      </c>
      <c r="Y82" s="28"/>
    </row>
    <row r="83" spans="1:25" ht="20.25" customHeight="1">
      <c r="A83" s="88" t="str">
        <f>IF(BASE!B87="","",BASE!B87)</f>
        <v>23XXR072</v>
      </c>
      <c r="B83" s="121" t="s">
        <v>40</v>
      </c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89"/>
      <c r="R83" s="91">
        <f t="shared" si="0"/>
        <v>0</v>
      </c>
      <c r="S83" s="91">
        <f>BASE!A87</f>
        <v>72</v>
      </c>
      <c r="T83" s="89">
        <f t="shared" si="5"/>
        <v>0</v>
      </c>
      <c r="U83" s="89">
        <f t="shared" si="1"/>
        <v>0</v>
      </c>
      <c r="V83" s="89">
        <f t="shared" si="2"/>
        <v>0</v>
      </c>
      <c r="W83" s="89">
        <f t="shared" si="3"/>
        <v>0</v>
      </c>
      <c r="X83" s="89">
        <f t="shared" si="4"/>
        <v>0</v>
      </c>
      <c r="Y83" s="28"/>
    </row>
    <row r="84" spans="1:25" ht="20.25" customHeight="1">
      <c r="A84" s="88" t="str">
        <f>IF(BASE!B88="","",BASE!B88)</f>
        <v>23XXR073</v>
      </c>
      <c r="B84" s="121" t="s">
        <v>40</v>
      </c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89"/>
      <c r="R84" s="91">
        <f t="shared" si="0"/>
        <v>0</v>
      </c>
      <c r="S84" s="91">
        <f>BASE!A88</f>
        <v>73</v>
      </c>
      <c r="T84" s="89">
        <f t="shared" si="5"/>
        <v>0</v>
      </c>
      <c r="U84" s="89">
        <f t="shared" si="1"/>
        <v>0</v>
      </c>
      <c r="V84" s="89">
        <f t="shared" si="2"/>
        <v>0</v>
      </c>
      <c r="W84" s="89">
        <f t="shared" si="3"/>
        <v>0</v>
      </c>
      <c r="X84" s="89">
        <f t="shared" si="4"/>
        <v>0</v>
      </c>
      <c r="Y84" s="28"/>
    </row>
    <row r="85" spans="1:25" ht="20.25" customHeight="1">
      <c r="A85" s="88" t="str">
        <f>IF(BASE!B89="","",BASE!B89)</f>
        <v>23XXR074</v>
      </c>
      <c r="B85" s="121" t="s">
        <v>40</v>
      </c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89"/>
      <c r="R85" s="91">
        <f t="shared" si="0"/>
        <v>0</v>
      </c>
      <c r="S85" s="91">
        <f>BASE!A89</f>
        <v>74</v>
      </c>
      <c r="T85" s="89">
        <f t="shared" si="5"/>
        <v>0</v>
      </c>
      <c r="U85" s="89">
        <f t="shared" si="1"/>
        <v>0</v>
      </c>
      <c r="V85" s="89">
        <f t="shared" si="2"/>
        <v>0</v>
      </c>
      <c r="W85" s="89">
        <f t="shared" si="3"/>
        <v>0</v>
      </c>
      <c r="X85" s="89">
        <f t="shared" si="4"/>
        <v>0</v>
      </c>
      <c r="Y85" s="28"/>
    </row>
    <row r="86" spans="1:25" ht="20.25" customHeight="1">
      <c r="A86" s="88" t="str">
        <f>IF(BASE!B90="","",BASE!B90)</f>
        <v>23XXR075</v>
      </c>
      <c r="B86" s="121" t="s">
        <v>40</v>
      </c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89"/>
      <c r="R86" s="91">
        <f t="shared" si="0"/>
        <v>0</v>
      </c>
      <c r="S86" s="91">
        <f>BASE!A90</f>
        <v>75</v>
      </c>
      <c r="T86" s="89">
        <f t="shared" si="5"/>
        <v>0</v>
      </c>
      <c r="U86" s="89">
        <f t="shared" si="1"/>
        <v>0</v>
      </c>
      <c r="V86" s="89">
        <f t="shared" si="2"/>
        <v>0</v>
      </c>
      <c r="W86" s="89">
        <f t="shared" si="3"/>
        <v>0</v>
      </c>
      <c r="X86" s="89">
        <f t="shared" si="4"/>
        <v>0</v>
      </c>
      <c r="Y86" s="28"/>
    </row>
    <row r="87" spans="1:25" ht="20.25" customHeight="1">
      <c r="A87" s="88" t="str">
        <f>IF(BASE!B91="","",BASE!B91)</f>
        <v>23XXR076</v>
      </c>
      <c r="B87" s="121" t="s">
        <v>40</v>
      </c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89"/>
      <c r="R87" s="91">
        <f t="shared" si="0"/>
        <v>0</v>
      </c>
      <c r="S87" s="91">
        <f>BASE!A91</f>
        <v>76</v>
      </c>
      <c r="T87" s="89">
        <f t="shared" si="5"/>
        <v>0</v>
      </c>
      <c r="U87" s="89">
        <f t="shared" si="1"/>
        <v>0</v>
      </c>
      <c r="V87" s="89">
        <f t="shared" si="2"/>
        <v>0</v>
      </c>
      <c r="W87" s="89">
        <f t="shared" si="3"/>
        <v>0</v>
      </c>
      <c r="X87" s="89">
        <f t="shared" si="4"/>
        <v>0</v>
      </c>
      <c r="Y87" s="28"/>
    </row>
    <row r="88" spans="1:25" ht="20.25" customHeight="1">
      <c r="A88" s="88" t="str">
        <f>IF(BASE!B92="","",BASE!B92)</f>
        <v>23XXR077</v>
      </c>
      <c r="B88" s="121" t="s">
        <v>40</v>
      </c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89"/>
      <c r="R88" s="91">
        <f t="shared" si="0"/>
        <v>0</v>
      </c>
      <c r="S88" s="91">
        <f>BASE!A92</f>
        <v>77</v>
      </c>
      <c r="T88" s="89">
        <f t="shared" si="5"/>
        <v>0</v>
      </c>
      <c r="U88" s="89">
        <f t="shared" si="1"/>
        <v>0</v>
      </c>
      <c r="V88" s="89">
        <f t="shared" si="2"/>
        <v>0</v>
      </c>
      <c r="W88" s="89">
        <f t="shared" si="3"/>
        <v>0</v>
      </c>
      <c r="X88" s="89">
        <f t="shared" si="4"/>
        <v>0</v>
      </c>
      <c r="Y88" s="28"/>
    </row>
    <row r="89" spans="1:25" ht="20.25" customHeight="1">
      <c r="A89" s="88" t="str">
        <f>IF(BASE!B93="","",BASE!B93)</f>
        <v>23XXR078</v>
      </c>
      <c r="B89" s="121" t="s">
        <v>40</v>
      </c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89"/>
      <c r="R89" s="91">
        <f t="shared" si="0"/>
        <v>0</v>
      </c>
      <c r="S89" s="91">
        <f>BASE!A93</f>
        <v>78</v>
      </c>
      <c r="T89" s="89">
        <f t="shared" si="5"/>
        <v>0</v>
      </c>
      <c r="U89" s="89">
        <f t="shared" si="1"/>
        <v>0</v>
      </c>
      <c r="V89" s="89">
        <f t="shared" si="2"/>
        <v>0</v>
      </c>
      <c r="W89" s="89">
        <f t="shared" si="3"/>
        <v>0</v>
      </c>
      <c r="X89" s="89">
        <f t="shared" si="4"/>
        <v>0</v>
      </c>
      <c r="Y89" s="28"/>
    </row>
    <row r="90" spans="1:25" ht="20.25" customHeight="1">
      <c r="A90" s="88" t="str">
        <f>IF(BASE!B94="","",BASE!B94)</f>
        <v>23XXR079</v>
      </c>
      <c r="B90" s="121" t="s">
        <v>40</v>
      </c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89"/>
      <c r="R90" s="91">
        <f t="shared" si="0"/>
        <v>0</v>
      </c>
      <c r="S90" s="91">
        <f>BASE!A94</f>
        <v>79</v>
      </c>
      <c r="T90" s="89">
        <f t="shared" si="5"/>
        <v>0</v>
      </c>
      <c r="U90" s="89">
        <f t="shared" si="1"/>
        <v>0</v>
      </c>
      <c r="V90" s="89">
        <f t="shared" si="2"/>
        <v>0</v>
      </c>
      <c r="W90" s="89">
        <f t="shared" si="3"/>
        <v>0</v>
      </c>
      <c r="X90" s="89">
        <f t="shared" si="4"/>
        <v>0</v>
      </c>
      <c r="Y90" s="28"/>
    </row>
    <row r="91" spans="1:25" ht="20.25" customHeight="1">
      <c r="A91" s="88" t="str">
        <f>IF(BASE!B95="","",BASE!B95)</f>
        <v>23XXR080</v>
      </c>
      <c r="B91" s="121" t="s">
        <v>40</v>
      </c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89"/>
      <c r="R91" s="91">
        <f t="shared" si="0"/>
        <v>0</v>
      </c>
      <c r="S91" s="91">
        <f>BASE!A95</f>
        <v>80</v>
      </c>
      <c r="T91" s="89">
        <f t="shared" si="5"/>
        <v>0</v>
      </c>
      <c r="U91" s="89">
        <f t="shared" si="1"/>
        <v>0</v>
      </c>
      <c r="V91" s="89">
        <f t="shared" si="2"/>
        <v>0</v>
      </c>
      <c r="W91" s="89">
        <f t="shared" si="3"/>
        <v>0</v>
      </c>
      <c r="X91" s="89">
        <f t="shared" si="4"/>
        <v>0</v>
      </c>
      <c r="Y91" s="28"/>
    </row>
    <row r="92" spans="1:25" ht="20.25" customHeight="1">
      <c r="A92" s="88" t="str">
        <f>IF(BASE!B96="","",BASE!B96)</f>
        <v>23XXR081</v>
      </c>
      <c r="B92" s="121" t="s">
        <v>40</v>
      </c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89"/>
      <c r="R92" s="91">
        <f t="shared" si="0"/>
        <v>0</v>
      </c>
      <c r="S92" s="91">
        <f>BASE!A96</f>
        <v>81</v>
      </c>
      <c r="T92" s="89">
        <f t="shared" si="5"/>
        <v>0</v>
      </c>
      <c r="U92" s="89">
        <f t="shared" si="1"/>
        <v>0</v>
      </c>
      <c r="V92" s="89">
        <f t="shared" si="2"/>
        <v>0</v>
      </c>
      <c r="W92" s="89">
        <f t="shared" si="3"/>
        <v>0</v>
      </c>
      <c r="X92" s="89">
        <f t="shared" si="4"/>
        <v>0</v>
      </c>
      <c r="Y92" s="28"/>
    </row>
    <row r="93" spans="1:25" ht="20.25" customHeight="1">
      <c r="A93" s="88" t="str">
        <f>IF(BASE!B97="","",BASE!B97)</f>
        <v>23XXR082</v>
      </c>
      <c r="B93" s="121" t="s">
        <v>40</v>
      </c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89"/>
      <c r="R93" s="91">
        <f t="shared" si="0"/>
        <v>0</v>
      </c>
      <c r="S93" s="91">
        <f>BASE!A97</f>
        <v>82</v>
      </c>
      <c r="T93" s="89">
        <f t="shared" si="5"/>
        <v>0</v>
      </c>
      <c r="U93" s="89">
        <f t="shared" si="1"/>
        <v>0</v>
      </c>
      <c r="V93" s="89">
        <f t="shared" si="2"/>
        <v>0</v>
      </c>
      <c r="W93" s="89">
        <f t="shared" si="3"/>
        <v>0</v>
      </c>
      <c r="X93" s="89">
        <f t="shared" si="4"/>
        <v>0</v>
      </c>
      <c r="Y93" s="28"/>
    </row>
    <row r="94" spans="1:25" ht="20.25" customHeight="1">
      <c r="A94" s="88" t="str">
        <f>IF(BASE!B98="","",BASE!B98)</f>
        <v>23XXR083</v>
      </c>
      <c r="B94" s="121" t="s">
        <v>40</v>
      </c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89"/>
      <c r="R94" s="91">
        <f t="shared" si="0"/>
        <v>0</v>
      </c>
      <c r="S94" s="91">
        <f>BASE!A98</f>
        <v>83</v>
      </c>
      <c r="T94" s="89">
        <f t="shared" si="5"/>
        <v>0</v>
      </c>
      <c r="U94" s="89">
        <f t="shared" si="1"/>
        <v>0</v>
      </c>
      <c r="V94" s="89">
        <f t="shared" si="2"/>
        <v>0</v>
      </c>
      <c r="W94" s="89">
        <f t="shared" si="3"/>
        <v>0</v>
      </c>
      <c r="X94" s="89">
        <f t="shared" si="4"/>
        <v>0</v>
      </c>
      <c r="Y94" s="28"/>
    </row>
    <row r="95" spans="1:25" ht="20.25" customHeight="1">
      <c r="A95" s="88" t="str">
        <f>IF(BASE!B99="","",BASE!B99)</f>
        <v>23XXR084</v>
      </c>
      <c r="B95" s="121" t="s">
        <v>40</v>
      </c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89"/>
      <c r="R95" s="91">
        <f t="shared" si="0"/>
        <v>0</v>
      </c>
      <c r="S95" s="91">
        <f>BASE!A99</f>
        <v>84</v>
      </c>
      <c r="T95" s="89">
        <f t="shared" si="5"/>
        <v>0</v>
      </c>
      <c r="U95" s="89">
        <f t="shared" si="1"/>
        <v>0</v>
      </c>
      <c r="V95" s="89">
        <f t="shared" si="2"/>
        <v>0</v>
      </c>
      <c r="W95" s="89">
        <f t="shared" si="3"/>
        <v>0</v>
      </c>
      <c r="X95" s="89">
        <f t="shared" si="4"/>
        <v>0</v>
      </c>
      <c r="Y95" s="28"/>
    </row>
    <row r="96" spans="1:25" ht="20.25" customHeight="1">
      <c r="A96" s="88" t="str">
        <f>IF(BASE!B100="","",BASE!B100)</f>
        <v>23XXR085</v>
      </c>
      <c r="B96" s="121" t="s">
        <v>40</v>
      </c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89"/>
      <c r="R96" s="91">
        <f t="shared" si="0"/>
        <v>0</v>
      </c>
      <c r="S96" s="91">
        <f>BASE!A100</f>
        <v>85</v>
      </c>
      <c r="T96" s="89">
        <f t="shared" si="5"/>
        <v>0</v>
      </c>
      <c r="U96" s="89">
        <f t="shared" si="1"/>
        <v>0</v>
      </c>
      <c r="V96" s="89">
        <f t="shared" si="2"/>
        <v>0</v>
      </c>
      <c r="W96" s="89">
        <f t="shared" si="3"/>
        <v>0</v>
      </c>
      <c r="X96" s="89">
        <f t="shared" si="4"/>
        <v>0</v>
      </c>
      <c r="Y96" s="28"/>
    </row>
    <row r="97" spans="1:25" ht="20.25" customHeight="1">
      <c r="A97" s="88" t="str">
        <f>IF(BASE!B101="","",BASE!B101)</f>
        <v>23XXR086</v>
      </c>
      <c r="B97" s="121" t="s">
        <v>40</v>
      </c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89"/>
      <c r="R97" s="91">
        <f t="shared" si="0"/>
        <v>0</v>
      </c>
      <c r="S97" s="91">
        <f>BASE!A101</f>
        <v>86</v>
      </c>
      <c r="T97" s="89">
        <f t="shared" si="5"/>
        <v>0</v>
      </c>
      <c r="U97" s="89">
        <f t="shared" si="1"/>
        <v>0</v>
      </c>
      <c r="V97" s="89">
        <f t="shared" si="2"/>
        <v>0</v>
      </c>
      <c r="W97" s="89">
        <f t="shared" si="3"/>
        <v>0</v>
      </c>
      <c r="X97" s="89">
        <f t="shared" si="4"/>
        <v>0</v>
      </c>
      <c r="Y97" s="28"/>
    </row>
    <row r="98" spans="1:25" ht="20.25" customHeight="1">
      <c r="A98" s="88" t="str">
        <f>IF(BASE!B102="","",BASE!B102)</f>
        <v>23XXR087</v>
      </c>
      <c r="B98" s="121" t="s">
        <v>40</v>
      </c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89"/>
      <c r="R98" s="91">
        <f t="shared" si="0"/>
        <v>0</v>
      </c>
      <c r="S98" s="91">
        <f>BASE!A102</f>
        <v>87</v>
      </c>
      <c r="T98" s="89">
        <f t="shared" si="5"/>
        <v>0</v>
      </c>
      <c r="U98" s="89">
        <f t="shared" si="1"/>
        <v>0</v>
      </c>
      <c r="V98" s="89">
        <f t="shared" si="2"/>
        <v>0</v>
      </c>
      <c r="W98" s="89">
        <f t="shared" si="3"/>
        <v>0</v>
      </c>
      <c r="X98" s="89">
        <f t="shared" si="4"/>
        <v>0</v>
      </c>
      <c r="Y98" s="28"/>
    </row>
    <row r="99" spans="1:25" ht="20.25" customHeight="1">
      <c r="A99" s="88" t="str">
        <f>IF(BASE!B103="","",BASE!B103)</f>
        <v>23XXR088</v>
      </c>
      <c r="B99" s="121" t="s">
        <v>40</v>
      </c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89"/>
      <c r="R99" s="91">
        <f t="shared" si="0"/>
        <v>0</v>
      </c>
      <c r="S99" s="91">
        <f>BASE!A103</f>
        <v>88</v>
      </c>
      <c r="T99" s="89">
        <f t="shared" si="5"/>
        <v>0</v>
      </c>
      <c r="U99" s="89">
        <f t="shared" si="1"/>
        <v>0</v>
      </c>
      <c r="V99" s="89">
        <f t="shared" si="2"/>
        <v>0</v>
      </c>
      <c r="W99" s="89">
        <f t="shared" si="3"/>
        <v>0</v>
      </c>
      <c r="X99" s="89">
        <f t="shared" si="4"/>
        <v>0</v>
      </c>
      <c r="Y99" s="28"/>
    </row>
    <row r="100" spans="1:25" ht="20.25" customHeight="1">
      <c r="A100" s="88" t="str">
        <f>IF(BASE!B104="","",BASE!B104)</f>
        <v>23XXR089</v>
      </c>
      <c r="B100" s="121" t="s">
        <v>40</v>
      </c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89"/>
      <c r="R100" s="91">
        <f t="shared" si="0"/>
        <v>0</v>
      </c>
      <c r="S100" s="91">
        <f>BASE!A104</f>
        <v>89</v>
      </c>
      <c r="T100" s="89">
        <f t="shared" si="5"/>
        <v>0</v>
      </c>
      <c r="U100" s="89">
        <f t="shared" si="1"/>
        <v>0</v>
      </c>
      <c r="V100" s="89">
        <f t="shared" si="2"/>
        <v>0</v>
      </c>
      <c r="W100" s="89">
        <f t="shared" si="3"/>
        <v>0</v>
      </c>
      <c r="X100" s="89">
        <f t="shared" si="4"/>
        <v>0</v>
      </c>
      <c r="Y100" s="28"/>
    </row>
    <row r="101" spans="1:25" ht="20.25" customHeight="1">
      <c r="A101" s="88" t="str">
        <f>IF(BASE!B105="","",BASE!B105)</f>
        <v>23XXR090</v>
      </c>
      <c r="B101" s="121" t="s">
        <v>40</v>
      </c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89"/>
      <c r="R101" s="91">
        <f t="shared" si="0"/>
        <v>0</v>
      </c>
      <c r="S101" s="91">
        <f>BASE!A105</f>
        <v>90</v>
      </c>
      <c r="T101" s="89">
        <f t="shared" si="5"/>
        <v>0</v>
      </c>
      <c r="U101" s="89">
        <f t="shared" si="1"/>
        <v>0</v>
      </c>
      <c r="V101" s="89">
        <f t="shared" si="2"/>
        <v>0</v>
      </c>
      <c r="W101" s="89">
        <f t="shared" si="3"/>
        <v>0</v>
      </c>
      <c r="X101" s="89">
        <f t="shared" si="4"/>
        <v>0</v>
      </c>
      <c r="Y101" s="28"/>
    </row>
    <row r="102" spans="1:25" ht="20.25" customHeight="1">
      <c r="A102" s="88" t="str">
        <f>IF(BASE!B106="","",BASE!B106)</f>
        <v>23XXR091</v>
      </c>
      <c r="B102" s="121" t="s">
        <v>40</v>
      </c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89"/>
      <c r="R102" s="91">
        <f t="shared" si="0"/>
        <v>0</v>
      </c>
      <c r="S102" s="91">
        <f>BASE!A106</f>
        <v>91</v>
      </c>
      <c r="T102" s="89">
        <f t="shared" si="5"/>
        <v>0</v>
      </c>
      <c r="U102" s="89">
        <f t="shared" si="1"/>
        <v>0</v>
      </c>
      <c r="V102" s="89">
        <f t="shared" si="2"/>
        <v>0</v>
      </c>
      <c r="W102" s="89">
        <f t="shared" si="3"/>
        <v>0</v>
      </c>
      <c r="X102" s="89">
        <f t="shared" si="4"/>
        <v>0</v>
      </c>
      <c r="Y102" s="28"/>
    </row>
    <row r="103" spans="1:25" ht="20.25" customHeight="1">
      <c r="A103" s="88" t="str">
        <f>IF(BASE!B107="","",BASE!B107)</f>
        <v>23XXR092</v>
      </c>
      <c r="B103" s="121" t="s">
        <v>40</v>
      </c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89"/>
      <c r="R103" s="91">
        <f t="shared" si="0"/>
        <v>0</v>
      </c>
      <c r="S103" s="91">
        <f>BASE!A107</f>
        <v>92</v>
      </c>
      <c r="T103" s="89">
        <f t="shared" si="5"/>
        <v>0</v>
      </c>
      <c r="U103" s="89">
        <f t="shared" si="1"/>
        <v>0</v>
      </c>
      <c r="V103" s="89">
        <f t="shared" si="2"/>
        <v>0</v>
      </c>
      <c r="W103" s="89">
        <f t="shared" si="3"/>
        <v>0</v>
      </c>
      <c r="X103" s="89">
        <f t="shared" si="4"/>
        <v>0</v>
      </c>
      <c r="Y103" s="28"/>
    </row>
    <row r="104" spans="1:25" ht="20.25" customHeight="1">
      <c r="A104" s="88" t="str">
        <f>IF(BASE!B108="","",BASE!B108)</f>
        <v>23XXR093</v>
      </c>
      <c r="B104" s="121" t="s">
        <v>40</v>
      </c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89"/>
      <c r="R104" s="91">
        <f t="shared" si="0"/>
        <v>0</v>
      </c>
      <c r="S104" s="91">
        <f>BASE!A108</f>
        <v>93</v>
      </c>
      <c r="T104" s="89">
        <f t="shared" si="5"/>
        <v>0</v>
      </c>
      <c r="U104" s="89">
        <f t="shared" si="1"/>
        <v>0</v>
      </c>
      <c r="V104" s="89">
        <f t="shared" si="2"/>
        <v>0</v>
      </c>
      <c r="W104" s="89">
        <f t="shared" si="3"/>
        <v>0</v>
      </c>
      <c r="X104" s="89">
        <f t="shared" si="4"/>
        <v>0</v>
      </c>
      <c r="Y104" s="28"/>
    </row>
    <row r="105" spans="1:25" ht="20.25" customHeight="1">
      <c r="A105" s="88" t="str">
        <f>IF(BASE!B109="","",BASE!B109)</f>
        <v>23XXR094</v>
      </c>
      <c r="B105" s="121" t="s">
        <v>40</v>
      </c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89"/>
      <c r="R105" s="91">
        <f t="shared" si="0"/>
        <v>0</v>
      </c>
      <c r="S105" s="91">
        <f>BASE!A109</f>
        <v>94</v>
      </c>
      <c r="T105" s="89">
        <f t="shared" si="5"/>
        <v>0</v>
      </c>
      <c r="U105" s="89">
        <f t="shared" si="1"/>
        <v>0</v>
      </c>
      <c r="V105" s="89">
        <f t="shared" si="2"/>
        <v>0</v>
      </c>
      <c r="W105" s="89">
        <f t="shared" si="3"/>
        <v>0</v>
      </c>
      <c r="X105" s="89">
        <f t="shared" si="4"/>
        <v>0</v>
      </c>
      <c r="Y105" s="28"/>
    </row>
    <row r="106" spans="1:25" ht="20.25" customHeight="1">
      <c r="A106" s="88" t="str">
        <f>IF(BASE!B110="","",BASE!B110)</f>
        <v>23XXR095</v>
      </c>
      <c r="B106" s="121" t="s">
        <v>40</v>
      </c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89"/>
      <c r="R106" s="91">
        <f t="shared" si="0"/>
        <v>0</v>
      </c>
      <c r="S106" s="91">
        <f>BASE!A110</f>
        <v>95</v>
      </c>
      <c r="T106" s="89">
        <f t="shared" si="5"/>
        <v>0</v>
      </c>
      <c r="U106" s="89">
        <f t="shared" si="1"/>
        <v>0</v>
      </c>
      <c r="V106" s="89">
        <f t="shared" si="2"/>
        <v>0</v>
      </c>
      <c r="W106" s="89">
        <f t="shared" si="3"/>
        <v>0</v>
      </c>
      <c r="X106" s="89">
        <f t="shared" si="4"/>
        <v>0</v>
      </c>
      <c r="Y106" s="28"/>
    </row>
    <row r="107" spans="1:25" ht="20.25" customHeight="1">
      <c r="A107" s="88" t="str">
        <f>IF(BASE!B111="","",BASE!B111)</f>
        <v>23XXR096</v>
      </c>
      <c r="B107" s="121" t="s">
        <v>40</v>
      </c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89"/>
      <c r="R107" s="91">
        <f t="shared" si="0"/>
        <v>0</v>
      </c>
      <c r="S107" s="91">
        <f>BASE!A111</f>
        <v>96</v>
      </c>
      <c r="T107" s="89">
        <f t="shared" si="5"/>
        <v>0</v>
      </c>
      <c r="U107" s="89">
        <f t="shared" si="1"/>
        <v>0</v>
      </c>
      <c r="V107" s="89">
        <f t="shared" si="2"/>
        <v>0</v>
      </c>
      <c r="W107" s="89">
        <f t="shared" si="3"/>
        <v>0</v>
      </c>
      <c r="X107" s="89">
        <f t="shared" si="4"/>
        <v>0</v>
      </c>
      <c r="Y107" s="28"/>
    </row>
    <row r="108" spans="1:25" ht="20.25" customHeight="1">
      <c r="A108" s="88" t="str">
        <f>IF(BASE!B112="","",BASE!B112)</f>
        <v>23XXR097</v>
      </c>
      <c r="B108" s="121" t="s">
        <v>40</v>
      </c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89"/>
      <c r="R108" s="91">
        <f t="shared" si="0"/>
        <v>0</v>
      </c>
      <c r="S108" s="91">
        <f>BASE!A112</f>
        <v>97</v>
      </c>
      <c r="T108" s="89">
        <f t="shared" si="5"/>
        <v>0</v>
      </c>
      <c r="U108" s="89">
        <f t="shared" si="1"/>
        <v>0</v>
      </c>
      <c r="V108" s="89">
        <f t="shared" si="2"/>
        <v>0</v>
      </c>
      <c r="W108" s="89">
        <f t="shared" si="3"/>
        <v>0</v>
      </c>
      <c r="X108" s="89">
        <f t="shared" si="4"/>
        <v>0</v>
      </c>
      <c r="Y108" s="28"/>
    </row>
    <row r="109" spans="1:25" ht="20.25" customHeight="1">
      <c r="A109" s="88" t="str">
        <f>IF(BASE!B113="","",BASE!B113)</f>
        <v>23XXR098</v>
      </c>
      <c r="B109" s="121" t="s">
        <v>40</v>
      </c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89"/>
      <c r="R109" s="91">
        <f t="shared" si="0"/>
        <v>0</v>
      </c>
      <c r="S109" s="91">
        <f>BASE!A113</f>
        <v>98</v>
      </c>
      <c r="T109" s="89">
        <f t="shared" si="5"/>
        <v>0</v>
      </c>
      <c r="U109" s="89">
        <f t="shared" si="1"/>
        <v>0</v>
      </c>
      <c r="V109" s="89">
        <f t="shared" si="2"/>
        <v>0</v>
      </c>
      <c r="W109" s="89">
        <f t="shared" si="3"/>
        <v>0</v>
      </c>
      <c r="X109" s="89">
        <f t="shared" si="4"/>
        <v>0</v>
      </c>
      <c r="Y109" s="28"/>
    </row>
    <row r="110" spans="1:25" ht="20.25" customHeight="1">
      <c r="A110" s="88" t="str">
        <f>IF(BASE!B114="","",BASE!B114)</f>
        <v>23XXR099</v>
      </c>
      <c r="B110" s="121" t="s">
        <v>40</v>
      </c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89"/>
      <c r="R110" s="91">
        <f t="shared" si="0"/>
        <v>0</v>
      </c>
      <c r="S110" s="91">
        <f>BASE!A114</f>
        <v>99</v>
      </c>
      <c r="T110" s="89">
        <f t="shared" si="5"/>
        <v>0</v>
      </c>
      <c r="U110" s="89">
        <f t="shared" si="1"/>
        <v>0</v>
      </c>
      <c r="V110" s="89">
        <f t="shared" si="2"/>
        <v>0</v>
      </c>
      <c r="W110" s="89">
        <f t="shared" si="3"/>
        <v>0</v>
      </c>
      <c r="X110" s="89">
        <f t="shared" si="4"/>
        <v>0</v>
      </c>
      <c r="Y110" s="28"/>
    </row>
    <row r="111" spans="1:25" ht="20.25" customHeight="1">
      <c r="A111" s="88" t="str">
        <f>IF(BASE!B115="","",BASE!B115)</f>
        <v>23XXR100</v>
      </c>
      <c r="B111" s="121" t="s">
        <v>40</v>
      </c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89"/>
      <c r="R111" s="91">
        <f t="shared" si="0"/>
        <v>0</v>
      </c>
      <c r="S111" s="91">
        <f>BASE!A115</f>
        <v>100</v>
      </c>
      <c r="T111" s="89">
        <f t="shared" si="5"/>
        <v>0</v>
      </c>
      <c r="U111" s="89">
        <f t="shared" si="1"/>
        <v>0</v>
      </c>
      <c r="V111" s="89">
        <f t="shared" si="2"/>
        <v>0</v>
      </c>
      <c r="W111" s="89">
        <f t="shared" si="3"/>
        <v>0</v>
      </c>
      <c r="X111" s="89">
        <f t="shared" si="4"/>
        <v>0</v>
      </c>
      <c r="Y111" s="28"/>
    </row>
    <row r="112" spans="1:25" ht="20.25" customHeight="1">
      <c r="A112" s="88" t="str">
        <f>IF(BASE!B116="","",BASE!B116)</f>
        <v>23XXR101</v>
      </c>
      <c r="B112" s="121" t="s">
        <v>40</v>
      </c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89"/>
      <c r="R112" s="91">
        <f t="shared" si="0"/>
        <v>0</v>
      </c>
      <c r="S112" s="91">
        <f>BASE!A116</f>
        <v>101</v>
      </c>
      <c r="T112" s="89">
        <f t="shared" si="5"/>
        <v>0</v>
      </c>
      <c r="U112" s="89">
        <f t="shared" si="1"/>
        <v>0</v>
      </c>
      <c r="V112" s="89">
        <f t="shared" si="2"/>
        <v>0</v>
      </c>
      <c r="W112" s="89">
        <f t="shared" si="3"/>
        <v>0</v>
      </c>
      <c r="X112" s="89">
        <f t="shared" si="4"/>
        <v>0</v>
      </c>
      <c r="Y112" s="28"/>
    </row>
    <row r="113" spans="1:25" ht="20.25" customHeight="1">
      <c r="A113" s="88" t="str">
        <f>IF(BASE!B117="","",BASE!B117)</f>
        <v>23XXR102</v>
      </c>
      <c r="B113" s="121" t="s">
        <v>40</v>
      </c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89"/>
      <c r="R113" s="91">
        <f t="shared" si="0"/>
        <v>0</v>
      </c>
      <c r="S113" s="91">
        <f>BASE!A117</f>
        <v>102</v>
      </c>
      <c r="T113" s="89">
        <f t="shared" si="5"/>
        <v>0</v>
      </c>
      <c r="U113" s="89">
        <f t="shared" si="1"/>
        <v>0</v>
      </c>
      <c r="V113" s="89">
        <f t="shared" si="2"/>
        <v>0</v>
      </c>
      <c r="W113" s="89">
        <f t="shared" si="3"/>
        <v>0</v>
      </c>
      <c r="X113" s="89">
        <f t="shared" si="4"/>
        <v>0</v>
      </c>
      <c r="Y113" s="28"/>
    </row>
    <row r="114" spans="1:25" ht="20.25" customHeight="1">
      <c r="A114" s="88" t="str">
        <f>IF(BASE!B118="","",BASE!B118)</f>
        <v>23XXR103</v>
      </c>
      <c r="B114" s="121" t="s">
        <v>40</v>
      </c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89"/>
      <c r="R114" s="91">
        <f t="shared" si="0"/>
        <v>0</v>
      </c>
      <c r="S114" s="91">
        <f>BASE!A118</f>
        <v>103</v>
      </c>
      <c r="T114" s="89">
        <f t="shared" si="5"/>
        <v>0</v>
      </c>
      <c r="U114" s="89">
        <f t="shared" si="1"/>
        <v>0</v>
      </c>
      <c r="V114" s="89">
        <f t="shared" si="2"/>
        <v>0</v>
      </c>
      <c r="W114" s="89">
        <f t="shared" si="3"/>
        <v>0</v>
      </c>
      <c r="X114" s="89">
        <f t="shared" si="4"/>
        <v>0</v>
      </c>
      <c r="Y114" s="28"/>
    </row>
    <row r="115" spans="1:25" ht="20.25" customHeight="1">
      <c r="A115" s="88" t="str">
        <f>IF(BASE!B119="","",BASE!B119)</f>
        <v>23XXR104</v>
      </c>
      <c r="B115" s="121" t="s">
        <v>40</v>
      </c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89"/>
      <c r="R115" s="91">
        <f t="shared" si="0"/>
        <v>0</v>
      </c>
      <c r="S115" s="91">
        <f>BASE!A119</f>
        <v>104</v>
      </c>
      <c r="T115" s="89">
        <f t="shared" si="5"/>
        <v>0</v>
      </c>
      <c r="U115" s="89">
        <f t="shared" si="1"/>
        <v>0</v>
      </c>
      <c r="V115" s="89">
        <f t="shared" si="2"/>
        <v>0</v>
      </c>
      <c r="W115" s="89">
        <f t="shared" si="3"/>
        <v>0</v>
      </c>
      <c r="X115" s="89">
        <f t="shared" si="4"/>
        <v>0</v>
      </c>
      <c r="Y115" s="28"/>
    </row>
    <row r="116" spans="1:25" ht="20.25" customHeight="1">
      <c r="A116" s="88" t="str">
        <f>IF(BASE!B120="","",BASE!B120)</f>
        <v>23XXR105</v>
      </c>
      <c r="B116" s="121" t="s">
        <v>40</v>
      </c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89"/>
      <c r="R116" s="91">
        <f t="shared" si="0"/>
        <v>0</v>
      </c>
      <c r="S116" s="91">
        <f>BASE!A120</f>
        <v>105</v>
      </c>
      <c r="T116" s="89">
        <f t="shared" si="5"/>
        <v>0</v>
      </c>
      <c r="U116" s="89">
        <f t="shared" si="1"/>
        <v>0</v>
      </c>
      <c r="V116" s="89">
        <f t="shared" si="2"/>
        <v>0</v>
      </c>
      <c r="W116" s="89">
        <f t="shared" si="3"/>
        <v>0</v>
      </c>
      <c r="X116" s="89">
        <f t="shared" si="4"/>
        <v>0</v>
      </c>
      <c r="Y116" s="28"/>
    </row>
    <row r="117" spans="1:25" ht="20.25" customHeight="1">
      <c r="A117" s="88" t="str">
        <f>IF(BASE!B121="","",BASE!B121)</f>
        <v>23XXR106</v>
      </c>
      <c r="B117" s="121" t="s">
        <v>40</v>
      </c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89"/>
      <c r="R117" s="91">
        <f t="shared" si="0"/>
        <v>0</v>
      </c>
      <c r="S117" s="91">
        <f>BASE!A121</f>
        <v>106</v>
      </c>
      <c r="T117" s="89">
        <f t="shared" si="5"/>
        <v>0</v>
      </c>
      <c r="U117" s="89">
        <f t="shared" si="1"/>
        <v>0</v>
      </c>
      <c r="V117" s="89">
        <f t="shared" si="2"/>
        <v>0</v>
      </c>
      <c r="W117" s="89">
        <f t="shared" si="3"/>
        <v>0</v>
      </c>
      <c r="X117" s="89">
        <f t="shared" si="4"/>
        <v>0</v>
      </c>
      <c r="Y117" s="28"/>
    </row>
    <row r="118" spans="1:25" ht="20.25" customHeight="1">
      <c r="A118" s="88" t="str">
        <f>IF(BASE!B122="","",BASE!B122)</f>
        <v>23XXR107</v>
      </c>
      <c r="B118" s="121" t="s">
        <v>40</v>
      </c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89"/>
      <c r="R118" s="91">
        <f t="shared" si="0"/>
        <v>0</v>
      </c>
      <c r="S118" s="91">
        <f>BASE!A122</f>
        <v>107</v>
      </c>
      <c r="T118" s="89">
        <f t="shared" si="5"/>
        <v>0</v>
      </c>
      <c r="U118" s="89">
        <f t="shared" si="1"/>
        <v>0</v>
      </c>
      <c r="V118" s="89">
        <f t="shared" si="2"/>
        <v>0</v>
      </c>
      <c r="W118" s="89">
        <f t="shared" si="3"/>
        <v>0</v>
      </c>
      <c r="X118" s="89">
        <f t="shared" si="4"/>
        <v>0</v>
      </c>
      <c r="Y118" s="28"/>
    </row>
    <row r="119" spans="1:25" ht="20.25" customHeight="1">
      <c r="A119" s="88" t="str">
        <f>IF(BASE!B123="","",BASE!B123)</f>
        <v>23XXR108</v>
      </c>
      <c r="B119" s="121" t="s">
        <v>40</v>
      </c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89"/>
      <c r="R119" s="91">
        <f t="shared" si="0"/>
        <v>0</v>
      </c>
      <c r="S119" s="91">
        <f>BASE!A123</f>
        <v>108</v>
      </c>
      <c r="T119" s="89">
        <f t="shared" si="5"/>
        <v>0</v>
      </c>
      <c r="U119" s="89">
        <f t="shared" si="1"/>
        <v>0</v>
      </c>
      <c r="V119" s="89">
        <f t="shared" si="2"/>
        <v>0</v>
      </c>
      <c r="W119" s="89">
        <f t="shared" si="3"/>
        <v>0</v>
      </c>
      <c r="X119" s="89">
        <f t="shared" si="4"/>
        <v>0</v>
      </c>
      <c r="Y119" s="28"/>
    </row>
    <row r="120" spans="1:25" ht="20.25" customHeight="1">
      <c r="A120" s="88" t="str">
        <f>IF(BASE!B124="","",BASE!B124)</f>
        <v>23XXR109</v>
      </c>
      <c r="B120" s="121" t="s">
        <v>40</v>
      </c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89"/>
      <c r="R120" s="91">
        <f t="shared" si="0"/>
        <v>0</v>
      </c>
      <c r="S120" s="91">
        <f>BASE!A124</f>
        <v>109</v>
      </c>
      <c r="T120" s="89">
        <f t="shared" si="5"/>
        <v>0</v>
      </c>
      <c r="U120" s="89">
        <f t="shared" si="1"/>
        <v>0</v>
      </c>
      <c r="V120" s="89">
        <f t="shared" si="2"/>
        <v>0</v>
      </c>
      <c r="W120" s="89">
        <f t="shared" si="3"/>
        <v>0</v>
      </c>
      <c r="X120" s="89">
        <f t="shared" si="4"/>
        <v>0</v>
      </c>
      <c r="Y120" s="28"/>
    </row>
    <row r="121" spans="1:25" ht="20.25" customHeight="1">
      <c r="A121" s="88" t="str">
        <f>IF(BASE!B125="","",BASE!B125)</f>
        <v>23XXR110</v>
      </c>
      <c r="B121" s="121" t="s">
        <v>40</v>
      </c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89"/>
      <c r="R121" s="91">
        <f t="shared" si="0"/>
        <v>0</v>
      </c>
      <c r="S121" s="91">
        <f>BASE!A125</f>
        <v>110</v>
      </c>
      <c r="T121" s="89">
        <f t="shared" si="5"/>
        <v>0</v>
      </c>
      <c r="U121" s="89">
        <f t="shared" si="1"/>
        <v>0</v>
      </c>
      <c r="V121" s="89">
        <f t="shared" si="2"/>
        <v>0</v>
      </c>
      <c r="W121" s="89">
        <f t="shared" si="3"/>
        <v>0</v>
      </c>
      <c r="X121" s="89">
        <f t="shared" si="4"/>
        <v>0</v>
      </c>
      <c r="Y121" s="28"/>
    </row>
    <row r="122" spans="1:25" ht="20.25" customHeight="1">
      <c r="A122" s="88" t="str">
        <f>IF(BASE!B126="","",BASE!B126)</f>
        <v>23XXR111</v>
      </c>
      <c r="B122" s="121" t="s">
        <v>40</v>
      </c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89"/>
      <c r="R122" s="91">
        <f t="shared" si="0"/>
        <v>0</v>
      </c>
      <c r="S122" s="91">
        <f>BASE!A126</f>
        <v>111</v>
      </c>
      <c r="T122" s="89">
        <f t="shared" si="5"/>
        <v>0</v>
      </c>
      <c r="U122" s="89">
        <f t="shared" si="1"/>
        <v>0</v>
      </c>
      <c r="V122" s="89">
        <f t="shared" si="2"/>
        <v>0</v>
      </c>
      <c r="W122" s="89">
        <f t="shared" si="3"/>
        <v>0</v>
      </c>
      <c r="X122" s="89">
        <f t="shared" si="4"/>
        <v>0</v>
      </c>
      <c r="Y122" s="28"/>
    </row>
    <row r="123" spans="1:25" ht="20.25" customHeight="1">
      <c r="A123" s="88" t="str">
        <f>IF(BASE!B127="","",BASE!B127)</f>
        <v>23XXR112</v>
      </c>
      <c r="B123" s="121" t="s">
        <v>40</v>
      </c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89"/>
      <c r="R123" s="91">
        <f t="shared" si="0"/>
        <v>0</v>
      </c>
      <c r="S123" s="91">
        <f>BASE!A127</f>
        <v>112</v>
      </c>
      <c r="T123" s="89">
        <f t="shared" si="5"/>
        <v>0</v>
      </c>
      <c r="U123" s="89">
        <f t="shared" si="1"/>
        <v>0</v>
      </c>
      <c r="V123" s="89">
        <f t="shared" si="2"/>
        <v>0</v>
      </c>
      <c r="W123" s="89">
        <f t="shared" si="3"/>
        <v>0</v>
      </c>
      <c r="X123" s="89">
        <f t="shared" si="4"/>
        <v>0</v>
      </c>
      <c r="Y123" s="28"/>
    </row>
    <row r="124" spans="1:25" ht="20.25" customHeight="1">
      <c r="A124" s="88" t="str">
        <f>IF(BASE!B128="","",BASE!B128)</f>
        <v>23XXR113</v>
      </c>
      <c r="B124" s="121" t="s">
        <v>40</v>
      </c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89"/>
      <c r="R124" s="91">
        <f t="shared" si="0"/>
        <v>0</v>
      </c>
      <c r="S124" s="91">
        <f>BASE!A128</f>
        <v>113</v>
      </c>
      <c r="T124" s="89">
        <f t="shared" si="5"/>
        <v>0</v>
      </c>
      <c r="U124" s="89">
        <f t="shared" si="1"/>
        <v>0</v>
      </c>
      <c r="V124" s="89">
        <f t="shared" si="2"/>
        <v>0</v>
      </c>
      <c r="W124" s="89">
        <f t="shared" si="3"/>
        <v>0</v>
      </c>
      <c r="X124" s="89">
        <f t="shared" si="4"/>
        <v>0</v>
      </c>
      <c r="Y124" s="28"/>
    </row>
    <row r="125" spans="1:25" ht="20.25" customHeight="1">
      <c r="A125" s="88" t="str">
        <f>IF(BASE!B129="","",BASE!B129)</f>
        <v>23XXR114</v>
      </c>
      <c r="B125" s="121" t="s">
        <v>40</v>
      </c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89"/>
      <c r="R125" s="91">
        <f t="shared" si="0"/>
        <v>0</v>
      </c>
      <c r="S125" s="91">
        <f>BASE!A129</f>
        <v>114</v>
      </c>
      <c r="T125" s="89">
        <f t="shared" si="5"/>
        <v>0</v>
      </c>
      <c r="U125" s="89">
        <f t="shared" si="1"/>
        <v>0</v>
      </c>
      <c r="V125" s="89">
        <f t="shared" si="2"/>
        <v>0</v>
      </c>
      <c r="W125" s="89">
        <f t="shared" si="3"/>
        <v>0</v>
      </c>
      <c r="X125" s="89">
        <f t="shared" si="4"/>
        <v>0</v>
      </c>
      <c r="Y125" s="28"/>
    </row>
    <row r="126" spans="1:25" ht="20.25" customHeight="1">
      <c r="A126" s="88" t="str">
        <f>IF(BASE!B130="","",BASE!B130)</f>
        <v>23XXR115</v>
      </c>
      <c r="B126" s="121" t="s">
        <v>40</v>
      </c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89"/>
      <c r="R126" s="91">
        <f t="shared" si="0"/>
        <v>0</v>
      </c>
      <c r="S126" s="91">
        <f>BASE!A130</f>
        <v>115</v>
      </c>
      <c r="T126" s="89">
        <f t="shared" si="5"/>
        <v>0</v>
      </c>
      <c r="U126" s="89">
        <f t="shared" si="1"/>
        <v>0</v>
      </c>
      <c r="V126" s="89">
        <f t="shared" si="2"/>
        <v>0</v>
      </c>
      <c r="W126" s="89">
        <f t="shared" si="3"/>
        <v>0</v>
      </c>
      <c r="X126" s="89">
        <f t="shared" si="4"/>
        <v>0</v>
      </c>
      <c r="Y126" s="28"/>
    </row>
    <row r="127" spans="1:25" ht="20.25" customHeight="1">
      <c r="A127" s="88" t="str">
        <f>IF(BASE!B131="","",BASE!B131)</f>
        <v>23XXR116</v>
      </c>
      <c r="B127" s="121" t="s">
        <v>40</v>
      </c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89"/>
      <c r="R127" s="91">
        <f t="shared" si="0"/>
        <v>0</v>
      </c>
      <c r="S127" s="91">
        <f>BASE!A131</f>
        <v>116</v>
      </c>
      <c r="T127" s="89">
        <f t="shared" si="5"/>
        <v>0</v>
      </c>
      <c r="U127" s="89">
        <f t="shared" si="1"/>
        <v>0</v>
      </c>
      <c r="V127" s="89">
        <f t="shared" si="2"/>
        <v>0</v>
      </c>
      <c r="W127" s="89">
        <f t="shared" si="3"/>
        <v>0</v>
      </c>
      <c r="X127" s="89">
        <f t="shared" si="4"/>
        <v>0</v>
      </c>
      <c r="Y127" s="28"/>
    </row>
    <row r="128" spans="1:25" ht="20.25" customHeight="1">
      <c r="A128" s="88" t="str">
        <f>IF(BASE!B132="","",BASE!B132)</f>
        <v>23XXR117</v>
      </c>
      <c r="B128" s="121" t="s">
        <v>40</v>
      </c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89"/>
      <c r="R128" s="91">
        <f t="shared" si="0"/>
        <v>0</v>
      </c>
      <c r="S128" s="91">
        <f>BASE!A132</f>
        <v>117</v>
      </c>
      <c r="T128" s="89">
        <f t="shared" si="5"/>
        <v>0</v>
      </c>
      <c r="U128" s="89">
        <f t="shared" si="1"/>
        <v>0</v>
      </c>
      <c r="V128" s="89">
        <f t="shared" si="2"/>
        <v>0</v>
      </c>
      <c r="W128" s="89">
        <f t="shared" si="3"/>
        <v>0</v>
      </c>
      <c r="X128" s="89">
        <f t="shared" si="4"/>
        <v>0</v>
      </c>
      <c r="Y128" s="28"/>
    </row>
    <row r="129" spans="1:25" ht="20.25" customHeight="1">
      <c r="A129" s="88" t="str">
        <f>IF(BASE!B133="","",BASE!B133)</f>
        <v>23XXR118</v>
      </c>
      <c r="B129" s="121" t="s">
        <v>40</v>
      </c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89"/>
      <c r="R129" s="91">
        <f t="shared" si="0"/>
        <v>0</v>
      </c>
      <c r="S129" s="91">
        <f>BASE!A133</f>
        <v>118</v>
      </c>
      <c r="T129" s="89">
        <f t="shared" si="5"/>
        <v>0</v>
      </c>
      <c r="U129" s="89">
        <f t="shared" si="1"/>
        <v>0</v>
      </c>
      <c r="V129" s="89">
        <f t="shared" si="2"/>
        <v>0</v>
      </c>
      <c r="W129" s="89">
        <f t="shared" si="3"/>
        <v>0</v>
      </c>
      <c r="X129" s="89">
        <f t="shared" si="4"/>
        <v>0</v>
      </c>
      <c r="Y129" s="28"/>
    </row>
    <row r="130" spans="1:25" ht="20.25" customHeight="1">
      <c r="A130" s="88" t="str">
        <f>IF(BASE!B134="","",BASE!B134)</f>
        <v>23XXR119</v>
      </c>
      <c r="B130" s="121" t="s">
        <v>40</v>
      </c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89"/>
      <c r="R130" s="91">
        <f t="shared" si="0"/>
        <v>0</v>
      </c>
      <c r="S130" s="91">
        <f>BASE!A134</f>
        <v>119</v>
      </c>
      <c r="T130" s="89">
        <f t="shared" si="5"/>
        <v>0</v>
      </c>
      <c r="U130" s="89">
        <f t="shared" si="1"/>
        <v>0</v>
      </c>
      <c r="V130" s="89">
        <f t="shared" si="2"/>
        <v>0</v>
      </c>
      <c r="W130" s="89">
        <f t="shared" si="3"/>
        <v>0</v>
      </c>
      <c r="X130" s="89">
        <f t="shared" si="4"/>
        <v>0</v>
      </c>
      <c r="Y130" s="28"/>
    </row>
    <row r="131" spans="1:25" ht="20.25" customHeight="1">
      <c r="A131" s="88" t="str">
        <f>IF(BASE!B135="","",BASE!B135)</f>
        <v>23XXR120</v>
      </c>
      <c r="B131" s="121" t="s">
        <v>40</v>
      </c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89"/>
      <c r="R131" s="91">
        <f t="shared" si="0"/>
        <v>0</v>
      </c>
      <c r="S131" s="91">
        <f>BASE!A135</f>
        <v>120</v>
      </c>
      <c r="T131" s="89">
        <f t="shared" si="5"/>
        <v>0</v>
      </c>
      <c r="U131" s="89">
        <f t="shared" si="1"/>
        <v>0</v>
      </c>
      <c r="V131" s="89">
        <f t="shared" si="2"/>
        <v>0</v>
      </c>
      <c r="W131" s="89">
        <f t="shared" si="3"/>
        <v>0</v>
      </c>
      <c r="X131" s="89">
        <f t="shared" si="4"/>
        <v>0</v>
      </c>
      <c r="Y131" s="28"/>
    </row>
    <row r="132" spans="1:25" ht="20.25" customHeight="1">
      <c r="A132" s="88" t="str">
        <f>IF(BASE!B136="","",BASE!B136)</f>
        <v>23XXR121</v>
      </c>
      <c r="B132" s="121" t="s">
        <v>40</v>
      </c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89"/>
      <c r="R132" s="91">
        <f t="shared" si="0"/>
        <v>0</v>
      </c>
      <c r="S132" s="91">
        <f>BASE!A136</f>
        <v>121</v>
      </c>
      <c r="T132" s="89">
        <f t="shared" si="5"/>
        <v>0</v>
      </c>
      <c r="U132" s="89">
        <f t="shared" si="1"/>
        <v>0</v>
      </c>
      <c r="V132" s="89">
        <f t="shared" si="2"/>
        <v>0</v>
      </c>
      <c r="W132" s="89">
        <f t="shared" si="3"/>
        <v>0</v>
      </c>
      <c r="X132" s="89">
        <f t="shared" si="4"/>
        <v>0</v>
      </c>
      <c r="Y132" s="28"/>
    </row>
    <row r="133" spans="1:25" ht="20.25" customHeight="1">
      <c r="A133" s="88" t="str">
        <f>IF(BASE!B137="","",BASE!B137)</f>
        <v>23XXR122</v>
      </c>
      <c r="B133" s="121" t="s">
        <v>40</v>
      </c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89"/>
      <c r="R133" s="91">
        <f t="shared" si="0"/>
        <v>0</v>
      </c>
      <c r="S133" s="91">
        <f>BASE!A137</f>
        <v>122</v>
      </c>
      <c r="T133" s="89">
        <f t="shared" si="5"/>
        <v>0</v>
      </c>
      <c r="U133" s="89">
        <f t="shared" si="1"/>
        <v>0</v>
      </c>
      <c r="V133" s="89">
        <f t="shared" si="2"/>
        <v>0</v>
      </c>
      <c r="W133" s="89">
        <f t="shared" si="3"/>
        <v>0</v>
      </c>
      <c r="X133" s="89">
        <f t="shared" si="4"/>
        <v>0</v>
      </c>
      <c r="Y133" s="28"/>
    </row>
    <row r="134" spans="1:25" ht="20.25" customHeight="1">
      <c r="A134" s="88" t="str">
        <f>IF(BASE!B138="","",BASE!B138)</f>
        <v>23XXR123</v>
      </c>
      <c r="B134" s="121" t="s">
        <v>40</v>
      </c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89"/>
      <c r="R134" s="91">
        <f t="shared" si="0"/>
        <v>0</v>
      </c>
      <c r="S134" s="91">
        <f>BASE!A138</f>
        <v>123</v>
      </c>
      <c r="T134" s="89">
        <f t="shared" si="5"/>
        <v>0</v>
      </c>
      <c r="U134" s="89">
        <f t="shared" si="1"/>
        <v>0</v>
      </c>
      <c r="V134" s="89">
        <f t="shared" si="2"/>
        <v>0</v>
      </c>
      <c r="W134" s="89">
        <f t="shared" si="3"/>
        <v>0</v>
      </c>
      <c r="X134" s="89">
        <f t="shared" si="4"/>
        <v>0</v>
      </c>
      <c r="Y134" s="28"/>
    </row>
    <row r="135" spans="1:25" ht="20.25" customHeight="1">
      <c r="A135" s="88" t="str">
        <f>IF(BASE!B139="","",BASE!B139)</f>
        <v>23XXR124</v>
      </c>
      <c r="B135" s="121" t="s">
        <v>40</v>
      </c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89"/>
      <c r="R135" s="91">
        <f t="shared" si="0"/>
        <v>0</v>
      </c>
      <c r="S135" s="91">
        <f>BASE!A139</f>
        <v>124</v>
      </c>
      <c r="T135" s="89">
        <f t="shared" si="5"/>
        <v>0</v>
      </c>
      <c r="U135" s="89">
        <f t="shared" si="1"/>
        <v>0</v>
      </c>
      <c r="V135" s="89">
        <f t="shared" si="2"/>
        <v>0</v>
      </c>
      <c r="W135" s="89">
        <f t="shared" si="3"/>
        <v>0</v>
      </c>
      <c r="X135" s="89">
        <f t="shared" si="4"/>
        <v>0</v>
      </c>
      <c r="Y135" s="28"/>
    </row>
    <row r="136" spans="1:25" ht="20.25" customHeight="1">
      <c r="A136" s="88" t="str">
        <f>IF(BASE!B140="","",BASE!B140)</f>
        <v>23XXR125</v>
      </c>
      <c r="B136" s="121" t="s">
        <v>40</v>
      </c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89"/>
      <c r="R136" s="91">
        <f t="shared" si="0"/>
        <v>0</v>
      </c>
      <c r="S136" s="91">
        <f>BASE!A140</f>
        <v>125</v>
      </c>
      <c r="T136" s="89">
        <f t="shared" si="5"/>
        <v>0</v>
      </c>
      <c r="U136" s="89">
        <f t="shared" si="1"/>
        <v>0</v>
      </c>
      <c r="V136" s="89">
        <f t="shared" si="2"/>
        <v>0</v>
      </c>
      <c r="W136" s="89">
        <f t="shared" si="3"/>
        <v>0</v>
      </c>
      <c r="X136" s="89">
        <f t="shared" si="4"/>
        <v>0</v>
      </c>
      <c r="Y136" s="28"/>
    </row>
    <row r="137" spans="1:25" ht="20.25" customHeight="1">
      <c r="A137" s="88" t="str">
        <f>IF(BASE!B141="","",BASE!B141)</f>
        <v>23XXR126</v>
      </c>
      <c r="B137" s="121" t="s">
        <v>40</v>
      </c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89"/>
      <c r="R137" s="91">
        <f t="shared" si="0"/>
        <v>0</v>
      </c>
      <c r="S137" s="91">
        <f>BASE!A141</f>
        <v>126</v>
      </c>
      <c r="T137" s="89">
        <f t="shared" si="5"/>
        <v>0</v>
      </c>
      <c r="U137" s="89">
        <f t="shared" si="1"/>
        <v>0</v>
      </c>
      <c r="V137" s="89">
        <f t="shared" si="2"/>
        <v>0</v>
      </c>
      <c r="W137" s="89">
        <f t="shared" si="3"/>
        <v>0</v>
      </c>
      <c r="X137" s="89">
        <f t="shared" si="4"/>
        <v>0</v>
      </c>
      <c r="Y137" s="28"/>
    </row>
    <row r="138" spans="1:25" ht="20.25" customHeight="1">
      <c r="A138" s="88" t="str">
        <f>IF(BASE!B142="","",BASE!B142)</f>
        <v>23XXR127</v>
      </c>
      <c r="B138" s="121" t="s">
        <v>40</v>
      </c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89"/>
      <c r="R138" s="91">
        <f t="shared" si="0"/>
        <v>0</v>
      </c>
      <c r="S138" s="91">
        <f>BASE!A142</f>
        <v>127</v>
      </c>
      <c r="T138" s="89">
        <f t="shared" si="5"/>
        <v>0</v>
      </c>
      <c r="U138" s="89">
        <f t="shared" si="1"/>
        <v>0</v>
      </c>
      <c r="V138" s="89">
        <f t="shared" si="2"/>
        <v>0</v>
      </c>
      <c r="W138" s="89">
        <f t="shared" si="3"/>
        <v>0</v>
      </c>
      <c r="X138" s="89">
        <f t="shared" si="4"/>
        <v>0</v>
      </c>
      <c r="Y138" s="28"/>
    </row>
    <row r="139" spans="1:25" ht="20.25" customHeight="1">
      <c r="A139" s="88" t="str">
        <f>IF(BASE!B143="","",BASE!B143)</f>
        <v>23XXR128</v>
      </c>
      <c r="B139" s="121" t="s">
        <v>40</v>
      </c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89"/>
      <c r="R139" s="91">
        <f t="shared" si="0"/>
        <v>0</v>
      </c>
      <c r="S139" s="91">
        <f>BASE!A143</f>
        <v>128</v>
      </c>
      <c r="T139" s="89">
        <f t="shared" si="5"/>
        <v>0</v>
      </c>
      <c r="U139" s="89">
        <f t="shared" si="1"/>
        <v>0</v>
      </c>
      <c r="V139" s="89">
        <f t="shared" si="2"/>
        <v>0</v>
      </c>
      <c r="W139" s="89">
        <f t="shared" si="3"/>
        <v>0</v>
      </c>
      <c r="X139" s="89">
        <f t="shared" si="4"/>
        <v>0</v>
      </c>
      <c r="Y139" s="28"/>
    </row>
    <row r="140" spans="1:25" ht="20.25" customHeight="1">
      <c r="A140" s="88" t="str">
        <f>IF(BASE!B144="","",BASE!B144)</f>
        <v>23XXR129</v>
      </c>
      <c r="B140" s="121" t="s">
        <v>40</v>
      </c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89"/>
      <c r="R140" s="91">
        <f t="shared" si="0"/>
        <v>0</v>
      </c>
      <c r="S140" s="91">
        <f>BASE!A144</f>
        <v>129</v>
      </c>
      <c r="T140" s="89">
        <f t="shared" si="5"/>
        <v>0</v>
      </c>
      <c r="U140" s="89">
        <f t="shared" si="1"/>
        <v>0</v>
      </c>
      <c r="V140" s="89">
        <f t="shared" si="2"/>
        <v>0</v>
      </c>
      <c r="W140" s="89">
        <f t="shared" si="3"/>
        <v>0</v>
      </c>
      <c r="X140" s="89">
        <f t="shared" si="4"/>
        <v>0</v>
      </c>
      <c r="Y140" s="28"/>
    </row>
    <row r="141" spans="1:25" ht="20.25" customHeight="1">
      <c r="A141" s="88" t="str">
        <f>IF(BASE!B145="","",BASE!B145)</f>
        <v>23XXR130</v>
      </c>
      <c r="B141" s="121" t="s">
        <v>40</v>
      </c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89"/>
      <c r="R141" s="91">
        <f t="shared" si="0"/>
        <v>0</v>
      </c>
      <c r="S141" s="91">
        <f>BASE!A145</f>
        <v>130</v>
      </c>
      <c r="T141" s="89">
        <f t="shared" si="5"/>
        <v>0</v>
      </c>
      <c r="U141" s="89">
        <f t="shared" si="1"/>
        <v>0</v>
      </c>
      <c r="V141" s="89">
        <f t="shared" si="2"/>
        <v>0</v>
      </c>
      <c r="W141" s="89">
        <f t="shared" si="3"/>
        <v>0</v>
      </c>
      <c r="X141" s="89">
        <f t="shared" si="4"/>
        <v>0</v>
      </c>
      <c r="Y141" s="28"/>
    </row>
    <row r="142" spans="1:25" ht="20.25" customHeight="1">
      <c r="A142" s="88" t="str">
        <f>IF(BASE!B146="","",BASE!B146)</f>
        <v>23XXR131</v>
      </c>
      <c r="B142" s="121" t="s">
        <v>40</v>
      </c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89"/>
      <c r="R142" s="91">
        <f t="shared" si="0"/>
        <v>0</v>
      </c>
      <c r="S142" s="91">
        <f>BASE!A146</f>
        <v>131</v>
      </c>
      <c r="T142" s="89">
        <f t="shared" si="5"/>
        <v>0</v>
      </c>
      <c r="U142" s="89">
        <f t="shared" si="1"/>
        <v>0</v>
      </c>
      <c r="V142" s="89">
        <f t="shared" si="2"/>
        <v>0</v>
      </c>
      <c r="W142" s="89">
        <f t="shared" si="3"/>
        <v>0</v>
      </c>
      <c r="X142" s="89">
        <f t="shared" si="4"/>
        <v>0</v>
      </c>
      <c r="Y142" s="28"/>
    </row>
    <row r="143" spans="1:25" ht="20.25" customHeight="1">
      <c r="A143" s="88" t="str">
        <f>IF(BASE!B147="","",BASE!B147)</f>
        <v>23XXR132</v>
      </c>
      <c r="B143" s="121" t="s">
        <v>40</v>
      </c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89"/>
      <c r="R143" s="91">
        <f t="shared" si="0"/>
        <v>0</v>
      </c>
      <c r="S143" s="91">
        <f>BASE!A147</f>
        <v>132</v>
      </c>
      <c r="T143" s="89">
        <f t="shared" si="5"/>
        <v>0</v>
      </c>
      <c r="U143" s="89">
        <f t="shared" si="1"/>
        <v>0</v>
      </c>
      <c r="V143" s="89">
        <f t="shared" si="2"/>
        <v>0</v>
      </c>
      <c r="W143" s="89">
        <f t="shared" si="3"/>
        <v>0</v>
      </c>
      <c r="X143" s="89">
        <f t="shared" si="4"/>
        <v>0</v>
      </c>
      <c r="Y143" s="28"/>
    </row>
    <row r="144" spans="1:25" ht="20.25" customHeight="1">
      <c r="A144" s="88" t="str">
        <f>IF(BASE!B148="","",BASE!B148)</f>
        <v>23XXR133</v>
      </c>
      <c r="B144" s="121" t="s">
        <v>40</v>
      </c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89"/>
      <c r="R144" s="91">
        <f t="shared" si="0"/>
        <v>0</v>
      </c>
      <c r="S144" s="91">
        <f>BASE!A148</f>
        <v>133</v>
      </c>
      <c r="T144" s="89">
        <f t="shared" si="5"/>
        <v>0</v>
      </c>
      <c r="U144" s="89">
        <f t="shared" si="1"/>
        <v>0</v>
      </c>
      <c r="V144" s="89">
        <f t="shared" si="2"/>
        <v>0</v>
      </c>
      <c r="W144" s="89">
        <f t="shared" si="3"/>
        <v>0</v>
      </c>
      <c r="X144" s="89">
        <f t="shared" si="4"/>
        <v>0</v>
      </c>
      <c r="Y144" s="28"/>
    </row>
    <row r="145" spans="1:25" ht="20.25" customHeight="1">
      <c r="A145" s="88" t="str">
        <f>IF(BASE!B149="","",BASE!B149)</f>
        <v>23XXR134</v>
      </c>
      <c r="B145" s="121" t="s">
        <v>40</v>
      </c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89"/>
      <c r="R145" s="91">
        <f t="shared" si="0"/>
        <v>0</v>
      </c>
      <c r="S145" s="91">
        <f>BASE!A149</f>
        <v>134</v>
      </c>
      <c r="T145" s="89">
        <f t="shared" si="5"/>
        <v>0</v>
      </c>
      <c r="U145" s="89">
        <f t="shared" si="1"/>
        <v>0</v>
      </c>
      <c r="V145" s="89">
        <f t="shared" si="2"/>
        <v>0</v>
      </c>
      <c r="W145" s="89">
        <f t="shared" si="3"/>
        <v>0</v>
      </c>
      <c r="X145" s="89">
        <f t="shared" si="4"/>
        <v>0</v>
      </c>
      <c r="Y145" s="28"/>
    </row>
    <row r="146" spans="1:25" ht="20.25" customHeight="1">
      <c r="A146" s="88" t="str">
        <f>IF(BASE!B150="","",BASE!B150)</f>
        <v>23XXR135</v>
      </c>
      <c r="B146" s="121" t="s">
        <v>40</v>
      </c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89"/>
      <c r="R146" s="91">
        <f t="shared" si="0"/>
        <v>0</v>
      </c>
      <c r="S146" s="91">
        <f>BASE!A150</f>
        <v>135</v>
      </c>
      <c r="T146" s="89">
        <f t="shared" si="5"/>
        <v>0</v>
      </c>
      <c r="U146" s="89">
        <f t="shared" si="1"/>
        <v>0</v>
      </c>
      <c r="V146" s="89">
        <f t="shared" si="2"/>
        <v>0</v>
      </c>
      <c r="W146" s="89">
        <f t="shared" si="3"/>
        <v>0</v>
      </c>
      <c r="X146" s="89">
        <f t="shared" si="4"/>
        <v>0</v>
      </c>
      <c r="Y146" s="28"/>
    </row>
    <row r="147" spans="1:25" ht="20.25" customHeight="1">
      <c r="A147" s="88" t="str">
        <f>IF(BASE!B151="","",BASE!B151)</f>
        <v>23XXR136</v>
      </c>
      <c r="B147" s="121" t="s">
        <v>40</v>
      </c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89"/>
      <c r="R147" s="91">
        <f t="shared" si="0"/>
        <v>0</v>
      </c>
      <c r="S147" s="91">
        <f>BASE!A151</f>
        <v>136</v>
      </c>
      <c r="T147" s="89">
        <f t="shared" si="5"/>
        <v>0</v>
      </c>
      <c r="U147" s="89">
        <f t="shared" si="1"/>
        <v>0</v>
      </c>
      <c r="V147" s="89">
        <f t="shared" si="2"/>
        <v>0</v>
      </c>
      <c r="W147" s="89">
        <f t="shared" si="3"/>
        <v>0</v>
      </c>
      <c r="X147" s="89">
        <f t="shared" si="4"/>
        <v>0</v>
      </c>
      <c r="Y147" s="28"/>
    </row>
    <row r="148" spans="1:25" ht="20.25" customHeight="1">
      <c r="A148" s="88" t="str">
        <f>IF(BASE!B152="","",BASE!B152)</f>
        <v>23XXR137</v>
      </c>
      <c r="B148" s="121" t="s">
        <v>40</v>
      </c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89"/>
      <c r="R148" s="91">
        <f t="shared" si="0"/>
        <v>0</v>
      </c>
      <c r="S148" s="91">
        <f>BASE!A152</f>
        <v>137</v>
      </c>
      <c r="T148" s="89">
        <f t="shared" si="5"/>
        <v>0</v>
      </c>
      <c r="U148" s="89">
        <f t="shared" si="1"/>
        <v>0</v>
      </c>
      <c r="V148" s="89">
        <f t="shared" si="2"/>
        <v>0</v>
      </c>
      <c r="W148" s="89">
        <f t="shared" si="3"/>
        <v>0</v>
      </c>
      <c r="X148" s="89">
        <f t="shared" si="4"/>
        <v>0</v>
      </c>
      <c r="Y148" s="28"/>
    </row>
    <row r="149" spans="1:25" ht="20.25" customHeight="1">
      <c r="A149" s="88" t="str">
        <f>IF(BASE!B153="","",BASE!B153)</f>
        <v>23XXR138</v>
      </c>
      <c r="B149" s="121" t="s">
        <v>40</v>
      </c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89"/>
      <c r="R149" s="91">
        <f t="shared" si="0"/>
        <v>0</v>
      </c>
      <c r="S149" s="91">
        <f>BASE!A153</f>
        <v>138</v>
      </c>
      <c r="T149" s="89">
        <f t="shared" si="5"/>
        <v>0</v>
      </c>
      <c r="U149" s="89">
        <f t="shared" si="1"/>
        <v>0</v>
      </c>
      <c r="V149" s="89">
        <f t="shared" si="2"/>
        <v>0</v>
      </c>
      <c r="W149" s="89">
        <f t="shared" si="3"/>
        <v>0</v>
      </c>
      <c r="X149" s="89">
        <f t="shared" si="4"/>
        <v>0</v>
      </c>
      <c r="Y149" s="28"/>
    </row>
    <row r="150" spans="1:25" ht="20.25" customHeight="1">
      <c r="A150" s="88" t="str">
        <f>IF(BASE!B154="","",BASE!B154)</f>
        <v>23XXR139</v>
      </c>
      <c r="B150" s="121" t="s">
        <v>40</v>
      </c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89"/>
      <c r="R150" s="91">
        <f t="shared" si="0"/>
        <v>0</v>
      </c>
      <c r="S150" s="91">
        <f>BASE!A154</f>
        <v>139</v>
      </c>
      <c r="T150" s="89">
        <f t="shared" si="5"/>
        <v>0</v>
      </c>
      <c r="U150" s="89">
        <f t="shared" si="1"/>
        <v>0</v>
      </c>
      <c r="V150" s="89">
        <f t="shared" si="2"/>
        <v>0</v>
      </c>
      <c r="W150" s="89">
        <f t="shared" si="3"/>
        <v>0</v>
      </c>
      <c r="X150" s="89">
        <f t="shared" si="4"/>
        <v>0</v>
      </c>
      <c r="Y150" s="28"/>
    </row>
    <row r="151" spans="1:25" ht="20.25" customHeight="1">
      <c r="A151" s="88" t="str">
        <f>IF(BASE!B155="","",BASE!B155)</f>
        <v>23XXR140</v>
      </c>
      <c r="B151" s="121" t="s">
        <v>40</v>
      </c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89"/>
      <c r="R151" s="91">
        <f t="shared" si="0"/>
        <v>0</v>
      </c>
      <c r="S151" s="91">
        <f>BASE!A155</f>
        <v>140</v>
      </c>
      <c r="T151" s="89">
        <f t="shared" si="5"/>
        <v>0</v>
      </c>
      <c r="U151" s="89">
        <f t="shared" si="1"/>
        <v>0</v>
      </c>
      <c r="V151" s="89">
        <f t="shared" si="2"/>
        <v>0</v>
      </c>
      <c r="W151" s="89">
        <f t="shared" si="3"/>
        <v>0</v>
      </c>
      <c r="X151" s="89">
        <f t="shared" si="4"/>
        <v>0</v>
      </c>
      <c r="Y151" s="28"/>
    </row>
    <row r="152" spans="1:25" ht="20.25" customHeight="1">
      <c r="A152" s="88" t="str">
        <f>IF(BASE!B156="","",BASE!B156)</f>
        <v>23XXR141</v>
      </c>
      <c r="B152" s="121" t="s">
        <v>40</v>
      </c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89"/>
      <c r="R152" s="91">
        <f t="shared" si="0"/>
        <v>0</v>
      </c>
      <c r="S152" s="91">
        <f>BASE!A156</f>
        <v>141</v>
      </c>
      <c r="T152" s="89">
        <f t="shared" si="5"/>
        <v>0</v>
      </c>
      <c r="U152" s="89">
        <f t="shared" si="1"/>
        <v>0</v>
      </c>
      <c r="V152" s="89">
        <f t="shared" si="2"/>
        <v>0</v>
      </c>
      <c r="W152" s="89">
        <f t="shared" si="3"/>
        <v>0</v>
      </c>
      <c r="X152" s="89">
        <f t="shared" si="4"/>
        <v>0</v>
      </c>
      <c r="Y152" s="28"/>
    </row>
    <row r="153" spans="1:25" ht="20.25" customHeight="1">
      <c r="A153" s="88" t="str">
        <f>IF(BASE!B157="","",BASE!B157)</f>
        <v>23XXR142</v>
      </c>
      <c r="B153" s="121" t="s">
        <v>40</v>
      </c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89"/>
      <c r="R153" s="91">
        <f t="shared" si="0"/>
        <v>0</v>
      </c>
      <c r="S153" s="91">
        <f>BASE!A157</f>
        <v>142</v>
      </c>
      <c r="T153" s="89">
        <f t="shared" si="5"/>
        <v>0</v>
      </c>
      <c r="U153" s="89">
        <f t="shared" si="1"/>
        <v>0</v>
      </c>
      <c r="V153" s="89">
        <f t="shared" si="2"/>
        <v>0</v>
      </c>
      <c r="W153" s="89">
        <f t="shared" si="3"/>
        <v>0</v>
      </c>
      <c r="X153" s="89">
        <f t="shared" si="4"/>
        <v>0</v>
      </c>
      <c r="Y153" s="28"/>
    </row>
    <row r="154" spans="1:25" ht="20.25" customHeight="1">
      <c r="A154" s="88" t="str">
        <f>IF(BASE!B158="","",BASE!B158)</f>
        <v>23XXR143</v>
      </c>
      <c r="B154" s="121" t="s">
        <v>40</v>
      </c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89"/>
      <c r="R154" s="91">
        <f t="shared" si="0"/>
        <v>0</v>
      </c>
      <c r="S154" s="91">
        <f>BASE!A158</f>
        <v>143</v>
      </c>
      <c r="T154" s="89">
        <f t="shared" si="5"/>
        <v>0</v>
      </c>
      <c r="U154" s="89">
        <f t="shared" si="1"/>
        <v>0</v>
      </c>
      <c r="V154" s="89">
        <f t="shared" si="2"/>
        <v>0</v>
      </c>
      <c r="W154" s="89">
        <f t="shared" si="3"/>
        <v>0</v>
      </c>
      <c r="X154" s="89">
        <f t="shared" si="4"/>
        <v>0</v>
      </c>
      <c r="Y154" s="28"/>
    </row>
    <row r="155" spans="1:25" ht="20.25" customHeight="1">
      <c r="A155" s="88" t="str">
        <f>IF(BASE!B159="","",BASE!B159)</f>
        <v>23XXR144</v>
      </c>
      <c r="B155" s="121" t="s">
        <v>40</v>
      </c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89"/>
      <c r="R155" s="91">
        <f t="shared" si="0"/>
        <v>0</v>
      </c>
      <c r="S155" s="91">
        <f>BASE!A159</f>
        <v>144</v>
      </c>
      <c r="T155" s="89">
        <f t="shared" si="5"/>
        <v>0</v>
      </c>
      <c r="U155" s="89">
        <f t="shared" si="1"/>
        <v>0</v>
      </c>
      <c r="V155" s="89">
        <f t="shared" si="2"/>
        <v>0</v>
      </c>
      <c r="W155" s="89">
        <f t="shared" si="3"/>
        <v>0</v>
      </c>
      <c r="X155" s="89">
        <f t="shared" si="4"/>
        <v>0</v>
      </c>
      <c r="Y155" s="28"/>
    </row>
    <row r="156" spans="1:25" ht="20.25" customHeight="1">
      <c r="A156" s="88" t="str">
        <f>IF(BASE!B160="","",BASE!B160)</f>
        <v>23XXR145</v>
      </c>
      <c r="B156" s="121" t="s">
        <v>40</v>
      </c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89"/>
      <c r="R156" s="91">
        <f t="shared" si="0"/>
        <v>0</v>
      </c>
      <c r="S156" s="91">
        <f>BASE!A160</f>
        <v>145</v>
      </c>
      <c r="T156" s="89">
        <f t="shared" si="5"/>
        <v>0</v>
      </c>
      <c r="U156" s="89">
        <f t="shared" si="1"/>
        <v>0</v>
      </c>
      <c r="V156" s="89">
        <f t="shared" si="2"/>
        <v>0</v>
      </c>
      <c r="W156" s="89">
        <f t="shared" si="3"/>
        <v>0</v>
      </c>
      <c r="X156" s="89">
        <f t="shared" si="4"/>
        <v>0</v>
      </c>
      <c r="Y156" s="28"/>
    </row>
    <row r="157" spans="1:25" ht="20.25" customHeight="1">
      <c r="A157" s="88" t="str">
        <f>IF(BASE!B161="","",BASE!B161)</f>
        <v>23XXR146</v>
      </c>
      <c r="B157" s="121" t="s">
        <v>40</v>
      </c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89"/>
      <c r="R157" s="91">
        <f t="shared" si="0"/>
        <v>0</v>
      </c>
      <c r="S157" s="91">
        <f>BASE!A161</f>
        <v>146</v>
      </c>
      <c r="T157" s="89">
        <f t="shared" si="5"/>
        <v>0</v>
      </c>
      <c r="U157" s="89">
        <f t="shared" si="1"/>
        <v>0</v>
      </c>
      <c r="V157" s="89">
        <f t="shared" si="2"/>
        <v>0</v>
      </c>
      <c r="W157" s="89">
        <f t="shared" si="3"/>
        <v>0</v>
      </c>
      <c r="X157" s="89">
        <f t="shared" si="4"/>
        <v>0</v>
      </c>
      <c r="Y157" s="28"/>
    </row>
    <row r="158" spans="1:25" ht="20.25" customHeight="1">
      <c r="A158" s="88" t="str">
        <f>IF(BASE!B162="","",BASE!B162)</f>
        <v>23XXR147</v>
      </c>
      <c r="B158" s="121" t="s">
        <v>40</v>
      </c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89"/>
      <c r="R158" s="91">
        <f t="shared" si="0"/>
        <v>0</v>
      </c>
      <c r="S158" s="91">
        <f>BASE!A162</f>
        <v>147</v>
      </c>
      <c r="T158" s="89">
        <f t="shared" si="5"/>
        <v>0</v>
      </c>
      <c r="U158" s="89">
        <f t="shared" si="1"/>
        <v>0</v>
      </c>
      <c r="V158" s="89">
        <f t="shared" si="2"/>
        <v>0</v>
      </c>
      <c r="W158" s="89">
        <f t="shared" si="3"/>
        <v>0</v>
      </c>
      <c r="X158" s="89">
        <f t="shared" si="4"/>
        <v>0</v>
      </c>
      <c r="Y158" s="28"/>
    </row>
    <row r="159" spans="1:25" ht="20.25" customHeight="1">
      <c r="A159" s="88" t="str">
        <f>IF(BASE!B163="","",BASE!B163)</f>
        <v>23XXR148</v>
      </c>
      <c r="B159" s="121" t="s">
        <v>40</v>
      </c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89"/>
      <c r="R159" s="91">
        <f t="shared" si="0"/>
        <v>0</v>
      </c>
      <c r="S159" s="91">
        <f>BASE!A163</f>
        <v>148</v>
      </c>
      <c r="T159" s="89">
        <f t="shared" si="5"/>
        <v>0</v>
      </c>
      <c r="U159" s="89">
        <f t="shared" si="1"/>
        <v>0</v>
      </c>
      <c r="V159" s="89">
        <f t="shared" si="2"/>
        <v>0</v>
      </c>
      <c r="W159" s="89">
        <f t="shared" si="3"/>
        <v>0</v>
      </c>
      <c r="X159" s="89">
        <f t="shared" si="4"/>
        <v>0</v>
      </c>
      <c r="Y159" s="28"/>
    </row>
    <row r="160" spans="1:25" ht="20.25" customHeight="1">
      <c r="A160" s="88" t="str">
        <f>IF(BASE!B164="","",BASE!B164)</f>
        <v>23XXR149</v>
      </c>
      <c r="B160" s="121" t="s">
        <v>40</v>
      </c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89"/>
      <c r="R160" s="91">
        <f t="shared" si="0"/>
        <v>0</v>
      </c>
      <c r="S160" s="91">
        <f>BASE!A164</f>
        <v>149</v>
      </c>
      <c r="T160" s="89">
        <f t="shared" si="5"/>
        <v>0</v>
      </c>
      <c r="U160" s="89">
        <f t="shared" si="1"/>
        <v>0</v>
      </c>
      <c r="V160" s="89">
        <f t="shared" si="2"/>
        <v>0</v>
      </c>
      <c r="W160" s="89">
        <f t="shared" si="3"/>
        <v>0</v>
      </c>
      <c r="X160" s="89">
        <f t="shared" si="4"/>
        <v>0</v>
      </c>
      <c r="Y160" s="28"/>
    </row>
    <row r="161" spans="1:25" ht="20.25" customHeight="1">
      <c r="A161" s="88" t="str">
        <f>IF(BASE!B165="","",BASE!B165)</f>
        <v>23XXR150</v>
      </c>
      <c r="B161" s="121" t="s">
        <v>40</v>
      </c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89"/>
      <c r="R161" s="91">
        <f t="shared" si="0"/>
        <v>0</v>
      </c>
      <c r="S161" s="91">
        <f>BASE!A165</f>
        <v>150</v>
      </c>
      <c r="T161" s="89">
        <f t="shared" si="5"/>
        <v>0</v>
      </c>
      <c r="U161" s="89">
        <f t="shared" si="1"/>
        <v>0</v>
      </c>
      <c r="V161" s="89">
        <f t="shared" si="2"/>
        <v>0</v>
      </c>
      <c r="W161" s="89">
        <f t="shared" si="3"/>
        <v>0</v>
      </c>
      <c r="X161" s="89">
        <f t="shared" si="4"/>
        <v>0</v>
      </c>
      <c r="Y161" s="28"/>
    </row>
    <row r="162" spans="1:25" ht="20.25" customHeight="1">
      <c r="A162" s="88" t="str">
        <f>IF(BASE!B166="","",BASE!B166)</f>
        <v>23XXR151</v>
      </c>
      <c r="B162" s="121" t="s">
        <v>40</v>
      </c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89"/>
      <c r="R162" s="91">
        <f t="shared" si="0"/>
        <v>0</v>
      </c>
      <c r="S162" s="91">
        <f>BASE!A166</f>
        <v>151</v>
      </c>
      <c r="T162" s="89">
        <f t="shared" si="5"/>
        <v>0</v>
      </c>
      <c r="U162" s="89">
        <f t="shared" si="1"/>
        <v>0</v>
      </c>
      <c r="V162" s="89">
        <f t="shared" si="2"/>
        <v>0</v>
      </c>
      <c r="W162" s="89">
        <f t="shared" si="3"/>
        <v>0</v>
      </c>
      <c r="X162" s="89">
        <f t="shared" si="4"/>
        <v>0</v>
      </c>
      <c r="Y162" s="28"/>
    </row>
    <row r="163" spans="1:25" ht="20.25" customHeight="1">
      <c r="A163" s="88" t="str">
        <f>IF(BASE!B167="","",BASE!B167)</f>
        <v>23XXR152</v>
      </c>
      <c r="B163" s="121" t="s">
        <v>40</v>
      </c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89"/>
      <c r="R163" s="91">
        <f t="shared" si="0"/>
        <v>0</v>
      </c>
      <c r="S163" s="91">
        <f>BASE!A167</f>
        <v>152</v>
      </c>
      <c r="T163" s="89">
        <f t="shared" si="5"/>
        <v>0</v>
      </c>
      <c r="U163" s="89">
        <f t="shared" si="1"/>
        <v>0</v>
      </c>
      <c r="V163" s="89">
        <f t="shared" si="2"/>
        <v>0</v>
      </c>
      <c r="W163" s="89">
        <f t="shared" si="3"/>
        <v>0</v>
      </c>
      <c r="X163" s="89">
        <f t="shared" si="4"/>
        <v>0</v>
      </c>
      <c r="Y163" s="28"/>
    </row>
    <row r="164" spans="1:25" ht="20.25" customHeight="1">
      <c r="A164" s="88" t="str">
        <f>IF(BASE!B168="","",BASE!B168)</f>
        <v>23XXR153</v>
      </c>
      <c r="B164" s="121" t="s">
        <v>40</v>
      </c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89"/>
      <c r="R164" s="91">
        <f t="shared" si="0"/>
        <v>0</v>
      </c>
      <c r="S164" s="91">
        <f>BASE!A168</f>
        <v>153</v>
      </c>
      <c r="T164" s="89">
        <f t="shared" si="5"/>
        <v>0</v>
      </c>
      <c r="U164" s="89">
        <f t="shared" si="1"/>
        <v>0</v>
      </c>
      <c r="V164" s="89">
        <f t="shared" si="2"/>
        <v>0</v>
      </c>
      <c r="W164" s="89">
        <f t="shared" si="3"/>
        <v>0</v>
      </c>
      <c r="X164" s="89">
        <f t="shared" si="4"/>
        <v>0</v>
      </c>
      <c r="Y164" s="28"/>
    </row>
    <row r="165" spans="1:25" ht="20.25" customHeight="1">
      <c r="A165" s="88" t="str">
        <f>IF(BASE!B169="","",BASE!B169)</f>
        <v>23XXR154</v>
      </c>
      <c r="B165" s="121" t="s">
        <v>40</v>
      </c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89"/>
      <c r="R165" s="91">
        <f t="shared" si="0"/>
        <v>0</v>
      </c>
      <c r="S165" s="91">
        <f>BASE!A169</f>
        <v>154</v>
      </c>
      <c r="T165" s="89">
        <f t="shared" si="5"/>
        <v>0</v>
      </c>
      <c r="U165" s="89">
        <f t="shared" si="1"/>
        <v>0</v>
      </c>
      <c r="V165" s="89">
        <f t="shared" si="2"/>
        <v>0</v>
      </c>
      <c r="W165" s="89">
        <f t="shared" si="3"/>
        <v>0</v>
      </c>
      <c r="X165" s="89">
        <f t="shared" si="4"/>
        <v>0</v>
      </c>
      <c r="Y165" s="28"/>
    </row>
    <row r="166" spans="1:25" ht="20.25" customHeight="1">
      <c r="A166" s="88" t="str">
        <f>IF(BASE!B170="","",BASE!B170)</f>
        <v>23XXR155</v>
      </c>
      <c r="B166" s="121" t="s">
        <v>40</v>
      </c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89"/>
      <c r="R166" s="91">
        <f t="shared" si="0"/>
        <v>0</v>
      </c>
      <c r="S166" s="91">
        <f>BASE!A170</f>
        <v>155</v>
      </c>
      <c r="T166" s="89">
        <f t="shared" si="5"/>
        <v>0</v>
      </c>
      <c r="U166" s="89">
        <f t="shared" si="1"/>
        <v>0</v>
      </c>
      <c r="V166" s="89">
        <f t="shared" si="2"/>
        <v>0</v>
      </c>
      <c r="W166" s="89">
        <f t="shared" si="3"/>
        <v>0</v>
      </c>
      <c r="X166" s="89">
        <f t="shared" si="4"/>
        <v>0</v>
      </c>
      <c r="Y166" s="28"/>
    </row>
    <row r="167" spans="1:25" ht="20.25" customHeight="1">
      <c r="A167" s="88" t="str">
        <f>IF(BASE!B171="","",BASE!B171)</f>
        <v>23XXR156</v>
      </c>
      <c r="B167" s="121" t="s">
        <v>40</v>
      </c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89"/>
      <c r="R167" s="91">
        <f t="shared" si="0"/>
        <v>0</v>
      </c>
      <c r="S167" s="91">
        <f>BASE!A171</f>
        <v>156</v>
      </c>
      <c r="T167" s="89">
        <f t="shared" si="5"/>
        <v>0</v>
      </c>
      <c r="U167" s="89">
        <f t="shared" si="1"/>
        <v>0</v>
      </c>
      <c r="V167" s="89">
        <f t="shared" si="2"/>
        <v>0</v>
      </c>
      <c r="W167" s="89">
        <f t="shared" si="3"/>
        <v>0</v>
      </c>
      <c r="X167" s="89">
        <f t="shared" si="4"/>
        <v>0</v>
      </c>
      <c r="Y167" s="28"/>
    </row>
    <row r="168" spans="1:25" ht="20.25" customHeight="1">
      <c r="A168" s="88" t="str">
        <f>IF(BASE!B172="","",BASE!B172)</f>
        <v>23XXR157</v>
      </c>
      <c r="B168" s="121" t="s">
        <v>40</v>
      </c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89"/>
      <c r="R168" s="91">
        <f t="shared" si="0"/>
        <v>0</v>
      </c>
      <c r="S168" s="91">
        <f>BASE!A172</f>
        <v>157</v>
      </c>
      <c r="T168" s="89">
        <f t="shared" si="5"/>
        <v>0</v>
      </c>
      <c r="U168" s="89">
        <f t="shared" si="1"/>
        <v>0</v>
      </c>
      <c r="V168" s="89">
        <f t="shared" si="2"/>
        <v>0</v>
      </c>
      <c r="W168" s="89">
        <f t="shared" si="3"/>
        <v>0</v>
      </c>
      <c r="X168" s="89">
        <f t="shared" si="4"/>
        <v>0</v>
      </c>
      <c r="Y168" s="28"/>
    </row>
    <row r="169" spans="1:25" ht="20.25" customHeight="1">
      <c r="A169" s="88" t="str">
        <f>IF(BASE!B173="","",BASE!B173)</f>
        <v>23XXR158</v>
      </c>
      <c r="B169" s="121" t="s">
        <v>40</v>
      </c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89"/>
      <c r="R169" s="91">
        <f t="shared" si="0"/>
        <v>0</v>
      </c>
      <c r="S169" s="91">
        <f>BASE!A173</f>
        <v>158</v>
      </c>
      <c r="T169" s="89">
        <f t="shared" si="5"/>
        <v>0</v>
      </c>
      <c r="U169" s="89">
        <f t="shared" si="1"/>
        <v>0</v>
      </c>
      <c r="V169" s="89">
        <f t="shared" si="2"/>
        <v>0</v>
      </c>
      <c r="W169" s="89">
        <f t="shared" si="3"/>
        <v>0</v>
      </c>
      <c r="X169" s="89">
        <f t="shared" si="4"/>
        <v>0</v>
      </c>
      <c r="Y169" s="28"/>
    </row>
    <row r="170" spans="1:25" ht="20.25" customHeight="1">
      <c r="A170" s="88" t="str">
        <f>IF(BASE!B174="","",BASE!B174)</f>
        <v>23XXR159</v>
      </c>
      <c r="B170" s="121" t="s">
        <v>40</v>
      </c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89"/>
      <c r="R170" s="91">
        <f t="shared" si="0"/>
        <v>0</v>
      </c>
      <c r="S170" s="91">
        <f>BASE!A174</f>
        <v>159</v>
      </c>
      <c r="T170" s="89">
        <f t="shared" si="5"/>
        <v>0</v>
      </c>
      <c r="U170" s="89">
        <f t="shared" si="1"/>
        <v>0</v>
      </c>
      <c r="V170" s="89">
        <f t="shared" si="2"/>
        <v>0</v>
      </c>
      <c r="W170" s="89">
        <f t="shared" si="3"/>
        <v>0</v>
      </c>
      <c r="X170" s="89">
        <f t="shared" si="4"/>
        <v>0</v>
      </c>
      <c r="Y170" s="28"/>
    </row>
    <row r="171" spans="1:25" ht="20.25" customHeight="1">
      <c r="A171" s="88" t="str">
        <f>IF(BASE!B175="","",BASE!B175)</f>
        <v>23XXR160</v>
      </c>
      <c r="B171" s="121" t="s">
        <v>40</v>
      </c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89"/>
      <c r="R171" s="91">
        <f t="shared" si="0"/>
        <v>0</v>
      </c>
      <c r="S171" s="91">
        <f>BASE!A175</f>
        <v>160</v>
      </c>
      <c r="T171" s="89">
        <f t="shared" si="5"/>
        <v>0</v>
      </c>
      <c r="U171" s="89">
        <f t="shared" si="1"/>
        <v>0</v>
      </c>
      <c r="V171" s="89">
        <f t="shared" si="2"/>
        <v>0</v>
      </c>
      <c r="W171" s="89">
        <f t="shared" si="3"/>
        <v>0</v>
      </c>
      <c r="X171" s="89">
        <f t="shared" si="4"/>
        <v>0</v>
      </c>
      <c r="Y171" s="28"/>
    </row>
    <row r="172" spans="1:25" ht="20.25" customHeight="1">
      <c r="A172" s="88" t="str">
        <f>IF(BASE!B176="","",BASE!B176)</f>
        <v>23XXR161</v>
      </c>
      <c r="B172" s="121" t="s">
        <v>40</v>
      </c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89"/>
      <c r="R172" s="91">
        <f t="shared" si="0"/>
        <v>0</v>
      </c>
      <c r="S172" s="91">
        <f>BASE!A176</f>
        <v>161</v>
      </c>
      <c r="T172" s="89">
        <f t="shared" si="5"/>
        <v>0</v>
      </c>
      <c r="U172" s="89">
        <f t="shared" si="1"/>
        <v>0</v>
      </c>
      <c r="V172" s="89">
        <f t="shared" si="2"/>
        <v>0</v>
      </c>
      <c r="W172" s="89">
        <f t="shared" si="3"/>
        <v>0</v>
      </c>
      <c r="X172" s="89">
        <f t="shared" si="4"/>
        <v>0</v>
      </c>
      <c r="Y172" s="28"/>
    </row>
    <row r="173" spans="1:25" ht="20.25" customHeight="1">
      <c r="A173" s="88" t="str">
        <f>IF(BASE!B177="","",BASE!B177)</f>
        <v>23XXR162</v>
      </c>
      <c r="B173" s="121" t="s">
        <v>40</v>
      </c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89"/>
      <c r="R173" s="91">
        <f t="shared" si="0"/>
        <v>0</v>
      </c>
      <c r="S173" s="91">
        <f>BASE!A177</f>
        <v>162</v>
      </c>
      <c r="T173" s="89">
        <f t="shared" si="5"/>
        <v>0</v>
      </c>
      <c r="U173" s="89">
        <f t="shared" si="1"/>
        <v>0</v>
      </c>
      <c r="V173" s="89">
        <f t="shared" si="2"/>
        <v>0</v>
      </c>
      <c r="W173" s="89">
        <f t="shared" si="3"/>
        <v>0</v>
      </c>
      <c r="X173" s="89">
        <f t="shared" si="4"/>
        <v>0</v>
      </c>
      <c r="Y173" s="28"/>
    </row>
    <row r="174" spans="1:25" ht="20.25" customHeight="1">
      <c r="A174" s="88" t="str">
        <f>IF(BASE!B178="","",BASE!B178)</f>
        <v>23XXR163</v>
      </c>
      <c r="B174" s="121" t="s">
        <v>40</v>
      </c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89"/>
      <c r="R174" s="91">
        <f t="shared" si="0"/>
        <v>0</v>
      </c>
      <c r="S174" s="91">
        <f>BASE!A178</f>
        <v>163</v>
      </c>
      <c r="T174" s="89">
        <f t="shared" si="5"/>
        <v>0</v>
      </c>
      <c r="U174" s="89">
        <f t="shared" si="1"/>
        <v>0</v>
      </c>
      <c r="V174" s="89">
        <f t="shared" si="2"/>
        <v>0</v>
      </c>
      <c r="W174" s="89">
        <f t="shared" si="3"/>
        <v>0</v>
      </c>
      <c r="X174" s="89">
        <f t="shared" si="4"/>
        <v>0</v>
      </c>
      <c r="Y174" s="28"/>
    </row>
    <row r="175" spans="1:25" ht="20.25" customHeight="1">
      <c r="A175" s="88" t="str">
        <f>IF(BASE!B179="","",BASE!B179)</f>
        <v>23XXR164</v>
      </c>
      <c r="B175" s="121" t="s">
        <v>40</v>
      </c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89"/>
      <c r="R175" s="91">
        <f t="shared" si="0"/>
        <v>0</v>
      </c>
      <c r="S175" s="91">
        <f>BASE!A179</f>
        <v>164</v>
      </c>
      <c r="T175" s="89">
        <f t="shared" si="5"/>
        <v>0</v>
      </c>
      <c r="U175" s="89">
        <f t="shared" si="1"/>
        <v>0</v>
      </c>
      <c r="V175" s="89">
        <f t="shared" si="2"/>
        <v>0</v>
      </c>
      <c r="W175" s="89">
        <f t="shared" si="3"/>
        <v>0</v>
      </c>
      <c r="X175" s="89">
        <f t="shared" si="4"/>
        <v>0</v>
      </c>
      <c r="Y175" s="28"/>
    </row>
    <row r="176" spans="1:25" ht="20.25" customHeight="1">
      <c r="A176" s="88" t="str">
        <f>IF(BASE!B180="","",BASE!B180)</f>
        <v>23XXR165</v>
      </c>
      <c r="B176" s="121" t="s">
        <v>40</v>
      </c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89"/>
      <c r="R176" s="91">
        <f t="shared" si="0"/>
        <v>0</v>
      </c>
      <c r="S176" s="91">
        <f>BASE!A180</f>
        <v>165</v>
      </c>
      <c r="T176" s="89">
        <f t="shared" si="5"/>
        <v>0</v>
      </c>
      <c r="U176" s="89">
        <f t="shared" si="1"/>
        <v>0</v>
      </c>
      <c r="V176" s="89">
        <f t="shared" si="2"/>
        <v>0</v>
      </c>
      <c r="W176" s="89">
        <f t="shared" si="3"/>
        <v>0</v>
      </c>
      <c r="X176" s="89">
        <f t="shared" si="4"/>
        <v>0</v>
      </c>
      <c r="Y176" s="28"/>
    </row>
    <row r="177" spans="1:25" ht="20.25" customHeight="1">
      <c r="A177" s="88" t="str">
        <f>IF(BASE!B181="","",BASE!B181)</f>
        <v>23XXR166</v>
      </c>
      <c r="B177" s="121" t="s">
        <v>40</v>
      </c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89"/>
      <c r="R177" s="91">
        <f t="shared" si="0"/>
        <v>0</v>
      </c>
      <c r="S177" s="91">
        <f>BASE!A181</f>
        <v>166</v>
      </c>
      <c r="T177" s="89">
        <f t="shared" si="5"/>
        <v>0</v>
      </c>
      <c r="U177" s="89">
        <f t="shared" si="1"/>
        <v>0</v>
      </c>
      <c r="V177" s="89">
        <f t="shared" si="2"/>
        <v>0</v>
      </c>
      <c r="W177" s="89">
        <f t="shared" si="3"/>
        <v>0</v>
      </c>
      <c r="X177" s="89">
        <f t="shared" si="4"/>
        <v>0</v>
      </c>
      <c r="Y177" s="28"/>
    </row>
    <row r="178" spans="1:25" ht="20.25" customHeight="1">
      <c r="A178" s="88" t="str">
        <f>IF(BASE!B182="","",BASE!B182)</f>
        <v>23XXR167</v>
      </c>
      <c r="B178" s="121" t="s">
        <v>40</v>
      </c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89"/>
      <c r="R178" s="91">
        <f t="shared" si="0"/>
        <v>0</v>
      </c>
      <c r="S178" s="91">
        <f>BASE!A182</f>
        <v>167</v>
      </c>
      <c r="T178" s="89">
        <f t="shared" si="5"/>
        <v>0</v>
      </c>
      <c r="U178" s="89">
        <f t="shared" si="1"/>
        <v>0</v>
      </c>
      <c r="V178" s="89">
        <f t="shared" si="2"/>
        <v>0</v>
      </c>
      <c r="W178" s="89">
        <f t="shared" si="3"/>
        <v>0</v>
      </c>
      <c r="X178" s="89">
        <f t="shared" si="4"/>
        <v>0</v>
      </c>
      <c r="Y178" s="28"/>
    </row>
    <row r="179" spans="1:25" ht="20.25" customHeight="1">
      <c r="A179" s="88" t="str">
        <f>IF(BASE!B183="","",BASE!B183)</f>
        <v>23XXR168</v>
      </c>
      <c r="B179" s="121" t="s">
        <v>40</v>
      </c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89"/>
      <c r="R179" s="91">
        <f t="shared" si="0"/>
        <v>0</v>
      </c>
      <c r="S179" s="91">
        <f>BASE!A183</f>
        <v>168</v>
      </c>
      <c r="T179" s="89">
        <f t="shared" si="5"/>
        <v>0</v>
      </c>
      <c r="U179" s="89">
        <f t="shared" si="1"/>
        <v>0</v>
      </c>
      <c r="V179" s="89">
        <f t="shared" si="2"/>
        <v>0</v>
      </c>
      <c r="W179" s="89">
        <f t="shared" si="3"/>
        <v>0</v>
      </c>
      <c r="X179" s="89">
        <f t="shared" si="4"/>
        <v>0</v>
      </c>
      <c r="Y179" s="28"/>
    </row>
    <row r="180" spans="1:25" ht="20.25" customHeight="1">
      <c r="A180" s="88" t="str">
        <f>IF(BASE!B184="","",BASE!B184)</f>
        <v>23XXR169</v>
      </c>
      <c r="B180" s="121" t="s">
        <v>40</v>
      </c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89"/>
      <c r="R180" s="91">
        <f t="shared" si="0"/>
        <v>0</v>
      </c>
      <c r="S180" s="91">
        <f>BASE!A184</f>
        <v>169</v>
      </c>
      <c r="T180" s="89">
        <f t="shared" si="5"/>
        <v>0</v>
      </c>
      <c r="U180" s="89">
        <f t="shared" si="1"/>
        <v>0</v>
      </c>
      <c r="V180" s="89">
        <f t="shared" si="2"/>
        <v>0</v>
      </c>
      <c r="W180" s="89">
        <f t="shared" si="3"/>
        <v>0</v>
      </c>
      <c r="X180" s="89">
        <f t="shared" si="4"/>
        <v>0</v>
      </c>
      <c r="Y180" s="28"/>
    </row>
    <row r="181" spans="1:25" ht="20.25" customHeight="1">
      <c r="A181" s="88" t="str">
        <f>IF(BASE!B185="","",BASE!B185)</f>
        <v>23XXR170</v>
      </c>
      <c r="B181" s="121" t="s">
        <v>40</v>
      </c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89"/>
      <c r="R181" s="91">
        <f t="shared" si="0"/>
        <v>0</v>
      </c>
      <c r="S181" s="91">
        <f>BASE!A185</f>
        <v>170</v>
      </c>
      <c r="T181" s="89">
        <f t="shared" si="5"/>
        <v>0</v>
      </c>
      <c r="U181" s="89">
        <f t="shared" si="1"/>
        <v>0</v>
      </c>
      <c r="V181" s="89">
        <f t="shared" si="2"/>
        <v>0</v>
      </c>
      <c r="W181" s="89">
        <f t="shared" si="3"/>
        <v>0</v>
      </c>
      <c r="X181" s="89">
        <f t="shared" si="4"/>
        <v>0</v>
      </c>
      <c r="Y181" s="28"/>
    </row>
    <row r="182" spans="1:25" ht="20.25" customHeight="1">
      <c r="A182" s="88" t="str">
        <f>IF(BASE!B186="","",BASE!B186)</f>
        <v>23XXR171</v>
      </c>
      <c r="B182" s="121" t="s">
        <v>40</v>
      </c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89"/>
      <c r="R182" s="91">
        <f t="shared" si="0"/>
        <v>0</v>
      </c>
      <c r="S182" s="91">
        <f>BASE!A186</f>
        <v>171</v>
      </c>
      <c r="T182" s="89">
        <f t="shared" si="5"/>
        <v>0</v>
      </c>
      <c r="U182" s="89">
        <f t="shared" si="1"/>
        <v>0</v>
      </c>
      <c r="V182" s="89">
        <f t="shared" si="2"/>
        <v>0</v>
      </c>
      <c r="W182" s="89">
        <f t="shared" si="3"/>
        <v>0</v>
      </c>
      <c r="X182" s="89">
        <f t="shared" si="4"/>
        <v>0</v>
      </c>
      <c r="Y182" s="28"/>
    </row>
    <row r="183" spans="1:25" ht="20.25" customHeight="1">
      <c r="A183" s="88" t="str">
        <f>IF(BASE!B187="","",BASE!B187)</f>
        <v>23XXR172</v>
      </c>
      <c r="B183" s="121" t="s">
        <v>40</v>
      </c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89"/>
      <c r="R183" s="91">
        <f t="shared" si="0"/>
        <v>0</v>
      </c>
      <c r="S183" s="91">
        <f>BASE!A187</f>
        <v>172</v>
      </c>
      <c r="T183" s="89">
        <f t="shared" si="5"/>
        <v>0</v>
      </c>
      <c r="U183" s="89">
        <f t="shared" si="1"/>
        <v>0</v>
      </c>
      <c r="V183" s="89">
        <f t="shared" si="2"/>
        <v>0</v>
      </c>
      <c r="W183" s="89">
        <f t="shared" si="3"/>
        <v>0</v>
      </c>
      <c r="X183" s="89">
        <f t="shared" si="4"/>
        <v>0</v>
      </c>
      <c r="Y183" s="28"/>
    </row>
    <row r="184" spans="1:25" ht="20.25" customHeight="1">
      <c r="A184" s="88" t="str">
        <f>IF(BASE!B188="","",BASE!B188)</f>
        <v>23XXR173</v>
      </c>
      <c r="B184" s="121" t="s">
        <v>40</v>
      </c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89"/>
      <c r="R184" s="91">
        <f t="shared" si="0"/>
        <v>0</v>
      </c>
      <c r="S184" s="91">
        <f>BASE!A188</f>
        <v>173</v>
      </c>
      <c r="T184" s="89">
        <f t="shared" si="5"/>
        <v>0</v>
      </c>
      <c r="U184" s="89">
        <f t="shared" si="1"/>
        <v>0</v>
      </c>
      <c r="V184" s="89">
        <f t="shared" si="2"/>
        <v>0</v>
      </c>
      <c r="W184" s="89">
        <f t="shared" si="3"/>
        <v>0</v>
      </c>
      <c r="X184" s="89">
        <f t="shared" si="4"/>
        <v>0</v>
      </c>
      <c r="Y184" s="28"/>
    </row>
    <row r="185" spans="1:25" ht="20.25" customHeight="1">
      <c r="A185" s="88" t="str">
        <f>IF(BASE!B189="","",BASE!B189)</f>
        <v>23XXR174</v>
      </c>
      <c r="B185" s="121" t="s">
        <v>40</v>
      </c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89"/>
      <c r="R185" s="91">
        <f t="shared" si="0"/>
        <v>0</v>
      </c>
      <c r="S185" s="91">
        <f>BASE!A189</f>
        <v>174</v>
      </c>
      <c r="T185" s="89">
        <f t="shared" si="5"/>
        <v>0</v>
      </c>
      <c r="U185" s="89">
        <f t="shared" si="1"/>
        <v>0</v>
      </c>
      <c r="V185" s="89">
        <f t="shared" si="2"/>
        <v>0</v>
      </c>
      <c r="W185" s="89">
        <f t="shared" si="3"/>
        <v>0</v>
      </c>
      <c r="X185" s="89">
        <f t="shared" si="4"/>
        <v>0</v>
      </c>
      <c r="Y185" s="28"/>
    </row>
    <row r="186" spans="1:25" ht="20.25" customHeight="1">
      <c r="A186" s="88" t="str">
        <f>IF(BASE!B190="","",BASE!B190)</f>
        <v>23XXR175</v>
      </c>
      <c r="B186" s="121" t="s">
        <v>40</v>
      </c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89"/>
      <c r="R186" s="91">
        <f t="shared" si="0"/>
        <v>0</v>
      </c>
      <c r="S186" s="91">
        <f>BASE!A190</f>
        <v>175</v>
      </c>
      <c r="T186" s="89">
        <f t="shared" si="5"/>
        <v>0</v>
      </c>
      <c r="U186" s="89">
        <f t="shared" si="1"/>
        <v>0</v>
      </c>
      <c r="V186" s="89">
        <f t="shared" si="2"/>
        <v>0</v>
      </c>
      <c r="W186" s="89">
        <f t="shared" si="3"/>
        <v>0</v>
      </c>
      <c r="X186" s="89">
        <f t="shared" si="4"/>
        <v>0</v>
      </c>
      <c r="Y186" s="28"/>
    </row>
    <row r="187" spans="1:25" ht="20.25" customHeight="1">
      <c r="A187" s="88" t="str">
        <f>IF(BASE!B191="","",BASE!B191)</f>
        <v>23XXR176</v>
      </c>
      <c r="B187" s="121" t="s">
        <v>40</v>
      </c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89"/>
      <c r="R187" s="91">
        <f t="shared" si="0"/>
        <v>0</v>
      </c>
      <c r="S187" s="91">
        <f>BASE!A191</f>
        <v>176</v>
      </c>
      <c r="T187" s="89">
        <f t="shared" si="5"/>
        <v>0</v>
      </c>
      <c r="U187" s="89">
        <f t="shared" si="1"/>
        <v>0</v>
      </c>
      <c r="V187" s="89">
        <f t="shared" si="2"/>
        <v>0</v>
      </c>
      <c r="W187" s="89">
        <f t="shared" si="3"/>
        <v>0</v>
      </c>
      <c r="X187" s="89">
        <f t="shared" si="4"/>
        <v>0</v>
      </c>
      <c r="Y187" s="28"/>
    </row>
    <row r="188" spans="1:25" ht="20.25" customHeight="1">
      <c r="A188" s="88" t="str">
        <f>IF(BASE!B192="","",BASE!B192)</f>
        <v>23XXR177</v>
      </c>
      <c r="B188" s="121" t="s">
        <v>40</v>
      </c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89"/>
      <c r="R188" s="91">
        <f t="shared" si="0"/>
        <v>0</v>
      </c>
      <c r="S188" s="91">
        <f>BASE!A192</f>
        <v>177</v>
      </c>
      <c r="T188" s="89">
        <f t="shared" si="5"/>
        <v>0</v>
      </c>
      <c r="U188" s="89">
        <f t="shared" si="1"/>
        <v>0</v>
      </c>
      <c r="V188" s="89">
        <f t="shared" si="2"/>
        <v>0</v>
      </c>
      <c r="W188" s="89">
        <f t="shared" si="3"/>
        <v>0</v>
      </c>
      <c r="X188" s="89">
        <f t="shared" si="4"/>
        <v>0</v>
      </c>
      <c r="Y188" s="28"/>
    </row>
    <row r="189" spans="1:25" ht="20.25" customHeight="1">
      <c r="A189" s="88" t="str">
        <f>IF(BASE!B193="","",BASE!B193)</f>
        <v>23XXR178</v>
      </c>
      <c r="B189" s="121" t="s">
        <v>40</v>
      </c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89"/>
      <c r="R189" s="91">
        <f t="shared" si="0"/>
        <v>0</v>
      </c>
      <c r="S189" s="91">
        <f>BASE!A193</f>
        <v>178</v>
      </c>
      <c r="T189" s="89">
        <f t="shared" si="5"/>
        <v>0</v>
      </c>
      <c r="U189" s="89">
        <f t="shared" si="1"/>
        <v>0</v>
      </c>
      <c r="V189" s="89">
        <f t="shared" si="2"/>
        <v>0</v>
      </c>
      <c r="W189" s="89">
        <f t="shared" si="3"/>
        <v>0</v>
      </c>
      <c r="X189" s="89">
        <f t="shared" si="4"/>
        <v>0</v>
      </c>
      <c r="Y189" s="28"/>
    </row>
    <row r="190" spans="1:25" ht="20.25" customHeight="1">
      <c r="A190" s="88" t="str">
        <f>IF(BASE!B194="","",BASE!B194)</f>
        <v>23XXR179</v>
      </c>
      <c r="B190" s="121" t="s">
        <v>40</v>
      </c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89"/>
      <c r="R190" s="91">
        <f t="shared" si="0"/>
        <v>0</v>
      </c>
      <c r="S190" s="91">
        <f>BASE!A194</f>
        <v>179</v>
      </c>
      <c r="T190" s="89">
        <f t="shared" si="5"/>
        <v>0</v>
      </c>
      <c r="U190" s="89">
        <f t="shared" si="1"/>
        <v>0</v>
      </c>
      <c r="V190" s="89">
        <f t="shared" si="2"/>
        <v>0</v>
      </c>
      <c r="W190" s="89">
        <f t="shared" si="3"/>
        <v>0</v>
      </c>
      <c r="X190" s="89">
        <f t="shared" si="4"/>
        <v>0</v>
      </c>
      <c r="Y190" s="28"/>
    </row>
    <row r="191" spans="1:25" ht="20.25" customHeight="1">
      <c r="A191" s="88" t="str">
        <f>IF(BASE!B195="","",BASE!B195)</f>
        <v>23XXR180</v>
      </c>
      <c r="B191" s="121" t="s">
        <v>40</v>
      </c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89"/>
      <c r="R191" s="91">
        <f t="shared" si="0"/>
        <v>0</v>
      </c>
      <c r="S191" s="91">
        <f>BASE!A195</f>
        <v>180</v>
      </c>
      <c r="T191" s="89">
        <f t="shared" si="5"/>
        <v>0</v>
      </c>
      <c r="U191" s="89">
        <f t="shared" si="1"/>
        <v>0</v>
      </c>
      <c r="V191" s="89">
        <f t="shared" si="2"/>
        <v>0</v>
      </c>
      <c r="W191" s="89">
        <f t="shared" si="3"/>
        <v>0</v>
      </c>
      <c r="X191" s="89">
        <f t="shared" si="4"/>
        <v>0</v>
      </c>
      <c r="Y191" s="28"/>
    </row>
    <row r="192" spans="1:25" ht="20.25" customHeight="1">
      <c r="A192" s="88" t="str">
        <f>IF(BASE!B196="","",BASE!B196)</f>
        <v>23XXR181</v>
      </c>
      <c r="B192" s="121" t="s">
        <v>40</v>
      </c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89"/>
      <c r="R192" s="91">
        <f t="shared" si="0"/>
        <v>0</v>
      </c>
      <c r="S192" s="91">
        <f>BASE!A196</f>
        <v>181</v>
      </c>
      <c r="T192" s="89">
        <f t="shared" si="5"/>
        <v>0</v>
      </c>
      <c r="U192" s="89">
        <f t="shared" si="1"/>
        <v>0</v>
      </c>
      <c r="V192" s="89">
        <f t="shared" si="2"/>
        <v>0</v>
      </c>
      <c r="W192" s="89">
        <f t="shared" si="3"/>
        <v>0</v>
      </c>
      <c r="X192" s="89">
        <f t="shared" si="4"/>
        <v>0</v>
      </c>
      <c r="Y192" s="28"/>
    </row>
    <row r="193" spans="1:25" ht="20.25" customHeight="1">
      <c r="A193" s="88" t="str">
        <f>IF(BASE!B197="","",BASE!B197)</f>
        <v>23XXR182</v>
      </c>
      <c r="B193" s="121" t="s">
        <v>40</v>
      </c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89"/>
      <c r="R193" s="91">
        <f t="shared" si="0"/>
        <v>0</v>
      </c>
      <c r="S193" s="91">
        <f>BASE!A197</f>
        <v>182</v>
      </c>
      <c r="T193" s="89">
        <f t="shared" si="5"/>
        <v>0</v>
      </c>
      <c r="U193" s="89">
        <f t="shared" si="1"/>
        <v>0</v>
      </c>
      <c r="V193" s="89">
        <f t="shared" si="2"/>
        <v>0</v>
      </c>
      <c r="W193" s="89">
        <f t="shared" si="3"/>
        <v>0</v>
      </c>
      <c r="X193" s="89">
        <f t="shared" si="4"/>
        <v>0</v>
      </c>
      <c r="Y193" s="28"/>
    </row>
    <row r="194" spans="1:25" ht="20.25" customHeight="1">
      <c r="A194" s="88" t="str">
        <f>IF(BASE!B198="","",BASE!B198)</f>
        <v>23XXR183</v>
      </c>
      <c r="B194" s="121" t="s">
        <v>40</v>
      </c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89"/>
      <c r="R194" s="91">
        <f t="shared" si="0"/>
        <v>0</v>
      </c>
      <c r="S194" s="91">
        <f>BASE!A198</f>
        <v>183</v>
      </c>
      <c r="T194" s="89">
        <f t="shared" si="5"/>
        <v>0</v>
      </c>
      <c r="U194" s="89">
        <f t="shared" si="1"/>
        <v>0</v>
      </c>
      <c r="V194" s="89">
        <f t="shared" si="2"/>
        <v>0</v>
      </c>
      <c r="W194" s="89">
        <f t="shared" si="3"/>
        <v>0</v>
      </c>
      <c r="X194" s="89">
        <f t="shared" si="4"/>
        <v>0</v>
      </c>
      <c r="Y194" s="28"/>
    </row>
    <row r="195" spans="1:25" ht="20.25" customHeight="1">
      <c r="A195" s="88" t="str">
        <f>IF(BASE!B199="","",BASE!B199)</f>
        <v>23XXR184</v>
      </c>
      <c r="B195" s="121" t="s">
        <v>40</v>
      </c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89"/>
      <c r="R195" s="91">
        <f t="shared" si="0"/>
        <v>0</v>
      </c>
      <c r="S195" s="91">
        <f>BASE!A199</f>
        <v>184</v>
      </c>
      <c r="T195" s="89">
        <f t="shared" si="5"/>
        <v>0</v>
      </c>
      <c r="U195" s="89">
        <f t="shared" si="1"/>
        <v>0</v>
      </c>
      <c r="V195" s="89">
        <f t="shared" si="2"/>
        <v>0</v>
      </c>
      <c r="W195" s="89">
        <f t="shared" si="3"/>
        <v>0</v>
      </c>
      <c r="X195" s="89">
        <f t="shared" si="4"/>
        <v>0</v>
      </c>
      <c r="Y195" s="28"/>
    </row>
    <row r="196" spans="1:25" ht="20.25" customHeight="1">
      <c r="A196" s="88" t="str">
        <f>IF(BASE!B200="","",BASE!B200)</f>
        <v>23XXR185</v>
      </c>
      <c r="B196" s="121" t="s">
        <v>40</v>
      </c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89"/>
      <c r="R196" s="91">
        <f t="shared" si="0"/>
        <v>0</v>
      </c>
      <c r="S196" s="91">
        <f>BASE!A200</f>
        <v>185</v>
      </c>
      <c r="T196" s="89">
        <f t="shared" si="5"/>
        <v>0</v>
      </c>
      <c r="U196" s="89">
        <f t="shared" si="1"/>
        <v>0</v>
      </c>
      <c r="V196" s="89">
        <f t="shared" si="2"/>
        <v>0</v>
      </c>
      <c r="W196" s="89">
        <f t="shared" si="3"/>
        <v>0</v>
      </c>
      <c r="X196" s="89">
        <f t="shared" si="4"/>
        <v>0</v>
      </c>
      <c r="Y196" s="28"/>
    </row>
    <row r="197" spans="1:25" ht="20.25" customHeight="1">
      <c r="A197" s="88" t="str">
        <f>IF(BASE!B201="","",BASE!B201)</f>
        <v>23XXR186</v>
      </c>
      <c r="B197" s="121" t="s">
        <v>40</v>
      </c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89"/>
      <c r="R197" s="91">
        <f t="shared" si="0"/>
        <v>0</v>
      </c>
      <c r="S197" s="91">
        <f>BASE!A201</f>
        <v>186</v>
      </c>
      <c r="T197" s="89">
        <f t="shared" si="5"/>
        <v>0</v>
      </c>
      <c r="U197" s="89">
        <f t="shared" si="1"/>
        <v>0</v>
      </c>
      <c r="V197" s="89">
        <f t="shared" si="2"/>
        <v>0</v>
      </c>
      <c r="W197" s="89">
        <f t="shared" si="3"/>
        <v>0</v>
      </c>
      <c r="X197" s="89">
        <f t="shared" si="4"/>
        <v>0</v>
      </c>
      <c r="Y197" s="28"/>
    </row>
    <row r="198" spans="1:25" ht="20.25" customHeight="1">
      <c r="A198" s="88" t="str">
        <f>IF(BASE!B202="","",BASE!B202)</f>
        <v>23XXR187</v>
      </c>
      <c r="B198" s="121" t="s">
        <v>40</v>
      </c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89"/>
      <c r="R198" s="91">
        <f t="shared" si="0"/>
        <v>0</v>
      </c>
      <c r="S198" s="91">
        <f>BASE!A202</f>
        <v>187</v>
      </c>
      <c r="T198" s="89">
        <f t="shared" si="5"/>
        <v>0</v>
      </c>
      <c r="U198" s="89">
        <f t="shared" si="1"/>
        <v>0</v>
      </c>
      <c r="V198" s="89">
        <f t="shared" si="2"/>
        <v>0</v>
      </c>
      <c r="W198" s="89">
        <f t="shared" si="3"/>
        <v>0</v>
      </c>
      <c r="X198" s="89">
        <f t="shared" si="4"/>
        <v>0</v>
      </c>
      <c r="Y198" s="28"/>
    </row>
    <row r="199" spans="1:25" ht="20.25" customHeight="1">
      <c r="A199" s="88" t="str">
        <f>IF(BASE!B203="","",BASE!B203)</f>
        <v>23XXR188</v>
      </c>
      <c r="B199" s="121" t="s">
        <v>40</v>
      </c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89"/>
      <c r="R199" s="91">
        <f t="shared" si="0"/>
        <v>0</v>
      </c>
      <c r="S199" s="91">
        <f>BASE!A203</f>
        <v>188</v>
      </c>
      <c r="T199" s="89">
        <f t="shared" si="5"/>
        <v>0</v>
      </c>
      <c r="U199" s="89">
        <f t="shared" si="1"/>
        <v>0</v>
      </c>
      <c r="V199" s="89">
        <f t="shared" si="2"/>
        <v>0</v>
      </c>
      <c r="W199" s="89">
        <f t="shared" si="3"/>
        <v>0</v>
      </c>
      <c r="X199" s="89">
        <f t="shared" si="4"/>
        <v>0</v>
      </c>
      <c r="Y199" s="28"/>
    </row>
    <row r="200" spans="1:25" ht="20.25" customHeight="1">
      <c r="A200" s="88" t="str">
        <f>IF(BASE!B204="","",BASE!B204)</f>
        <v>23XXR189</v>
      </c>
      <c r="B200" s="121" t="s">
        <v>40</v>
      </c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89"/>
      <c r="R200" s="91">
        <f t="shared" si="0"/>
        <v>0</v>
      </c>
      <c r="S200" s="91">
        <f>BASE!A204</f>
        <v>189</v>
      </c>
      <c r="T200" s="89">
        <f t="shared" si="5"/>
        <v>0</v>
      </c>
      <c r="U200" s="89">
        <f t="shared" si="1"/>
        <v>0</v>
      </c>
      <c r="V200" s="89">
        <f t="shared" si="2"/>
        <v>0</v>
      </c>
      <c r="W200" s="89">
        <f t="shared" si="3"/>
        <v>0</v>
      </c>
      <c r="X200" s="89">
        <f t="shared" si="4"/>
        <v>0</v>
      </c>
      <c r="Y200" s="28"/>
    </row>
    <row r="201" spans="1:25" ht="20.25" customHeight="1">
      <c r="A201" s="88" t="str">
        <f>IF(BASE!B205="","",BASE!B205)</f>
        <v>23XXR190</v>
      </c>
      <c r="B201" s="121" t="s">
        <v>40</v>
      </c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89"/>
      <c r="R201" s="91">
        <f t="shared" si="0"/>
        <v>0</v>
      </c>
      <c r="S201" s="91">
        <f>BASE!A205</f>
        <v>190</v>
      </c>
      <c r="T201" s="89">
        <f t="shared" si="5"/>
        <v>0</v>
      </c>
      <c r="U201" s="89">
        <f t="shared" si="1"/>
        <v>0</v>
      </c>
      <c r="V201" s="89">
        <f t="shared" si="2"/>
        <v>0</v>
      </c>
      <c r="W201" s="89">
        <f t="shared" si="3"/>
        <v>0</v>
      </c>
      <c r="X201" s="89">
        <f t="shared" si="4"/>
        <v>0</v>
      </c>
      <c r="Y201" s="28"/>
    </row>
    <row r="202" spans="1:25" ht="20.25" customHeight="1">
      <c r="A202" s="88" t="str">
        <f>IF(BASE!B206="","",BASE!B206)</f>
        <v>23XXR191</v>
      </c>
      <c r="B202" s="121" t="s">
        <v>40</v>
      </c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89"/>
      <c r="R202" s="91">
        <f t="shared" si="0"/>
        <v>0</v>
      </c>
      <c r="S202" s="91">
        <f>BASE!A206</f>
        <v>191</v>
      </c>
      <c r="T202" s="89">
        <f t="shared" si="5"/>
        <v>0</v>
      </c>
      <c r="U202" s="89">
        <f t="shared" si="1"/>
        <v>0</v>
      </c>
      <c r="V202" s="89">
        <f t="shared" si="2"/>
        <v>0</v>
      </c>
      <c r="W202" s="89">
        <f t="shared" si="3"/>
        <v>0</v>
      </c>
      <c r="X202" s="89">
        <f t="shared" si="4"/>
        <v>0</v>
      </c>
      <c r="Y202" s="28"/>
    </row>
    <row r="203" spans="1:25" ht="20.25" customHeight="1">
      <c r="A203" s="88" t="str">
        <f>IF(BASE!B207="","",BASE!B207)</f>
        <v>23XXR192</v>
      </c>
      <c r="B203" s="121" t="s">
        <v>40</v>
      </c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89"/>
      <c r="R203" s="91">
        <f t="shared" si="0"/>
        <v>0</v>
      </c>
      <c r="S203" s="91">
        <f>BASE!A207</f>
        <v>192</v>
      </c>
      <c r="T203" s="89">
        <f t="shared" si="5"/>
        <v>0</v>
      </c>
      <c r="U203" s="89">
        <f t="shared" si="1"/>
        <v>0</v>
      </c>
      <c r="V203" s="89">
        <f t="shared" si="2"/>
        <v>0</v>
      </c>
      <c r="W203" s="89">
        <f t="shared" si="3"/>
        <v>0</v>
      </c>
      <c r="X203" s="89">
        <f t="shared" si="4"/>
        <v>0</v>
      </c>
      <c r="Y203" s="28"/>
    </row>
    <row r="204" spans="1:25" ht="20.25" customHeight="1">
      <c r="A204" s="88" t="str">
        <f>IF(BASE!B208="","",BASE!B208)</f>
        <v>23XXR193</v>
      </c>
      <c r="B204" s="121" t="s">
        <v>40</v>
      </c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89"/>
      <c r="R204" s="91">
        <f t="shared" si="0"/>
        <v>0</v>
      </c>
      <c r="S204" s="91">
        <f>BASE!A208</f>
        <v>193</v>
      </c>
      <c r="T204" s="89">
        <f t="shared" si="5"/>
        <v>0</v>
      </c>
      <c r="U204" s="89">
        <f t="shared" si="1"/>
        <v>0</v>
      </c>
      <c r="V204" s="89">
        <f t="shared" si="2"/>
        <v>0</v>
      </c>
      <c r="W204" s="89">
        <f t="shared" si="3"/>
        <v>0</v>
      </c>
      <c r="X204" s="89">
        <f t="shared" si="4"/>
        <v>0</v>
      </c>
      <c r="Y204" s="28"/>
    </row>
    <row r="205" spans="1:25" ht="20.25" customHeight="1">
      <c r="A205" s="88" t="str">
        <f>IF(BASE!B209="","",BASE!B209)</f>
        <v>23XXR194</v>
      </c>
      <c r="B205" s="121" t="s">
        <v>40</v>
      </c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89"/>
      <c r="R205" s="91">
        <f t="shared" si="0"/>
        <v>0</v>
      </c>
      <c r="S205" s="91">
        <f>BASE!A209</f>
        <v>194</v>
      </c>
      <c r="T205" s="89">
        <f t="shared" si="5"/>
        <v>0</v>
      </c>
      <c r="U205" s="89">
        <f t="shared" si="1"/>
        <v>0</v>
      </c>
      <c r="V205" s="89">
        <f t="shared" si="2"/>
        <v>0</v>
      </c>
      <c r="W205" s="89">
        <f t="shared" si="3"/>
        <v>0</v>
      </c>
      <c r="X205" s="89">
        <f t="shared" si="4"/>
        <v>0</v>
      </c>
      <c r="Y205" s="28"/>
    </row>
    <row r="206" spans="1:25" ht="20.25" customHeight="1">
      <c r="A206" s="88" t="str">
        <f>IF(BASE!B210="","",BASE!B210)</f>
        <v>23XXR195</v>
      </c>
      <c r="B206" s="121" t="s">
        <v>40</v>
      </c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89"/>
      <c r="R206" s="91">
        <f t="shared" si="0"/>
        <v>0</v>
      </c>
      <c r="S206" s="91">
        <f>BASE!A210</f>
        <v>195</v>
      </c>
      <c r="T206" s="89">
        <f t="shared" si="5"/>
        <v>0</v>
      </c>
      <c r="U206" s="89">
        <f t="shared" si="1"/>
        <v>0</v>
      </c>
      <c r="V206" s="89">
        <f t="shared" si="2"/>
        <v>0</v>
      </c>
      <c r="W206" s="89">
        <f t="shared" si="3"/>
        <v>0</v>
      </c>
      <c r="X206" s="89">
        <f t="shared" si="4"/>
        <v>0</v>
      </c>
      <c r="Y206" s="28"/>
    </row>
    <row r="207" spans="1:25" ht="20.25" customHeight="1">
      <c r="A207" s="88" t="str">
        <f>IF(BASE!B211="","",BASE!B211)</f>
        <v>23XXR196</v>
      </c>
      <c r="B207" s="121" t="s">
        <v>40</v>
      </c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89"/>
      <c r="R207" s="91">
        <f t="shared" si="0"/>
        <v>0</v>
      </c>
      <c r="S207" s="91">
        <f>BASE!A211</f>
        <v>196</v>
      </c>
      <c r="T207" s="89">
        <f t="shared" si="5"/>
        <v>0</v>
      </c>
      <c r="U207" s="89">
        <f t="shared" si="1"/>
        <v>0</v>
      </c>
      <c r="V207" s="89">
        <f t="shared" si="2"/>
        <v>0</v>
      </c>
      <c r="W207" s="89">
        <f t="shared" si="3"/>
        <v>0</v>
      </c>
      <c r="X207" s="89">
        <f t="shared" si="4"/>
        <v>0</v>
      </c>
      <c r="Y207" s="28"/>
    </row>
    <row r="208" spans="1:25" ht="20.25" customHeight="1">
      <c r="A208" s="88" t="str">
        <f>IF(BASE!B212="","",BASE!B212)</f>
        <v>23XXR197</v>
      </c>
      <c r="B208" s="121" t="s">
        <v>40</v>
      </c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89"/>
      <c r="R208" s="91">
        <f t="shared" si="0"/>
        <v>0</v>
      </c>
      <c r="S208" s="91">
        <f>BASE!A212</f>
        <v>197</v>
      </c>
      <c r="T208" s="89">
        <f t="shared" si="5"/>
        <v>0</v>
      </c>
      <c r="U208" s="89">
        <f t="shared" si="1"/>
        <v>0</v>
      </c>
      <c r="V208" s="89">
        <f t="shared" si="2"/>
        <v>0</v>
      </c>
      <c r="W208" s="89">
        <f t="shared" si="3"/>
        <v>0</v>
      </c>
      <c r="X208" s="89">
        <f t="shared" si="4"/>
        <v>0</v>
      </c>
      <c r="Y208" s="28"/>
    </row>
    <row r="209" spans="1:25" ht="20.25" customHeight="1">
      <c r="A209" s="88" t="str">
        <f>IF(BASE!B213="","",BASE!B213)</f>
        <v>23XXR198</v>
      </c>
      <c r="B209" s="121" t="s">
        <v>40</v>
      </c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89"/>
      <c r="R209" s="91">
        <f t="shared" si="0"/>
        <v>0</v>
      </c>
      <c r="S209" s="91">
        <f>BASE!A213</f>
        <v>198</v>
      </c>
      <c r="T209" s="89">
        <f t="shared" si="5"/>
        <v>0</v>
      </c>
      <c r="U209" s="89">
        <f t="shared" si="1"/>
        <v>0</v>
      </c>
      <c r="V209" s="89">
        <f t="shared" si="2"/>
        <v>0</v>
      </c>
      <c r="W209" s="89">
        <f t="shared" si="3"/>
        <v>0</v>
      </c>
      <c r="X209" s="89">
        <f t="shared" si="4"/>
        <v>0</v>
      </c>
      <c r="Y209" s="28"/>
    </row>
    <row r="210" spans="1:25" ht="20.25" customHeight="1">
      <c r="A210" s="88" t="str">
        <f>IF(BASE!B214="","",BASE!B214)</f>
        <v>23XXR199</v>
      </c>
      <c r="B210" s="121" t="s">
        <v>40</v>
      </c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89"/>
      <c r="R210" s="91">
        <f t="shared" si="0"/>
        <v>0</v>
      </c>
      <c r="S210" s="91">
        <f>BASE!A214</f>
        <v>199</v>
      </c>
      <c r="T210" s="89">
        <f t="shared" si="5"/>
        <v>0</v>
      </c>
      <c r="U210" s="89">
        <f t="shared" si="1"/>
        <v>0</v>
      </c>
      <c r="V210" s="89">
        <f t="shared" si="2"/>
        <v>0</v>
      </c>
      <c r="W210" s="89">
        <f t="shared" si="3"/>
        <v>0</v>
      </c>
      <c r="X210" s="89">
        <f t="shared" si="4"/>
        <v>0</v>
      </c>
      <c r="Y210" s="28"/>
    </row>
    <row r="211" spans="1:25" ht="20.25" customHeight="1">
      <c r="A211" s="88" t="str">
        <f>IF(BASE!B215="","",BASE!B215)</f>
        <v>23XXR200</v>
      </c>
      <c r="B211" s="121" t="s">
        <v>40</v>
      </c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89"/>
      <c r="R211" s="91">
        <f t="shared" si="0"/>
        <v>0</v>
      </c>
      <c r="S211" s="91">
        <f>BASE!A215</f>
        <v>200</v>
      </c>
      <c r="T211" s="89">
        <f t="shared" si="5"/>
        <v>0</v>
      </c>
      <c r="U211" s="89">
        <f t="shared" si="1"/>
        <v>0</v>
      </c>
      <c r="V211" s="89">
        <f t="shared" si="2"/>
        <v>0</v>
      </c>
      <c r="W211" s="89">
        <f t="shared" si="3"/>
        <v>0</v>
      </c>
      <c r="X211" s="89">
        <f t="shared" si="4"/>
        <v>0</v>
      </c>
      <c r="Y211" s="28"/>
    </row>
    <row r="212" spans="1:25" ht="20.25" customHeight="1">
      <c r="A212" s="88" t="str">
        <f>IF(BASE!B216="","",BASE!B216)</f>
        <v>23XXR201</v>
      </c>
      <c r="B212" s="121" t="s">
        <v>40</v>
      </c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89"/>
      <c r="R212" s="91">
        <f t="shared" si="0"/>
        <v>0</v>
      </c>
      <c r="S212" s="91">
        <f>BASE!A216</f>
        <v>201</v>
      </c>
      <c r="T212" s="89">
        <f t="shared" si="5"/>
        <v>0</v>
      </c>
      <c r="U212" s="89">
        <f t="shared" si="1"/>
        <v>0</v>
      </c>
      <c r="V212" s="89">
        <f t="shared" si="2"/>
        <v>0</v>
      </c>
      <c r="W212" s="89">
        <f t="shared" si="3"/>
        <v>0</v>
      </c>
      <c r="X212" s="89">
        <f t="shared" si="4"/>
        <v>0</v>
      </c>
      <c r="Y212" s="28"/>
    </row>
    <row r="213" spans="1:25" ht="20.25" customHeight="1">
      <c r="A213" s="88" t="str">
        <f>IF(BASE!B217="","",BASE!B217)</f>
        <v>23XXR202</v>
      </c>
      <c r="B213" s="121" t="s">
        <v>40</v>
      </c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89"/>
      <c r="R213" s="91">
        <f t="shared" si="0"/>
        <v>0</v>
      </c>
      <c r="S213" s="91">
        <f>BASE!A217</f>
        <v>202</v>
      </c>
      <c r="T213" s="89">
        <f t="shared" si="5"/>
        <v>0</v>
      </c>
      <c r="U213" s="89">
        <f t="shared" si="1"/>
        <v>0</v>
      </c>
      <c r="V213" s="89">
        <f t="shared" si="2"/>
        <v>0</v>
      </c>
      <c r="W213" s="89">
        <f t="shared" si="3"/>
        <v>0</v>
      </c>
      <c r="X213" s="89">
        <f t="shared" si="4"/>
        <v>0</v>
      </c>
      <c r="Y213" s="28"/>
    </row>
    <row r="214" spans="1:25" ht="20.25" customHeight="1">
      <c r="A214" s="88" t="str">
        <f>IF(BASE!B218="","",BASE!B218)</f>
        <v>23XXR203</v>
      </c>
      <c r="B214" s="121" t="s">
        <v>40</v>
      </c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89"/>
      <c r="R214" s="91">
        <f t="shared" si="0"/>
        <v>0</v>
      </c>
      <c r="S214" s="91">
        <f>BASE!A218</f>
        <v>203</v>
      </c>
      <c r="T214" s="89">
        <f t="shared" si="5"/>
        <v>0</v>
      </c>
      <c r="U214" s="89">
        <f t="shared" si="1"/>
        <v>0</v>
      </c>
      <c r="V214" s="89">
        <f t="shared" si="2"/>
        <v>0</v>
      </c>
      <c r="W214" s="89">
        <f t="shared" si="3"/>
        <v>0</v>
      </c>
      <c r="X214" s="89">
        <f t="shared" si="4"/>
        <v>0</v>
      </c>
      <c r="Y214" s="28"/>
    </row>
    <row r="215" spans="1:25" ht="20.25" customHeight="1">
      <c r="A215" s="88" t="str">
        <f>IF(BASE!B219="","",BASE!B219)</f>
        <v>23XXR204</v>
      </c>
      <c r="B215" s="121" t="s">
        <v>40</v>
      </c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89"/>
      <c r="R215" s="91">
        <f t="shared" si="0"/>
        <v>0</v>
      </c>
      <c r="S215" s="91">
        <f>BASE!A219</f>
        <v>204</v>
      </c>
      <c r="T215" s="89">
        <f t="shared" si="5"/>
        <v>0</v>
      </c>
      <c r="U215" s="89">
        <f t="shared" si="1"/>
        <v>0</v>
      </c>
      <c r="V215" s="89">
        <f t="shared" si="2"/>
        <v>0</v>
      </c>
      <c r="W215" s="89">
        <f t="shared" si="3"/>
        <v>0</v>
      </c>
      <c r="X215" s="89">
        <f t="shared" si="4"/>
        <v>0</v>
      </c>
      <c r="Y215" s="28"/>
    </row>
    <row r="216" spans="1:25" ht="20.25" customHeight="1">
      <c r="A216" s="88" t="str">
        <f>IF(BASE!B220="","",BASE!B220)</f>
        <v>23XXR205</v>
      </c>
      <c r="B216" s="121" t="s">
        <v>40</v>
      </c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89"/>
      <c r="R216" s="91">
        <f t="shared" si="0"/>
        <v>0</v>
      </c>
      <c r="S216" s="91">
        <f>BASE!A220</f>
        <v>205</v>
      </c>
      <c r="T216" s="89">
        <f t="shared" si="5"/>
        <v>0</v>
      </c>
      <c r="U216" s="89">
        <f t="shared" si="1"/>
        <v>0</v>
      </c>
      <c r="V216" s="89">
        <f t="shared" si="2"/>
        <v>0</v>
      </c>
      <c r="W216" s="89">
        <f t="shared" si="3"/>
        <v>0</v>
      </c>
      <c r="X216" s="89">
        <f t="shared" si="4"/>
        <v>0</v>
      </c>
      <c r="Y216" s="28"/>
    </row>
    <row r="217" spans="1:25" ht="20.25" customHeight="1">
      <c r="A217" s="88" t="str">
        <f>IF(BASE!B221="","",BASE!B221)</f>
        <v>23XXR206</v>
      </c>
      <c r="B217" s="121" t="s">
        <v>40</v>
      </c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89"/>
      <c r="R217" s="91">
        <f t="shared" si="0"/>
        <v>0</v>
      </c>
      <c r="S217" s="91">
        <f>BASE!A221</f>
        <v>206</v>
      </c>
      <c r="T217" s="89">
        <f t="shared" si="5"/>
        <v>0</v>
      </c>
      <c r="U217" s="89">
        <f t="shared" si="1"/>
        <v>0</v>
      </c>
      <c r="V217" s="89">
        <f t="shared" si="2"/>
        <v>0</v>
      </c>
      <c r="W217" s="89">
        <f t="shared" si="3"/>
        <v>0</v>
      </c>
      <c r="X217" s="89">
        <f t="shared" si="4"/>
        <v>0</v>
      </c>
      <c r="Y217" s="28"/>
    </row>
    <row r="218" spans="1:25" ht="20.25" customHeight="1">
      <c r="A218" s="88" t="str">
        <f>IF(BASE!B222="","",BASE!B222)</f>
        <v>23XXR207</v>
      </c>
      <c r="B218" s="121" t="s">
        <v>40</v>
      </c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89"/>
      <c r="R218" s="91">
        <f t="shared" si="0"/>
        <v>0</v>
      </c>
      <c r="S218" s="91">
        <f>BASE!A222</f>
        <v>207</v>
      </c>
      <c r="T218" s="89">
        <f t="shared" si="5"/>
        <v>0</v>
      </c>
      <c r="U218" s="89">
        <f t="shared" si="1"/>
        <v>0</v>
      </c>
      <c r="V218" s="89">
        <f t="shared" si="2"/>
        <v>0</v>
      </c>
      <c r="W218" s="89">
        <f t="shared" si="3"/>
        <v>0</v>
      </c>
      <c r="X218" s="89">
        <f t="shared" si="4"/>
        <v>0</v>
      </c>
      <c r="Y218" s="28"/>
    </row>
    <row r="219" spans="1:25" ht="20.25" customHeight="1">
      <c r="A219" s="88" t="str">
        <f>IF(BASE!B223="","",BASE!B223)</f>
        <v>23XXR208</v>
      </c>
      <c r="B219" s="121" t="s">
        <v>40</v>
      </c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89"/>
      <c r="R219" s="91">
        <f t="shared" si="0"/>
        <v>0</v>
      </c>
      <c r="S219" s="91">
        <f>BASE!A223</f>
        <v>208</v>
      </c>
      <c r="T219" s="89">
        <f t="shared" si="5"/>
        <v>0</v>
      </c>
      <c r="U219" s="89">
        <f t="shared" si="1"/>
        <v>0</v>
      </c>
      <c r="V219" s="89">
        <f t="shared" si="2"/>
        <v>0</v>
      </c>
      <c r="W219" s="89">
        <f t="shared" si="3"/>
        <v>0</v>
      </c>
      <c r="X219" s="89">
        <f t="shared" si="4"/>
        <v>0</v>
      </c>
      <c r="Y219" s="28"/>
    </row>
    <row r="220" spans="1:25" ht="20.25" customHeight="1">
      <c r="A220" s="88" t="str">
        <f>IF(BASE!B224="","",BASE!B224)</f>
        <v>23XXR209</v>
      </c>
      <c r="B220" s="121" t="s">
        <v>40</v>
      </c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89"/>
      <c r="R220" s="91">
        <f t="shared" si="0"/>
        <v>0</v>
      </c>
      <c r="S220" s="91">
        <f>BASE!A224</f>
        <v>209</v>
      </c>
      <c r="T220" s="89">
        <f t="shared" si="5"/>
        <v>0</v>
      </c>
      <c r="U220" s="89">
        <f t="shared" si="1"/>
        <v>0</v>
      </c>
      <c r="V220" s="89">
        <f t="shared" si="2"/>
        <v>0</v>
      </c>
      <c r="W220" s="89">
        <f t="shared" si="3"/>
        <v>0</v>
      </c>
      <c r="X220" s="89">
        <f t="shared" si="4"/>
        <v>0</v>
      </c>
      <c r="Y220" s="28"/>
    </row>
    <row r="221" spans="1:25" ht="20.25" customHeight="1">
      <c r="A221" s="88" t="str">
        <f>IF(BASE!B225="","",BASE!B225)</f>
        <v>23XXR210</v>
      </c>
      <c r="B221" s="121" t="s">
        <v>40</v>
      </c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89"/>
      <c r="R221" s="91">
        <f t="shared" si="0"/>
        <v>0</v>
      </c>
      <c r="S221" s="91">
        <f>BASE!A225</f>
        <v>210</v>
      </c>
      <c r="T221" s="89">
        <f t="shared" si="5"/>
        <v>0</v>
      </c>
      <c r="U221" s="89">
        <f t="shared" si="1"/>
        <v>0</v>
      </c>
      <c r="V221" s="89">
        <f t="shared" si="2"/>
        <v>0</v>
      </c>
      <c r="W221" s="89">
        <f t="shared" si="3"/>
        <v>0</v>
      </c>
      <c r="X221" s="89">
        <f t="shared" si="4"/>
        <v>0</v>
      </c>
      <c r="Y221" s="28"/>
    </row>
    <row r="222" spans="1:25" ht="20.25" customHeight="1">
      <c r="A222" s="88" t="str">
        <f>IF(BASE!B226="","",BASE!B226)</f>
        <v>23XXR211</v>
      </c>
      <c r="B222" s="121" t="s">
        <v>40</v>
      </c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89"/>
      <c r="R222" s="91">
        <f t="shared" si="0"/>
        <v>0</v>
      </c>
      <c r="S222" s="91">
        <f>BASE!A226</f>
        <v>211</v>
      </c>
      <c r="T222" s="89">
        <f t="shared" si="5"/>
        <v>0</v>
      </c>
      <c r="U222" s="89">
        <f t="shared" si="1"/>
        <v>0</v>
      </c>
      <c r="V222" s="89">
        <f t="shared" si="2"/>
        <v>0</v>
      </c>
      <c r="W222" s="89">
        <f t="shared" si="3"/>
        <v>0</v>
      </c>
      <c r="X222" s="89">
        <f t="shared" si="4"/>
        <v>0</v>
      </c>
      <c r="Y222" s="28"/>
    </row>
    <row r="223" spans="1:25" ht="20.25" customHeight="1">
      <c r="A223" s="88" t="str">
        <f>IF(BASE!B227="","",BASE!B227)</f>
        <v>23XXR212</v>
      </c>
      <c r="B223" s="121" t="s">
        <v>40</v>
      </c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89"/>
      <c r="R223" s="91">
        <f t="shared" si="0"/>
        <v>0</v>
      </c>
      <c r="S223" s="91">
        <f>BASE!A227</f>
        <v>212</v>
      </c>
      <c r="T223" s="89">
        <f t="shared" si="5"/>
        <v>0</v>
      </c>
      <c r="U223" s="89">
        <f t="shared" si="1"/>
        <v>0</v>
      </c>
      <c r="V223" s="89">
        <f t="shared" si="2"/>
        <v>0</v>
      </c>
      <c r="W223" s="89">
        <f t="shared" si="3"/>
        <v>0</v>
      </c>
      <c r="X223" s="89">
        <f t="shared" si="4"/>
        <v>0</v>
      </c>
      <c r="Y223" s="28"/>
    </row>
    <row r="224" spans="1:25" ht="20.25" customHeight="1">
      <c r="A224" s="88" t="str">
        <f>IF(BASE!B228="","",BASE!B228)</f>
        <v>23XXR213</v>
      </c>
      <c r="B224" s="121" t="s">
        <v>40</v>
      </c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89"/>
      <c r="R224" s="91">
        <f t="shared" si="0"/>
        <v>0</v>
      </c>
      <c r="S224" s="91">
        <f>BASE!A228</f>
        <v>213</v>
      </c>
      <c r="T224" s="89">
        <f t="shared" si="5"/>
        <v>0</v>
      </c>
      <c r="U224" s="89">
        <f t="shared" si="1"/>
        <v>0</v>
      </c>
      <c r="V224" s="89">
        <f t="shared" si="2"/>
        <v>0</v>
      </c>
      <c r="W224" s="89">
        <f t="shared" si="3"/>
        <v>0</v>
      </c>
      <c r="X224" s="89">
        <f t="shared" si="4"/>
        <v>0</v>
      </c>
      <c r="Y224" s="28"/>
    </row>
    <row r="225" spans="1:25" ht="20.25" customHeight="1">
      <c r="A225" s="88" t="str">
        <f>IF(BASE!B229="","",BASE!B229)</f>
        <v>23XXR214</v>
      </c>
      <c r="B225" s="121" t="s">
        <v>40</v>
      </c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89"/>
      <c r="R225" s="91">
        <f t="shared" si="0"/>
        <v>0</v>
      </c>
      <c r="S225" s="91">
        <f>BASE!A229</f>
        <v>214</v>
      </c>
      <c r="T225" s="89">
        <f t="shared" si="5"/>
        <v>0</v>
      </c>
      <c r="U225" s="89">
        <f t="shared" si="1"/>
        <v>0</v>
      </c>
      <c r="V225" s="89">
        <f t="shared" si="2"/>
        <v>0</v>
      </c>
      <c r="W225" s="89">
        <f t="shared" si="3"/>
        <v>0</v>
      </c>
      <c r="X225" s="89">
        <f t="shared" si="4"/>
        <v>0</v>
      </c>
      <c r="Y225" s="28"/>
    </row>
    <row r="226" spans="1:25" ht="20.25" customHeight="1">
      <c r="A226" s="88" t="str">
        <f>IF(BASE!B230="","",BASE!B230)</f>
        <v>23XXR215</v>
      </c>
      <c r="B226" s="121" t="s">
        <v>40</v>
      </c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89"/>
      <c r="R226" s="91">
        <f t="shared" si="0"/>
        <v>0</v>
      </c>
      <c r="S226" s="91">
        <f>BASE!A230</f>
        <v>215</v>
      </c>
      <c r="T226" s="89">
        <f t="shared" si="5"/>
        <v>0</v>
      </c>
      <c r="U226" s="89">
        <f t="shared" si="1"/>
        <v>0</v>
      </c>
      <c r="V226" s="89">
        <f t="shared" si="2"/>
        <v>0</v>
      </c>
      <c r="W226" s="89">
        <f t="shared" si="3"/>
        <v>0</v>
      </c>
      <c r="X226" s="89">
        <f t="shared" si="4"/>
        <v>0</v>
      </c>
      <c r="Y226" s="28"/>
    </row>
    <row r="227" spans="1:25" ht="20.25" customHeight="1">
      <c r="A227" s="88" t="str">
        <f>IF(BASE!B231="","",BASE!B231)</f>
        <v>23XXR216</v>
      </c>
      <c r="B227" s="121" t="s">
        <v>40</v>
      </c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89"/>
      <c r="R227" s="91">
        <f t="shared" si="0"/>
        <v>0</v>
      </c>
      <c r="S227" s="91">
        <f>BASE!A231</f>
        <v>216</v>
      </c>
      <c r="T227" s="89">
        <f t="shared" si="5"/>
        <v>0</v>
      </c>
      <c r="U227" s="89">
        <f t="shared" si="1"/>
        <v>0</v>
      </c>
      <c r="V227" s="89">
        <f t="shared" si="2"/>
        <v>0</v>
      </c>
      <c r="W227" s="89">
        <f t="shared" si="3"/>
        <v>0</v>
      </c>
      <c r="X227" s="89">
        <f t="shared" si="4"/>
        <v>0</v>
      </c>
      <c r="Y227" s="28"/>
    </row>
    <row r="228" spans="1:25" ht="20.25" customHeight="1">
      <c r="A228" s="88" t="str">
        <f>IF(BASE!B232="","",BASE!B232)</f>
        <v>23XXR217</v>
      </c>
      <c r="B228" s="121" t="s">
        <v>40</v>
      </c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89"/>
      <c r="R228" s="91">
        <f t="shared" si="0"/>
        <v>0</v>
      </c>
      <c r="S228" s="91">
        <f>BASE!A232</f>
        <v>217</v>
      </c>
      <c r="T228" s="89">
        <f t="shared" si="5"/>
        <v>0</v>
      </c>
      <c r="U228" s="89">
        <f t="shared" si="1"/>
        <v>0</v>
      </c>
      <c r="V228" s="89">
        <f t="shared" si="2"/>
        <v>0</v>
      </c>
      <c r="W228" s="89">
        <f t="shared" si="3"/>
        <v>0</v>
      </c>
      <c r="X228" s="89">
        <f t="shared" si="4"/>
        <v>0</v>
      </c>
      <c r="Y228" s="28"/>
    </row>
    <row r="229" spans="1:25" ht="17.25" customHeight="1">
      <c r="A229" s="88" t="str">
        <f>IF(BASE!B233="","",BASE!B233)</f>
        <v>23XXR218</v>
      </c>
      <c r="B229" s="121" t="s">
        <v>40</v>
      </c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89"/>
      <c r="R229" s="91">
        <f t="shared" si="0"/>
        <v>0</v>
      </c>
      <c r="S229" s="91">
        <f>BASE!A233</f>
        <v>218</v>
      </c>
      <c r="T229" s="89">
        <f t="shared" si="5"/>
        <v>0</v>
      </c>
      <c r="U229" s="89">
        <f t="shared" si="1"/>
        <v>0</v>
      </c>
      <c r="V229" s="89">
        <f t="shared" si="2"/>
        <v>0</v>
      </c>
      <c r="W229" s="89">
        <f t="shared" si="3"/>
        <v>0</v>
      </c>
      <c r="X229" s="89">
        <f t="shared" si="4"/>
        <v>0</v>
      </c>
      <c r="Y229" s="28"/>
    </row>
    <row r="230" spans="1:25" ht="17.25" customHeight="1">
      <c r="A230" s="88" t="str">
        <f>IF(BASE!B234="","",BASE!B234)</f>
        <v>23XXR219</v>
      </c>
      <c r="B230" s="121" t="s">
        <v>40</v>
      </c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89"/>
      <c r="R230" s="91">
        <f t="shared" si="0"/>
        <v>0</v>
      </c>
      <c r="S230" s="91">
        <f>BASE!A234</f>
        <v>219</v>
      </c>
      <c r="T230" s="89">
        <f t="shared" si="5"/>
        <v>0</v>
      </c>
      <c r="U230" s="89">
        <f t="shared" si="1"/>
        <v>0</v>
      </c>
      <c r="V230" s="89">
        <f t="shared" si="2"/>
        <v>0</v>
      </c>
      <c r="W230" s="89">
        <f t="shared" si="3"/>
        <v>0</v>
      </c>
      <c r="X230" s="89">
        <f t="shared" si="4"/>
        <v>0</v>
      </c>
      <c r="Y230" s="28"/>
    </row>
    <row r="231" spans="1:25" ht="17.25" customHeight="1">
      <c r="A231" s="88" t="str">
        <f>IF(BASE!B235="","",BASE!B235)</f>
        <v>23XXR220</v>
      </c>
      <c r="B231" s="121" t="s">
        <v>40</v>
      </c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89"/>
      <c r="R231" s="91">
        <f t="shared" si="0"/>
        <v>0</v>
      </c>
      <c r="S231" s="91">
        <f>BASE!A235</f>
        <v>220</v>
      </c>
      <c r="T231" s="89">
        <f t="shared" si="5"/>
        <v>0</v>
      </c>
      <c r="U231" s="89">
        <f t="shared" si="1"/>
        <v>0</v>
      </c>
      <c r="V231" s="89">
        <f t="shared" si="2"/>
        <v>0</v>
      </c>
      <c r="W231" s="89">
        <f t="shared" si="3"/>
        <v>0</v>
      </c>
      <c r="X231" s="89">
        <f t="shared" si="4"/>
        <v>0</v>
      </c>
      <c r="Y231" s="28"/>
    </row>
    <row r="232" spans="1:25" ht="17.25" customHeight="1">
      <c r="A232" s="88" t="str">
        <f>IF(BASE!B236="","",BASE!B236)</f>
        <v>23XXR221</v>
      </c>
      <c r="B232" s="121" t="s">
        <v>40</v>
      </c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89"/>
      <c r="R232" s="91">
        <f t="shared" si="0"/>
        <v>0</v>
      </c>
      <c r="S232" s="91">
        <f>BASE!A236</f>
        <v>221</v>
      </c>
      <c r="T232" s="89">
        <f t="shared" si="5"/>
        <v>0</v>
      </c>
      <c r="U232" s="89">
        <f t="shared" si="1"/>
        <v>0</v>
      </c>
      <c r="V232" s="89">
        <f t="shared" si="2"/>
        <v>0</v>
      </c>
      <c r="W232" s="89">
        <f t="shared" si="3"/>
        <v>0</v>
      </c>
      <c r="X232" s="89">
        <f t="shared" si="4"/>
        <v>0</v>
      </c>
      <c r="Y232" s="28"/>
    </row>
    <row r="233" spans="1:25" ht="17.25" customHeight="1">
      <c r="A233" s="88" t="str">
        <f>IF(BASE!B237="","",BASE!B237)</f>
        <v>23XXR222</v>
      </c>
      <c r="B233" s="121" t="s">
        <v>40</v>
      </c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89"/>
      <c r="R233" s="91">
        <f t="shared" si="0"/>
        <v>0</v>
      </c>
      <c r="S233" s="91">
        <f>BASE!A237</f>
        <v>222</v>
      </c>
      <c r="T233" s="89">
        <f t="shared" si="5"/>
        <v>0</v>
      </c>
      <c r="U233" s="89">
        <f t="shared" si="1"/>
        <v>0</v>
      </c>
      <c r="V233" s="89">
        <f t="shared" si="2"/>
        <v>0</v>
      </c>
      <c r="W233" s="89">
        <f t="shared" si="3"/>
        <v>0</v>
      </c>
      <c r="X233" s="89">
        <f t="shared" si="4"/>
        <v>0</v>
      </c>
      <c r="Y233" s="28"/>
    </row>
    <row r="234" spans="1:25" ht="17.25" customHeight="1">
      <c r="A234" s="88" t="str">
        <f>IF(BASE!B238="","",BASE!B238)</f>
        <v>23XXR223</v>
      </c>
      <c r="B234" s="121" t="s">
        <v>40</v>
      </c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89"/>
      <c r="R234" s="91">
        <f t="shared" si="0"/>
        <v>0</v>
      </c>
      <c r="S234" s="91">
        <f>BASE!A238</f>
        <v>223</v>
      </c>
      <c r="T234" s="89">
        <f t="shared" si="5"/>
        <v>0</v>
      </c>
      <c r="U234" s="89">
        <f t="shared" si="1"/>
        <v>0</v>
      </c>
      <c r="V234" s="89">
        <f t="shared" si="2"/>
        <v>0</v>
      </c>
      <c r="W234" s="89">
        <f t="shared" si="3"/>
        <v>0</v>
      </c>
      <c r="X234" s="89">
        <f t="shared" si="4"/>
        <v>0</v>
      </c>
      <c r="Y234" s="28"/>
    </row>
    <row r="235" spans="1:25" ht="17.25" customHeight="1">
      <c r="A235" s="88" t="str">
        <f>IF(BASE!B239="","",BASE!B239)</f>
        <v>23XXR224</v>
      </c>
      <c r="B235" s="121" t="s">
        <v>40</v>
      </c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89"/>
      <c r="R235" s="91">
        <f t="shared" si="0"/>
        <v>0</v>
      </c>
      <c r="S235" s="91">
        <f>BASE!A239</f>
        <v>224</v>
      </c>
      <c r="T235" s="89">
        <f t="shared" si="5"/>
        <v>0</v>
      </c>
      <c r="U235" s="89">
        <f t="shared" si="1"/>
        <v>0</v>
      </c>
      <c r="V235" s="89">
        <f t="shared" si="2"/>
        <v>0</v>
      </c>
      <c r="W235" s="89">
        <f t="shared" si="3"/>
        <v>0</v>
      </c>
      <c r="X235" s="89">
        <f t="shared" si="4"/>
        <v>0</v>
      </c>
      <c r="Y235" s="28"/>
    </row>
    <row r="236" spans="1:25" ht="17.25" customHeight="1">
      <c r="A236" s="88" t="str">
        <f>IF(BASE!B240="","",BASE!B240)</f>
        <v>23XXR225</v>
      </c>
      <c r="B236" s="121" t="s">
        <v>40</v>
      </c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89"/>
      <c r="R236" s="91">
        <f t="shared" si="0"/>
        <v>0</v>
      </c>
      <c r="S236" s="91">
        <f>BASE!A240</f>
        <v>225</v>
      </c>
      <c r="T236" s="89">
        <f t="shared" si="5"/>
        <v>0</v>
      </c>
      <c r="U236" s="89">
        <f t="shared" si="1"/>
        <v>0</v>
      </c>
      <c r="V236" s="89">
        <f t="shared" si="2"/>
        <v>0</v>
      </c>
      <c r="W236" s="89">
        <f t="shared" si="3"/>
        <v>0</v>
      </c>
      <c r="X236" s="89">
        <f t="shared" si="4"/>
        <v>0</v>
      </c>
      <c r="Y236" s="28"/>
    </row>
    <row r="237" spans="1:25" ht="17.25" customHeight="1">
      <c r="A237" s="88" t="str">
        <f>IF(BASE!B241="","",BASE!B241)</f>
        <v>23XXR226</v>
      </c>
      <c r="B237" s="121" t="s">
        <v>40</v>
      </c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89"/>
      <c r="R237" s="91">
        <f t="shared" si="0"/>
        <v>0</v>
      </c>
      <c r="S237" s="91">
        <f>BASE!A241</f>
        <v>226</v>
      </c>
      <c r="T237" s="89">
        <f t="shared" si="5"/>
        <v>0</v>
      </c>
      <c r="U237" s="89">
        <f t="shared" si="1"/>
        <v>0</v>
      </c>
      <c r="V237" s="89">
        <f t="shared" si="2"/>
        <v>0</v>
      </c>
      <c r="W237" s="89">
        <f t="shared" si="3"/>
        <v>0</v>
      </c>
      <c r="X237" s="89">
        <f t="shared" si="4"/>
        <v>0</v>
      </c>
      <c r="Y237" s="28"/>
    </row>
    <row r="238" spans="1:25" ht="17.25" customHeight="1">
      <c r="A238" s="88" t="str">
        <f>IF(BASE!B242="","",BASE!B242)</f>
        <v>23XXR227</v>
      </c>
      <c r="B238" s="121" t="s">
        <v>40</v>
      </c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89"/>
      <c r="R238" s="91">
        <f t="shared" si="0"/>
        <v>0</v>
      </c>
      <c r="S238" s="91">
        <f>BASE!A242</f>
        <v>227</v>
      </c>
      <c r="T238" s="89">
        <f t="shared" si="5"/>
        <v>0</v>
      </c>
      <c r="U238" s="89">
        <f t="shared" si="1"/>
        <v>0</v>
      </c>
      <c r="V238" s="89">
        <f t="shared" si="2"/>
        <v>0</v>
      </c>
      <c r="W238" s="89">
        <f t="shared" si="3"/>
        <v>0</v>
      </c>
      <c r="X238" s="89">
        <f t="shared" si="4"/>
        <v>0</v>
      </c>
      <c r="Y238" s="28"/>
    </row>
    <row r="239" spans="1:25" ht="17.25" customHeight="1">
      <c r="A239" s="88" t="str">
        <f>IF(BASE!B243="","",BASE!B243)</f>
        <v>23XXR228</v>
      </c>
      <c r="B239" s="121" t="s">
        <v>40</v>
      </c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89"/>
      <c r="R239" s="91">
        <f t="shared" si="0"/>
        <v>0</v>
      </c>
      <c r="S239" s="91">
        <f>BASE!A243</f>
        <v>228</v>
      </c>
      <c r="T239" s="89">
        <f t="shared" si="5"/>
        <v>0</v>
      </c>
      <c r="U239" s="89">
        <f t="shared" si="1"/>
        <v>0</v>
      </c>
      <c r="V239" s="89">
        <f t="shared" si="2"/>
        <v>0</v>
      </c>
      <c r="W239" s="89">
        <f t="shared" si="3"/>
        <v>0</v>
      </c>
      <c r="X239" s="89">
        <f t="shared" si="4"/>
        <v>0</v>
      </c>
      <c r="Y239" s="28"/>
    </row>
    <row r="240" spans="1:25" ht="17.25" customHeight="1">
      <c r="A240" s="88" t="str">
        <f>IF(BASE!B244="","",BASE!B244)</f>
        <v>23XXR229</v>
      </c>
      <c r="B240" s="121" t="s">
        <v>40</v>
      </c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89"/>
      <c r="R240" s="91">
        <f t="shared" si="0"/>
        <v>0</v>
      </c>
      <c r="S240" s="91">
        <f>BASE!A244</f>
        <v>229</v>
      </c>
      <c r="T240" s="89">
        <f t="shared" si="5"/>
        <v>0</v>
      </c>
      <c r="U240" s="89">
        <f t="shared" si="1"/>
        <v>0</v>
      </c>
      <c r="V240" s="89">
        <f t="shared" si="2"/>
        <v>0</v>
      </c>
      <c r="W240" s="89">
        <f t="shared" si="3"/>
        <v>0</v>
      </c>
      <c r="X240" s="89">
        <f t="shared" si="4"/>
        <v>0</v>
      </c>
      <c r="Y240" s="28"/>
    </row>
    <row r="241" spans="1:25" ht="17.25" customHeight="1">
      <c r="A241" s="88" t="str">
        <f>IF(BASE!B245="","",BASE!B245)</f>
        <v>23XXR230</v>
      </c>
      <c r="B241" s="121" t="s">
        <v>40</v>
      </c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89"/>
      <c r="R241" s="91">
        <f t="shared" si="0"/>
        <v>0</v>
      </c>
      <c r="S241" s="91">
        <f>BASE!A245</f>
        <v>230</v>
      </c>
      <c r="T241" s="89">
        <f t="shared" si="5"/>
        <v>0</v>
      </c>
      <c r="U241" s="89">
        <f t="shared" si="1"/>
        <v>0</v>
      </c>
      <c r="V241" s="89">
        <f t="shared" si="2"/>
        <v>0</v>
      </c>
      <c r="W241" s="89">
        <f t="shared" si="3"/>
        <v>0</v>
      </c>
      <c r="X241" s="89">
        <f t="shared" si="4"/>
        <v>0</v>
      </c>
      <c r="Y241" s="28"/>
    </row>
    <row r="242" spans="1:25" ht="17.25" customHeight="1">
      <c r="A242" s="88" t="str">
        <f>IF(BASE!B246="","",BASE!B246)</f>
        <v>23XXR231</v>
      </c>
      <c r="B242" s="121" t="s">
        <v>40</v>
      </c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89"/>
      <c r="R242" s="91">
        <f t="shared" si="0"/>
        <v>0</v>
      </c>
      <c r="S242" s="91">
        <f>BASE!A246</f>
        <v>231</v>
      </c>
      <c r="T242" s="89">
        <f t="shared" si="5"/>
        <v>0</v>
      </c>
      <c r="U242" s="89">
        <f t="shared" si="1"/>
        <v>0</v>
      </c>
      <c r="V242" s="89">
        <f t="shared" si="2"/>
        <v>0</v>
      </c>
      <c r="W242" s="89">
        <f t="shared" si="3"/>
        <v>0</v>
      </c>
      <c r="X242" s="89">
        <f t="shared" si="4"/>
        <v>0</v>
      </c>
      <c r="Y242" s="28"/>
    </row>
    <row r="243" spans="1:25" ht="17.25" customHeight="1">
      <c r="A243" s="88" t="str">
        <f>IF(BASE!B247="","",BASE!B247)</f>
        <v>23XXR232</v>
      </c>
      <c r="B243" s="121" t="s">
        <v>40</v>
      </c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89"/>
      <c r="R243" s="91">
        <f t="shared" si="0"/>
        <v>0</v>
      </c>
      <c r="S243" s="91">
        <f>BASE!A247</f>
        <v>232</v>
      </c>
      <c r="T243" s="89">
        <f t="shared" si="5"/>
        <v>0</v>
      </c>
      <c r="U243" s="89">
        <f t="shared" si="1"/>
        <v>0</v>
      </c>
      <c r="V243" s="89">
        <f t="shared" si="2"/>
        <v>0</v>
      </c>
      <c r="W243" s="89">
        <f t="shared" si="3"/>
        <v>0</v>
      </c>
      <c r="X243" s="89">
        <f t="shared" si="4"/>
        <v>0</v>
      </c>
      <c r="Y243" s="28"/>
    </row>
    <row r="244" spans="1:25" ht="17.25" customHeight="1">
      <c r="A244" s="88" t="str">
        <f>IF(BASE!B248="","",BASE!B248)</f>
        <v>23XXR233</v>
      </c>
      <c r="B244" s="121" t="s">
        <v>40</v>
      </c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89"/>
      <c r="R244" s="91">
        <f t="shared" si="0"/>
        <v>0</v>
      </c>
      <c r="S244" s="91">
        <f>BASE!A248</f>
        <v>233</v>
      </c>
      <c r="T244" s="89">
        <f t="shared" si="5"/>
        <v>0</v>
      </c>
      <c r="U244" s="89">
        <f t="shared" si="1"/>
        <v>0</v>
      </c>
      <c r="V244" s="89">
        <f t="shared" si="2"/>
        <v>0</v>
      </c>
      <c r="W244" s="89">
        <f t="shared" si="3"/>
        <v>0</v>
      </c>
      <c r="X244" s="89">
        <f t="shared" si="4"/>
        <v>0</v>
      </c>
      <c r="Y244" s="28"/>
    </row>
    <row r="245" spans="1:25" ht="17.25" customHeight="1">
      <c r="A245" s="88" t="str">
        <f>IF(BASE!B249="","",BASE!B249)</f>
        <v>23XXR234</v>
      </c>
      <c r="B245" s="121" t="s">
        <v>40</v>
      </c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89"/>
      <c r="R245" s="91">
        <f t="shared" si="0"/>
        <v>0</v>
      </c>
      <c r="S245" s="91">
        <f>BASE!A249</f>
        <v>234</v>
      </c>
      <c r="T245" s="89">
        <f t="shared" si="5"/>
        <v>0</v>
      </c>
      <c r="U245" s="89">
        <f t="shared" si="1"/>
        <v>0</v>
      </c>
      <c r="V245" s="89">
        <f t="shared" si="2"/>
        <v>0</v>
      </c>
      <c r="W245" s="89">
        <f t="shared" si="3"/>
        <v>0</v>
      </c>
      <c r="X245" s="89">
        <f t="shared" si="4"/>
        <v>0</v>
      </c>
      <c r="Y245" s="28"/>
    </row>
    <row r="246" spans="1:25" ht="17.25" customHeight="1">
      <c r="A246" s="88" t="str">
        <f>IF(BASE!B250="","",BASE!B250)</f>
        <v>23XXR235</v>
      </c>
      <c r="B246" s="121" t="s">
        <v>40</v>
      </c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89"/>
      <c r="R246" s="91">
        <f t="shared" si="0"/>
        <v>0</v>
      </c>
      <c r="S246" s="91">
        <f>BASE!A250</f>
        <v>235</v>
      </c>
      <c r="T246" s="89">
        <f t="shared" si="5"/>
        <v>0</v>
      </c>
      <c r="U246" s="89">
        <f t="shared" si="1"/>
        <v>0</v>
      </c>
      <c r="V246" s="89">
        <f t="shared" si="2"/>
        <v>0</v>
      </c>
      <c r="W246" s="89">
        <f t="shared" si="3"/>
        <v>0</v>
      </c>
      <c r="X246" s="89">
        <f t="shared" si="4"/>
        <v>0</v>
      </c>
      <c r="Y246" s="28"/>
    </row>
    <row r="247" spans="1:25" ht="17.25" customHeight="1">
      <c r="A247" s="88" t="str">
        <f>IF(BASE!B251="","",BASE!B251)</f>
        <v>23XXR236</v>
      </c>
      <c r="B247" s="121" t="s">
        <v>40</v>
      </c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89"/>
      <c r="R247" s="91">
        <f t="shared" si="0"/>
        <v>0</v>
      </c>
      <c r="S247" s="91">
        <f>BASE!A251</f>
        <v>236</v>
      </c>
      <c r="T247" s="89">
        <f t="shared" si="5"/>
        <v>0</v>
      </c>
      <c r="U247" s="89">
        <f t="shared" si="1"/>
        <v>0</v>
      </c>
      <c r="V247" s="89">
        <f t="shared" si="2"/>
        <v>0</v>
      </c>
      <c r="W247" s="89">
        <f t="shared" si="3"/>
        <v>0</v>
      </c>
      <c r="X247" s="89">
        <f t="shared" si="4"/>
        <v>0</v>
      </c>
      <c r="Y247" s="28"/>
    </row>
    <row r="248" spans="1:25" ht="17.25" customHeight="1">
      <c r="A248" s="88" t="str">
        <f>IF(BASE!B252="","",BASE!B252)</f>
        <v>23XXR237</v>
      </c>
      <c r="B248" s="121" t="s">
        <v>40</v>
      </c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89"/>
      <c r="R248" s="91">
        <f t="shared" si="0"/>
        <v>0</v>
      </c>
      <c r="S248" s="91">
        <f>BASE!A252</f>
        <v>237</v>
      </c>
      <c r="T248" s="89">
        <f t="shared" si="5"/>
        <v>0</v>
      </c>
      <c r="U248" s="89">
        <f t="shared" si="1"/>
        <v>0</v>
      </c>
      <c r="V248" s="89">
        <f t="shared" si="2"/>
        <v>0</v>
      </c>
      <c r="W248" s="89">
        <f t="shared" si="3"/>
        <v>0</v>
      </c>
      <c r="X248" s="89">
        <f t="shared" si="4"/>
        <v>0</v>
      </c>
      <c r="Y248" s="28"/>
    </row>
    <row r="249" spans="1:25" ht="17.25" customHeight="1">
      <c r="A249" s="88" t="str">
        <f>IF(BASE!B253="","",BASE!B253)</f>
        <v>23XXR238</v>
      </c>
      <c r="B249" s="121" t="s">
        <v>40</v>
      </c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89"/>
      <c r="R249" s="91">
        <f t="shared" si="0"/>
        <v>0</v>
      </c>
      <c r="S249" s="91">
        <f>BASE!A253</f>
        <v>238</v>
      </c>
      <c r="T249" s="89">
        <f t="shared" si="5"/>
        <v>0</v>
      </c>
      <c r="U249" s="89">
        <f t="shared" si="1"/>
        <v>0</v>
      </c>
      <c r="V249" s="89">
        <f t="shared" si="2"/>
        <v>0</v>
      </c>
      <c r="W249" s="89">
        <f t="shared" si="3"/>
        <v>0</v>
      </c>
      <c r="X249" s="89">
        <f t="shared" si="4"/>
        <v>0</v>
      </c>
      <c r="Y249" s="28"/>
    </row>
    <row r="250" spans="1:25" ht="17.25" customHeight="1">
      <c r="A250" s="88" t="str">
        <f>IF(BASE!B254="","",BASE!B254)</f>
        <v>23XXR239</v>
      </c>
      <c r="B250" s="121" t="s">
        <v>40</v>
      </c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89"/>
      <c r="R250" s="91">
        <f t="shared" si="0"/>
        <v>0</v>
      </c>
      <c r="S250" s="91">
        <f>BASE!A254</f>
        <v>239</v>
      </c>
      <c r="T250" s="89">
        <f t="shared" si="5"/>
        <v>0</v>
      </c>
      <c r="U250" s="89">
        <f t="shared" si="1"/>
        <v>0</v>
      </c>
      <c r="V250" s="89">
        <f t="shared" si="2"/>
        <v>0</v>
      </c>
      <c r="W250" s="89">
        <f t="shared" si="3"/>
        <v>0</v>
      </c>
      <c r="X250" s="89">
        <f t="shared" si="4"/>
        <v>0</v>
      </c>
      <c r="Y250" s="28"/>
    </row>
    <row r="251" spans="1:25" ht="17.25" customHeight="1">
      <c r="A251" s="88" t="str">
        <f>IF(BASE!B255="","",BASE!B255)</f>
        <v>23XXR240</v>
      </c>
      <c r="B251" s="121" t="s">
        <v>40</v>
      </c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89"/>
      <c r="R251" s="91">
        <f t="shared" si="0"/>
        <v>0</v>
      </c>
      <c r="S251" s="91">
        <f>BASE!A255</f>
        <v>240</v>
      </c>
      <c r="T251" s="89">
        <f t="shared" si="5"/>
        <v>0</v>
      </c>
      <c r="U251" s="89">
        <f t="shared" si="1"/>
        <v>0</v>
      </c>
      <c r="V251" s="89">
        <f t="shared" si="2"/>
        <v>0</v>
      </c>
      <c r="W251" s="89">
        <f t="shared" si="3"/>
        <v>0</v>
      </c>
      <c r="X251" s="89">
        <f t="shared" si="4"/>
        <v>0</v>
      </c>
      <c r="Y251" s="28"/>
    </row>
    <row r="252" spans="1:25" ht="17.25" customHeight="1">
      <c r="A252" s="88" t="str">
        <f>IF(BASE!B256="","",BASE!B256)</f>
        <v>23XXR241</v>
      </c>
      <c r="B252" s="121" t="s">
        <v>40</v>
      </c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93"/>
      <c r="R252" s="91">
        <f t="shared" si="0"/>
        <v>0</v>
      </c>
      <c r="S252" s="91">
        <f>BASE!A256</f>
        <v>241</v>
      </c>
      <c r="T252" s="89">
        <f t="shared" si="5"/>
        <v>0</v>
      </c>
      <c r="U252" s="89">
        <f t="shared" si="1"/>
        <v>0</v>
      </c>
      <c r="V252" s="89">
        <f t="shared" si="2"/>
        <v>0</v>
      </c>
      <c r="W252" s="89">
        <f t="shared" si="3"/>
        <v>0</v>
      </c>
      <c r="X252" s="89">
        <f t="shared" si="4"/>
        <v>0</v>
      </c>
      <c r="Y252" s="28"/>
    </row>
    <row r="253" spans="1:25" ht="17.25" customHeight="1">
      <c r="A253" s="88" t="str">
        <f>IF(BASE!B257="","",BASE!B257)</f>
        <v>23XXR242</v>
      </c>
      <c r="B253" s="121" t="s">
        <v>40</v>
      </c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93"/>
      <c r="R253" s="91">
        <f t="shared" ref="R253:R316" si="6">SUM(C253:Q253)</f>
        <v>0</v>
      </c>
      <c r="S253" s="91">
        <f>BASE!A257</f>
        <v>242</v>
      </c>
      <c r="T253" s="89">
        <f t="shared" ref="T253:T316" si="7">SUMIF($C$11:$Q$11,1,C253:Q253)</f>
        <v>0</v>
      </c>
      <c r="U253" s="89">
        <f t="shared" ref="U253:U316" si="8">SUMIF($C$11:$Q$11,2,C253:Q253)</f>
        <v>0</v>
      </c>
      <c r="V253" s="89">
        <f t="shared" ref="V253:V316" si="9">SUMIF($C$11:$Q$11,3,C253:Q253)</f>
        <v>0</v>
      </c>
      <c r="W253" s="89">
        <f t="shared" ref="W253:W316" si="10">SUMIF($C$11:$Q$11,4,C253:Q253)</f>
        <v>0</v>
      </c>
      <c r="X253" s="89">
        <f t="shared" ref="X253:X316" si="11">SUMIF($C$11:$Q$11,5,C253:Q253)</f>
        <v>0</v>
      </c>
      <c r="Y253" s="28"/>
    </row>
    <row r="254" spans="1:25" ht="17.25" customHeight="1">
      <c r="A254" s="88" t="str">
        <f>IF(BASE!B258="","",BASE!B258)</f>
        <v>23XXR243</v>
      </c>
      <c r="B254" s="121" t="s">
        <v>40</v>
      </c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93"/>
      <c r="R254" s="91">
        <f t="shared" si="6"/>
        <v>0</v>
      </c>
      <c r="S254" s="91">
        <f>BASE!A258</f>
        <v>243</v>
      </c>
      <c r="T254" s="89">
        <f t="shared" si="7"/>
        <v>0</v>
      </c>
      <c r="U254" s="89">
        <f t="shared" si="8"/>
        <v>0</v>
      </c>
      <c r="V254" s="89">
        <f t="shared" si="9"/>
        <v>0</v>
      </c>
      <c r="W254" s="89">
        <f t="shared" si="10"/>
        <v>0</v>
      </c>
      <c r="X254" s="89">
        <f t="shared" si="11"/>
        <v>0</v>
      </c>
      <c r="Y254" s="28"/>
    </row>
    <row r="255" spans="1:25" ht="17.25" customHeight="1">
      <c r="A255" s="88" t="str">
        <f>IF(BASE!B259="","",BASE!B259)</f>
        <v>23XXR244</v>
      </c>
      <c r="B255" s="121" t="s">
        <v>40</v>
      </c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93"/>
      <c r="R255" s="91">
        <f t="shared" si="6"/>
        <v>0</v>
      </c>
      <c r="S255" s="91">
        <f>BASE!A259</f>
        <v>244</v>
      </c>
      <c r="T255" s="89">
        <f t="shared" si="7"/>
        <v>0</v>
      </c>
      <c r="U255" s="89">
        <f t="shared" si="8"/>
        <v>0</v>
      </c>
      <c r="V255" s="89">
        <f t="shared" si="9"/>
        <v>0</v>
      </c>
      <c r="W255" s="89">
        <f t="shared" si="10"/>
        <v>0</v>
      </c>
      <c r="X255" s="89">
        <f t="shared" si="11"/>
        <v>0</v>
      </c>
      <c r="Y255" s="28"/>
    </row>
    <row r="256" spans="1:25" ht="17.25" customHeight="1">
      <c r="A256" s="88" t="str">
        <f>IF(BASE!B260="","",BASE!B260)</f>
        <v>23XXR245</v>
      </c>
      <c r="B256" s="121" t="s">
        <v>40</v>
      </c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93"/>
      <c r="R256" s="91">
        <f t="shared" si="6"/>
        <v>0</v>
      </c>
      <c r="S256" s="91">
        <f>BASE!A260</f>
        <v>245</v>
      </c>
      <c r="T256" s="89">
        <f t="shared" si="7"/>
        <v>0</v>
      </c>
      <c r="U256" s="89">
        <f t="shared" si="8"/>
        <v>0</v>
      </c>
      <c r="V256" s="89">
        <f t="shared" si="9"/>
        <v>0</v>
      </c>
      <c r="W256" s="89">
        <f t="shared" si="10"/>
        <v>0</v>
      </c>
      <c r="X256" s="89">
        <f t="shared" si="11"/>
        <v>0</v>
      </c>
      <c r="Y256" s="28"/>
    </row>
    <row r="257" spans="1:25" ht="17.25" customHeight="1">
      <c r="A257" s="88" t="str">
        <f>IF(BASE!B261="","",BASE!B261)</f>
        <v>23XXR246</v>
      </c>
      <c r="B257" s="121" t="s">
        <v>40</v>
      </c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93"/>
      <c r="R257" s="91">
        <f t="shared" si="6"/>
        <v>0</v>
      </c>
      <c r="S257" s="91">
        <f>BASE!A261</f>
        <v>246</v>
      </c>
      <c r="T257" s="89">
        <f t="shared" si="7"/>
        <v>0</v>
      </c>
      <c r="U257" s="89">
        <f t="shared" si="8"/>
        <v>0</v>
      </c>
      <c r="V257" s="89">
        <f t="shared" si="9"/>
        <v>0</v>
      </c>
      <c r="W257" s="89">
        <f t="shared" si="10"/>
        <v>0</v>
      </c>
      <c r="X257" s="89">
        <f t="shared" si="11"/>
        <v>0</v>
      </c>
      <c r="Y257" s="28"/>
    </row>
    <row r="258" spans="1:25" ht="17.25" customHeight="1">
      <c r="A258" s="88" t="str">
        <f>IF(BASE!B262="","",BASE!B262)</f>
        <v>23XXR247</v>
      </c>
      <c r="B258" s="121" t="s">
        <v>40</v>
      </c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93"/>
      <c r="R258" s="91">
        <f t="shared" si="6"/>
        <v>0</v>
      </c>
      <c r="S258" s="91">
        <f>BASE!A262</f>
        <v>247</v>
      </c>
      <c r="T258" s="89">
        <f t="shared" si="7"/>
        <v>0</v>
      </c>
      <c r="U258" s="89">
        <f t="shared" si="8"/>
        <v>0</v>
      </c>
      <c r="V258" s="89">
        <f t="shared" si="9"/>
        <v>0</v>
      </c>
      <c r="W258" s="89">
        <f t="shared" si="10"/>
        <v>0</v>
      </c>
      <c r="X258" s="89">
        <f t="shared" si="11"/>
        <v>0</v>
      </c>
      <c r="Y258" s="28"/>
    </row>
    <row r="259" spans="1:25" ht="17.25" customHeight="1">
      <c r="A259" s="88" t="str">
        <f>IF(BASE!B263="","",BASE!B263)</f>
        <v>23XXR248</v>
      </c>
      <c r="B259" s="121" t="s">
        <v>40</v>
      </c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93"/>
      <c r="R259" s="91">
        <f t="shared" si="6"/>
        <v>0</v>
      </c>
      <c r="S259" s="91">
        <f>BASE!A263</f>
        <v>248</v>
      </c>
      <c r="T259" s="89">
        <f t="shared" si="7"/>
        <v>0</v>
      </c>
      <c r="U259" s="89">
        <f t="shared" si="8"/>
        <v>0</v>
      </c>
      <c r="V259" s="89">
        <f t="shared" si="9"/>
        <v>0</v>
      </c>
      <c r="W259" s="89">
        <f t="shared" si="10"/>
        <v>0</v>
      </c>
      <c r="X259" s="89">
        <f t="shared" si="11"/>
        <v>0</v>
      </c>
      <c r="Y259" s="28"/>
    </row>
    <row r="260" spans="1:25" ht="17.25" customHeight="1">
      <c r="A260" s="88" t="str">
        <f>IF(BASE!B264="","",BASE!B264)</f>
        <v>23XXR249</v>
      </c>
      <c r="B260" s="121" t="s">
        <v>40</v>
      </c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93"/>
      <c r="R260" s="91">
        <f t="shared" si="6"/>
        <v>0</v>
      </c>
      <c r="S260" s="91">
        <f>BASE!A264</f>
        <v>249</v>
      </c>
      <c r="T260" s="89">
        <f t="shared" si="7"/>
        <v>0</v>
      </c>
      <c r="U260" s="89">
        <f t="shared" si="8"/>
        <v>0</v>
      </c>
      <c r="V260" s="89">
        <f t="shared" si="9"/>
        <v>0</v>
      </c>
      <c r="W260" s="89">
        <f t="shared" si="10"/>
        <v>0</v>
      </c>
      <c r="X260" s="89">
        <f t="shared" si="11"/>
        <v>0</v>
      </c>
      <c r="Y260" s="28"/>
    </row>
    <row r="261" spans="1:25" ht="17.25" customHeight="1">
      <c r="A261" s="88" t="str">
        <f>IF(BASE!B265="","",BASE!B265)</f>
        <v>23XXR250</v>
      </c>
      <c r="B261" s="121" t="s">
        <v>40</v>
      </c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93"/>
      <c r="R261" s="91">
        <f t="shared" si="6"/>
        <v>0</v>
      </c>
      <c r="S261" s="91">
        <f>BASE!A265</f>
        <v>250</v>
      </c>
      <c r="T261" s="89">
        <f t="shared" si="7"/>
        <v>0</v>
      </c>
      <c r="U261" s="89">
        <f t="shared" si="8"/>
        <v>0</v>
      </c>
      <c r="V261" s="89">
        <f t="shared" si="9"/>
        <v>0</v>
      </c>
      <c r="W261" s="89">
        <f t="shared" si="10"/>
        <v>0</v>
      </c>
      <c r="X261" s="89">
        <f t="shared" si="11"/>
        <v>0</v>
      </c>
      <c r="Y261" s="28"/>
    </row>
    <row r="262" spans="1:25" ht="17.25" customHeight="1">
      <c r="A262" s="88" t="str">
        <f>IF(BASE!B266="","",BASE!B266)</f>
        <v>23XXR251</v>
      </c>
      <c r="B262" s="121" t="s">
        <v>40</v>
      </c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93"/>
      <c r="R262" s="91">
        <f t="shared" si="6"/>
        <v>0</v>
      </c>
      <c r="S262" s="91">
        <f>BASE!A266</f>
        <v>251</v>
      </c>
      <c r="T262" s="89">
        <f t="shared" si="7"/>
        <v>0</v>
      </c>
      <c r="U262" s="89">
        <f t="shared" si="8"/>
        <v>0</v>
      </c>
      <c r="V262" s="89">
        <f t="shared" si="9"/>
        <v>0</v>
      </c>
      <c r="W262" s="89">
        <f t="shared" si="10"/>
        <v>0</v>
      </c>
      <c r="X262" s="89">
        <f t="shared" si="11"/>
        <v>0</v>
      </c>
      <c r="Y262" s="28"/>
    </row>
    <row r="263" spans="1:25" ht="17.25" customHeight="1">
      <c r="A263" s="88" t="str">
        <f>IF(BASE!B267="","",BASE!B267)</f>
        <v>23XXR252</v>
      </c>
      <c r="B263" s="121" t="s">
        <v>40</v>
      </c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93"/>
      <c r="R263" s="91">
        <f t="shared" si="6"/>
        <v>0</v>
      </c>
      <c r="S263" s="91">
        <f>BASE!A267</f>
        <v>252</v>
      </c>
      <c r="T263" s="89">
        <f t="shared" si="7"/>
        <v>0</v>
      </c>
      <c r="U263" s="89">
        <f t="shared" si="8"/>
        <v>0</v>
      </c>
      <c r="V263" s="89">
        <f t="shared" si="9"/>
        <v>0</v>
      </c>
      <c r="W263" s="89">
        <f t="shared" si="10"/>
        <v>0</v>
      </c>
      <c r="X263" s="89">
        <f t="shared" si="11"/>
        <v>0</v>
      </c>
      <c r="Y263" s="28"/>
    </row>
    <row r="264" spans="1:25" ht="17.25" customHeight="1">
      <c r="A264" s="88" t="str">
        <f>IF(BASE!B268="","",BASE!B268)</f>
        <v>23XXR253</v>
      </c>
      <c r="B264" s="121" t="s">
        <v>40</v>
      </c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93"/>
      <c r="R264" s="91">
        <f t="shared" si="6"/>
        <v>0</v>
      </c>
      <c r="S264" s="91">
        <f>BASE!A268</f>
        <v>253</v>
      </c>
      <c r="T264" s="89">
        <f t="shared" si="7"/>
        <v>0</v>
      </c>
      <c r="U264" s="89">
        <f t="shared" si="8"/>
        <v>0</v>
      </c>
      <c r="V264" s="89">
        <f t="shared" si="9"/>
        <v>0</v>
      </c>
      <c r="W264" s="89">
        <f t="shared" si="10"/>
        <v>0</v>
      </c>
      <c r="X264" s="89">
        <f t="shared" si="11"/>
        <v>0</v>
      </c>
      <c r="Y264" s="28"/>
    </row>
    <row r="265" spans="1:25" ht="17.25" customHeight="1">
      <c r="A265" s="88" t="str">
        <f>IF(BASE!B269="","",BASE!B269)</f>
        <v>23XXR254</v>
      </c>
      <c r="B265" s="121" t="s">
        <v>40</v>
      </c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93"/>
      <c r="R265" s="91">
        <f t="shared" si="6"/>
        <v>0</v>
      </c>
      <c r="S265" s="91">
        <f>BASE!A269</f>
        <v>254</v>
      </c>
      <c r="T265" s="89">
        <f t="shared" si="7"/>
        <v>0</v>
      </c>
      <c r="U265" s="89">
        <f t="shared" si="8"/>
        <v>0</v>
      </c>
      <c r="V265" s="89">
        <f t="shared" si="9"/>
        <v>0</v>
      </c>
      <c r="W265" s="89">
        <f t="shared" si="10"/>
        <v>0</v>
      </c>
      <c r="X265" s="89">
        <f t="shared" si="11"/>
        <v>0</v>
      </c>
      <c r="Y265" s="28"/>
    </row>
    <row r="266" spans="1:25" ht="17.25" customHeight="1">
      <c r="A266" s="88" t="str">
        <f>IF(BASE!B270="","",BASE!B270)</f>
        <v>23XXR255</v>
      </c>
      <c r="B266" s="121" t="s">
        <v>40</v>
      </c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93"/>
      <c r="R266" s="91">
        <f t="shared" si="6"/>
        <v>0</v>
      </c>
      <c r="S266" s="91">
        <f>BASE!A270</f>
        <v>255</v>
      </c>
      <c r="T266" s="89">
        <f t="shared" si="7"/>
        <v>0</v>
      </c>
      <c r="U266" s="89">
        <f t="shared" si="8"/>
        <v>0</v>
      </c>
      <c r="V266" s="89">
        <f t="shared" si="9"/>
        <v>0</v>
      </c>
      <c r="W266" s="89">
        <f t="shared" si="10"/>
        <v>0</v>
      </c>
      <c r="X266" s="89">
        <f t="shared" si="11"/>
        <v>0</v>
      </c>
      <c r="Y266" s="28"/>
    </row>
    <row r="267" spans="1:25" ht="17.25" customHeight="1">
      <c r="A267" s="88" t="str">
        <f>IF(BASE!B271="","",BASE!B271)</f>
        <v>23XXR256</v>
      </c>
      <c r="B267" s="121" t="s">
        <v>40</v>
      </c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93"/>
      <c r="R267" s="91">
        <f t="shared" si="6"/>
        <v>0</v>
      </c>
      <c r="S267" s="91">
        <f>BASE!A271</f>
        <v>256</v>
      </c>
      <c r="T267" s="89">
        <f t="shared" si="7"/>
        <v>0</v>
      </c>
      <c r="U267" s="89">
        <f t="shared" si="8"/>
        <v>0</v>
      </c>
      <c r="V267" s="89">
        <f t="shared" si="9"/>
        <v>0</v>
      </c>
      <c r="W267" s="89">
        <f t="shared" si="10"/>
        <v>0</v>
      </c>
      <c r="X267" s="89">
        <f t="shared" si="11"/>
        <v>0</v>
      </c>
      <c r="Y267" s="28"/>
    </row>
    <row r="268" spans="1:25" ht="17.25" customHeight="1">
      <c r="A268" s="88" t="str">
        <f>IF(BASE!B272="","",BASE!B272)</f>
        <v>23XXR257</v>
      </c>
      <c r="B268" s="121" t="s">
        <v>40</v>
      </c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93"/>
      <c r="R268" s="91">
        <f t="shared" si="6"/>
        <v>0</v>
      </c>
      <c r="S268" s="91">
        <f>BASE!A272</f>
        <v>257</v>
      </c>
      <c r="T268" s="89">
        <f t="shared" si="7"/>
        <v>0</v>
      </c>
      <c r="U268" s="89">
        <f t="shared" si="8"/>
        <v>0</v>
      </c>
      <c r="V268" s="89">
        <f t="shared" si="9"/>
        <v>0</v>
      </c>
      <c r="W268" s="89">
        <f t="shared" si="10"/>
        <v>0</v>
      </c>
      <c r="X268" s="89">
        <f t="shared" si="11"/>
        <v>0</v>
      </c>
      <c r="Y268" s="28"/>
    </row>
    <row r="269" spans="1:25" ht="17.25" customHeight="1">
      <c r="A269" s="88" t="str">
        <f>IF(BASE!B273="","",BASE!B273)</f>
        <v>23XXR258</v>
      </c>
      <c r="B269" s="121" t="s">
        <v>40</v>
      </c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93"/>
      <c r="R269" s="91">
        <f t="shared" si="6"/>
        <v>0</v>
      </c>
      <c r="S269" s="91">
        <f>BASE!A273</f>
        <v>258</v>
      </c>
      <c r="T269" s="89">
        <f t="shared" si="7"/>
        <v>0</v>
      </c>
      <c r="U269" s="89">
        <f t="shared" si="8"/>
        <v>0</v>
      </c>
      <c r="V269" s="89">
        <f t="shared" si="9"/>
        <v>0</v>
      </c>
      <c r="W269" s="89">
        <f t="shared" si="10"/>
        <v>0</v>
      </c>
      <c r="X269" s="89">
        <f t="shared" si="11"/>
        <v>0</v>
      </c>
      <c r="Y269" s="28"/>
    </row>
    <row r="270" spans="1:25" ht="17.25" customHeight="1">
      <c r="A270" s="88" t="str">
        <f>IF(BASE!B274="","",BASE!B274)</f>
        <v>23XXR259</v>
      </c>
      <c r="B270" s="121" t="s">
        <v>40</v>
      </c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93"/>
      <c r="R270" s="91">
        <f t="shared" si="6"/>
        <v>0</v>
      </c>
      <c r="S270" s="91">
        <f>BASE!A274</f>
        <v>259</v>
      </c>
      <c r="T270" s="89">
        <f t="shared" si="7"/>
        <v>0</v>
      </c>
      <c r="U270" s="89">
        <f t="shared" si="8"/>
        <v>0</v>
      </c>
      <c r="V270" s="89">
        <f t="shared" si="9"/>
        <v>0</v>
      </c>
      <c r="W270" s="89">
        <f t="shared" si="10"/>
        <v>0</v>
      </c>
      <c r="X270" s="89">
        <f t="shared" si="11"/>
        <v>0</v>
      </c>
      <c r="Y270" s="28"/>
    </row>
    <row r="271" spans="1:25" ht="17.25" customHeight="1">
      <c r="A271" s="88" t="str">
        <f>IF(BASE!B275="","",BASE!B275)</f>
        <v>23XXR260</v>
      </c>
      <c r="B271" s="121" t="s">
        <v>40</v>
      </c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93"/>
      <c r="R271" s="91">
        <f t="shared" si="6"/>
        <v>0</v>
      </c>
      <c r="S271" s="91">
        <f>BASE!A275</f>
        <v>260</v>
      </c>
      <c r="T271" s="89">
        <f t="shared" si="7"/>
        <v>0</v>
      </c>
      <c r="U271" s="89">
        <f t="shared" si="8"/>
        <v>0</v>
      </c>
      <c r="V271" s="89">
        <f t="shared" si="9"/>
        <v>0</v>
      </c>
      <c r="W271" s="89">
        <f t="shared" si="10"/>
        <v>0</v>
      </c>
      <c r="X271" s="89">
        <f t="shared" si="11"/>
        <v>0</v>
      </c>
      <c r="Y271" s="28"/>
    </row>
    <row r="272" spans="1:25" ht="17.25" customHeight="1">
      <c r="A272" s="88" t="str">
        <f>IF(BASE!B276="","",BASE!B276)</f>
        <v>23XXR261</v>
      </c>
      <c r="B272" s="121" t="s">
        <v>40</v>
      </c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93"/>
      <c r="R272" s="91">
        <f t="shared" si="6"/>
        <v>0</v>
      </c>
      <c r="S272" s="91">
        <f>BASE!A276</f>
        <v>261</v>
      </c>
      <c r="T272" s="89">
        <f t="shared" si="7"/>
        <v>0</v>
      </c>
      <c r="U272" s="89">
        <f t="shared" si="8"/>
        <v>0</v>
      </c>
      <c r="V272" s="89">
        <f t="shared" si="9"/>
        <v>0</v>
      </c>
      <c r="W272" s="89">
        <f t="shared" si="10"/>
        <v>0</v>
      </c>
      <c r="X272" s="89">
        <f t="shared" si="11"/>
        <v>0</v>
      </c>
      <c r="Y272" s="28"/>
    </row>
    <row r="273" spans="1:25" ht="17.25" customHeight="1">
      <c r="A273" s="88" t="str">
        <f>IF(BASE!B277="","",BASE!B277)</f>
        <v>23XXR262</v>
      </c>
      <c r="B273" s="121" t="s">
        <v>40</v>
      </c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93"/>
      <c r="R273" s="91">
        <f t="shared" si="6"/>
        <v>0</v>
      </c>
      <c r="S273" s="91">
        <f>BASE!A277</f>
        <v>262</v>
      </c>
      <c r="T273" s="89">
        <f t="shared" si="7"/>
        <v>0</v>
      </c>
      <c r="U273" s="89">
        <f t="shared" si="8"/>
        <v>0</v>
      </c>
      <c r="V273" s="89">
        <f t="shared" si="9"/>
        <v>0</v>
      </c>
      <c r="W273" s="89">
        <f t="shared" si="10"/>
        <v>0</v>
      </c>
      <c r="X273" s="89">
        <f t="shared" si="11"/>
        <v>0</v>
      </c>
      <c r="Y273" s="28"/>
    </row>
    <row r="274" spans="1:25" ht="17.25" customHeight="1">
      <c r="A274" s="88" t="str">
        <f>IF(BASE!B278="","",BASE!B278)</f>
        <v>23XXR263</v>
      </c>
      <c r="B274" s="121" t="s">
        <v>40</v>
      </c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93"/>
      <c r="R274" s="91">
        <f t="shared" si="6"/>
        <v>0</v>
      </c>
      <c r="S274" s="91">
        <f>BASE!A278</f>
        <v>263</v>
      </c>
      <c r="T274" s="89">
        <f t="shared" si="7"/>
        <v>0</v>
      </c>
      <c r="U274" s="89">
        <f t="shared" si="8"/>
        <v>0</v>
      </c>
      <c r="V274" s="89">
        <f t="shared" si="9"/>
        <v>0</v>
      </c>
      <c r="W274" s="89">
        <f t="shared" si="10"/>
        <v>0</v>
      </c>
      <c r="X274" s="89">
        <f t="shared" si="11"/>
        <v>0</v>
      </c>
      <c r="Y274" s="28"/>
    </row>
    <row r="275" spans="1:25" ht="17.25" customHeight="1">
      <c r="A275" s="88" t="str">
        <f>IF(BASE!B279="","",BASE!B279)</f>
        <v>23XXR264</v>
      </c>
      <c r="B275" s="121" t="s">
        <v>40</v>
      </c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93"/>
      <c r="R275" s="91">
        <f t="shared" si="6"/>
        <v>0</v>
      </c>
      <c r="S275" s="91">
        <f>BASE!A279</f>
        <v>264</v>
      </c>
      <c r="T275" s="89">
        <f t="shared" si="7"/>
        <v>0</v>
      </c>
      <c r="U275" s="89">
        <f t="shared" si="8"/>
        <v>0</v>
      </c>
      <c r="V275" s="89">
        <f t="shared" si="9"/>
        <v>0</v>
      </c>
      <c r="W275" s="89">
        <f t="shared" si="10"/>
        <v>0</v>
      </c>
      <c r="X275" s="89">
        <f t="shared" si="11"/>
        <v>0</v>
      </c>
      <c r="Y275" s="28"/>
    </row>
    <row r="276" spans="1:25" ht="17.25" customHeight="1">
      <c r="A276" s="88" t="str">
        <f>IF(BASE!B280="","",BASE!B280)</f>
        <v>23XXR265</v>
      </c>
      <c r="B276" s="121" t="s">
        <v>40</v>
      </c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93"/>
      <c r="R276" s="91">
        <f t="shared" si="6"/>
        <v>0</v>
      </c>
      <c r="S276" s="91">
        <f>BASE!A280</f>
        <v>265</v>
      </c>
      <c r="T276" s="89">
        <f t="shared" si="7"/>
        <v>0</v>
      </c>
      <c r="U276" s="89">
        <f t="shared" si="8"/>
        <v>0</v>
      </c>
      <c r="V276" s="89">
        <f t="shared" si="9"/>
        <v>0</v>
      </c>
      <c r="W276" s="89">
        <f t="shared" si="10"/>
        <v>0</v>
      </c>
      <c r="X276" s="89">
        <f t="shared" si="11"/>
        <v>0</v>
      </c>
      <c r="Y276" s="28"/>
    </row>
    <row r="277" spans="1:25" ht="17.25" customHeight="1">
      <c r="A277" s="88" t="str">
        <f>IF(BASE!B281="","",BASE!B281)</f>
        <v>23XXR266</v>
      </c>
      <c r="B277" s="121" t="s">
        <v>40</v>
      </c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93"/>
      <c r="R277" s="91">
        <f t="shared" si="6"/>
        <v>0</v>
      </c>
      <c r="S277" s="91">
        <f>BASE!A281</f>
        <v>266</v>
      </c>
      <c r="T277" s="89">
        <f t="shared" si="7"/>
        <v>0</v>
      </c>
      <c r="U277" s="89">
        <f t="shared" si="8"/>
        <v>0</v>
      </c>
      <c r="V277" s="89">
        <f t="shared" si="9"/>
        <v>0</v>
      </c>
      <c r="W277" s="89">
        <f t="shared" si="10"/>
        <v>0</v>
      </c>
      <c r="X277" s="89">
        <f t="shared" si="11"/>
        <v>0</v>
      </c>
      <c r="Y277" s="28"/>
    </row>
    <row r="278" spans="1:25" ht="17.25" customHeight="1">
      <c r="A278" s="88" t="str">
        <f>IF(BASE!B282="","",BASE!B282)</f>
        <v>23XXR267</v>
      </c>
      <c r="B278" s="121" t="s">
        <v>40</v>
      </c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93"/>
      <c r="R278" s="91">
        <f t="shared" si="6"/>
        <v>0</v>
      </c>
      <c r="S278" s="91">
        <f>BASE!A282</f>
        <v>267</v>
      </c>
      <c r="T278" s="89">
        <f t="shared" si="7"/>
        <v>0</v>
      </c>
      <c r="U278" s="89">
        <f t="shared" si="8"/>
        <v>0</v>
      </c>
      <c r="V278" s="89">
        <f t="shared" si="9"/>
        <v>0</v>
      </c>
      <c r="W278" s="89">
        <f t="shared" si="10"/>
        <v>0</v>
      </c>
      <c r="X278" s="89">
        <f t="shared" si="11"/>
        <v>0</v>
      </c>
      <c r="Y278" s="28"/>
    </row>
    <row r="279" spans="1:25" ht="17.25" customHeight="1">
      <c r="A279" s="88" t="str">
        <f>IF(BASE!B283="","",BASE!B283)</f>
        <v>23XXR268</v>
      </c>
      <c r="B279" s="121" t="s">
        <v>40</v>
      </c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93"/>
      <c r="R279" s="91">
        <f t="shared" si="6"/>
        <v>0</v>
      </c>
      <c r="S279" s="91">
        <f>BASE!A283</f>
        <v>268</v>
      </c>
      <c r="T279" s="89">
        <f t="shared" si="7"/>
        <v>0</v>
      </c>
      <c r="U279" s="89">
        <f t="shared" si="8"/>
        <v>0</v>
      </c>
      <c r="V279" s="89">
        <f t="shared" si="9"/>
        <v>0</v>
      </c>
      <c r="W279" s="89">
        <f t="shared" si="10"/>
        <v>0</v>
      </c>
      <c r="X279" s="89">
        <f t="shared" si="11"/>
        <v>0</v>
      </c>
      <c r="Y279" s="28"/>
    </row>
    <row r="280" spans="1:25" ht="17.25" customHeight="1">
      <c r="A280" s="88" t="str">
        <f>IF(BASE!B284="","",BASE!B284)</f>
        <v>23XXR269</v>
      </c>
      <c r="B280" s="121" t="s">
        <v>40</v>
      </c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93"/>
      <c r="R280" s="91">
        <f t="shared" si="6"/>
        <v>0</v>
      </c>
      <c r="S280" s="91">
        <f>BASE!A284</f>
        <v>269</v>
      </c>
      <c r="T280" s="89">
        <f t="shared" si="7"/>
        <v>0</v>
      </c>
      <c r="U280" s="89">
        <f t="shared" si="8"/>
        <v>0</v>
      </c>
      <c r="V280" s="89">
        <f t="shared" si="9"/>
        <v>0</v>
      </c>
      <c r="W280" s="89">
        <f t="shared" si="10"/>
        <v>0</v>
      </c>
      <c r="X280" s="89">
        <f t="shared" si="11"/>
        <v>0</v>
      </c>
      <c r="Y280" s="28"/>
    </row>
    <row r="281" spans="1:25" ht="17.25" customHeight="1">
      <c r="A281" s="88" t="str">
        <f>IF(BASE!B285="","",BASE!B285)</f>
        <v>23XXR270</v>
      </c>
      <c r="B281" s="121" t="s">
        <v>40</v>
      </c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93"/>
      <c r="R281" s="91">
        <f t="shared" si="6"/>
        <v>0</v>
      </c>
      <c r="S281" s="91">
        <f>BASE!A285</f>
        <v>270</v>
      </c>
      <c r="T281" s="89">
        <f t="shared" si="7"/>
        <v>0</v>
      </c>
      <c r="U281" s="89">
        <f t="shared" si="8"/>
        <v>0</v>
      </c>
      <c r="V281" s="89">
        <f t="shared" si="9"/>
        <v>0</v>
      </c>
      <c r="W281" s="89">
        <f t="shared" si="10"/>
        <v>0</v>
      </c>
      <c r="X281" s="89">
        <f t="shared" si="11"/>
        <v>0</v>
      </c>
      <c r="Y281" s="28"/>
    </row>
    <row r="282" spans="1:25" ht="17.25" customHeight="1">
      <c r="A282" s="88" t="str">
        <f>IF(BASE!B286="","",BASE!B286)</f>
        <v>23XXR271</v>
      </c>
      <c r="B282" s="121" t="s">
        <v>40</v>
      </c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93"/>
      <c r="R282" s="91">
        <f t="shared" si="6"/>
        <v>0</v>
      </c>
      <c r="S282" s="91">
        <f>BASE!A286</f>
        <v>271</v>
      </c>
      <c r="T282" s="89">
        <f t="shared" si="7"/>
        <v>0</v>
      </c>
      <c r="U282" s="89">
        <f t="shared" si="8"/>
        <v>0</v>
      </c>
      <c r="V282" s="89">
        <f t="shared" si="9"/>
        <v>0</v>
      </c>
      <c r="W282" s="89">
        <f t="shared" si="10"/>
        <v>0</v>
      </c>
      <c r="X282" s="89">
        <f t="shared" si="11"/>
        <v>0</v>
      </c>
      <c r="Y282" s="28"/>
    </row>
    <row r="283" spans="1:25" ht="17.25" customHeight="1">
      <c r="A283" s="88" t="str">
        <f>IF(BASE!B287="","",BASE!B287)</f>
        <v>23XXR272</v>
      </c>
      <c r="B283" s="121" t="s">
        <v>40</v>
      </c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93"/>
      <c r="R283" s="91">
        <f t="shared" si="6"/>
        <v>0</v>
      </c>
      <c r="S283" s="91">
        <f>BASE!A287</f>
        <v>272</v>
      </c>
      <c r="T283" s="89">
        <f t="shared" si="7"/>
        <v>0</v>
      </c>
      <c r="U283" s="89">
        <f t="shared" si="8"/>
        <v>0</v>
      </c>
      <c r="V283" s="89">
        <f t="shared" si="9"/>
        <v>0</v>
      </c>
      <c r="W283" s="89">
        <f t="shared" si="10"/>
        <v>0</v>
      </c>
      <c r="X283" s="89">
        <f t="shared" si="11"/>
        <v>0</v>
      </c>
      <c r="Y283" s="28"/>
    </row>
    <row r="284" spans="1:25" ht="17.25" customHeight="1">
      <c r="A284" s="88" t="str">
        <f>IF(BASE!B288="","",BASE!B288)</f>
        <v>23XXR273</v>
      </c>
      <c r="B284" s="121" t="s">
        <v>40</v>
      </c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93"/>
      <c r="R284" s="91">
        <f t="shared" si="6"/>
        <v>0</v>
      </c>
      <c r="S284" s="91">
        <f>BASE!A288</f>
        <v>273</v>
      </c>
      <c r="T284" s="89">
        <f t="shared" si="7"/>
        <v>0</v>
      </c>
      <c r="U284" s="89">
        <f t="shared" si="8"/>
        <v>0</v>
      </c>
      <c r="V284" s="89">
        <f t="shared" si="9"/>
        <v>0</v>
      </c>
      <c r="W284" s="89">
        <f t="shared" si="10"/>
        <v>0</v>
      </c>
      <c r="X284" s="89">
        <f t="shared" si="11"/>
        <v>0</v>
      </c>
      <c r="Y284" s="28"/>
    </row>
    <row r="285" spans="1:25" ht="17.25" customHeight="1">
      <c r="A285" s="88" t="str">
        <f>IF(BASE!B289="","",BASE!B289)</f>
        <v>23XXR274</v>
      </c>
      <c r="B285" s="121" t="s">
        <v>40</v>
      </c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93"/>
      <c r="R285" s="91">
        <f t="shared" si="6"/>
        <v>0</v>
      </c>
      <c r="S285" s="91">
        <f>BASE!A289</f>
        <v>274</v>
      </c>
      <c r="T285" s="89">
        <f t="shared" si="7"/>
        <v>0</v>
      </c>
      <c r="U285" s="89">
        <f t="shared" si="8"/>
        <v>0</v>
      </c>
      <c r="V285" s="89">
        <f t="shared" si="9"/>
        <v>0</v>
      </c>
      <c r="W285" s="89">
        <f t="shared" si="10"/>
        <v>0</v>
      </c>
      <c r="X285" s="89">
        <f t="shared" si="11"/>
        <v>0</v>
      </c>
      <c r="Y285" s="28"/>
    </row>
    <row r="286" spans="1:25" ht="17.25" customHeight="1">
      <c r="A286" s="88" t="str">
        <f>IF(BASE!B290="","",BASE!B290)</f>
        <v>23XXR275</v>
      </c>
      <c r="B286" s="121" t="s">
        <v>40</v>
      </c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93"/>
      <c r="R286" s="91">
        <f t="shared" si="6"/>
        <v>0</v>
      </c>
      <c r="S286" s="91">
        <f>BASE!A290</f>
        <v>275</v>
      </c>
      <c r="T286" s="89">
        <f t="shared" si="7"/>
        <v>0</v>
      </c>
      <c r="U286" s="89">
        <f t="shared" si="8"/>
        <v>0</v>
      </c>
      <c r="V286" s="89">
        <f t="shared" si="9"/>
        <v>0</v>
      </c>
      <c r="W286" s="89">
        <f t="shared" si="10"/>
        <v>0</v>
      </c>
      <c r="X286" s="89">
        <f t="shared" si="11"/>
        <v>0</v>
      </c>
      <c r="Y286" s="28"/>
    </row>
    <row r="287" spans="1:25" ht="17.25" customHeight="1">
      <c r="A287" s="88" t="str">
        <f>IF(BASE!B291="","",BASE!B291)</f>
        <v>23XXR276</v>
      </c>
      <c r="B287" s="121" t="s">
        <v>40</v>
      </c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93"/>
      <c r="R287" s="91">
        <f t="shared" si="6"/>
        <v>0</v>
      </c>
      <c r="S287" s="91">
        <f>BASE!A291</f>
        <v>276</v>
      </c>
      <c r="T287" s="89">
        <f t="shared" si="7"/>
        <v>0</v>
      </c>
      <c r="U287" s="89">
        <f t="shared" si="8"/>
        <v>0</v>
      </c>
      <c r="V287" s="89">
        <f t="shared" si="9"/>
        <v>0</v>
      </c>
      <c r="W287" s="89">
        <f t="shared" si="10"/>
        <v>0</v>
      </c>
      <c r="X287" s="89">
        <f t="shared" si="11"/>
        <v>0</v>
      </c>
      <c r="Y287" s="28"/>
    </row>
    <row r="288" spans="1:25" ht="17.25" customHeight="1">
      <c r="A288" s="88" t="str">
        <f>IF(BASE!B292="","",BASE!B292)</f>
        <v>23XXR277</v>
      </c>
      <c r="B288" s="121" t="s">
        <v>40</v>
      </c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93"/>
      <c r="R288" s="91">
        <f t="shared" si="6"/>
        <v>0</v>
      </c>
      <c r="S288" s="91">
        <f>BASE!A292</f>
        <v>277</v>
      </c>
      <c r="T288" s="89">
        <f t="shared" si="7"/>
        <v>0</v>
      </c>
      <c r="U288" s="89">
        <f t="shared" si="8"/>
        <v>0</v>
      </c>
      <c r="V288" s="89">
        <f t="shared" si="9"/>
        <v>0</v>
      </c>
      <c r="W288" s="89">
        <f t="shared" si="10"/>
        <v>0</v>
      </c>
      <c r="X288" s="89">
        <f t="shared" si="11"/>
        <v>0</v>
      </c>
      <c r="Y288" s="28"/>
    </row>
    <row r="289" spans="1:25" ht="17.25" customHeight="1">
      <c r="A289" s="88" t="str">
        <f>IF(BASE!B293="","",BASE!B293)</f>
        <v>23XXR278</v>
      </c>
      <c r="B289" s="121" t="s">
        <v>40</v>
      </c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93"/>
      <c r="R289" s="91">
        <f t="shared" si="6"/>
        <v>0</v>
      </c>
      <c r="S289" s="91">
        <f>BASE!A293</f>
        <v>278</v>
      </c>
      <c r="T289" s="89">
        <f t="shared" si="7"/>
        <v>0</v>
      </c>
      <c r="U289" s="89">
        <f t="shared" si="8"/>
        <v>0</v>
      </c>
      <c r="V289" s="89">
        <f t="shared" si="9"/>
        <v>0</v>
      </c>
      <c r="W289" s="89">
        <f t="shared" si="10"/>
        <v>0</v>
      </c>
      <c r="X289" s="89">
        <f t="shared" si="11"/>
        <v>0</v>
      </c>
      <c r="Y289" s="28"/>
    </row>
    <row r="290" spans="1:25" ht="17.25" customHeight="1">
      <c r="A290" s="88" t="str">
        <f>IF(BASE!B294="","",BASE!B294)</f>
        <v>23XXR279</v>
      </c>
      <c r="B290" s="121" t="s">
        <v>40</v>
      </c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93"/>
      <c r="R290" s="91">
        <f t="shared" si="6"/>
        <v>0</v>
      </c>
      <c r="S290" s="91">
        <f>BASE!A294</f>
        <v>279</v>
      </c>
      <c r="T290" s="89">
        <f t="shared" si="7"/>
        <v>0</v>
      </c>
      <c r="U290" s="89">
        <f t="shared" si="8"/>
        <v>0</v>
      </c>
      <c r="V290" s="89">
        <f t="shared" si="9"/>
        <v>0</v>
      </c>
      <c r="W290" s="89">
        <f t="shared" si="10"/>
        <v>0</v>
      </c>
      <c r="X290" s="89">
        <f t="shared" si="11"/>
        <v>0</v>
      </c>
      <c r="Y290" s="28"/>
    </row>
    <row r="291" spans="1:25" ht="17.25" customHeight="1">
      <c r="A291" s="88" t="str">
        <f>IF(BASE!B295="","",BASE!B295)</f>
        <v>23XXR280</v>
      </c>
      <c r="B291" s="121" t="s">
        <v>40</v>
      </c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93"/>
      <c r="R291" s="91">
        <f t="shared" si="6"/>
        <v>0</v>
      </c>
      <c r="S291" s="91">
        <f>BASE!A295</f>
        <v>280</v>
      </c>
      <c r="T291" s="89">
        <f t="shared" si="7"/>
        <v>0</v>
      </c>
      <c r="U291" s="89">
        <f t="shared" si="8"/>
        <v>0</v>
      </c>
      <c r="V291" s="89">
        <f t="shared" si="9"/>
        <v>0</v>
      </c>
      <c r="W291" s="89">
        <f t="shared" si="10"/>
        <v>0</v>
      </c>
      <c r="X291" s="89">
        <f t="shared" si="11"/>
        <v>0</v>
      </c>
      <c r="Y291" s="28"/>
    </row>
    <row r="292" spans="1:25" ht="17.25" customHeight="1">
      <c r="A292" s="88" t="str">
        <f>IF(BASE!B296="","",BASE!B296)</f>
        <v>23XXR281</v>
      </c>
      <c r="B292" s="121" t="s">
        <v>40</v>
      </c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93"/>
      <c r="R292" s="91">
        <f t="shared" si="6"/>
        <v>0</v>
      </c>
      <c r="S292" s="91">
        <f>BASE!A296</f>
        <v>281</v>
      </c>
      <c r="T292" s="89">
        <f t="shared" si="7"/>
        <v>0</v>
      </c>
      <c r="U292" s="89">
        <f t="shared" si="8"/>
        <v>0</v>
      </c>
      <c r="V292" s="89">
        <f t="shared" si="9"/>
        <v>0</v>
      </c>
      <c r="W292" s="89">
        <f t="shared" si="10"/>
        <v>0</v>
      </c>
      <c r="X292" s="89">
        <f t="shared" si="11"/>
        <v>0</v>
      </c>
      <c r="Y292" s="28"/>
    </row>
    <row r="293" spans="1:25" ht="17.25" customHeight="1">
      <c r="A293" s="88" t="str">
        <f>IF(BASE!B297="","",BASE!B297)</f>
        <v>23XXR282</v>
      </c>
      <c r="B293" s="121" t="s">
        <v>40</v>
      </c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93"/>
      <c r="R293" s="91">
        <f t="shared" si="6"/>
        <v>0</v>
      </c>
      <c r="S293" s="91">
        <f>BASE!A297</f>
        <v>282</v>
      </c>
      <c r="T293" s="89">
        <f t="shared" si="7"/>
        <v>0</v>
      </c>
      <c r="U293" s="89">
        <f t="shared" si="8"/>
        <v>0</v>
      </c>
      <c r="V293" s="89">
        <f t="shared" si="9"/>
        <v>0</v>
      </c>
      <c r="W293" s="89">
        <f t="shared" si="10"/>
        <v>0</v>
      </c>
      <c r="X293" s="89">
        <f t="shared" si="11"/>
        <v>0</v>
      </c>
      <c r="Y293" s="28"/>
    </row>
    <row r="294" spans="1:25" ht="17.25" customHeight="1">
      <c r="A294" s="88" t="str">
        <f>IF(BASE!B298="","",BASE!B298)</f>
        <v>23XXR283</v>
      </c>
      <c r="B294" s="121" t="s">
        <v>40</v>
      </c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93"/>
      <c r="R294" s="91">
        <f t="shared" si="6"/>
        <v>0</v>
      </c>
      <c r="S294" s="91">
        <f>BASE!A298</f>
        <v>283</v>
      </c>
      <c r="T294" s="89">
        <f t="shared" si="7"/>
        <v>0</v>
      </c>
      <c r="U294" s="89">
        <f t="shared" si="8"/>
        <v>0</v>
      </c>
      <c r="V294" s="89">
        <f t="shared" si="9"/>
        <v>0</v>
      </c>
      <c r="W294" s="89">
        <f t="shared" si="10"/>
        <v>0</v>
      </c>
      <c r="X294" s="89">
        <f t="shared" si="11"/>
        <v>0</v>
      </c>
      <c r="Y294" s="28"/>
    </row>
    <row r="295" spans="1:25" ht="17.25" customHeight="1">
      <c r="A295" s="88" t="str">
        <f>IF(BASE!B299="","",BASE!B299)</f>
        <v>23XXR284</v>
      </c>
      <c r="B295" s="121" t="s">
        <v>40</v>
      </c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93"/>
      <c r="R295" s="91">
        <f t="shared" si="6"/>
        <v>0</v>
      </c>
      <c r="S295" s="91">
        <f>BASE!A299</f>
        <v>284</v>
      </c>
      <c r="T295" s="89">
        <f t="shared" si="7"/>
        <v>0</v>
      </c>
      <c r="U295" s="89">
        <f t="shared" si="8"/>
        <v>0</v>
      </c>
      <c r="V295" s="89">
        <f t="shared" si="9"/>
        <v>0</v>
      </c>
      <c r="W295" s="89">
        <f t="shared" si="10"/>
        <v>0</v>
      </c>
      <c r="X295" s="89">
        <f t="shared" si="11"/>
        <v>0</v>
      </c>
      <c r="Y295" s="28"/>
    </row>
    <row r="296" spans="1:25" ht="17.25" customHeight="1">
      <c r="A296" s="88" t="str">
        <f>IF(BASE!B300="","",BASE!B300)</f>
        <v>23XXR285</v>
      </c>
      <c r="B296" s="121" t="s">
        <v>40</v>
      </c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93"/>
      <c r="R296" s="91">
        <f t="shared" si="6"/>
        <v>0</v>
      </c>
      <c r="S296" s="91">
        <f>BASE!A300</f>
        <v>285</v>
      </c>
      <c r="T296" s="89">
        <f t="shared" si="7"/>
        <v>0</v>
      </c>
      <c r="U296" s="89">
        <f t="shared" si="8"/>
        <v>0</v>
      </c>
      <c r="V296" s="89">
        <f t="shared" si="9"/>
        <v>0</v>
      </c>
      <c r="W296" s="89">
        <f t="shared" si="10"/>
        <v>0</v>
      </c>
      <c r="X296" s="89">
        <f t="shared" si="11"/>
        <v>0</v>
      </c>
      <c r="Y296" s="28"/>
    </row>
    <row r="297" spans="1:25" ht="17.25" customHeight="1">
      <c r="A297" s="88" t="str">
        <f>IF(BASE!B301="","",BASE!B301)</f>
        <v>23XXR286</v>
      </c>
      <c r="B297" s="121" t="s">
        <v>40</v>
      </c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93"/>
      <c r="R297" s="91">
        <f t="shared" si="6"/>
        <v>0</v>
      </c>
      <c r="S297" s="91">
        <f>BASE!A301</f>
        <v>286</v>
      </c>
      <c r="T297" s="89">
        <f t="shared" si="7"/>
        <v>0</v>
      </c>
      <c r="U297" s="89">
        <f t="shared" si="8"/>
        <v>0</v>
      </c>
      <c r="V297" s="89">
        <f t="shared" si="9"/>
        <v>0</v>
      </c>
      <c r="W297" s="89">
        <f t="shared" si="10"/>
        <v>0</v>
      </c>
      <c r="X297" s="89">
        <f t="shared" si="11"/>
        <v>0</v>
      </c>
      <c r="Y297" s="28"/>
    </row>
    <row r="298" spans="1:25" ht="17.25" customHeight="1">
      <c r="A298" s="88" t="str">
        <f>IF(BASE!B302="","",BASE!B302)</f>
        <v>23XXR287</v>
      </c>
      <c r="B298" s="121" t="s">
        <v>40</v>
      </c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93"/>
      <c r="R298" s="91">
        <f t="shared" si="6"/>
        <v>0</v>
      </c>
      <c r="S298" s="91">
        <f>BASE!A302</f>
        <v>287</v>
      </c>
      <c r="T298" s="89">
        <f t="shared" si="7"/>
        <v>0</v>
      </c>
      <c r="U298" s="89">
        <f t="shared" si="8"/>
        <v>0</v>
      </c>
      <c r="V298" s="89">
        <f t="shared" si="9"/>
        <v>0</v>
      </c>
      <c r="W298" s="89">
        <f t="shared" si="10"/>
        <v>0</v>
      </c>
      <c r="X298" s="89">
        <f t="shared" si="11"/>
        <v>0</v>
      </c>
      <c r="Y298" s="28"/>
    </row>
    <row r="299" spans="1:25" ht="17.25" customHeight="1">
      <c r="A299" s="88" t="str">
        <f>IF(BASE!B303="","",BASE!B303)</f>
        <v>23XXR288</v>
      </c>
      <c r="B299" s="121" t="s">
        <v>40</v>
      </c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93"/>
      <c r="R299" s="91">
        <f t="shared" si="6"/>
        <v>0</v>
      </c>
      <c r="S299" s="91">
        <f>BASE!A303</f>
        <v>288</v>
      </c>
      <c r="T299" s="89">
        <f t="shared" si="7"/>
        <v>0</v>
      </c>
      <c r="U299" s="89">
        <f t="shared" si="8"/>
        <v>0</v>
      </c>
      <c r="V299" s="89">
        <f t="shared" si="9"/>
        <v>0</v>
      </c>
      <c r="W299" s="89">
        <f t="shared" si="10"/>
        <v>0</v>
      </c>
      <c r="X299" s="89">
        <f t="shared" si="11"/>
        <v>0</v>
      </c>
      <c r="Y299" s="28"/>
    </row>
    <row r="300" spans="1:25" ht="17.25" customHeight="1">
      <c r="A300" s="88" t="str">
        <f>IF(BASE!B304="","",BASE!B304)</f>
        <v>23XXR289</v>
      </c>
      <c r="B300" s="121" t="s">
        <v>40</v>
      </c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93"/>
      <c r="R300" s="91">
        <f t="shared" si="6"/>
        <v>0</v>
      </c>
      <c r="S300" s="91">
        <f>BASE!A304</f>
        <v>289</v>
      </c>
      <c r="T300" s="89">
        <f t="shared" si="7"/>
        <v>0</v>
      </c>
      <c r="U300" s="89">
        <f t="shared" si="8"/>
        <v>0</v>
      </c>
      <c r="V300" s="89">
        <f t="shared" si="9"/>
        <v>0</v>
      </c>
      <c r="W300" s="89">
        <f t="shared" si="10"/>
        <v>0</v>
      </c>
      <c r="X300" s="89">
        <f t="shared" si="11"/>
        <v>0</v>
      </c>
      <c r="Y300" s="28"/>
    </row>
    <row r="301" spans="1:25" ht="17.25" customHeight="1">
      <c r="A301" s="88" t="str">
        <f>IF(BASE!B305="","",BASE!B305)</f>
        <v>23XXR290</v>
      </c>
      <c r="B301" s="121" t="s">
        <v>40</v>
      </c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93"/>
      <c r="R301" s="91">
        <f t="shared" si="6"/>
        <v>0</v>
      </c>
      <c r="S301" s="91">
        <f>BASE!A305</f>
        <v>290</v>
      </c>
      <c r="T301" s="89">
        <f t="shared" si="7"/>
        <v>0</v>
      </c>
      <c r="U301" s="89">
        <f t="shared" si="8"/>
        <v>0</v>
      </c>
      <c r="V301" s="89">
        <f t="shared" si="9"/>
        <v>0</v>
      </c>
      <c r="W301" s="89">
        <f t="shared" si="10"/>
        <v>0</v>
      </c>
      <c r="X301" s="89">
        <f t="shared" si="11"/>
        <v>0</v>
      </c>
      <c r="Y301" s="28"/>
    </row>
    <row r="302" spans="1:25" ht="17.25" customHeight="1">
      <c r="A302" s="88" t="str">
        <f>IF(BASE!B306="","",BASE!B306)</f>
        <v>23XXR291</v>
      </c>
      <c r="B302" s="121" t="s">
        <v>40</v>
      </c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93"/>
      <c r="R302" s="91">
        <f t="shared" si="6"/>
        <v>0</v>
      </c>
      <c r="S302" s="91">
        <f>BASE!A306</f>
        <v>291</v>
      </c>
      <c r="T302" s="89">
        <f t="shared" si="7"/>
        <v>0</v>
      </c>
      <c r="U302" s="89">
        <f t="shared" si="8"/>
        <v>0</v>
      </c>
      <c r="V302" s="89">
        <f t="shared" si="9"/>
        <v>0</v>
      </c>
      <c r="W302" s="89">
        <f t="shared" si="10"/>
        <v>0</v>
      </c>
      <c r="X302" s="89">
        <f t="shared" si="11"/>
        <v>0</v>
      </c>
      <c r="Y302" s="28"/>
    </row>
    <row r="303" spans="1:25" ht="17.25" customHeight="1">
      <c r="A303" s="88" t="str">
        <f>IF(BASE!B307="","",BASE!B307)</f>
        <v>23XXR292</v>
      </c>
      <c r="B303" s="121" t="s">
        <v>40</v>
      </c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93"/>
      <c r="R303" s="91">
        <f t="shared" si="6"/>
        <v>0</v>
      </c>
      <c r="S303" s="91">
        <f>BASE!A307</f>
        <v>292</v>
      </c>
      <c r="T303" s="89">
        <f t="shared" si="7"/>
        <v>0</v>
      </c>
      <c r="U303" s="89">
        <f t="shared" si="8"/>
        <v>0</v>
      </c>
      <c r="V303" s="89">
        <f t="shared" si="9"/>
        <v>0</v>
      </c>
      <c r="W303" s="89">
        <f t="shared" si="10"/>
        <v>0</v>
      </c>
      <c r="X303" s="89">
        <f t="shared" si="11"/>
        <v>0</v>
      </c>
      <c r="Y303" s="28"/>
    </row>
    <row r="304" spans="1:25" ht="17.25" customHeight="1">
      <c r="A304" s="88" t="str">
        <f>IF(BASE!B308="","",BASE!B308)</f>
        <v>23XXR293</v>
      </c>
      <c r="B304" s="121" t="s">
        <v>40</v>
      </c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93"/>
      <c r="R304" s="91">
        <f t="shared" si="6"/>
        <v>0</v>
      </c>
      <c r="S304" s="91">
        <f>BASE!A308</f>
        <v>293</v>
      </c>
      <c r="T304" s="89">
        <f t="shared" si="7"/>
        <v>0</v>
      </c>
      <c r="U304" s="89">
        <f t="shared" si="8"/>
        <v>0</v>
      </c>
      <c r="V304" s="89">
        <f t="shared" si="9"/>
        <v>0</v>
      </c>
      <c r="W304" s="89">
        <f t="shared" si="10"/>
        <v>0</v>
      </c>
      <c r="X304" s="89">
        <f t="shared" si="11"/>
        <v>0</v>
      </c>
      <c r="Y304" s="28"/>
    </row>
    <row r="305" spans="1:25" ht="17.25" customHeight="1">
      <c r="A305" s="88" t="str">
        <f>IF(BASE!B309="","",BASE!B309)</f>
        <v>23XXR294</v>
      </c>
      <c r="B305" s="121" t="s">
        <v>40</v>
      </c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93"/>
      <c r="R305" s="91">
        <f t="shared" si="6"/>
        <v>0</v>
      </c>
      <c r="S305" s="91">
        <f>BASE!A309</f>
        <v>294</v>
      </c>
      <c r="T305" s="89">
        <f t="shared" si="7"/>
        <v>0</v>
      </c>
      <c r="U305" s="89">
        <f t="shared" si="8"/>
        <v>0</v>
      </c>
      <c r="V305" s="89">
        <f t="shared" si="9"/>
        <v>0</v>
      </c>
      <c r="W305" s="89">
        <f t="shared" si="10"/>
        <v>0</v>
      </c>
      <c r="X305" s="89">
        <f t="shared" si="11"/>
        <v>0</v>
      </c>
      <c r="Y305" s="28"/>
    </row>
    <row r="306" spans="1:25" ht="17.25" customHeight="1">
      <c r="A306" s="88" t="str">
        <f>IF(BASE!B310="","",BASE!B310)</f>
        <v>23XXR295</v>
      </c>
      <c r="B306" s="121" t="s">
        <v>40</v>
      </c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93"/>
      <c r="R306" s="91">
        <f t="shared" si="6"/>
        <v>0</v>
      </c>
      <c r="S306" s="91">
        <f>BASE!A310</f>
        <v>295</v>
      </c>
      <c r="T306" s="89">
        <f t="shared" si="7"/>
        <v>0</v>
      </c>
      <c r="U306" s="89">
        <f t="shared" si="8"/>
        <v>0</v>
      </c>
      <c r="V306" s="89">
        <f t="shared" si="9"/>
        <v>0</v>
      </c>
      <c r="W306" s="89">
        <f t="shared" si="10"/>
        <v>0</v>
      </c>
      <c r="X306" s="89">
        <f t="shared" si="11"/>
        <v>0</v>
      </c>
      <c r="Y306" s="28"/>
    </row>
    <row r="307" spans="1:25" ht="17.25" customHeight="1">
      <c r="A307" s="88" t="str">
        <f>IF(BASE!B311="","",BASE!B311)</f>
        <v>23XXR296</v>
      </c>
      <c r="B307" s="121" t="s">
        <v>40</v>
      </c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93"/>
      <c r="R307" s="91">
        <f t="shared" si="6"/>
        <v>0</v>
      </c>
      <c r="S307" s="91">
        <f>BASE!A311</f>
        <v>296</v>
      </c>
      <c r="T307" s="89">
        <f t="shared" si="7"/>
        <v>0</v>
      </c>
      <c r="U307" s="89">
        <f t="shared" si="8"/>
        <v>0</v>
      </c>
      <c r="V307" s="89">
        <f t="shared" si="9"/>
        <v>0</v>
      </c>
      <c r="W307" s="89">
        <f t="shared" si="10"/>
        <v>0</v>
      </c>
      <c r="X307" s="89">
        <f t="shared" si="11"/>
        <v>0</v>
      </c>
      <c r="Y307" s="28"/>
    </row>
    <row r="308" spans="1:25" ht="17.25" customHeight="1">
      <c r="A308" s="88" t="str">
        <f>IF(BASE!B312="","",BASE!B312)</f>
        <v>23XXR297</v>
      </c>
      <c r="B308" s="121" t="s">
        <v>40</v>
      </c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93"/>
      <c r="R308" s="91">
        <f t="shared" si="6"/>
        <v>0</v>
      </c>
      <c r="S308" s="91">
        <f>BASE!A312</f>
        <v>297</v>
      </c>
      <c r="T308" s="89">
        <f t="shared" si="7"/>
        <v>0</v>
      </c>
      <c r="U308" s="89">
        <f t="shared" si="8"/>
        <v>0</v>
      </c>
      <c r="V308" s="89">
        <f t="shared" si="9"/>
        <v>0</v>
      </c>
      <c r="W308" s="89">
        <f t="shared" si="10"/>
        <v>0</v>
      </c>
      <c r="X308" s="89">
        <f t="shared" si="11"/>
        <v>0</v>
      </c>
      <c r="Y308" s="28"/>
    </row>
    <row r="309" spans="1:25" ht="17.25" customHeight="1">
      <c r="A309" s="88" t="str">
        <f>IF(BASE!B313="","",BASE!B313)</f>
        <v>23XXR298</v>
      </c>
      <c r="B309" s="121" t="s">
        <v>40</v>
      </c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93"/>
      <c r="R309" s="91">
        <f t="shared" si="6"/>
        <v>0</v>
      </c>
      <c r="S309" s="91">
        <f>BASE!A313</f>
        <v>298</v>
      </c>
      <c r="T309" s="89">
        <f t="shared" si="7"/>
        <v>0</v>
      </c>
      <c r="U309" s="89">
        <f t="shared" si="8"/>
        <v>0</v>
      </c>
      <c r="V309" s="89">
        <f t="shared" si="9"/>
        <v>0</v>
      </c>
      <c r="W309" s="89">
        <f t="shared" si="10"/>
        <v>0</v>
      </c>
      <c r="X309" s="89">
        <f t="shared" si="11"/>
        <v>0</v>
      </c>
      <c r="Y309" s="28"/>
    </row>
    <row r="310" spans="1:25" ht="17.25" customHeight="1">
      <c r="A310" s="88" t="str">
        <f>IF(BASE!B314="","",BASE!B314)</f>
        <v>23XXR299</v>
      </c>
      <c r="B310" s="121" t="s">
        <v>40</v>
      </c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93"/>
      <c r="R310" s="91">
        <f t="shared" si="6"/>
        <v>0</v>
      </c>
      <c r="S310" s="91">
        <f>BASE!A314</f>
        <v>299</v>
      </c>
      <c r="T310" s="89">
        <f t="shared" si="7"/>
        <v>0</v>
      </c>
      <c r="U310" s="89">
        <f t="shared" si="8"/>
        <v>0</v>
      </c>
      <c r="V310" s="89">
        <f t="shared" si="9"/>
        <v>0</v>
      </c>
      <c r="W310" s="89">
        <f t="shared" si="10"/>
        <v>0</v>
      </c>
      <c r="X310" s="89">
        <f t="shared" si="11"/>
        <v>0</v>
      </c>
      <c r="Y310" s="28"/>
    </row>
    <row r="311" spans="1:25" ht="17.25" customHeight="1">
      <c r="A311" s="88" t="str">
        <f>IF(BASE!B315="","",BASE!B315)</f>
        <v>23XXR300</v>
      </c>
      <c r="B311" s="121" t="s">
        <v>40</v>
      </c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93"/>
      <c r="R311" s="91">
        <f t="shared" si="6"/>
        <v>0</v>
      </c>
      <c r="S311" s="91">
        <f>BASE!A315</f>
        <v>300</v>
      </c>
      <c r="T311" s="89">
        <f t="shared" si="7"/>
        <v>0</v>
      </c>
      <c r="U311" s="89">
        <f t="shared" si="8"/>
        <v>0</v>
      </c>
      <c r="V311" s="89">
        <f t="shared" si="9"/>
        <v>0</v>
      </c>
      <c r="W311" s="89">
        <f t="shared" si="10"/>
        <v>0</v>
      </c>
      <c r="X311" s="89">
        <f t="shared" si="11"/>
        <v>0</v>
      </c>
      <c r="Y311" s="28"/>
    </row>
    <row r="312" spans="1:25" ht="17.25" customHeight="1">
      <c r="A312" s="88" t="str">
        <f>IF(BASE!B316="","",BASE!B316)</f>
        <v>23XXR301</v>
      </c>
      <c r="B312" s="121" t="s">
        <v>40</v>
      </c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93"/>
      <c r="R312" s="91">
        <f t="shared" si="6"/>
        <v>0</v>
      </c>
      <c r="S312" s="91">
        <f>BASE!A316</f>
        <v>301</v>
      </c>
      <c r="T312" s="89">
        <f t="shared" si="7"/>
        <v>0</v>
      </c>
      <c r="U312" s="89">
        <f t="shared" si="8"/>
        <v>0</v>
      </c>
      <c r="V312" s="89">
        <f t="shared" si="9"/>
        <v>0</v>
      </c>
      <c r="W312" s="89">
        <f t="shared" si="10"/>
        <v>0</v>
      </c>
      <c r="X312" s="89">
        <f t="shared" si="11"/>
        <v>0</v>
      </c>
      <c r="Y312" s="28"/>
    </row>
    <row r="313" spans="1:25" ht="17.25" customHeight="1">
      <c r="A313" s="88" t="str">
        <f>IF(BASE!B317="","",BASE!B317)</f>
        <v>23XXR302</v>
      </c>
      <c r="B313" s="121" t="s">
        <v>40</v>
      </c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93"/>
      <c r="R313" s="91">
        <f t="shared" si="6"/>
        <v>0</v>
      </c>
      <c r="S313" s="91">
        <f>BASE!A317</f>
        <v>302</v>
      </c>
      <c r="T313" s="89">
        <f t="shared" si="7"/>
        <v>0</v>
      </c>
      <c r="U313" s="89">
        <f t="shared" si="8"/>
        <v>0</v>
      </c>
      <c r="V313" s="89">
        <f t="shared" si="9"/>
        <v>0</v>
      </c>
      <c r="W313" s="89">
        <f t="shared" si="10"/>
        <v>0</v>
      </c>
      <c r="X313" s="89">
        <f t="shared" si="11"/>
        <v>0</v>
      </c>
      <c r="Y313" s="28"/>
    </row>
    <row r="314" spans="1:25" ht="17.25" customHeight="1">
      <c r="A314" s="88" t="str">
        <f>IF(BASE!B318="","",BASE!B318)</f>
        <v>23XXR303</v>
      </c>
      <c r="B314" s="121" t="s">
        <v>40</v>
      </c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93"/>
      <c r="R314" s="91">
        <f t="shared" si="6"/>
        <v>0</v>
      </c>
      <c r="S314" s="91">
        <f>BASE!A318</f>
        <v>303</v>
      </c>
      <c r="T314" s="89">
        <f t="shared" si="7"/>
        <v>0</v>
      </c>
      <c r="U314" s="89">
        <f t="shared" si="8"/>
        <v>0</v>
      </c>
      <c r="V314" s="89">
        <f t="shared" si="9"/>
        <v>0</v>
      </c>
      <c r="W314" s="89">
        <f t="shared" si="10"/>
        <v>0</v>
      </c>
      <c r="X314" s="89">
        <f t="shared" si="11"/>
        <v>0</v>
      </c>
      <c r="Y314" s="28"/>
    </row>
    <row r="315" spans="1:25" ht="17.25" customHeight="1">
      <c r="A315" s="88" t="str">
        <f>IF(BASE!B319="","",BASE!B319)</f>
        <v>23XXR304</v>
      </c>
      <c r="B315" s="121" t="s">
        <v>40</v>
      </c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93"/>
      <c r="R315" s="91">
        <f t="shared" si="6"/>
        <v>0</v>
      </c>
      <c r="S315" s="91">
        <f>BASE!A319</f>
        <v>304</v>
      </c>
      <c r="T315" s="89">
        <f t="shared" si="7"/>
        <v>0</v>
      </c>
      <c r="U315" s="89">
        <f t="shared" si="8"/>
        <v>0</v>
      </c>
      <c r="V315" s="89">
        <f t="shared" si="9"/>
        <v>0</v>
      </c>
      <c r="W315" s="89">
        <f t="shared" si="10"/>
        <v>0</v>
      </c>
      <c r="X315" s="89">
        <f t="shared" si="11"/>
        <v>0</v>
      </c>
      <c r="Y315" s="28"/>
    </row>
    <row r="316" spans="1:25" ht="17.25" customHeight="1">
      <c r="A316" s="88" t="str">
        <f>IF(BASE!B320="","",BASE!B320)</f>
        <v>23XXR305</v>
      </c>
      <c r="B316" s="121" t="s">
        <v>40</v>
      </c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93"/>
      <c r="R316" s="91">
        <f t="shared" si="6"/>
        <v>0</v>
      </c>
      <c r="S316" s="91">
        <f>BASE!A320</f>
        <v>305</v>
      </c>
      <c r="T316" s="89">
        <f t="shared" si="7"/>
        <v>0</v>
      </c>
      <c r="U316" s="89">
        <f t="shared" si="8"/>
        <v>0</v>
      </c>
      <c r="V316" s="89">
        <f t="shared" si="9"/>
        <v>0</v>
      </c>
      <c r="W316" s="89">
        <f t="shared" si="10"/>
        <v>0</v>
      </c>
      <c r="X316" s="89">
        <f t="shared" si="11"/>
        <v>0</v>
      </c>
      <c r="Y316" s="28"/>
    </row>
    <row r="317" spans="1:25" ht="17.25" customHeight="1">
      <c r="A317" s="88" t="str">
        <f>IF(BASE!B321="","",BASE!B321)</f>
        <v>23XXR306</v>
      </c>
      <c r="B317" s="121" t="s">
        <v>40</v>
      </c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93"/>
      <c r="R317" s="91">
        <f t="shared" ref="R317:R380" si="12">SUM(C317:Q317)</f>
        <v>0</v>
      </c>
      <c r="S317" s="91">
        <f>BASE!A321</f>
        <v>306</v>
      </c>
      <c r="T317" s="89">
        <f t="shared" ref="T317:T380" si="13">SUMIF($C$11:$Q$11,1,C317:Q317)</f>
        <v>0</v>
      </c>
      <c r="U317" s="89">
        <f t="shared" ref="U317:U380" si="14">SUMIF($C$11:$Q$11,2,C317:Q317)</f>
        <v>0</v>
      </c>
      <c r="V317" s="89">
        <f t="shared" ref="V317:V380" si="15">SUMIF($C$11:$Q$11,3,C317:Q317)</f>
        <v>0</v>
      </c>
      <c r="W317" s="89">
        <f t="shared" ref="W317:W380" si="16">SUMIF($C$11:$Q$11,4,C317:Q317)</f>
        <v>0</v>
      </c>
      <c r="X317" s="89">
        <f t="shared" ref="X317:X380" si="17">SUMIF($C$11:$Q$11,5,C317:Q317)</f>
        <v>0</v>
      </c>
      <c r="Y317" s="28"/>
    </row>
    <row r="318" spans="1:25" ht="17.25" customHeight="1">
      <c r="A318" s="88" t="str">
        <f>IF(BASE!B322="","",BASE!B322)</f>
        <v>23XXR307</v>
      </c>
      <c r="B318" s="121" t="s">
        <v>40</v>
      </c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93"/>
      <c r="R318" s="91">
        <f t="shared" si="12"/>
        <v>0</v>
      </c>
      <c r="S318" s="91">
        <f>BASE!A322</f>
        <v>307</v>
      </c>
      <c r="T318" s="89">
        <f t="shared" si="13"/>
        <v>0</v>
      </c>
      <c r="U318" s="89">
        <f t="shared" si="14"/>
        <v>0</v>
      </c>
      <c r="V318" s="89">
        <f t="shared" si="15"/>
        <v>0</v>
      </c>
      <c r="W318" s="89">
        <f t="shared" si="16"/>
        <v>0</v>
      </c>
      <c r="X318" s="89">
        <f t="shared" si="17"/>
        <v>0</v>
      </c>
      <c r="Y318" s="28"/>
    </row>
    <row r="319" spans="1:25" ht="17.25" customHeight="1">
      <c r="A319" s="88" t="str">
        <f>IF(BASE!B323="","",BASE!B323)</f>
        <v>23XXR308</v>
      </c>
      <c r="B319" s="121" t="s">
        <v>40</v>
      </c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93"/>
      <c r="R319" s="91">
        <f t="shared" si="12"/>
        <v>0</v>
      </c>
      <c r="S319" s="91">
        <f>BASE!A323</f>
        <v>308</v>
      </c>
      <c r="T319" s="89">
        <f t="shared" si="13"/>
        <v>0</v>
      </c>
      <c r="U319" s="89">
        <f t="shared" si="14"/>
        <v>0</v>
      </c>
      <c r="V319" s="89">
        <f t="shared" si="15"/>
        <v>0</v>
      </c>
      <c r="W319" s="89">
        <f t="shared" si="16"/>
        <v>0</v>
      </c>
      <c r="X319" s="89">
        <f t="shared" si="17"/>
        <v>0</v>
      </c>
      <c r="Y319" s="28"/>
    </row>
    <row r="320" spans="1:25" ht="17.25" customHeight="1">
      <c r="A320" s="88" t="str">
        <f>IF(BASE!B324="","",BASE!B324)</f>
        <v>23XXR309</v>
      </c>
      <c r="B320" s="121" t="s">
        <v>40</v>
      </c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93"/>
      <c r="R320" s="91">
        <f t="shared" si="12"/>
        <v>0</v>
      </c>
      <c r="S320" s="91">
        <f>BASE!A324</f>
        <v>309</v>
      </c>
      <c r="T320" s="89">
        <f t="shared" si="13"/>
        <v>0</v>
      </c>
      <c r="U320" s="89">
        <f t="shared" si="14"/>
        <v>0</v>
      </c>
      <c r="V320" s="89">
        <f t="shared" si="15"/>
        <v>0</v>
      </c>
      <c r="W320" s="89">
        <f t="shared" si="16"/>
        <v>0</v>
      </c>
      <c r="X320" s="89">
        <f t="shared" si="17"/>
        <v>0</v>
      </c>
      <c r="Y320" s="28"/>
    </row>
    <row r="321" spans="1:25" ht="17.25" customHeight="1">
      <c r="A321" s="88" t="str">
        <f>IF(BASE!B325="","",BASE!B325)</f>
        <v>23XXR310</v>
      </c>
      <c r="B321" s="121" t="s">
        <v>40</v>
      </c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93"/>
      <c r="R321" s="91">
        <f t="shared" si="12"/>
        <v>0</v>
      </c>
      <c r="S321" s="91">
        <f>BASE!A325</f>
        <v>310</v>
      </c>
      <c r="T321" s="89">
        <f t="shared" si="13"/>
        <v>0</v>
      </c>
      <c r="U321" s="89">
        <f t="shared" si="14"/>
        <v>0</v>
      </c>
      <c r="V321" s="89">
        <f t="shared" si="15"/>
        <v>0</v>
      </c>
      <c r="W321" s="89">
        <f t="shared" si="16"/>
        <v>0</v>
      </c>
      <c r="X321" s="89">
        <f t="shared" si="17"/>
        <v>0</v>
      </c>
      <c r="Y321" s="28"/>
    </row>
    <row r="322" spans="1:25" ht="17.25" customHeight="1">
      <c r="A322" s="88" t="str">
        <f>IF(BASE!B326="","",BASE!B326)</f>
        <v>23XXR311</v>
      </c>
      <c r="B322" s="121" t="s">
        <v>40</v>
      </c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93"/>
      <c r="R322" s="91">
        <f t="shared" si="12"/>
        <v>0</v>
      </c>
      <c r="S322" s="91">
        <f>BASE!A326</f>
        <v>311</v>
      </c>
      <c r="T322" s="89">
        <f t="shared" si="13"/>
        <v>0</v>
      </c>
      <c r="U322" s="89">
        <f t="shared" si="14"/>
        <v>0</v>
      </c>
      <c r="V322" s="89">
        <f t="shared" si="15"/>
        <v>0</v>
      </c>
      <c r="W322" s="89">
        <f t="shared" si="16"/>
        <v>0</v>
      </c>
      <c r="X322" s="89">
        <f t="shared" si="17"/>
        <v>0</v>
      </c>
      <c r="Y322" s="28"/>
    </row>
    <row r="323" spans="1:25" ht="17.25" customHeight="1">
      <c r="A323" s="88" t="str">
        <f>IF(BASE!B327="","",BASE!B327)</f>
        <v>23XXR312</v>
      </c>
      <c r="B323" s="121" t="s">
        <v>40</v>
      </c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93"/>
      <c r="R323" s="91">
        <f t="shared" si="12"/>
        <v>0</v>
      </c>
      <c r="S323" s="91">
        <f>BASE!A327</f>
        <v>312</v>
      </c>
      <c r="T323" s="89">
        <f t="shared" si="13"/>
        <v>0</v>
      </c>
      <c r="U323" s="89">
        <f t="shared" si="14"/>
        <v>0</v>
      </c>
      <c r="V323" s="89">
        <f t="shared" si="15"/>
        <v>0</v>
      </c>
      <c r="W323" s="89">
        <f t="shared" si="16"/>
        <v>0</v>
      </c>
      <c r="X323" s="89">
        <f t="shared" si="17"/>
        <v>0</v>
      </c>
      <c r="Y323" s="28"/>
    </row>
    <row r="324" spans="1:25" ht="17.25" customHeight="1">
      <c r="A324" s="88" t="str">
        <f>IF(BASE!B328="","",BASE!B328)</f>
        <v>23XXR313</v>
      </c>
      <c r="B324" s="121" t="s">
        <v>40</v>
      </c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93"/>
      <c r="R324" s="91">
        <f t="shared" si="12"/>
        <v>0</v>
      </c>
      <c r="S324" s="91">
        <f>BASE!A328</f>
        <v>313</v>
      </c>
      <c r="T324" s="89">
        <f t="shared" si="13"/>
        <v>0</v>
      </c>
      <c r="U324" s="89">
        <f t="shared" si="14"/>
        <v>0</v>
      </c>
      <c r="V324" s="89">
        <f t="shared" si="15"/>
        <v>0</v>
      </c>
      <c r="W324" s="89">
        <f t="shared" si="16"/>
        <v>0</v>
      </c>
      <c r="X324" s="89">
        <f t="shared" si="17"/>
        <v>0</v>
      </c>
      <c r="Y324" s="28"/>
    </row>
    <row r="325" spans="1:25" ht="17.25" customHeight="1">
      <c r="A325" s="88" t="str">
        <f>IF(BASE!B329="","",BASE!B329)</f>
        <v>23XXR314</v>
      </c>
      <c r="B325" s="121" t="s">
        <v>40</v>
      </c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93"/>
      <c r="R325" s="91">
        <f t="shared" si="12"/>
        <v>0</v>
      </c>
      <c r="S325" s="91">
        <f>BASE!A329</f>
        <v>314</v>
      </c>
      <c r="T325" s="89">
        <f t="shared" si="13"/>
        <v>0</v>
      </c>
      <c r="U325" s="89">
        <f t="shared" si="14"/>
        <v>0</v>
      </c>
      <c r="V325" s="89">
        <f t="shared" si="15"/>
        <v>0</v>
      </c>
      <c r="W325" s="89">
        <f t="shared" si="16"/>
        <v>0</v>
      </c>
      <c r="X325" s="89">
        <f t="shared" si="17"/>
        <v>0</v>
      </c>
      <c r="Y325" s="28"/>
    </row>
    <row r="326" spans="1:25" ht="17.25" customHeight="1">
      <c r="A326" s="88" t="str">
        <f>IF(BASE!B330="","",BASE!B330)</f>
        <v>23XXR315</v>
      </c>
      <c r="B326" s="121" t="s">
        <v>40</v>
      </c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93"/>
      <c r="R326" s="91">
        <f t="shared" si="12"/>
        <v>0</v>
      </c>
      <c r="S326" s="91">
        <f>BASE!A330</f>
        <v>315</v>
      </c>
      <c r="T326" s="89">
        <f t="shared" si="13"/>
        <v>0</v>
      </c>
      <c r="U326" s="89">
        <f t="shared" si="14"/>
        <v>0</v>
      </c>
      <c r="V326" s="89">
        <f t="shared" si="15"/>
        <v>0</v>
      </c>
      <c r="W326" s="89">
        <f t="shared" si="16"/>
        <v>0</v>
      </c>
      <c r="X326" s="89">
        <f t="shared" si="17"/>
        <v>0</v>
      </c>
      <c r="Y326" s="28"/>
    </row>
    <row r="327" spans="1:25" ht="17.25" customHeight="1">
      <c r="A327" s="88" t="str">
        <f>IF(BASE!B331="","",BASE!B331)</f>
        <v>23XXR316</v>
      </c>
      <c r="B327" s="121" t="s">
        <v>40</v>
      </c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93"/>
      <c r="R327" s="91">
        <f t="shared" si="12"/>
        <v>0</v>
      </c>
      <c r="S327" s="91">
        <f>BASE!A331</f>
        <v>316</v>
      </c>
      <c r="T327" s="89">
        <f t="shared" si="13"/>
        <v>0</v>
      </c>
      <c r="U327" s="89">
        <f t="shared" si="14"/>
        <v>0</v>
      </c>
      <c r="V327" s="89">
        <f t="shared" si="15"/>
        <v>0</v>
      </c>
      <c r="W327" s="89">
        <f t="shared" si="16"/>
        <v>0</v>
      </c>
      <c r="X327" s="89">
        <f t="shared" si="17"/>
        <v>0</v>
      </c>
      <c r="Y327" s="28"/>
    </row>
    <row r="328" spans="1:25" ht="17.25" customHeight="1">
      <c r="A328" s="88" t="str">
        <f>IF(BASE!B332="","",BASE!B332)</f>
        <v>23XXR317</v>
      </c>
      <c r="B328" s="121" t="s">
        <v>40</v>
      </c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93"/>
      <c r="R328" s="91">
        <f t="shared" si="12"/>
        <v>0</v>
      </c>
      <c r="S328" s="91">
        <f>BASE!A332</f>
        <v>317</v>
      </c>
      <c r="T328" s="89">
        <f t="shared" si="13"/>
        <v>0</v>
      </c>
      <c r="U328" s="89">
        <f t="shared" si="14"/>
        <v>0</v>
      </c>
      <c r="V328" s="89">
        <f t="shared" si="15"/>
        <v>0</v>
      </c>
      <c r="W328" s="89">
        <f t="shared" si="16"/>
        <v>0</v>
      </c>
      <c r="X328" s="89">
        <f t="shared" si="17"/>
        <v>0</v>
      </c>
      <c r="Y328" s="28"/>
    </row>
    <row r="329" spans="1:25" ht="17.25" customHeight="1">
      <c r="A329" s="88" t="str">
        <f>IF(BASE!B333="","",BASE!B333)</f>
        <v>23XXR318</v>
      </c>
      <c r="B329" s="121" t="s">
        <v>40</v>
      </c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93"/>
      <c r="R329" s="91">
        <f t="shared" si="12"/>
        <v>0</v>
      </c>
      <c r="S329" s="91">
        <f>BASE!A333</f>
        <v>318</v>
      </c>
      <c r="T329" s="89">
        <f t="shared" si="13"/>
        <v>0</v>
      </c>
      <c r="U329" s="89">
        <f t="shared" si="14"/>
        <v>0</v>
      </c>
      <c r="V329" s="89">
        <f t="shared" si="15"/>
        <v>0</v>
      </c>
      <c r="W329" s="89">
        <f t="shared" si="16"/>
        <v>0</v>
      </c>
      <c r="X329" s="89">
        <f t="shared" si="17"/>
        <v>0</v>
      </c>
      <c r="Y329" s="28"/>
    </row>
    <row r="330" spans="1:25" ht="17.25" customHeight="1">
      <c r="A330" s="88" t="str">
        <f>IF(BASE!B334="","",BASE!B334)</f>
        <v>23XXR319</v>
      </c>
      <c r="B330" s="121" t="s">
        <v>40</v>
      </c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93"/>
      <c r="R330" s="91">
        <f t="shared" si="12"/>
        <v>0</v>
      </c>
      <c r="S330" s="91">
        <f>BASE!A334</f>
        <v>319</v>
      </c>
      <c r="T330" s="89">
        <f t="shared" si="13"/>
        <v>0</v>
      </c>
      <c r="U330" s="89">
        <f t="shared" si="14"/>
        <v>0</v>
      </c>
      <c r="V330" s="89">
        <f t="shared" si="15"/>
        <v>0</v>
      </c>
      <c r="W330" s="89">
        <f t="shared" si="16"/>
        <v>0</v>
      </c>
      <c r="X330" s="89">
        <f t="shared" si="17"/>
        <v>0</v>
      </c>
      <c r="Y330" s="28"/>
    </row>
    <row r="331" spans="1:25" ht="17.25" customHeight="1">
      <c r="A331" s="88" t="str">
        <f>IF(BASE!B335="","",BASE!B335)</f>
        <v>23XXR320</v>
      </c>
      <c r="B331" s="121" t="s">
        <v>40</v>
      </c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93"/>
      <c r="R331" s="91">
        <f t="shared" si="12"/>
        <v>0</v>
      </c>
      <c r="S331" s="91">
        <f>BASE!A335</f>
        <v>320</v>
      </c>
      <c r="T331" s="89">
        <f t="shared" si="13"/>
        <v>0</v>
      </c>
      <c r="U331" s="89">
        <f t="shared" si="14"/>
        <v>0</v>
      </c>
      <c r="V331" s="89">
        <f t="shared" si="15"/>
        <v>0</v>
      </c>
      <c r="W331" s="89">
        <f t="shared" si="16"/>
        <v>0</v>
      </c>
      <c r="X331" s="89">
        <f t="shared" si="17"/>
        <v>0</v>
      </c>
      <c r="Y331" s="28"/>
    </row>
    <row r="332" spans="1:25" ht="17.25" customHeight="1">
      <c r="A332" s="88" t="str">
        <f>IF(BASE!B336="","",BASE!B336)</f>
        <v>23XXR321</v>
      </c>
      <c r="B332" s="121" t="s">
        <v>40</v>
      </c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93"/>
      <c r="R332" s="91">
        <f t="shared" si="12"/>
        <v>0</v>
      </c>
      <c r="S332" s="91">
        <f>BASE!A336</f>
        <v>321</v>
      </c>
      <c r="T332" s="89">
        <f t="shared" si="13"/>
        <v>0</v>
      </c>
      <c r="U332" s="89">
        <f t="shared" si="14"/>
        <v>0</v>
      </c>
      <c r="V332" s="89">
        <f t="shared" si="15"/>
        <v>0</v>
      </c>
      <c r="W332" s="89">
        <f t="shared" si="16"/>
        <v>0</v>
      </c>
      <c r="X332" s="89">
        <f t="shared" si="17"/>
        <v>0</v>
      </c>
      <c r="Y332" s="28"/>
    </row>
    <row r="333" spans="1:25" ht="17.25" customHeight="1">
      <c r="A333" s="88" t="str">
        <f>IF(BASE!B337="","",BASE!B337)</f>
        <v>23XXR322</v>
      </c>
      <c r="B333" s="121" t="s">
        <v>40</v>
      </c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93"/>
      <c r="R333" s="91">
        <f t="shared" si="12"/>
        <v>0</v>
      </c>
      <c r="S333" s="91">
        <f>BASE!A337</f>
        <v>322</v>
      </c>
      <c r="T333" s="89">
        <f t="shared" si="13"/>
        <v>0</v>
      </c>
      <c r="U333" s="89">
        <f t="shared" si="14"/>
        <v>0</v>
      </c>
      <c r="V333" s="89">
        <f t="shared" si="15"/>
        <v>0</v>
      </c>
      <c r="W333" s="89">
        <f t="shared" si="16"/>
        <v>0</v>
      </c>
      <c r="X333" s="89">
        <f t="shared" si="17"/>
        <v>0</v>
      </c>
      <c r="Y333" s="28"/>
    </row>
    <row r="334" spans="1:25" ht="17.25" customHeight="1">
      <c r="A334" s="88" t="str">
        <f>IF(BASE!B338="","",BASE!B338)</f>
        <v>23XXR323</v>
      </c>
      <c r="B334" s="121" t="s">
        <v>40</v>
      </c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93"/>
      <c r="R334" s="91">
        <f t="shared" si="12"/>
        <v>0</v>
      </c>
      <c r="S334" s="91">
        <f>BASE!A338</f>
        <v>323</v>
      </c>
      <c r="T334" s="89">
        <f t="shared" si="13"/>
        <v>0</v>
      </c>
      <c r="U334" s="89">
        <f t="shared" si="14"/>
        <v>0</v>
      </c>
      <c r="V334" s="89">
        <f t="shared" si="15"/>
        <v>0</v>
      </c>
      <c r="W334" s="89">
        <f t="shared" si="16"/>
        <v>0</v>
      </c>
      <c r="X334" s="89">
        <f t="shared" si="17"/>
        <v>0</v>
      </c>
      <c r="Y334" s="28"/>
    </row>
    <row r="335" spans="1:25" ht="17.25" customHeight="1">
      <c r="A335" s="88" t="str">
        <f>IF(BASE!B339="","",BASE!B339)</f>
        <v>23XXR324</v>
      </c>
      <c r="B335" s="121" t="s">
        <v>40</v>
      </c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93"/>
      <c r="R335" s="91">
        <f t="shared" si="12"/>
        <v>0</v>
      </c>
      <c r="S335" s="91">
        <f>BASE!A339</f>
        <v>324</v>
      </c>
      <c r="T335" s="89">
        <f t="shared" si="13"/>
        <v>0</v>
      </c>
      <c r="U335" s="89">
        <f t="shared" si="14"/>
        <v>0</v>
      </c>
      <c r="V335" s="89">
        <f t="shared" si="15"/>
        <v>0</v>
      </c>
      <c r="W335" s="89">
        <f t="shared" si="16"/>
        <v>0</v>
      </c>
      <c r="X335" s="89">
        <f t="shared" si="17"/>
        <v>0</v>
      </c>
      <c r="Y335" s="28"/>
    </row>
    <row r="336" spans="1:25" ht="17.25" customHeight="1">
      <c r="A336" s="88" t="str">
        <f>IF(BASE!B340="","",BASE!B340)</f>
        <v>23XXR325</v>
      </c>
      <c r="B336" s="121" t="s">
        <v>40</v>
      </c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93"/>
      <c r="R336" s="91">
        <f t="shared" si="12"/>
        <v>0</v>
      </c>
      <c r="S336" s="91">
        <f>BASE!A340</f>
        <v>325</v>
      </c>
      <c r="T336" s="89">
        <f t="shared" si="13"/>
        <v>0</v>
      </c>
      <c r="U336" s="89">
        <f t="shared" si="14"/>
        <v>0</v>
      </c>
      <c r="V336" s="89">
        <f t="shared" si="15"/>
        <v>0</v>
      </c>
      <c r="W336" s="89">
        <f t="shared" si="16"/>
        <v>0</v>
      </c>
      <c r="X336" s="89">
        <f t="shared" si="17"/>
        <v>0</v>
      </c>
      <c r="Y336" s="28"/>
    </row>
    <row r="337" spans="1:25" ht="17.25" customHeight="1">
      <c r="A337" s="88" t="str">
        <f>IF(BASE!B341="","",BASE!B341)</f>
        <v>23XXR326</v>
      </c>
      <c r="B337" s="121" t="s">
        <v>40</v>
      </c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93"/>
      <c r="R337" s="91">
        <f t="shared" si="12"/>
        <v>0</v>
      </c>
      <c r="S337" s="91">
        <f>BASE!A341</f>
        <v>326</v>
      </c>
      <c r="T337" s="89">
        <f t="shared" si="13"/>
        <v>0</v>
      </c>
      <c r="U337" s="89">
        <f t="shared" si="14"/>
        <v>0</v>
      </c>
      <c r="V337" s="89">
        <f t="shared" si="15"/>
        <v>0</v>
      </c>
      <c r="W337" s="89">
        <f t="shared" si="16"/>
        <v>0</v>
      </c>
      <c r="X337" s="89">
        <f t="shared" si="17"/>
        <v>0</v>
      </c>
      <c r="Y337" s="28"/>
    </row>
    <row r="338" spans="1:25" ht="17.25" customHeight="1">
      <c r="A338" s="88" t="str">
        <f>IF(BASE!B342="","",BASE!B342)</f>
        <v>23XXR327</v>
      </c>
      <c r="B338" s="121" t="s">
        <v>40</v>
      </c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93"/>
      <c r="R338" s="91">
        <f t="shared" si="12"/>
        <v>0</v>
      </c>
      <c r="S338" s="91">
        <f>BASE!A342</f>
        <v>327</v>
      </c>
      <c r="T338" s="89">
        <f t="shared" si="13"/>
        <v>0</v>
      </c>
      <c r="U338" s="89">
        <f t="shared" si="14"/>
        <v>0</v>
      </c>
      <c r="V338" s="89">
        <f t="shared" si="15"/>
        <v>0</v>
      </c>
      <c r="W338" s="89">
        <f t="shared" si="16"/>
        <v>0</v>
      </c>
      <c r="X338" s="89">
        <f t="shared" si="17"/>
        <v>0</v>
      </c>
      <c r="Y338" s="28"/>
    </row>
    <row r="339" spans="1:25" ht="17.25" customHeight="1">
      <c r="A339" s="88" t="str">
        <f>IF(BASE!B343="","",BASE!B343)</f>
        <v>23XXR328</v>
      </c>
      <c r="B339" s="121" t="s">
        <v>40</v>
      </c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93"/>
      <c r="R339" s="91">
        <f t="shared" si="12"/>
        <v>0</v>
      </c>
      <c r="S339" s="91">
        <f>BASE!A343</f>
        <v>328</v>
      </c>
      <c r="T339" s="89">
        <f t="shared" si="13"/>
        <v>0</v>
      </c>
      <c r="U339" s="89">
        <f t="shared" si="14"/>
        <v>0</v>
      </c>
      <c r="V339" s="89">
        <f t="shared" si="15"/>
        <v>0</v>
      </c>
      <c r="W339" s="89">
        <f t="shared" si="16"/>
        <v>0</v>
      </c>
      <c r="X339" s="89">
        <f t="shared" si="17"/>
        <v>0</v>
      </c>
      <c r="Y339" s="28"/>
    </row>
    <row r="340" spans="1:25" ht="17.25" customHeight="1">
      <c r="A340" s="88" t="str">
        <f>IF(BASE!B344="","",BASE!B344)</f>
        <v>23XXR329</v>
      </c>
      <c r="B340" s="121" t="s">
        <v>40</v>
      </c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93"/>
      <c r="R340" s="91">
        <f t="shared" si="12"/>
        <v>0</v>
      </c>
      <c r="S340" s="91">
        <f>BASE!A344</f>
        <v>329</v>
      </c>
      <c r="T340" s="89">
        <f t="shared" si="13"/>
        <v>0</v>
      </c>
      <c r="U340" s="89">
        <f t="shared" si="14"/>
        <v>0</v>
      </c>
      <c r="V340" s="89">
        <f t="shared" si="15"/>
        <v>0</v>
      </c>
      <c r="W340" s="89">
        <f t="shared" si="16"/>
        <v>0</v>
      </c>
      <c r="X340" s="89">
        <f t="shared" si="17"/>
        <v>0</v>
      </c>
      <c r="Y340" s="28"/>
    </row>
    <row r="341" spans="1:25" ht="17.25" customHeight="1">
      <c r="A341" s="88" t="str">
        <f>IF(BASE!B345="","",BASE!B345)</f>
        <v>23XXR330</v>
      </c>
      <c r="B341" s="121" t="s">
        <v>40</v>
      </c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93"/>
      <c r="R341" s="91">
        <f t="shared" si="12"/>
        <v>0</v>
      </c>
      <c r="S341" s="91">
        <f>BASE!A345</f>
        <v>330</v>
      </c>
      <c r="T341" s="89">
        <f t="shared" si="13"/>
        <v>0</v>
      </c>
      <c r="U341" s="89">
        <f t="shared" si="14"/>
        <v>0</v>
      </c>
      <c r="V341" s="89">
        <f t="shared" si="15"/>
        <v>0</v>
      </c>
      <c r="W341" s="89">
        <f t="shared" si="16"/>
        <v>0</v>
      </c>
      <c r="X341" s="89">
        <f t="shared" si="17"/>
        <v>0</v>
      </c>
      <c r="Y341" s="28"/>
    </row>
    <row r="342" spans="1:25" ht="17.25" customHeight="1">
      <c r="A342" s="88" t="str">
        <f>IF(BASE!B346="","",BASE!B346)</f>
        <v>23XXR331</v>
      </c>
      <c r="B342" s="121" t="s">
        <v>40</v>
      </c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93"/>
      <c r="R342" s="91">
        <f t="shared" si="12"/>
        <v>0</v>
      </c>
      <c r="S342" s="91">
        <f>BASE!A346</f>
        <v>331</v>
      </c>
      <c r="T342" s="89">
        <f t="shared" si="13"/>
        <v>0</v>
      </c>
      <c r="U342" s="89">
        <f t="shared" si="14"/>
        <v>0</v>
      </c>
      <c r="V342" s="89">
        <f t="shared" si="15"/>
        <v>0</v>
      </c>
      <c r="W342" s="89">
        <f t="shared" si="16"/>
        <v>0</v>
      </c>
      <c r="X342" s="89">
        <f t="shared" si="17"/>
        <v>0</v>
      </c>
      <c r="Y342" s="28"/>
    </row>
    <row r="343" spans="1:25" ht="17.25" customHeight="1">
      <c r="A343" s="88" t="str">
        <f>IF(BASE!B347="","",BASE!B347)</f>
        <v>23XXR332</v>
      </c>
      <c r="B343" s="121" t="s">
        <v>40</v>
      </c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93"/>
      <c r="R343" s="91">
        <f t="shared" si="12"/>
        <v>0</v>
      </c>
      <c r="S343" s="91">
        <f>BASE!A347</f>
        <v>332</v>
      </c>
      <c r="T343" s="89">
        <f t="shared" si="13"/>
        <v>0</v>
      </c>
      <c r="U343" s="89">
        <f t="shared" si="14"/>
        <v>0</v>
      </c>
      <c r="V343" s="89">
        <f t="shared" si="15"/>
        <v>0</v>
      </c>
      <c r="W343" s="89">
        <f t="shared" si="16"/>
        <v>0</v>
      </c>
      <c r="X343" s="89">
        <f t="shared" si="17"/>
        <v>0</v>
      </c>
      <c r="Y343" s="28"/>
    </row>
    <row r="344" spans="1:25" ht="17.25" customHeight="1">
      <c r="A344" s="88" t="str">
        <f>IF(BASE!B348="","",BASE!B348)</f>
        <v>23XXR333</v>
      </c>
      <c r="B344" s="121" t="s">
        <v>40</v>
      </c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93"/>
      <c r="R344" s="91">
        <f t="shared" si="12"/>
        <v>0</v>
      </c>
      <c r="S344" s="91">
        <f>BASE!A348</f>
        <v>333</v>
      </c>
      <c r="T344" s="89">
        <f t="shared" si="13"/>
        <v>0</v>
      </c>
      <c r="U344" s="89">
        <f t="shared" si="14"/>
        <v>0</v>
      </c>
      <c r="V344" s="89">
        <f t="shared" si="15"/>
        <v>0</v>
      </c>
      <c r="W344" s="89">
        <f t="shared" si="16"/>
        <v>0</v>
      </c>
      <c r="X344" s="89">
        <f t="shared" si="17"/>
        <v>0</v>
      </c>
      <c r="Y344" s="28"/>
    </row>
    <row r="345" spans="1:25" ht="17.25" customHeight="1">
      <c r="A345" s="88" t="str">
        <f>IF(BASE!B349="","",BASE!B349)</f>
        <v>23XXR334</v>
      </c>
      <c r="B345" s="121" t="s">
        <v>40</v>
      </c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93"/>
      <c r="R345" s="91">
        <f t="shared" si="12"/>
        <v>0</v>
      </c>
      <c r="S345" s="91">
        <f>BASE!A349</f>
        <v>334</v>
      </c>
      <c r="T345" s="89">
        <f t="shared" si="13"/>
        <v>0</v>
      </c>
      <c r="U345" s="89">
        <f t="shared" si="14"/>
        <v>0</v>
      </c>
      <c r="V345" s="89">
        <f t="shared" si="15"/>
        <v>0</v>
      </c>
      <c r="W345" s="89">
        <f t="shared" si="16"/>
        <v>0</v>
      </c>
      <c r="X345" s="89">
        <f t="shared" si="17"/>
        <v>0</v>
      </c>
      <c r="Y345" s="28"/>
    </row>
    <row r="346" spans="1:25" ht="17.25" customHeight="1">
      <c r="A346" s="88" t="str">
        <f>IF(BASE!B350="","",BASE!B350)</f>
        <v>23XXR335</v>
      </c>
      <c r="B346" s="121" t="s">
        <v>40</v>
      </c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93"/>
      <c r="R346" s="91">
        <f t="shared" si="12"/>
        <v>0</v>
      </c>
      <c r="S346" s="91">
        <f>BASE!A350</f>
        <v>335</v>
      </c>
      <c r="T346" s="89">
        <f t="shared" si="13"/>
        <v>0</v>
      </c>
      <c r="U346" s="89">
        <f t="shared" si="14"/>
        <v>0</v>
      </c>
      <c r="V346" s="89">
        <f t="shared" si="15"/>
        <v>0</v>
      </c>
      <c r="W346" s="89">
        <f t="shared" si="16"/>
        <v>0</v>
      </c>
      <c r="X346" s="89">
        <f t="shared" si="17"/>
        <v>0</v>
      </c>
      <c r="Y346" s="28"/>
    </row>
    <row r="347" spans="1:25" ht="17.25" customHeight="1">
      <c r="A347" s="88" t="str">
        <f>IF(BASE!B351="","",BASE!B351)</f>
        <v>23XXR336</v>
      </c>
      <c r="B347" s="121" t="s">
        <v>40</v>
      </c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93"/>
      <c r="R347" s="91">
        <f t="shared" si="12"/>
        <v>0</v>
      </c>
      <c r="S347" s="91">
        <f>BASE!A351</f>
        <v>336</v>
      </c>
      <c r="T347" s="89">
        <f t="shared" si="13"/>
        <v>0</v>
      </c>
      <c r="U347" s="89">
        <f t="shared" si="14"/>
        <v>0</v>
      </c>
      <c r="V347" s="89">
        <f t="shared" si="15"/>
        <v>0</v>
      </c>
      <c r="W347" s="89">
        <f t="shared" si="16"/>
        <v>0</v>
      </c>
      <c r="X347" s="89">
        <f t="shared" si="17"/>
        <v>0</v>
      </c>
      <c r="Y347" s="28"/>
    </row>
    <row r="348" spans="1:25" ht="17.25" customHeight="1">
      <c r="A348" s="88" t="str">
        <f>IF(BASE!B352="","",BASE!B352)</f>
        <v>23XXR337</v>
      </c>
      <c r="B348" s="121" t="s">
        <v>40</v>
      </c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93"/>
      <c r="R348" s="91">
        <f t="shared" si="12"/>
        <v>0</v>
      </c>
      <c r="S348" s="91">
        <f>BASE!A352</f>
        <v>337</v>
      </c>
      <c r="T348" s="89">
        <f t="shared" si="13"/>
        <v>0</v>
      </c>
      <c r="U348" s="89">
        <f t="shared" si="14"/>
        <v>0</v>
      </c>
      <c r="V348" s="89">
        <f t="shared" si="15"/>
        <v>0</v>
      </c>
      <c r="W348" s="89">
        <f t="shared" si="16"/>
        <v>0</v>
      </c>
      <c r="X348" s="89">
        <f t="shared" si="17"/>
        <v>0</v>
      </c>
      <c r="Y348" s="28"/>
    </row>
    <row r="349" spans="1:25" ht="17.25" customHeight="1">
      <c r="A349" s="88" t="str">
        <f>IF(BASE!B353="","",BASE!B353)</f>
        <v>23XXR338</v>
      </c>
      <c r="B349" s="121" t="s">
        <v>40</v>
      </c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93"/>
      <c r="R349" s="91">
        <f t="shared" si="12"/>
        <v>0</v>
      </c>
      <c r="S349" s="91">
        <f>BASE!A353</f>
        <v>338</v>
      </c>
      <c r="T349" s="89">
        <f t="shared" si="13"/>
        <v>0</v>
      </c>
      <c r="U349" s="89">
        <f t="shared" si="14"/>
        <v>0</v>
      </c>
      <c r="V349" s="89">
        <f t="shared" si="15"/>
        <v>0</v>
      </c>
      <c r="W349" s="89">
        <f t="shared" si="16"/>
        <v>0</v>
      </c>
      <c r="X349" s="89">
        <f t="shared" si="17"/>
        <v>0</v>
      </c>
      <c r="Y349" s="28"/>
    </row>
    <row r="350" spans="1:25" ht="17.25" customHeight="1">
      <c r="A350" s="88" t="str">
        <f>IF(BASE!B354="","",BASE!B354)</f>
        <v>23XXR339</v>
      </c>
      <c r="B350" s="121" t="s">
        <v>40</v>
      </c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93"/>
      <c r="R350" s="91">
        <f t="shared" si="12"/>
        <v>0</v>
      </c>
      <c r="S350" s="91">
        <f>BASE!A354</f>
        <v>339</v>
      </c>
      <c r="T350" s="89">
        <f t="shared" si="13"/>
        <v>0</v>
      </c>
      <c r="U350" s="89">
        <f t="shared" si="14"/>
        <v>0</v>
      </c>
      <c r="V350" s="89">
        <f t="shared" si="15"/>
        <v>0</v>
      </c>
      <c r="W350" s="89">
        <f t="shared" si="16"/>
        <v>0</v>
      </c>
      <c r="X350" s="89">
        <f t="shared" si="17"/>
        <v>0</v>
      </c>
      <c r="Y350" s="28"/>
    </row>
    <row r="351" spans="1:25" ht="17.25" customHeight="1">
      <c r="A351" s="88" t="str">
        <f>IF(BASE!B355="","",BASE!B355)</f>
        <v>23XXR340</v>
      </c>
      <c r="B351" s="121" t="s">
        <v>40</v>
      </c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93"/>
      <c r="R351" s="91">
        <f t="shared" si="12"/>
        <v>0</v>
      </c>
      <c r="S351" s="91">
        <f>BASE!A355</f>
        <v>340</v>
      </c>
      <c r="T351" s="89">
        <f t="shared" si="13"/>
        <v>0</v>
      </c>
      <c r="U351" s="89">
        <f t="shared" si="14"/>
        <v>0</v>
      </c>
      <c r="V351" s="89">
        <f t="shared" si="15"/>
        <v>0</v>
      </c>
      <c r="W351" s="89">
        <f t="shared" si="16"/>
        <v>0</v>
      </c>
      <c r="X351" s="89">
        <f t="shared" si="17"/>
        <v>0</v>
      </c>
      <c r="Y351" s="28"/>
    </row>
    <row r="352" spans="1:25" ht="17.25" customHeight="1">
      <c r="A352" s="88" t="str">
        <f>IF(BASE!B356="","",BASE!B356)</f>
        <v>23XXR341</v>
      </c>
      <c r="B352" s="121" t="s">
        <v>40</v>
      </c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93"/>
      <c r="R352" s="91">
        <f t="shared" si="12"/>
        <v>0</v>
      </c>
      <c r="S352" s="91">
        <f>BASE!A356</f>
        <v>341</v>
      </c>
      <c r="T352" s="89">
        <f t="shared" si="13"/>
        <v>0</v>
      </c>
      <c r="U352" s="89">
        <f t="shared" si="14"/>
        <v>0</v>
      </c>
      <c r="V352" s="89">
        <f t="shared" si="15"/>
        <v>0</v>
      </c>
      <c r="W352" s="89">
        <f t="shared" si="16"/>
        <v>0</v>
      </c>
      <c r="X352" s="89">
        <f t="shared" si="17"/>
        <v>0</v>
      </c>
      <c r="Y352" s="28"/>
    </row>
    <row r="353" spans="1:25" ht="17.25" customHeight="1">
      <c r="A353" s="88" t="str">
        <f>IF(BASE!B357="","",BASE!B357)</f>
        <v>23XXR342</v>
      </c>
      <c r="B353" s="121" t="s">
        <v>40</v>
      </c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93"/>
      <c r="R353" s="91">
        <f t="shared" si="12"/>
        <v>0</v>
      </c>
      <c r="S353" s="91">
        <f>BASE!A357</f>
        <v>342</v>
      </c>
      <c r="T353" s="89">
        <f t="shared" si="13"/>
        <v>0</v>
      </c>
      <c r="U353" s="89">
        <f t="shared" si="14"/>
        <v>0</v>
      </c>
      <c r="V353" s="89">
        <f t="shared" si="15"/>
        <v>0</v>
      </c>
      <c r="W353" s="89">
        <f t="shared" si="16"/>
        <v>0</v>
      </c>
      <c r="X353" s="89">
        <f t="shared" si="17"/>
        <v>0</v>
      </c>
      <c r="Y353" s="28"/>
    </row>
    <row r="354" spans="1:25" ht="17.25" customHeight="1">
      <c r="A354" s="88" t="str">
        <f>IF(BASE!B358="","",BASE!B358)</f>
        <v>23XXR343</v>
      </c>
      <c r="B354" s="121" t="s">
        <v>40</v>
      </c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93"/>
      <c r="R354" s="91">
        <f t="shared" si="12"/>
        <v>0</v>
      </c>
      <c r="S354" s="91">
        <f>BASE!A358</f>
        <v>343</v>
      </c>
      <c r="T354" s="89">
        <f t="shared" si="13"/>
        <v>0</v>
      </c>
      <c r="U354" s="89">
        <f t="shared" si="14"/>
        <v>0</v>
      </c>
      <c r="V354" s="89">
        <f t="shared" si="15"/>
        <v>0</v>
      </c>
      <c r="W354" s="89">
        <f t="shared" si="16"/>
        <v>0</v>
      </c>
      <c r="X354" s="89">
        <f t="shared" si="17"/>
        <v>0</v>
      </c>
      <c r="Y354" s="28"/>
    </row>
    <row r="355" spans="1:25" ht="17.25" customHeight="1">
      <c r="A355" s="88" t="str">
        <f>IF(BASE!B359="","",BASE!B359)</f>
        <v>23XXR344</v>
      </c>
      <c r="B355" s="121" t="s">
        <v>40</v>
      </c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93"/>
      <c r="R355" s="91">
        <f t="shared" si="12"/>
        <v>0</v>
      </c>
      <c r="S355" s="91">
        <f>BASE!A359</f>
        <v>344</v>
      </c>
      <c r="T355" s="89">
        <f t="shared" si="13"/>
        <v>0</v>
      </c>
      <c r="U355" s="89">
        <f t="shared" si="14"/>
        <v>0</v>
      </c>
      <c r="V355" s="89">
        <f t="shared" si="15"/>
        <v>0</v>
      </c>
      <c r="W355" s="89">
        <f t="shared" si="16"/>
        <v>0</v>
      </c>
      <c r="X355" s="89">
        <f t="shared" si="17"/>
        <v>0</v>
      </c>
      <c r="Y355" s="28"/>
    </row>
    <row r="356" spans="1:25" ht="17.25" customHeight="1">
      <c r="A356" s="88" t="str">
        <f>IF(BASE!B360="","",BASE!B360)</f>
        <v>23XXR345</v>
      </c>
      <c r="B356" s="121" t="s">
        <v>40</v>
      </c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93"/>
      <c r="R356" s="91">
        <f t="shared" si="12"/>
        <v>0</v>
      </c>
      <c r="S356" s="91">
        <f>BASE!A360</f>
        <v>345</v>
      </c>
      <c r="T356" s="89">
        <f t="shared" si="13"/>
        <v>0</v>
      </c>
      <c r="U356" s="89">
        <f t="shared" si="14"/>
        <v>0</v>
      </c>
      <c r="V356" s="89">
        <f t="shared" si="15"/>
        <v>0</v>
      </c>
      <c r="W356" s="89">
        <f t="shared" si="16"/>
        <v>0</v>
      </c>
      <c r="X356" s="89">
        <f t="shared" si="17"/>
        <v>0</v>
      </c>
      <c r="Y356" s="28"/>
    </row>
    <row r="357" spans="1:25" ht="17.25" customHeight="1">
      <c r="A357" s="88" t="str">
        <f>IF(BASE!B361="","",BASE!B361)</f>
        <v>23XXR346</v>
      </c>
      <c r="B357" s="121" t="s">
        <v>40</v>
      </c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93"/>
      <c r="R357" s="91">
        <f t="shared" si="12"/>
        <v>0</v>
      </c>
      <c r="S357" s="91">
        <f>BASE!A361</f>
        <v>346</v>
      </c>
      <c r="T357" s="89">
        <f t="shared" si="13"/>
        <v>0</v>
      </c>
      <c r="U357" s="89">
        <f t="shared" si="14"/>
        <v>0</v>
      </c>
      <c r="V357" s="89">
        <f t="shared" si="15"/>
        <v>0</v>
      </c>
      <c r="W357" s="89">
        <f t="shared" si="16"/>
        <v>0</v>
      </c>
      <c r="X357" s="89">
        <f t="shared" si="17"/>
        <v>0</v>
      </c>
      <c r="Y357" s="28"/>
    </row>
    <row r="358" spans="1:25" ht="17.25" customHeight="1">
      <c r="A358" s="88" t="str">
        <f>IF(BASE!B362="","",BASE!B362)</f>
        <v>23XXR347</v>
      </c>
      <c r="B358" s="121" t="s">
        <v>40</v>
      </c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93"/>
      <c r="R358" s="91">
        <f t="shared" si="12"/>
        <v>0</v>
      </c>
      <c r="S358" s="91">
        <f>BASE!A362</f>
        <v>347</v>
      </c>
      <c r="T358" s="89">
        <f t="shared" si="13"/>
        <v>0</v>
      </c>
      <c r="U358" s="89">
        <f t="shared" si="14"/>
        <v>0</v>
      </c>
      <c r="V358" s="89">
        <f t="shared" si="15"/>
        <v>0</v>
      </c>
      <c r="W358" s="89">
        <f t="shared" si="16"/>
        <v>0</v>
      </c>
      <c r="X358" s="89">
        <f t="shared" si="17"/>
        <v>0</v>
      </c>
      <c r="Y358" s="28"/>
    </row>
    <row r="359" spans="1:25" ht="17.25" customHeight="1">
      <c r="A359" s="88" t="str">
        <f>IF(BASE!B363="","",BASE!B363)</f>
        <v>23XXR348</v>
      </c>
      <c r="B359" s="121" t="s">
        <v>40</v>
      </c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93"/>
      <c r="R359" s="91">
        <f t="shared" si="12"/>
        <v>0</v>
      </c>
      <c r="S359" s="91">
        <f>BASE!A363</f>
        <v>348</v>
      </c>
      <c r="T359" s="89">
        <f t="shared" si="13"/>
        <v>0</v>
      </c>
      <c r="U359" s="89">
        <f t="shared" si="14"/>
        <v>0</v>
      </c>
      <c r="V359" s="89">
        <f t="shared" si="15"/>
        <v>0</v>
      </c>
      <c r="W359" s="89">
        <f t="shared" si="16"/>
        <v>0</v>
      </c>
      <c r="X359" s="89">
        <f t="shared" si="17"/>
        <v>0</v>
      </c>
      <c r="Y359" s="28"/>
    </row>
    <row r="360" spans="1:25" ht="17.25" customHeight="1">
      <c r="A360" s="88" t="str">
        <f>IF(BASE!B364="","",BASE!B364)</f>
        <v>23XXR349</v>
      </c>
      <c r="B360" s="121" t="s">
        <v>40</v>
      </c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93"/>
      <c r="R360" s="91">
        <f t="shared" si="12"/>
        <v>0</v>
      </c>
      <c r="S360" s="91">
        <f>BASE!A364</f>
        <v>349</v>
      </c>
      <c r="T360" s="89">
        <f t="shared" si="13"/>
        <v>0</v>
      </c>
      <c r="U360" s="89">
        <f t="shared" si="14"/>
        <v>0</v>
      </c>
      <c r="V360" s="89">
        <f t="shared" si="15"/>
        <v>0</v>
      </c>
      <c r="W360" s="89">
        <f t="shared" si="16"/>
        <v>0</v>
      </c>
      <c r="X360" s="89">
        <f t="shared" si="17"/>
        <v>0</v>
      </c>
      <c r="Y360" s="28"/>
    </row>
    <row r="361" spans="1:25" ht="17.25" customHeight="1">
      <c r="A361" s="88" t="str">
        <f>IF(BASE!B365="","",BASE!B365)</f>
        <v>23XXR350</v>
      </c>
      <c r="B361" s="121" t="s">
        <v>40</v>
      </c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93"/>
      <c r="R361" s="91">
        <f t="shared" si="12"/>
        <v>0</v>
      </c>
      <c r="S361" s="91">
        <f>BASE!A365</f>
        <v>350</v>
      </c>
      <c r="T361" s="89">
        <f t="shared" si="13"/>
        <v>0</v>
      </c>
      <c r="U361" s="89">
        <f t="shared" si="14"/>
        <v>0</v>
      </c>
      <c r="V361" s="89">
        <f t="shared" si="15"/>
        <v>0</v>
      </c>
      <c r="W361" s="89">
        <f t="shared" si="16"/>
        <v>0</v>
      </c>
      <c r="X361" s="89">
        <f t="shared" si="17"/>
        <v>0</v>
      </c>
      <c r="Y361" s="28"/>
    </row>
    <row r="362" spans="1:25" ht="17.25" customHeight="1">
      <c r="A362" s="88" t="str">
        <f>IF(BASE!B366="","",BASE!B366)</f>
        <v>23XXR351</v>
      </c>
      <c r="B362" s="121" t="s">
        <v>40</v>
      </c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93"/>
      <c r="R362" s="91">
        <f t="shared" si="12"/>
        <v>0</v>
      </c>
      <c r="S362" s="91">
        <f>BASE!A366</f>
        <v>351</v>
      </c>
      <c r="T362" s="89">
        <f t="shared" si="13"/>
        <v>0</v>
      </c>
      <c r="U362" s="89">
        <f t="shared" si="14"/>
        <v>0</v>
      </c>
      <c r="V362" s="89">
        <f t="shared" si="15"/>
        <v>0</v>
      </c>
      <c r="W362" s="89">
        <f t="shared" si="16"/>
        <v>0</v>
      </c>
      <c r="X362" s="89">
        <f t="shared" si="17"/>
        <v>0</v>
      </c>
      <c r="Y362" s="28"/>
    </row>
    <row r="363" spans="1:25" ht="17.25" customHeight="1">
      <c r="A363" s="88" t="str">
        <f>IF(BASE!B367="","",BASE!B367)</f>
        <v>23XXR352</v>
      </c>
      <c r="B363" s="121" t="s">
        <v>40</v>
      </c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93"/>
      <c r="R363" s="91">
        <f t="shared" si="12"/>
        <v>0</v>
      </c>
      <c r="S363" s="91">
        <f>BASE!A367</f>
        <v>352</v>
      </c>
      <c r="T363" s="89">
        <f t="shared" si="13"/>
        <v>0</v>
      </c>
      <c r="U363" s="89">
        <f t="shared" si="14"/>
        <v>0</v>
      </c>
      <c r="V363" s="89">
        <f t="shared" si="15"/>
        <v>0</v>
      </c>
      <c r="W363" s="89">
        <f t="shared" si="16"/>
        <v>0</v>
      </c>
      <c r="X363" s="89">
        <f t="shared" si="17"/>
        <v>0</v>
      </c>
      <c r="Y363" s="28"/>
    </row>
    <row r="364" spans="1:25" ht="17.25" customHeight="1">
      <c r="A364" s="88" t="str">
        <f>IF(BASE!B368="","",BASE!B368)</f>
        <v>23XXR353</v>
      </c>
      <c r="B364" s="121" t="s">
        <v>40</v>
      </c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93"/>
      <c r="R364" s="91">
        <f t="shared" si="12"/>
        <v>0</v>
      </c>
      <c r="S364" s="91">
        <f>BASE!A368</f>
        <v>353</v>
      </c>
      <c r="T364" s="89">
        <f t="shared" si="13"/>
        <v>0</v>
      </c>
      <c r="U364" s="89">
        <f t="shared" si="14"/>
        <v>0</v>
      </c>
      <c r="V364" s="89">
        <f t="shared" si="15"/>
        <v>0</v>
      </c>
      <c r="W364" s="89">
        <f t="shared" si="16"/>
        <v>0</v>
      </c>
      <c r="X364" s="89">
        <f t="shared" si="17"/>
        <v>0</v>
      </c>
      <c r="Y364" s="28"/>
    </row>
    <row r="365" spans="1:25" ht="17.25" customHeight="1">
      <c r="A365" s="88" t="str">
        <f>IF(BASE!B369="","",BASE!B369)</f>
        <v>23XXR354</v>
      </c>
      <c r="B365" s="121" t="s">
        <v>40</v>
      </c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93"/>
      <c r="R365" s="91">
        <f t="shared" si="12"/>
        <v>0</v>
      </c>
      <c r="S365" s="91">
        <f>BASE!A369</f>
        <v>354</v>
      </c>
      <c r="T365" s="89">
        <f t="shared" si="13"/>
        <v>0</v>
      </c>
      <c r="U365" s="89">
        <f t="shared" si="14"/>
        <v>0</v>
      </c>
      <c r="V365" s="89">
        <f t="shared" si="15"/>
        <v>0</v>
      </c>
      <c r="W365" s="89">
        <f t="shared" si="16"/>
        <v>0</v>
      </c>
      <c r="X365" s="89">
        <f t="shared" si="17"/>
        <v>0</v>
      </c>
      <c r="Y365" s="28"/>
    </row>
    <row r="366" spans="1:25" ht="17.25" customHeight="1">
      <c r="A366" s="88" t="str">
        <f>IF(BASE!B370="","",BASE!B370)</f>
        <v>23XXR355</v>
      </c>
      <c r="B366" s="121" t="s">
        <v>40</v>
      </c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93"/>
      <c r="R366" s="91">
        <f t="shared" si="12"/>
        <v>0</v>
      </c>
      <c r="S366" s="91">
        <f>BASE!A370</f>
        <v>355</v>
      </c>
      <c r="T366" s="89">
        <f t="shared" si="13"/>
        <v>0</v>
      </c>
      <c r="U366" s="89">
        <f t="shared" si="14"/>
        <v>0</v>
      </c>
      <c r="V366" s="89">
        <f t="shared" si="15"/>
        <v>0</v>
      </c>
      <c r="W366" s="89">
        <f t="shared" si="16"/>
        <v>0</v>
      </c>
      <c r="X366" s="89">
        <f t="shared" si="17"/>
        <v>0</v>
      </c>
      <c r="Y366" s="28"/>
    </row>
    <row r="367" spans="1:25" ht="17.25" customHeight="1">
      <c r="A367" s="88" t="str">
        <f>IF(BASE!B371="","",BASE!B371)</f>
        <v>23XXR356</v>
      </c>
      <c r="B367" s="121" t="s">
        <v>40</v>
      </c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93"/>
      <c r="R367" s="91">
        <f t="shared" si="12"/>
        <v>0</v>
      </c>
      <c r="S367" s="91">
        <f>BASE!A371</f>
        <v>356</v>
      </c>
      <c r="T367" s="89">
        <f t="shared" si="13"/>
        <v>0</v>
      </c>
      <c r="U367" s="89">
        <f t="shared" si="14"/>
        <v>0</v>
      </c>
      <c r="V367" s="89">
        <f t="shared" si="15"/>
        <v>0</v>
      </c>
      <c r="W367" s="89">
        <f t="shared" si="16"/>
        <v>0</v>
      </c>
      <c r="X367" s="89">
        <f t="shared" si="17"/>
        <v>0</v>
      </c>
      <c r="Y367" s="28"/>
    </row>
    <row r="368" spans="1:25" ht="17.25" customHeight="1">
      <c r="A368" s="88" t="str">
        <f>IF(BASE!B372="","",BASE!B372)</f>
        <v>23XXR357</v>
      </c>
      <c r="B368" s="121" t="s">
        <v>40</v>
      </c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93"/>
      <c r="R368" s="91">
        <f t="shared" si="12"/>
        <v>0</v>
      </c>
      <c r="S368" s="91">
        <f>BASE!A372</f>
        <v>357</v>
      </c>
      <c r="T368" s="89">
        <f t="shared" si="13"/>
        <v>0</v>
      </c>
      <c r="U368" s="89">
        <f t="shared" si="14"/>
        <v>0</v>
      </c>
      <c r="V368" s="89">
        <f t="shared" si="15"/>
        <v>0</v>
      </c>
      <c r="W368" s="89">
        <f t="shared" si="16"/>
        <v>0</v>
      </c>
      <c r="X368" s="89">
        <f t="shared" si="17"/>
        <v>0</v>
      </c>
      <c r="Y368" s="28"/>
    </row>
    <row r="369" spans="1:25" ht="17.25" customHeight="1">
      <c r="A369" s="88" t="str">
        <f>IF(BASE!B373="","",BASE!B373)</f>
        <v>23XXR358</v>
      </c>
      <c r="B369" s="121" t="s">
        <v>40</v>
      </c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93"/>
      <c r="R369" s="91">
        <f t="shared" si="12"/>
        <v>0</v>
      </c>
      <c r="S369" s="91">
        <f>BASE!A373</f>
        <v>358</v>
      </c>
      <c r="T369" s="89">
        <f t="shared" si="13"/>
        <v>0</v>
      </c>
      <c r="U369" s="89">
        <f t="shared" si="14"/>
        <v>0</v>
      </c>
      <c r="V369" s="89">
        <f t="shared" si="15"/>
        <v>0</v>
      </c>
      <c r="W369" s="89">
        <f t="shared" si="16"/>
        <v>0</v>
      </c>
      <c r="X369" s="89">
        <f t="shared" si="17"/>
        <v>0</v>
      </c>
      <c r="Y369" s="28"/>
    </row>
    <row r="370" spans="1:25" ht="17.25" customHeight="1">
      <c r="A370" s="88" t="str">
        <f>IF(BASE!B374="","",BASE!B374)</f>
        <v>23XXR359</v>
      </c>
      <c r="B370" s="121" t="s">
        <v>40</v>
      </c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93"/>
      <c r="R370" s="91">
        <f t="shared" si="12"/>
        <v>0</v>
      </c>
      <c r="S370" s="91">
        <f>BASE!A374</f>
        <v>359</v>
      </c>
      <c r="T370" s="89">
        <f t="shared" si="13"/>
        <v>0</v>
      </c>
      <c r="U370" s="89">
        <f t="shared" si="14"/>
        <v>0</v>
      </c>
      <c r="V370" s="89">
        <f t="shared" si="15"/>
        <v>0</v>
      </c>
      <c r="W370" s="89">
        <f t="shared" si="16"/>
        <v>0</v>
      </c>
      <c r="X370" s="89">
        <f t="shared" si="17"/>
        <v>0</v>
      </c>
      <c r="Y370" s="28"/>
    </row>
    <row r="371" spans="1:25" ht="17.25" customHeight="1">
      <c r="A371" s="88" t="str">
        <f>IF(BASE!B375="","",BASE!B375)</f>
        <v>23XXR360</v>
      </c>
      <c r="B371" s="121" t="s">
        <v>40</v>
      </c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93"/>
      <c r="R371" s="91">
        <f t="shared" si="12"/>
        <v>0</v>
      </c>
      <c r="S371" s="91">
        <f>BASE!A375</f>
        <v>360</v>
      </c>
      <c r="T371" s="89">
        <f t="shared" si="13"/>
        <v>0</v>
      </c>
      <c r="U371" s="89">
        <f t="shared" si="14"/>
        <v>0</v>
      </c>
      <c r="V371" s="89">
        <f t="shared" si="15"/>
        <v>0</v>
      </c>
      <c r="W371" s="89">
        <f t="shared" si="16"/>
        <v>0</v>
      </c>
      <c r="X371" s="89">
        <f t="shared" si="17"/>
        <v>0</v>
      </c>
      <c r="Y371" s="28"/>
    </row>
    <row r="372" spans="1:25" ht="17.25" customHeight="1">
      <c r="A372" s="88" t="str">
        <f>IF(BASE!B376="","",BASE!B376)</f>
        <v>23XXR361</v>
      </c>
      <c r="B372" s="121" t="s">
        <v>40</v>
      </c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93"/>
      <c r="R372" s="91">
        <f t="shared" si="12"/>
        <v>0</v>
      </c>
      <c r="S372" s="91">
        <f>BASE!A376</f>
        <v>361</v>
      </c>
      <c r="T372" s="89">
        <f t="shared" si="13"/>
        <v>0</v>
      </c>
      <c r="U372" s="89">
        <f t="shared" si="14"/>
        <v>0</v>
      </c>
      <c r="V372" s="89">
        <f t="shared" si="15"/>
        <v>0</v>
      </c>
      <c r="W372" s="89">
        <f t="shared" si="16"/>
        <v>0</v>
      </c>
      <c r="X372" s="89">
        <f t="shared" si="17"/>
        <v>0</v>
      </c>
      <c r="Y372" s="28"/>
    </row>
    <row r="373" spans="1:25" ht="17.25" customHeight="1">
      <c r="A373" s="88" t="str">
        <f>IF(BASE!B377="","",BASE!B377)</f>
        <v>23XXR362</v>
      </c>
      <c r="B373" s="121" t="s">
        <v>40</v>
      </c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93"/>
      <c r="R373" s="91">
        <f t="shared" si="12"/>
        <v>0</v>
      </c>
      <c r="S373" s="91">
        <f>BASE!A377</f>
        <v>362</v>
      </c>
      <c r="T373" s="89">
        <f t="shared" si="13"/>
        <v>0</v>
      </c>
      <c r="U373" s="89">
        <f t="shared" si="14"/>
        <v>0</v>
      </c>
      <c r="V373" s="89">
        <f t="shared" si="15"/>
        <v>0</v>
      </c>
      <c r="W373" s="89">
        <f t="shared" si="16"/>
        <v>0</v>
      </c>
      <c r="X373" s="89">
        <f t="shared" si="17"/>
        <v>0</v>
      </c>
      <c r="Y373" s="28"/>
    </row>
    <row r="374" spans="1:25" ht="17.25" customHeight="1">
      <c r="A374" s="88" t="str">
        <f>IF(BASE!B378="","",BASE!B378)</f>
        <v>23XXR363</v>
      </c>
      <c r="B374" s="121" t="s">
        <v>40</v>
      </c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93"/>
      <c r="R374" s="91">
        <f t="shared" si="12"/>
        <v>0</v>
      </c>
      <c r="S374" s="91">
        <f>BASE!A378</f>
        <v>363</v>
      </c>
      <c r="T374" s="89">
        <f t="shared" si="13"/>
        <v>0</v>
      </c>
      <c r="U374" s="89">
        <f t="shared" si="14"/>
        <v>0</v>
      </c>
      <c r="V374" s="89">
        <f t="shared" si="15"/>
        <v>0</v>
      </c>
      <c r="W374" s="89">
        <f t="shared" si="16"/>
        <v>0</v>
      </c>
      <c r="X374" s="89">
        <f t="shared" si="17"/>
        <v>0</v>
      </c>
      <c r="Y374" s="28"/>
    </row>
    <row r="375" spans="1:25" ht="17.25" customHeight="1">
      <c r="A375" s="88" t="str">
        <f>IF(BASE!B379="","",BASE!B379)</f>
        <v>23XXR364</v>
      </c>
      <c r="B375" s="121" t="s">
        <v>40</v>
      </c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93"/>
      <c r="R375" s="91">
        <f t="shared" si="12"/>
        <v>0</v>
      </c>
      <c r="S375" s="91">
        <f>BASE!A379</f>
        <v>364</v>
      </c>
      <c r="T375" s="89">
        <f t="shared" si="13"/>
        <v>0</v>
      </c>
      <c r="U375" s="89">
        <f t="shared" si="14"/>
        <v>0</v>
      </c>
      <c r="V375" s="89">
        <f t="shared" si="15"/>
        <v>0</v>
      </c>
      <c r="W375" s="89">
        <f t="shared" si="16"/>
        <v>0</v>
      </c>
      <c r="X375" s="89">
        <f t="shared" si="17"/>
        <v>0</v>
      </c>
      <c r="Y375" s="28"/>
    </row>
    <row r="376" spans="1:25" ht="17.25" customHeight="1">
      <c r="A376" s="88" t="str">
        <f>IF(BASE!B380="","",BASE!B380)</f>
        <v>23XXR365</v>
      </c>
      <c r="B376" s="121" t="s">
        <v>40</v>
      </c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93"/>
      <c r="R376" s="91">
        <f t="shared" si="12"/>
        <v>0</v>
      </c>
      <c r="S376" s="91">
        <f>BASE!A380</f>
        <v>365</v>
      </c>
      <c r="T376" s="89">
        <f t="shared" si="13"/>
        <v>0</v>
      </c>
      <c r="U376" s="89">
        <f t="shared" si="14"/>
        <v>0</v>
      </c>
      <c r="V376" s="89">
        <f t="shared" si="15"/>
        <v>0</v>
      </c>
      <c r="W376" s="89">
        <f t="shared" si="16"/>
        <v>0</v>
      </c>
      <c r="X376" s="89">
        <f t="shared" si="17"/>
        <v>0</v>
      </c>
      <c r="Y376" s="28"/>
    </row>
    <row r="377" spans="1:25" ht="17.25" customHeight="1">
      <c r="A377" s="88" t="str">
        <f>IF(BASE!B381="","",BASE!B381)</f>
        <v>23XXR366</v>
      </c>
      <c r="B377" s="121" t="s">
        <v>40</v>
      </c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93"/>
      <c r="R377" s="91">
        <f t="shared" si="12"/>
        <v>0</v>
      </c>
      <c r="S377" s="91">
        <f>BASE!A381</f>
        <v>366</v>
      </c>
      <c r="T377" s="89">
        <f t="shared" si="13"/>
        <v>0</v>
      </c>
      <c r="U377" s="89">
        <f t="shared" si="14"/>
        <v>0</v>
      </c>
      <c r="V377" s="89">
        <f t="shared" si="15"/>
        <v>0</v>
      </c>
      <c r="W377" s="89">
        <f t="shared" si="16"/>
        <v>0</v>
      </c>
      <c r="X377" s="89">
        <f t="shared" si="17"/>
        <v>0</v>
      </c>
      <c r="Y377" s="28"/>
    </row>
    <row r="378" spans="1:25" ht="17.25" customHeight="1">
      <c r="A378" s="88" t="str">
        <f>IF(BASE!B382="","",BASE!B382)</f>
        <v>23XXR367</v>
      </c>
      <c r="B378" s="121" t="s">
        <v>40</v>
      </c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93"/>
      <c r="R378" s="91">
        <f t="shared" si="12"/>
        <v>0</v>
      </c>
      <c r="S378" s="91">
        <f>BASE!A382</f>
        <v>367</v>
      </c>
      <c r="T378" s="89">
        <f t="shared" si="13"/>
        <v>0</v>
      </c>
      <c r="U378" s="89">
        <f t="shared" si="14"/>
        <v>0</v>
      </c>
      <c r="V378" s="89">
        <f t="shared" si="15"/>
        <v>0</v>
      </c>
      <c r="W378" s="89">
        <f t="shared" si="16"/>
        <v>0</v>
      </c>
      <c r="X378" s="89">
        <f t="shared" si="17"/>
        <v>0</v>
      </c>
      <c r="Y378" s="28"/>
    </row>
    <row r="379" spans="1:25" ht="17.25" customHeight="1">
      <c r="A379" s="88" t="str">
        <f>IF(BASE!B383="","",BASE!B383)</f>
        <v>23XXR368</v>
      </c>
      <c r="B379" s="121" t="s">
        <v>40</v>
      </c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93"/>
      <c r="R379" s="91">
        <f t="shared" si="12"/>
        <v>0</v>
      </c>
      <c r="S379" s="91">
        <f>BASE!A383</f>
        <v>368</v>
      </c>
      <c r="T379" s="89">
        <f t="shared" si="13"/>
        <v>0</v>
      </c>
      <c r="U379" s="89">
        <f t="shared" si="14"/>
        <v>0</v>
      </c>
      <c r="V379" s="89">
        <f t="shared" si="15"/>
        <v>0</v>
      </c>
      <c r="W379" s="89">
        <f t="shared" si="16"/>
        <v>0</v>
      </c>
      <c r="X379" s="89">
        <f t="shared" si="17"/>
        <v>0</v>
      </c>
      <c r="Y379" s="28"/>
    </row>
    <row r="380" spans="1:25" ht="17.25" customHeight="1">
      <c r="A380" s="88" t="str">
        <f>IF(BASE!B384="","",BASE!B384)</f>
        <v>23XXR369</v>
      </c>
      <c r="B380" s="121" t="s">
        <v>40</v>
      </c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93"/>
      <c r="R380" s="91">
        <f t="shared" si="12"/>
        <v>0</v>
      </c>
      <c r="S380" s="91">
        <f>BASE!A384</f>
        <v>369</v>
      </c>
      <c r="T380" s="89">
        <f t="shared" si="13"/>
        <v>0</v>
      </c>
      <c r="U380" s="89">
        <f t="shared" si="14"/>
        <v>0</v>
      </c>
      <c r="V380" s="89">
        <f t="shared" si="15"/>
        <v>0</v>
      </c>
      <c r="W380" s="89">
        <f t="shared" si="16"/>
        <v>0</v>
      </c>
      <c r="X380" s="89">
        <f t="shared" si="17"/>
        <v>0</v>
      </c>
      <c r="Y380" s="28"/>
    </row>
    <row r="381" spans="1:25" ht="17.25" customHeight="1">
      <c r="A381" s="88" t="str">
        <f>IF(BASE!B385="","",BASE!B385)</f>
        <v>23XXR370</v>
      </c>
      <c r="B381" s="121" t="s">
        <v>40</v>
      </c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93"/>
      <c r="R381" s="91">
        <f t="shared" ref="R381:R444" si="18">SUM(C381:Q381)</f>
        <v>0</v>
      </c>
      <c r="S381" s="91">
        <f>BASE!A385</f>
        <v>370</v>
      </c>
      <c r="T381" s="89">
        <f t="shared" ref="T381:T444" si="19">SUMIF($C$11:$Q$11,1,C381:Q381)</f>
        <v>0</v>
      </c>
      <c r="U381" s="89">
        <f t="shared" ref="U381:U444" si="20">SUMIF($C$11:$Q$11,2,C381:Q381)</f>
        <v>0</v>
      </c>
      <c r="V381" s="89">
        <f t="shared" ref="V381:V444" si="21">SUMIF($C$11:$Q$11,3,C381:Q381)</f>
        <v>0</v>
      </c>
      <c r="W381" s="89">
        <f t="shared" ref="W381:W444" si="22">SUMIF($C$11:$Q$11,4,C381:Q381)</f>
        <v>0</v>
      </c>
      <c r="X381" s="89">
        <f t="shared" ref="X381:X444" si="23">SUMIF($C$11:$Q$11,5,C381:Q381)</f>
        <v>0</v>
      </c>
      <c r="Y381" s="28"/>
    </row>
    <row r="382" spans="1:25" ht="17.25" customHeight="1">
      <c r="A382" s="88" t="str">
        <f>IF(BASE!B386="","",BASE!B386)</f>
        <v>23XXR371</v>
      </c>
      <c r="B382" s="121" t="s">
        <v>40</v>
      </c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93"/>
      <c r="R382" s="91">
        <f t="shared" si="18"/>
        <v>0</v>
      </c>
      <c r="S382" s="91">
        <f>BASE!A386</f>
        <v>371</v>
      </c>
      <c r="T382" s="89">
        <f t="shared" si="19"/>
        <v>0</v>
      </c>
      <c r="U382" s="89">
        <f t="shared" si="20"/>
        <v>0</v>
      </c>
      <c r="V382" s="89">
        <f t="shared" si="21"/>
        <v>0</v>
      </c>
      <c r="W382" s="89">
        <f t="shared" si="22"/>
        <v>0</v>
      </c>
      <c r="X382" s="89">
        <f t="shared" si="23"/>
        <v>0</v>
      </c>
      <c r="Y382" s="28"/>
    </row>
    <row r="383" spans="1:25" ht="17.25" customHeight="1">
      <c r="A383" s="88" t="str">
        <f>IF(BASE!B387="","",BASE!B387)</f>
        <v>23XXR372</v>
      </c>
      <c r="B383" s="121" t="s">
        <v>40</v>
      </c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93"/>
      <c r="R383" s="91">
        <f t="shared" si="18"/>
        <v>0</v>
      </c>
      <c r="S383" s="91">
        <f>BASE!A387</f>
        <v>372</v>
      </c>
      <c r="T383" s="89">
        <f t="shared" si="19"/>
        <v>0</v>
      </c>
      <c r="U383" s="89">
        <f t="shared" si="20"/>
        <v>0</v>
      </c>
      <c r="V383" s="89">
        <f t="shared" si="21"/>
        <v>0</v>
      </c>
      <c r="W383" s="89">
        <f t="shared" si="22"/>
        <v>0</v>
      </c>
      <c r="X383" s="89">
        <f t="shared" si="23"/>
        <v>0</v>
      </c>
      <c r="Y383" s="28"/>
    </row>
    <row r="384" spans="1:25" ht="17.25" customHeight="1">
      <c r="A384" s="88" t="str">
        <f>IF(BASE!B388="","",BASE!B388)</f>
        <v>23XXR373</v>
      </c>
      <c r="B384" s="121" t="s">
        <v>40</v>
      </c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93"/>
      <c r="R384" s="91">
        <f t="shared" si="18"/>
        <v>0</v>
      </c>
      <c r="S384" s="91">
        <f>BASE!A388</f>
        <v>373</v>
      </c>
      <c r="T384" s="89">
        <f t="shared" si="19"/>
        <v>0</v>
      </c>
      <c r="U384" s="89">
        <f t="shared" si="20"/>
        <v>0</v>
      </c>
      <c r="V384" s="89">
        <f t="shared" si="21"/>
        <v>0</v>
      </c>
      <c r="W384" s="89">
        <f t="shared" si="22"/>
        <v>0</v>
      </c>
      <c r="X384" s="89">
        <f t="shared" si="23"/>
        <v>0</v>
      </c>
      <c r="Y384" s="28"/>
    </row>
    <row r="385" spans="1:25" ht="17.25" customHeight="1">
      <c r="A385" s="88" t="str">
        <f>IF(BASE!B389="","",BASE!B389)</f>
        <v>23XXR374</v>
      </c>
      <c r="B385" s="121" t="s">
        <v>40</v>
      </c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93"/>
      <c r="R385" s="91">
        <f t="shared" si="18"/>
        <v>0</v>
      </c>
      <c r="S385" s="91">
        <f>BASE!A389</f>
        <v>374</v>
      </c>
      <c r="T385" s="89">
        <f t="shared" si="19"/>
        <v>0</v>
      </c>
      <c r="U385" s="89">
        <f t="shared" si="20"/>
        <v>0</v>
      </c>
      <c r="V385" s="89">
        <f t="shared" si="21"/>
        <v>0</v>
      </c>
      <c r="W385" s="89">
        <f t="shared" si="22"/>
        <v>0</v>
      </c>
      <c r="X385" s="89">
        <f t="shared" si="23"/>
        <v>0</v>
      </c>
      <c r="Y385" s="28"/>
    </row>
    <row r="386" spans="1:25" ht="17.25" customHeight="1">
      <c r="A386" s="88" t="str">
        <f>IF(BASE!B390="","",BASE!B390)</f>
        <v>23XXR375</v>
      </c>
      <c r="B386" s="121" t="s">
        <v>40</v>
      </c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93"/>
      <c r="R386" s="91">
        <f t="shared" si="18"/>
        <v>0</v>
      </c>
      <c r="S386" s="91">
        <f>BASE!A390</f>
        <v>375</v>
      </c>
      <c r="T386" s="89">
        <f t="shared" si="19"/>
        <v>0</v>
      </c>
      <c r="U386" s="89">
        <f t="shared" si="20"/>
        <v>0</v>
      </c>
      <c r="V386" s="89">
        <f t="shared" si="21"/>
        <v>0</v>
      </c>
      <c r="W386" s="89">
        <f t="shared" si="22"/>
        <v>0</v>
      </c>
      <c r="X386" s="89">
        <f t="shared" si="23"/>
        <v>0</v>
      </c>
      <c r="Y386" s="28"/>
    </row>
    <row r="387" spans="1:25" ht="17.25" customHeight="1">
      <c r="A387" s="88" t="str">
        <f>IF(BASE!B391="","",BASE!B391)</f>
        <v>23XXR376</v>
      </c>
      <c r="B387" s="121" t="s">
        <v>40</v>
      </c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93"/>
      <c r="R387" s="91">
        <f t="shared" si="18"/>
        <v>0</v>
      </c>
      <c r="S387" s="91">
        <f>BASE!A391</f>
        <v>376</v>
      </c>
      <c r="T387" s="89">
        <f t="shared" si="19"/>
        <v>0</v>
      </c>
      <c r="U387" s="89">
        <f t="shared" si="20"/>
        <v>0</v>
      </c>
      <c r="V387" s="89">
        <f t="shared" si="21"/>
        <v>0</v>
      </c>
      <c r="W387" s="89">
        <f t="shared" si="22"/>
        <v>0</v>
      </c>
      <c r="X387" s="89">
        <f t="shared" si="23"/>
        <v>0</v>
      </c>
      <c r="Y387" s="28"/>
    </row>
    <row r="388" spans="1:25" ht="17.25" customHeight="1">
      <c r="A388" s="88" t="str">
        <f>IF(BASE!B392="","",BASE!B392)</f>
        <v>23XXR377</v>
      </c>
      <c r="B388" s="121" t="s">
        <v>40</v>
      </c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93"/>
      <c r="R388" s="91">
        <f t="shared" si="18"/>
        <v>0</v>
      </c>
      <c r="S388" s="91">
        <f>BASE!A392</f>
        <v>377</v>
      </c>
      <c r="T388" s="89">
        <f t="shared" si="19"/>
        <v>0</v>
      </c>
      <c r="U388" s="89">
        <f t="shared" si="20"/>
        <v>0</v>
      </c>
      <c r="V388" s="89">
        <f t="shared" si="21"/>
        <v>0</v>
      </c>
      <c r="W388" s="89">
        <f t="shared" si="22"/>
        <v>0</v>
      </c>
      <c r="X388" s="89">
        <f t="shared" si="23"/>
        <v>0</v>
      </c>
      <c r="Y388" s="28"/>
    </row>
    <row r="389" spans="1:25" ht="17.25" customHeight="1">
      <c r="A389" s="88" t="str">
        <f>IF(BASE!B393="","",BASE!B393)</f>
        <v>23XXR378</v>
      </c>
      <c r="B389" s="121" t="s">
        <v>40</v>
      </c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93"/>
      <c r="R389" s="91">
        <f t="shared" si="18"/>
        <v>0</v>
      </c>
      <c r="S389" s="91">
        <f>BASE!A393</f>
        <v>378</v>
      </c>
      <c r="T389" s="89">
        <f t="shared" si="19"/>
        <v>0</v>
      </c>
      <c r="U389" s="89">
        <f t="shared" si="20"/>
        <v>0</v>
      </c>
      <c r="V389" s="89">
        <f t="shared" si="21"/>
        <v>0</v>
      </c>
      <c r="W389" s="89">
        <f t="shared" si="22"/>
        <v>0</v>
      </c>
      <c r="X389" s="89">
        <f t="shared" si="23"/>
        <v>0</v>
      </c>
      <c r="Y389" s="28"/>
    </row>
    <row r="390" spans="1:25" ht="17.25" customHeight="1">
      <c r="A390" s="88" t="str">
        <f>IF(BASE!B394="","",BASE!B394)</f>
        <v>23XXR379</v>
      </c>
      <c r="B390" s="121" t="s">
        <v>40</v>
      </c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93"/>
      <c r="R390" s="91">
        <f t="shared" si="18"/>
        <v>0</v>
      </c>
      <c r="S390" s="91">
        <f>BASE!A394</f>
        <v>379</v>
      </c>
      <c r="T390" s="89">
        <f t="shared" si="19"/>
        <v>0</v>
      </c>
      <c r="U390" s="89">
        <f t="shared" si="20"/>
        <v>0</v>
      </c>
      <c r="V390" s="89">
        <f t="shared" si="21"/>
        <v>0</v>
      </c>
      <c r="W390" s="89">
        <f t="shared" si="22"/>
        <v>0</v>
      </c>
      <c r="X390" s="89">
        <f t="shared" si="23"/>
        <v>0</v>
      </c>
      <c r="Y390" s="28"/>
    </row>
    <row r="391" spans="1:25" ht="17.25" customHeight="1">
      <c r="A391" s="88" t="str">
        <f>IF(BASE!B395="","",BASE!B395)</f>
        <v>23XXR380</v>
      </c>
      <c r="B391" s="121" t="s">
        <v>40</v>
      </c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93"/>
      <c r="R391" s="91">
        <f t="shared" si="18"/>
        <v>0</v>
      </c>
      <c r="S391" s="91">
        <f>BASE!A395</f>
        <v>380</v>
      </c>
      <c r="T391" s="89">
        <f t="shared" si="19"/>
        <v>0</v>
      </c>
      <c r="U391" s="89">
        <f t="shared" si="20"/>
        <v>0</v>
      </c>
      <c r="V391" s="89">
        <f t="shared" si="21"/>
        <v>0</v>
      </c>
      <c r="W391" s="89">
        <f t="shared" si="22"/>
        <v>0</v>
      </c>
      <c r="X391" s="89">
        <f t="shared" si="23"/>
        <v>0</v>
      </c>
      <c r="Y391" s="28"/>
    </row>
    <row r="392" spans="1:25" ht="17.25" customHeight="1">
      <c r="A392" s="88" t="str">
        <f>IF(BASE!B396="","",BASE!B396)</f>
        <v>23XXR381</v>
      </c>
      <c r="B392" s="121" t="s">
        <v>40</v>
      </c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93"/>
      <c r="R392" s="91">
        <f t="shared" si="18"/>
        <v>0</v>
      </c>
      <c r="S392" s="91">
        <f>BASE!A396</f>
        <v>381</v>
      </c>
      <c r="T392" s="89">
        <f t="shared" si="19"/>
        <v>0</v>
      </c>
      <c r="U392" s="89">
        <f t="shared" si="20"/>
        <v>0</v>
      </c>
      <c r="V392" s="89">
        <f t="shared" si="21"/>
        <v>0</v>
      </c>
      <c r="W392" s="89">
        <f t="shared" si="22"/>
        <v>0</v>
      </c>
      <c r="X392" s="89">
        <f t="shared" si="23"/>
        <v>0</v>
      </c>
      <c r="Y392" s="28"/>
    </row>
    <row r="393" spans="1:25" ht="17.25" customHeight="1">
      <c r="A393" s="88" t="str">
        <f>IF(BASE!B397="","",BASE!B397)</f>
        <v>23XXR382</v>
      </c>
      <c r="B393" s="121" t="s">
        <v>40</v>
      </c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93"/>
      <c r="R393" s="91">
        <f t="shared" si="18"/>
        <v>0</v>
      </c>
      <c r="S393" s="91">
        <f>BASE!A397</f>
        <v>382</v>
      </c>
      <c r="T393" s="89">
        <f t="shared" si="19"/>
        <v>0</v>
      </c>
      <c r="U393" s="89">
        <f t="shared" si="20"/>
        <v>0</v>
      </c>
      <c r="V393" s="89">
        <f t="shared" si="21"/>
        <v>0</v>
      </c>
      <c r="W393" s="89">
        <f t="shared" si="22"/>
        <v>0</v>
      </c>
      <c r="X393" s="89">
        <f t="shared" si="23"/>
        <v>0</v>
      </c>
      <c r="Y393" s="28"/>
    </row>
    <row r="394" spans="1:25" ht="17.25" customHeight="1">
      <c r="A394" s="88" t="str">
        <f>IF(BASE!B398="","",BASE!B398)</f>
        <v>23XXR383</v>
      </c>
      <c r="B394" s="121" t="s">
        <v>40</v>
      </c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93"/>
      <c r="R394" s="91">
        <f t="shared" si="18"/>
        <v>0</v>
      </c>
      <c r="S394" s="91">
        <f>BASE!A398</f>
        <v>383</v>
      </c>
      <c r="T394" s="89">
        <f t="shared" si="19"/>
        <v>0</v>
      </c>
      <c r="U394" s="89">
        <f t="shared" si="20"/>
        <v>0</v>
      </c>
      <c r="V394" s="89">
        <f t="shared" si="21"/>
        <v>0</v>
      </c>
      <c r="W394" s="89">
        <f t="shared" si="22"/>
        <v>0</v>
      </c>
      <c r="X394" s="89">
        <f t="shared" si="23"/>
        <v>0</v>
      </c>
      <c r="Y394" s="28"/>
    </row>
    <row r="395" spans="1:25" ht="17.25" customHeight="1">
      <c r="A395" s="88" t="str">
        <f>IF(BASE!B399="","",BASE!B399)</f>
        <v>23XXR384</v>
      </c>
      <c r="B395" s="121" t="s">
        <v>40</v>
      </c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93"/>
      <c r="R395" s="91">
        <f t="shared" si="18"/>
        <v>0</v>
      </c>
      <c r="S395" s="91">
        <f>BASE!A399</f>
        <v>384</v>
      </c>
      <c r="T395" s="89">
        <f t="shared" si="19"/>
        <v>0</v>
      </c>
      <c r="U395" s="89">
        <f t="shared" si="20"/>
        <v>0</v>
      </c>
      <c r="V395" s="89">
        <f t="shared" si="21"/>
        <v>0</v>
      </c>
      <c r="W395" s="89">
        <f t="shared" si="22"/>
        <v>0</v>
      </c>
      <c r="X395" s="89">
        <f t="shared" si="23"/>
        <v>0</v>
      </c>
      <c r="Y395" s="28"/>
    </row>
    <row r="396" spans="1:25" ht="17.25" customHeight="1">
      <c r="A396" s="88" t="str">
        <f>IF(BASE!B400="","",BASE!B400)</f>
        <v>23XXR385</v>
      </c>
      <c r="B396" s="121" t="s">
        <v>40</v>
      </c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93"/>
      <c r="R396" s="91">
        <f t="shared" si="18"/>
        <v>0</v>
      </c>
      <c r="S396" s="91">
        <f>BASE!A400</f>
        <v>385</v>
      </c>
      <c r="T396" s="89">
        <f t="shared" si="19"/>
        <v>0</v>
      </c>
      <c r="U396" s="89">
        <f t="shared" si="20"/>
        <v>0</v>
      </c>
      <c r="V396" s="89">
        <f t="shared" si="21"/>
        <v>0</v>
      </c>
      <c r="W396" s="89">
        <f t="shared" si="22"/>
        <v>0</v>
      </c>
      <c r="X396" s="89">
        <f t="shared" si="23"/>
        <v>0</v>
      </c>
      <c r="Y396" s="28"/>
    </row>
    <row r="397" spans="1:25" ht="17.25" customHeight="1">
      <c r="A397" s="88" t="str">
        <f>IF(BASE!B401="","",BASE!B401)</f>
        <v>23XXR386</v>
      </c>
      <c r="B397" s="121" t="s">
        <v>40</v>
      </c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93"/>
      <c r="R397" s="91">
        <f t="shared" si="18"/>
        <v>0</v>
      </c>
      <c r="S397" s="91">
        <f>BASE!A401</f>
        <v>386</v>
      </c>
      <c r="T397" s="89">
        <f t="shared" si="19"/>
        <v>0</v>
      </c>
      <c r="U397" s="89">
        <f t="shared" si="20"/>
        <v>0</v>
      </c>
      <c r="V397" s="89">
        <f t="shared" si="21"/>
        <v>0</v>
      </c>
      <c r="W397" s="89">
        <f t="shared" si="22"/>
        <v>0</v>
      </c>
      <c r="X397" s="89">
        <f t="shared" si="23"/>
        <v>0</v>
      </c>
      <c r="Y397" s="28"/>
    </row>
    <row r="398" spans="1:25" ht="17.25" customHeight="1">
      <c r="A398" s="88" t="str">
        <f>IF(BASE!B402="","",BASE!B402)</f>
        <v>23XXR387</v>
      </c>
      <c r="B398" s="121" t="s">
        <v>40</v>
      </c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93"/>
      <c r="R398" s="91">
        <f t="shared" si="18"/>
        <v>0</v>
      </c>
      <c r="S398" s="91">
        <f>BASE!A402</f>
        <v>387</v>
      </c>
      <c r="T398" s="89">
        <f t="shared" si="19"/>
        <v>0</v>
      </c>
      <c r="U398" s="89">
        <f t="shared" si="20"/>
        <v>0</v>
      </c>
      <c r="V398" s="89">
        <f t="shared" si="21"/>
        <v>0</v>
      </c>
      <c r="W398" s="89">
        <f t="shared" si="22"/>
        <v>0</v>
      </c>
      <c r="X398" s="89">
        <f t="shared" si="23"/>
        <v>0</v>
      </c>
      <c r="Y398" s="28"/>
    </row>
    <row r="399" spans="1:25" ht="17.25" customHeight="1">
      <c r="A399" s="88" t="str">
        <f>IF(BASE!B403="","",BASE!B403)</f>
        <v>23XXR388</v>
      </c>
      <c r="B399" s="121" t="s">
        <v>40</v>
      </c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93"/>
      <c r="R399" s="91">
        <f t="shared" si="18"/>
        <v>0</v>
      </c>
      <c r="S399" s="91">
        <f>BASE!A403</f>
        <v>388</v>
      </c>
      <c r="T399" s="89">
        <f t="shared" si="19"/>
        <v>0</v>
      </c>
      <c r="U399" s="89">
        <f t="shared" si="20"/>
        <v>0</v>
      </c>
      <c r="V399" s="89">
        <f t="shared" si="21"/>
        <v>0</v>
      </c>
      <c r="W399" s="89">
        <f t="shared" si="22"/>
        <v>0</v>
      </c>
      <c r="X399" s="89">
        <f t="shared" si="23"/>
        <v>0</v>
      </c>
      <c r="Y399" s="28"/>
    </row>
    <row r="400" spans="1:25" ht="17.25" customHeight="1">
      <c r="A400" s="88" t="str">
        <f>IF(BASE!B404="","",BASE!B404)</f>
        <v>23XXR389</v>
      </c>
      <c r="B400" s="121" t="s">
        <v>40</v>
      </c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93"/>
      <c r="R400" s="91">
        <f t="shared" si="18"/>
        <v>0</v>
      </c>
      <c r="S400" s="91">
        <f>BASE!A404</f>
        <v>389</v>
      </c>
      <c r="T400" s="89">
        <f t="shared" si="19"/>
        <v>0</v>
      </c>
      <c r="U400" s="89">
        <f t="shared" si="20"/>
        <v>0</v>
      </c>
      <c r="V400" s="89">
        <f t="shared" si="21"/>
        <v>0</v>
      </c>
      <c r="W400" s="89">
        <f t="shared" si="22"/>
        <v>0</v>
      </c>
      <c r="X400" s="89">
        <f t="shared" si="23"/>
        <v>0</v>
      </c>
      <c r="Y400" s="28"/>
    </row>
    <row r="401" spans="1:25" ht="17.25" customHeight="1">
      <c r="A401" s="88" t="str">
        <f>IF(BASE!B405="","",BASE!B405)</f>
        <v>23XXR390</v>
      </c>
      <c r="B401" s="121" t="s">
        <v>40</v>
      </c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93"/>
      <c r="R401" s="91">
        <f t="shared" si="18"/>
        <v>0</v>
      </c>
      <c r="S401" s="91">
        <f>BASE!A405</f>
        <v>390</v>
      </c>
      <c r="T401" s="89">
        <f t="shared" si="19"/>
        <v>0</v>
      </c>
      <c r="U401" s="89">
        <f t="shared" si="20"/>
        <v>0</v>
      </c>
      <c r="V401" s="89">
        <f t="shared" si="21"/>
        <v>0</v>
      </c>
      <c r="W401" s="89">
        <f t="shared" si="22"/>
        <v>0</v>
      </c>
      <c r="X401" s="89">
        <f t="shared" si="23"/>
        <v>0</v>
      </c>
      <c r="Y401" s="28"/>
    </row>
    <row r="402" spans="1:25" ht="17.25" customHeight="1">
      <c r="A402" s="88" t="str">
        <f>IF(BASE!B406="","",BASE!B406)</f>
        <v>23XXR391</v>
      </c>
      <c r="B402" s="121" t="s">
        <v>40</v>
      </c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93"/>
      <c r="R402" s="91">
        <f t="shared" si="18"/>
        <v>0</v>
      </c>
      <c r="S402" s="91">
        <f>BASE!A406</f>
        <v>391</v>
      </c>
      <c r="T402" s="89">
        <f t="shared" si="19"/>
        <v>0</v>
      </c>
      <c r="U402" s="89">
        <f t="shared" si="20"/>
        <v>0</v>
      </c>
      <c r="V402" s="89">
        <f t="shared" si="21"/>
        <v>0</v>
      </c>
      <c r="W402" s="89">
        <f t="shared" si="22"/>
        <v>0</v>
      </c>
      <c r="X402" s="89">
        <f t="shared" si="23"/>
        <v>0</v>
      </c>
      <c r="Y402" s="28"/>
    </row>
    <row r="403" spans="1:25" ht="17.25" customHeight="1">
      <c r="A403" s="88" t="str">
        <f>IF(BASE!B407="","",BASE!B407)</f>
        <v>23XXR392</v>
      </c>
      <c r="B403" s="121" t="s">
        <v>40</v>
      </c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93"/>
      <c r="R403" s="91">
        <f t="shared" si="18"/>
        <v>0</v>
      </c>
      <c r="S403" s="91">
        <f>BASE!A407</f>
        <v>392</v>
      </c>
      <c r="T403" s="89">
        <f t="shared" si="19"/>
        <v>0</v>
      </c>
      <c r="U403" s="89">
        <f t="shared" si="20"/>
        <v>0</v>
      </c>
      <c r="V403" s="89">
        <f t="shared" si="21"/>
        <v>0</v>
      </c>
      <c r="W403" s="89">
        <f t="shared" si="22"/>
        <v>0</v>
      </c>
      <c r="X403" s="89">
        <f t="shared" si="23"/>
        <v>0</v>
      </c>
      <c r="Y403" s="28"/>
    </row>
    <row r="404" spans="1:25" ht="17.25" customHeight="1">
      <c r="A404" s="88" t="str">
        <f>IF(BASE!B408="","",BASE!B408)</f>
        <v>23XXR393</v>
      </c>
      <c r="B404" s="121" t="s">
        <v>40</v>
      </c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93"/>
      <c r="R404" s="91">
        <f t="shared" si="18"/>
        <v>0</v>
      </c>
      <c r="S404" s="91">
        <f>BASE!A408</f>
        <v>393</v>
      </c>
      <c r="T404" s="89">
        <f t="shared" si="19"/>
        <v>0</v>
      </c>
      <c r="U404" s="89">
        <f t="shared" si="20"/>
        <v>0</v>
      </c>
      <c r="V404" s="89">
        <f t="shared" si="21"/>
        <v>0</v>
      </c>
      <c r="W404" s="89">
        <f t="shared" si="22"/>
        <v>0</v>
      </c>
      <c r="X404" s="89">
        <f t="shared" si="23"/>
        <v>0</v>
      </c>
      <c r="Y404" s="28"/>
    </row>
    <row r="405" spans="1:25" ht="17.25" customHeight="1">
      <c r="A405" s="88" t="str">
        <f>IF(BASE!B409="","",BASE!B409)</f>
        <v>23XXR394</v>
      </c>
      <c r="B405" s="121" t="s">
        <v>40</v>
      </c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93"/>
      <c r="R405" s="91">
        <f t="shared" si="18"/>
        <v>0</v>
      </c>
      <c r="S405" s="91">
        <f>BASE!A409</f>
        <v>394</v>
      </c>
      <c r="T405" s="89">
        <f t="shared" si="19"/>
        <v>0</v>
      </c>
      <c r="U405" s="89">
        <f t="shared" si="20"/>
        <v>0</v>
      </c>
      <c r="V405" s="89">
        <f t="shared" si="21"/>
        <v>0</v>
      </c>
      <c r="W405" s="89">
        <f t="shared" si="22"/>
        <v>0</v>
      </c>
      <c r="X405" s="89">
        <f t="shared" si="23"/>
        <v>0</v>
      </c>
      <c r="Y405" s="28"/>
    </row>
    <row r="406" spans="1:25" ht="17.25" customHeight="1">
      <c r="A406" s="88" t="str">
        <f>IF(BASE!B410="","",BASE!B410)</f>
        <v>23XXR395</v>
      </c>
      <c r="B406" s="121" t="s">
        <v>40</v>
      </c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93"/>
      <c r="R406" s="91">
        <f t="shared" si="18"/>
        <v>0</v>
      </c>
      <c r="S406" s="91">
        <f>BASE!A410</f>
        <v>395</v>
      </c>
      <c r="T406" s="89">
        <f t="shared" si="19"/>
        <v>0</v>
      </c>
      <c r="U406" s="89">
        <f t="shared" si="20"/>
        <v>0</v>
      </c>
      <c r="V406" s="89">
        <f t="shared" si="21"/>
        <v>0</v>
      </c>
      <c r="W406" s="89">
        <f t="shared" si="22"/>
        <v>0</v>
      </c>
      <c r="X406" s="89">
        <f t="shared" si="23"/>
        <v>0</v>
      </c>
      <c r="Y406" s="28"/>
    </row>
    <row r="407" spans="1:25" ht="17.25" customHeight="1">
      <c r="A407" s="88" t="str">
        <f>IF(BASE!B411="","",BASE!B411)</f>
        <v>23XXR396</v>
      </c>
      <c r="B407" s="121" t="s">
        <v>40</v>
      </c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93"/>
      <c r="R407" s="91">
        <f t="shared" si="18"/>
        <v>0</v>
      </c>
      <c r="S407" s="91">
        <f>BASE!A411</f>
        <v>396</v>
      </c>
      <c r="T407" s="89">
        <f t="shared" si="19"/>
        <v>0</v>
      </c>
      <c r="U407" s="89">
        <f t="shared" si="20"/>
        <v>0</v>
      </c>
      <c r="V407" s="89">
        <f t="shared" si="21"/>
        <v>0</v>
      </c>
      <c r="W407" s="89">
        <f t="shared" si="22"/>
        <v>0</v>
      </c>
      <c r="X407" s="89">
        <f t="shared" si="23"/>
        <v>0</v>
      </c>
      <c r="Y407" s="28"/>
    </row>
    <row r="408" spans="1:25" ht="17.25" customHeight="1">
      <c r="A408" s="88" t="str">
        <f>IF(BASE!B412="","",BASE!B412)</f>
        <v>23XXR397</v>
      </c>
      <c r="B408" s="121" t="s">
        <v>40</v>
      </c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93"/>
      <c r="R408" s="91">
        <f t="shared" si="18"/>
        <v>0</v>
      </c>
      <c r="S408" s="91">
        <f>BASE!A412</f>
        <v>397</v>
      </c>
      <c r="T408" s="89">
        <f t="shared" si="19"/>
        <v>0</v>
      </c>
      <c r="U408" s="89">
        <f t="shared" si="20"/>
        <v>0</v>
      </c>
      <c r="V408" s="89">
        <f t="shared" si="21"/>
        <v>0</v>
      </c>
      <c r="W408" s="89">
        <f t="shared" si="22"/>
        <v>0</v>
      </c>
      <c r="X408" s="89">
        <f t="shared" si="23"/>
        <v>0</v>
      </c>
      <c r="Y408" s="28"/>
    </row>
    <row r="409" spans="1:25" ht="17.25" customHeight="1">
      <c r="A409" s="88" t="str">
        <f>IF(BASE!B413="","",BASE!B413)</f>
        <v>23XXR398</v>
      </c>
      <c r="B409" s="121" t="s">
        <v>40</v>
      </c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93"/>
      <c r="R409" s="91">
        <f t="shared" si="18"/>
        <v>0</v>
      </c>
      <c r="S409" s="91">
        <f>BASE!A413</f>
        <v>398</v>
      </c>
      <c r="T409" s="89">
        <f t="shared" si="19"/>
        <v>0</v>
      </c>
      <c r="U409" s="89">
        <f t="shared" si="20"/>
        <v>0</v>
      </c>
      <c r="V409" s="89">
        <f t="shared" si="21"/>
        <v>0</v>
      </c>
      <c r="W409" s="89">
        <f t="shared" si="22"/>
        <v>0</v>
      </c>
      <c r="X409" s="89">
        <f t="shared" si="23"/>
        <v>0</v>
      </c>
      <c r="Y409" s="28"/>
    </row>
    <row r="410" spans="1:25" ht="17.25" customHeight="1">
      <c r="A410" s="88" t="str">
        <f>IF(BASE!B414="","",BASE!B414)</f>
        <v>23XXR399</v>
      </c>
      <c r="B410" s="121" t="s">
        <v>40</v>
      </c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93"/>
      <c r="R410" s="91">
        <f t="shared" si="18"/>
        <v>0</v>
      </c>
      <c r="S410" s="91">
        <f>BASE!A414</f>
        <v>399</v>
      </c>
      <c r="T410" s="89">
        <f t="shared" si="19"/>
        <v>0</v>
      </c>
      <c r="U410" s="89">
        <f t="shared" si="20"/>
        <v>0</v>
      </c>
      <c r="V410" s="89">
        <f t="shared" si="21"/>
        <v>0</v>
      </c>
      <c r="W410" s="89">
        <f t="shared" si="22"/>
        <v>0</v>
      </c>
      <c r="X410" s="89">
        <f t="shared" si="23"/>
        <v>0</v>
      </c>
      <c r="Y410" s="28"/>
    </row>
    <row r="411" spans="1:25" ht="17.25" customHeight="1">
      <c r="A411" s="88" t="str">
        <f>IF(BASE!B415="","",BASE!B415)</f>
        <v>23XXR400</v>
      </c>
      <c r="B411" s="121" t="s">
        <v>40</v>
      </c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93"/>
      <c r="R411" s="91">
        <f t="shared" si="18"/>
        <v>0</v>
      </c>
      <c r="S411" s="91">
        <f>BASE!A415</f>
        <v>400</v>
      </c>
      <c r="T411" s="89">
        <f t="shared" si="19"/>
        <v>0</v>
      </c>
      <c r="U411" s="89">
        <f t="shared" si="20"/>
        <v>0</v>
      </c>
      <c r="V411" s="89">
        <f t="shared" si="21"/>
        <v>0</v>
      </c>
      <c r="W411" s="89">
        <f t="shared" si="22"/>
        <v>0</v>
      </c>
      <c r="X411" s="89">
        <f t="shared" si="23"/>
        <v>0</v>
      </c>
      <c r="Y411" s="28"/>
    </row>
    <row r="412" spans="1:25" ht="17.25" customHeight="1">
      <c r="A412" s="88" t="str">
        <f>IF(BASE!B416="","",BASE!B416)</f>
        <v>23XXR401</v>
      </c>
      <c r="B412" s="121" t="s">
        <v>40</v>
      </c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93"/>
      <c r="R412" s="91">
        <f t="shared" si="18"/>
        <v>0</v>
      </c>
      <c r="S412" s="91">
        <f>BASE!A416</f>
        <v>401</v>
      </c>
      <c r="T412" s="89">
        <f t="shared" si="19"/>
        <v>0</v>
      </c>
      <c r="U412" s="89">
        <f t="shared" si="20"/>
        <v>0</v>
      </c>
      <c r="V412" s="89">
        <f t="shared" si="21"/>
        <v>0</v>
      </c>
      <c r="W412" s="89">
        <f t="shared" si="22"/>
        <v>0</v>
      </c>
      <c r="X412" s="89">
        <f t="shared" si="23"/>
        <v>0</v>
      </c>
      <c r="Y412" s="28"/>
    </row>
    <row r="413" spans="1:25" ht="17.25" customHeight="1">
      <c r="A413" s="88" t="str">
        <f>IF(BASE!B417="","",BASE!B417)</f>
        <v>23XXR402</v>
      </c>
      <c r="B413" s="121" t="s">
        <v>40</v>
      </c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93"/>
      <c r="R413" s="91">
        <f t="shared" si="18"/>
        <v>0</v>
      </c>
      <c r="S413" s="91">
        <f>BASE!A417</f>
        <v>402</v>
      </c>
      <c r="T413" s="89">
        <f t="shared" si="19"/>
        <v>0</v>
      </c>
      <c r="U413" s="89">
        <f t="shared" si="20"/>
        <v>0</v>
      </c>
      <c r="V413" s="89">
        <f t="shared" si="21"/>
        <v>0</v>
      </c>
      <c r="W413" s="89">
        <f t="shared" si="22"/>
        <v>0</v>
      </c>
      <c r="X413" s="89">
        <f t="shared" si="23"/>
        <v>0</v>
      </c>
      <c r="Y413" s="28"/>
    </row>
    <row r="414" spans="1:25" ht="17.25" customHeight="1">
      <c r="A414" s="88" t="str">
        <f>IF(BASE!B418="","",BASE!B418)</f>
        <v>23XXR403</v>
      </c>
      <c r="B414" s="121" t="s">
        <v>40</v>
      </c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93"/>
      <c r="R414" s="91">
        <f t="shared" si="18"/>
        <v>0</v>
      </c>
      <c r="S414" s="91">
        <f>BASE!A418</f>
        <v>403</v>
      </c>
      <c r="T414" s="89">
        <f t="shared" si="19"/>
        <v>0</v>
      </c>
      <c r="U414" s="89">
        <f t="shared" si="20"/>
        <v>0</v>
      </c>
      <c r="V414" s="89">
        <f t="shared" si="21"/>
        <v>0</v>
      </c>
      <c r="W414" s="89">
        <f t="shared" si="22"/>
        <v>0</v>
      </c>
      <c r="X414" s="89">
        <f t="shared" si="23"/>
        <v>0</v>
      </c>
      <c r="Y414" s="28"/>
    </row>
    <row r="415" spans="1:25" ht="17.25" customHeight="1">
      <c r="A415" s="88" t="str">
        <f>IF(BASE!B419="","",BASE!B419)</f>
        <v>23XXR404</v>
      </c>
      <c r="B415" s="121" t="s">
        <v>40</v>
      </c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93"/>
      <c r="R415" s="91">
        <f t="shared" si="18"/>
        <v>0</v>
      </c>
      <c r="S415" s="91">
        <f>BASE!A419</f>
        <v>404</v>
      </c>
      <c r="T415" s="89">
        <f t="shared" si="19"/>
        <v>0</v>
      </c>
      <c r="U415" s="89">
        <f t="shared" si="20"/>
        <v>0</v>
      </c>
      <c r="V415" s="89">
        <f t="shared" si="21"/>
        <v>0</v>
      </c>
      <c r="W415" s="89">
        <f t="shared" si="22"/>
        <v>0</v>
      </c>
      <c r="X415" s="89">
        <f t="shared" si="23"/>
        <v>0</v>
      </c>
      <c r="Y415" s="28"/>
    </row>
    <row r="416" spans="1:25" ht="17.25" customHeight="1">
      <c r="A416" s="88" t="str">
        <f>IF(BASE!B420="","",BASE!B420)</f>
        <v>23XXR405</v>
      </c>
      <c r="B416" s="121" t="s">
        <v>40</v>
      </c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93"/>
      <c r="R416" s="91">
        <f t="shared" si="18"/>
        <v>0</v>
      </c>
      <c r="S416" s="91">
        <f>BASE!A420</f>
        <v>405</v>
      </c>
      <c r="T416" s="89">
        <f t="shared" si="19"/>
        <v>0</v>
      </c>
      <c r="U416" s="89">
        <f t="shared" si="20"/>
        <v>0</v>
      </c>
      <c r="V416" s="89">
        <f t="shared" si="21"/>
        <v>0</v>
      </c>
      <c r="W416" s="89">
        <f t="shared" si="22"/>
        <v>0</v>
      </c>
      <c r="X416" s="89">
        <f t="shared" si="23"/>
        <v>0</v>
      </c>
      <c r="Y416" s="28"/>
    </row>
    <row r="417" spans="1:25" ht="17.25" customHeight="1">
      <c r="A417" s="88" t="str">
        <f>IF(BASE!B421="","",BASE!B421)</f>
        <v>23XXR406</v>
      </c>
      <c r="B417" s="121" t="s">
        <v>40</v>
      </c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93"/>
      <c r="R417" s="91">
        <f t="shared" si="18"/>
        <v>0</v>
      </c>
      <c r="S417" s="91">
        <f>BASE!A421</f>
        <v>406</v>
      </c>
      <c r="T417" s="89">
        <f t="shared" si="19"/>
        <v>0</v>
      </c>
      <c r="U417" s="89">
        <f t="shared" si="20"/>
        <v>0</v>
      </c>
      <c r="V417" s="89">
        <f t="shared" si="21"/>
        <v>0</v>
      </c>
      <c r="W417" s="89">
        <f t="shared" si="22"/>
        <v>0</v>
      </c>
      <c r="X417" s="89">
        <f t="shared" si="23"/>
        <v>0</v>
      </c>
      <c r="Y417" s="28"/>
    </row>
    <row r="418" spans="1:25" ht="17.25" customHeight="1">
      <c r="A418" s="88" t="str">
        <f>IF(BASE!B422="","",BASE!B422)</f>
        <v>23XXR407</v>
      </c>
      <c r="B418" s="121" t="s">
        <v>40</v>
      </c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93"/>
      <c r="R418" s="91">
        <f t="shared" si="18"/>
        <v>0</v>
      </c>
      <c r="S418" s="91">
        <f>BASE!A422</f>
        <v>407</v>
      </c>
      <c r="T418" s="89">
        <f t="shared" si="19"/>
        <v>0</v>
      </c>
      <c r="U418" s="89">
        <f t="shared" si="20"/>
        <v>0</v>
      </c>
      <c r="V418" s="89">
        <f t="shared" si="21"/>
        <v>0</v>
      </c>
      <c r="W418" s="89">
        <f t="shared" si="22"/>
        <v>0</v>
      </c>
      <c r="X418" s="89">
        <f t="shared" si="23"/>
        <v>0</v>
      </c>
      <c r="Y418" s="28"/>
    </row>
    <row r="419" spans="1:25" ht="17.25" customHeight="1">
      <c r="A419" s="88" t="str">
        <f>IF(BASE!B423="","",BASE!B423)</f>
        <v>23XXR408</v>
      </c>
      <c r="B419" s="121" t="s">
        <v>40</v>
      </c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93"/>
      <c r="R419" s="91">
        <f t="shared" si="18"/>
        <v>0</v>
      </c>
      <c r="S419" s="91">
        <f>BASE!A423</f>
        <v>408</v>
      </c>
      <c r="T419" s="89">
        <f t="shared" si="19"/>
        <v>0</v>
      </c>
      <c r="U419" s="89">
        <f t="shared" si="20"/>
        <v>0</v>
      </c>
      <c r="V419" s="89">
        <f t="shared" si="21"/>
        <v>0</v>
      </c>
      <c r="W419" s="89">
        <f t="shared" si="22"/>
        <v>0</v>
      </c>
      <c r="X419" s="89">
        <f t="shared" si="23"/>
        <v>0</v>
      </c>
      <c r="Y419" s="28"/>
    </row>
    <row r="420" spans="1:25" ht="17.25" customHeight="1">
      <c r="A420" s="88" t="str">
        <f>IF(BASE!B424="","",BASE!B424)</f>
        <v>23XXR409</v>
      </c>
      <c r="B420" s="121" t="s">
        <v>40</v>
      </c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93"/>
      <c r="R420" s="91">
        <f t="shared" si="18"/>
        <v>0</v>
      </c>
      <c r="S420" s="91">
        <f>BASE!A424</f>
        <v>409</v>
      </c>
      <c r="T420" s="89">
        <f t="shared" si="19"/>
        <v>0</v>
      </c>
      <c r="U420" s="89">
        <f t="shared" si="20"/>
        <v>0</v>
      </c>
      <c r="V420" s="89">
        <f t="shared" si="21"/>
        <v>0</v>
      </c>
      <c r="W420" s="89">
        <f t="shared" si="22"/>
        <v>0</v>
      </c>
      <c r="X420" s="89">
        <f t="shared" si="23"/>
        <v>0</v>
      </c>
      <c r="Y420" s="28"/>
    </row>
    <row r="421" spans="1:25" ht="17.25" customHeight="1">
      <c r="A421" s="88" t="str">
        <f>IF(BASE!B425="","",BASE!B425)</f>
        <v>23XXR410</v>
      </c>
      <c r="B421" s="121" t="s">
        <v>40</v>
      </c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93"/>
      <c r="R421" s="91">
        <f t="shared" si="18"/>
        <v>0</v>
      </c>
      <c r="S421" s="91">
        <f>BASE!A425</f>
        <v>410</v>
      </c>
      <c r="T421" s="89">
        <f t="shared" si="19"/>
        <v>0</v>
      </c>
      <c r="U421" s="89">
        <f t="shared" si="20"/>
        <v>0</v>
      </c>
      <c r="V421" s="89">
        <f t="shared" si="21"/>
        <v>0</v>
      </c>
      <c r="W421" s="89">
        <f t="shared" si="22"/>
        <v>0</v>
      </c>
      <c r="X421" s="89">
        <f t="shared" si="23"/>
        <v>0</v>
      </c>
      <c r="Y421" s="28"/>
    </row>
    <row r="422" spans="1:25" ht="17.25" customHeight="1">
      <c r="A422" s="88" t="str">
        <f>IF(BASE!B426="","",BASE!B426)</f>
        <v>23XXR411</v>
      </c>
      <c r="B422" s="121" t="s">
        <v>40</v>
      </c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93"/>
      <c r="R422" s="91">
        <f t="shared" si="18"/>
        <v>0</v>
      </c>
      <c r="S422" s="91">
        <f>BASE!A426</f>
        <v>411</v>
      </c>
      <c r="T422" s="89">
        <f t="shared" si="19"/>
        <v>0</v>
      </c>
      <c r="U422" s="89">
        <f t="shared" si="20"/>
        <v>0</v>
      </c>
      <c r="V422" s="89">
        <f t="shared" si="21"/>
        <v>0</v>
      </c>
      <c r="W422" s="89">
        <f t="shared" si="22"/>
        <v>0</v>
      </c>
      <c r="X422" s="89">
        <f t="shared" si="23"/>
        <v>0</v>
      </c>
      <c r="Y422" s="28"/>
    </row>
    <row r="423" spans="1:25" ht="17.25" customHeight="1">
      <c r="A423" s="88" t="str">
        <f>IF(BASE!B427="","",BASE!B427)</f>
        <v>23XXR412</v>
      </c>
      <c r="B423" s="121" t="s">
        <v>40</v>
      </c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93"/>
      <c r="R423" s="91">
        <f t="shared" si="18"/>
        <v>0</v>
      </c>
      <c r="S423" s="91">
        <f>BASE!A427</f>
        <v>412</v>
      </c>
      <c r="T423" s="89">
        <f t="shared" si="19"/>
        <v>0</v>
      </c>
      <c r="U423" s="89">
        <f t="shared" si="20"/>
        <v>0</v>
      </c>
      <c r="V423" s="89">
        <f t="shared" si="21"/>
        <v>0</v>
      </c>
      <c r="W423" s="89">
        <f t="shared" si="22"/>
        <v>0</v>
      </c>
      <c r="X423" s="89">
        <f t="shared" si="23"/>
        <v>0</v>
      </c>
      <c r="Y423" s="28"/>
    </row>
    <row r="424" spans="1:25" ht="17.25" customHeight="1">
      <c r="A424" s="88" t="str">
        <f>IF(BASE!B428="","",BASE!B428)</f>
        <v>23XXR413</v>
      </c>
      <c r="B424" s="121" t="s">
        <v>40</v>
      </c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93"/>
      <c r="R424" s="91">
        <f t="shared" si="18"/>
        <v>0</v>
      </c>
      <c r="S424" s="91">
        <f>BASE!A428</f>
        <v>413</v>
      </c>
      <c r="T424" s="89">
        <f t="shared" si="19"/>
        <v>0</v>
      </c>
      <c r="U424" s="89">
        <f t="shared" si="20"/>
        <v>0</v>
      </c>
      <c r="V424" s="89">
        <f t="shared" si="21"/>
        <v>0</v>
      </c>
      <c r="W424" s="89">
        <f t="shared" si="22"/>
        <v>0</v>
      </c>
      <c r="X424" s="89">
        <f t="shared" si="23"/>
        <v>0</v>
      </c>
      <c r="Y424" s="28"/>
    </row>
    <row r="425" spans="1:25" ht="17.25" customHeight="1">
      <c r="A425" s="88" t="str">
        <f>IF(BASE!B429="","",BASE!B429)</f>
        <v>23XXR414</v>
      </c>
      <c r="B425" s="121" t="s">
        <v>40</v>
      </c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93"/>
      <c r="R425" s="91">
        <f t="shared" si="18"/>
        <v>0</v>
      </c>
      <c r="S425" s="91">
        <f>BASE!A429</f>
        <v>414</v>
      </c>
      <c r="T425" s="89">
        <f t="shared" si="19"/>
        <v>0</v>
      </c>
      <c r="U425" s="89">
        <f t="shared" si="20"/>
        <v>0</v>
      </c>
      <c r="V425" s="89">
        <f t="shared" si="21"/>
        <v>0</v>
      </c>
      <c r="W425" s="89">
        <f t="shared" si="22"/>
        <v>0</v>
      </c>
      <c r="X425" s="89">
        <f t="shared" si="23"/>
        <v>0</v>
      </c>
      <c r="Y425" s="28"/>
    </row>
    <row r="426" spans="1:25" ht="17.25" customHeight="1">
      <c r="A426" s="88" t="str">
        <f>IF(BASE!B430="","",BASE!B430)</f>
        <v>23XXR415</v>
      </c>
      <c r="B426" s="121" t="s">
        <v>40</v>
      </c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93"/>
      <c r="R426" s="91">
        <f t="shared" si="18"/>
        <v>0</v>
      </c>
      <c r="S426" s="91">
        <f>BASE!A430</f>
        <v>415</v>
      </c>
      <c r="T426" s="89">
        <f t="shared" si="19"/>
        <v>0</v>
      </c>
      <c r="U426" s="89">
        <f t="shared" si="20"/>
        <v>0</v>
      </c>
      <c r="V426" s="89">
        <f t="shared" si="21"/>
        <v>0</v>
      </c>
      <c r="W426" s="89">
        <f t="shared" si="22"/>
        <v>0</v>
      </c>
      <c r="X426" s="89">
        <f t="shared" si="23"/>
        <v>0</v>
      </c>
      <c r="Y426" s="28"/>
    </row>
    <row r="427" spans="1:25" ht="17.25" customHeight="1">
      <c r="A427" s="88" t="str">
        <f>IF(BASE!B431="","",BASE!B431)</f>
        <v>23XXR416</v>
      </c>
      <c r="B427" s="121" t="s">
        <v>40</v>
      </c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93"/>
      <c r="R427" s="91">
        <f t="shared" si="18"/>
        <v>0</v>
      </c>
      <c r="S427" s="91">
        <f>BASE!A431</f>
        <v>416</v>
      </c>
      <c r="T427" s="89">
        <f t="shared" si="19"/>
        <v>0</v>
      </c>
      <c r="U427" s="89">
        <f t="shared" si="20"/>
        <v>0</v>
      </c>
      <c r="V427" s="89">
        <f t="shared" si="21"/>
        <v>0</v>
      </c>
      <c r="W427" s="89">
        <f t="shared" si="22"/>
        <v>0</v>
      </c>
      <c r="X427" s="89">
        <f t="shared" si="23"/>
        <v>0</v>
      </c>
      <c r="Y427" s="28"/>
    </row>
    <row r="428" spans="1:25" ht="17.25" customHeight="1">
      <c r="A428" s="88" t="str">
        <f>IF(BASE!B432="","",BASE!B432)</f>
        <v>23XXR417</v>
      </c>
      <c r="B428" s="121" t="s">
        <v>40</v>
      </c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93"/>
      <c r="R428" s="91">
        <f t="shared" si="18"/>
        <v>0</v>
      </c>
      <c r="S428" s="91">
        <f>BASE!A432</f>
        <v>417</v>
      </c>
      <c r="T428" s="89">
        <f t="shared" si="19"/>
        <v>0</v>
      </c>
      <c r="U428" s="89">
        <f t="shared" si="20"/>
        <v>0</v>
      </c>
      <c r="V428" s="89">
        <f t="shared" si="21"/>
        <v>0</v>
      </c>
      <c r="W428" s="89">
        <f t="shared" si="22"/>
        <v>0</v>
      </c>
      <c r="X428" s="89">
        <f t="shared" si="23"/>
        <v>0</v>
      </c>
      <c r="Y428" s="28"/>
    </row>
    <row r="429" spans="1:25" ht="17.25" customHeight="1">
      <c r="A429" s="88" t="str">
        <f>IF(BASE!B433="","",BASE!B433)</f>
        <v>23XXR418</v>
      </c>
      <c r="B429" s="121" t="s">
        <v>40</v>
      </c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93"/>
      <c r="R429" s="91">
        <f t="shared" si="18"/>
        <v>0</v>
      </c>
      <c r="S429" s="91">
        <f>BASE!A433</f>
        <v>418</v>
      </c>
      <c r="T429" s="89">
        <f t="shared" si="19"/>
        <v>0</v>
      </c>
      <c r="U429" s="89">
        <f t="shared" si="20"/>
        <v>0</v>
      </c>
      <c r="V429" s="89">
        <f t="shared" si="21"/>
        <v>0</v>
      </c>
      <c r="W429" s="89">
        <f t="shared" si="22"/>
        <v>0</v>
      </c>
      <c r="X429" s="89">
        <f t="shared" si="23"/>
        <v>0</v>
      </c>
      <c r="Y429" s="28"/>
    </row>
    <row r="430" spans="1:25" ht="17.25" customHeight="1">
      <c r="A430" s="88" t="str">
        <f>IF(BASE!B434="","",BASE!B434)</f>
        <v>23XXR419</v>
      </c>
      <c r="B430" s="121" t="s">
        <v>40</v>
      </c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93"/>
      <c r="R430" s="91">
        <f t="shared" si="18"/>
        <v>0</v>
      </c>
      <c r="S430" s="91">
        <f>BASE!A434</f>
        <v>419</v>
      </c>
      <c r="T430" s="89">
        <f t="shared" si="19"/>
        <v>0</v>
      </c>
      <c r="U430" s="89">
        <f t="shared" si="20"/>
        <v>0</v>
      </c>
      <c r="V430" s="89">
        <f t="shared" si="21"/>
        <v>0</v>
      </c>
      <c r="W430" s="89">
        <f t="shared" si="22"/>
        <v>0</v>
      </c>
      <c r="X430" s="89">
        <f t="shared" si="23"/>
        <v>0</v>
      </c>
      <c r="Y430" s="28"/>
    </row>
    <row r="431" spans="1:25" ht="17.25" customHeight="1">
      <c r="A431" s="88" t="str">
        <f>IF(BASE!B435="","",BASE!B435)</f>
        <v>23XXR420</v>
      </c>
      <c r="B431" s="121" t="s">
        <v>40</v>
      </c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93"/>
      <c r="R431" s="91">
        <f t="shared" si="18"/>
        <v>0</v>
      </c>
      <c r="S431" s="91">
        <f>BASE!A435</f>
        <v>420</v>
      </c>
      <c r="T431" s="89">
        <f t="shared" si="19"/>
        <v>0</v>
      </c>
      <c r="U431" s="89">
        <f t="shared" si="20"/>
        <v>0</v>
      </c>
      <c r="V431" s="89">
        <f t="shared" si="21"/>
        <v>0</v>
      </c>
      <c r="W431" s="89">
        <f t="shared" si="22"/>
        <v>0</v>
      </c>
      <c r="X431" s="89">
        <f t="shared" si="23"/>
        <v>0</v>
      </c>
      <c r="Y431" s="28"/>
    </row>
    <row r="432" spans="1:25" ht="17.25" customHeight="1">
      <c r="A432" s="88" t="str">
        <f>IF(BASE!B436="","",BASE!B436)</f>
        <v>23XXR421</v>
      </c>
      <c r="B432" s="121" t="s">
        <v>40</v>
      </c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93"/>
      <c r="R432" s="91">
        <f t="shared" si="18"/>
        <v>0</v>
      </c>
      <c r="S432" s="91">
        <f>BASE!A436</f>
        <v>421</v>
      </c>
      <c r="T432" s="89">
        <f t="shared" si="19"/>
        <v>0</v>
      </c>
      <c r="U432" s="89">
        <f t="shared" si="20"/>
        <v>0</v>
      </c>
      <c r="V432" s="89">
        <f t="shared" si="21"/>
        <v>0</v>
      </c>
      <c r="W432" s="89">
        <f t="shared" si="22"/>
        <v>0</v>
      </c>
      <c r="X432" s="89">
        <f t="shared" si="23"/>
        <v>0</v>
      </c>
      <c r="Y432" s="28"/>
    </row>
    <row r="433" spans="1:25" ht="17.25" customHeight="1">
      <c r="A433" s="88" t="str">
        <f>IF(BASE!B437="","",BASE!B437)</f>
        <v/>
      </c>
      <c r="B433" s="121" t="s">
        <v>40</v>
      </c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93"/>
      <c r="R433" s="91">
        <f t="shared" si="18"/>
        <v>0</v>
      </c>
      <c r="S433" s="91">
        <f>BASE!A437</f>
        <v>422</v>
      </c>
      <c r="T433" s="89">
        <f t="shared" si="19"/>
        <v>0</v>
      </c>
      <c r="U433" s="89">
        <f t="shared" si="20"/>
        <v>0</v>
      </c>
      <c r="V433" s="89">
        <f t="shared" si="21"/>
        <v>0</v>
      </c>
      <c r="W433" s="89">
        <f t="shared" si="22"/>
        <v>0</v>
      </c>
      <c r="X433" s="89">
        <f t="shared" si="23"/>
        <v>0</v>
      </c>
      <c r="Y433" s="28"/>
    </row>
    <row r="434" spans="1:25" ht="17.25" customHeight="1">
      <c r="A434" s="88" t="str">
        <f>IF(BASE!B438="","",BASE!B438)</f>
        <v/>
      </c>
      <c r="B434" s="121" t="s">
        <v>40</v>
      </c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93"/>
      <c r="R434" s="91">
        <f t="shared" si="18"/>
        <v>0</v>
      </c>
      <c r="S434" s="91">
        <f>BASE!A438</f>
        <v>423</v>
      </c>
      <c r="T434" s="89">
        <f t="shared" si="19"/>
        <v>0</v>
      </c>
      <c r="U434" s="89">
        <f t="shared" si="20"/>
        <v>0</v>
      </c>
      <c r="V434" s="89">
        <f t="shared" si="21"/>
        <v>0</v>
      </c>
      <c r="W434" s="89">
        <f t="shared" si="22"/>
        <v>0</v>
      </c>
      <c r="X434" s="89">
        <f t="shared" si="23"/>
        <v>0</v>
      </c>
      <c r="Y434" s="28"/>
    </row>
    <row r="435" spans="1:25" ht="17.25" customHeight="1">
      <c r="A435" s="88" t="str">
        <f>IF(BASE!B439="","",BASE!B439)</f>
        <v/>
      </c>
      <c r="B435" s="121" t="s">
        <v>40</v>
      </c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93"/>
      <c r="R435" s="91">
        <f t="shared" si="18"/>
        <v>0</v>
      </c>
      <c r="S435" s="91">
        <f>BASE!A439</f>
        <v>424</v>
      </c>
      <c r="T435" s="89">
        <f t="shared" si="19"/>
        <v>0</v>
      </c>
      <c r="U435" s="89">
        <f t="shared" si="20"/>
        <v>0</v>
      </c>
      <c r="V435" s="89">
        <f t="shared" si="21"/>
        <v>0</v>
      </c>
      <c r="W435" s="89">
        <f t="shared" si="22"/>
        <v>0</v>
      </c>
      <c r="X435" s="89">
        <f t="shared" si="23"/>
        <v>0</v>
      </c>
      <c r="Y435" s="28"/>
    </row>
    <row r="436" spans="1:25" ht="17.25" customHeight="1">
      <c r="A436" s="88" t="str">
        <f>IF(BASE!B440="","",BASE!B440)</f>
        <v/>
      </c>
      <c r="B436" s="121" t="s">
        <v>40</v>
      </c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93"/>
      <c r="R436" s="91">
        <f t="shared" si="18"/>
        <v>0</v>
      </c>
      <c r="S436" s="91">
        <f>BASE!A440</f>
        <v>425</v>
      </c>
      <c r="T436" s="89">
        <f t="shared" si="19"/>
        <v>0</v>
      </c>
      <c r="U436" s="89">
        <f t="shared" si="20"/>
        <v>0</v>
      </c>
      <c r="V436" s="89">
        <f t="shared" si="21"/>
        <v>0</v>
      </c>
      <c r="W436" s="89">
        <f t="shared" si="22"/>
        <v>0</v>
      </c>
      <c r="X436" s="89">
        <f t="shared" si="23"/>
        <v>0</v>
      </c>
      <c r="Y436" s="28"/>
    </row>
    <row r="437" spans="1:25" ht="17.25" customHeight="1">
      <c r="A437" s="88" t="str">
        <f>IF(BASE!B441="","",BASE!B441)</f>
        <v/>
      </c>
      <c r="B437" s="121" t="s">
        <v>40</v>
      </c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93"/>
      <c r="R437" s="91">
        <f t="shared" si="18"/>
        <v>0</v>
      </c>
      <c r="S437" s="91">
        <f>BASE!A441</f>
        <v>426</v>
      </c>
      <c r="T437" s="89">
        <f t="shared" si="19"/>
        <v>0</v>
      </c>
      <c r="U437" s="89">
        <f t="shared" si="20"/>
        <v>0</v>
      </c>
      <c r="V437" s="89">
        <f t="shared" si="21"/>
        <v>0</v>
      </c>
      <c r="W437" s="89">
        <f t="shared" si="22"/>
        <v>0</v>
      </c>
      <c r="X437" s="89">
        <f t="shared" si="23"/>
        <v>0</v>
      </c>
      <c r="Y437" s="28"/>
    </row>
    <row r="438" spans="1:25" ht="17.25" customHeight="1">
      <c r="A438" s="88" t="str">
        <f>IF(BASE!B442="","",BASE!B442)</f>
        <v/>
      </c>
      <c r="B438" s="121" t="s">
        <v>40</v>
      </c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93"/>
      <c r="R438" s="91">
        <f t="shared" si="18"/>
        <v>0</v>
      </c>
      <c r="S438" s="91">
        <f>BASE!A442</f>
        <v>427</v>
      </c>
      <c r="T438" s="89">
        <f t="shared" si="19"/>
        <v>0</v>
      </c>
      <c r="U438" s="89">
        <f t="shared" si="20"/>
        <v>0</v>
      </c>
      <c r="V438" s="89">
        <f t="shared" si="21"/>
        <v>0</v>
      </c>
      <c r="W438" s="89">
        <f t="shared" si="22"/>
        <v>0</v>
      </c>
      <c r="X438" s="89">
        <f t="shared" si="23"/>
        <v>0</v>
      </c>
      <c r="Y438" s="28"/>
    </row>
    <row r="439" spans="1:25" ht="17.25" customHeight="1">
      <c r="A439" s="88" t="str">
        <f>IF(BASE!B443="","",BASE!B443)</f>
        <v/>
      </c>
      <c r="B439" s="121" t="s">
        <v>40</v>
      </c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93"/>
      <c r="R439" s="91">
        <f t="shared" si="18"/>
        <v>0</v>
      </c>
      <c r="S439" s="91">
        <f>BASE!A443</f>
        <v>428</v>
      </c>
      <c r="T439" s="89">
        <f t="shared" si="19"/>
        <v>0</v>
      </c>
      <c r="U439" s="89">
        <f t="shared" si="20"/>
        <v>0</v>
      </c>
      <c r="V439" s="89">
        <f t="shared" si="21"/>
        <v>0</v>
      </c>
      <c r="W439" s="89">
        <f t="shared" si="22"/>
        <v>0</v>
      </c>
      <c r="X439" s="89">
        <f t="shared" si="23"/>
        <v>0</v>
      </c>
      <c r="Y439" s="28"/>
    </row>
    <row r="440" spans="1:25" ht="17.25" customHeight="1">
      <c r="A440" s="88" t="str">
        <f>IF(BASE!B444="","",BASE!B444)</f>
        <v/>
      </c>
      <c r="B440" s="121" t="s">
        <v>40</v>
      </c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93"/>
      <c r="R440" s="91">
        <f t="shared" si="18"/>
        <v>0</v>
      </c>
      <c r="S440" s="91">
        <f>BASE!A444</f>
        <v>429</v>
      </c>
      <c r="T440" s="89">
        <f t="shared" si="19"/>
        <v>0</v>
      </c>
      <c r="U440" s="89">
        <f t="shared" si="20"/>
        <v>0</v>
      </c>
      <c r="V440" s="89">
        <f t="shared" si="21"/>
        <v>0</v>
      </c>
      <c r="W440" s="89">
        <f t="shared" si="22"/>
        <v>0</v>
      </c>
      <c r="X440" s="89">
        <f t="shared" si="23"/>
        <v>0</v>
      </c>
      <c r="Y440" s="28"/>
    </row>
    <row r="441" spans="1:25" ht="17.25" customHeight="1">
      <c r="A441" s="88" t="str">
        <f>IF(BASE!B445="","",BASE!B445)</f>
        <v/>
      </c>
      <c r="B441" s="121" t="s">
        <v>40</v>
      </c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93"/>
      <c r="R441" s="91">
        <f t="shared" si="18"/>
        <v>0</v>
      </c>
      <c r="S441" s="91">
        <f>BASE!A445</f>
        <v>430</v>
      </c>
      <c r="T441" s="89">
        <f t="shared" si="19"/>
        <v>0</v>
      </c>
      <c r="U441" s="89">
        <f t="shared" si="20"/>
        <v>0</v>
      </c>
      <c r="V441" s="89">
        <f t="shared" si="21"/>
        <v>0</v>
      </c>
      <c r="W441" s="89">
        <f t="shared" si="22"/>
        <v>0</v>
      </c>
      <c r="X441" s="89">
        <f t="shared" si="23"/>
        <v>0</v>
      </c>
      <c r="Y441" s="28"/>
    </row>
    <row r="442" spans="1:25" ht="17.25" customHeight="1">
      <c r="A442" s="88" t="str">
        <f>IF(BASE!B446="","",BASE!B446)</f>
        <v/>
      </c>
      <c r="B442" s="121" t="s">
        <v>40</v>
      </c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93"/>
      <c r="R442" s="91">
        <f t="shared" si="18"/>
        <v>0</v>
      </c>
      <c r="S442" s="91">
        <f>BASE!A446</f>
        <v>431</v>
      </c>
      <c r="T442" s="89">
        <f t="shared" si="19"/>
        <v>0</v>
      </c>
      <c r="U442" s="89">
        <f t="shared" si="20"/>
        <v>0</v>
      </c>
      <c r="V442" s="89">
        <f t="shared" si="21"/>
        <v>0</v>
      </c>
      <c r="W442" s="89">
        <f t="shared" si="22"/>
        <v>0</v>
      </c>
      <c r="X442" s="89">
        <f t="shared" si="23"/>
        <v>0</v>
      </c>
      <c r="Y442" s="28"/>
    </row>
    <row r="443" spans="1:25" ht="17.25" customHeight="1">
      <c r="A443" s="88" t="str">
        <f>IF(BASE!B447="","",BASE!B447)</f>
        <v/>
      </c>
      <c r="B443" s="121" t="s">
        <v>40</v>
      </c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93"/>
      <c r="R443" s="91">
        <f t="shared" si="18"/>
        <v>0</v>
      </c>
      <c r="S443" s="91">
        <f>BASE!A447</f>
        <v>432</v>
      </c>
      <c r="T443" s="89">
        <f t="shared" si="19"/>
        <v>0</v>
      </c>
      <c r="U443" s="89">
        <f t="shared" si="20"/>
        <v>0</v>
      </c>
      <c r="V443" s="89">
        <f t="shared" si="21"/>
        <v>0</v>
      </c>
      <c r="W443" s="89">
        <f t="shared" si="22"/>
        <v>0</v>
      </c>
      <c r="X443" s="89">
        <f t="shared" si="23"/>
        <v>0</v>
      </c>
      <c r="Y443" s="28"/>
    </row>
    <row r="444" spans="1:25" ht="17.25" customHeight="1">
      <c r="A444" s="88" t="str">
        <f>IF(BASE!B448="","",BASE!B448)</f>
        <v/>
      </c>
      <c r="B444" s="121" t="s">
        <v>40</v>
      </c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93"/>
      <c r="R444" s="91">
        <f t="shared" si="18"/>
        <v>0</v>
      </c>
      <c r="S444" s="91">
        <f>BASE!A448</f>
        <v>433</v>
      </c>
      <c r="T444" s="89">
        <f t="shared" si="19"/>
        <v>0</v>
      </c>
      <c r="U444" s="89">
        <f t="shared" si="20"/>
        <v>0</v>
      </c>
      <c r="V444" s="89">
        <f t="shared" si="21"/>
        <v>0</v>
      </c>
      <c r="W444" s="89">
        <f t="shared" si="22"/>
        <v>0</v>
      </c>
      <c r="X444" s="89">
        <f t="shared" si="23"/>
        <v>0</v>
      </c>
      <c r="Y444" s="28"/>
    </row>
    <row r="445" spans="1:25" ht="17.25" customHeight="1">
      <c r="A445" s="88" t="str">
        <f>IF(BASE!B449="","",BASE!B449)</f>
        <v/>
      </c>
      <c r="B445" s="121" t="s">
        <v>40</v>
      </c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93"/>
      <c r="R445" s="91">
        <f t="shared" ref="R445:R461" si="24">SUM(C445:Q445)</f>
        <v>0</v>
      </c>
      <c r="S445" s="91">
        <f>BASE!A449</f>
        <v>434</v>
      </c>
      <c r="T445" s="89">
        <f t="shared" ref="T445:T461" si="25">SUMIF($C$11:$Q$11,1,C445:Q445)</f>
        <v>0</v>
      </c>
      <c r="U445" s="89">
        <f t="shared" ref="U445:U461" si="26">SUMIF($C$11:$Q$11,2,C445:Q445)</f>
        <v>0</v>
      </c>
      <c r="V445" s="89">
        <f t="shared" ref="V445:V461" si="27">SUMIF($C$11:$Q$11,3,C445:Q445)</f>
        <v>0</v>
      </c>
      <c r="W445" s="89">
        <f t="shared" ref="W445:W461" si="28">SUMIF($C$11:$Q$11,4,C445:Q445)</f>
        <v>0</v>
      </c>
      <c r="X445" s="89">
        <f t="shared" ref="X445:X461" si="29">SUMIF($C$11:$Q$11,5,C445:Q445)</f>
        <v>0</v>
      </c>
      <c r="Y445" s="28"/>
    </row>
    <row r="446" spans="1:25" ht="17.25" customHeight="1">
      <c r="A446" s="88" t="str">
        <f>IF(BASE!B450="","",BASE!B450)</f>
        <v/>
      </c>
      <c r="B446" s="121" t="s">
        <v>40</v>
      </c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93"/>
      <c r="R446" s="91">
        <f t="shared" si="24"/>
        <v>0</v>
      </c>
      <c r="S446" s="91">
        <f>BASE!A450</f>
        <v>435</v>
      </c>
      <c r="T446" s="89">
        <f t="shared" si="25"/>
        <v>0</v>
      </c>
      <c r="U446" s="89">
        <f t="shared" si="26"/>
        <v>0</v>
      </c>
      <c r="V446" s="89">
        <f t="shared" si="27"/>
        <v>0</v>
      </c>
      <c r="W446" s="89">
        <f t="shared" si="28"/>
        <v>0</v>
      </c>
      <c r="X446" s="89">
        <f t="shared" si="29"/>
        <v>0</v>
      </c>
      <c r="Y446" s="28"/>
    </row>
    <row r="447" spans="1:25" ht="17.25" customHeight="1">
      <c r="A447" s="88" t="str">
        <f>IF(BASE!B451="","",BASE!B451)</f>
        <v/>
      </c>
      <c r="B447" s="121" t="s">
        <v>40</v>
      </c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93"/>
      <c r="R447" s="91">
        <f t="shared" si="24"/>
        <v>0</v>
      </c>
      <c r="S447" s="91">
        <f>BASE!A451</f>
        <v>436</v>
      </c>
      <c r="T447" s="89">
        <f t="shared" si="25"/>
        <v>0</v>
      </c>
      <c r="U447" s="89">
        <f t="shared" si="26"/>
        <v>0</v>
      </c>
      <c r="V447" s="89">
        <f t="shared" si="27"/>
        <v>0</v>
      </c>
      <c r="W447" s="89">
        <f t="shared" si="28"/>
        <v>0</v>
      </c>
      <c r="X447" s="89">
        <f t="shared" si="29"/>
        <v>0</v>
      </c>
      <c r="Y447" s="28"/>
    </row>
    <row r="448" spans="1:25" ht="17.25" customHeight="1">
      <c r="A448" s="88" t="str">
        <f>IF(BASE!B452="","",BASE!B452)</f>
        <v/>
      </c>
      <c r="B448" s="121" t="s">
        <v>40</v>
      </c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93"/>
      <c r="R448" s="91">
        <f t="shared" si="24"/>
        <v>0</v>
      </c>
      <c r="S448" s="91">
        <f>BASE!A452</f>
        <v>437</v>
      </c>
      <c r="T448" s="89">
        <f t="shared" si="25"/>
        <v>0</v>
      </c>
      <c r="U448" s="89">
        <f t="shared" si="26"/>
        <v>0</v>
      </c>
      <c r="V448" s="89">
        <f t="shared" si="27"/>
        <v>0</v>
      </c>
      <c r="W448" s="89">
        <f t="shared" si="28"/>
        <v>0</v>
      </c>
      <c r="X448" s="89">
        <f t="shared" si="29"/>
        <v>0</v>
      </c>
      <c r="Y448" s="28"/>
    </row>
    <row r="449" spans="1:25" ht="17.25" customHeight="1">
      <c r="A449" s="88" t="str">
        <f>IF(BASE!B453="","",BASE!B453)</f>
        <v/>
      </c>
      <c r="B449" s="121" t="s">
        <v>40</v>
      </c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93"/>
      <c r="R449" s="91">
        <f t="shared" si="24"/>
        <v>0</v>
      </c>
      <c r="S449" s="91">
        <f>BASE!A453</f>
        <v>438</v>
      </c>
      <c r="T449" s="89">
        <f t="shared" si="25"/>
        <v>0</v>
      </c>
      <c r="U449" s="89">
        <f t="shared" si="26"/>
        <v>0</v>
      </c>
      <c r="V449" s="89">
        <f t="shared" si="27"/>
        <v>0</v>
      </c>
      <c r="W449" s="89">
        <f t="shared" si="28"/>
        <v>0</v>
      </c>
      <c r="X449" s="89">
        <f t="shared" si="29"/>
        <v>0</v>
      </c>
      <c r="Y449" s="28"/>
    </row>
    <row r="450" spans="1:25" ht="17.25" customHeight="1">
      <c r="A450" s="88" t="str">
        <f>IF(BASE!B454="","",BASE!B454)</f>
        <v/>
      </c>
      <c r="B450" s="121" t="s">
        <v>40</v>
      </c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93"/>
      <c r="R450" s="91">
        <f t="shared" si="24"/>
        <v>0</v>
      </c>
      <c r="S450" s="91">
        <f>BASE!A454</f>
        <v>439</v>
      </c>
      <c r="T450" s="89">
        <f t="shared" si="25"/>
        <v>0</v>
      </c>
      <c r="U450" s="89">
        <f t="shared" si="26"/>
        <v>0</v>
      </c>
      <c r="V450" s="89">
        <f t="shared" si="27"/>
        <v>0</v>
      </c>
      <c r="W450" s="89">
        <f t="shared" si="28"/>
        <v>0</v>
      </c>
      <c r="X450" s="89">
        <f t="shared" si="29"/>
        <v>0</v>
      </c>
      <c r="Y450" s="28"/>
    </row>
    <row r="451" spans="1:25" ht="17.25" customHeight="1">
      <c r="A451" s="88" t="str">
        <f>IF(BASE!B455="","",BASE!B455)</f>
        <v/>
      </c>
      <c r="B451" s="121" t="s">
        <v>40</v>
      </c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93"/>
      <c r="R451" s="91">
        <f t="shared" si="24"/>
        <v>0</v>
      </c>
      <c r="S451" s="91">
        <f>BASE!A455</f>
        <v>440</v>
      </c>
      <c r="T451" s="89">
        <f t="shared" si="25"/>
        <v>0</v>
      </c>
      <c r="U451" s="89">
        <f t="shared" si="26"/>
        <v>0</v>
      </c>
      <c r="V451" s="89">
        <f t="shared" si="27"/>
        <v>0</v>
      </c>
      <c r="W451" s="89">
        <f t="shared" si="28"/>
        <v>0</v>
      </c>
      <c r="X451" s="89">
        <f t="shared" si="29"/>
        <v>0</v>
      </c>
      <c r="Y451" s="28"/>
    </row>
    <row r="452" spans="1:25" ht="15.75" customHeight="1">
      <c r="A452" s="88" t="str">
        <f>IF(BASE!B456="","",BASE!B456)</f>
        <v/>
      </c>
      <c r="B452" s="121" t="s">
        <v>40</v>
      </c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90"/>
      <c r="R452" s="91">
        <f t="shared" si="24"/>
        <v>0</v>
      </c>
      <c r="S452" s="91">
        <f>BASE!A456</f>
        <v>441</v>
      </c>
      <c r="T452" s="89">
        <f t="shared" si="25"/>
        <v>0</v>
      </c>
      <c r="U452" s="89">
        <f t="shared" si="26"/>
        <v>0</v>
      </c>
      <c r="V452" s="89">
        <f t="shared" si="27"/>
        <v>0</v>
      </c>
      <c r="W452" s="89">
        <f t="shared" si="28"/>
        <v>0</v>
      </c>
      <c r="X452" s="89">
        <f t="shared" si="29"/>
        <v>0</v>
      </c>
    </row>
    <row r="453" spans="1:25" ht="15.75" customHeight="1">
      <c r="A453" s="88" t="str">
        <f>IF(BASE!B457="","",BASE!B457)</f>
        <v/>
      </c>
      <c r="B453" s="121" t="s">
        <v>40</v>
      </c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90"/>
      <c r="R453" s="91">
        <f t="shared" si="24"/>
        <v>0</v>
      </c>
      <c r="S453" s="91">
        <f>BASE!A457</f>
        <v>442</v>
      </c>
      <c r="T453" s="89">
        <f t="shared" si="25"/>
        <v>0</v>
      </c>
      <c r="U453" s="89">
        <f t="shared" si="26"/>
        <v>0</v>
      </c>
      <c r="V453" s="89">
        <f t="shared" si="27"/>
        <v>0</v>
      </c>
      <c r="W453" s="89">
        <f t="shared" si="28"/>
        <v>0</v>
      </c>
      <c r="X453" s="89">
        <f t="shared" si="29"/>
        <v>0</v>
      </c>
    </row>
    <row r="454" spans="1:25" ht="15.75" customHeight="1">
      <c r="A454" s="88" t="str">
        <f>IF(BASE!B458="","",BASE!B458)</f>
        <v/>
      </c>
      <c r="B454" s="121" t="s">
        <v>40</v>
      </c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90"/>
      <c r="R454" s="91">
        <f t="shared" si="24"/>
        <v>0</v>
      </c>
      <c r="S454" s="91">
        <f>BASE!A458</f>
        <v>443</v>
      </c>
      <c r="T454" s="89">
        <f t="shared" si="25"/>
        <v>0</v>
      </c>
      <c r="U454" s="89">
        <f t="shared" si="26"/>
        <v>0</v>
      </c>
      <c r="V454" s="89">
        <f t="shared" si="27"/>
        <v>0</v>
      </c>
      <c r="W454" s="89">
        <f t="shared" si="28"/>
        <v>0</v>
      </c>
      <c r="X454" s="89">
        <f t="shared" si="29"/>
        <v>0</v>
      </c>
    </row>
    <row r="455" spans="1:25" ht="15.75" customHeight="1">
      <c r="A455" s="88" t="str">
        <f>IF(BASE!B459="","",BASE!B459)</f>
        <v/>
      </c>
      <c r="B455" s="121" t="s">
        <v>40</v>
      </c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90"/>
      <c r="R455" s="91">
        <f t="shared" si="24"/>
        <v>0</v>
      </c>
      <c r="S455" s="91">
        <f>BASE!A459</f>
        <v>444</v>
      </c>
      <c r="T455" s="89">
        <f t="shared" si="25"/>
        <v>0</v>
      </c>
      <c r="U455" s="89">
        <f t="shared" si="26"/>
        <v>0</v>
      </c>
      <c r="V455" s="89">
        <f t="shared" si="27"/>
        <v>0</v>
      </c>
      <c r="W455" s="89">
        <f t="shared" si="28"/>
        <v>0</v>
      </c>
      <c r="X455" s="89">
        <f t="shared" si="29"/>
        <v>0</v>
      </c>
    </row>
    <row r="456" spans="1:25" ht="15.75" customHeight="1">
      <c r="A456" s="88" t="str">
        <f>IF(BASE!B460="","",BASE!B460)</f>
        <v/>
      </c>
      <c r="B456" s="121" t="s">
        <v>40</v>
      </c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90"/>
      <c r="R456" s="91">
        <f t="shared" si="24"/>
        <v>0</v>
      </c>
      <c r="S456" s="91">
        <f>BASE!A460</f>
        <v>445</v>
      </c>
      <c r="T456" s="89">
        <f t="shared" si="25"/>
        <v>0</v>
      </c>
      <c r="U456" s="89">
        <f t="shared" si="26"/>
        <v>0</v>
      </c>
      <c r="V456" s="89">
        <f t="shared" si="27"/>
        <v>0</v>
      </c>
      <c r="W456" s="89">
        <f t="shared" si="28"/>
        <v>0</v>
      </c>
      <c r="X456" s="89">
        <f t="shared" si="29"/>
        <v>0</v>
      </c>
    </row>
    <row r="457" spans="1:25" ht="15.75" customHeight="1">
      <c r="A457" s="88" t="str">
        <f>IF(BASE!B461="","",BASE!B461)</f>
        <v/>
      </c>
      <c r="B457" s="121" t="s">
        <v>40</v>
      </c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90"/>
      <c r="R457" s="91">
        <f t="shared" si="24"/>
        <v>0</v>
      </c>
      <c r="S457" s="91">
        <f>BASE!A461</f>
        <v>446</v>
      </c>
      <c r="T457" s="89">
        <f t="shared" si="25"/>
        <v>0</v>
      </c>
      <c r="U457" s="89">
        <f t="shared" si="26"/>
        <v>0</v>
      </c>
      <c r="V457" s="89">
        <f t="shared" si="27"/>
        <v>0</v>
      </c>
      <c r="W457" s="89">
        <f t="shared" si="28"/>
        <v>0</v>
      </c>
      <c r="X457" s="89">
        <f t="shared" si="29"/>
        <v>0</v>
      </c>
    </row>
    <row r="458" spans="1:25" ht="15.75" customHeight="1">
      <c r="A458" s="88" t="str">
        <f>IF(BASE!B462="","",BASE!B462)</f>
        <v/>
      </c>
      <c r="B458" s="121" t="s">
        <v>40</v>
      </c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90"/>
      <c r="R458" s="91">
        <f t="shared" si="24"/>
        <v>0</v>
      </c>
      <c r="S458" s="91">
        <f>BASE!A462</f>
        <v>447</v>
      </c>
      <c r="T458" s="89">
        <f t="shared" si="25"/>
        <v>0</v>
      </c>
      <c r="U458" s="89">
        <f t="shared" si="26"/>
        <v>0</v>
      </c>
      <c r="V458" s="89">
        <f t="shared" si="27"/>
        <v>0</v>
      </c>
      <c r="W458" s="89">
        <f t="shared" si="28"/>
        <v>0</v>
      </c>
      <c r="X458" s="89">
        <f t="shared" si="29"/>
        <v>0</v>
      </c>
    </row>
    <row r="459" spans="1:25" ht="15.75" customHeight="1">
      <c r="A459" s="88" t="str">
        <f>IF(BASE!B463="","",BASE!B463)</f>
        <v/>
      </c>
      <c r="B459" s="121" t="s">
        <v>40</v>
      </c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90"/>
      <c r="R459" s="91">
        <f t="shared" si="24"/>
        <v>0</v>
      </c>
      <c r="S459" s="91">
        <f>BASE!A463</f>
        <v>448</v>
      </c>
      <c r="T459" s="89">
        <f t="shared" si="25"/>
        <v>0</v>
      </c>
      <c r="U459" s="89">
        <f t="shared" si="26"/>
        <v>0</v>
      </c>
      <c r="V459" s="89">
        <f t="shared" si="27"/>
        <v>0</v>
      </c>
      <c r="W459" s="89">
        <f t="shared" si="28"/>
        <v>0</v>
      </c>
      <c r="X459" s="89">
        <f t="shared" si="29"/>
        <v>0</v>
      </c>
    </row>
    <row r="460" spans="1:25" ht="15.75" customHeight="1">
      <c r="A460" s="88" t="str">
        <f>IF(BASE!B464="","",BASE!B464)</f>
        <v/>
      </c>
      <c r="B460" s="121" t="s">
        <v>40</v>
      </c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90"/>
      <c r="R460" s="91">
        <f t="shared" si="24"/>
        <v>0</v>
      </c>
      <c r="S460" s="91">
        <f>BASE!A464</f>
        <v>449</v>
      </c>
      <c r="T460" s="89">
        <f t="shared" si="25"/>
        <v>0</v>
      </c>
      <c r="U460" s="89">
        <f t="shared" si="26"/>
        <v>0</v>
      </c>
      <c r="V460" s="89">
        <f t="shared" si="27"/>
        <v>0</v>
      </c>
      <c r="W460" s="89">
        <f t="shared" si="28"/>
        <v>0</v>
      </c>
      <c r="X460" s="89">
        <f t="shared" si="29"/>
        <v>0</v>
      </c>
    </row>
    <row r="461" spans="1:25" ht="15.75" customHeight="1">
      <c r="A461" s="88" t="str">
        <f>IF(BASE!B465="","",BASE!B465)</f>
        <v/>
      </c>
      <c r="B461" s="121" t="s">
        <v>40</v>
      </c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90"/>
      <c r="R461" s="91">
        <f t="shared" si="24"/>
        <v>0</v>
      </c>
      <c r="S461" s="91">
        <f>BASE!A465</f>
        <v>450</v>
      </c>
      <c r="T461" s="89">
        <f t="shared" si="25"/>
        <v>0</v>
      </c>
      <c r="U461" s="89">
        <f t="shared" si="26"/>
        <v>0</v>
      </c>
      <c r="V461" s="89">
        <f t="shared" si="27"/>
        <v>0</v>
      </c>
      <c r="W461" s="89">
        <f t="shared" si="28"/>
        <v>0</v>
      </c>
      <c r="X461" s="89">
        <f t="shared" si="29"/>
        <v>0</v>
      </c>
    </row>
    <row r="462" spans="1:25" ht="15.75" customHeight="1"/>
    <row r="463" spans="1:25" ht="15.75" customHeight="1"/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</sheetData>
  <sheetProtection password="CC28" sheet="1" objects="1" scenarios="1" deleteRows="0"/>
  <mergeCells count="33">
    <mergeCell ref="U7:X7"/>
    <mergeCell ref="R9:R11"/>
    <mergeCell ref="S9:S11"/>
    <mergeCell ref="T11:X11"/>
    <mergeCell ref="C5:F5"/>
    <mergeCell ref="G5:R5"/>
    <mergeCell ref="S5:T5"/>
    <mergeCell ref="U5:X5"/>
    <mergeCell ref="C6:F6"/>
    <mergeCell ref="U6:V6"/>
    <mergeCell ref="K6:M6"/>
    <mergeCell ref="O6:R6"/>
    <mergeCell ref="C7:F7"/>
    <mergeCell ref="G7:J7"/>
    <mergeCell ref="A9:A11"/>
    <mergeCell ref="O4:R4"/>
    <mergeCell ref="S4:T4"/>
    <mergeCell ref="C4:F4"/>
    <mergeCell ref="L7:N7"/>
    <mergeCell ref="O7:P7"/>
    <mergeCell ref="S6:T6"/>
    <mergeCell ref="G6:H6"/>
    <mergeCell ref="I6:J6"/>
    <mergeCell ref="S7:T7"/>
    <mergeCell ref="U4:X4"/>
    <mergeCell ref="G4:J4"/>
    <mergeCell ref="K4:N4"/>
    <mergeCell ref="A1:R1"/>
    <mergeCell ref="S1:X1"/>
    <mergeCell ref="A2:R2"/>
    <mergeCell ref="S2:X2"/>
    <mergeCell ref="A3:R3"/>
    <mergeCell ref="S3:X3"/>
  </mergeCells>
  <dataValidations count="2">
    <dataValidation type="decimal" allowBlank="1" showErrorMessage="1" sqref="C12:L461">
      <formula1>0</formula1>
      <formula2>2</formula2>
    </dataValidation>
    <dataValidation type="decimal" allowBlank="1" showErrorMessage="1" sqref="M12:P461">
      <formula1>0</formula1>
      <formula2>10</formula2>
    </dataValidation>
  </dataValidations>
  <printOptions horizontalCentered="1"/>
  <pageMargins left="0" right="0" top="0.5" bottom="0.5" header="0" footer="0"/>
  <pageSetup paperSize="9" orientation="portrait"/>
  <rowBreaks count="4" manualBreakCount="4">
    <brk id="43" man="1"/>
    <brk id="75" man="1"/>
    <brk id="206" man="1"/>
    <brk id="174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Y899"/>
  <sheetViews>
    <sheetView workbookViewId="0">
      <selection activeCell="O6" sqref="O6:R6"/>
    </sheetView>
  </sheetViews>
  <sheetFormatPr defaultColWidth="14.42578125" defaultRowHeight="15" customHeight="1"/>
  <cols>
    <col min="1" max="1" width="20.42578125" customWidth="1"/>
    <col min="2" max="2" width="7.7109375" customWidth="1"/>
    <col min="3" max="16" width="6.28515625" customWidth="1"/>
    <col min="17" max="17" width="4.140625" customWidth="1"/>
    <col min="18" max="18" width="9" customWidth="1"/>
    <col min="19" max="24" width="11.85546875" customWidth="1"/>
    <col min="25" max="25" width="9.140625" customWidth="1"/>
  </cols>
  <sheetData>
    <row r="1" spans="1:25" ht="23.25" customHeight="1">
      <c r="A1" s="259">
        <f>BASE!A7</f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6"/>
      <c r="S1" s="259">
        <f>BASE!A7</f>
        <v>0</v>
      </c>
      <c r="T1" s="195"/>
      <c r="U1" s="195"/>
      <c r="V1" s="195"/>
      <c r="W1" s="195"/>
      <c r="X1" s="196"/>
      <c r="Y1" s="26"/>
    </row>
    <row r="2" spans="1:25" ht="23.25" customHeight="1">
      <c r="A2" s="259" t="str">
        <f>+BASE!A8</f>
        <v>DEPARTMENT OF __________________________________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6"/>
      <c r="S2" s="259" t="str">
        <f>BASE!A8</f>
        <v>DEPARTMENT OF __________________________________</v>
      </c>
      <c r="T2" s="195"/>
      <c r="U2" s="195"/>
      <c r="V2" s="195"/>
      <c r="W2" s="195"/>
      <c r="X2" s="196"/>
      <c r="Y2" s="26"/>
    </row>
    <row r="3" spans="1:25" ht="18">
      <c r="A3" s="259" t="str">
        <f>+BASE!A9</f>
        <v>THEORY CUM PRACTICAL COURSE OUTCOME ANALYSIS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6"/>
      <c r="S3" s="271" t="str">
        <f>BASE!A9</f>
        <v>THEORY CUM PRACTICAL COURSE OUTCOME ANALYSIS</v>
      </c>
      <c r="T3" s="195"/>
      <c r="U3" s="195"/>
      <c r="V3" s="195"/>
      <c r="W3" s="195"/>
      <c r="X3" s="196"/>
      <c r="Y3" s="26"/>
    </row>
    <row r="4" spans="1:25" ht="47.25" customHeight="1">
      <c r="A4" s="27" t="str">
        <f>BASE!A11</f>
        <v>Name of Faculty(s)</v>
      </c>
      <c r="B4" s="6" t="s">
        <v>40</v>
      </c>
      <c r="C4" s="188">
        <f>BASE!D11</f>
        <v>1</v>
      </c>
      <c r="D4" s="189"/>
      <c r="E4" s="189"/>
      <c r="F4" s="190"/>
      <c r="G4" s="188">
        <f>BASE!G11</f>
        <v>1</v>
      </c>
      <c r="H4" s="189"/>
      <c r="I4" s="189"/>
      <c r="J4" s="190"/>
      <c r="K4" s="188">
        <f>BASE!J11</f>
        <v>1</v>
      </c>
      <c r="L4" s="189"/>
      <c r="M4" s="189"/>
      <c r="N4" s="190"/>
      <c r="O4" s="262">
        <f>BASE!M11</f>
        <v>1</v>
      </c>
      <c r="P4" s="189"/>
      <c r="Q4" s="189"/>
      <c r="R4" s="190"/>
      <c r="S4" s="188" t="s">
        <v>41</v>
      </c>
      <c r="T4" s="264"/>
      <c r="U4" s="258" t="str">
        <f>BASE!D12</f>
        <v>22ABXCXX</v>
      </c>
      <c r="V4" s="189"/>
      <c r="W4" s="189"/>
      <c r="X4" s="190"/>
      <c r="Y4" s="28"/>
    </row>
    <row r="5" spans="1:25" ht="39" customHeight="1">
      <c r="A5" s="33" t="str">
        <f>BASE!A12</f>
        <v>Course Code and Name</v>
      </c>
      <c r="B5" s="6" t="s">
        <v>40</v>
      </c>
      <c r="C5" s="188" t="str">
        <f>BASE!D12</f>
        <v>22ABXCXX</v>
      </c>
      <c r="D5" s="189"/>
      <c r="E5" s="189"/>
      <c r="F5" s="190"/>
      <c r="G5" s="188" t="str">
        <f>BASE!G12</f>
        <v>XXXXXXXX XXXXX XXXXXXXX</v>
      </c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264"/>
      <c r="S5" s="258" t="s">
        <v>42</v>
      </c>
      <c r="T5" s="264"/>
      <c r="U5" s="188" t="str">
        <f>BASE!G12</f>
        <v>XXXXXXXX XXXXX XXXXXXXX</v>
      </c>
      <c r="V5" s="189"/>
      <c r="W5" s="189"/>
      <c r="X5" s="190"/>
      <c r="Y5" s="28"/>
    </row>
    <row r="6" spans="1:25" ht="51" customHeight="1">
      <c r="A6" s="33" t="str">
        <f>BASE!A13</f>
        <v>Branch / Year / Semester</v>
      </c>
      <c r="B6" s="6" t="s">
        <v>40</v>
      </c>
      <c r="C6" s="272" t="str">
        <f>+BASE!D13</f>
        <v>abcd</v>
      </c>
      <c r="D6" s="273"/>
      <c r="E6" s="273"/>
      <c r="F6" s="274"/>
      <c r="G6" s="258">
        <f>BASE!H13</f>
        <v>1</v>
      </c>
      <c r="H6" s="190"/>
      <c r="I6" s="258" t="str">
        <f>BASE!L13</f>
        <v>IV</v>
      </c>
      <c r="J6" s="190"/>
      <c r="K6" s="258" t="s">
        <v>43</v>
      </c>
      <c r="L6" s="189"/>
      <c r="M6" s="190"/>
      <c r="N6" s="29" t="s">
        <v>40</v>
      </c>
      <c r="O6" s="269"/>
      <c r="P6" s="192"/>
      <c r="Q6" s="192"/>
      <c r="R6" s="193"/>
      <c r="S6" s="188" t="str">
        <f>BASE!A13</f>
        <v>Branch / Year / Semester</v>
      </c>
      <c r="T6" s="264"/>
      <c r="U6" s="258" t="str">
        <f>BASE!D13</f>
        <v>abcd</v>
      </c>
      <c r="V6" s="190"/>
      <c r="W6" s="6">
        <f>BASE!H13</f>
        <v>1</v>
      </c>
      <c r="X6" s="6" t="str">
        <f>BASE!L13</f>
        <v>IV</v>
      </c>
      <c r="Y6" s="28"/>
    </row>
    <row r="7" spans="1:25" ht="51" customHeight="1">
      <c r="A7" s="27" t="s">
        <v>44</v>
      </c>
      <c r="B7" s="34" t="s">
        <v>40</v>
      </c>
      <c r="C7" s="258" t="s">
        <v>7</v>
      </c>
      <c r="D7" s="189"/>
      <c r="E7" s="189"/>
      <c r="F7" s="190"/>
      <c r="G7" s="270" t="s">
        <v>133</v>
      </c>
      <c r="H7" s="189"/>
      <c r="I7" s="189"/>
      <c r="J7" s="190"/>
      <c r="K7" s="30" t="s">
        <v>40</v>
      </c>
      <c r="L7" s="265">
        <f>ROWS(A12:A480)-COUNTIF(A12:A480,"")</f>
        <v>421</v>
      </c>
      <c r="M7" s="189"/>
      <c r="N7" s="190"/>
      <c r="O7" s="266" t="s">
        <v>46</v>
      </c>
      <c r="P7" s="190"/>
      <c r="Q7" s="30" t="s">
        <v>40</v>
      </c>
      <c r="R7" s="156"/>
      <c r="S7" s="188" t="str">
        <f>A7</f>
        <v xml:space="preserve">Continuous Assessment Test </v>
      </c>
      <c r="T7" s="190"/>
      <c r="U7" s="258" t="s">
        <v>7</v>
      </c>
      <c r="V7" s="189"/>
      <c r="W7" s="189"/>
      <c r="X7" s="190"/>
      <c r="Y7" s="28"/>
    </row>
    <row r="8" spans="1:25" ht="21" customHeight="1">
      <c r="A8" s="31"/>
      <c r="B8" s="32"/>
      <c r="C8" s="15"/>
      <c r="D8" s="15"/>
      <c r="E8" s="15"/>
      <c r="F8" s="15"/>
      <c r="G8" s="15"/>
      <c r="H8" s="15"/>
      <c r="I8" s="16"/>
      <c r="J8" s="16"/>
      <c r="K8" s="16"/>
      <c r="L8" s="16"/>
      <c r="M8" s="16"/>
      <c r="N8" s="16"/>
      <c r="O8" s="16"/>
      <c r="P8" s="16"/>
      <c r="Q8" s="16"/>
      <c r="R8" s="14"/>
      <c r="S8" s="15"/>
      <c r="T8" s="28"/>
      <c r="U8" s="28"/>
      <c r="V8" s="28"/>
      <c r="W8" s="28"/>
      <c r="X8" s="28"/>
      <c r="Y8" s="28"/>
    </row>
    <row r="9" spans="1:25" ht="22.5" customHeight="1">
      <c r="A9" s="260" t="s">
        <v>47</v>
      </c>
      <c r="B9" s="91" t="s">
        <v>48</v>
      </c>
      <c r="C9" s="89">
        <v>1</v>
      </c>
      <c r="D9" s="89">
        <v>2</v>
      </c>
      <c r="E9" s="89">
        <v>3</v>
      </c>
      <c r="F9" s="89">
        <v>4</v>
      </c>
      <c r="G9" s="89">
        <v>5</v>
      </c>
      <c r="H9" s="89">
        <v>6</v>
      </c>
      <c r="I9" s="89">
        <v>7</v>
      </c>
      <c r="J9" s="89">
        <v>8</v>
      </c>
      <c r="K9" s="89">
        <v>9</v>
      </c>
      <c r="L9" s="89">
        <v>10</v>
      </c>
      <c r="M9" s="89">
        <v>11</v>
      </c>
      <c r="N9" s="89">
        <v>12</v>
      </c>
      <c r="O9" s="89">
        <v>13</v>
      </c>
      <c r="P9" s="89">
        <v>14</v>
      </c>
      <c r="Q9" s="89"/>
      <c r="R9" s="260" t="s">
        <v>49</v>
      </c>
      <c r="S9" s="260" t="s">
        <v>50</v>
      </c>
      <c r="T9" s="91" t="s">
        <v>51</v>
      </c>
      <c r="U9" s="91" t="s">
        <v>52</v>
      </c>
      <c r="V9" s="91" t="s">
        <v>53</v>
      </c>
      <c r="W9" s="91" t="s">
        <v>54</v>
      </c>
      <c r="X9" s="91" t="s">
        <v>55</v>
      </c>
      <c r="Y9" s="28"/>
    </row>
    <row r="10" spans="1:25" ht="40.5" customHeight="1">
      <c r="A10" s="261"/>
      <c r="B10" s="92" t="s">
        <v>56</v>
      </c>
      <c r="C10" s="91">
        <v>2</v>
      </c>
      <c r="D10" s="91">
        <v>2</v>
      </c>
      <c r="E10" s="91">
        <v>2</v>
      </c>
      <c r="F10" s="91">
        <v>2</v>
      </c>
      <c r="G10" s="91">
        <v>2</v>
      </c>
      <c r="H10" s="91">
        <v>2</v>
      </c>
      <c r="I10" s="91">
        <v>2</v>
      </c>
      <c r="J10" s="91">
        <v>2</v>
      </c>
      <c r="K10" s="91">
        <v>2</v>
      </c>
      <c r="L10" s="91">
        <v>2</v>
      </c>
      <c r="M10" s="91">
        <v>10</v>
      </c>
      <c r="N10" s="91">
        <v>10</v>
      </c>
      <c r="O10" s="91">
        <v>10</v>
      </c>
      <c r="P10" s="91">
        <v>10</v>
      </c>
      <c r="Q10" s="91"/>
      <c r="R10" s="261"/>
      <c r="S10" s="261"/>
      <c r="T10" s="89">
        <f>SUMIF($C$11:$Q$11,1,C10:Q10)</f>
        <v>0</v>
      </c>
      <c r="U10" s="89">
        <f>SUMIF($C$11:$Q$11,2,C10:Q10)</f>
        <v>28</v>
      </c>
      <c r="V10" s="89">
        <f>SUMIF($C$11:$Q$11,3,C10:Q10)</f>
        <v>32</v>
      </c>
      <c r="W10" s="89">
        <f>SUMIF($C$11:$Q$11,4,C10:Q10)</f>
        <v>0</v>
      </c>
      <c r="X10" s="89">
        <f>SUMIF($C$11:$Q$11,5,C10:Q10)</f>
        <v>0</v>
      </c>
      <c r="Y10" s="28"/>
    </row>
    <row r="11" spans="1:25" ht="22.5" customHeight="1">
      <c r="A11" s="261"/>
      <c r="B11" s="91" t="s">
        <v>57</v>
      </c>
      <c r="C11" s="153">
        <v>2</v>
      </c>
      <c r="D11" s="153">
        <v>2</v>
      </c>
      <c r="E11" s="153">
        <v>2</v>
      </c>
      <c r="F11" s="153">
        <v>2</v>
      </c>
      <c r="G11" s="153">
        <v>3</v>
      </c>
      <c r="H11" s="153">
        <v>3</v>
      </c>
      <c r="I11" s="153">
        <v>3</v>
      </c>
      <c r="J11" s="153">
        <v>3</v>
      </c>
      <c r="K11" s="153">
        <v>3</v>
      </c>
      <c r="L11" s="153">
        <v>3</v>
      </c>
      <c r="M11" s="153">
        <v>2</v>
      </c>
      <c r="N11" s="153">
        <v>2</v>
      </c>
      <c r="O11" s="153">
        <v>3</v>
      </c>
      <c r="P11" s="153">
        <v>3</v>
      </c>
      <c r="Q11" s="91"/>
      <c r="R11" s="261"/>
      <c r="S11" s="261"/>
      <c r="T11" s="267"/>
      <c r="U11" s="261"/>
      <c r="V11" s="261"/>
      <c r="W11" s="261"/>
      <c r="X11" s="261"/>
      <c r="Y11" s="28"/>
    </row>
    <row r="12" spans="1:25" ht="20.25" customHeight="1">
      <c r="A12" s="88" t="str">
        <f>+IF(BASE!B16="","",BASE!B16)</f>
        <v>23XXR001</v>
      </c>
      <c r="B12" s="121" t="s">
        <v>40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89"/>
      <c r="R12" s="91">
        <f t="shared" ref="R12:R252" si="0">SUM(C12:Q12)</f>
        <v>0</v>
      </c>
      <c r="S12" s="91">
        <f>BASE!A16</f>
        <v>1</v>
      </c>
      <c r="T12" s="89">
        <f t="shared" ref="T12:T252" si="1">SUMIF($C$11:$Q$11,1,C12:Q12)</f>
        <v>0</v>
      </c>
      <c r="U12" s="89">
        <f t="shared" ref="U12:U252" si="2">SUMIF($C$11:$Q$11,2,C12:Q12)</f>
        <v>0</v>
      </c>
      <c r="V12" s="89">
        <f t="shared" ref="V12:V252" si="3">SUMIF($C$11:$Q$11,3,C12:Q12)</f>
        <v>0</v>
      </c>
      <c r="W12" s="89">
        <f t="shared" ref="W12:W252" si="4">SUMIF($C$11:$Q$11,4,C12:Q12)</f>
        <v>0</v>
      </c>
      <c r="X12" s="89">
        <f t="shared" ref="X12:X252" si="5">SUMIF($C$11:$Q$11,5,C12:Q12)</f>
        <v>0</v>
      </c>
      <c r="Y12" s="28"/>
    </row>
    <row r="13" spans="1:25" ht="20.25" customHeight="1">
      <c r="A13" s="88" t="str">
        <f>+IF(BASE!B17="","",BASE!B17)</f>
        <v>23XXR002</v>
      </c>
      <c r="B13" s="121" t="s">
        <v>40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89"/>
      <c r="R13" s="91">
        <f t="shared" si="0"/>
        <v>0</v>
      </c>
      <c r="S13" s="91">
        <f>BASE!A17</f>
        <v>2</v>
      </c>
      <c r="T13" s="89">
        <f t="shared" si="1"/>
        <v>0</v>
      </c>
      <c r="U13" s="89">
        <f t="shared" si="2"/>
        <v>0</v>
      </c>
      <c r="V13" s="89">
        <f t="shared" si="3"/>
        <v>0</v>
      </c>
      <c r="W13" s="89">
        <f t="shared" si="4"/>
        <v>0</v>
      </c>
      <c r="X13" s="89">
        <f t="shared" si="5"/>
        <v>0</v>
      </c>
      <c r="Y13" s="28"/>
    </row>
    <row r="14" spans="1:25" ht="20.25" customHeight="1">
      <c r="A14" s="88" t="str">
        <f>+IF(BASE!B18="","",BASE!B18)</f>
        <v>23XXR003</v>
      </c>
      <c r="B14" s="121" t="s">
        <v>40</v>
      </c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89"/>
      <c r="R14" s="91">
        <f t="shared" si="0"/>
        <v>0</v>
      </c>
      <c r="S14" s="91">
        <f>BASE!A18</f>
        <v>3</v>
      </c>
      <c r="T14" s="89">
        <f t="shared" si="1"/>
        <v>0</v>
      </c>
      <c r="U14" s="89">
        <f t="shared" si="2"/>
        <v>0</v>
      </c>
      <c r="V14" s="89">
        <f t="shared" si="3"/>
        <v>0</v>
      </c>
      <c r="W14" s="89">
        <f t="shared" si="4"/>
        <v>0</v>
      </c>
      <c r="X14" s="89">
        <f t="shared" si="5"/>
        <v>0</v>
      </c>
      <c r="Y14" s="28"/>
    </row>
    <row r="15" spans="1:25" ht="20.25" customHeight="1">
      <c r="A15" s="88" t="str">
        <f>+IF(BASE!B19="","",BASE!B19)</f>
        <v>23XXR004</v>
      </c>
      <c r="B15" s="121" t="s">
        <v>40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89"/>
      <c r="R15" s="91">
        <f t="shared" si="0"/>
        <v>0</v>
      </c>
      <c r="S15" s="91">
        <f>BASE!A19</f>
        <v>4</v>
      </c>
      <c r="T15" s="89">
        <f t="shared" si="1"/>
        <v>0</v>
      </c>
      <c r="U15" s="89">
        <f t="shared" si="2"/>
        <v>0</v>
      </c>
      <c r="V15" s="89">
        <f t="shared" si="3"/>
        <v>0</v>
      </c>
      <c r="W15" s="89">
        <f t="shared" si="4"/>
        <v>0</v>
      </c>
      <c r="X15" s="89">
        <f t="shared" si="5"/>
        <v>0</v>
      </c>
      <c r="Y15" s="28"/>
    </row>
    <row r="16" spans="1:25" ht="20.25" customHeight="1">
      <c r="A16" s="88" t="str">
        <f>+IF(BASE!B20="","",BASE!B20)</f>
        <v>23XXR005</v>
      </c>
      <c r="B16" s="121" t="s">
        <v>40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89"/>
      <c r="R16" s="91">
        <f t="shared" si="0"/>
        <v>0</v>
      </c>
      <c r="S16" s="91">
        <f>BASE!A20</f>
        <v>5</v>
      </c>
      <c r="T16" s="89">
        <f t="shared" si="1"/>
        <v>0</v>
      </c>
      <c r="U16" s="89">
        <f t="shared" si="2"/>
        <v>0</v>
      </c>
      <c r="V16" s="89">
        <f t="shared" si="3"/>
        <v>0</v>
      </c>
      <c r="W16" s="89">
        <f t="shared" si="4"/>
        <v>0</v>
      </c>
      <c r="X16" s="89">
        <f t="shared" si="5"/>
        <v>0</v>
      </c>
      <c r="Y16" s="28"/>
    </row>
    <row r="17" spans="1:25" ht="20.25" customHeight="1">
      <c r="A17" s="88" t="str">
        <f>+IF(BASE!B21="","",BASE!B21)</f>
        <v>23XXR006</v>
      </c>
      <c r="B17" s="121" t="s">
        <v>40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89"/>
      <c r="R17" s="91">
        <f t="shared" si="0"/>
        <v>0</v>
      </c>
      <c r="S17" s="91">
        <f>BASE!A21</f>
        <v>6</v>
      </c>
      <c r="T17" s="89">
        <f t="shared" si="1"/>
        <v>0</v>
      </c>
      <c r="U17" s="89">
        <f t="shared" si="2"/>
        <v>0</v>
      </c>
      <c r="V17" s="89">
        <f t="shared" si="3"/>
        <v>0</v>
      </c>
      <c r="W17" s="89">
        <f t="shared" si="4"/>
        <v>0</v>
      </c>
      <c r="X17" s="89">
        <f t="shared" si="5"/>
        <v>0</v>
      </c>
      <c r="Y17" s="28"/>
    </row>
    <row r="18" spans="1:25" ht="20.25" customHeight="1">
      <c r="A18" s="88" t="str">
        <f>+IF(BASE!B22="","",BASE!B22)</f>
        <v>23XXR007</v>
      </c>
      <c r="B18" s="121" t="s">
        <v>40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89"/>
      <c r="R18" s="91">
        <f t="shared" si="0"/>
        <v>0</v>
      </c>
      <c r="S18" s="91">
        <f>BASE!A22</f>
        <v>7</v>
      </c>
      <c r="T18" s="89">
        <f t="shared" si="1"/>
        <v>0</v>
      </c>
      <c r="U18" s="89">
        <f t="shared" si="2"/>
        <v>0</v>
      </c>
      <c r="V18" s="89">
        <f t="shared" si="3"/>
        <v>0</v>
      </c>
      <c r="W18" s="89">
        <f t="shared" si="4"/>
        <v>0</v>
      </c>
      <c r="X18" s="89">
        <f t="shared" si="5"/>
        <v>0</v>
      </c>
      <c r="Y18" s="28"/>
    </row>
    <row r="19" spans="1:25" ht="20.25" customHeight="1">
      <c r="A19" s="88" t="str">
        <f>+IF(BASE!B23="","",BASE!B23)</f>
        <v>23XXR008</v>
      </c>
      <c r="B19" s="121" t="s">
        <v>40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89"/>
      <c r="R19" s="91">
        <f t="shared" si="0"/>
        <v>0</v>
      </c>
      <c r="S19" s="91">
        <f>BASE!A23</f>
        <v>8</v>
      </c>
      <c r="T19" s="89">
        <f t="shared" si="1"/>
        <v>0</v>
      </c>
      <c r="U19" s="89">
        <f t="shared" si="2"/>
        <v>0</v>
      </c>
      <c r="V19" s="89">
        <f t="shared" si="3"/>
        <v>0</v>
      </c>
      <c r="W19" s="89">
        <f t="shared" si="4"/>
        <v>0</v>
      </c>
      <c r="X19" s="89">
        <f t="shared" si="5"/>
        <v>0</v>
      </c>
      <c r="Y19" s="28"/>
    </row>
    <row r="20" spans="1:25" ht="20.25" customHeight="1">
      <c r="A20" s="88" t="str">
        <f>+IF(BASE!B24="","",BASE!B24)</f>
        <v>23XXR009</v>
      </c>
      <c r="B20" s="121" t="s">
        <v>40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89"/>
      <c r="R20" s="91">
        <f t="shared" si="0"/>
        <v>0</v>
      </c>
      <c r="S20" s="91">
        <f>BASE!A24</f>
        <v>9</v>
      </c>
      <c r="T20" s="89">
        <f t="shared" si="1"/>
        <v>0</v>
      </c>
      <c r="U20" s="89">
        <f t="shared" si="2"/>
        <v>0</v>
      </c>
      <c r="V20" s="89">
        <f t="shared" si="3"/>
        <v>0</v>
      </c>
      <c r="W20" s="89">
        <f t="shared" si="4"/>
        <v>0</v>
      </c>
      <c r="X20" s="89">
        <f t="shared" si="5"/>
        <v>0</v>
      </c>
      <c r="Y20" s="28"/>
    </row>
    <row r="21" spans="1:25" ht="20.25" customHeight="1">
      <c r="A21" s="88" t="str">
        <f>+IF(BASE!B25="","",BASE!B25)</f>
        <v>23XXR010</v>
      </c>
      <c r="B21" s="121" t="s">
        <v>40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89"/>
      <c r="R21" s="91">
        <f t="shared" si="0"/>
        <v>0</v>
      </c>
      <c r="S21" s="91">
        <f>BASE!A25</f>
        <v>10</v>
      </c>
      <c r="T21" s="89">
        <f t="shared" si="1"/>
        <v>0</v>
      </c>
      <c r="U21" s="89">
        <f t="shared" si="2"/>
        <v>0</v>
      </c>
      <c r="V21" s="89">
        <f t="shared" si="3"/>
        <v>0</v>
      </c>
      <c r="W21" s="89">
        <f t="shared" si="4"/>
        <v>0</v>
      </c>
      <c r="X21" s="89">
        <f t="shared" si="5"/>
        <v>0</v>
      </c>
      <c r="Y21" s="28"/>
    </row>
    <row r="22" spans="1:25" ht="20.25" customHeight="1">
      <c r="A22" s="88" t="str">
        <f>+IF(BASE!B26="","",BASE!B26)</f>
        <v>23XXR011</v>
      </c>
      <c r="B22" s="121" t="s">
        <v>40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89"/>
      <c r="R22" s="91">
        <f t="shared" si="0"/>
        <v>0</v>
      </c>
      <c r="S22" s="91">
        <f>BASE!A26</f>
        <v>11</v>
      </c>
      <c r="T22" s="89">
        <f t="shared" si="1"/>
        <v>0</v>
      </c>
      <c r="U22" s="89">
        <f t="shared" si="2"/>
        <v>0</v>
      </c>
      <c r="V22" s="89">
        <f t="shared" si="3"/>
        <v>0</v>
      </c>
      <c r="W22" s="89">
        <f t="shared" si="4"/>
        <v>0</v>
      </c>
      <c r="X22" s="89">
        <f t="shared" si="5"/>
        <v>0</v>
      </c>
      <c r="Y22" s="28"/>
    </row>
    <row r="23" spans="1:25" ht="20.25" customHeight="1">
      <c r="A23" s="88" t="str">
        <f>+IF(BASE!B27="","",BASE!B27)</f>
        <v>23XXR012</v>
      </c>
      <c r="B23" s="121" t="s">
        <v>40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89"/>
      <c r="R23" s="91">
        <f t="shared" si="0"/>
        <v>0</v>
      </c>
      <c r="S23" s="91">
        <f>BASE!A27</f>
        <v>12</v>
      </c>
      <c r="T23" s="89">
        <f t="shared" si="1"/>
        <v>0</v>
      </c>
      <c r="U23" s="89">
        <f t="shared" si="2"/>
        <v>0</v>
      </c>
      <c r="V23" s="89">
        <f t="shared" si="3"/>
        <v>0</v>
      </c>
      <c r="W23" s="89">
        <f t="shared" si="4"/>
        <v>0</v>
      </c>
      <c r="X23" s="89">
        <f t="shared" si="5"/>
        <v>0</v>
      </c>
      <c r="Y23" s="28"/>
    </row>
    <row r="24" spans="1:25" ht="20.25" customHeight="1">
      <c r="A24" s="88" t="str">
        <f>+IF(BASE!B28="","",BASE!B28)</f>
        <v>23XXR013</v>
      </c>
      <c r="B24" s="121" t="s">
        <v>40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89"/>
      <c r="R24" s="91">
        <f t="shared" si="0"/>
        <v>0</v>
      </c>
      <c r="S24" s="91">
        <f>BASE!A28</f>
        <v>13</v>
      </c>
      <c r="T24" s="89">
        <f t="shared" si="1"/>
        <v>0</v>
      </c>
      <c r="U24" s="89">
        <f t="shared" si="2"/>
        <v>0</v>
      </c>
      <c r="V24" s="89">
        <f t="shared" si="3"/>
        <v>0</v>
      </c>
      <c r="W24" s="89">
        <f t="shared" si="4"/>
        <v>0</v>
      </c>
      <c r="X24" s="89">
        <f t="shared" si="5"/>
        <v>0</v>
      </c>
      <c r="Y24" s="28"/>
    </row>
    <row r="25" spans="1:25" ht="20.25" customHeight="1">
      <c r="A25" s="88" t="str">
        <f>+IF(BASE!B29="","",BASE!B29)</f>
        <v>23XXR014</v>
      </c>
      <c r="B25" s="121" t="s">
        <v>40</v>
      </c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89"/>
      <c r="R25" s="91">
        <f t="shared" si="0"/>
        <v>0</v>
      </c>
      <c r="S25" s="91">
        <f>BASE!A29</f>
        <v>14</v>
      </c>
      <c r="T25" s="89">
        <f t="shared" si="1"/>
        <v>0</v>
      </c>
      <c r="U25" s="89">
        <f t="shared" si="2"/>
        <v>0</v>
      </c>
      <c r="V25" s="89">
        <f t="shared" si="3"/>
        <v>0</v>
      </c>
      <c r="W25" s="89">
        <f t="shared" si="4"/>
        <v>0</v>
      </c>
      <c r="X25" s="89">
        <f t="shared" si="5"/>
        <v>0</v>
      </c>
      <c r="Y25" s="28"/>
    </row>
    <row r="26" spans="1:25" ht="20.25" customHeight="1">
      <c r="A26" s="88" t="str">
        <f>+IF(BASE!B30="","",BASE!B30)</f>
        <v>23XXR015</v>
      </c>
      <c r="B26" s="121" t="s">
        <v>40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89"/>
      <c r="R26" s="91">
        <f t="shared" si="0"/>
        <v>0</v>
      </c>
      <c r="S26" s="91">
        <f>BASE!A30</f>
        <v>15</v>
      </c>
      <c r="T26" s="89">
        <f t="shared" si="1"/>
        <v>0</v>
      </c>
      <c r="U26" s="89">
        <f t="shared" si="2"/>
        <v>0</v>
      </c>
      <c r="V26" s="89">
        <f t="shared" si="3"/>
        <v>0</v>
      </c>
      <c r="W26" s="89">
        <f t="shared" si="4"/>
        <v>0</v>
      </c>
      <c r="X26" s="89">
        <f t="shared" si="5"/>
        <v>0</v>
      </c>
      <c r="Y26" s="28"/>
    </row>
    <row r="27" spans="1:25" ht="20.25" customHeight="1">
      <c r="A27" s="88" t="str">
        <f>+IF(BASE!B31="","",BASE!B31)</f>
        <v>23XXR016</v>
      </c>
      <c r="B27" s="121" t="s">
        <v>40</v>
      </c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89"/>
      <c r="R27" s="91">
        <f t="shared" si="0"/>
        <v>0</v>
      </c>
      <c r="S27" s="91">
        <f>BASE!A31</f>
        <v>16</v>
      </c>
      <c r="T27" s="89">
        <f t="shared" si="1"/>
        <v>0</v>
      </c>
      <c r="U27" s="89">
        <f t="shared" si="2"/>
        <v>0</v>
      </c>
      <c r="V27" s="89">
        <f t="shared" si="3"/>
        <v>0</v>
      </c>
      <c r="W27" s="89">
        <f t="shared" si="4"/>
        <v>0</v>
      </c>
      <c r="X27" s="89">
        <f t="shared" si="5"/>
        <v>0</v>
      </c>
      <c r="Y27" s="28"/>
    </row>
    <row r="28" spans="1:25" ht="20.25" customHeight="1">
      <c r="A28" s="88" t="str">
        <f>+IF(BASE!B32="","",BASE!B32)</f>
        <v>23XXR017</v>
      </c>
      <c r="B28" s="121" t="s">
        <v>40</v>
      </c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89"/>
      <c r="R28" s="91">
        <f t="shared" si="0"/>
        <v>0</v>
      </c>
      <c r="S28" s="91">
        <f>BASE!A32</f>
        <v>17</v>
      </c>
      <c r="T28" s="89">
        <f t="shared" si="1"/>
        <v>0</v>
      </c>
      <c r="U28" s="89">
        <f t="shared" si="2"/>
        <v>0</v>
      </c>
      <c r="V28" s="89">
        <f t="shared" si="3"/>
        <v>0</v>
      </c>
      <c r="W28" s="89">
        <f t="shared" si="4"/>
        <v>0</v>
      </c>
      <c r="X28" s="89">
        <f t="shared" si="5"/>
        <v>0</v>
      </c>
      <c r="Y28" s="28"/>
    </row>
    <row r="29" spans="1:25" ht="20.25" customHeight="1">
      <c r="A29" s="88" t="str">
        <f>+IF(BASE!B33="","",BASE!B33)</f>
        <v>23XXR018</v>
      </c>
      <c r="B29" s="121" t="s">
        <v>40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89"/>
      <c r="R29" s="91">
        <f t="shared" si="0"/>
        <v>0</v>
      </c>
      <c r="S29" s="91">
        <f>BASE!A33</f>
        <v>18</v>
      </c>
      <c r="T29" s="89">
        <f t="shared" si="1"/>
        <v>0</v>
      </c>
      <c r="U29" s="89">
        <f t="shared" si="2"/>
        <v>0</v>
      </c>
      <c r="V29" s="89">
        <f t="shared" si="3"/>
        <v>0</v>
      </c>
      <c r="W29" s="89">
        <f t="shared" si="4"/>
        <v>0</v>
      </c>
      <c r="X29" s="89">
        <f t="shared" si="5"/>
        <v>0</v>
      </c>
      <c r="Y29" s="28"/>
    </row>
    <row r="30" spans="1:25" ht="20.25" customHeight="1">
      <c r="A30" s="88" t="str">
        <f>+IF(BASE!B34="","",BASE!B34)</f>
        <v>23XXR019</v>
      </c>
      <c r="B30" s="121" t="s">
        <v>40</v>
      </c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89"/>
      <c r="R30" s="91">
        <f t="shared" si="0"/>
        <v>0</v>
      </c>
      <c r="S30" s="91">
        <f>BASE!A34</f>
        <v>19</v>
      </c>
      <c r="T30" s="89">
        <f t="shared" si="1"/>
        <v>0</v>
      </c>
      <c r="U30" s="89">
        <f t="shared" si="2"/>
        <v>0</v>
      </c>
      <c r="V30" s="89">
        <f t="shared" si="3"/>
        <v>0</v>
      </c>
      <c r="W30" s="89">
        <f t="shared" si="4"/>
        <v>0</v>
      </c>
      <c r="X30" s="89">
        <f t="shared" si="5"/>
        <v>0</v>
      </c>
      <c r="Y30" s="28"/>
    </row>
    <row r="31" spans="1:25" ht="20.25" customHeight="1">
      <c r="A31" s="88" t="str">
        <f>+IF(BASE!B35="","",BASE!B35)</f>
        <v>23XXR020</v>
      </c>
      <c r="B31" s="121" t="s">
        <v>40</v>
      </c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89"/>
      <c r="R31" s="91">
        <f t="shared" si="0"/>
        <v>0</v>
      </c>
      <c r="S31" s="91">
        <f>BASE!A35</f>
        <v>20</v>
      </c>
      <c r="T31" s="89">
        <f t="shared" si="1"/>
        <v>0</v>
      </c>
      <c r="U31" s="89">
        <f t="shared" si="2"/>
        <v>0</v>
      </c>
      <c r="V31" s="89">
        <f t="shared" si="3"/>
        <v>0</v>
      </c>
      <c r="W31" s="89">
        <f t="shared" si="4"/>
        <v>0</v>
      </c>
      <c r="X31" s="89">
        <f t="shared" si="5"/>
        <v>0</v>
      </c>
      <c r="Y31" s="28"/>
    </row>
    <row r="32" spans="1:25" ht="20.25" customHeight="1">
      <c r="A32" s="88" t="str">
        <f>+IF(BASE!B36="","",BASE!B36)</f>
        <v>23XXR021</v>
      </c>
      <c r="B32" s="121" t="s">
        <v>40</v>
      </c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89"/>
      <c r="R32" s="91">
        <f t="shared" si="0"/>
        <v>0</v>
      </c>
      <c r="S32" s="91">
        <f>BASE!A36</f>
        <v>21</v>
      </c>
      <c r="T32" s="89">
        <f t="shared" si="1"/>
        <v>0</v>
      </c>
      <c r="U32" s="89">
        <f t="shared" si="2"/>
        <v>0</v>
      </c>
      <c r="V32" s="89">
        <f t="shared" si="3"/>
        <v>0</v>
      </c>
      <c r="W32" s="89">
        <f t="shared" si="4"/>
        <v>0</v>
      </c>
      <c r="X32" s="89">
        <f t="shared" si="5"/>
        <v>0</v>
      </c>
      <c r="Y32" s="28"/>
    </row>
    <row r="33" spans="1:25" ht="20.25" customHeight="1">
      <c r="A33" s="88" t="str">
        <f>+IF(BASE!B37="","",BASE!B37)</f>
        <v>23XXR022</v>
      </c>
      <c r="B33" s="121" t="s">
        <v>40</v>
      </c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89"/>
      <c r="R33" s="91">
        <f t="shared" si="0"/>
        <v>0</v>
      </c>
      <c r="S33" s="91">
        <f>BASE!A37</f>
        <v>22</v>
      </c>
      <c r="T33" s="89">
        <f t="shared" si="1"/>
        <v>0</v>
      </c>
      <c r="U33" s="89">
        <f t="shared" si="2"/>
        <v>0</v>
      </c>
      <c r="V33" s="89">
        <f t="shared" si="3"/>
        <v>0</v>
      </c>
      <c r="W33" s="89">
        <f t="shared" si="4"/>
        <v>0</v>
      </c>
      <c r="X33" s="89">
        <f t="shared" si="5"/>
        <v>0</v>
      </c>
      <c r="Y33" s="28"/>
    </row>
    <row r="34" spans="1:25" ht="20.25" customHeight="1">
      <c r="A34" s="88" t="str">
        <f>+IF(BASE!B38="","",BASE!B38)</f>
        <v>23XXR023</v>
      </c>
      <c r="B34" s="121" t="s">
        <v>40</v>
      </c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89"/>
      <c r="R34" s="91">
        <f t="shared" si="0"/>
        <v>0</v>
      </c>
      <c r="S34" s="91">
        <f>BASE!A38</f>
        <v>23</v>
      </c>
      <c r="T34" s="89">
        <f t="shared" si="1"/>
        <v>0</v>
      </c>
      <c r="U34" s="89">
        <f t="shared" si="2"/>
        <v>0</v>
      </c>
      <c r="V34" s="89">
        <f t="shared" si="3"/>
        <v>0</v>
      </c>
      <c r="W34" s="89">
        <f t="shared" si="4"/>
        <v>0</v>
      </c>
      <c r="X34" s="89">
        <f t="shared" si="5"/>
        <v>0</v>
      </c>
      <c r="Y34" s="28"/>
    </row>
    <row r="35" spans="1:25" ht="20.25" customHeight="1">
      <c r="A35" s="88" t="str">
        <f>+IF(BASE!B39="","",BASE!B39)</f>
        <v>23XXR024</v>
      </c>
      <c r="B35" s="121" t="s">
        <v>40</v>
      </c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89"/>
      <c r="R35" s="91">
        <f t="shared" si="0"/>
        <v>0</v>
      </c>
      <c r="S35" s="91">
        <f>BASE!A39</f>
        <v>24</v>
      </c>
      <c r="T35" s="89">
        <f t="shared" si="1"/>
        <v>0</v>
      </c>
      <c r="U35" s="89">
        <f t="shared" si="2"/>
        <v>0</v>
      </c>
      <c r="V35" s="89">
        <f t="shared" si="3"/>
        <v>0</v>
      </c>
      <c r="W35" s="89">
        <f t="shared" si="4"/>
        <v>0</v>
      </c>
      <c r="X35" s="89">
        <f t="shared" si="5"/>
        <v>0</v>
      </c>
      <c r="Y35" s="28"/>
    </row>
    <row r="36" spans="1:25" ht="20.25" customHeight="1">
      <c r="A36" s="88" t="str">
        <f>+IF(BASE!B40="","",BASE!B40)</f>
        <v>23XXR025</v>
      </c>
      <c r="B36" s="121" t="s">
        <v>40</v>
      </c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89"/>
      <c r="R36" s="91">
        <f t="shared" si="0"/>
        <v>0</v>
      </c>
      <c r="S36" s="91">
        <f>BASE!A40</f>
        <v>25</v>
      </c>
      <c r="T36" s="89">
        <f t="shared" si="1"/>
        <v>0</v>
      </c>
      <c r="U36" s="89">
        <f t="shared" si="2"/>
        <v>0</v>
      </c>
      <c r="V36" s="89">
        <f t="shared" si="3"/>
        <v>0</v>
      </c>
      <c r="W36" s="89">
        <f t="shared" si="4"/>
        <v>0</v>
      </c>
      <c r="X36" s="89">
        <f t="shared" si="5"/>
        <v>0</v>
      </c>
      <c r="Y36" s="28"/>
    </row>
    <row r="37" spans="1:25" ht="20.25" customHeight="1">
      <c r="A37" s="88" t="str">
        <f>+IF(BASE!B41="","",BASE!B41)</f>
        <v>23XXR026</v>
      </c>
      <c r="B37" s="121" t="s">
        <v>40</v>
      </c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89"/>
      <c r="R37" s="91">
        <f t="shared" si="0"/>
        <v>0</v>
      </c>
      <c r="S37" s="91">
        <f>BASE!A41</f>
        <v>26</v>
      </c>
      <c r="T37" s="89">
        <f t="shared" si="1"/>
        <v>0</v>
      </c>
      <c r="U37" s="89">
        <f t="shared" si="2"/>
        <v>0</v>
      </c>
      <c r="V37" s="89">
        <f t="shared" si="3"/>
        <v>0</v>
      </c>
      <c r="W37" s="89">
        <f t="shared" si="4"/>
        <v>0</v>
      </c>
      <c r="X37" s="89">
        <f t="shared" si="5"/>
        <v>0</v>
      </c>
      <c r="Y37" s="28"/>
    </row>
    <row r="38" spans="1:25" ht="20.25" customHeight="1">
      <c r="A38" s="88" t="str">
        <f>+IF(BASE!B42="","",BASE!B42)</f>
        <v>23XXR027</v>
      </c>
      <c r="B38" s="121" t="s">
        <v>40</v>
      </c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89"/>
      <c r="R38" s="91">
        <f t="shared" si="0"/>
        <v>0</v>
      </c>
      <c r="S38" s="91">
        <f>BASE!A42</f>
        <v>27</v>
      </c>
      <c r="T38" s="89">
        <f t="shared" si="1"/>
        <v>0</v>
      </c>
      <c r="U38" s="89">
        <f t="shared" si="2"/>
        <v>0</v>
      </c>
      <c r="V38" s="89">
        <f t="shared" si="3"/>
        <v>0</v>
      </c>
      <c r="W38" s="89">
        <f t="shared" si="4"/>
        <v>0</v>
      </c>
      <c r="X38" s="89">
        <f t="shared" si="5"/>
        <v>0</v>
      </c>
      <c r="Y38" s="28"/>
    </row>
    <row r="39" spans="1:25" ht="20.25" customHeight="1">
      <c r="A39" s="88" t="str">
        <f>+IF(BASE!B43="","",BASE!B43)</f>
        <v>23XXR028</v>
      </c>
      <c r="B39" s="121" t="s">
        <v>40</v>
      </c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89"/>
      <c r="R39" s="91">
        <f t="shared" si="0"/>
        <v>0</v>
      </c>
      <c r="S39" s="91">
        <f>BASE!A43</f>
        <v>28</v>
      </c>
      <c r="T39" s="89">
        <f t="shared" si="1"/>
        <v>0</v>
      </c>
      <c r="U39" s="89">
        <f t="shared" si="2"/>
        <v>0</v>
      </c>
      <c r="V39" s="89">
        <f t="shared" si="3"/>
        <v>0</v>
      </c>
      <c r="W39" s="89">
        <f t="shared" si="4"/>
        <v>0</v>
      </c>
      <c r="X39" s="89">
        <f t="shared" si="5"/>
        <v>0</v>
      </c>
      <c r="Y39" s="28"/>
    </row>
    <row r="40" spans="1:25" ht="20.25" customHeight="1">
      <c r="A40" s="88" t="str">
        <f>+IF(BASE!B44="","",BASE!B44)</f>
        <v>23XXR029</v>
      </c>
      <c r="B40" s="121" t="s">
        <v>40</v>
      </c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89"/>
      <c r="R40" s="91">
        <f t="shared" si="0"/>
        <v>0</v>
      </c>
      <c r="S40" s="91">
        <f>BASE!A44</f>
        <v>29</v>
      </c>
      <c r="T40" s="89">
        <f t="shared" si="1"/>
        <v>0</v>
      </c>
      <c r="U40" s="89">
        <f t="shared" si="2"/>
        <v>0</v>
      </c>
      <c r="V40" s="89">
        <f t="shared" si="3"/>
        <v>0</v>
      </c>
      <c r="W40" s="89">
        <f t="shared" si="4"/>
        <v>0</v>
      </c>
      <c r="X40" s="89">
        <f t="shared" si="5"/>
        <v>0</v>
      </c>
      <c r="Y40" s="28"/>
    </row>
    <row r="41" spans="1:25" ht="20.25" customHeight="1">
      <c r="A41" s="88" t="str">
        <f>+IF(BASE!B45="","",BASE!B45)</f>
        <v>23XXR030</v>
      </c>
      <c r="B41" s="121" t="s">
        <v>40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89"/>
      <c r="R41" s="91">
        <f t="shared" si="0"/>
        <v>0</v>
      </c>
      <c r="S41" s="91">
        <f>BASE!A45</f>
        <v>30</v>
      </c>
      <c r="T41" s="89">
        <f t="shared" si="1"/>
        <v>0</v>
      </c>
      <c r="U41" s="89">
        <f t="shared" si="2"/>
        <v>0</v>
      </c>
      <c r="V41" s="89">
        <f t="shared" si="3"/>
        <v>0</v>
      </c>
      <c r="W41" s="89">
        <f t="shared" si="4"/>
        <v>0</v>
      </c>
      <c r="X41" s="89">
        <f t="shared" si="5"/>
        <v>0</v>
      </c>
      <c r="Y41" s="28"/>
    </row>
    <row r="42" spans="1:25" ht="20.25" customHeight="1">
      <c r="A42" s="88" t="str">
        <f>+IF(BASE!B46="","",BASE!B46)</f>
        <v>23XXR031</v>
      </c>
      <c r="B42" s="121" t="s">
        <v>40</v>
      </c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89"/>
      <c r="R42" s="91">
        <f t="shared" si="0"/>
        <v>0</v>
      </c>
      <c r="S42" s="91">
        <f>BASE!A46</f>
        <v>31</v>
      </c>
      <c r="T42" s="89">
        <f t="shared" si="1"/>
        <v>0</v>
      </c>
      <c r="U42" s="89">
        <f t="shared" si="2"/>
        <v>0</v>
      </c>
      <c r="V42" s="89">
        <f t="shared" si="3"/>
        <v>0</v>
      </c>
      <c r="W42" s="89">
        <f t="shared" si="4"/>
        <v>0</v>
      </c>
      <c r="X42" s="89">
        <f t="shared" si="5"/>
        <v>0</v>
      </c>
      <c r="Y42" s="28"/>
    </row>
    <row r="43" spans="1:25" ht="20.25" customHeight="1">
      <c r="A43" s="88" t="str">
        <f>+IF(BASE!B47="","",BASE!B47)</f>
        <v>23XXR032</v>
      </c>
      <c r="B43" s="121" t="s">
        <v>40</v>
      </c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89"/>
      <c r="R43" s="91">
        <f t="shared" si="0"/>
        <v>0</v>
      </c>
      <c r="S43" s="91">
        <f>BASE!A47</f>
        <v>32</v>
      </c>
      <c r="T43" s="89">
        <f t="shared" si="1"/>
        <v>0</v>
      </c>
      <c r="U43" s="89">
        <f t="shared" si="2"/>
        <v>0</v>
      </c>
      <c r="V43" s="89">
        <f t="shared" si="3"/>
        <v>0</v>
      </c>
      <c r="W43" s="89">
        <f t="shared" si="4"/>
        <v>0</v>
      </c>
      <c r="X43" s="89">
        <f t="shared" si="5"/>
        <v>0</v>
      </c>
      <c r="Y43" s="28"/>
    </row>
    <row r="44" spans="1:25" ht="20.25" customHeight="1">
      <c r="A44" s="88" t="str">
        <f>+IF(BASE!B48="","",BASE!B48)</f>
        <v>23XXR033</v>
      </c>
      <c r="B44" s="121" t="s">
        <v>40</v>
      </c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89"/>
      <c r="R44" s="91">
        <f t="shared" si="0"/>
        <v>0</v>
      </c>
      <c r="S44" s="91">
        <f>BASE!A48</f>
        <v>33</v>
      </c>
      <c r="T44" s="89">
        <f t="shared" si="1"/>
        <v>0</v>
      </c>
      <c r="U44" s="89">
        <f t="shared" si="2"/>
        <v>0</v>
      </c>
      <c r="V44" s="89">
        <f t="shared" si="3"/>
        <v>0</v>
      </c>
      <c r="W44" s="89">
        <f t="shared" si="4"/>
        <v>0</v>
      </c>
      <c r="X44" s="89">
        <f t="shared" si="5"/>
        <v>0</v>
      </c>
      <c r="Y44" s="28"/>
    </row>
    <row r="45" spans="1:25" ht="20.25" customHeight="1">
      <c r="A45" s="88" t="str">
        <f>+IF(BASE!B49="","",BASE!B49)</f>
        <v>23XXR034</v>
      </c>
      <c r="B45" s="121" t="s">
        <v>40</v>
      </c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89"/>
      <c r="R45" s="91">
        <f t="shared" si="0"/>
        <v>0</v>
      </c>
      <c r="S45" s="91">
        <f>BASE!A49</f>
        <v>34</v>
      </c>
      <c r="T45" s="89">
        <f t="shared" si="1"/>
        <v>0</v>
      </c>
      <c r="U45" s="89">
        <f t="shared" si="2"/>
        <v>0</v>
      </c>
      <c r="V45" s="89">
        <f t="shared" si="3"/>
        <v>0</v>
      </c>
      <c r="W45" s="89">
        <f t="shared" si="4"/>
        <v>0</v>
      </c>
      <c r="X45" s="89">
        <f t="shared" si="5"/>
        <v>0</v>
      </c>
      <c r="Y45" s="28"/>
    </row>
    <row r="46" spans="1:25" ht="20.25" customHeight="1">
      <c r="A46" s="88" t="str">
        <f>+IF(BASE!B50="","",BASE!B50)</f>
        <v>23XXR035</v>
      </c>
      <c r="B46" s="121" t="s">
        <v>40</v>
      </c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89"/>
      <c r="R46" s="91">
        <f t="shared" si="0"/>
        <v>0</v>
      </c>
      <c r="S46" s="91">
        <f>BASE!A50</f>
        <v>35</v>
      </c>
      <c r="T46" s="89">
        <f t="shared" si="1"/>
        <v>0</v>
      </c>
      <c r="U46" s="89">
        <f t="shared" si="2"/>
        <v>0</v>
      </c>
      <c r="V46" s="89">
        <f t="shared" si="3"/>
        <v>0</v>
      </c>
      <c r="W46" s="89">
        <f t="shared" si="4"/>
        <v>0</v>
      </c>
      <c r="X46" s="89">
        <f t="shared" si="5"/>
        <v>0</v>
      </c>
      <c r="Y46" s="28"/>
    </row>
    <row r="47" spans="1:25" ht="20.25" customHeight="1">
      <c r="A47" s="88" t="str">
        <f>+IF(BASE!B51="","",BASE!B51)</f>
        <v>23XXR036</v>
      </c>
      <c r="B47" s="121" t="s">
        <v>40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89"/>
      <c r="R47" s="91">
        <f t="shared" si="0"/>
        <v>0</v>
      </c>
      <c r="S47" s="91">
        <f>BASE!A51</f>
        <v>36</v>
      </c>
      <c r="T47" s="89">
        <f t="shared" si="1"/>
        <v>0</v>
      </c>
      <c r="U47" s="89">
        <f t="shared" si="2"/>
        <v>0</v>
      </c>
      <c r="V47" s="89">
        <f t="shared" si="3"/>
        <v>0</v>
      </c>
      <c r="W47" s="89">
        <f t="shared" si="4"/>
        <v>0</v>
      </c>
      <c r="X47" s="89">
        <f t="shared" si="5"/>
        <v>0</v>
      </c>
      <c r="Y47" s="28"/>
    </row>
    <row r="48" spans="1:25" ht="20.25" customHeight="1">
      <c r="A48" s="88" t="str">
        <f>+IF(BASE!B52="","",BASE!B52)</f>
        <v>23XXR037</v>
      </c>
      <c r="B48" s="121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89"/>
      <c r="R48" s="91">
        <f t="shared" si="0"/>
        <v>0</v>
      </c>
      <c r="S48" s="91">
        <f>BASE!A52</f>
        <v>37</v>
      </c>
      <c r="T48" s="89">
        <f t="shared" si="1"/>
        <v>0</v>
      </c>
      <c r="U48" s="89">
        <f t="shared" si="2"/>
        <v>0</v>
      </c>
      <c r="V48" s="89">
        <f t="shared" si="3"/>
        <v>0</v>
      </c>
      <c r="W48" s="89">
        <f t="shared" si="4"/>
        <v>0</v>
      </c>
      <c r="X48" s="89">
        <f t="shared" si="5"/>
        <v>0</v>
      </c>
      <c r="Y48" s="28"/>
    </row>
    <row r="49" spans="1:25" ht="20.25" customHeight="1">
      <c r="A49" s="88" t="str">
        <f>+IF(BASE!B53="","",BASE!B53)</f>
        <v>23XXR038</v>
      </c>
      <c r="B49" s="121" t="s">
        <v>40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89"/>
      <c r="R49" s="91">
        <f t="shared" si="0"/>
        <v>0</v>
      </c>
      <c r="S49" s="91">
        <f>BASE!A53</f>
        <v>38</v>
      </c>
      <c r="T49" s="89">
        <f t="shared" si="1"/>
        <v>0</v>
      </c>
      <c r="U49" s="89">
        <f t="shared" si="2"/>
        <v>0</v>
      </c>
      <c r="V49" s="89">
        <f t="shared" si="3"/>
        <v>0</v>
      </c>
      <c r="W49" s="89">
        <f t="shared" si="4"/>
        <v>0</v>
      </c>
      <c r="X49" s="89">
        <f t="shared" si="5"/>
        <v>0</v>
      </c>
      <c r="Y49" s="28"/>
    </row>
    <row r="50" spans="1:25" ht="20.25" customHeight="1">
      <c r="A50" s="88" t="str">
        <f>+IF(BASE!B54="","",BASE!B54)</f>
        <v>23XXR039</v>
      </c>
      <c r="B50" s="121" t="s">
        <v>40</v>
      </c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89"/>
      <c r="R50" s="91">
        <f t="shared" si="0"/>
        <v>0</v>
      </c>
      <c r="S50" s="91">
        <f>BASE!A54</f>
        <v>39</v>
      </c>
      <c r="T50" s="89">
        <f t="shared" si="1"/>
        <v>0</v>
      </c>
      <c r="U50" s="89">
        <f t="shared" si="2"/>
        <v>0</v>
      </c>
      <c r="V50" s="89">
        <f t="shared" si="3"/>
        <v>0</v>
      </c>
      <c r="W50" s="89">
        <f t="shared" si="4"/>
        <v>0</v>
      </c>
      <c r="X50" s="89">
        <f t="shared" si="5"/>
        <v>0</v>
      </c>
      <c r="Y50" s="28"/>
    </row>
    <row r="51" spans="1:25" ht="20.25" customHeight="1">
      <c r="A51" s="88" t="str">
        <f>+IF(BASE!B55="","",BASE!B55)</f>
        <v>23XXR040</v>
      </c>
      <c r="B51" s="121" t="s">
        <v>40</v>
      </c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89"/>
      <c r="R51" s="91">
        <f t="shared" si="0"/>
        <v>0</v>
      </c>
      <c r="S51" s="91">
        <f>BASE!A55</f>
        <v>40</v>
      </c>
      <c r="T51" s="89">
        <f t="shared" si="1"/>
        <v>0</v>
      </c>
      <c r="U51" s="89">
        <f t="shared" si="2"/>
        <v>0</v>
      </c>
      <c r="V51" s="89">
        <f t="shared" si="3"/>
        <v>0</v>
      </c>
      <c r="W51" s="89">
        <f t="shared" si="4"/>
        <v>0</v>
      </c>
      <c r="X51" s="89">
        <f t="shared" si="5"/>
        <v>0</v>
      </c>
      <c r="Y51" s="28"/>
    </row>
    <row r="52" spans="1:25" ht="20.25" customHeight="1">
      <c r="A52" s="88" t="str">
        <f>+IF(BASE!B56="","",BASE!B56)</f>
        <v>23XXR041</v>
      </c>
      <c r="B52" s="121" t="s">
        <v>40</v>
      </c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89"/>
      <c r="R52" s="91">
        <f t="shared" si="0"/>
        <v>0</v>
      </c>
      <c r="S52" s="91">
        <f>BASE!A56</f>
        <v>41</v>
      </c>
      <c r="T52" s="89">
        <f t="shared" si="1"/>
        <v>0</v>
      </c>
      <c r="U52" s="89">
        <f t="shared" si="2"/>
        <v>0</v>
      </c>
      <c r="V52" s="89">
        <f t="shared" si="3"/>
        <v>0</v>
      </c>
      <c r="W52" s="89">
        <f t="shared" si="4"/>
        <v>0</v>
      </c>
      <c r="X52" s="89">
        <f t="shared" si="5"/>
        <v>0</v>
      </c>
      <c r="Y52" s="28"/>
    </row>
    <row r="53" spans="1:25" ht="20.25" customHeight="1">
      <c r="A53" s="88" t="str">
        <f>+IF(BASE!B57="","",BASE!B57)</f>
        <v>23XXR042</v>
      </c>
      <c r="B53" s="121" t="s">
        <v>40</v>
      </c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89"/>
      <c r="R53" s="91">
        <f t="shared" si="0"/>
        <v>0</v>
      </c>
      <c r="S53" s="91">
        <f>BASE!A57</f>
        <v>42</v>
      </c>
      <c r="T53" s="89">
        <f t="shared" si="1"/>
        <v>0</v>
      </c>
      <c r="U53" s="89">
        <f t="shared" si="2"/>
        <v>0</v>
      </c>
      <c r="V53" s="89">
        <f t="shared" si="3"/>
        <v>0</v>
      </c>
      <c r="W53" s="89">
        <f t="shared" si="4"/>
        <v>0</v>
      </c>
      <c r="X53" s="89">
        <f t="shared" si="5"/>
        <v>0</v>
      </c>
      <c r="Y53" s="28"/>
    </row>
    <row r="54" spans="1:25" ht="20.25" customHeight="1">
      <c r="A54" s="88" t="str">
        <f>+IF(BASE!B58="","",BASE!B58)</f>
        <v>23XXR043</v>
      </c>
      <c r="B54" s="121" t="s">
        <v>40</v>
      </c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89"/>
      <c r="R54" s="91">
        <f t="shared" si="0"/>
        <v>0</v>
      </c>
      <c r="S54" s="91">
        <f>BASE!A58</f>
        <v>43</v>
      </c>
      <c r="T54" s="89">
        <f t="shared" si="1"/>
        <v>0</v>
      </c>
      <c r="U54" s="89">
        <f t="shared" si="2"/>
        <v>0</v>
      </c>
      <c r="V54" s="89">
        <f t="shared" si="3"/>
        <v>0</v>
      </c>
      <c r="W54" s="89">
        <f t="shared" si="4"/>
        <v>0</v>
      </c>
      <c r="X54" s="89">
        <f t="shared" si="5"/>
        <v>0</v>
      </c>
      <c r="Y54" s="28"/>
    </row>
    <row r="55" spans="1:25" ht="20.25" customHeight="1">
      <c r="A55" s="88" t="str">
        <f>+IF(BASE!B59="","",BASE!B59)</f>
        <v>23XXR044</v>
      </c>
      <c r="B55" s="121" t="s">
        <v>40</v>
      </c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89"/>
      <c r="R55" s="91">
        <f t="shared" si="0"/>
        <v>0</v>
      </c>
      <c r="S55" s="91">
        <f>BASE!A59</f>
        <v>44</v>
      </c>
      <c r="T55" s="89">
        <f t="shared" si="1"/>
        <v>0</v>
      </c>
      <c r="U55" s="89">
        <f t="shared" si="2"/>
        <v>0</v>
      </c>
      <c r="V55" s="89">
        <f t="shared" si="3"/>
        <v>0</v>
      </c>
      <c r="W55" s="89">
        <f t="shared" si="4"/>
        <v>0</v>
      </c>
      <c r="X55" s="89">
        <f t="shared" si="5"/>
        <v>0</v>
      </c>
      <c r="Y55" s="28"/>
    </row>
    <row r="56" spans="1:25" ht="20.25" customHeight="1">
      <c r="A56" s="88" t="str">
        <f>+IF(BASE!B60="","",BASE!B60)</f>
        <v>23XXR045</v>
      </c>
      <c r="B56" s="121" t="s">
        <v>40</v>
      </c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89"/>
      <c r="R56" s="91">
        <f t="shared" si="0"/>
        <v>0</v>
      </c>
      <c r="S56" s="91">
        <f>BASE!A60</f>
        <v>45</v>
      </c>
      <c r="T56" s="89">
        <f t="shared" si="1"/>
        <v>0</v>
      </c>
      <c r="U56" s="89">
        <f t="shared" si="2"/>
        <v>0</v>
      </c>
      <c r="V56" s="89">
        <f t="shared" si="3"/>
        <v>0</v>
      </c>
      <c r="W56" s="89">
        <f t="shared" si="4"/>
        <v>0</v>
      </c>
      <c r="X56" s="89">
        <f t="shared" si="5"/>
        <v>0</v>
      </c>
      <c r="Y56" s="28"/>
    </row>
    <row r="57" spans="1:25" ht="20.25" customHeight="1">
      <c r="A57" s="88" t="str">
        <f>+IF(BASE!B61="","",BASE!B61)</f>
        <v>23XXR046</v>
      </c>
      <c r="B57" s="121" t="s">
        <v>40</v>
      </c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89"/>
      <c r="R57" s="91">
        <f t="shared" si="0"/>
        <v>0</v>
      </c>
      <c r="S57" s="91">
        <f>BASE!A61</f>
        <v>46</v>
      </c>
      <c r="T57" s="89">
        <f t="shared" si="1"/>
        <v>0</v>
      </c>
      <c r="U57" s="89">
        <f t="shared" si="2"/>
        <v>0</v>
      </c>
      <c r="V57" s="89">
        <f t="shared" si="3"/>
        <v>0</v>
      </c>
      <c r="W57" s="89">
        <f t="shared" si="4"/>
        <v>0</v>
      </c>
      <c r="X57" s="89">
        <f t="shared" si="5"/>
        <v>0</v>
      </c>
      <c r="Y57" s="28"/>
    </row>
    <row r="58" spans="1:25" ht="20.25" customHeight="1">
      <c r="A58" s="88" t="str">
        <f>+IF(BASE!B62="","",BASE!B62)</f>
        <v>23XXR047</v>
      </c>
      <c r="B58" s="121" t="s">
        <v>40</v>
      </c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89"/>
      <c r="R58" s="91">
        <f t="shared" si="0"/>
        <v>0</v>
      </c>
      <c r="S58" s="91">
        <f>BASE!A62</f>
        <v>47</v>
      </c>
      <c r="T58" s="89">
        <f t="shared" si="1"/>
        <v>0</v>
      </c>
      <c r="U58" s="89">
        <f t="shared" si="2"/>
        <v>0</v>
      </c>
      <c r="V58" s="89">
        <f t="shared" si="3"/>
        <v>0</v>
      </c>
      <c r="W58" s="89">
        <f t="shared" si="4"/>
        <v>0</v>
      </c>
      <c r="X58" s="89">
        <f t="shared" si="5"/>
        <v>0</v>
      </c>
      <c r="Y58" s="28"/>
    </row>
    <row r="59" spans="1:25" ht="20.25" customHeight="1">
      <c r="A59" s="88" t="str">
        <f>+IF(BASE!B63="","",BASE!B63)</f>
        <v>23XXR048</v>
      </c>
      <c r="B59" s="121" t="s">
        <v>40</v>
      </c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89"/>
      <c r="R59" s="91">
        <f t="shared" si="0"/>
        <v>0</v>
      </c>
      <c r="S59" s="91">
        <f>BASE!A63</f>
        <v>48</v>
      </c>
      <c r="T59" s="89">
        <f t="shared" si="1"/>
        <v>0</v>
      </c>
      <c r="U59" s="89">
        <f t="shared" si="2"/>
        <v>0</v>
      </c>
      <c r="V59" s="89">
        <f t="shared" si="3"/>
        <v>0</v>
      </c>
      <c r="W59" s="89">
        <f t="shared" si="4"/>
        <v>0</v>
      </c>
      <c r="X59" s="89">
        <f t="shared" si="5"/>
        <v>0</v>
      </c>
      <c r="Y59" s="28"/>
    </row>
    <row r="60" spans="1:25" ht="20.25" customHeight="1">
      <c r="A60" s="88" t="str">
        <f>+IF(BASE!B64="","",BASE!B64)</f>
        <v>23XXR049</v>
      </c>
      <c r="B60" s="121" t="s">
        <v>40</v>
      </c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89"/>
      <c r="R60" s="91">
        <f t="shared" si="0"/>
        <v>0</v>
      </c>
      <c r="S60" s="91">
        <f>BASE!A64</f>
        <v>49</v>
      </c>
      <c r="T60" s="89">
        <f t="shared" si="1"/>
        <v>0</v>
      </c>
      <c r="U60" s="89">
        <f t="shared" si="2"/>
        <v>0</v>
      </c>
      <c r="V60" s="89">
        <f t="shared" si="3"/>
        <v>0</v>
      </c>
      <c r="W60" s="89">
        <f t="shared" si="4"/>
        <v>0</v>
      </c>
      <c r="X60" s="89">
        <f t="shared" si="5"/>
        <v>0</v>
      </c>
      <c r="Y60" s="28"/>
    </row>
    <row r="61" spans="1:25" ht="20.25" customHeight="1">
      <c r="A61" s="88" t="str">
        <f>+IF(BASE!B65="","",BASE!B65)</f>
        <v>23XXR050</v>
      </c>
      <c r="B61" s="121" t="s">
        <v>40</v>
      </c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89"/>
      <c r="R61" s="91">
        <f t="shared" si="0"/>
        <v>0</v>
      </c>
      <c r="S61" s="91">
        <f>BASE!A65</f>
        <v>50</v>
      </c>
      <c r="T61" s="89">
        <f t="shared" si="1"/>
        <v>0</v>
      </c>
      <c r="U61" s="89">
        <f t="shared" si="2"/>
        <v>0</v>
      </c>
      <c r="V61" s="89">
        <f t="shared" si="3"/>
        <v>0</v>
      </c>
      <c r="W61" s="89">
        <f t="shared" si="4"/>
        <v>0</v>
      </c>
      <c r="X61" s="89">
        <f t="shared" si="5"/>
        <v>0</v>
      </c>
      <c r="Y61" s="28"/>
    </row>
    <row r="62" spans="1:25" ht="20.25" customHeight="1">
      <c r="A62" s="88" t="str">
        <f>+IF(BASE!B66="","",BASE!B66)</f>
        <v>23XXR051</v>
      </c>
      <c r="B62" s="121" t="s">
        <v>40</v>
      </c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89"/>
      <c r="R62" s="91">
        <f t="shared" si="0"/>
        <v>0</v>
      </c>
      <c r="S62" s="91">
        <f>BASE!A66</f>
        <v>51</v>
      </c>
      <c r="T62" s="89">
        <f t="shared" si="1"/>
        <v>0</v>
      </c>
      <c r="U62" s="89">
        <f t="shared" si="2"/>
        <v>0</v>
      </c>
      <c r="V62" s="89">
        <f t="shared" si="3"/>
        <v>0</v>
      </c>
      <c r="W62" s="89">
        <f t="shared" si="4"/>
        <v>0</v>
      </c>
      <c r="X62" s="89">
        <f t="shared" si="5"/>
        <v>0</v>
      </c>
      <c r="Y62" s="28"/>
    </row>
    <row r="63" spans="1:25" ht="20.25" customHeight="1">
      <c r="A63" s="88" t="str">
        <f>+IF(BASE!B67="","",BASE!B67)</f>
        <v>23XXR052</v>
      </c>
      <c r="B63" s="121" t="s">
        <v>40</v>
      </c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89"/>
      <c r="R63" s="91">
        <f t="shared" si="0"/>
        <v>0</v>
      </c>
      <c r="S63" s="91">
        <f>BASE!A67</f>
        <v>52</v>
      </c>
      <c r="T63" s="89">
        <f t="shared" si="1"/>
        <v>0</v>
      </c>
      <c r="U63" s="89">
        <f t="shared" si="2"/>
        <v>0</v>
      </c>
      <c r="V63" s="89">
        <f t="shared" si="3"/>
        <v>0</v>
      </c>
      <c r="W63" s="89">
        <f t="shared" si="4"/>
        <v>0</v>
      </c>
      <c r="X63" s="89">
        <f t="shared" si="5"/>
        <v>0</v>
      </c>
      <c r="Y63" s="28"/>
    </row>
    <row r="64" spans="1:25" ht="20.25" customHeight="1">
      <c r="A64" s="88" t="str">
        <f>+IF(BASE!B68="","",BASE!B68)</f>
        <v>23XXR053</v>
      </c>
      <c r="B64" s="121" t="s">
        <v>40</v>
      </c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89"/>
      <c r="R64" s="91">
        <f t="shared" si="0"/>
        <v>0</v>
      </c>
      <c r="S64" s="91">
        <f>BASE!A68</f>
        <v>53</v>
      </c>
      <c r="T64" s="89">
        <f t="shared" si="1"/>
        <v>0</v>
      </c>
      <c r="U64" s="89">
        <f t="shared" si="2"/>
        <v>0</v>
      </c>
      <c r="V64" s="89">
        <f t="shared" si="3"/>
        <v>0</v>
      </c>
      <c r="W64" s="89">
        <f t="shared" si="4"/>
        <v>0</v>
      </c>
      <c r="X64" s="89">
        <f t="shared" si="5"/>
        <v>0</v>
      </c>
      <c r="Y64" s="28"/>
    </row>
    <row r="65" spans="1:25" ht="20.25" customHeight="1">
      <c r="A65" s="88" t="str">
        <f>+IF(BASE!B69="","",BASE!B69)</f>
        <v>23XXR054</v>
      </c>
      <c r="B65" s="121" t="s">
        <v>40</v>
      </c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89"/>
      <c r="R65" s="91">
        <f t="shared" si="0"/>
        <v>0</v>
      </c>
      <c r="S65" s="91">
        <f>BASE!A69</f>
        <v>54</v>
      </c>
      <c r="T65" s="89">
        <f t="shared" si="1"/>
        <v>0</v>
      </c>
      <c r="U65" s="89">
        <f t="shared" si="2"/>
        <v>0</v>
      </c>
      <c r="V65" s="89">
        <f t="shared" si="3"/>
        <v>0</v>
      </c>
      <c r="W65" s="89">
        <f t="shared" si="4"/>
        <v>0</v>
      </c>
      <c r="X65" s="89">
        <f t="shared" si="5"/>
        <v>0</v>
      </c>
      <c r="Y65" s="28"/>
    </row>
    <row r="66" spans="1:25" ht="20.25" customHeight="1">
      <c r="A66" s="88" t="str">
        <f>+IF(BASE!B70="","",BASE!B70)</f>
        <v>23XXR055</v>
      </c>
      <c r="B66" s="121" t="s">
        <v>40</v>
      </c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89"/>
      <c r="R66" s="91">
        <f t="shared" si="0"/>
        <v>0</v>
      </c>
      <c r="S66" s="91">
        <f>BASE!A70</f>
        <v>55</v>
      </c>
      <c r="T66" s="89">
        <f t="shared" si="1"/>
        <v>0</v>
      </c>
      <c r="U66" s="89">
        <f t="shared" si="2"/>
        <v>0</v>
      </c>
      <c r="V66" s="89">
        <f t="shared" si="3"/>
        <v>0</v>
      </c>
      <c r="W66" s="89">
        <f t="shared" si="4"/>
        <v>0</v>
      </c>
      <c r="X66" s="89">
        <f t="shared" si="5"/>
        <v>0</v>
      </c>
      <c r="Y66" s="28"/>
    </row>
    <row r="67" spans="1:25" ht="20.25" customHeight="1">
      <c r="A67" s="88" t="str">
        <f>+IF(BASE!B71="","",BASE!B71)</f>
        <v>23XXR056</v>
      </c>
      <c r="B67" s="121" t="s">
        <v>40</v>
      </c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89"/>
      <c r="R67" s="91">
        <f t="shared" si="0"/>
        <v>0</v>
      </c>
      <c r="S67" s="91">
        <f>BASE!A71</f>
        <v>56</v>
      </c>
      <c r="T67" s="89">
        <f t="shared" si="1"/>
        <v>0</v>
      </c>
      <c r="U67" s="89">
        <f t="shared" si="2"/>
        <v>0</v>
      </c>
      <c r="V67" s="89">
        <f t="shared" si="3"/>
        <v>0</v>
      </c>
      <c r="W67" s="89">
        <f t="shared" si="4"/>
        <v>0</v>
      </c>
      <c r="X67" s="89">
        <f t="shared" si="5"/>
        <v>0</v>
      </c>
      <c r="Y67" s="28"/>
    </row>
    <row r="68" spans="1:25" ht="20.25" customHeight="1">
      <c r="A68" s="88" t="str">
        <f>+IF(BASE!B72="","",BASE!B72)</f>
        <v>23XXR057</v>
      </c>
      <c r="B68" s="121" t="s">
        <v>40</v>
      </c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89"/>
      <c r="R68" s="91">
        <f t="shared" si="0"/>
        <v>0</v>
      </c>
      <c r="S68" s="91">
        <f>BASE!A72</f>
        <v>57</v>
      </c>
      <c r="T68" s="89">
        <f t="shared" si="1"/>
        <v>0</v>
      </c>
      <c r="U68" s="89">
        <f t="shared" si="2"/>
        <v>0</v>
      </c>
      <c r="V68" s="89">
        <f t="shared" si="3"/>
        <v>0</v>
      </c>
      <c r="W68" s="89">
        <f t="shared" si="4"/>
        <v>0</v>
      </c>
      <c r="X68" s="89">
        <f t="shared" si="5"/>
        <v>0</v>
      </c>
      <c r="Y68" s="28"/>
    </row>
    <row r="69" spans="1:25" ht="20.25" customHeight="1">
      <c r="A69" s="88" t="str">
        <f>+IF(BASE!B73="","",BASE!B73)</f>
        <v>23XXR058</v>
      </c>
      <c r="B69" s="121" t="s">
        <v>40</v>
      </c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89"/>
      <c r="R69" s="91">
        <f t="shared" si="0"/>
        <v>0</v>
      </c>
      <c r="S69" s="91">
        <f>BASE!A73</f>
        <v>58</v>
      </c>
      <c r="T69" s="89">
        <f t="shared" si="1"/>
        <v>0</v>
      </c>
      <c r="U69" s="89">
        <f t="shared" si="2"/>
        <v>0</v>
      </c>
      <c r="V69" s="89">
        <f t="shared" si="3"/>
        <v>0</v>
      </c>
      <c r="W69" s="89">
        <f t="shared" si="4"/>
        <v>0</v>
      </c>
      <c r="X69" s="89">
        <f t="shared" si="5"/>
        <v>0</v>
      </c>
      <c r="Y69" s="28"/>
    </row>
    <row r="70" spans="1:25" ht="20.25" customHeight="1">
      <c r="A70" s="88" t="str">
        <f>+IF(BASE!B74="","",BASE!B74)</f>
        <v>23XXR059</v>
      </c>
      <c r="B70" s="121" t="s">
        <v>40</v>
      </c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89"/>
      <c r="R70" s="91">
        <f t="shared" si="0"/>
        <v>0</v>
      </c>
      <c r="S70" s="91">
        <f>BASE!A74</f>
        <v>59</v>
      </c>
      <c r="T70" s="89">
        <f t="shared" si="1"/>
        <v>0</v>
      </c>
      <c r="U70" s="89">
        <f t="shared" si="2"/>
        <v>0</v>
      </c>
      <c r="V70" s="89">
        <f t="shared" si="3"/>
        <v>0</v>
      </c>
      <c r="W70" s="89">
        <f t="shared" si="4"/>
        <v>0</v>
      </c>
      <c r="X70" s="89">
        <f t="shared" si="5"/>
        <v>0</v>
      </c>
      <c r="Y70" s="28"/>
    </row>
    <row r="71" spans="1:25" ht="20.25" customHeight="1">
      <c r="A71" s="88" t="str">
        <f>+IF(BASE!B75="","",BASE!B75)</f>
        <v>23XXR060</v>
      </c>
      <c r="B71" s="121" t="s">
        <v>40</v>
      </c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89"/>
      <c r="R71" s="91">
        <f t="shared" si="0"/>
        <v>0</v>
      </c>
      <c r="S71" s="91">
        <f>BASE!A75</f>
        <v>60</v>
      </c>
      <c r="T71" s="89">
        <f t="shared" si="1"/>
        <v>0</v>
      </c>
      <c r="U71" s="89">
        <f t="shared" si="2"/>
        <v>0</v>
      </c>
      <c r="V71" s="89">
        <f t="shared" si="3"/>
        <v>0</v>
      </c>
      <c r="W71" s="89">
        <f t="shared" si="4"/>
        <v>0</v>
      </c>
      <c r="X71" s="89">
        <f t="shared" si="5"/>
        <v>0</v>
      </c>
      <c r="Y71" s="28"/>
    </row>
    <row r="72" spans="1:25" ht="20.25" customHeight="1">
      <c r="A72" s="88" t="str">
        <f>+IF(BASE!B76="","",BASE!B76)</f>
        <v>23XXR061</v>
      </c>
      <c r="B72" s="121" t="s">
        <v>40</v>
      </c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89"/>
      <c r="R72" s="91">
        <f t="shared" si="0"/>
        <v>0</v>
      </c>
      <c r="S72" s="91">
        <f>BASE!A76</f>
        <v>61</v>
      </c>
      <c r="T72" s="89">
        <f t="shared" si="1"/>
        <v>0</v>
      </c>
      <c r="U72" s="89">
        <f t="shared" si="2"/>
        <v>0</v>
      </c>
      <c r="V72" s="89">
        <f t="shared" si="3"/>
        <v>0</v>
      </c>
      <c r="W72" s="89">
        <f t="shared" si="4"/>
        <v>0</v>
      </c>
      <c r="X72" s="89">
        <f t="shared" si="5"/>
        <v>0</v>
      </c>
      <c r="Y72" s="28"/>
    </row>
    <row r="73" spans="1:25" ht="20.25" customHeight="1">
      <c r="A73" s="88" t="str">
        <f>+IF(BASE!B77="","",BASE!B77)</f>
        <v>23XXR062</v>
      </c>
      <c r="B73" s="121" t="s">
        <v>40</v>
      </c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89"/>
      <c r="R73" s="91">
        <f t="shared" si="0"/>
        <v>0</v>
      </c>
      <c r="S73" s="91">
        <f>BASE!A77</f>
        <v>62</v>
      </c>
      <c r="T73" s="89">
        <f t="shared" si="1"/>
        <v>0</v>
      </c>
      <c r="U73" s="89">
        <f t="shared" si="2"/>
        <v>0</v>
      </c>
      <c r="V73" s="89">
        <f t="shared" si="3"/>
        <v>0</v>
      </c>
      <c r="W73" s="89">
        <f t="shared" si="4"/>
        <v>0</v>
      </c>
      <c r="X73" s="89">
        <f t="shared" si="5"/>
        <v>0</v>
      </c>
      <c r="Y73" s="28"/>
    </row>
    <row r="74" spans="1:25" ht="20.25" customHeight="1">
      <c r="A74" s="88" t="str">
        <f>+IF(BASE!B78="","",BASE!B78)</f>
        <v>23XXR063</v>
      </c>
      <c r="B74" s="121" t="s">
        <v>40</v>
      </c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89"/>
      <c r="R74" s="91">
        <f t="shared" si="0"/>
        <v>0</v>
      </c>
      <c r="S74" s="91">
        <f>BASE!A78</f>
        <v>63</v>
      </c>
      <c r="T74" s="89">
        <f t="shared" si="1"/>
        <v>0</v>
      </c>
      <c r="U74" s="89">
        <f t="shared" si="2"/>
        <v>0</v>
      </c>
      <c r="V74" s="89">
        <f t="shared" si="3"/>
        <v>0</v>
      </c>
      <c r="W74" s="89">
        <f t="shared" si="4"/>
        <v>0</v>
      </c>
      <c r="X74" s="89">
        <f t="shared" si="5"/>
        <v>0</v>
      </c>
      <c r="Y74" s="28"/>
    </row>
    <row r="75" spans="1:25" ht="20.25" customHeight="1">
      <c r="A75" s="88" t="str">
        <f>+IF(BASE!B79="","",BASE!B79)</f>
        <v>23XXR064</v>
      </c>
      <c r="B75" s="121" t="s">
        <v>40</v>
      </c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89"/>
      <c r="R75" s="91">
        <f t="shared" si="0"/>
        <v>0</v>
      </c>
      <c r="S75" s="91">
        <f>BASE!A79</f>
        <v>64</v>
      </c>
      <c r="T75" s="89">
        <f t="shared" si="1"/>
        <v>0</v>
      </c>
      <c r="U75" s="89">
        <f t="shared" si="2"/>
        <v>0</v>
      </c>
      <c r="V75" s="89">
        <f t="shared" si="3"/>
        <v>0</v>
      </c>
      <c r="W75" s="89">
        <f t="shared" si="4"/>
        <v>0</v>
      </c>
      <c r="X75" s="89">
        <f t="shared" si="5"/>
        <v>0</v>
      </c>
      <c r="Y75" s="28"/>
    </row>
    <row r="76" spans="1:25" ht="20.25" customHeight="1">
      <c r="A76" s="88" t="str">
        <f>+IF(BASE!B80="","",BASE!B80)</f>
        <v>23XXR065</v>
      </c>
      <c r="B76" s="121" t="s">
        <v>40</v>
      </c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89"/>
      <c r="R76" s="91">
        <f t="shared" si="0"/>
        <v>0</v>
      </c>
      <c r="S76" s="91">
        <f>BASE!A80</f>
        <v>65</v>
      </c>
      <c r="T76" s="89">
        <f t="shared" si="1"/>
        <v>0</v>
      </c>
      <c r="U76" s="89">
        <f t="shared" si="2"/>
        <v>0</v>
      </c>
      <c r="V76" s="89">
        <f t="shared" si="3"/>
        <v>0</v>
      </c>
      <c r="W76" s="89">
        <f t="shared" si="4"/>
        <v>0</v>
      </c>
      <c r="X76" s="89">
        <f t="shared" si="5"/>
        <v>0</v>
      </c>
      <c r="Y76" s="28"/>
    </row>
    <row r="77" spans="1:25" ht="20.25" customHeight="1">
      <c r="A77" s="88" t="str">
        <f>+IF(BASE!B81="","",BASE!B81)</f>
        <v>23XXR066</v>
      </c>
      <c r="B77" s="121" t="s">
        <v>40</v>
      </c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89"/>
      <c r="R77" s="91">
        <f t="shared" si="0"/>
        <v>0</v>
      </c>
      <c r="S77" s="91">
        <f>BASE!A81</f>
        <v>66</v>
      </c>
      <c r="T77" s="89">
        <f t="shared" si="1"/>
        <v>0</v>
      </c>
      <c r="U77" s="89">
        <f t="shared" si="2"/>
        <v>0</v>
      </c>
      <c r="V77" s="89">
        <f t="shared" si="3"/>
        <v>0</v>
      </c>
      <c r="W77" s="89">
        <f t="shared" si="4"/>
        <v>0</v>
      </c>
      <c r="X77" s="89">
        <f t="shared" si="5"/>
        <v>0</v>
      </c>
      <c r="Y77" s="28"/>
    </row>
    <row r="78" spans="1:25" ht="20.25" customHeight="1">
      <c r="A78" s="88" t="str">
        <f>+IF(BASE!B82="","",BASE!B82)</f>
        <v>23XXR067</v>
      </c>
      <c r="B78" s="121" t="s">
        <v>40</v>
      </c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89"/>
      <c r="R78" s="91">
        <f t="shared" si="0"/>
        <v>0</v>
      </c>
      <c r="S78" s="91">
        <f>BASE!A82</f>
        <v>67</v>
      </c>
      <c r="T78" s="89">
        <f t="shared" si="1"/>
        <v>0</v>
      </c>
      <c r="U78" s="89">
        <f t="shared" si="2"/>
        <v>0</v>
      </c>
      <c r="V78" s="89">
        <f t="shared" si="3"/>
        <v>0</v>
      </c>
      <c r="W78" s="89">
        <f t="shared" si="4"/>
        <v>0</v>
      </c>
      <c r="X78" s="89">
        <f t="shared" si="5"/>
        <v>0</v>
      </c>
      <c r="Y78" s="28"/>
    </row>
    <row r="79" spans="1:25" ht="20.25" customHeight="1">
      <c r="A79" s="88" t="str">
        <f>+IF(BASE!B83="","",BASE!B83)</f>
        <v>23XXR068</v>
      </c>
      <c r="B79" s="121" t="s">
        <v>40</v>
      </c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89"/>
      <c r="R79" s="91">
        <f t="shared" si="0"/>
        <v>0</v>
      </c>
      <c r="S79" s="91">
        <f>BASE!A83</f>
        <v>68</v>
      </c>
      <c r="T79" s="89">
        <f t="shared" si="1"/>
        <v>0</v>
      </c>
      <c r="U79" s="89">
        <f t="shared" si="2"/>
        <v>0</v>
      </c>
      <c r="V79" s="89">
        <f t="shared" si="3"/>
        <v>0</v>
      </c>
      <c r="W79" s="89">
        <f t="shared" si="4"/>
        <v>0</v>
      </c>
      <c r="X79" s="89">
        <f t="shared" si="5"/>
        <v>0</v>
      </c>
      <c r="Y79" s="28"/>
    </row>
    <row r="80" spans="1:25" ht="20.25" customHeight="1">
      <c r="A80" s="88" t="str">
        <f>+IF(BASE!B84="","",BASE!B84)</f>
        <v>23XXR069</v>
      </c>
      <c r="B80" s="121" t="s">
        <v>40</v>
      </c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89"/>
      <c r="R80" s="91">
        <f t="shared" si="0"/>
        <v>0</v>
      </c>
      <c r="S80" s="91">
        <f>BASE!A84</f>
        <v>69</v>
      </c>
      <c r="T80" s="89">
        <f t="shared" si="1"/>
        <v>0</v>
      </c>
      <c r="U80" s="89">
        <f t="shared" si="2"/>
        <v>0</v>
      </c>
      <c r="V80" s="89">
        <f t="shared" si="3"/>
        <v>0</v>
      </c>
      <c r="W80" s="89">
        <f t="shared" si="4"/>
        <v>0</v>
      </c>
      <c r="X80" s="89">
        <f t="shared" si="5"/>
        <v>0</v>
      </c>
      <c r="Y80" s="28"/>
    </row>
    <row r="81" spans="1:25" ht="20.25" customHeight="1">
      <c r="A81" s="88" t="str">
        <f>+IF(BASE!B85="","",BASE!B85)</f>
        <v>23XXR070</v>
      </c>
      <c r="B81" s="121" t="s">
        <v>40</v>
      </c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89"/>
      <c r="R81" s="91">
        <f t="shared" si="0"/>
        <v>0</v>
      </c>
      <c r="S81" s="91">
        <f>BASE!A85</f>
        <v>70</v>
      </c>
      <c r="T81" s="89">
        <f t="shared" si="1"/>
        <v>0</v>
      </c>
      <c r="U81" s="89">
        <f t="shared" si="2"/>
        <v>0</v>
      </c>
      <c r="V81" s="89">
        <f t="shared" si="3"/>
        <v>0</v>
      </c>
      <c r="W81" s="89">
        <f t="shared" si="4"/>
        <v>0</v>
      </c>
      <c r="X81" s="89">
        <f t="shared" si="5"/>
        <v>0</v>
      </c>
      <c r="Y81" s="28"/>
    </row>
    <row r="82" spans="1:25" ht="20.25" customHeight="1">
      <c r="A82" s="88" t="str">
        <f>+IF(BASE!B86="","",BASE!B86)</f>
        <v>23XXR071</v>
      </c>
      <c r="B82" s="121" t="s">
        <v>40</v>
      </c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89"/>
      <c r="R82" s="91">
        <f t="shared" si="0"/>
        <v>0</v>
      </c>
      <c r="S82" s="91">
        <f>BASE!A86</f>
        <v>71</v>
      </c>
      <c r="T82" s="89">
        <f t="shared" si="1"/>
        <v>0</v>
      </c>
      <c r="U82" s="89">
        <f t="shared" si="2"/>
        <v>0</v>
      </c>
      <c r="V82" s="89">
        <f t="shared" si="3"/>
        <v>0</v>
      </c>
      <c r="W82" s="89">
        <f t="shared" si="4"/>
        <v>0</v>
      </c>
      <c r="X82" s="89">
        <f t="shared" si="5"/>
        <v>0</v>
      </c>
      <c r="Y82" s="28"/>
    </row>
    <row r="83" spans="1:25" ht="20.25" customHeight="1">
      <c r="A83" s="88" t="str">
        <f>+IF(BASE!B87="","",BASE!B87)</f>
        <v>23XXR072</v>
      </c>
      <c r="B83" s="121" t="s">
        <v>40</v>
      </c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89"/>
      <c r="R83" s="91">
        <f t="shared" si="0"/>
        <v>0</v>
      </c>
      <c r="S83" s="91">
        <f>BASE!A87</f>
        <v>72</v>
      </c>
      <c r="T83" s="89">
        <f t="shared" si="1"/>
        <v>0</v>
      </c>
      <c r="U83" s="89">
        <f t="shared" si="2"/>
        <v>0</v>
      </c>
      <c r="V83" s="89">
        <f t="shared" si="3"/>
        <v>0</v>
      </c>
      <c r="W83" s="89">
        <f t="shared" si="4"/>
        <v>0</v>
      </c>
      <c r="X83" s="89">
        <f t="shared" si="5"/>
        <v>0</v>
      </c>
      <c r="Y83" s="28"/>
    </row>
    <row r="84" spans="1:25" ht="20.25" customHeight="1">
      <c r="A84" s="88" t="str">
        <f>+IF(BASE!B88="","",BASE!B88)</f>
        <v>23XXR073</v>
      </c>
      <c r="B84" s="121" t="s">
        <v>40</v>
      </c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89"/>
      <c r="R84" s="91">
        <f t="shared" si="0"/>
        <v>0</v>
      </c>
      <c r="S84" s="91">
        <f>BASE!A88</f>
        <v>73</v>
      </c>
      <c r="T84" s="89">
        <f t="shared" si="1"/>
        <v>0</v>
      </c>
      <c r="U84" s="89">
        <f t="shared" si="2"/>
        <v>0</v>
      </c>
      <c r="V84" s="89">
        <f t="shared" si="3"/>
        <v>0</v>
      </c>
      <c r="W84" s="89">
        <f t="shared" si="4"/>
        <v>0</v>
      </c>
      <c r="X84" s="89">
        <f t="shared" si="5"/>
        <v>0</v>
      </c>
      <c r="Y84" s="28"/>
    </row>
    <row r="85" spans="1:25" ht="20.25" customHeight="1">
      <c r="A85" s="88" t="str">
        <f>+IF(BASE!B89="","",BASE!B89)</f>
        <v>23XXR074</v>
      </c>
      <c r="B85" s="121" t="s">
        <v>40</v>
      </c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89"/>
      <c r="R85" s="91">
        <f t="shared" si="0"/>
        <v>0</v>
      </c>
      <c r="S85" s="91">
        <f>BASE!A89</f>
        <v>74</v>
      </c>
      <c r="T85" s="89">
        <f t="shared" si="1"/>
        <v>0</v>
      </c>
      <c r="U85" s="89">
        <f t="shared" si="2"/>
        <v>0</v>
      </c>
      <c r="V85" s="89">
        <f t="shared" si="3"/>
        <v>0</v>
      </c>
      <c r="W85" s="89">
        <f t="shared" si="4"/>
        <v>0</v>
      </c>
      <c r="X85" s="89">
        <f t="shared" si="5"/>
        <v>0</v>
      </c>
      <c r="Y85" s="28"/>
    </row>
    <row r="86" spans="1:25" ht="20.25" customHeight="1">
      <c r="A86" s="88" t="str">
        <f>+IF(BASE!B90="","",BASE!B90)</f>
        <v>23XXR075</v>
      </c>
      <c r="B86" s="121" t="s">
        <v>40</v>
      </c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89"/>
      <c r="R86" s="91">
        <f t="shared" si="0"/>
        <v>0</v>
      </c>
      <c r="S86" s="91">
        <f>BASE!A90</f>
        <v>75</v>
      </c>
      <c r="T86" s="89">
        <f t="shared" si="1"/>
        <v>0</v>
      </c>
      <c r="U86" s="89">
        <f t="shared" si="2"/>
        <v>0</v>
      </c>
      <c r="V86" s="89">
        <f t="shared" si="3"/>
        <v>0</v>
      </c>
      <c r="W86" s="89">
        <f t="shared" si="4"/>
        <v>0</v>
      </c>
      <c r="X86" s="89">
        <f t="shared" si="5"/>
        <v>0</v>
      </c>
      <c r="Y86" s="28"/>
    </row>
    <row r="87" spans="1:25" ht="20.25" customHeight="1">
      <c r="A87" s="88" t="str">
        <f>+IF(BASE!B91="","",BASE!B91)</f>
        <v>23XXR076</v>
      </c>
      <c r="B87" s="121" t="s">
        <v>40</v>
      </c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89"/>
      <c r="R87" s="91">
        <f t="shared" si="0"/>
        <v>0</v>
      </c>
      <c r="S87" s="91">
        <f>BASE!A91</f>
        <v>76</v>
      </c>
      <c r="T87" s="89">
        <f t="shared" si="1"/>
        <v>0</v>
      </c>
      <c r="U87" s="89">
        <f t="shared" si="2"/>
        <v>0</v>
      </c>
      <c r="V87" s="89">
        <f t="shared" si="3"/>
        <v>0</v>
      </c>
      <c r="W87" s="89">
        <f t="shared" si="4"/>
        <v>0</v>
      </c>
      <c r="X87" s="89">
        <f t="shared" si="5"/>
        <v>0</v>
      </c>
      <c r="Y87" s="28"/>
    </row>
    <row r="88" spans="1:25" ht="20.25" customHeight="1">
      <c r="A88" s="88" t="str">
        <f>+IF(BASE!B92="","",BASE!B92)</f>
        <v>23XXR077</v>
      </c>
      <c r="B88" s="121" t="s">
        <v>40</v>
      </c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89"/>
      <c r="R88" s="91">
        <f t="shared" si="0"/>
        <v>0</v>
      </c>
      <c r="S88" s="91">
        <f>BASE!A92</f>
        <v>77</v>
      </c>
      <c r="T88" s="89">
        <f t="shared" si="1"/>
        <v>0</v>
      </c>
      <c r="U88" s="89">
        <f t="shared" si="2"/>
        <v>0</v>
      </c>
      <c r="V88" s="89">
        <f t="shared" si="3"/>
        <v>0</v>
      </c>
      <c r="W88" s="89">
        <f t="shared" si="4"/>
        <v>0</v>
      </c>
      <c r="X88" s="89">
        <f t="shared" si="5"/>
        <v>0</v>
      </c>
      <c r="Y88" s="28"/>
    </row>
    <row r="89" spans="1:25" ht="20.25" customHeight="1">
      <c r="A89" s="88" t="str">
        <f>+IF(BASE!B93="","",BASE!B93)</f>
        <v>23XXR078</v>
      </c>
      <c r="B89" s="121" t="s">
        <v>40</v>
      </c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89"/>
      <c r="R89" s="91">
        <f t="shared" si="0"/>
        <v>0</v>
      </c>
      <c r="S89" s="91">
        <f>BASE!A93</f>
        <v>78</v>
      </c>
      <c r="T89" s="89">
        <f t="shared" si="1"/>
        <v>0</v>
      </c>
      <c r="U89" s="89">
        <f t="shared" si="2"/>
        <v>0</v>
      </c>
      <c r="V89" s="89">
        <f t="shared" si="3"/>
        <v>0</v>
      </c>
      <c r="W89" s="89">
        <f t="shared" si="4"/>
        <v>0</v>
      </c>
      <c r="X89" s="89">
        <f t="shared" si="5"/>
        <v>0</v>
      </c>
      <c r="Y89" s="28"/>
    </row>
    <row r="90" spans="1:25" ht="20.25" customHeight="1">
      <c r="A90" s="88" t="str">
        <f>+IF(BASE!B94="","",BASE!B94)</f>
        <v>23XXR079</v>
      </c>
      <c r="B90" s="121" t="s">
        <v>40</v>
      </c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89"/>
      <c r="R90" s="91">
        <f t="shared" si="0"/>
        <v>0</v>
      </c>
      <c r="S90" s="91">
        <f>BASE!A94</f>
        <v>79</v>
      </c>
      <c r="T90" s="89">
        <f t="shared" si="1"/>
        <v>0</v>
      </c>
      <c r="U90" s="89">
        <f t="shared" si="2"/>
        <v>0</v>
      </c>
      <c r="V90" s="89">
        <f t="shared" si="3"/>
        <v>0</v>
      </c>
      <c r="W90" s="89">
        <f t="shared" si="4"/>
        <v>0</v>
      </c>
      <c r="X90" s="89">
        <f t="shared" si="5"/>
        <v>0</v>
      </c>
      <c r="Y90" s="28"/>
    </row>
    <row r="91" spans="1:25" ht="20.25" customHeight="1">
      <c r="A91" s="88" t="str">
        <f>+IF(BASE!B95="","",BASE!B95)</f>
        <v>23XXR080</v>
      </c>
      <c r="B91" s="121" t="s">
        <v>40</v>
      </c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89"/>
      <c r="R91" s="91">
        <f t="shared" si="0"/>
        <v>0</v>
      </c>
      <c r="S91" s="91">
        <f>BASE!A95</f>
        <v>80</v>
      </c>
      <c r="T91" s="89">
        <f t="shared" si="1"/>
        <v>0</v>
      </c>
      <c r="U91" s="89">
        <f t="shared" si="2"/>
        <v>0</v>
      </c>
      <c r="V91" s="89">
        <f t="shared" si="3"/>
        <v>0</v>
      </c>
      <c r="W91" s="89">
        <f t="shared" si="4"/>
        <v>0</v>
      </c>
      <c r="X91" s="89">
        <f t="shared" si="5"/>
        <v>0</v>
      </c>
      <c r="Y91" s="28"/>
    </row>
    <row r="92" spans="1:25" ht="20.25" customHeight="1">
      <c r="A92" s="88" t="str">
        <f>+IF(BASE!B96="","",BASE!B96)</f>
        <v>23XXR081</v>
      </c>
      <c r="B92" s="121" t="s">
        <v>40</v>
      </c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89"/>
      <c r="R92" s="91">
        <f t="shared" si="0"/>
        <v>0</v>
      </c>
      <c r="S92" s="91">
        <f>BASE!A96</f>
        <v>81</v>
      </c>
      <c r="T92" s="89">
        <f t="shared" si="1"/>
        <v>0</v>
      </c>
      <c r="U92" s="89">
        <f t="shared" si="2"/>
        <v>0</v>
      </c>
      <c r="V92" s="89">
        <f t="shared" si="3"/>
        <v>0</v>
      </c>
      <c r="W92" s="89">
        <f t="shared" si="4"/>
        <v>0</v>
      </c>
      <c r="X92" s="89">
        <f t="shared" si="5"/>
        <v>0</v>
      </c>
      <c r="Y92" s="28"/>
    </row>
    <row r="93" spans="1:25" ht="20.25" customHeight="1">
      <c r="A93" s="88" t="str">
        <f>+IF(BASE!B97="","",BASE!B97)</f>
        <v>23XXR082</v>
      </c>
      <c r="B93" s="121" t="s">
        <v>40</v>
      </c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89"/>
      <c r="R93" s="91">
        <f t="shared" si="0"/>
        <v>0</v>
      </c>
      <c r="S93" s="91">
        <f>BASE!A97</f>
        <v>82</v>
      </c>
      <c r="T93" s="89">
        <f t="shared" si="1"/>
        <v>0</v>
      </c>
      <c r="U93" s="89">
        <f t="shared" si="2"/>
        <v>0</v>
      </c>
      <c r="V93" s="89">
        <f t="shared" si="3"/>
        <v>0</v>
      </c>
      <c r="W93" s="89">
        <f t="shared" si="4"/>
        <v>0</v>
      </c>
      <c r="X93" s="89">
        <f t="shared" si="5"/>
        <v>0</v>
      </c>
      <c r="Y93" s="28"/>
    </row>
    <row r="94" spans="1:25" ht="20.25" customHeight="1">
      <c r="A94" s="88" t="str">
        <f>+IF(BASE!B98="","",BASE!B98)</f>
        <v>23XXR083</v>
      </c>
      <c r="B94" s="121" t="s">
        <v>40</v>
      </c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89"/>
      <c r="R94" s="91">
        <f t="shared" si="0"/>
        <v>0</v>
      </c>
      <c r="S94" s="91">
        <f>BASE!A98</f>
        <v>83</v>
      </c>
      <c r="T94" s="89">
        <f t="shared" si="1"/>
        <v>0</v>
      </c>
      <c r="U94" s="89">
        <f t="shared" si="2"/>
        <v>0</v>
      </c>
      <c r="V94" s="89">
        <f t="shared" si="3"/>
        <v>0</v>
      </c>
      <c r="W94" s="89">
        <f t="shared" si="4"/>
        <v>0</v>
      </c>
      <c r="X94" s="89">
        <f t="shared" si="5"/>
        <v>0</v>
      </c>
      <c r="Y94" s="28"/>
    </row>
    <row r="95" spans="1:25" ht="20.25" customHeight="1">
      <c r="A95" s="88" t="str">
        <f>+IF(BASE!B99="","",BASE!B99)</f>
        <v>23XXR084</v>
      </c>
      <c r="B95" s="121" t="s">
        <v>40</v>
      </c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89"/>
      <c r="R95" s="91">
        <f t="shared" si="0"/>
        <v>0</v>
      </c>
      <c r="S95" s="91">
        <f>BASE!A99</f>
        <v>84</v>
      </c>
      <c r="T95" s="89">
        <f t="shared" si="1"/>
        <v>0</v>
      </c>
      <c r="U95" s="89">
        <f t="shared" si="2"/>
        <v>0</v>
      </c>
      <c r="V95" s="89">
        <f t="shared" si="3"/>
        <v>0</v>
      </c>
      <c r="W95" s="89">
        <f t="shared" si="4"/>
        <v>0</v>
      </c>
      <c r="X95" s="89">
        <f t="shared" si="5"/>
        <v>0</v>
      </c>
      <c r="Y95" s="28"/>
    </row>
    <row r="96" spans="1:25" ht="20.25" customHeight="1">
      <c r="A96" s="88" t="str">
        <f>+IF(BASE!B100="","",BASE!B100)</f>
        <v>23XXR085</v>
      </c>
      <c r="B96" s="121" t="s">
        <v>40</v>
      </c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89"/>
      <c r="R96" s="91">
        <f t="shared" si="0"/>
        <v>0</v>
      </c>
      <c r="S96" s="91">
        <f>BASE!A100</f>
        <v>85</v>
      </c>
      <c r="T96" s="89">
        <f t="shared" si="1"/>
        <v>0</v>
      </c>
      <c r="U96" s="89">
        <f t="shared" si="2"/>
        <v>0</v>
      </c>
      <c r="V96" s="89">
        <f t="shared" si="3"/>
        <v>0</v>
      </c>
      <c r="W96" s="89">
        <f t="shared" si="4"/>
        <v>0</v>
      </c>
      <c r="X96" s="89">
        <f t="shared" si="5"/>
        <v>0</v>
      </c>
      <c r="Y96" s="28"/>
    </row>
    <row r="97" spans="1:25" ht="20.25" customHeight="1">
      <c r="A97" s="88" t="str">
        <f>+IF(BASE!B101="","",BASE!B101)</f>
        <v>23XXR086</v>
      </c>
      <c r="B97" s="121" t="s">
        <v>40</v>
      </c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89"/>
      <c r="R97" s="91">
        <f t="shared" si="0"/>
        <v>0</v>
      </c>
      <c r="S97" s="91">
        <f>BASE!A101</f>
        <v>86</v>
      </c>
      <c r="T97" s="89">
        <f t="shared" si="1"/>
        <v>0</v>
      </c>
      <c r="U97" s="89">
        <f t="shared" si="2"/>
        <v>0</v>
      </c>
      <c r="V97" s="89">
        <f t="shared" si="3"/>
        <v>0</v>
      </c>
      <c r="W97" s="89">
        <f t="shared" si="4"/>
        <v>0</v>
      </c>
      <c r="X97" s="89">
        <f t="shared" si="5"/>
        <v>0</v>
      </c>
      <c r="Y97" s="28"/>
    </row>
    <row r="98" spans="1:25" ht="20.25" customHeight="1">
      <c r="A98" s="88" t="str">
        <f>+IF(BASE!B102="","",BASE!B102)</f>
        <v>23XXR087</v>
      </c>
      <c r="B98" s="121" t="s">
        <v>40</v>
      </c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89"/>
      <c r="R98" s="91">
        <f t="shared" si="0"/>
        <v>0</v>
      </c>
      <c r="S98" s="91">
        <f>BASE!A102</f>
        <v>87</v>
      </c>
      <c r="T98" s="89">
        <f t="shared" si="1"/>
        <v>0</v>
      </c>
      <c r="U98" s="89">
        <f t="shared" si="2"/>
        <v>0</v>
      </c>
      <c r="V98" s="89">
        <f t="shared" si="3"/>
        <v>0</v>
      </c>
      <c r="W98" s="89">
        <f t="shared" si="4"/>
        <v>0</v>
      </c>
      <c r="X98" s="89">
        <f t="shared" si="5"/>
        <v>0</v>
      </c>
      <c r="Y98" s="28"/>
    </row>
    <row r="99" spans="1:25" ht="20.25" customHeight="1">
      <c r="A99" s="88" t="str">
        <f>+IF(BASE!B103="","",BASE!B103)</f>
        <v>23XXR088</v>
      </c>
      <c r="B99" s="121" t="s">
        <v>40</v>
      </c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89"/>
      <c r="R99" s="91">
        <f t="shared" si="0"/>
        <v>0</v>
      </c>
      <c r="S99" s="91">
        <f>BASE!A103</f>
        <v>88</v>
      </c>
      <c r="T99" s="89">
        <f t="shared" si="1"/>
        <v>0</v>
      </c>
      <c r="U99" s="89">
        <f t="shared" si="2"/>
        <v>0</v>
      </c>
      <c r="V99" s="89">
        <f t="shared" si="3"/>
        <v>0</v>
      </c>
      <c r="W99" s="89">
        <f t="shared" si="4"/>
        <v>0</v>
      </c>
      <c r="X99" s="89">
        <f t="shared" si="5"/>
        <v>0</v>
      </c>
      <c r="Y99" s="28"/>
    </row>
    <row r="100" spans="1:25" ht="20.25" customHeight="1">
      <c r="A100" s="88" t="str">
        <f>+IF(BASE!B104="","",BASE!B104)</f>
        <v>23XXR089</v>
      </c>
      <c r="B100" s="121" t="s">
        <v>40</v>
      </c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89"/>
      <c r="R100" s="91">
        <f t="shared" si="0"/>
        <v>0</v>
      </c>
      <c r="S100" s="91">
        <f>BASE!A104</f>
        <v>89</v>
      </c>
      <c r="T100" s="89">
        <f t="shared" si="1"/>
        <v>0</v>
      </c>
      <c r="U100" s="89">
        <f t="shared" si="2"/>
        <v>0</v>
      </c>
      <c r="V100" s="89">
        <f t="shared" si="3"/>
        <v>0</v>
      </c>
      <c r="W100" s="89">
        <f t="shared" si="4"/>
        <v>0</v>
      </c>
      <c r="X100" s="89">
        <f t="shared" si="5"/>
        <v>0</v>
      </c>
      <c r="Y100" s="28"/>
    </row>
    <row r="101" spans="1:25" ht="20.25" customHeight="1">
      <c r="A101" s="88" t="str">
        <f>+IF(BASE!B105="","",BASE!B105)</f>
        <v>23XXR090</v>
      </c>
      <c r="B101" s="121" t="s">
        <v>40</v>
      </c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89"/>
      <c r="R101" s="91">
        <f t="shared" si="0"/>
        <v>0</v>
      </c>
      <c r="S101" s="91">
        <f>BASE!A105</f>
        <v>90</v>
      </c>
      <c r="T101" s="89">
        <f t="shared" si="1"/>
        <v>0</v>
      </c>
      <c r="U101" s="89">
        <f t="shared" si="2"/>
        <v>0</v>
      </c>
      <c r="V101" s="89">
        <f t="shared" si="3"/>
        <v>0</v>
      </c>
      <c r="W101" s="89">
        <f t="shared" si="4"/>
        <v>0</v>
      </c>
      <c r="X101" s="89">
        <f t="shared" si="5"/>
        <v>0</v>
      </c>
      <c r="Y101" s="28"/>
    </row>
    <row r="102" spans="1:25" ht="20.25" customHeight="1">
      <c r="A102" s="88" t="str">
        <f>+IF(BASE!B106="","",BASE!B106)</f>
        <v>23XXR091</v>
      </c>
      <c r="B102" s="121" t="s">
        <v>40</v>
      </c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89"/>
      <c r="R102" s="91">
        <f t="shared" si="0"/>
        <v>0</v>
      </c>
      <c r="S102" s="91">
        <f>BASE!A106</f>
        <v>91</v>
      </c>
      <c r="T102" s="89">
        <f t="shared" si="1"/>
        <v>0</v>
      </c>
      <c r="U102" s="89">
        <f t="shared" si="2"/>
        <v>0</v>
      </c>
      <c r="V102" s="89">
        <f t="shared" si="3"/>
        <v>0</v>
      </c>
      <c r="W102" s="89">
        <f t="shared" si="4"/>
        <v>0</v>
      </c>
      <c r="X102" s="89">
        <f t="shared" si="5"/>
        <v>0</v>
      </c>
      <c r="Y102" s="28"/>
    </row>
    <row r="103" spans="1:25" ht="20.25" customHeight="1">
      <c r="A103" s="88" t="str">
        <f>+IF(BASE!B107="","",BASE!B107)</f>
        <v>23XXR092</v>
      </c>
      <c r="B103" s="121" t="s">
        <v>40</v>
      </c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89"/>
      <c r="R103" s="91">
        <f t="shared" si="0"/>
        <v>0</v>
      </c>
      <c r="S103" s="91">
        <f>BASE!A107</f>
        <v>92</v>
      </c>
      <c r="T103" s="89">
        <f t="shared" si="1"/>
        <v>0</v>
      </c>
      <c r="U103" s="89">
        <f t="shared" si="2"/>
        <v>0</v>
      </c>
      <c r="V103" s="89">
        <f t="shared" si="3"/>
        <v>0</v>
      </c>
      <c r="W103" s="89">
        <f t="shared" si="4"/>
        <v>0</v>
      </c>
      <c r="X103" s="89">
        <f t="shared" si="5"/>
        <v>0</v>
      </c>
      <c r="Y103" s="28"/>
    </row>
    <row r="104" spans="1:25" ht="20.25" customHeight="1">
      <c r="A104" s="88" t="str">
        <f>+IF(BASE!B108="","",BASE!B108)</f>
        <v>23XXR093</v>
      </c>
      <c r="B104" s="121" t="s">
        <v>40</v>
      </c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89"/>
      <c r="R104" s="91">
        <f t="shared" si="0"/>
        <v>0</v>
      </c>
      <c r="S104" s="91">
        <f>BASE!A108</f>
        <v>93</v>
      </c>
      <c r="T104" s="89">
        <f t="shared" si="1"/>
        <v>0</v>
      </c>
      <c r="U104" s="89">
        <f t="shared" si="2"/>
        <v>0</v>
      </c>
      <c r="V104" s="89">
        <f t="shared" si="3"/>
        <v>0</v>
      </c>
      <c r="W104" s="89">
        <f t="shared" si="4"/>
        <v>0</v>
      </c>
      <c r="X104" s="89">
        <f t="shared" si="5"/>
        <v>0</v>
      </c>
      <c r="Y104" s="28"/>
    </row>
    <row r="105" spans="1:25" ht="20.25" customHeight="1">
      <c r="A105" s="88" t="str">
        <f>+IF(BASE!B109="","",BASE!B109)</f>
        <v>23XXR094</v>
      </c>
      <c r="B105" s="121" t="s">
        <v>40</v>
      </c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89"/>
      <c r="R105" s="91">
        <f t="shared" si="0"/>
        <v>0</v>
      </c>
      <c r="S105" s="91">
        <f>BASE!A109</f>
        <v>94</v>
      </c>
      <c r="T105" s="89">
        <f t="shared" si="1"/>
        <v>0</v>
      </c>
      <c r="U105" s="89">
        <f t="shared" si="2"/>
        <v>0</v>
      </c>
      <c r="V105" s="89">
        <f t="shared" si="3"/>
        <v>0</v>
      </c>
      <c r="W105" s="89">
        <f t="shared" si="4"/>
        <v>0</v>
      </c>
      <c r="X105" s="89">
        <f t="shared" si="5"/>
        <v>0</v>
      </c>
      <c r="Y105" s="28"/>
    </row>
    <row r="106" spans="1:25" ht="20.25" customHeight="1">
      <c r="A106" s="88" t="str">
        <f>+IF(BASE!B110="","",BASE!B110)</f>
        <v>23XXR095</v>
      </c>
      <c r="B106" s="121" t="s">
        <v>40</v>
      </c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89"/>
      <c r="R106" s="91">
        <f t="shared" si="0"/>
        <v>0</v>
      </c>
      <c r="S106" s="91">
        <f>BASE!A110</f>
        <v>95</v>
      </c>
      <c r="T106" s="89">
        <f t="shared" si="1"/>
        <v>0</v>
      </c>
      <c r="U106" s="89">
        <f t="shared" si="2"/>
        <v>0</v>
      </c>
      <c r="V106" s="89">
        <f t="shared" si="3"/>
        <v>0</v>
      </c>
      <c r="W106" s="89">
        <f t="shared" si="4"/>
        <v>0</v>
      </c>
      <c r="X106" s="89">
        <f t="shared" si="5"/>
        <v>0</v>
      </c>
      <c r="Y106" s="28"/>
    </row>
    <row r="107" spans="1:25" ht="20.25" customHeight="1">
      <c r="A107" s="88" t="str">
        <f>+IF(BASE!B111="","",BASE!B111)</f>
        <v>23XXR096</v>
      </c>
      <c r="B107" s="121" t="s">
        <v>40</v>
      </c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89"/>
      <c r="R107" s="91">
        <f t="shared" si="0"/>
        <v>0</v>
      </c>
      <c r="S107" s="91">
        <f>BASE!A111</f>
        <v>96</v>
      </c>
      <c r="T107" s="89">
        <f t="shared" si="1"/>
        <v>0</v>
      </c>
      <c r="U107" s="89">
        <f t="shared" si="2"/>
        <v>0</v>
      </c>
      <c r="V107" s="89">
        <f t="shared" si="3"/>
        <v>0</v>
      </c>
      <c r="W107" s="89">
        <f t="shared" si="4"/>
        <v>0</v>
      </c>
      <c r="X107" s="89">
        <f t="shared" si="5"/>
        <v>0</v>
      </c>
      <c r="Y107" s="28"/>
    </row>
    <row r="108" spans="1:25" ht="20.25" customHeight="1">
      <c r="A108" s="88" t="str">
        <f>+IF(BASE!B112="","",BASE!B112)</f>
        <v>23XXR097</v>
      </c>
      <c r="B108" s="121" t="s">
        <v>40</v>
      </c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89"/>
      <c r="R108" s="91">
        <f t="shared" si="0"/>
        <v>0</v>
      </c>
      <c r="S108" s="91">
        <f>BASE!A112</f>
        <v>97</v>
      </c>
      <c r="T108" s="89">
        <f t="shared" si="1"/>
        <v>0</v>
      </c>
      <c r="U108" s="89">
        <f t="shared" si="2"/>
        <v>0</v>
      </c>
      <c r="V108" s="89">
        <f t="shared" si="3"/>
        <v>0</v>
      </c>
      <c r="W108" s="89">
        <f t="shared" si="4"/>
        <v>0</v>
      </c>
      <c r="X108" s="89">
        <f t="shared" si="5"/>
        <v>0</v>
      </c>
      <c r="Y108" s="28"/>
    </row>
    <row r="109" spans="1:25" ht="20.25" customHeight="1">
      <c r="A109" s="88" t="str">
        <f>+IF(BASE!B113="","",BASE!B113)</f>
        <v>23XXR098</v>
      </c>
      <c r="B109" s="121" t="s">
        <v>40</v>
      </c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89"/>
      <c r="R109" s="91">
        <f t="shared" si="0"/>
        <v>0</v>
      </c>
      <c r="S109" s="91">
        <f>BASE!A113</f>
        <v>98</v>
      </c>
      <c r="T109" s="89">
        <f t="shared" si="1"/>
        <v>0</v>
      </c>
      <c r="U109" s="89">
        <f t="shared" si="2"/>
        <v>0</v>
      </c>
      <c r="V109" s="89">
        <f t="shared" si="3"/>
        <v>0</v>
      </c>
      <c r="W109" s="89">
        <f t="shared" si="4"/>
        <v>0</v>
      </c>
      <c r="X109" s="89">
        <f t="shared" si="5"/>
        <v>0</v>
      </c>
      <c r="Y109" s="28"/>
    </row>
    <row r="110" spans="1:25" ht="20.25" customHeight="1">
      <c r="A110" s="88" t="str">
        <f>+IF(BASE!B114="","",BASE!B114)</f>
        <v>23XXR099</v>
      </c>
      <c r="B110" s="121" t="s">
        <v>40</v>
      </c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89"/>
      <c r="R110" s="91">
        <f t="shared" si="0"/>
        <v>0</v>
      </c>
      <c r="S110" s="91">
        <f>BASE!A114</f>
        <v>99</v>
      </c>
      <c r="T110" s="89">
        <f t="shared" si="1"/>
        <v>0</v>
      </c>
      <c r="U110" s="89">
        <f t="shared" si="2"/>
        <v>0</v>
      </c>
      <c r="V110" s="89">
        <f t="shared" si="3"/>
        <v>0</v>
      </c>
      <c r="W110" s="89">
        <f t="shared" si="4"/>
        <v>0</v>
      </c>
      <c r="X110" s="89">
        <f t="shared" si="5"/>
        <v>0</v>
      </c>
      <c r="Y110" s="28"/>
    </row>
    <row r="111" spans="1:25" ht="20.25" customHeight="1">
      <c r="A111" s="88" t="str">
        <f>+IF(BASE!B115="","",BASE!B115)</f>
        <v>23XXR100</v>
      </c>
      <c r="B111" s="121" t="s">
        <v>40</v>
      </c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89"/>
      <c r="R111" s="91">
        <f t="shared" si="0"/>
        <v>0</v>
      </c>
      <c r="S111" s="91">
        <f>BASE!A115</f>
        <v>100</v>
      </c>
      <c r="T111" s="89">
        <f t="shared" si="1"/>
        <v>0</v>
      </c>
      <c r="U111" s="89">
        <f t="shared" si="2"/>
        <v>0</v>
      </c>
      <c r="V111" s="89">
        <f t="shared" si="3"/>
        <v>0</v>
      </c>
      <c r="W111" s="89">
        <f t="shared" si="4"/>
        <v>0</v>
      </c>
      <c r="X111" s="89">
        <f t="shared" si="5"/>
        <v>0</v>
      </c>
      <c r="Y111" s="28"/>
    </row>
    <row r="112" spans="1:25" ht="20.25" customHeight="1">
      <c r="A112" s="88" t="str">
        <f>+IF(BASE!B116="","",BASE!B116)</f>
        <v>23XXR101</v>
      </c>
      <c r="B112" s="121" t="s">
        <v>40</v>
      </c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89"/>
      <c r="R112" s="91">
        <f t="shared" si="0"/>
        <v>0</v>
      </c>
      <c r="S112" s="91">
        <f>BASE!A116</f>
        <v>101</v>
      </c>
      <c r="T112" s="89">
        <f t="shared" si="1"/>
        <v>0</v>
      </c>
      <c r="U112" s="89">
        <f t="shared" si="2"/>
        <v>0</v>
      </c>
      <c r="V112" s="89">
        <f t="shared" si="3"/>
        <v>0</v>
      </c>
      <c r="W112" s="89">
        <f t="shared" si="4"/>
        <v>0</v>
      </c>
      <c r="X112" s="89">
        <f t="shared" si="5"/>
        <v>0</v>
      </c>
      <c r="Y112" s="28"/>
    </row>
    <row r="113" spans="1:25" ht="20.25" customHeight="1">
      <c r="A113" s="88" t="str">
        <f>+IF(BASE!B117="","",BASE!B117)</f>
        <v>23XXR102</v>
      </c>
      <c r="B113" s="121" t="s">
        <v>40</v>
      </c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89"/>
      <c r="R113" s="91">
        <f t="shared" si="0"/>
        <v>0</v>
      </c>
      <c r="S113" s="91">
        <f>BASE!A117</f>
        <v>102</v>
      </c>
      <c r="T113" s="89">
        <f t="shared" si="1"/>
        <v>0</v>
      </c>
      <c r="U113" s="89">
        <f t="shared" si="2"/>
        <v>0</v>
      </c>
      <c r="V113" s="89">
        <f t="shared" si="3"/>
        <v>0</v>
      </c>
      <c r="W113" s="89">
        <f t="shared" si="4"/>
        <v>0</v>
      </c>
      <c r="X113" s="89">
        <f t="shared" si="5"/>
        <v>0</v>
      </c>
      <c r="Y113" s="28"/>
    </row>
    <row r="114" spans="1:25" ht="20.25" customHeight="1">
      <c r="A114" s="88" t="str">
        <f>+IF(BASE!B118="","",BASE!B118)</f>
        <v>23XXR103</v>
      </c>
      <c r="B114" s="121" t="s">
        <v>40</v>
      </c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89"/>
      <c r="R114" s="91">
        <f t="shared" si="0"/>
        <v>0</v>
      </c>
      <c r="S114" s="91">
        <f>BASE!A118</f>
        <v>103</v>
      </c>
      <c r="T114" s="89">
        <f t="shared" si="1"/>
        <v>0</v>
      </c>
      <c r="U114" s="89">
        <f t="shared" si="2"/>
        <v>0</v>
      </c>
      <c r="V114" s="89">
        <f t="shared" si="3"/>
        <v>0</v>
      </c>
      <c r="W114" s="89">
        <f t="shared" si="4"/>
        <v>0</v>
      </c>
      <c r="X114" s="89">
        <f t="shared" si="5"/>
        <v>0</v>
      </c>
      <c r="Y114" s="28"/>
    </row>
    <row r="115" spans="1:25" ht="20.25" customHeight="1">
      <c r="A115" s="88" t="str">
        <f>+IF(BASE!B119="","",BASE!B119)</f>
        <v>23XXR104</v>
      </c>
      <c r="B115" s="121" t="s">
        <v>40</v>
      </c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89"/>
      <c r="R115" s="91">
        <f t="shared" si="0"/>
        <v>0</v>
      </c>
      <c r="S115" s="91">
        <f>BASE!A119</f>
        <v>104</v>
      </c>
      <c r="T115" s="89">
        <f t="shared" si="1"/>
        <v>0</v>
      </c>
      <c r="U115" s="89">
        <f t="shared" si="2"/>
        <v>0</v>
      </c>
      <c r="V115" s="89">
        <f t="shared" si="3"/>
        <v>0</v>
      </c>
      <c r="W115" s="89">
        <f t="shared" si="4"/>
        <v>0</v>
      </c>
      <c r="X115" s="89">
        <f t="shared" si="5"/>
        <v>0</v>
      </c>
      <c r="Y115" s="28"/>
    </row>
    <row r="116" spans="1:25" ht="20.25" customHeight="1">
      <c r="A116" s="88" t="str">
        <f>+IF(BASE!B120="","",BASE!B120)</f>
        <v>23XXR105</v>
      </c>
      <c r="B116" s="121" t="s">
        <v>40</v>
      </c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89"/>
      <c r="R116" s="91">
        <f t="shared" si="0"/>
        <v>0</v>
      </c>
      <c r="S116" s="91">
        <f>BASE!A120</f>
        <v>105</v>
      </c>
      <c r="T116" s="89">
        <f t="shared" si="1"/>
        <v>0</v>
      </c>
      <c r="U116" s="89">
        <f t="shared" si="2"/>
        <v>0</v>
      </c>
      <c r="V116" s="89">
        <f t="shared" si="3"/>
        <v>0</v>
      </c>
      <c r="W116" s="89">
        <f t="shared" si="4"/>
        <v>0</v>
      </c>
      <c r="X116" s="89">
        <f t="shared" si="5"/>
        <v>0</v>
      </c>
      <c r="Y116" s="28"/>
    </row>
    <row r="117" spans="1:25" ht="20.25" customHeight="1">
      <c r="A117" s="88" t="str">
        <f>+IF(BASE!B121="","",BASE!B121)</f>
        <v>23XXR106</v>
      </c>
      <c r="B117" s="121" t="s">
        <v>40</v>
      </c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89"/>
      <c r="R117" s="91">
        <f t="shared" si="0"/>
        <v>0</v>
      </c>
      <c r="S117" s="91">
        <f>BASE!A121</f>
        <v>106</v>
      </c>
      <c r="T117" s="89">
        <f t="shared" si="1"/>
        <v>0</v>
      </c>
      <c r="U117" s="89">
        <f t="shared" si="2"/>
        <v>0</v>
      </c>
      <c r="V117" s="89">
        <f t="shared" si="3"/>
        <v>0</v>
      </c>
      <c r="W117" s="89">
        <f t="shared" si="4"/>
        <v>0</v>
      </c>
      <c r="X117" s="89">
        <f t="shared" si="5"/>
        <v>0</v>
      </c>
      <c r="Y117" s="28"/>
    </row>
    <row r="118" spans="1:25" ht="20.25" customHeight="1">
      <c r="A118" s="88" t="str">
        <f>+IF(BASE!B122="","",BASE!B122)</f>
        <v>23XXR107</v>
      </c>
      <c r="B118" s="121" t="s">
        <v>40</v>
      </c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89"/>
      <c r="R118" s="91">
        <f t="shared" si="0"/>
        <v>0</v>
      </c>
      <c r="S118" s="91">
        <f>BASE!A122</f>
        <v>107</v>
      </c>
      <c r="T118" s="89">
        <f t="shared" si="1"/>
        <v>0</v>
      </c>
      <c r="U118" s="89">
        <f t="shared" si="2"/>
        <v>0</v>
      </c>
      <c r="V118" s="89">
        <f t="shared" si="3"/>
        <v>0</v>
      </c>
      <c r="W118" s="89">
        <f t="shared" si="4"/>
        <v>0</v>
      </c>
      <c r="X118" s="89">
        <f t="shared" si="5"/>
        <v>0</v>
      </c>
      <c r="Y118" s="28"/>
    </row>
    <row r="119" spans="1:25" ht="20.25" customHeight="1">
      <c r="A119" s="88" t="str">
        <f>+IF(BASE!B123="","",BASE!B123)</f>
        <v>23XXR108</v>
      </c>
      <c r="B119" s="121" t="s">
        <v>40</v>
      </c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89"/>
      <c r="R119" s="91">
        <f t="shared" si="0"/>
        <v>0</v>
      </c>
      <c r="S119" s="91">
        <f>BASE!A123</f>
        <v>108</v>
      </c>
      <c r="T119" s="89">
        <f t="shared" si="1"/>
        <v>0</v>
      </c>
      <c r="U119" s="89">
        <f t="shared" si="2"/>
        <v>0</v>
      </c>
      <c r="V119" s="89">
        <f t="shared" si="3"/>
        <v>0</v>
      </c>
      <c r="W119" s="89">
        <f t="shared" si="4"/>
        <v>0</v>
      </c>
      <c r="X119" s="89">
        <f t="shared" si="5"/>
        <v>0</v>
      </c>
      <c r="Y119" s="28"/>
    </row>
    <row r="120" spans="1:25" ht="20.25" customHeight="1">
      <c r="A120" s="88" t="str">
        <f>+IF(BASE!B124="","",BASE!B124)</f>
        <v>23XXR109</v>
      </c>
      <c r="B120" s="121" t="s">
        <v>40</v>
      </c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89"/>
      <c r="R120" s="91">
        <f t="shared" si="0"/>
        <v>0</v>
      </c>
      <c r="S120" s="91">
        <f>BASE!A124</f>
        <v>109</v>
      </c>
      <c r="T120" s="89">
        <f t="shared" si="1"/>
        <v>0</v>
      </c>
      <c r="U120" s="89">
        <f t="shared" si="2"/>
        <v>0</v>
      </c>
      <c r="V120" s="89">
        <f t="shared" si="3"/>
        <v>0</v>
      </c>
      <c r="W120" s="89">
        <f t="shared" si="4"/>
        <v>0</v>
      </c>
      <c r="X120" s="89">
        <f t="shared" si="5"/>
        <v>0</v>
      </c>
      <c r="Y120" s="28"/>
    </row>
    <row r="121" spans="1:25" ht="20.25" customHeight="1">
      <c r="A121" s="88" t="str">
        <f>+IF(BASE!B125="","",BASE!B125)</f>
        <v>23XXR110</v>
      </c>
      <c r="B121" s="121" t="s">
        <v>40</v>
      </c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89"/>
      <c r="R121" s="91">
        <f t="shared" si="0"/>
        <v>0</v>
      </c>
      <c r="S121" s="91">
        <f>BASE!A125</f>
        <v>110</v>
      </c>
      <c r="T121" s="89">
        <f t="shared" si="1"/>
        <v>0</v>
      </c>
      <c r="U121" s="89">
        <f t="shared" si="2"/>
        <v>0</v>
      </c>
      <c r="V121" s="89">
        <f t="shared" si="3"/>
        <v>0</v>
      </c>
      <c r="W121" s="89">
        <f t="shared" si="4"/>
        <v>0</v>
      </c>
      <c r="X121" s="89">
        <f t="shared" si="5"/>
        <v>0</v>
      </c>
      <c r="Y121" s="28"/>
    </row>
    <row r="122" spans="1:25" ht="20.25" customHeight="1">
      <c r="A122" s="88" t="str">
        <f>+IF(BASE!B126="","",BASE!B126)</f>
        <v>23XXR111</v>
      </c>
      <c r="B122" s="121" t="s">
        <v>40</v>
      </c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89"/>
      <c r="R122" s="91">
        <f t="shared" si="0"/>
        <v>0</v>
      </c>
      <c r="S122" s="91">
        <f>BASE!A126</f>
        <v>111</v>
      </c>
      <c r="T122" s="89">
        <f t="shared" si="1"/>
        <v>0</v>
      </c>
      <c r="U122" s="89">
        <f t="shared" si="2"/>
        <v>0</v>
      </c>
      <c r="V122" s="89">
        <f t="shared" si="3"/>
        <v>0</v>
      </c>
      <c r="W122" s="89">
        <f t="shared" si="4"/>
        <v>0</v>
      </c>
      <c r="X122" s="89">
        <f t="shared" si="5"/>
        <v>0</v>
      </c>
      <c r="Y122" s="28"/>
    </row>
    <row r="123" spans="1:25" ht="20.25" customHeight="1">
      <c r="A123" s="88" t="str">
        <f>+IF(BASE!B127="","",BASE!B127)</f>
        <v>23XXR112</v>
      </c>
      <c r="B123" s="121" t="s">
        <v>40</v>
      </c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89"/>
      <c r="R123" s="91">
        <f t="shared" si="0"/>
        <v>0</v>
      </c>
      <c r="S123" s="91">
        <f>BASE!A127</f>
        <v>112</v>
      </c>
      <c r="T123" s="89">
        <f t="shared" si="1"/>
        <v>0</v>
      </c>
      <c r="U123" s="89">
        <f t="shared" si="2"/>
        <v>0</v>
      </c>
      <c r="V123" s="89">
        <f t="shared" si="3"/>
        <v>0</v>
      </c>
      <c r="W123" s="89">
        <f t="shared" si="4"/>
        <v>0</v>
      </c>
      <c r="X123" s="89">
        <f t="shared" si="5"/>
        <v>0</v>
      </c>
      <c r="Y123" s="28"/>
    </row>
    <row r="124" spans="1:25" ht="20.25" customHeight="1">
      <c r="A124" s="88" t="str">
        <f>+IF(BASE!B128="","",BASE!B128)</f>
        <v>23XXR113</v>
      </c>
      <c r="B124" s="121" t="s">
        <v>40</v>
      </c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89"/>
      <c r="R124" s="91">
        <f t="shared" si="0"/>
        <v>0</v>
      </c>
      <c r="S124" s="91">
        <f>BASE!A128</f>
        <v>113</v>
      </c>
      <c r="T124" s="89">
        <f t="shared" si="1"/>
        <v>0</v>
      </c>
      <c r="U124" s="89">
        <f t="shared" si="2"/>
        <v>0</v>
      </c>
      <c r="V124" s="89">
        <f t="shared" si="3"/>
        <v>0</v>
      </c>
      <c r="W124" s="89">
        <f t="shared" si="4"/>
        <v>0</v>
      </c>
      <c r="X124" s="89">
        <f t="shared" si="5"/>
        <v>0</v>
      </c>
      <c r="Y124" s="28"/>
    </row>
    <row r="125" spans="1:25" ht="20.25" customHeight="1">
      <c r="A125" s="88" t="str">
        <f>+IF(BASE!B129="","",BASE!B129)</f>
        <v>23XXR114</v>
      </c>
      <c r="B125" s="121" t="s">
        <v>40</v>
      </c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89"/>
      <c r="R125" s="91">
        <f t="shared" si="0"/>
        <v>0</v>
      </c>
      <c r="S125" s="91">
        <f>BASE!A129</f>
        <v>114</v>
      </c>
      <c r="T125" s="89">
        <f t="shared" si="1"/>
        <v>0</v>
      </c>
      <c r="U125" s="89">
        <f t="shared" si="2"/>
        <v>0</v>
      </c>
      <c r="V125" s="89">
        <f t="shared" si="3"/>
        <v>0</v>
      </c>
      <c r="W125" s="89">
        <f t="shared" si="4"/>
        <v>0</v>
      </c>
      <c r="X125" s="89">
        <f t="shared" si="5"/>
        <v>0</v>
      </c>
      <c r="Y125" s="28"/>
    </row>
    <row r="126" spans="1:25" ht="20.25" customHeight="1">
      <c r="A126" s="88" t="str">
        <f>+IF(BASE!B130="","",BASE!B130)</f>
        <v>23XXR115</v>
      </c>
      <c r="B126" s="121" t="s">
        <v>40</v>
      </c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89"/>
      <c r="R126" s="91">
        <f t="shared" si="0"/>
        <v>0</v>
      </c>
      <c r="S126" s="91">
        <f>BASE!A130</f>
        <v>115</v>
      </c>
      <c r="T126" s="89">
        <f t="shared" si="1"/>
        <v>0</v>
      </c>
      <c r="U126" s="89">
        <f t="shared" si="2"/>
        <v>0</v>
      </c>
      <c r="V126" s="89">
        <f t="shared" si="3"/>
        <v>0</v>
      </c>
      <c r="W126" s="89">
        <f t="shared" si="4"/>
        <v>0</v>
      </c>
      <c r="X126" s="89">
        <f t="shared" si="5"/>
        <v>0</v>
      </c>
      <c r="Y126" s="28"/>
    </row>
    <row r="127" spans="1:25" ht="20.25" customHeight="1">
      <c r="A127" s="88" t="str">
        <f>+IF(BASE!B131="","",BASE!B131)</f>
        <v>23XXR116</v>
      </c>
      <c r="B127" s="121" t="s">
        <v>40</v>
      </c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89"/>
      <c r="R127" s="91">
        <f t="shared" si="0"/>
        <v>0</v>
      </c>
      <c r="S127" s="91">
        <f>BASE!A131</f>
        <v>116</v>
      </c>
      <c r="T127" s="89">
        <f t="shared" si="1"/>
        <v>0</v>
      </c>
      <c r="U127" s="89">
        <f t="shared" si="2"/>
        <v>0</v>
      </c>
      <c r="V127" s="89">
        <f t="shared" si="3"/>
        <v>0</v>
      </c>
      <c r="W127" s="89">
        <f t="shared" si="4"/>
        <v>0</v>
      </c>
      <c r="X127" s="89">
        <f t="shared" si="5"/>
        <v>0</v>
      </c>
      <c r="Y127" s="28"/>
    </row>
    <row r="128" spans="1:25" ht="20.25" customHeight="1">
      <c r="A128" s="88" t="str">
        <f>+IF(BASE!B132="","",BASE!B132)</f>
        <v>23XXR117</v>
      </c>
      <c r="B128" s="121" t="s">
        <v>40</v>
      </c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89"/>
      <c r="R128" s="91">
        <f t="shared" si="0"/>
        <v>0</v>
      </c>
      <c r="S128" s="91">
        <f>BASE!A132</f>
        <v>117</v>
      </c>
      <c r="T128" s="89">
        <f t="shared" si="1"/>
        <v>0</v>
      </c>
      <c r="U128" s="89">
        <f t="shared" si="2"/>
        <v>0</v>
      </c>
      <c r="V128" s="89">
        <f t="shared" si="3"/>
        <v>0</v>
      </c>
      <c r="W128" s="89">
        <f t="shared" si="4"/>
        <v>0</v>
      </c>
      <c r="X128" s="89">
        <f t="shared" si="5"/>
        <v>0</v>
      </c>
      <c r="Y128" s="28"/>
    </row>
    <row r="129" spans="1:25" ht="20.25" customHeight="1">
      <c r="A129" s="88" t="str">
        <f>+IF(BASE!B133="","",BASE!B133)</f>
        <v>23XXR118</v>
      </c>
      <c r="B129" s="121" t="s">
        <v>40</v>
      </c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89"/>
      <c r="R129" s="91">
        <f t="shared" si="0"/>
        <v>0</v>
      </c>
      <c r="S129" s="91">
        <f>BASE!A133</f>
        <v>118</v>
      </c>
      <c r="T129" s="89">
        <f t="shared" si="1"/>
        <v>0</v>
      </c>
      <c r="U129" s="89">
        <f t="shared" si="2"/>
        <v>0</v>
      </c>
      <c r="V129" s="89">
        <f t="shared" si="3"/>
        <v>0</v>
      </c>
      <c r="W129" s="89">
        <f t="shared" si="4"/>
        <v>0</v>
      </c>
      <c r="X129" s="89">
        <f t="shared" si="5"/>
        <v>0</v>
      </c>
      <c r="Y129" s="28"/>
    </row>
    <row r="130" spans="1:25" ht="20.25" customHeight="1">
      <c r="A130" s="88" t="str">
        <f>+IF(BASE!B134="","",BASE!B134)</f>
        <v>23XXR119</v>
      </c>
      <c r="B130" s="121" t="s">
        <v>40</v>
      </c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89"/>
      <c r="R130" s="91">
        <f t="shared" si="0"/>
        <v>0</v>
      </c>
      <c r="S130" s="91">
        <f>BASE!A134</f>
        <v>119</v>
      </c>
      <c r="T130" s="89">
        <f t="shared" si="1"/>
        <v>0</v>
      </c>
      <c r="U130" s="89">
        <f t="shared" si="2"/>
        <v>0</v>
      </c>
      <c r="V130" s="89">
        <f t="shared" si="3"/>
        <v>0</v>
      </c>
      <c r="W130" s="89">
        <f t="shared" si="4"/>
        <v>0</v>
      </c>
      <c r="X130" s="89">
        <f t="shared" si="5"/>
        <v>0</v>
      </c>
      <c r="Y130" s="28"/>
    </row>
    <row r="131" spans="1:25" ht="20.25" customHeight="1">
      <c r="A131" s="88" t="str">
        <f>+IF(BASE!B135="","",BASE!B135)</f>
        <v>23XXR120</v>
      </c>
      <c r="B131" s="121" t="s">
        <v>40</v>
      </c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89"/>
      <c r="R131" s="91">
        <f t="shared" si="0"/>
        <v>0</v>
      </c>
      <c r="S131" s="91">
        <f>BASE!A135</f>
        <v>120</v>
      </c>
      <c r="T131" s="89">
        <f t="shared" si="1"/>
        <v>0</v>
      </c>
      <c r="U131" s="89">
        <f t="shared" si="2"/>
        <v>0</v>
      </c>
      <c r="V131" s="89">
        <f t="shared" si="3"/>
        <v>0</v>
      </c>
      <c r="W131" s="89">
        <f t="shared" si="4"/>
        <v>0</v>
      </c>
      <c r="X131" s="89">
        <f t="shared" si="5"/>
        <v>0</v>
      </c>
      <c r="Y131" s="28"/>
    </row>
    <row r="132" spans="1:25" ht="20.25" customHeight="1">
      <c r="A132" s="88" t="str">
        <f>+IF(BASE!B136="","",BASE!B136)</f>
        <v>23XXR121</v>
      </c>
      <c r="B132" s="121" t="s">
        <v>40</v>
      </c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89"/>
      <c r="R132" s="91">
        <f t="shared" si="0"/>
        <v>0</v>
      </c>
      <c r="S132" s="91">
        <f>BASE!A136</f>
        <v>121</v>
      </c>
      <c r="T132" s="89">
        <f t="shared" si="1"/>
        <v>0</v>
      </c>
      <c r="U132" s="89">
        <f t="shared" si="2"/>
        <v>0</v>
      </c>
      <c r="V132" s="89">
        <f t="shared" si="3"/>
        <v>0</v>
      </c>
      <c r="W132" s="89">
        <f t="shared" si="4"/>
        <v>0</v>
      </c>
      <c r="X132" s="89">
        <f t="shared" si="5"/>
        <v>0</v>
      </c>
      <c r="Y132" s="28"/>
    </row>
    <row r="133" spans="1:25" ht="20.25" customHeight="1">
      <c r="A133" s="88" t="str">
        <f>+IF(BASE!B137="","",BASE!B137)</f>
        <v>23XXR122</v>
      </c>
      <c r="B133" s="121" t="s">
        <v>40</v>
      </c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89"/>
      <c r="R133" s="91">
        <f t="shared" si="0"/>
        <v>0</v>
      </c>
      <c r="S133" s="91">
        <f>BASE!A137</f>
        <v>122</v>
      </c>
      <c r="T133" s="89">
        <f t="shared" si="1"/>
        <v>0</v>
      </c>
      <c r="U133" s="89">
        <f t="shared" si="2"/>
        <v>0</v>
      </c>
      <c r="V133" s="89">
        <f t="shared" si="3"/>
        <v>0</v>
      </c>
      <c r="W133" s="89">
        <f t="shared" si="4"/>
        <v>0</v>
      </c>
      <c r="X133" s="89">
        <f t="shared" si="5"/>
        <v>0</v>
      </c>
      <c r="Y133" s="28"/>
    </row>
    <row r="134" spans="1:25" ht="20.25" customHeight="1">
      <c r="A134" s="88" t="str">
        <f>+IF(BASE!B138="","",BASE!B138)</f>
        <v>23XXR123</v>
      </c>
      <c r="B134" s="121" t="s">
        <v>40</v>
      </c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89"/>
      <c r="R134" s="91">
        <f t="shared" si="0"/>
        <v>0</v>
      </c>
      <c r="S134" s="91">
        <f>BASE!A138</f>
        <v>123</v>
      </c>
      <c r="T134" s="89">
        <f t="shared" si="1"/>
        <v>0</v>
      </c>
      <c r="U134" s="89">
        <f t="shared" si="2"/>
        <v>0</v>
      </c>
      <c r="V134" s="89">
        <f t="shared" si="3"/>
        <v>0</v>
      </c>
      <c r="W134" s="89">
        <f t="shared" si="4"/>
        <v>0</v>
      </c>
      <c r="X134" s="89">
        <f t="shared" si="5"/>
        <v>0</v>
      </c>
      <c r="Y134" s="28"/>
    </row>
    <row r="135" spans="1:25" ht="20.25" customHeight="1">
      <c r="A135" s="88" t="str">
        <f>+IF(BASE!B139="","",BASE!B139)</f>
        <v>23XXR124</v>
      </c>
      <c r="B135" s="121" t="s">
        <v>40</v>
      </c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89"/>
      <c r="R135" s="91">
        <f t="shared" si="0"/>
        <v>0</v>
      </c>
      <c r="S135" s="91">
        <f>BASE!A139</f>
        <v>124</v>
      </c>
      <c r="T135" s="89">
        <f t="shared" si="1"/>
        <v>0</v>
      </c>
      <c r="U135" s="89">
        <f t="shared" si="2"/>
        <v>0</v>
      </c>
      <c r="V135" s="89">
        <f t="shared" si="3"/>
        <v>0</v>
      </c>
      <c r="W135" s="89">
        <f t="shared" si="4"/>
        <v>0</v>
      </c>
      <c r="X135" s="89">
        <f t="shared" si="5"/>
        <v>0</v>
      </c>
      <c r="Y135" s="28"/>
    </row>
    <row r="136" spans="1:25" ht="20.25" customHeight="1">
      <c r="A136" s="88" t="str">
        <f>+IF(BASE!B140="","",BASE!B140)</f>
        <v>23XXR125</v>
      </c>
      <c r="B136" s="121" t="s">
        <v>40</v>
      </c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89"/>
      <c r="R136" s="91">
        <f t="shared" si="0"/>
        <v>0</v>
      </c>
      <c r="S136" s="91">
        <f>BASE!A140</f>
        <v>125</v>
      </c>
      <c r="T136" s="89">
        <f t="shared" si="1"/>
        <v>0</v>
      </c>
      <c r="U136" s="89">
        <f t="shared" si="2"/>
        <v>0</v>
      </c>
      <c r="V136" s="89">
        <f t="shared" si="3"/>
        <v>0</v>
      </c>
      <c r="W136" s="89">
        <f t="shared" si="4"/>
        <v>0</v>
      </c>
      <c r="X136" s="89">
        <f t="shared" si="5"/>
        <v>0</v>
      </c>
      <c r="Y136" s="28"/>
    </row>
    <row r="137" spans="1:25" ht="20.25" customHeight="1">
      <c r="A137" s="88" t="str">
        <f>+IF(BASE!B141="","",BASE!B141)</f>
        <v>23XXR126</v>
      </c>
      <c r="B137" s="121" t="s">
        <v>40</v>
      </c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89"/>
      <c r="R137" s="91">
        <f t="shared" si="0"/>
        <v>0</v>
      </c>
      <c r="S137" s="91">
        <f>BASE!A141</f>
        <v>126</v>
      </c>
      <c r="T137" s="89">
        <f t="shared" si="1"/>
        <v>0</v>
      </c>
      <c r="U137" s="89">
        <f t="shared" si="2"/>
        <v>0</v>
      </c>
      <c r="V137" s="89">
        <f t="shared" si="3"/>
        <v>0</v>
      </c>
      <c r="W137" s="89">
        <f t="shared" si="4"/>
        <v>0</v>
      </c>
      <c r="X137" s="89">
        <f t="shared" si="5"/>
        <v>0</v>
      </c>
      <c r="Y137" s="28"/>
    </row>
    <row r="138" spans="1:25" ht="20.25" customHeight="1">
      <c r="A138" s="88" t="str">
        <f>+IF(BASE!B142="","",BASE!B142)</f>
        <v>23XXR127</v>
      </c>
      <c r="B138" s="121" t="s">
        <v>40</v>
      </c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89"/>
      <c r="R138" s="91">
        <f t="shared" si="0"/>
        <v>0</v>
      </c>
      <c r="S138" s="91">
        <f>BASE!A142</f>
        <v>127</v>
      </c>
      <c r="T138" s="89">
        <f t="shared" si="1"/>
        <v>0</v>
      </c>
      <c r="U138" s="89">
        <f t="shared" si="2"/>
        <v>0</v>
      </c>
      <c r="V138" s="89">
        <f t="shared" si="3"/>
        <v>0</v>
      </c>
      <c r="W138" s="89">
        <f t="shared" si="4"/>
        <v>0</v>
      </c>
      <c r="X138" s="89">
        <f t="shared" si="5"/>
        <v>0</v>
      </c>
      <c r="Y138" s="28"/>
    </row>
    <row r="139" spans="1:25" ht="20.25" customHeight="1">
      <c r="A139" s="88" t="str">
        <f>+IF(BASE!B143="","",BASE!B143)</f>
        <v>23XXR128</v>
      </c>
      <c r="B139" s="121" t="s">
        <v>40</v>
      </c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89"/>
      <c r="R139" s="91">
        <f t="shared" si="0"/>
        <v>0</v>
      </c>
      <c r="S139" s="91">
        <f>BASE!A143</f>
        <v>128</v>
      </c>
      <c r="T139" s="89">
        <f t="shared" si="1"/>
        <v>0</v>
      </c>
      <c r="U139" s="89">
        <f t="shared" si="2"/>
        <v>0</v>
      </c>
      <c r="V139" s="89">
        <f t="shared" si="3"/>
        <v>0</v>
      </c>
      <c r="W139" s="89">
        <f t="shared" si="4"/>
        <v>0</v>
      </c>
      <c r="X139" s="89">
        <f t="shared" si="5"/>
        <v>0</v>
      </c>
      <c r="Y139" s="28"/>
    </row>
    <row r="140" spans="1:25" ht="20.25" customHeight="1">
      <c r="A140" s="88" t="str">
        <f>+IF(BASE!B144="","",BASE!B144)</f>
        <v>23XXR129</v>
      </c>
      <c r="B140" s="121" t="s">
        <v>40</v>
      </c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89"/>
      <c r="R140" s="91">
        <f t="shared" si="0"/>
        <v>0</v>
      </c>
      <c r="S140" s="91">
        <f>BASE!A144</f>
        <v>129</v>
      </c>
      <c r="T140" s="89">
        <f t="shared" si="1"/>
        <v>0</v>
      </c>
      <c r="U140" s="89">
        <f t="shared" si="2"/>
        <v>0</v>
      </c>
      <c r="V140" s="89">
        <f t="shared" si="3"/>
        <v>0</v>
      </c>
      <c r="W140" s="89">
        <f t="shared" si="4"/>
        <v>0</v>
      </c>
      <c r="X140" s="89">
        <f t="shared" si="5"/>
        <v>0</v>
      </c>
      <c r="Y140" s="28"/>
    </row>
    <row r="141" spans="1:25" ht="20.25" customHeight="1">
      <c r="A141" s="88" t="str">
        <f>+IF(BASE!B145="","",BASE!B145)</f>
        <v>23XXR130</v>
      </c>
      <c r="B141" s="121" t="s">
        <v>40</v>
      </c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89"/>
      <c r="R141" s="91">
        <f t="shared" si="0"/>
        <v>0</v>
      </c>
      <c r="S141" s="91">
        <f>BASE!A145</f>
        <v>130</v>
      </c>
      <c r="T141" s="89">
        <f t="shared" si="1"/>
        <v>0</v>
      </c>
      <c r="U141" s="89">
        <f t="shared" si="2"/>
        <v>0</v>
      </c>
      <c r="V141" s="89">
        <f t="shared" si="3"/>
        <v>0</v>
      </c>
      <c r="W141" s="89">
        <f t="shared" si="4"/>
        <v>0</v>
      </c>
      <c r="X141" s="89">
        <f t="shared" si="5"/>
        <v>0</v>
      </c>
      <c r="Y141" s="28"/>
    </row>
    <row r="142" spans="1:25" ht="20.25" customHeight="1">
      <c r="A142" s="88" t="str">
        <f>+IF(BASE!B146="","",BASE!B146)</f>
        <v>23XXR131</v>
      </c>
      <c r="B142" s="121" t="s">
        <v>40</v>
      </c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89"/>
      <c r="R142" s="91">
        <f t="shared" si="0"/>
        <v>0</v>
      </c>
      <c r="S142" s="91">
        <f>BASE!A146</f>
        <v>131</v>
      </c>
      <c r="T142" s="89">
        <f t="shared" si="1"/>
        <v>0</v>
      </c>
      <c r="U142" s="89">
        <f t="shared" si="2"/>
        <v>0</v>
      </c>
      <c r="V142" s="89">
        <f t="shared" si="3"/>
        <v>0</v>
      </c>
      <c r="W142" s="89">
        <f t="shared" si="4"/>
        <v>0</v>
      </c>
      <c r="X142" s="89">
        <f t="shared" si="5"/>
        <v>0</v>
      </c>
      <c r="Y142" s="28"/>
    </row>
    <row r="143" spans="1:25" ht="20.25" customHeight="1">
      <c r="A143" s="88" t="str">
        <f>+IF(BASE!B147="","",BASE!B147)</f>
        <v>23XXR132</v>
      </c>
      <c r="B143" s="121" t="s">
        <v>40</v>
      </c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89"/>
      <c r="R143" s="91">
        <f t="shared" si="0"/>
        <v>0</v>
      </c>
      <c r="S143" s="91">
        <f>BASE!A147</f>
        <v>132</v>
      </c>
      <c r="T143" s="89">
        <f t="shared" si="1"/>
        <v>0</v>
      </c>
      <c r="U143" s="89">
        <f t="shared" si="2"/>
        <v>0</v>
      </c>
      <c r="V143" s="89">
        <f t="shared" si="3"/>
        <v>0</v>
      </c>
      <c r="W143" s="89">
        <f t="shared" si="4"/>
        <v>0</v>
      </c>
      <c r="X143" s="89">
        <f t="shared" si="5"/>
        <v>0</v>
      </c>
      <c r="Y143" s="28"/>
    </row>
    <row r="144" spans="1:25" ht="20.25" customHeight="1">
      <c r="A144" s="88" t="str">
        <f>+IF(BASE!B148="","",BASE!B148)</f>
        <v>23XXR133</v>
      </c>
      <c r="B144" s="121" t="s">
        <v>40</v>
      </c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89"/>
      <c r="R144" s="91">
        <f t="shared" si="0"/>
        <v>0</v>
      </c>
      <c r="S144" s="91">
        <f>BASE!A148</f>
        <v>133</v>
      </c>
      <c r="T144" s="89">
        <f t="shared" si="1"/>
        <v>0</v>
      </c>
      <c r="U144" s="89">
        <f t="shared" si="2"/>
        <v>0</v>
      </c>
      <c r="V144" s="89">
        <f t="shared" si="3"/>
        <v>0</v>
      </c>
      <c r="W144" s="89">
        <f t="shared" si="4"/>
        <v>0</v>
      </c>
      <c r="X144" s="89">
        <f t="shared" si="5"/>
        <v>0</v>
      </c>
      <c r="Y144" s="28"/>
    </row>
    <row r="145" spans="1:25" ht="20.25" customHeight="1">
      <c r="A145" s="88" t="str">
        <f>+IF(BASE!B149="","",BASE!B149)</f>
        <v>23XXR134</v>
      </c>
      <c r="B145" s="121" t="s">
        <v>40</v>
      </c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89"/>
      <c r="R145" s="91">
        <f t="shared" si="0"/>
        <v>0</v>
      </c>
      <c r="S145" s="91">
        <f>BASE!A149</f>
        <v>134</v>
      </c>
      <c r="T145" s="89">
        <f t="shared" si="1"/>
        <v>0</v>
      </c>
      <c r="U145" s="89">
        <f t="shared" si="2"/>
        <v>0</v>
      </c>
      <c r="V145" s="89">
        <f t="shared" si="3"/>
        <v>0</v>
      </c>
      <c r="W145" s="89">
        <f t="shared" si="4"/>
        <v>0</v>
      </c>
      <c r="X145" s="89">
        <f t="shared" si="5"/>
        <v>0</v>
      </c>
      <c r="Y145" s="28"/>
    </row>
    <row r="146" spans="1:25" ht="20.25" customHeight="1">
      <c r="A146" s="88" t="str">
        <f>+IF(BASE!B150="","",BASE!B150)</f>
        <v>23XXR135</v>
      </c>
      <c r="B146" s="121" t="s">
        <v>40</v>
      </c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89"/>
      <c r="R146" s="91">
        <f t="shared" si="0"/>
        <v>0</v>
      </c>
      <c r="S146" s="91">
        <f>BASE!A150</f>
        <v>135</v>
      </c>
      <c r="T146" s="89">
        <f t="shared" si="1"/>
        <v>0</v>
      </c>
      <c r="U146" s="89">
        <f t="shared" si="2"/>
        <v>0</v>
      </c>
      <c r="V146" s="89">
        <f t="shared" si="3"/>
        <v>0</v>
      </c>
      <c r="W146" s="89">
        <f t="shared" si="4"/>
        <v>0</v>
      </c>
      <c r="X146" s="89">
        <f t="shared" si="5"/>
        <v>0</v>
      </c>
      <c r="Y146" s="28"/>
    </row>
    <row r="147" spans="1:25" ht="20.25" customHeight="1">
      <c r="A147" s="88" t="str">
        <f>+IF(BASE!B151="","",BASE!B151)</f>
        <v>23XXR136</v>
      </c>
      <c r="B147" s="121" t="s">
        <v>40</v>
      </c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89"/>
      <c r="R147" s="91">
        <f t="shared" si="0"/>
        <v>0</v>
      </c>
      <c r="S147" s="91">
        <f>BASE!A151</f>
        <v>136</v>
      </c>
      <c r="T147" s="89">
        <f t="shared" si="1"/>
        <v>0</v>
      </c>
      <c r="U147" s="89">
        <f t="shared" si="2"/>
        <v>0</v>
      </c>
      <c r="V147" s="89">
        <f t="shared" si="3"/>
        <v>0</v>
      </c>
      <c r="W147" s="89">
        <f t="shared" si="4"/>
        <v>0</v>
      </c>
      <c r="X147" s="89">
        <f t="shared" si="5"/>
        <v>0</v>
      </c>
      <c r="Y147" s="28"/>
    </row>
    <row r="148" spans="1:25" ht="20.25" customHeight="1">
      <c r="A148" s="88" t="str">
        <f>+IF(BASE!B152="","",BASE!B152)</f>
        <v>23XXR137</v>
      </c>
      <c r="B148" s="121" t="s">
        <v>40</v>
      </c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89"/>
      <c r="R148" s="91">
        <f t="shared" si="0"/>
        <v>0</v>
      </c>
      <c r="S148" s="91">
        <f>BASE!A152</f>
        <v>137</v>
      </c>
      <c r="T148" s="89">
        <f t="shared" si="1"/>
        <v>0</v>
      </c>
      <c r="U148" s="89">
        <f t="shared" si="2"/>
        <v>0</v>
      </c>
      <c r="V148" s="89">
        <f t="shared" si="3"/>
        <v>0</v>
      </c>
      <c r="W148" s="89">
        <f t="shared" si="4"/>
        <v>0</v>
      </c>
      <c r="X148" s="89">
        <f t="shared" si="5"/>
        <v>0</v>
      </c>
      <c r="Y148" s="28"/>
    </row>
    <row r="149" spans="1:25" ht="20.25" customHeight="1">
      <c r="A149" s="88" t="str">
        <f>+IF(BASE!B153="","",BASE!B153)</f>
        <v>23XXR138</v>
      </c>
      <c r="B149" s="121" t="s">
        <v>40</v>
      </c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89"/>
      <c r="R149" s="91">
        <f t="shared" si="0"/>
        <v>0</v>
      </c>
      <c r="S149" s="91">
        <f>BASE!A153</f>
        <v>138</v>
      </c>
      <c r="T149" s="89">
        <f t="shared" si="1"/>
        <v>0</v>
      </c>
      <c r="U149" s="89">
        <f t="shared" si="2"/>
        <v>0</v>
      </c>
      <c r="V149" s="89">
        <f t="shared" si="3"/>
        <v>0</v>
      </c>
      <c r="W149" s="89">
        <f t="shared" si="4"/>
        <v>0</v>
      </c>
      <c r="X149" s="89">
        <f t="shared" si="5"/>
        <v>0</v>
      </c>
      <c r="Y149" s="28"/>
    </row>
    <row r="150" spans="1:25" ht="20.25" customHeight="1">
      <c r="A150" s="88" t="str">
        <f>+IF(BASE!B154="","",BASE!B154)</f>
        <v>23XXR139</v>
      </c>
      <c r="B150" s="121" t="s">
        <v>40</v>
      </c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89"/>
      <c r="R150" s="91">
        <f t="shared" si="0"/>
        <v>0</v>
      </c>
      <c r="S150" s="91">
        <f>BASE!A154</f>
        <v>139</v>
      </c>
      <c r="T150" s="89">
        <f t="shared" si="1"/>
        <v>0</v>
      </c>
      <c r="U150" s="89">
        <f t="shared" si="2"/>
        <v>0</v>
      </c>
      <c r="V150" s="89">
        <f t="shared" si="3"/>
        <v>0</v>
      </c>
      <c r="W150" s="89">
        <f t="shared" si="4"/>
        <v>0</v>
      </c>
      <c r="X150" s="89">
        <f t="shared" si="5"/>
        <v>0</v>
      </c>
      <c r="Y150" s="28"/>
    </row>
    <row r="151" spans="1:25" ht="20.25" customHeight="1">
      <c r="A151" s="88" t="str">
        <f>+IF(BASE!B155="","",BASE!B155)</f>
        <v>23XXR140</v>
      </c>
      <c r="B151" s="121" t="s">
        <v>40</v>
      </c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89"/>
      <c r="R151" s="91">
        <f t="shared" si="0"/>
        <v>0</v>
      </c>
      <c r="S151" s="91">
        <f>BASE!A155</f>
        <v>140</v>
      </c>
      <c r="T151" s="89">
        <f t="shared" si="1"/>
        <v>0</v>
      </c>
      <c r="U151" s="89">
        <f t="shared" si="2"/>
        <v>0</v>
      </c>
      <c r="V151" s="89">
        <f t="shared" si="3"/>
        <v>0</v>
      </c>
      <c r="W151" s="89">
        <f t="shared" si="4"/>
        <v>0</v>
      </c>
      <c r="X151" s="89">
        <f t="shared" si="5"/>
        <v>0</v>
      </c>
      <c r="Y151" s="28"/>
    </row>
    <row r="152" spans="1:25" ht="20.25" customHeight="1">
      <c r="A152" s="88" t="str">
        <f>+IF(BASE!B156="","",BASE!B156)</f>
        <v>23XXR141</v>
      </c>
      <c r="B152" s="121" t="s">
        <v>40</v>
      </c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89"/>
      <c r="R152" s="91">
        <f t="shared" si="0"/>
        <v>0</v>
      </c>
      <c r="S152" s="91">
        <f>BASE!A156</f>
        <v>141</v>
      </c>
      <c r="T152" s="89">
        <f t="shared" si="1"/>
        <v>0</v>
      </c>
      <c r="U152" s="89">
        <f t="shared" si="2"/>
        <v>0</v>
      </c>
      <c r="V152" s="89">
        <f t="shared" si="3"/>
        <v>0</v>
      </c>
      <c r="W152" s="89">
        <f t="shared" si="4"/>
        <v>0</v>
      </c>
      <c r="X152" s="89">
        <f t="shared" si="5"/>
        <v>0</v>
      </c>
      <c r="Y152" s="28"/>
    </row>
    <row r="153" spans="1:25" ht="20.25" customHeight="1">
      <c r="A153" s="88" t="str">
        <f>+IF(BASE!B157="","",BASE!B157)</f>
        <v>23XXR142</v>
      </c>
      <c r="B153" s="121" t="s">
        <v>40</v>
      </c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89"/>
      <c r="R153" s="91">
        <f t="shared" si="0"/>
        <v>0</v>
      </c>
      <c r="S153" s="91">
        <f>BASE!A157</f>
        <v>142</v>
      </c>
      <c r="T153" s="89">
        <f t="shared" si="1"/>
        <v>0</v>
      </c>
      <c r="U153" s="89">
        <f t="shared" si="2"/>
        <v>0</v>
      </c>
      <c r="V153" s="89">
        <f t="shared" si="3"/>
        <v>0</v>
      </c>
      <c r="W153" s="89">
        <f t="shared" si="4"/>
        <v>0</v>
      </c>
      <c r="X153" s="89">
        <f t="shared" si="5"/>
        <v>0</v>
      </c>
      <c r="Y153" s="28"/>
    </row>
    <row r="154" spans="1:25" ht="20.25" customHeight="1">
      <c r="A154" s="88" t="str">
        <f>+IF(BASE!B158="","",BASE!B158)</f>
        <v>23XXR143</v>
      </c>
      <c r="B154" s="121" t="s">
        <v>40</v>
      </c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89"/>
      <c r="R154" s="91">
        <f t="shared" si="0"/>
        <v>0</v>
      </c>
      <c r="S154" s="91">
        <f>BASE!A158</f>
        <v>143</v>
      </c>
      <c r="T154" s="89">
        <f t="shared" si="1"/>
        <v>0</v>
      </c>
      <c r="U154" s="89">
        <f t="shared" si="2"/>
        <v>0</v>
      </c>
      <c r="V154" s="89">
        <f t="shared" si="3"/>
        <v>0</v>
      </c>
      <c r="W154" s="89">
        <f t="shared" si="4"/>
        <v>0</v>
      </c>
      <c r="X154" s="89">
        <f t="shared" si="5"/>
        <v>0</v>
      </c>
      <c r="Y154" s="28"/>
    </row>
    <row r="155" spans="1:25" ht="20.25" customHeight="1">
      <c r="A155" s="88" t="str">
        <f>+IF(BASE!B159="","",BASE!B159)</f>
        <v>23XXR144</v>
      </c>
      <c r="B155" s="121" t="s">
        <v>40</v>
      </c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89"/>
      <c r="R155" s="91">
        <f t="shared" si="0"/>
        <v>0</v>
      </c>
      <c r="S155" s="91">
        <f>BASE!A159</f>
        <v>144</v>
      </c>
      <c r="T155" s="89">
        <f t="shared" si="1"/>
        <v>0</v>
      </c>
      <c r="U155" s="89">
        <f t="shared" si="2"/>
        <v>0</v>
      </c>
      <c r="V155" s="89">
        <f t="shared" si="3"/>
        <v>0</v>
      </c>
      <c r="W155" s="89">
        <f t="shared" si="4"/>
        <v>0</v>
      </c>
      <c r="X155" s="89">
        <f t="shared" si="5"/>
        <v>0</v>
      </c>
      <c r="Y155" s="28"/>
    </row>
    <row r="156" spans="1:25" ht="20.25" customHeight="1">
      <c r="A156" s="88" t="str">
        <f>+IF(BASE!B160="","",BASE!B160)</f>
        <v>23XXR145</v>
      </c>
      <c r="B156" s="121" t="s">
        <v>40</v>
      </c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89"/>
      <c r="R156" s="91">
        <f t="shared" si="0"/>
        <v>0</v>
      </c>
      <c r="S156" s="91">
        <f>BASE!A160</f>
        <v>145</v>
      </c>
      <c r="T156" s="89">
        <f t="shared" si="1"/>
        <v>0</v>
      </c>
      <c r="U156" s="89">
        <f t="shared" si="2"/>
        <v>0</v>
      </c>
      <c r="V156" s="89">
        <f t="shared" si="3"/>
        <v>0</v>
      </c>
      <c r="W156" s="89">
        <f t="shared" si="4"/>
        <v>0</v>
      </c>
      <c r="X156" s="89">
        <f t="shared" si="5"/>
        <v>0</v>
      </c>
      <c r="Y156" s="28"/>
    </row>
    <row r="157" spans="1:25" ht="20.25" customHeight="1">
      <c r="A157" s="88" t="str">
        <f>+IF(BASE!B161="","",BASE!B161)</f>
        <v>23XXR146</v>
      </c>
      <c r="B157" s="121" t="s">
        <v>40</v>
      </c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89"/>
      <c r="R157" s="91">
        <f t="shared" si="0"/>
        <v>0</v>
      </c>
      <c r="S157" s="91">
        <f>BASE!A161</f>
        <v>146</v>
      </c>
      <c r="T157" s="89">
        <f t="shared" si="1"/>
        <v>0</v>
      </c>
      <c r="U157" s="89">
        <f t="shared" si="2"/>
        <v>0</v>
      </c>
      <c r="V157" s="89">
        <f t="shared" si="3"/>
        <v>0</v>
      </c>
      <c r="W157" s="89">
        <f t="shared" si="4"/>
        <v>0</v>
      </c>
      <c r="X157" s="89">
        <f t="shared" si="5"/>
        <v>0</v>
      </c>
      <c r="Y157" s="28"/>
    </row>
    <row r="158" spans="1:25" ht="20.25" customHeight="1">
      <c r="A158" s="88" t="str">
        <f>+IF(BASE!B162="","",BASE!B162)</f>
        <v>23XXR147</v>
      </c>
      <c r="B158" s="121" t="s">
        <v>40</v>
      </c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89"/>
      <c r="R158" s="91">
        <f t="shared" si="0"/>
        <v>0</v>
      </c>
      <c r="S158" s="91">
        <f>BASE!A162</f>
        <v>147</v>
      </c>
      <c r="T158" s="89">
        <f t="shared" si="1"/>
        <v>0</v>
      </c>
      <c r="U158" s="89">
        <f t="shared" si="2"/>
        <v>0</v>
      </c>
      <c r="V158" s="89">
        <f t="shared" si="3"/>
        <v>0</v>
      </c>
      <c r="W158" s="89">
        <f t="shared" si="4"/>
        <v>0</v>
      </c>
      <c r="X158" s="89">
        <f t="shared" si="5"/>
        <v>0</v>
      </c>
      <c r="Y158" s="28"/>
    </row>
    <row r="159" spans="1:25" ht="20.25" customHeight="1">
      <c r="A159" s="88" t="str">
        <f>+IF(BASE!B163="","",BASE!B163)</f>
        <v>23XXR148</v>
      </c>
      <c r="B159" s="121" t="s">
        <v>40</v>
      </c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89"/>
      <c r="R159" s="91">
        <f t="shared" si="0"/>
        <v>0</v>
      </c>
      <c r="S159" s="91">
        <f>BASE!A163</f>
        <v>148</v>
      </c>
      <c r="T159" s="89">
        <f t="shared" si="1"/>
        <v>0</v>
      </c>
      <c r="U159" s="89">
        <f t="shared" si="2"/>
        <v>0</v>
      </c>
      <c r="V159" s="89">
        <f t="shared" si="3"/>
        <v>0</v>
      </c>
      <c r="W159" s="89">
        <f t="shared" si="4"/>
        <v>0</v>
      </c>
      <c r="X159" s="89">
        <f t="shared" si="5"/>
        <v>0</v>
      </c>
      <c r="Y159" s="28"/>
    </row>
    <row r="160" spans="1:25" ht="20.25" customHeight="1">
      <c r="A160" s="88" t="str">
        <f>+IF(BASE!B164="","",BASE!B164)</f>
        <v>23XXR149</v>
      </c>
      <c r="B160" s="121" t="s">
        <v>40</v>
      </c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89"/>
      <c r="R160" s="91">
        <f t="shared" si="0"/>
        <v>0</v>
      </c>
      <c r="S160" s="91">
        <f>BASE!A164</f>
        <v>149</v>
      </c>
      <c r="T160" s="89">
        <f t="shared" si="1"/>
        <v>0</v>
      </c>
      <c r="U160" s="89">
        <f t="shared" si="2"/>
        <v>0</v>
      </c>
      <c r="V160" s="89">
        <f t="shared" si="3"/>
        <v>0</v>
      </c>
      <c r="W160" s="89">
        <f t="shared" si="4"/>
        <v>0</v>
      </c>
      <c r="X160" s="89">
        <f t="shared" si="5"/>
        <v>0</v>
      </c>
      <c r="Y160" s="28"/>
    </row>
    <row r="161" spans="1:25" ht="20.25" customHeight="1">
      <c r="A161" s="88" t="str">
        <f>+IF(BASE!B165="","",BASE!B165)</f>
        <v>23XXR150</v>
      </c>
      <c r="B161" s="121" t="s">
        <v>40</v>
      </c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89"/>
      <c r="R161" s="91">
        <f t="shared" si="0"/>
        <v>0</v>
      </c>
      <c r="S161" s="91">
        <f>BASE!A165</f>
        <v>150</v>
      </c>
      <c r="T161" s="89">
        <f t="shared" si="1"/>
        <v>0</v>
      </c>
      <c r="U161" s="89">
        <f t="shared" si="2"/>
        <v>0</v>
      </c>
      <c r="V161" s="89">
        <f t="shared" si="3"/>
        <v>0</v>
      </c>
      <c r="W161" s="89">
        <f t="shared" si="4"/>
        <v>0</v>
      </c>
      <c r="X161" s="89">
        <f t="shared" si="5"/>
        <v>0</v>
      </c>
      <c r="Y161" s="28"/>
    </row>
    <row r="162" spans="1:25" ht="20.25" customHeight="1">
      <c r="A162" s="88" t="str">
        <f>+IF(BASE!B166="","",BASE!B166)</f>
        <v>23XXR151</v>
      </c>
      <c r="B162" s="121" t="s">
        <v>40</v>
      </c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89"/>
      <c r="R162" s="91">
        <f t="shared" si="0"/>
        <v>0</v>
      </c>
      <c r="S162" s="91">
        <f>BASE!A166</f>
        <v>151</v>
      </c>
      <c r="T162" s="89">
        <f t="shared" si="1"/>
        <v>0</v>
      </c>
      <c r="U162" s="89">
        <f t="shared" si="2"/>
        <v>0</v>
      </c>
      <c r="V162" s="89">
        <f t="shared" si="3"/>
        <v>0</v>
      </c>
      <c r="W162" s="89">
        <f t="shared" si="4"/>
        <v>0</v>
      </c>
      <c r="X162" s="89">
        <f t="shared" si="5"/>
        <v>0</v>
      </c>
      <c r="Y162" s="28"/>
    </row>
    <row r="163" spans="1:25" ht="20.25" customHeight="1">
      <c r="A163" s="88" t="str">
        <f>+IF(BASE!B167="","",BASE!B167)</f>
        <v>23XXR152</v>
      </c>
      <c r="B163" s="121" t="s">
        <v>40</v>
      </c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89"/>
      <c r="R163" s="91">
        <f t="shared" si="0"/>
        <v>0</v>
      </c>
      <c r="S163" s="91">
        <f>BASE!A167</f>
        <v>152</v>
      </c>
      <c r="T163" s="89">
        <f t="shared" si="1"/>
        <v>0</v>
      </c>
      <c r="U163" s="89">
        <f t="shared" si="2"/>
        <v>0</v>
      </c>
      <c r="V163" s="89">
        <f t="shared" si="3"/>
        <v>0</v>
      </c>
      <c r="W163" s="89">
        <f t="shared" si="4"/>
        <v>0</v>
      </c>
      <c r="X163" s="89">
        <f t="shared" si="5"/>
        <v>0</v>
      </c>
      <c r="Y163" s="28"/>
    </row>
    <row r="164" spans="1:25" ht="20.25" customHeight="1">
      <c r="A164" s="88" t="str">
        <f>+IF(BASE!B168="","",BASE!B168)</f>
        <v>23XXR153</v>
      </c>
      <c r="B164" s="121" t="s">
        <v>40</v>
      </c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89"/>
      <c r="R164" s="91">
        <f t="shared" si="0"/>
        <v>0</v>
      </c>
      <c r="S164" s="91">
        <f>BASE!A168</f>
        <v>153</v>
      </c>
      <c r="T164" s="89">
        <f t="shared" si="1"/>
        <v>0</v>
      </c>
      <c r="U164" s="89">
        <f t="shared" si="2"/>
        <v>0</v>
      </c>
      <c r="V164" s="89">
        <f t="shared" si="3"/>
        <v>0</v>
      </c>
      <c r="W164" s="89">
        <f t="shared" si="4"/>
        <v>0</v>
      </c>
      <c r="X164" s="89">
        <f t="shared" si="5"/>
        <v>0</v>
      </c>
      <c r="Y164" s="28"/>
    </row>
    <row r="165" spans="1:25" ht="20.25" customHeight="1">
      <c r="A165" s="88" t="str">
        <f>+IF(BASE!B169="","",BASE!B169)</f>
        <v>23XXR154</v>
      </c>
      <c r="B165" s="121" t="s">
        <v>40</v>
      </c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89"/>
      <c r="R165" s="91">
        <f t="shared" si="0"/>
        <v>0</v>
      </c>
      <c r="S165" s="91">
        <f>BASE!A169</f>
        <v>154</v>
      </c>
      <c r="T165" s="89">
        <f t="shared" si="1"/>
        <v>0</v>
      </c>
      <c r="U165" s="89">
        <f t="shared" si="2"/>
        <v>0</v>
      </c>
      <c r="V165" s="89">
        <f t="shared" si="3"/>
        <v>0</v>
      </c>
      <c r="W165" s="89">
        <f t="shared" si="4"/>
        <v>0</v>
      </c>
      <c r="X165" s="89">
        <f t="shared" si="5"/>
        <v>0</v>
      </c>
      <c r="Y165" s="28"/>
    </row>
    <row r="166" spans="1:25" ht="20.25" customHeight="1">
      <c r="A166" s="88" t="str">
        <f>+IF(BASE!B170="","",BASE!B170)</f>
        <v>23XXR155</v>
      </c>
      <c r="B166" s="121" t="s">
        <v>40</v>
      </c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89"/>
      <c r="R166" s="91">
        <f t="shared" si="0"/>
        <v>0</v>
      </c>
      <c r="S166" s="91">
        <f>BASE!A170</f>
        <v>155</v>
      </c>
      <c r="T166" s="89">
        <f t="shared" si="1"/>
        <v>0</v>
      </c>
      <c r="U166" s="89">
        <f t="shared" si="2"/>
        <v>0</v>
      </c>
      <c r="V166" s="89">
        <f t="shared" si="3"/>
        <v>0</v>
      </c>
      <c r="W166" s="89">
        <f t="shared" si="4"/>
        <v>0</v>
      </c>
      <c r="X166" s="89">
        <f t="shared" si="5"/>
        <v>0</v>
      </c>
      <c r="Y166" s="28"/>
    </row>
    <row r="167" spans="1:25" ht="20.25" customHeight="1">
      <c r="A167" s="88" t="str">
        <f>+IF(BASE!B171="","",BASE!B171)</f>
        <v>23XXR156</v>
      </c>
      <c r="B167" s="121" t="s">
        <v>40</v>
      </c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89"/>
      <c r="R167" s="91">
        <f t="shared" si="0"/>
        <v>0</v>
      </c>
      <c r="S167" s="91">
        <f>BASE!A171</f>
        <v>156</v>
      </c>
      <c r="T167" s="89">
        <f t="shared" si="1"/>
        <v>0</v>
      </c>
      <c r="U167" s="89">
        <f t="shared" si="2"/>
        <v>0</v>
      </c>
      <c r="V167" s="89">
        <f t="shared" si="3"/>
        <v>0</v>
      </c>
      <c r="W167" s="89">
        <f t="shared" si="4"/>
        <v>0</v>
      </c>
      <c r="X167" s="89">
        <f t="shared" si="5"/>
        <v>0</v>
      </c>
      <c r="Y167" s="28"/>
    </row>
    <row r="168" spans="1:25" ht="20.25" customHeight="1">
      <c r="A168" s="88" t="str">
        <f>+IF(BASE!B172="","",BASE!B172)</f>
        <v>23XXR157</v>
      </c>
      <c r="B168" s="121" t="s">
        <v>40</v>
      </c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89"/>
      <c r="R168" s="91">
        <f t="shared" si="0"/>
        <v>0</v>
      </c>
      <c r="S168" s="91">
        <f>BASE!A172</f>
        <v>157</v>
      </c>
      <c r="T168" s="89">
        <f t="shared" si="1"/>
        <v>0</v>
      </c>
      <c r="U168" s="89">
        <f t="shared" si="2"/>
        <v>0</v>
      </c>
      <c r="V168" s="89">
        <f t="shared" si="3"/>
        <v>0</v>
      </c>
      <c r="W168" s="89">
        <f t="shared" si="4"/>
        <v>0</v>
      </c>
      <c r="X168" s="89">
        <f t="shared" si="5"/>
        <v>0</v>
      </c>
      <c r="Y168" s="28"/>
    </row>
    <row r="169" spans="1:25" ht="20.25" customHeight="1">
      <c r="A169" s="88" t="str">
        <f>+IF(BASE!B173="","",BASE!B173)</f>
        <v>23XXR158</v>
      </c>
      <c r="B169" s="121" t="s">
        <v>40</v>
      </c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89"/>
      <c r="R169" s="91">
        <f t="shared" si="0"/>
        <v>0</v>
      </c>
      <c r="S169" s="91">
        <f>BASE!A173</f>
        <v>158</v>
      </c>
      <c r="T169" s="89">
        <f t="shared" si="1"/>
        <v>0</v>
      </c>
      <c r="U169" s="89">
        <f t="shared" si="2"/>
        <v>0</v>
      </c>
      <c r="V169" s="89">
        <f t="shared" si="3"/>
        <v>0</v>
      </c>
      <c r="W169" s="89">
        <f t="shared" si="4"/>
        <v>0</v>
      </c>
      <c r="X169" s="89">
        <f t="shared" si="5"/>
        <v>0</v>
      </c>
      <c r="Y169" s="28"/>
    </row>
    <row r="170" spans="1:25" ht="20.25" customHeight="1">
      <c r="A170" s="88" t="str">
        <f>+IF(BASE!B174="","",BASE!B174)</f>
        <v>23XXR159</v>
      </c>
      <c r="B170" s="121" t="s">
        <v>40</v>
      </c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89"/>
      <c r="R170" s="91">
        <f t="shared" si="0"/>
        <v>0</v>
      </c>
      <c r="S170" s="91">
        <f>BASE!A174</f>
        <v>159</v>
      </c>
      <c r="T170" s="89">
        <f t="shared" si="1"/>
        <v>0</v>
      </c>
      <c r="U170" s="89">
        <f t="shared" si="2"/>
        <v>0</v>
      </c>
      <c r="V170" s="89">
        <f t="shared" si="3"/>
        <v>0</v>
      </c>
      <c r="W170" s="89">
        <f t="shared" si="4"/>
        <v>0</v>
      </c>
      <c r="X170" s="89">
        <f t="shared" si="5"/>
        <v>0</v>
      </c>
      <c r="Y170" s="28"/>
    </row>
    <row r="171" spans="1:25" ht="20.25" customHeight="1">
      <c r="A171" s="88" t="str">
        <f>+IF(BASE!B175="","",BASE!B175)</f>
        <v>23XXR160</v>
      </c>
      <c r="B171" s="121" t="s">
        <v>40</v>
      </c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89"/>
      <c r="R171" s="91">
        <f t="shared" si="0"/>
        <v>0</v>
      </c>
      <c r="S171" s="91">
        <f>BASE!A175</f>
        <v>160</v>
      </c>
      <c r="T171" s="89">
        <f t="shared" si="1"/>
        <v>0</v>
      </c>
      <c r="U171" s="89">
        <f t="shared" si="2"/>
        <v>0</v>
      </c>
      <c r="V171" s="89">
        <f t="shared" si="3"/>
        <v>0</v>
      </c>
      <c r="W171" s="89">
        <f t="shared" si="4"/>
        <v>0</v>
      </c>
      <c r="X171" s="89">
        <f t="shared" si="5"/>
        <v>0</v>
      </c>
      <c r="Y171" s="28"/>
    </row>
    <row r="172" spans="1:25" ht="20.25" customHeight="1">
      <c r="A172" s="88" t="str">
        <f>+IF(BASE!B176="","",BASE!B176)</f>
        <v>23XXR161</v>
      </c>
      <c r="B172" s="121" t="s">
        <v>40</v>
      </c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89"/>
      <c r="R172" s="91">
        <f t="shared" si="0"/>
        <v>0</v>
      </c>
      <c r="S172" s="91">
        <f>BASE!A176</f>
        <v>161</v>
      </c>
      <c r="T172" s="89">
        <f t="shared" si="1"/>
        <v>0</v>
      </c>
      <c r="U172" s="89">
        <f t="shared" si="2"/>
        <v>0</v>
      </c>
      <c r="V172" s="89">
        <f t="shared" si="3"/>
        <v>0</v>
      </c>
      <c r="W172" s="89">
        <f t="shared" si="4"/>
        <v>0</v>
      </c>
      <c r="X172" s="89">
        <f t="shared" si="5"/>
        <v>0</v>
      </c>
      <c r="Y172" s="28"/>
    </row>
    <row r="173" spans="1:25" ht="20.25" customHeight="1">
      <c r="A173" s="88" t="str">
        <f>+IF(BASE!B177="","",BASE!B177)</f>
        <v>23XXR162</v>
      </c>
      <c r="B173" s="121" t="s">
        <v>40</v>
      </c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89"/>
      <c r="R173" s="91">
        <f t="shared" si="0"/>
        <v>0</v>
      </c>
      <c r="S173" s="91">
        <f>BASE!A177</f>
        <v>162</v>
      </c>
      <c r="T173" s="89">
        <f t="shared" si="1"/>
        <v>0</v>
      </c>
      <c r="U173" s="89">
        <f t="shared" si="2"/>
        <v>0</v>
      </c>
      <c r="V173" s="89">
        <f t="shared" si="3"/>
        <v>0</v>
      </c>
      <c r="W173" s="89">
        <f t="shared" si="4"/>
        <v>0</v>
      </c>
      <c r="X173" s="89">
        <f t="shared" si="5"/>
        <v>0</v>
      </c>
      <c r="Y173" s="28"/>
    </row>
    <row r="174" spans="1:25" ht="20.25" customHeight="1">
      <c r="A174" s="88" t="str">
        <f>+IF(BASE!B178="","",BASE!B178)</f>
        <v>23XXR163</v>
      </c>
      <c r="B174" s="121" t="s">
        <v>40</v>
      </c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89"/>
      <c r="R174" s="91">
        <f t="shared" si="0"/>
        <v>0</v>
      </c>
      <c r="S174" s="91">
        <f>BASE!A178</f>
        <v>163</v>
      </c>
      <c r="T174" s="89">
        <f t="shared" si="1"/>
        <v>0</v>
      </c>
      <c r="U174" s="89">
        <f t="shared" si="2"/>
        <v>0</v>
      </c>
      <c r="V174" s="89">
        <f t="shared" si="3"/>
        <v>0</v>
      </c>
      <c r="W174" s="89">
        <f t="shared" si="4"/>
        <v>0</v>
      </c>
      <c r="X174" s="89">
        <f t="shared" si="5"/>
        <v>0</v>
      </c>
      <c r="Y174" s="28"/>
    </row>
    <row r="175" spans="1:25" ht="20.25" customHeight="1">
      <c r="A175" s="88" t="str">
        <f>+IF(BASE!B179="","",BASE!B179)</f>
        <v>23XXR164</v>
      </c>
      <c r="B175" s="121" t="s">
        <v>40</v>
      </c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89"/>
      <c r="R175" s="91">
        <f t="shared" si="0"/>
        <v>0</v>
      </c>
      <c r="S175" s="91">
        <f>BASE!A179</f>
        <v>164</v>
      </c>
      <c r="T175" s="89">
        <f t="shared" si="1"/>
        <v>0</v>
      </c>
      <c r="U175" s="89">
        <f t="shared" si="2"/>
        <v>0</v>
      </c>
      <c r="V175" s="89">
        <f t="shared" si="3"/>
        <v>0</v>
      </c>
      <c r="W175" s="89">
        <f t="shared" si="4"/>
        <v>0</v>
      </c>
      <c r="X175" s="89">
        <f t="shared" si="5"/>
        <v>0</v>
      </c>
      <c r="Y175" s="28"/>
    </row>
    <row r="176" spans="1:25" ht="20.25" customHeight="1">
      <c r="A176" s="88" t="str">
        <f>+IF(BASE!B180="","",BASE!B180)</f>
        <v>23XXR165</v>
      </c>
      <c r="B176" s="121" t="s">
        <v>40</v>
      </c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89"/>
      <c r="R176" s="91">
        <f t="shared" si="0"/>
        <v>0</v>
      </c>
      <c r="S176" s="91">
        <f>BASE!A180</f>
        <v>165</v>
      </c>
      <c r="T176" s="89">
        <f t="shared" si="1"/>
        <v>0</v>
      </c>
      <c r="U176" s="89">
        <f t="shared" si="2"/>
        <v>0</v>
      </c>
      <c r="V176" s="89">
        <f t="shared" si="3"/>
        <v>0</v>
      </c>
      <c r="W176" s="89">
        <f t="shared" si="4"/>
        <v>0</v>
      </c>
      <c r="X176" s="89">
        <f t="shared" si="5"/>
        <v>0</v>
      </c>
      <c r="Y176" s="28"/>
    </row>
    <row r="177" spans="1:25" ht="20.25" customHeight="1">
      <c r="A177" s="88" t="str">
        <f>+IF(BASE!B181="","",BASE!B181)</f>
        <v>23XXR166</v>
      </c>
      <c r="B177" s="121" t="s">
        <v>40</v>
      </c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89"/>
      <c r="R177" s="91">
        <f t="shared" si="0"/>
        <v>0</v>
      </c>
      <c r="S177" s="91">
        <f>BASE!A181</f>
        <v>166</v>
      </c>
      <c r="T177" s="89">
        <f t="shared" si="1"/>
        <v>0</v>
      </c>
      <c r="U177" s="89">
        <f t="shared" si="2"/>
        <v>0</v>
      </c>
      <c r="V177" s="89">
        <f t="shared" si="3"/>
        <v>0</v>
      </c>
      <c r="W177" s="89">
        <f t="shared" si="4"/>
        <v>0</v>
      </c>
      <c r="X177" s="89">
        <f t="shared" si="5"/>
        <v>0</v>
      </c>
      <c r="Y177" s="28"/>
    </row>
    <row r="178" spans="1:25" ht="20.25" customHeight="1">
      <c r="A178" s="88" t="str">
        <f>+IF(BASE!B182="","",BASE!B182)</f>
        <v>23XXR167</v>
      </c>
      <c r="B178" s="121" t="s">
        <v>40</v>
      </c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89"/>
      <c r="R178" s="91">
        <f t="shared" si="0"/>
        <v>0</v>
      </c>
      <c r="S178" s="91">
        <f>BASE!A182</f>
        <v>167</v>
      </c>
      <c r="T178" s="89">
        <f t="shared" si="1"/>
        <v>0</v>
      </c>
      <c r="U178" s="89">
        <f t="shared" si="2"/>
        <v>0</v>
      </c>
      <c r="V178" s="89">
        <f t="shared" si="3"/>
        <v>0</v>
      </c>
      <c r="W178" s="89">
        <f t="shared" si="4"/>
        <v>0</v>
      </c>
      <c r="X178" s="89">
        <f t="shared" si="5"/>
        <v>0</v>
      </c>
      <c r="Y178" s="28"/>
    </row>
    <row r="179" spans="1:25" ht="20.25" customHeight="1">
      <c r="A179" s="88" t="str">
        <f>+IF(BASE!B183="","",BASE!B183)</f>
        <v>23XXR168</v>
      </c>
      <c r="B179" s="121" t="s">
        <v>40</v>
      </c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89"/>
      <c r="R179" s="91">
        <f t="shared" si="0"/>
        <v>0</v>
      </c>
      <c r="S179" s="91">
        <f>BASE!A183</f>
        <v>168</v>
      </c>
      <c r="T179" s="89">
        <f t="shared" si="1"/>
        <v>0</v>
      </c>
      <c r="U179" s="89">
        <f t="shared" si="2"/>
        <v>0</v>
      </c>
      <c r="V179" s="89">
        <f t="shared" si="3"/>
        <v>0</v>
      </c>
      <c r="W179" s="89">
        <f t="shared" si="4"/>
        <v>0</v>
      </c>
      <c r="X179" s="89">
        <f t="shared" si="5"/>
        <v>0</v>
      </c>
      <c r="Y179" s="28"/>
    </row>
    <row r="180" spans="1:25" ht="20.25" customHeight="1">
      <c r="A180" s="88" t="str">
        <f>+IF(BASE!B184="","",BASE!B184)</f>
        <v>23XXR169</v>
      </c>
      <c r="B180" s="121" t="s">
        <v>40</v>
      </c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89"/>
      <c r="R180" s="91">
        <f t="shared" si="0"/>
        <v>0</v>
      </c>
      <c r="S180" s="91">
        <f>BASE!A184</f>
        <v>169</v>
      </c>
      <c r="T180" s="89">
        <f t="shared" si="1"/>
        <v>0</v>
      </c>
      <c r="U180" s="89">
        <f t="shared" si="2"/>
        <v>0</v>
      </c>
      <c r="V180" s="89">
        <f t="shared" si="3"/>
        <v>0</v>
      </c>
      <c r="W180" s="89">
        <f t="shared" si="4"/>
        <v>0</v>
      </c>
      <c r="X180" s="89">
        <f t="shared" si="5"/>
        <v>0</v>
      </c>
      <c r="Y180" s="28"/>
    </row>
    <row r="181" spans="1:25" ht="20.25" customHeight="1">
      <c r="A181" s="88" t="str">
        <f>+IF(BASE!B185="","",BASE!B185)</f>
        <v>23XXR170</v>
      </c>
      <c r="B181" s="121" t="s">
        <v>40</v>
      </c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89"/>
      <c r="R181" s="91">
        <f t="shared" si="0"/>
        <v>0</v>
      </c>
      <c r="S181" s="91">
        <f>BASE!A185</f>
        <v>170</v>
      </c>
      <c r="T181" s="89">
        <f t="shared" si="1"/>
        <v>0</v>
      </c>
      <c r="U181" s="89">
        <f t="shared" si="2"/>
        <v>0</v>
      </c>
      <c r="V181" s="89">
        <f t="shared" si="3"/>
        <v>0</v>
      </c>
      <c r="W181" s="89">
        <f t="shared" si="4"/>
        <v>0</v>
      </c>
      <c r="X181" s="89">
        <f t="shared" si="5"/>
        <v>0</v>
      </c>
      <c r="Y181" s="28"/>
    </row>
    <row r="182" spans="1:25" ht="20.25" customHeight="1">
      <c r="A182" s="88" t="str">
        <f>+IF(BASE!B186="","",BASE!B186)</f>
        <v>23XXR171</v>
      </c>
      <c r="B182" s="121" t="s">
        <v>40</v>
      </c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89"/>
      <c r="R182" s="91">
        <f t="shared" si="0"/>
        <v>0</v>
      </c>
      <c r="S182" s="91">
        <f>BASE!A186</f>
        <v>171</v>
      </c>
      <c r="T182" s="89">
        <f t="shared" si="1"/>
        <v>0</v>
      </c>
      <c r="U182" s="89">
        <f t="shared" si="2"/>
        <v>0</v>
      </c>
      <c r="V182" s="89">
        <f t="shared" si="3"/>
        <v>0</v>
      </c>
      <c r="W182" s="89">
        <f t="shared" si="4"/>
        <v>0</v>
      </c>
      <c r="X182" s="89">
        <f t="shared" si="5"/>
        <v>0</v>
      </c>
      <c r="Y182" s="28"/>
    </row>
    <row r="183" spans="1:25" ht="20.25" customHeight="1">
      <c r="A183" s="88" t="str">
        <f>+IF(BASE!B187="","",BASE!B187)</f>
        <v>23XXR172</v>
      </c>
      <c r="B183" s="121" t="s">
        <v>40</v>
      </c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89"/>
      <c r="R183" s="91">
        <f t="shared" si="0"/>
        <v>0</v>
      </c>
      <c r="S183" s="91">
        <f>BASE!A187</f>
        <v>172</v>
      </c>
      <c r="T183" s="89">
        <f t="shared" si="1"/>
        <v>0</v>
      </c>
      <c r="U183" s="89">
        <f t="shared" si="2"/>
        <v>0</v>
      </c>
      <c r="V183" s="89">
        <f t="shared" si="3"/>
        <v>0</v>
      </c>
      <c r="W183" s="89">
        <f t="shared" si="4"/>
        <v>0</v>
      </c>
      <c r="X183" s="89">
        <f t="shared" si="5"/>
        <v>0</v>
      </c>
      <c r="Y183" s="28"/>
    </row>
    <row r="184" spans="1:25" ht="20.25" customHeight="1">
      <c r="A184" s="88" t="str">
        <f>+IF(BASE!B188="","",BASE!B188)</f>
        <v>23XXR173</v>
      </c>
      <c r="B184" s="121" t="s">
        <v>40</v>
      </c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89"/>
      <c r="R184" s="91">
        <f t="shared" si="0"/>
        <v>0</v>
      </c>
      <c r="S184" s="91">
        <f>BASE!A188</f>
        <v>173</v>
      </c>
      <c r="T184" s="89">
        <f t="shared" si="1"/>
        <v>0</v>
      </c>
      <c r="U184" s="89">
        <f t="shared" si="2"/>
        <v>0</v>
      </c>
      <c r="V184" s="89">
        <f t="shared" si="3"/>
        <v>0</v>
      </c>
      <c r="W184" s="89">
        <f t="shared" si="4"/>
        <v>0</v>
      </c>
      <c r="X184" s="89">
        <f t="shared" si="5"/>
        <v>0</v>
      </c>
      <c r="Y184" s="28"/>
    </row>
    <row r="185" spans="1:25" ht="20.25" customHeight="1">
      <c r="A185" s="88" t="str">
        <f>+IF(BASE!B189="","",BASE!B189)</f>
        <v>23XXR174</v>
      </c>
      <c r="B185" s="121" t="s">
        <v>40</v>
      </c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89"/>
      <c r="R185" s="91">
        <f t="shared" si="0"/>
        <v>0</v>
      </c>
      <c r="S185" s="91">
        <f>BASE!A189</f>
        <v>174</v>
      </c>
      <c r="T185" s="89">
        <f t="shared" si="1"/>
        <v>0</v>
      </c>
      <c r="U185" s="89">
        <f t="shared" si="2"/>
        <v>0</v>
      </c>
      <c r="V185" s="89">
        <f t="shared" si="3"/>
        <v>0</v>
      </c>
      <c r="W185" s="89">
        <f t="shared" si="4"/>
        <v>0</v>
      </c>
      <c r="X185" s="89">
        <f t="shared" si="5"/>
        <v>0</v>
      </c>
      <c r="Y185" s="28"/>
    </row>
    <row r="186" spans="1:25" ht="20.25" customHeight="1">
      <c r="A186" s="88" t="str">
        <f>+IF(BASE!B190="","",BASE!B190)</f>
        <v>23XXR175</v>
      </c>
      <c r="B186" s="121" t="s">
        <v>40</v>
      </c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89"/>
      <c r="R186" s="91">
        <f t="shared" si="0"/>
        <v>0</v>
      </c>
      <c r="S186" s="91">
        <f>BASE!A190</f>
        <v>175</v>
      </c>
      <c r="T186" s="89">
        <f t="shared" si="1"/>
        <v>0</v>
      </c>
      <c r="U186" s="89">
        <f t="shared" si="2"/>
        <v>0</v>
      </c>
      <c r="V186" s="89">
        <f t="shared" si="3"/>
        <v>0</v>
      </c>
      <c r="W186" s="89">
        <f t="shared" si="4"/>
        <v>0</v>
      </c>
      <c r="X186" s="89">
        <f t="shared" si="5"/>
        <v>0</v>
      </c>
      <c r="Y186" s="28"/>
    </row>
    <row r="187" spans="1:25" ht="20.25" customHeight="1">
      <c r="A187" s="88" t="str">
        <f>+IF(BASE!B191="","",BASE!B191)</f>
        <v>23XXR176</v>
      </c>
      <c r="B187" s="121" t="s">
        <v>40</v>
      </c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89"/>
      <c r="R187" s="91">
        <f t="shared" si="0"/>
        <v>0</v>
      </c>
      <c r="S187" s="91">
        <f>BASE!A191</f>
        <v>176</v>
      </c>
      <c r="T187" s="89">
        <f t="shared" si="1"/>
        <v>0</v>
      </c>
      <c r="U187" s="89">
        <f t="shared" si="2"/>
        <v>0</v>
      </c>
      <c r="V187" s="89">
        <f t="shared" si="3"/>
        <v>0</v>
      </c>
      <c r="W187" s="89">
        <f t="shared" si="4"/>
        <v>0</v>
      </c>
      <c r="X187" s="89">
        <f t="shared" si="5"/>
        <v>0</v>
      </c>
      <c r="Y187" s="28"/>
    </row>
    <row r="188" spans="1:25" ht="20.25" customHeight="1">
      <c r="A188" s="88" t="str">
        <f>+IF(BASE!B192="","",BASE!B192)</f>
        <v>23XXR177</v>
      </c>
      <c r="B188" s="121" t="s">
        <v>40</v>
      </c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89"/>
      <c r="R188" s="91">
        <f t="shared" si="0"/>
        <v>0</v>
      </c>
      <c r="S188" s="91">
        <f>BASE!A192</f>
        <v>177</v>
      </c>
      <c r="T188" s="89">
        <f t="shared" si="1"/>
        <v>0</v>
      </c>
      <c r="U188" s="89">
        <f t="shared" si="2"/>
        <v>0</v>
      </c>
      <c r="V188" s="89">
        <f t="shared" si="3"/>
        <v>0</v>
      </c>
      <c r="W188" s="89">
        <f t="shared" si="4"/>
        <v>0</v>
      </c>
      <c r="X188" s="89">
        <f t="shared" si="5"/>
        <v>0</v>
      </c>
      <c r="Y188" s="28"/>
    </row>
    <row r="189" spans="1:25" ht="20.25" customHeight="1">
      <c r="A189" s="88" t="str">
        <f>+IF(BASE!B193="","",BASE!B193)</f>
        <v>23XXR178</v>
      </c>
      <c r="B189" s="121" t="s">
        <v>40</v>
      </c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89"/>
      <c r="R189" s="91">
        <f t="shared" si="0"/>
        <v>0</v>
      </c>
      <c r="S189" s="91">
        <f>BASE!A193</f>
        <v>178</v>
      </c>
      <c r="T189" s="89">
        <f t="shared" si="1"/>
        <v>0</v>
      </c>
      <c r="U189" s="89">
        <f t="shared" si="2"/>
        <v>0</v>
      </c>
      <c r="V189" s="89">
        <f t="shared" si="3"/>
        <v>0</v>
      </c>
      <c r="W189" s="89">
        <f t="shared" si="4"/>
        <v>0</v>
      </c>
      <c r="X189" s="89">
        <f t="shared" si="5"/>
        <v>0</v>
      </c>
      <c r="Y189" s="28"/>
    </row>
    <row r="190" spans="1:25" ht="20.25" customHeight="1">
      <c r="A190" s="88" t="str">
        <f>+IF(BASE!B194="","",BASE!B194)</f>
        <v>23XXR179</v>
      </c>
      <c r="B190" s="121" t="s">
        <v>40</v>
      </c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89"/>
      <c r="R190" s="91">
        <f t="shared" si="0"/>
        <v>0</v>
      </c>
      <c r="S190" s="91">
        <f>BASE!A194</f>
        <v>179</v>
      </c>
      <c r="T190" s="89">
        <f t="shared" si="1"/>
        <v>0</v>
      </c>
      <c r="U190" s="89">
        <f t="shared" si="2"/>
        <v>0</v>
      </c>
      <c r="V190" s="89">
        <f t="shared" si="3"/>
        <v>0</v>
      </c>
      <c r="W190" s="89">
        <f t="shared" si="4"/>
        <v>0</v>
      </c>
      <c r="X190" s="89">
        <f t="shared" si="5"/>
        <v>0</v>
      </c>
      <c r="Y190" s="28"/>
    </row>
    <row r="191" spans="1:25" ht="20.25" customHeight="1">
      <c r="A191" s="88" t="str">
        <f>+IF(BASE!B195="","",BASE!B195)</f>
        <v>23XXR180</v>
      </c>
      <c r="B191" s="121" t="s">
        <v>40</v>
      </c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89"/>
      <c r="R191" s="91">
        <f t="shared" si="0"/>
        <v>0</v>
      </c>
      <c r="S191" s="91">
        <f>BASE!A195</f>
        <v>180</v>
      </c>
      <c r="T191" s="89">
        <f t="shared" si="1"/>
        <v>0</v>
      </c>
      <c r="U191" s="89">
        <f t="shared" si="2"/>
        <v>0</v>
      </c>
      <c r="V191" s="89">
        <f t="shared" si="3"/>
        <v>0</v>
      </c>
      <c r="W191" s="89">
        <f t="shared" si="4"/>
        <v>0</v>
      </c>
      <c r="X191" s="89">
        <f t="shared" si="5"/>
        <v>0</v>
      </c>
      <c r="Y191" s="28"/>
    </row>
    <row r="192" spans="1:25" ht="20.25" customHeight="1">
      <c r="A192" s="88" t="str">
        <f>+IF(BASE!B196="","",BASE!B196)</f>
        <v>23XXR181</v>
      </c>
      <c r="B192" s="121" t="s">
        <v>40</v>
      </c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89"/>
      <c r="R192" s="91">
        <f t="shared" si="0"/>
        <v>0</v>
      </c>
      <c r="S192" s="91">
        <f>BASE!A196</f>
        <v>181</v>
      </c>
      <c r="T192" s="89">
        <f t="shared" si="1"/>
        <v>0</v>
      </c>
      <c r="U192" s="89">
        <f t="shared" si="2"/>
        <v>0</v>
      </c>
      <c r="V192" s="89">
        <f t="shared" si="3"/>
        <v>0</v>
      </c>
      <c r="W192" s="89">
        <f t="shared" si="4"/>
        <v>0</v>
      </c>
      <c r="X192" s="89">
        <f t="shared" si="5"/>
        <v>0</v>
      </c>
      <c r="Y192" s="28"/>
    </row>
    <row r="193" spans="1:25" ht="20.25" customHeight="1">
      <c r="A193" s="88" t="str">
        <f>+IF(BASE!B197="","",BASE!B197)</f>
        <v>23XXR182</v>
      </c>
      <c r="B193" s="121" t="s">
        <v>40</v>
      </c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89"/>
      <c r="R193" s="91">
        <f t="shared" si="0"/>
        <v>0</v>
      </c>
      <c r="S193" s="91">
        <f>BASE!A197</f>
        <v>182</v>
      </c>
      <c r="T193" s="89">
        <f t="shared" si="1"/>
        <v>0</v>
      </c>
      <c r="U193" s="89">
        <f t="shared" si="2"/>
        <v>0</v>
      </c>
      <c r="V193" s="89">
        <f t="shared" si="3"/>
        <v>0</v>
      </c>
      <c r="W193" s="89">
        <f t="shared" si="4"/>
        <v>0</v>
      </c>
      <c r="X193" s="89">
        <f t="shared" si="5"/>
        <v>0</v>
      </c>
      <c r="Y193" s="28"/>
    </row>
    <row r="194" spans="1:25" ht="20.25" customHeight="1">
      <c r="A194" s="88" t="str">
        <f>+IF(BASE!B198="","",BASE!B198)</f>
        <v>23XXR183</v>
      </c>
      <c r="B194" s="121" t="s">
        <v>40</v>
      </c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89"/>
      <c r="R194" s="91">
        <f t="shared" si="0"/>
        <v>0</v>
      </c>
      <c r="S194" s="91">
        <f>BASE!A198</f>
        <v>183</v>
      </c>
      <c r="T194" s="89">
        <f t="shared" si="1"/>
        <v>0</v>
      </c>
      <c r="U194" s="89">
        <f t="shared" si="2"/>
        <v>0</v>
      </c>
      <c r="V194" s="89">
        <f t="shared" si="3"/>
        <v>0</v>
      </c>
      <c r="W194" s="89">
        <f t="shared" si="4"/>
        <v>0</v>
      </c>
      <c r="X194" s="89">
        <f t="shared" si="5"/>
        <v>0</v>
      </c>
      <c r="Y194" s="28"/>
    </row>
    <row r="195" spans="1:25" ht="20.25" customHeight="1">
      <c r="A195" s="88" t="str">
        <f>+IF(BASE!B199="","",BASE!B199)</f>
        <v>23XXR184</v>
      </c>
      <c r="B195" s="121" t="s">
        <v>40</v>
      </c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89"/>
      <c r="R195" s="91">
        <f t="shared" si="0"/>
        <v>0</v>
      </c>
      <c r="S195" s="91">
        <f>BASE!A199</f>
        <v>184</v>
      </c>
      <c r="T195" s="89">
        <f t="shared" si="1"/>
        <v>0</v>
      </c>
      <c r="U195" s="89">
        <f t="shared" si="2"/>
        <v>0</v>
      </c>
      <c r="V195" s="89">
        <f t="shared" si="3"/>
        <v>0</v>
      </c>
      <c r="W195" s="89">
        <f t="shared" si="4"/>
        <v>0</v>
      </c>
      <c r="X195" s="89">
        <f t="shared" si="5"/>
        <v>0</v>
      </c>
      <c r="Y195" s="28"/>
    </row>
    <row r="196" spans="1:25" ht="20.25" customHeight="1">
      <c r="A196" s="88" t="str">
        <f>+IF(BASE!B200="","",BASE!B200)</f>
        <v>23XXR185</v>
      </c>
      <c r="B196" s="121" t="s">
        <v>40</v>
      </c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89"/>
      <c r="R196" s="91">
        <f t="shared" si="0"/>
        <v>0</v>
      </c>
      <c r="S196" s="91">
        <f>BASE!A200</f>
        <v>185</v>
      </c>
      <c r="T196" s="89">
        <f t="shared" si="1"/>
        <v>0</v>
      </c>
      <c r="U196" s="89">
        <f t="shared" si="2"/>
        <v>0</v>
      </c>
      <c r="V196" s="89">
        <f t="shared" si="3"/>
        <v>0</v>
      </c>
      <c r="W196" s="89">
        <f t="shared" si="4"/>
        <v>0</v>
      </c>
      <c r="X196" s="89">
        <f t="shared" si="5"/>
        <v>0</v>
      </c>
      <c r="Y196" s="28"/>
    </row>
    <row r="197" spans="1:25" ht="20.25" customHeight="1">
      <c r="A197" s="88" t="str">
        <f>+IF(BASE!B201="","",BASE!B201)</f>
        <v>23XXR186</v>
      </c>
      <c r="B197" s="121" t="s">
        <v>40</v>
      </c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89"/>
      <c r="R197" s="91">
        <f t="shared" si="0"/>
        <v>0</v>
      </c>
      <c r="S197" s="91">
        <f>BASE!A201</f>
        <v>186</v>
      </c>
      <c r="T197" s="89">
        <f t="shared" si="1"/>
        <v>0</v>
      </c>
      <c r="U197" s="89">
        <f t="shared" si="2"/>
        <v>0</v>
      </c>
      <c r="V197" s="89">
        <f t="shared" si="3"/>
        <v>0</v>
      </c>
      <c r="W197" s="89">
        <f t="shared" si="4"/>
        <v>0</v>
      </c>
      <c r="X197" s="89">
        <f t="shared" si="5"/>
        <v>0</v>
      </c>
      <c r="Y197" s="28"/>
    </row>
    <row r="198" spans="1:25" ht="20.25" customHeight="1">
      <c r="A198" s="88" t="str">
        <f>+IF(BASE!B202="","",BASE!B202)</f>
        <v>23XXR187</v>
      </c>
      <c r="B198" s="121" t="s">
        <v>40</v>
      </c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89"/>
      <c r="R198" s="91">
        <f t="shared" si="0"/>
        <v>0</v>
      </c>
      <c r="S198" s="91">
        <f>BASE!A202</f>
        <v>187</v>
      </c>
      <c r="T198" s="89">
        <f t="shared" si="1"/>
        <v>0</v>
      </c>
      <c r="U198" s="89">
        <f t="shared" si="2"/>
        <v>0</v>
      </c>
      <c r="V198" s="89">
        <f t="shared" si="3"/>
        <v>0</v>
      </c>
      <c r="W198" s="89">
        <f t="shared" si="4"/>
        <v>0</v>
      </c>
      <c r="X198" s="89">
        <f t="shared" si="5"/>
        <v>0</v>
      </c>
      <c r="Y198" s="28"/>
    </row>
    <row r="199" spans="1:25" ht="20.25" customHeight="1">
      <c r="A199" s="88" t="str">
        <f>+IF(BASE!B203="","",BASE!B203)</f>
        <v>23XXR188</v>
      </c>
      <c r="B199" s="121" t="s">
        <v>40</v>
      </c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89"/>
      <c r="R199" s="91">
        <f t="shared" si="0"/>
        <v>0</v>
      </c>
      <c r="S199" s="91">
        <f>BASE!A203</f>
        <v>188</v>
      </c>
      <c r="T199" s="89">
        <f t="shared" si="1"/>
        <v>0</v>
      </c>
      <c r="U199" s="89">
        <f t="shared" si="2"/>
        <v>0</v>
      </c>
      <c r="V199" s="89">
        <f t="shared" si="3"/>
        <v>0</v>
      </c>
      <c r="W199" s="89">
        <f t="shared" si="4"/>
        <v>0</v>
      </c>
      <c r="X199" s="89">
        <f t="shared" si="5"/>
        <v>0</v>
      </c>
      <c r="Y199" s="28"/>
    </row>
    <row r="200" spans="1:25" ht="20.25" customHeight="1">
      <c r="A200" s="88" t="str">
        <f>+IF(BASE!B204="","",BASE!B204)</f>
        <v>23XXR189</v>
      </c>
      <c r="B200" s="121" t="s">
        <v>40</v>
      </c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89"/>
      <c r="R200" s="91">
        <f t="shared" si="0"/>
        <v>0</v>
      </c>
      <c r="S200" s="91">
        <f>BASE!A204</f>
        <v>189</v>
      </c>
      <c r="T200" s="89">
        <f t="shared" si="1"/>
        <v>0</v>
      </c>
      <c r="U200" s="89">
        <f t="shared" si="2"/>
        <v>0</v>
      </c>
      <c r="V200" s="89">
        <f t="shared" si="3"/>
        <v>0</v>
      </c>
      <c r="W200" s="89">
        <f t="shared" si="4"/>
        <v>0</v>
      </c>
      <c r="X200" s="89">
        <f t="shared" si="5"/>
        <v>0</v>
      </c>
      <c r="Y200" s="28"/>
    </row>
    <row r="201" spans="1:25" ht="20.25" customHeight="1">
      <c r="A201" s="88" t="str">
        <f>+IF(BASE!B205="","",BASE!B205)</f>
        <v>23XXR190</v>
      </c>
      <c r="B201" s="121" t="s">
        <v>40</v>
      </c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89"/>
      <c r="R201" s="91">
        <f t="shared" si="0"/>
        <v>0</v>
      </c>
      <c r="S201" s="91">
        <f>BASE!A205</f>
        <v>190</v>
      </c>
      <c r="T201" s="89">
        <f t="shared" si="1"/>
        <v>0</v>
      </c>
      <c r="U201" s="89">
        <f t="shared" si="2"/>
        <v>0</v>
      </c>
      <c r="V201" s="89">
        <f t="shared" si="3"/>
        <v>0</v>
      </c>
      <c r="W201" s="89">
        <f t="shared" si="4"/>
        <v>0</v>
      </c>
      <c r="X201" s="89">
        <f t="shared" si="5"/>
        <v>0</v>
      </c>
      <c r="Y201" s="28"/>
    </row>
    <row r="202" spans="1:25" ht="20.25" customHeight="1">
      <c r="A202" s="88" t="str">
        <f>+IF(BASE!B206="","",BASE!B206)</f>
        <v>23XXR191</v>
      </c>
      <c r="B202" s="121" t="s">
        <v>40</v>
      </c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89"/>
      <c r="R202" s="91">
        <f t="shared" si="0"/>
        <v>0</v>
      </c>
      <c r="S202" s="91">
        <f>BASE!A206</f>
        <v>191</v>
      </c>
      <c r="T202" s="89">
        <f t="shared" si="1"/>
        <v>0</v>
      </c>
      <c r="U202" s="89">
        <f t="shared" si="2"/>
        <v>0</v>
      </c>
      <c r="V202" s="89">
        <f t="shared" si="3"/>
        <v>0</v>
      </c>
      <c r="W202" s="89">
        <f t="shared" si="4"/>
        <v>0</v>
      </c>
      <c r="X202" s="89">
        <f t="shared" si="5"/>
        <v>0</v>
      </c>
      <c r="Y202" s="28"/>
    </row>
    <row r="203" spans="1:25" ht="20.25" customHeight="1">
      <c r="A203" s="88" t="str">
        <f>+IF(BASE!B207="","",BASE!B207)</f>
        <v>23XXR192</v>
      </c>
      <c r="B203" s="121" t="s">
        <v>40</v>
      </c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89"/>
      <c r="R203" s="91">
        <f t="shared" si="0"/>
        <v>0</v>
      </c>
      <c r="S203" s="91">
        <f>BASE!A207</f>
        <v>192</v>
      </c>
      <c r="T203" s="89">
        <f t="shared" si="1"/>
        <v>0</v>
      </c>
      <c r="U203" s="89">
        <f t="shared" si="2"/>
        <v>0</v>
      </c>
      <c r="V203" s="89">
        <f t="shared" si="3"/>
        <v>0</v>
      </c>
      <c r="W203" s="89">
        <f t="shared" si="4"/>
        <v>0</v>
      </c>
      <c r="X203" s="89">
        <f t="shared" si="5"/>
        <v>0</v>
      </c>
      <c r="Y203" s="28"/>
    </row>
    <row r="204" spans="1:25" ht="20.25" customHeight="1">
      <c r="A204" s="88" t="str">
        <f>+IF(BASE!B208="","",BASE!B208)</f>
        <v>23XXR193</v>
      </c>
      <c r="B204" s="121" t="s">
        <v>40</v>
      </c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89"/>
      <c r="R204" s="91">
        <f t="shared" si="0"/>
        <v>0</v>
      </c>
      <c r="S204" s="91">
        <f>BASE!A208</f>
        <v>193</v>
      </c>
      <c r="T204" s="89">
        <f t="shared" si="1"/>
        <v>0</v>
      </c>
      <c r="U204" s="89">
        <f t="shared" si="2"/>
        <v>0</v>
      </c>
      <c r="V204" s="89">
        <f t="shared" si="3"/>
        <v>0</v>
      </c>
      <c r="W204" s="89">
        <f t="shared" si="4"/>
        <v>0</v>
      </c>
      <c r="X204" s="89">
        <f t="shared" si="5"/>
        <v>0</v>
      </c>
      <c r="Y204" s="28"/>
    </row>
    <row r="205" spans="1:25" ht="20.25" customHeight="1">
      <c r="A205" s="88" t="str">
        <f>+IF(BASE!B209="","",BASE!B209)</f>
        <v>23XXR194</v>
      </c>
      <c r="B205" s="121" t="s">
        <v>40</v>
      </c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89"/>
      <c r="R205" s="91">
        <f t="shared" si="0"/>
        <v>0</v>
      </c>
      <c r="S205" s="91">
        <f>BASE!A209</f>
        <v>194</v>
      </c>
      <c r="T205" s="89">
        <f t="shared" si="1"/>
        <v>0</v>
      </c>
      <c r="U205" s="89">
        <f t="shared" si="2"/>
        <v>0</v>
      </c>
      <c r="V205" s="89">
        <f t="shared" si="3"/>
        <v>0</v>
      </c>
      <c r="W205" s="89">
        <f t="shared" si="4"/>
        <v>0</v>
      </c>
      <c r="X205" s="89">
        <f t="shared" si="5"/>
        <v>0</v>
      </c>
      <c r="Y205" s="28"/>
    </row>
    <row r="206" spans="1:25" ht="20.25" customHeight="1">
      <c r="A206" s="88" t="str">
        <f>+IF(BASE!B210="","",BASE!B210)</f>
        <v>23XXR195</v>
      </c>
      <c r="B206" s="121" t="s">
        <v>40</v>
      </c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89"/>
      <c r="R206" s="91">
        <f t="shared" si="0"/>
        <v>0</v>
      </c>
      <c r="S206" s="91">
        <f>BASE!A210</f>
        <v>195</v>
      </c>
      <c r="T206" s="89">
        <f t="shared" si="1"/>
        <v>0</v>
      </c>
      <c r="U206" s="89">
        <f t="shared" si="2"/>
        <v>0</v>
      </c>
      <c r="V206" s="89">
        <f t="shared" si="3"/>
        <v>0</v>
      </c>
      <c r="W206" s="89">
        <f t="shared" si="4"/>
        <v>0</v>
      </c>
      <c r="X206" s="89">
        <f t="shared" si="5"/>
        <v>0</v>
      </c>
      <c r="Y206" s="28"/>
    </row>
    <row r="207" spans="1:25" ht="20.25" customHeight="1">
      <c r="A207" s="88" t="str">
        <f>+IF(BASE!B211="","",BASE!B211)</f>
        <v>23XXR196</v>
      </c>
      <c r="B207" s="121" t="s">
        <v>40</v>
      </c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89"/>
      <c r="R207" s="91">
        <f t="shared" si="0"/>
        <v>0</v>
      </c>
      <c r="S207" s="91">
        <f>BASE!A211</f>
        <v>196</v>
      </c>
      <c r="T207" s="89">
        <f t="shared" si="1"/>
        <v>0</v>
      </c>
      <c r="U207" s="89">
        <f t="shared" si="2"/>
        <v>0</v>
      </c>
      <c r="V207" s="89">
        <f t="shared" si="3"/>
        <v>0</v>
      </c>
      <c r="W207" s="89">
        <f t="shared" si="4"/>
        <v>0</v>
      </c>
      <c r="X207" s="89">
        <f t="shared" si="5"/>
        <v>0</v>
      </c>
      <c r="Y207" s="28"/>
    </row>
    <row r="208" spans="1:25" ht="20.25" customHeight="1">
      <c r="A208" s="88" t="str">
        <f>+IF(BASE!B212="","",BASE!B212)</f>
        <v>23XXR197</v>
      </c>
      <c r="B208" s="121" t="s">
        <v>40</v>
      </c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89"/>
      <c r="R208" s="91">
        <f t="shared" si="0"/>
        <v>0</v>
      </c>
      <c r="S208" s="91">
        <f>BASE!A212</f>
        <v>197</v>
      </c>
      <c r="T208" s="89">
        <f t="shared" si="1"/>
        <v>0</v>
      </c>
      <c r="U208" s="89">
        <f t="shared" si="2"/>
        <v>0</v>
      </c>
      <c r="V208" s="89">
        <f t="shared" si="3"/>
        <v>0</v>
      </c>
      <c r="W208" s="89">
        <f t="shared" si="4"/>
        <v>0</v>
      </c>
      <c r="X208" s="89">
        <f t="shared" si="5"/>
        <v>0</v>
      </c>
      <c r="Y208" s="28"/>
    </row>
    <row r="209" spans="1:25" ht="20.25" customHeight="1">
      <c r="A209" s="88" t="str">
        <f>+IF(BASE!B213="","",BASE!B213)</f>
        <v>23XXR198</v>
      </c>
      <c r="B209" s="121" t="s">
        <v>40</v>
      </c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89"/>
      <c r="R209" s="91">
        <f t="shared" si="0"/>
        <v>0</v>
      </c>
      <c r="S209" s="91">
        <f>BASE!A213</f>
        <v>198</v>
      </c>
      <c r="T209" s="89">
        <f t="shared" si="1"/>
        <v>0</v>
      </c>
      <c r="U209" s="89">
        <f t="shared" si="2"/>
        <v>0</v>
      </c>
      <c r="V209" s="89">
        <f t="shared" si="3"/>
        <v>0</v>
      </c>
      <c r="W209" s="89">
        <f t="shared" si="4"/>
        <v>0</v>
      </c>
      <c r="X209" s="89">
        <f t="shared" si="5"/>
        <v>0</v>
      </c>
      <c r="Y209" s="28"/>
    </row>
    <row r="210" spans="1:25" ht="20.25" customHeight="1">
      <c r="A210" s="88" t="str">
        <f>+IF(BASE!B214="","",BASE!B214)</f>
        <v>23XXR199</v>
      </c>
      <c r="B210" s="121" t="s">
        <v>40</v>
      </c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89"/>
      <c r="R210" s="91">
        <f t="shared" si="0"/>
        <v>0</v>
      </c>
      <c r="S210" s="91">
        <f>BASE!A214</f>
        <v>199</v>
      </c>
      <c r="T210" s="89">
        <f t="shared" si="1"/>
        <v>0</v>
      </c>
      <c r="U210" s="89">
        <f t="shared" si="2"/>
        <v>0</v>
      </c>
      <c r="V210" s="89">
        <f t="shared" si="3"/>
        <v>0</v>
      </c>
      <c r="W210" s="89">
        <f t="shared" si="4"/>
        <v>0</v>
      </c>
      <c r="X210" s="89">
        <f t="shared" si="5"/>
        <v>0</v>
      </c>
      <c r="Y210" s="28"/>
    </row>
    <row r="211" spans="1:25" ht="20.25" customHeight="1">
      <c r="A211" s="88" t="str">
        <f>+IF(BASE!B215="","",BASE!B215)</f>
        <v>23XXR200</v>
      </c>
      <c r="B211" s="121" t="s">
        <v>40</v>
      </c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89"/>
      <c r="R211" s="91">
        <f t="shared" si="0"/>
        <v>0</v>
      </c>
      <c r="S211" s="91">
        <f>BASE!A215</f>
        <v>200</v>
      </c>
      <c r="T211" s="89">
        <f t="shared" si="1"/>
        <v>0</v>
      </c>
      <c r="U211" s="89">
        <f t="shared" si="2"/>
        <v>0</v>
      </c>
      <c r="V211" s="89">
        <f t="shared" si="3"/>
        <v>0</v>
      </c>
      <c r="W211" s="89">
        <f t="shared" si="4"/>
        <v>0</v>
      </c>
      <c r="X211" s="89">
        <f t="shared" si="5"/>
        <v>0</v>
      </c>
      <c r="Y211" s="28"/>
    </row>
    <row r="212" spans="1:25" ht="20.25" customHeight="1">
      <c r="A212" s="88" t="str">
        <f>+IF(BASE!B216="","",BASE!B216)</f>
        <v>23XXR201</v>
      </c>
      <c r="B212" s="121" t="s">
        <v>40</v>
      </c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89"/>
      <c r="R212" s="91">
        <f t="shared" si="0"/>
        <v>0</v>
      </c>
      <c r="S212" s="91">
        <f>BASE!A216</f>
        <v>201</v>
      </c>
      <c r="T212" s="89">
        <f t="shared" si="1"/>
        <v>0</v>
      </c>
      <c r="U212" s="89">
        <f t="shared" si="2"/>
        <v>0</v>
      </c>
      <c r="V212" s="89">
        <f t="shared" si="3"/>
        <v>0</v>
      </c>
      <c r="W212" s="89">
        <f t="shared" si="4"/>
        <v>0</v>
      </c>
      <c r="X212" s="89">
        <f t="shared" si="5"/>
        <v>0</v>
      </c>
      <c r="Y212" s="28"/>
    </row>
    <row r="213" spans="1:25" ht="20.25" customHeight="1">
      <c r="A213" s="88" t="str">
        <f>+IF(BASE!B217="","",BASE!B217)</f>
        <v>23XXR202</v>
      </c>
      <c r="B213" s="121" t="s">
        <v>40</v>
      </c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89"/>
      <c r="R213" s="91">
        <f t="shared" si="0"/>
        <v>0</v>
      </c>
      <c r="S213" s="91">
        <f>BASE!A217</f>
        <v>202</v>
      </c>
      <c r="T213" s="89">
        <f t="shared" si="1"/>
        <v>0</v>
      </c>
      <c r="U213" s="89">
        <f t="shared" si="2"/>
        <v>0</v>
      </c>
      <c r="V213" s="89">
        <f t="shared" si="3"/>
        <v>0</v>
      </c>
      <c r="W213" s="89">
        <f t="shared" si="4"/>
        <v>0</v>
      </c>
      <c r="X213" s="89">
        <f t="shared" si="5"/>
        <v>0</v>
      </c>
      <c r="Y213" s="28"/>
    </row>
    <row r="214" spans="1:25" ht="20.25" customHeight="1">
      <c r="A214" s="88" t="str">
        <f>+IF(BASE!B218="","",BASE!B218)</f>
        <v>23XXR203</v>
      </c>
      <c r="B214" s="121" t="s">
        <v>40</v>
      </c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89"/>
      <c r="R214" s="91">
        <f t="shared" si="0"/>
        <v>0</v>
      </c>
      <c r="S214" s="91">
        <f>BASE!A218</f>
        <v>203</v>
      </c>
      <c r="T214" s="89">
        <f t="shared" si="1"/>
        <v>0</v>
      </c>
      <c r="U214" s="89">
        <f t="shared" si="2"/>
        <v>0</v>
      </c>
      <c r="V214" s="89">
        <f t="shared" si="3"/>
        <v>0</v>
      </c>
      <c r="W214" s="89">
        <f t="shared" si="4"/>
        <v>0</v>
      </c>
      <c r="X214" s="89">
        <f t="shared" si="5"/>
        <v>0</v>
      </c>
      <c r="Y214" s="28"/>
    </row>
    <row r="215" spans="1:25" ht="20.25" customHeight="1">
      <c r="A215" s="88" t="str">
        <f>+IF(BASE!B219="","",BASE!B219)</f>
        <v>23XXR204</v>
      </c>
      <c r="B215" s="121" t="s">
        <v>40</v>
      </c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89"/>
      <c r="R215" s="91">
        <f t="shared" si="0"/>
        <v>0</v>
      </c>
      <c r="S215" s="91">
        <f>BASE!A219</f>
        <v>204</v>
      </c>
      <c r="T215" s="89">
        <f t="shared" si="1"/>
        <v>0</v>
      </c>
      <c r="U215" s="89">
        <f t="shared" si="2"/>
        <v>0</v>
      </c>
      <c r="V215" s="89">
        <f t="shared" si="3"/>
        <v>0</v>
      </c>
      <c r="W215" s="89">
        <f t="shared" si="4"/>
        <v>0</v>
      </c>
      <c r="X215" s="89">
        <f t="shared" si="5"/>
        <v>0</v>
      </c>
      <c r="Y215" s="28"/>
    </row>
    <row r="216" spans="1:25" ht="20.25" customHeight="1">
      <c r="A216" s="88" t="str">
        <f>+IF(BASE!B220="","",BASE!B220)</f>
        <v>23XXR205</v>
      </c>
      <c r="B216" s="121" t="s">
        <v>40</v>
      </c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89"/>
      <c r="R216" s="91">
        <f t="shared" si="0"/>
        <v>0</v>
      </c>
      <c r="S216" s="91">
        <f>BASE!A220</f>
        <v>205</v>
      </c>
      <c r="T216" s="89">
        <f t="shared" si="1"/>
        <v>0</v>
      </c>
      <c r="U216" s="89">
        <f t="shared" si="2"/>
        <v>0</v>
      </c>
      <c r="V216" s="89">
        <f t="shared" si="3"/>
        <v>0</v>
      </c>
      <c r="W216" s="89">
        <f t="shared" si="4"/>
        <v>0</v>
      </c>
      <c r="X216" s="89">
        <f t="shared" si="5"/>
        <v>0</v>
      </c>
      <c r="Y216" s="28"/>
    </row>
    <row r="217" spans="1:25" ht="20.25" customHeight="1">
      <c r="A217" s="88" t="str">
        <f>+IF(BASE!B221="","",BASE!B221)</f>
        <v>23XXR206</v>
      </c>
      <c r="B217" s="121" t="s">
        <v>40</v>
      </c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89"/>
      <c r="R217" s="91">
        <f t="shared" si="0"/>
        <v>0</v>
      </c>
      <c r="S217" s="91">
        <f>BASE!A221</f>
        <v>206</v>
      </c>
      <c r="T217" s="89">
        <f t="shared" si="1"/>
        <v>0</v>
      </c>
      <c r="U217" s="89">
        <f t="shared" si="2"/>
        <v>0</v>
      </c>
      <c r="V217" s="89">
        <f t="shared" si="3"/>
        <v>0</v>
      </c>
      <c r="W217" s="89">
        <f t="shared" si="4"/>
        <v>0</v>
      </c>
      <c r="X217" s="89">
        <f t="shared" si="5"/>
        <v>0</v>
      </c>
      <c r="Y217" s="28"/>
    </row>
    <row r="218" spans="1:25" ht="20.25" customHeight="1">
      <c r="A218" s="88" t="str">
        <f>+IF(BASE!B222="","",BASE!B222)</f>
        <v>23XXR207</v>
      </c>
      <c r="B218" s="121" t="s">
        <v>40</v>
      </c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89"/>
      <c r="R218" s="91">
        <f t="shared" si="0"/>
        <v>0</v>
      </c>
      <c r="S218" s="91">
        <f>BASE!A222</f>
        <v>207</v>
      </c>
      <c r="T218" s="89">
        <f t="shared" si="1"/>
        <v>0</v>
      </c>
      <c r="U218" s="89">
        <f t="shared" si="2"/>
        <v>0</v>
      </c>
      <c r="V218" s="89">
        <f t="shared" si="3"/>
        <v>0</v>
      </c>
      <c r="W218" s="89">
        <f t="shared" si="4"/>
        <v>0</v>
      </c>
      <c r="X218" s="89">
        <f t="shared" si="5"/>
        <v>0</v>
      </c>
      <c r="Y218" s="28"/>
    </row>
    <row r="219" spans="1:25" ht="20.25" customHeight="1">
      <c r="A219" s="88" t="str">
        <f>+IF(BASE!B223="","",BASE!B223)</f>
        <v>23XXR208</v>
      </c>
      <c r="B219" s="121" t="s">
        <v>40</v>
      </c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89"/>
      <c r="R219" s="91">
        <f t="shared" si="0"/>
        <v>0</v>
      </c>
      <c r="S219" s="91">
        <f>BASE!A223</f>
        <v>208</v>
      </c>
      <c r="T219" s="89">
        <f t="shared" si="1"/>
        <v>0</v>
      </c>
      <c r="U219" s="89">
        <f t="shared" si="2"/>
        <v>0</v>
      </c>
      <c r="V219" s="89">
        <f t="shared" si="3"/>
        <v>0</v>
      </c>
      <c r="W219" s="89">
        <f t="shared" si="4"/>
        <v>0</v>
      </c>
      <c r="X219" s="89">
        <f t="shared" si="5"/>
        <v>0</v>
      </c>
      <c r="Y219" s="28"/>
    </row>
    <row r="220" spans="1:25" ht="20.25" customHeight="1">
      <c r="A220" s="88" t="str">
        <f>+IF(BASE!B224="","",BASE!B224)</f>
        <v>23XXR209</v>
      </c>
      <c r="B220" s="121" t="s">
        <v>40</v>
      </c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89"/>
      <c r="R220" s="91">
        <f t="shared" si="0"/>
        <v>0</v>
      </c>
      <c r="S220" s="91">
        <f>BASE!A224</f>
        <v>209</v>
      </c>
      <c r="T220" s="89">
        <f t="shared" si="1"/>
        <v>0</v>
      </c>
      <c r="U220" s="89">
        <f t="shared" si="2"/>
        <v>0</v>
      </c>
      <c r="V220" s="89">
        <f t="shared" si="3"/>
        <v>0</v>
      </c>
      <c r="W220" s="89">
        <f t="shared" si="4"/>
        <v>0</v>
      </c>
      <c r="X220" s="89">
        <f t="shared" si="5"/>
        <v>0</v>
      </c>
      <c r="Y220" s="28"/>
    </row>
    <row r="221" spans="1:25" ht="20.25" customHeight="1">
      <c r="A221" s="88" t="str">
        <f>+IF(BASE!B225="","",BASE!B225)</f>
        <v>23XXR210</v>
      </c>
      <c r="B221" s="121" t="s">
        <v>40</v>
      </c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89"/>
      <c r="R221" s="91">
        <f t="shared" si="0"/>
        <v>0</v>
      </c>
      <c r="S221" s="91">
        <f>BASE!A225</f>
        <v>210</v>
      </c>
      <c r="T221" s="89">
        <f t="shared" si="1"/>
        <v>0</v>
      </c>
      <c r="U221" s="89">
        <f t="shared" si="2"/>
        <v>0</v>
      </c>
      <c r="V221" s="89">
        <f t="shared" si="3"/>
        <v>0</v>
      </c>
      <c r="W221" s="89">
        <f t="shared" si="4"/>
        <v>0</v>
      </c>
      <c r="X221" s="89">
        <f t="shared" si="5"/>
        <v>0</v>
      </c>
      <c r="Y221" s="28"/>
    </row>
    <row r="222" spans="1:25" ht="20.25" customHeight="1">
      <c r="A222" s="88" t="str">
        <f>+IF(BASE!B226="","",BASE!B226)</f>
        <v>23XXR211</v>
      </c>
      <c r="B222" s="121" t="s">
        <v>40</v>
      </c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89"/>
      <c r="R222" s="91">
        <f t="shared" si="0"/>
        <v>0</v>
      </c>
      <c r="S222" s="91">
        <f>BASE!A226</f>
        <v>211</v>
      </c>
      <c r="T222" s="89">
        <f t="shared" si="1"/>
        <v>0</v>
      </c>
      <c r="U222" s="89">
        <f t="shared" si="2"/>
        <v>0</v>
      </c>
      <c r="V222" s="89">
        <f t="shared" si="3"/>
        <v>0</v>
      </c>
      <c r="W222" s="89">
        <f t="shared" si="4"/>
        <v>0</v>
      </c>
      <c r="X222" s="89">
        <f t="shared" si="5"/>
        <v>0</v>
      </c>
      <c r="Y222" s="28"/>
    </row>
    <row r="223" spans="1:25" ht="20.25" customHeight="1">
      <c r="A223" s="88" t="str">
        <f>+IF(BASE!B227="","",BASE!B227)</f>
        <v>23XXR212</v>
      </c>
      <c r="B223" s="121" t="s">
        <v>40</v>
      </c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89"/>
      <c r="R223" s="91">
        <f t="shared" si="0"/>
        <v>0</v>
      </c>
      <c r="S223" s="91">
        <f>BASE!A227</f>
        <v>212</v>
      </c>
      <c r="T223" s="89">
        <f t="shared" si="1"/>
        <v>0</v>
      </c>
      <c r="U223" s="89">
        <f t="shared" si="2"/>
        <v>0</v>
      </c>
      <c r="V223" s="89">
        <f t="shared" si="3"/>
        <v>0</v>
      </c>
      <c r="W223" s="89">
        <f t="shared" si="4"/>
        <v>0</v>
      </c>
      <c r="X223" s="89">
        <f t="shared" si="5"/>
        <v>0</v>
      </c>
      <c r="Y223" s="28"/>
    </row>
    <row r="224" spans="1:25" ht="20.25" customHeight="1">
      <c r="A224" s="88" t="str">
        <f>+IF(BASE!B228="","",BASE!B228)</f>
        <v>23XXR213</v>
      </c>
      <c r="B224" s="121" t="s">
        <v>40</v>
      </c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89"/>
      <c r="R224" s="91">
        <f t="shared" si="0"/>
        <v>0</v>
      </c>
      <c r="S224" s="91">
        <f>BASE!A228</f>
        <v>213</v>
      </c>
      <c r="T224" s="89">
        <f t="shared" si="1"/>
        <v>0</v>
      </c>
      <c r="U224" s="89">
        <f t="shared" si="2"/>
        <v>0</v>
      </c>
      <c r="V224" s="89">
        <f t="shared" si="3"/>
        <v>0</v>
      </c>
      <c r="W224" s="89">
        <f t="shared" si="4"/>
        <v>0</v>
      </c>
      <c r="X224" s="89">
        <f t="shared" si="5"/>
        <v>0</v>
      </c>
      <c r="Y224" s="28"/>
    </row>
    <row r="225" spans="1:25" ht="20.25" customHeight="1">
      <c r="A225" s="88" t="str">
        <f>+IF(BASE!B229="","",BASE!B229)</f>
        <v>23XXR214</v>
      </c>
      <c r="B225" s="121" t="s">
        <v>40</v>
      </c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89"/>
      <c r="R225" s="91">
        <f t="shared" si="0"/>
        <v>0</v>
      </c>
      <c r="S225" s="91">
        <f>BASE!A229</f>
        <v>214</v>
      </c>
      <c r="T225" s="89">
        <f t="shared" si="1"/>
        <v>0</v>
      </c>
      <c r="U225" s="89">
        <f t="shared" si="2"/>
        <v>0</v>
      </c>
      <c r="V225" s="89">
        <f t="shared" si="3"/>
        <v>0</v>
      </c>
      <c r="W225" s="89">
        <f t="shared" si="4"/>
        <v>0</v>
      </c>
      <c r="X225" s="89">
        <f t="shared" si="5"/>
        <v>0</v>
      </c>
      <c r="Y225" s="28"/>
    </row>
    <row r="226" spans="1:25" ht="20.25" customHeight="1">
      <c r="A226" s="88" t="str">
        <f>+IF(BASE!B230="","",BASE!B230)</f>
        <v>23XXR215</v>
      </c>
      <c r="B226" s="121" t="s">
        <v>40</v>
      </c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89"/>
      <c r="R226" s="91">
        <f t="shared" si="0"/>
        <v>0</v>
      </c>
      <c r="S226" s="91">
        <f>BASE!A230</f>
        <v>215</v>
      </c>
      <c r="T226" s="89">
        <f t="shared" si="1"/>
        <v>0</v>
      </c>
      <c r="U226" s="89">
        <f t="shared" si="2"/>
        <v>0</v>
      </c>
      <c r="V226" s="89">
        <f t="shared" si="3"/>
        <v>0</v>
      </c>
      <c r="W226" s="89">
        <f t="shared" si="4"/>
        <v>0</v>
      </c>
      <c r="X226" s="89">
        <f t="shared" si="5"/>
        <v>0</v>
      </c>
      <c r="Y226" s="28"/>
    </row>
    <row r="227" spans="1:25" ht="20.25" customHeight="1">
      <c r="A227" s="88" t="str">
        <f>+IF(BASE!B231="","",BASE!B231)</f>
        <v>23XXR216</v>
      </c>
      <c r="B227" s="121" t="s">
        <v>40</v>
      </c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89"/>
      <c r="R227" s="91">
        <f t="shared" si="0"/>
        <v>0</v>
      </c>
      <c r="S227" s="91">
        <f>BASE!A231</f>
        <v>216</v>
      </c>
      <c r="T227" s="89">
        <f t="shared" si="1"/>
        <v>0</v>
      </c>
      <c r="U227" s="89">
        <f t="shared" si="2"/>
        <v>0</v>
      </c>
      <c r="V227" s="89">
        <f t="shared" si="3"/>
        <v>0</v>
      </c>
      <c r="W227" s="89">
        <f t="shared" si="4"/>
        <v>0</v>
      </c>
      <c r="X227" s="89">
        <f t="shared" si="5"/>
        <v>0</v>
      </c>
      <c r="Y227" s="28"/>
    </row>
    <row r="228" spans="1:25" ht="20.25" customHeight="1">
      <c r="A228" s="88" t="str">
        <f>+IF(BASE!B232="","",BASE!B232)</f>
        <v>23XXR217</v>
      </c>
      <c r="B228" s="121" t="s">
        <v>40</v>
      </c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89"/>
      <c r="R228" s="91">
        <f t="shared" si="0"/>
        <v>0</v>
      </c>
      <c r="S228" s="91">
        <f>BASE!A232</f>
        <v>217</v>
      </c>
      <c r="T228" s="89">
        <f t="shared" si="1"/>
        <v>0</v>
      </c>
      <c r="U228" s="89">
        <f t="shared" si="2"/>
        <v>0</v>
      </c>
      <c r="V228" s="89">
        <f t="shared" si="3"/>
        <v>0</v>
      </c>
      <c r="W228" s="89">
        <f t="shared" si="4"/>
        <v>0</v>
      </c>
      <c r="X228" s="89">
        <f t="shared" si="5"/>
        <v>0</v>
      </c>
      <c r="Y228" s="28"/>
    </row>
    <row r="229" spans="1:25" ht="17.25" customHeight="1">
      <c r="A229" s="88" t="str">
        <f>+IF(BASE!B233="","",BASE!B233)</f>
        <v>23XXR218</v>
      </c>
      <c r="B229" s="121" t="s">
        <v>40</v>
      </c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89"/>
      <c r="R229" s="91">
        <f t="shared" si="0"/>
        <v>0</v>
      </c>
      <c r="S229" s="91">
        <f>BASE!A233</f>
        <v>218</v>
      </c>
      <c r="T229" s="89">
        <f t="shared" si="1"/>
        <v>0</v>
      </c>
      <c r="U229" s="89">
        <f t="shared" si="2"/>
        <v>0</v>
      </c>
      <c r="V229" s="89">
        <f t="shared" si="3"/>
        <v>0</v>
      </c>
      <c r="W229" s="89">
        <f t="shared" si="4"/>
        <v>0</v>
      </c>
      <c r="X229" s="89">
        <f t="shared" si="5"/>
        <v>0</v>
      </c>
      <c r="Y229" s="28"/>
    </row>
    <row r="230" spans="1:25" ht="17.25" customHeight="1">
      <c r="A230" s="88" t="str">
        <f>+IF(BASE!B234="","",BASE!B234)</f>
        <v>23XXR219</v>
      </c>
      <c r="B230" s="121" t="s">
        <v>40</v>
      </c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89"/>
      <c r="R230" s="91">
        <f t="shared" si="0"/>
        <v>0</v>
      </c>
      <c r="S230" s="91">
        <f>BASE!A234</f>
        <v>219</v>
      </c>
      <c r="T230" s="89">
        <f t="shared" si="1"/>
        <v>0</v>
      </c>
      <c r="U230" s="89">
        <f t="shared" si="2"/>
        <v>0</v>
      </c>
      <c r="V230" s="89">
        <f t="shared" si="3"/>
        <v>0</v>
      </c>
      <c r="W230" s="89">
        <f t="shared" si="4"/>
        <v>0</v>
      </c>
      <c r="X230" s="89">
        <f t="shared" si="5"/>
        <v>0</v>
      </c>
      <c r="Y230" s="28"/>
    </row>
    <row r="231" spans="1:25" ht="17.25" customHeight="1">
      <c r="A231" s="88" t="str">
        <f>+IF(BASE!B235="","",BASE!B235)</f>
        <v>23XXR220</v>
      </c>
      <c r="B231" s="121" t="s">
        <v>40</v>
      </c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89"/>
      <c r="R231" s="91">
        <f t="shared" si="0"/>
        <v>0</v>
      </c>
      <c r="S231" s="91">
        <f>BASE!A235</f>
        <v>220</v>
      </c>
      <c r="T231" s="89">
        <f t="shared" si="1"/>
        <v>0</v>
      </c>
      <c r="U231" s="89">
        <f t="shared" si="2"/>
        <v>0</v>
      </c>
      <c r="V231" s="89">
        <f t="shared" si="3"/>
        <v>0</v>
      </c>
      <c r="W231" s="89">
        <f t="shared" si="4"/>
        <v>0</v>
      </c>
      <c r="X231" s="89">
        <f t="shared" si="5"/>
        <v>0</v>
      </c>
      <c r="Y231" s="28"/>
    </row>
    <row r="232" spans="1:25" ht="17.25" customHeight="1">
      <c r="A232" s="88" t="str">
        <f>+IF(BASE!B236="","",BASE!B236)</f>
        <v>23XXR221</v>
      </c>
      <c r="B232" s="121" t="s">
        <v>40</v>
      </c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89"/>
      <c r="R232" s="91">
        <f t="shared" si="0"/>
        <v>0</v>
      </c>
      <c r="S232" s="91">
        <f>BASE!A236</f>
        <v>221</v>
      </c>
      <c r="T232" s="89">
        <f t="shared" si="1"/>
        <v>0</v>
      </c>
      <c r="U232" s="89">
        <f t="shared" si="2"/>
        <v>0</v>
      </c>
      <c r="V232" s="89">
        <f t="shared" si="3"/>
        <v>0</v>
      </c>
      <c r="W232" s="89">
        <f t="shared" si="4"/>
        <v>0</v>
      </c>
      <c r="X232" s="89">
        <f t="shared" si="5"/>
        <v>0</v>
      </c>
      <c r="Y232" s="28"/>
    </row>
    <row r="233" spans="1:25" ht="17.25" customHeight="1">
      <c r="A233" s="88" t="str">
        <f>+IF(BASE!B237="","",BASE!B237)</f>
        <v>23XXR222</v>
      </c>
      <c r="B233" s="121" t="s">
        <v>40</v>
      </c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89"/>
      <c r="R233" s="91">
        <f t="shared" si="0"/>
        <v>0</v>
      </c>
      <c r="S233" s="91">
        <f>BASE!A237</f>
        <v>222</v>
      </c>
      <c r="T233" s="89">
        <f t="shared" si="1"/>
        <v>0</v>
      </c>
      <c r="U233" s="89">
        <f t="shared" si="2"/>
        <v>0</v>
      </c>
      <c r="V233" s="89">
        <f t="shared" si="3"/>
        <v>0</v>
      </c>
      <c r="W233" s="89">
        <f t="shared" si="4"/>
        <v>0</v>
      </c>
      <c r="X233" s="89">
        <f t="shared" si="5"/>
        <v>0</v>
      </c>
      <c r="Y233" s="28"/>
    </row>
    <row r="234" spans="1:25" ht="17.25" customHeight="1">
      <c r="A234" s="88" t="str">
        <f>+IF(BASE!B238="","",BASE!B238)</f>
        <v>23XXR223</v>
      </c>
      <c r="B234" s="121" t="s">
        <v>40</v>
      </c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89"/>
      <c r="R234" s="91">
        <f t="shared" si="0"/>
        <v>0</v>
      </c>
      <c r="S234" s="91">
        <f>BASE!A238</f>
        <v>223</v>
      </c>
      <c r="T234" s="89">
        <f t="shared" si="1"/>
        <v>0</v>
      </c>
      <c r="U234" s="89">
        <f t="shared" si="2"/>
        <v>0</v>
      </c>
      <c r="V234" s="89">
        <f t="shared" si="3"/>
        <v>0</v>
      </c>
      <c r="W234" s="89">
        <f t="shared" si="4"/>
        <v>0</v>
      </c>
      <c r="X234" s="89">
        <f t="shared" si="5"/>
        <v>0</v>
      </c>
      <c r="Y234" s="28"/>
    </row>
    <row r="235" spans="1:25" ht="17.25" customHeight="1">
      <c r="A235" s="88" t="str">
        <f>+IF(BASE!B239="","",BASE!B239)</f>
        <v>23XXR224</v>
      </c>
      <c r="B235" s="121" t="s">
        <v>40</v>
      </c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89"/>
      <c r="R235" s="91">
        <f t="shared" si="0"/>
        <v>0</v>
      </c>
      <c r="S235" s="91">
        <f>BASE!A239</f>
        <v>224</v>
      </c>
      <c r="T235" s="89">
        <f t="shared" si="1"/>
        <v>0</v>
      </c>
      <c r="U235" s="89">
        <f t="shared" si="2"/>
        <v>0</v>
      </c>
      <c r="V235" s="89">
        <f t="shared" si="3"/>
        <v>0</v>
      </c>
      <c r="W235" s="89">
        <f t="shared" si="4"/>
        <v>0</v>
      </c>
      <c r="X235" s="89">
        <f t="shared" si="5"/>
        <v>0</v>
      </c>
      <c r="Y235" s="28"/>
    </row>
    <row r="236" spans="1:25" ht="17.25" customHeight="1">
      <c r="A236" s="88" t="str">
        <f>+IF(BASE!B240="","",BASE!B240)</f>
        <v>23XXR225</v>
      </c>
      <c r="B236" s="121" t="s">
        <v>40</v>
      </c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89"/>
      <c r="R236" s="91">
        <f t="shared" si="0"/>
        <v>0</v>
      </c>
      <c r="S236" s="91">
        <f>BASE!A240</f>
        <v>225</v>
      </c>
      <c r="T236" s="89">
        <f t="shared" si="1"/>
        <v>0</v>
      </c>
      <c r="U236" s="89">
        <f t="shared" si="2"/>
        <v>0</v>
      </c>
      <c r="V236" s="89">
        <f t="shared" si="3"/>
        <v>0</v>
      </c>
      <c r="W236" s="89">
        <f t="shared" si="4"/>
        <v>0</v>
      </c>
      <c r="X236" s="89">
        <f t="shared" si="5"/>
        <v>0</v>
      </c>
      <c r="Y236" s="28"/>
    </row>
    <row r="237" spans="1:25" ht="17.25" customHeight="1">
      <c r="A237" s="88" t="str">
        <f>+IF(BASE!B241="","",BASE!B241)</f>
        <v>23XXR226</v>
      </c>
      <c r="B237" s="121" t="s">
        <v>40</v>
      </c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89"/>
      <c r="R237" s="91">
        <f t="shared" si="0"/>
        <v>0</v>
      </c>
      <c r="S237" s="91">
        <f>BASE!A241</f>
        <v>226</v>
      </c>
      <c r="T237" s="89">
        <f t="shared" si="1"/>
        <v>0</v>
      </c>
      <c r="U237" s="89">
        <f t="shared" si="2"/>
        <v>0</v>
      </c>
      <c r="V237" s="89">
        <f t="shared" si="3"/>
        <v>0</v>
      </c>
      <c r="W237" s="89">
        <f t="shared" si="4"/>
        <v>0</v>
      </c>
      <c r="X237" s="89">
        <f t="shared" si="5"/>
        <v>0</v>
      </c>
      <c r="Y237" s="28"/>
    </row>
    <row r="238" spans="1:25" ht="17.25" customHeight="1">
      <c r="A238" s="88" t="str">
        <f>+IF(BASE!B242="","",BASE!B242)</f>
        <v>23XXR227</v>
      </c>
      <c r="B238" s="121" t="s">
        <v>40</v>
      </c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89"/>
      <c r="R238" s="91">
        <f t="shared" si="0"/>
        <v>0</v>
      </c>
      <c r="S238" s="91">
        <f>BASE!A242</f>
        <v>227</v>
      </c>
      <c r="T238" s="89">
        <f t="shared" si="1"/>
        <v>0</v>
      </c>
      <c r="U238" s="89">
        <f t="shared" si="2"/>
        <v>0</v>
      </c>
      <c r="V238" s="89">
        <f t="shared" si="3"/>
        <v>0</v>
      </c>
      <c r="W238" s="89">
        <f t="shared" si="4"/>
        <v>0</v>
      </c>
      <c r="X238" s="89">
        <f t="shared" si="5"/>
        <v>0</v>
      </c>
      <c r="Y238" s="28"/>
    </row>
    <row r="239" spans="1:25" ht="17.25" customHeight="1">
      <c r="A239" s="88" t="str">
        <f>+IF(BASE!B243="","",BASE!B243)</f>
        <v>23XXR228</v>
      </c>
      <c r="B239" s="121" t="s">
        <v>40</v>
      </c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89"/>
      <c r="R239" s="91">
        <f t="shared" si="0"/>
        <v>0</v>
      </c>
      <c r="S239" s="91">
        <f>BASE!A243</f>
        <v>228</v>
      </c>
      <c r="T239" s="89">
        <f t="shared" si="1"/>
        <v>0</v>
      </c>
      <c r="U239" s="89">
        <f t="shared" si="2"/>
        <v>0</v>
      </c>
      <c r="V239" s="89">
        <f t="shared" si="3"/>
        <v>0</v>
      </c>
      <c r="W239" s="89">
        <f t="shared" si="4"/>
        <v>0</v>
      </c>
      <c r="X239" s="89">
        <f t="shared" si="5"/>
        <v>0</v>
      </c>
      <c r="Y239" s="28"/>
    </row>
    <row r="240" spans="1:25" ht="17.25" customHeight="1">
      <c r="A240" s="88" t="str">
        <f>+IF(BASE!B244="","",BASE!B244)</f>
        <v>23XXR229</v>
      </c>
      <c r="B240" s="121" t="s">
        <v>40</v>
      </c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89"/>
      <c r="R240" s="91">
        <f t="shared" si="0"/>
        <v>0</v>
      </c>
      <c r="S240" s="91">
        <f>BASE!A244</f>
        <v>229</v>
      </c>
      <c r="T240" s="89">
        <f t="shared" si="1"/>
        <v>0</v>
      </c>
      <c r="U240" s="89">
        <f t="shared" si="2"/>
        <v>0</v>
      </c>
      <c r="V240" s="89">
        <f t="shared" si="3"/>
        <v>0</v>
      </c>
      <c r="W240" s="89">
        <f t="shared" si="4"/>
        <v>0</v>
      </c>
      <c r="X240" s="89">
        <f t="shared" si="5"/>
        <v>0</v>
      </c>
      <c r="Y240" s="28"/>
    </row>
    <row r="241" spans="1:25" ht="17.25" customHeight="1">
      <c r="A241" s="88" t="str">
        <f>+IF(BASE!B245="","",BASE!B245)</f>
        <v>23XXR230</v>
      </c>
      <c r="B241" s="121" t="s">
        <v>40</v>
      </c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89"/>
      <c r="R241" s="91">
        <f t="shared" si="0"/>
        <v>0</v>
      </c>
      <c r="S241" s="91">
        <f>BASE!A245</f>
        <v>230</v>
      </c>
      <c r="T241" s="89">
        <f t="shared" si="1"/>
        <v>0</v>
      </c>
      <c r="U241" s="89">
        <f t="shared" si="2"/>
        <v>0</v>
      </c>
      <c r="V241" s="89">
        <f t="shared" si="3"/>
        <v>0</v>
      </c>
      <c r="W241" s="89">
        <f t="shared" si="4"/>
        <v>0</v>
      </c>
      <c r="X241" s="89">
        <f t="shared" si="5"/>
        <v>0</v>
      </c>
      <c r="Y241" s="28"/>
    </row>
    <row r="242" spans="1:25" ht="17.25" customHeight="1">
      <c r="A242" s="88" t="str">
        <f>+IF(BASE!B246="","",BASE!B246)</f>
        <v>23XXR231</v>
      </c>
      <c r="B242" s="121" t="s">
        <v>40</v>
      </c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89"/>
      <c r="R242" s="91">
        <f t="shared" si="0"/>
        <v>0</v>
      </c>
      <c r="S242" s="91">
        <f>BASE!A246</f>
        <v>231</v>
      </c>
      <c r="T242" s="89">
        <f t="shared" si="1"/>
        <v>0</v>
      </c>
      <c r="U242" s="89">
        <f t="shared" si="2"/>
        <v>0</v>
      </c>
      <c r="V242" s="89">
        <f t="shared" si="3"/>
        <v>0</v>
      </c>
      <c r="W242" s="89">
        <f t="shared" si="4"/>
        <v>0</v>
      </c>
      <c r="X242" s="89">
        <f t="shared" si="5"/>
        <v>0</v>
      </c>
      <c r="Y242" s="28"/>
    </row>
    <row r="243" spans="1:25" ht="17.25" customHeight="1">
      <c r="A243" s="88" t="str">
        <f>+IF(BASE!B247="","",BASE!B247)</f>
        <v>23XXR232</v>
      </c>
      <c r="B243" s="121" t="s">
        <v>40</v>
      </c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89"/>
      <c r="R243" s="91">
        <f t="shared" si="0"/>
        <v>0</v>
      </c>
      <c r="S243" s="91">
        <f>BASE!A247</f>
        <v>232</v>
      </c>
      <c r="T243" s="89">
        <f t="shared" si="1"/>
        <v>0</v>
      </c>
      <c r="U243" s="89">
        <f t="shared" si="2"/>
        <v>0</v>
      </c>
      <c r="V243" s="89">
        <f t="shared" si="3"/>
        <v>0</v>
      </c>
      <c r="W243" s="89">
        <f t="shared" si="4"/>
        <v>0</v>
      </c>
      <c r="X243" s="89">
        <f t="shared" si="5"/>
        <v>0</v>
      </c>
      <c r="Y243" s="28"/>
    </row>
    <row r="244" spans="1:25" ht="17.25" customHeight="1">
      <c r="A244" s="88" t="str">
        <f>+IF(BASE!B248="","",BASE!B248)</f>
        <v>23XXR233</v>
      </c>
      <c r="B244" s="121" t="s">
        <v>40</v>
      </c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89"/>
      <c r="R244" s="91">
        <f t="shared" si="0"/>
        <v>0</v>
      </c>
      <c r="S244" s="91">
        <f>BASE!A248</f>
        <v>233</v>
      </c>
      <c r="T244" s="89">
        <f t="shared" si="1"/>
        <v>0</v>
      </c>
      <c r="U244" s="89">
        <f t="shared" si="2"/>
        <v>0</v>
      </c>
      <c r="V244" s="89">
        <f t="shared" si="3"/>
        <v>0</v>
      </c>
      <c r="W244" s="89">
        <f t="shared" si="4"/>
        <v>0</v>
      </c>
      <c r="X244" s="89">
        <f t="shared" si="5"/>
        <v>0</v>
      </c>
      <c r="Y244" s="28"/>
    </row>
    <row r="245" spans="1:25" ht="17.25" customHeight="1">
      <c r="A245" s="88" t="str">
        <f>+IF(BASE!B249="","",BASE!B249)</f>
        <v>23XXR234</v>
      </c>
      <c r="B245" s="121" t="s">
        <v>40</v>
      </c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89"/>
      <c r="R245" s="91">
        <f t="shared" si="0"/>
        <v>0</v>
      </c>
      <c r="S245" s="91">
        <f>BASE!A249</f>
        <v>234</v>
      </c>
      <c r="T245" s="89">
        <f t="shared" si="1"/>
        <v>0</v>
      </c>
      <c r="U245" s="89">
        <f t="shared" si="2"/>
        <v>0</v>
      </c>
      <c r="V245" s="89">
        <f t="shared" si="3"/>
        <v>0</v>
      </c>
      <c r="W245" s="89">
        <f t="shared" si="4"/>
        <v>0</v>
      </c>
      <c r="X245" s="89">
        <f t="shared" si="5"/>
        <v>0</v>
      </c>
      <c r="Y245" s="28"/>
    </row>
    <row r="246" spans="1:25" ht="17.25" customHeight="1">
      <c r="A246" s="88" t="str">
        <f>+IF(BASE!B250="","",BASE!B250)</f>
        <v>23XXR235</v>
      </c>
      <c r="B246" s="121" t="s">
        <v>40</v>
      </c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89"/>
      <c r="R246" s="91">
        <f t="shared" si="0"/>
        <v>0</v>
      </c>
      <c r="S246" s="91">
        <f>BASE!A250</f>
        <v>235</v>
      </c>
      <c r="T246" s="89">
        <f t="shared" si="1"/>
        <v>0</v>
      </c>
      <c r="U246" s="89">
        <f t="shared" si="2"/>
        <v>0</v>
      </c>
      <c r="V246" s="89">
        <f t="shared" si="3"/>
        <v>0</v>
      </c>
      <c r="W246" s="89">
        <f t="shared" si="4"/>
        <v>0</v>
      </c>
      <c r="X246" s="89">
        <f t="shared" si="5"/>
        <v>0</v>
      </c>
      <c r="Y246" s="28"/>
    </row>
    <row r="247" spans="1:25" ht="17.25" customHeight="1">
      <c r="A247" s="88" t="str">
        <f>+IF(BASE!B251="","",BASE!B251)</f>
        <v>23XXR236</v>
      </c>
      <c r="B247" s="121" t="s">
        <v>40</v>
      </c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89"/>
      <c r="R247" s="91">
        <f t="shared" si="0"/>
        <v>0</v>
      </c>
      <c r="S247" s="91">
        <f>BASE!A251</f>
        <v>236</v>
      </c>
      <c r="T247" s="89">
        <f t="shared" si="1"/>
        <v>0</v>
      </c>
      <c r="U247" s="89">
        <f t="shared" si="2"/>
        <v>0</v>
      </c>
      <c r="V247" s="89">
        <f t="shared" si="3"/>
        <v>0</v>
      </c>
      <c r="W247" s="89">
        <f t="shared" si="4"/>
        <v>0</v>
      </c>
      <c r="X247" s="89">
        <f t="shared" si="5"/>
        <v>0</v>
      </c>
      <c r="Y247" s="28"/>
    </row>
    <row r="248" spans="1:25" ht="17.25" customHeight="1">
      <c r="A248" s="88" t="str">
        <f>+IF(BASE!B252="","",BASE!B252)</f>
        <v>23XXR237</v>
      </c>
      <c r="B248" s="121" t="s">
        <v>40</v>
      </c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89"/>
      <c r="R248" s="91">
        <f t="shared" si="0"/>
        <v>0</v>
      </c>
      <c r="S248" s="91">
        <f>BASE!A252</f>
        <v>237</v>
      </c>
      <c r="T248" s="89">
        <f t="shared" si="1"/>
        <v>0</v>
      </c>
      <c r="U248" s="89">
        <f t="shared" si="2"/>
        <v>0</v>
      </c>
      <c r="V248" s="89">
        <f t="shared" si="3"/>
        <v>0</v>
      </c>
      <c r="W248" s="89">
        <f t="shared" si="4"/>
        <v>0</v>
      </c>
      <c r="X248" s="89">
        <f t="shared" si="5"/>
        <v>0</v>
      </c>
      <c r="Y248" s="28"/>
    </row>
    <row r="249" spans="1:25" ht="17.25" customHeight="1">
      <c r="A249" s="88" t="str">
        <f>+IF(BASE!B253="","",BASE!B253)</f>
        <v>23XXR238</v>
      </c>
      <c r="B249" s="121" t="s">
        <v>40</v>
      </c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89"/>
      <c r="R249" s="91">
        <f t="shared" si="0"/>
        <v>0</v>
      </c>
      <c r="S249" s="91">
        <f>BASE!A253</f>
        <v>238</v>
      </c>
      <c r="T249" s="89">
        <f t="shared" si="1"/>
        <v>0</v>
      </c>
      <c r="U249" s="89">
        <f t="shared" si="2"/>
        <v>0</v>
      </c>
      <c r="V249" s="89">
        <f t="shared" si="3"/>
        <v>0</v>
      </c>
      <c r="W249" s="89">
        <f t="shared" si="4"/>
        <v>0</v>
      </c>
      <c r="X249" s="89">
        <f t="shared" si="5"/>
        <v>0</v>
      </c>
      <c r="Y249" s="28"/>
    </row>
    <row r="250" spans="1:25" ht="17.25" customHeight="1">
      <c r="A250" s="88" t="str">
        <f>+IF(BASE!B254="","",BASE!B254)</f>
        <v>23XXR239</v>
      </c>
      <c r="B250" s="121" t="s">
        <v>40</v>
      </c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89"/>
      <c r="R250" s="91">
        <f t="shared" si="0"/>
        <v>0</v>
      </c>
      <c r="S250" s="91">
        <f>BASE!A254</f>
        <v>239</v>
      </c>
      <c r="T250" s="89">
        <f t="shared" si="1"/>
        <v>0</v>
      </c>
      <c r="U250" s="89">
        <f t="shared" si="2"/>
        <v>0</v>
      </c>
      <c r="V250" s="89">
        <f t="shared" si="3"/>
        <v>0</v>
      </c>
      <c r="W250" s="89">
        <f t="shared" si="4"/>
        <v>0</v>
      </c>
      <c r="X250" s="89">
        <f t="shared" si="5"/>
        <v>0</v>
      </c>
      <c r="Y250" s="28"/>
    </row>
    <row r="251" spans="1:25" ht="17.25" customHeight="1">
      <c r="A251" s="88" t="str">
        <f>+IF(BASE!B255="","",BASE!B255)</f>
        <v>23XXR240</v>
      </c>
      <c r="B251" s="121" t="s">
        <v>40</v>
      </c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89"/>
      <c r="R251" s="91">
        <f t="shared" si="0"/>
        <v>0</v>
      </c>
      <c r="S251" s="91">
        <f>BASE!A255</f>
        <v>240</v>
      </c>
      <c r="T251" s="89">
        <f t="shared" si="1"/>
        <v>0</v>
      </c>
      <c r="U251" s="89">
        <f t="shared" si="2"/>
        <v>0</v>
      </c>
      <c r="V251" s="89">
        <f t="shared" si="3"/>
        <v>0</v>
      </c>
      <c r="W251" s="89">
        <f t="shared" si="4"/>
        <v>0</v>
      </c>
      <c r="X251" s="89">
        <f t="shared" si="5"/>
        <v>0</v>
      </c>
      <c r="Y251" s="28"/>
    </row>
    <row r="252" spans="1:25" ht="17.25" customHeight="1">
      <c r="A252" s="88" t="str">
        <f>+IF(BASE!B256="","",BASE!B256)</f>
        <v>23XXR241</v>
      </c>
      <c r="B252" s="121" t="s">
        <v>40</v>
      </c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93"/>
      <c r="R252" s="91">
        <f t="shared" si="0"/>
        <v>0</v>
      </c>
      <c r="S252" s="91">
        <f>BASE!A256</f>
        <v>241</v>
      </c>
      <c r="T252" s="89">
        <f t="shared" si="1"/>
        <v>0</v>
      </c>
      <c r="U252" s="89">
        <f t="shared" si="2"/>
        <v>0</v>
      </c>
      <c r="V252" s="89">
        <f t="shared" si="3"/>
        <v>0</v>
      </c>
      <c r="W252" s="89">
        <f t="shared" si="4"/>
        <v>0</v>
      </c>
      <c r="X252" s="89">
        <f t="shared" si="5"/>
        <v>0</v>
      </c>
      <c r="Y252" s="28"/>
    </row>
    <row r="253" spans="1:25" ht="17.25" customHeight="1">
      <c r="A253" s="88" t="str">
        <f>+IF(BASE!B257="","",BASE!B257)</f>
        <v>23XXR242</v>
      </c>
      <c r="B253" s="121" t="s">
        <v>40</v>
      </c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93"/>
      <c r="R253" s="91">
        <f t="shared" ref="R253:R316" si="6">SUM(C253:Q253)</f>
        <v>0</v>
      </c>
      <c r="S253" s="91">
        <f>BASE!A257</f>
        <v>242</v>
      </c>
      <c r="T253" s="89">
        <f t="shared" ref="T253:T316" si="7">SUMIF($C$11:$Q$11,1,C253:Q253)</f>
        <v>0</v>
      </c>
      <c r="U253" s="89">
        <f t="shared" ref="U253:U316" si="8">SUMIF($C$11:$Q$11,2,C253:Q253)</f>
        <v>0</v>
      </c>
      <c r="V253" s="89">
        <f t="shared" ref="V253:V316" si="9">SUMIF($C$11:$Q$11,3,C253:Q253)</f>
        <v>0</v>
      </c>
      <c r="W253" s="89">
        <f t="shared" ref="W253:W316" si="10">SUMIF($C$11:$Q$11,4,C253:Q253)</f>
        <v>0</v>
      </c>
      <c r="X253" s="89">
        <f t="shared" ref="X253:X316" si="11">SUMIF($C$11:$Q$11,5,C253:Q253)</f>
        <v>0</v>
      </c>
      <c r="Y253" s="28"/>
    </row>
    <row r="254" spans="1:25" ht="17.25" customHeight="1">
      <c r="A254" s="88" t="str">
        <f>+IF(BASE!B258="","",BASE!B258)</f>
        <v>23XXR243</v>
      </c>
      <c r="B254" s="121" t="s">
        <v>40</v>
      </c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93"/>
      <c r="R254" s="91">
        <f t="shared" si="6"/>
        <v>0</v>
      </c>
      <c r="S254" s="91">
        <f>BASE!A258</f>
        <v>243</v>
      </c>
      <c r="T254" s="89">
        <f t="shared" si="7"/>
        <v>0</v>
      </c>
      <c r="U254" s="89">
        <f t="shared" si="8"/>
        <v>0</v>
      </c>
      <c r="V254" s="89">
        <f t="shared" si="9"/>
        <v>0</v>
      </c>
      <c r="W254" s="89">
        <f t="shared" si="10"/>
        <v>0</v>
      </c>
      <c r="X254" s="89">
        <f t="shared" si="11"/>
        <v>0</v>
      </c>
      <c r="Y254" s="28"/>
    </row>
    <row r="255" spans="1:25" ht="17.25" customHeight="1">
      <c r="A255" s="88" t="str">
        <f>+IF(BASE!B259="","",BASE!B259)</f>
        <v>23XXR244</v>
      </c>
      <c r="B255" s="121" t="s">
        <v>40</v>
      </c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93"/>
      <c r="R255" s="91">
        <f t="shared" si="6"/>
        <v>0</v>
      </c>
      <c r="S255" s="91">
        <f>BASE!A259</f>
        <v>244</v>
      </c>
      <c r="T255" s="89">
        <f t="shared" si="7"/>
        <v>0</v>
      </c>
      <c r="U255" s="89">
        <f t="shared" si="8"/>
        <v>0</v>
      </c>
      <c r="V255" s="89">
        <f t="shared" si="9"/>
        <v>0</v>
      </c>
      <c r="W255" s="89">
        <f t="shared" si="10"/>
        <v>0</v>
      </c>
      <c r="X255" s="89">
        <f t="shared" si="11"/>
        <v>0</v>
      </c>
      <c r="Y255" s="28"/>
    </row>
    <row r="256" spans="1:25" ht="17.25" customHeight="1">
      <c r="A256" s="88" t="str">
        <f>+IF(BASE!B260="","",BASE!B260)</f>
        <v>23XXR245</v>
      </c>
      <c r="B256" s="121" t="s">
        <v>40</v>
      </c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93"/>
      <c r="R256" s="91">
        <f t="shared" si="6"/>
        <v>0</v>
      </c>
      <c r="S256" s="91">
        <f>BASE!A260</f>
        <v>245</v>
      </c>
      <c r="T256" s="89">
        <f t="shared" si="7"/>
        <v>0</v>
      </c>
      <c r="U256" s="89">
        <f t="shared" si="8"/>
        <v>0</v>
      </c>
      <c r="V256" s="89">
        <f t="shared" si="9"/>
        <v>0</v>
      </c>
      <c r="W256" s="89">
        <f t="shared" si="10"/>
        <v>0</v>
      </c>
      <c r="X256" s="89">
        <f t="shared" si="11"/>
        <v>0</v>
      </c>
      <c r="Y256" s="28"/>
    </row>
    <row r="257" spans="1:25" ht="17.25" customHeight="1">
      <c r="A257" s="88" t="str">
        <f>+IF(BASE!B261="","",BASE!B261)</f>
        <v>23XXR246</v>
      </c>
      <c r="B257" s="121" t="s">
        <v>40</v>
      </c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93"/>
      <c r="R257" s="91">
        <f t="shared" si="6"/>
        <v>0</v>
      </c>
      <c r="S257" s="91">
        <f>BASE!A261</f>
        <v>246</v>
      </c>
      <c r="T257" s="89">
        <f t="shared" si="7"/>
        <v>0</v>
      </c>
      <c r="U257" s="89">
        <f t="shared" si="8"/>
        <v>0</v>
      </c>
      <c r="V257" s="89">
        <f t="shared" si="9"/>
        <v>0</v>
      </c>
      <c r="W257" s="89">
        <f t="shared" si="10"/>
        <v>0</v>
      </c>
      <c r="X257" s="89">
        <f t="shared" si="11"/>
        <v>0</v>
      </c>
      <c r="Y257" s="28"/>
    </row>
    <row r="258" spans="1:25" ht="17.25" customHeight="1">
      <c r="A258" s="88" t="str">
        <f>+IF(BASE!B262="","",BASE!B262)</f>
        <v>23XXR247</v>
      </c>
      <c r="B258" s="121" t="s">
        <v>40</v>
      </c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93"/>
      <c r="R258" s="91">
        <f t="shared" si="6"/>
        <v>0</v>
      </c>
      <c r="S258" s="91">
        <f>BASE!A262</f>
        <v>247</v>
      </c>
      <c r="T258" s="89">
        <f t="shared" si="7"/>
        <v>0</v>
      </c>
      <c r="U258" s="89">
        <f t="shared" si="8"/>
        <v>0</v>
      </c>
      <c r="V258" s="89">
        <f t="shared" si="9"/>
        <v>0</v>
      </c>
      <c r="W258" s="89">
        <f t="shared" si="10"/>
        <v>0</v>
      </c>
      <c r="X258" s="89">
        <f t="shared" si="11"/>
        <v>0</v>
      </c>
      <c r="Y258" s="28"/>
    </row>
    <row r="259" spans="1:25" ht="17.25" customHeight="1">
      <c r="A259" s="88" t="str">
        <f>+IF(BASE!B263="","",BASE!B263)</f>
        <v>23XXR248</v>
      </c>
      <c r="B259" s="121" t="s">
        <v>40</v>
      </c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93"/>
      <c r="R259" s="91">
        <f t="shared" si="6"/>
        <v>0</v>
      </c>
      <c r="S259" s="91">
        <f>BASE!A263</f>
        <v>248</v>
      </c>
      <c r="T259" s="89">
        <f t="shared" si="7"/>
        <v>0</v>
      </c>
      <c r="U259" s="89">
        <f t="shared" si="8"/>
        <v>0</v>
      </c>
      <c r="V259" s="89">
        <f t="shared" si="9"/>
        <v>0</v>
      </c>
      <c r="W259" s="89">
        <f t="shared" si="10"/>
        <v>0</v>
      </c>
      <c r="X259" s="89">
        <f t="shared" si="11"/>
        <v>0</v>
      </c>
      <c r="Y259" s="28"/>
    </row>
    <row r="260" spans="1:25" ht="17.25" customHeight="1">
      <c r="A260" s="88" t="str">
        <f>+IF(BASE!B264="","",BASE!B264)</f>
        <v>23XXR249</v>
      </c>
      <c r="B260" s="121" t="s">
        <v>40</v>
      </c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93"/>
      <c r="R260" s="91">
        <f t="shared" si="6"/>
        <v>0</v>
      </c>
      <c r="S260" s="91">
        <f>BASE!A264</f>
        <v>249</v>
      </c>
      <c r="T260" s="89">
        <f t="shared" si="7"/>
        <v>0</v>
      </c>
      <c r="U260" s="89">
        <f t="shared" si="8"/>
        <v>0</v>
      </c>
      <c r="V260" s="89">
        <f t="shared" si="9"/>
        <v>0</v>
      </c>
      <c r="W260" s="89">
        <f t="shared" si="10"/>
        <v>0</v>
      </c>
      <c r="X260" s="89">
        <f t="shared" si="11"/>
        <v>0</v>
      </c>
      <c r="Y260" s="28"/>
    </row>
    <row r="261" spans="1:25" ht="17.25" customHeight="1">
      <c r="A261" s="88" t="str">
        <f>+IF(BASE!B265="","",BASE!B265)</f>
        <v>23XXR250</v>
      </c>
      <c r="B261" s="121" t="s">
        <v>40</v>
      </c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93"/>
      <c r="R261" s="91">
        <f t="shared" si="6"/>
        <v>0</v>
      </c>
      <c r="S261" s="91">
        <f>BASE!A265</f>
        <v>250</v>
      </c>
      <c r="T261" s="89">
        <f t="shared" si="7"/>
        <v>0</v>
      </c>
      <c r="U261" s="89">
        <f t="shared" si="8"/>
        <v>0</v>
      </c>
      <c r="V261" s="89">
        <f t="shared" si="9"/>
        <v>0</v>
      </c>
      <c r="W261" s="89">
        <f t="shared" si="10"/>
        <v>0</v>
      </c>
      <c r="X261" s="89">
        <f t="shared" si="11"/>
        <v>0</v>
      </c>
      <c r="Y261" s="28"/>
    </row>
    <row r="262" spans="1:25" ht="17.25" customHeight="1">
      <c r="A262" s="88" t="str">
        <f>+IF(BASE!B266="","",BASE!B266)</f>
        <v>23XXR251</v>
      </c>
      <c r="B262" s="121" t="s">
        <v>40</v>
      </c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93"/>
      <c r="R262" s="91">
        <f t="shared" si="6"/>
        <v>0</v>
      </c>
      <c r="S262" s="91">
        <f>BASE!A266</f>
        <v>251</v>
      </c>
      <c r="T262" s="89">
        <f t="shared" si="7"/>
        <v>0</v>
      </c>
      <c r="U262" s="89">
        <f t="shared" si="8"/>
        <v>0</v>
      </c>
      <c r="V262" s="89">
        <f t="shared" si="9"/>
        <v>0</v>
      </c>
      <c r="W262" s="89">
        <f t="shared" si="10"/>
        <v>0</v>
      </c>
      <c r="X262" s="89">
        <f t="shared" si="11"/>
        <v>0</v>
      </c>
      <c r="Y262" s="28"/>
    </row>
    <row r="263" spans="1:25" ht="17.25" customHeight="1">
      <c r="A263" s="88" t="str">
        <f>+IF(BASE!B267="","",BASE!B267)</f>
        <v>23XXR252</v>
      </c>
      <c r="B263" s="121" t="s">
        <v>40</v>
      </c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93"/>
      <c r="R263" s="91">
        <f t="shared" si="6"/>
        <v>0</v>
      </c>
      <c r="S263" s="91">
        <f>BASE!A267</f>
        <v>252</v>
      </c>
      <c r="T263" s="89">
        <f t="shared" si="7"/>
        <v>0</v>
      </c>
      <c r="U263" s="89">
        <f t="shared" si="8"/>
        <v>0</v>
      </c>
      <c r="V263" s="89">
        <f t="shared" si="9"/>
        <v>0</v>
      </c>
      <c r="W263" s="89">
        <f t="shared" si="10"/>
        <v>0</v>
      </c>
      <c r="X263" s="89">
        <f t="shared" si="11"/>
        <v>0</v>
      </c>
      <c r="Y263" s="28"/>
    </row>
    <row r="264" spans="1:25" ht="17.25" customHeight="1">
      <c r="A264" s="88" t="str">
        <f>+IF(BASE!B268="","",BASE!B268)</f>
        <v>23XXR253</v>
      </c>
      <c r="B264" s="121" t="s">
        <v>40</v>
      </c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93"/>
      <c r="R264" s="91">
        <f t="shared" si="6"/>
        <v>0</v>
      </c>
      <c r="S264" s="91">
        <f>BASE!A268</f>
        <v>253</v>
      </c>
      <c r="T264" s="89">
        <f t="shared" si="7"/>
        <v>0</v>
      </c>
      <c r="U264" s="89">
        <f t="shared" si="8"/>
        <v>0</v>
      </c>
      <c r="V264" s="89">
        <f t="shared" si="9"/>
        <v>0</v>
      </c>
      <c r="W264" s="89">
        <f t="shared" si="10"/>
        <v>0</v>
      </c>
      <c r="X264" s="89">
        <f t="shared" si="11"/>
        <v>0</v>
      </c>
      <c r="Y264" s="28"/>
    </row>
    <row r="265" spans="1:25" ht="17.25" customHeight="1">
      <c r="A265" s="88" t="str">
        <f>+IF(BASE!B269="","",BASE!B269)</f>
        <v>23XXR254</v>
      </c>
      <c r="B265" s="121" t="s">
        <v>40</v>
      </c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93"/>
      <c r="R265" s="91">
        <f t="shared" si="6"/>
        <v>0</v>
      </c>
      <c r="S265" s="91">
        <f>BASE!A269</f>
        <v>254</v>
      </c>
      <c r="T265" s="89">
        <f t="shared" si="7"/>
        <v>0</v>
      </c>
      <c r="U265" s="89">
        <f t="shared" si="8"/>
        <v>0</v>
      </c>
      <c r="V265" s="89">
        <f t="shared" si="9"/>
        <v>0</v>
      </c>
      <c r="W265" s="89">
        <f t="shared" si="10"/>
        <v>0</v>
      </c>
      <c r="X265" s="89">
        <f t="shared" si="11"/>
        <v>0</v>
      </c>
      <c r="Y265" s="28"/>
    </row>
    <row r="266" spans="1:25" ht="17.25" customHeight="1">
      <c r="A266" s="88" t="str">
        <f>+IF(BASE!B270="","",BASE!B270)</f>
        <v>23XXR255</v>
      </c>
      <c r="B266" s="121" t="s">
        <v>40</v>
      </c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93"/>
      <c r="R266" s="91">
        <f t="shared" si="6"/>
        <v>0</v>
      </c>
      <c r="S266" s="91">
        <f>BASE!A270</f>
        <v>255</v>
      </c>
      <c r="T266" s="89">
        <f t="shared" si="7"/>
        <v>0</v>
      </c>
      <c r="U266" s="89">
        <f t="shared" si="8"/>
        <v>0</v>
      </c>
      <c r="V266" s="89">
        <f t="shared" si="9"/>
        <v>0</v>
      </c>
      <c r="W266" s="89">
        <f t="shared" si="10"/>
        <v>0</v>
      </c>
      <c r="X266" s="89">
        <f t="shared" si="11"/>
        <v>0</v>
      </c>
      <c r="Y266" s="28"/>
    </row>
    <row r="267" spans="1:25" ht="17.25" customHeight="1">
      <c r="A267" s="88" t="str">
        <f>+IF(BASE!B271="","",BASE!B271)</f>
        <v>23XXR256</v>
      </c>
      <c r="B267" s="121" t="s">
        <v>40</v>
      </c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93"/>
      <c r="R267" s="91">
        <f t="shared" si="6"/>
        <v>0</v>
      </c>
      <c r="S267" s="91">
        <f>BASE!A271</f>
        <v>256</v>
      </c>
      <c r="T267" s="89">
        <f t="shared" si="7"/>
        <v>0</v>
      </c>
      <c r="U267" s="89">
        <f t="shared" si="8"/>
        <v>0</v>
      </c>
      <c r="V267" s="89">
        <f t="shared" si="9"/>
        <v>0</v>
      </c>
      <c r="W267" s="89">
        <f t="shared" si="10"/>
        <v>0</v>
      </c>
      <c r="X267" s="89">
        <f t="shared" si="11"/>
        <v>0</v>
      </c>
      <c r="Y267" s="28"/>
    </row>
    <row r="268" spans="1:25" ht="17.25" customHeight="1">
      <c r="A268" s="88" t="str">
        <f>+IF(BASE!B272="","",BASE!B272)</f>
        <v>23XXR257</v>
      </c>
      <c r="B268" s="121" t="s">
        <v>40</v>
      </c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93"/>
      <c r="R268" s="91">
        <f t="shared" si="6"/>
        <v>0</v>
      </c>
      <c r="S268" s="91">
        <f>BASE!A272</f>
        <v>257</v>
      </c>
      <c r="T268" s="89">
        <f t="shared" si="7"/>
        <v>0</v>
      </c>
      <c r="U268" s="89">
        <f t="shared" si="8"/>
        <v>0</v>
      </c>
      <c r="V268" s="89">
        <f t="shared" si="9"/>
        <v>0</v>
      </c>
      <c r="W268" s="89">
        <f t="shared" si="10"/>
        <v>0</v>
      </c>
      <c r="X268" s="89">
        <f t="shared" si="11"/>
        <v>0</v>
      </c>
      <c r="Y268" s="28"/>
    </row>
    <row r="269" spans="1:25" ht="17.25" customHeight="1">
      <c r="A269" s="88" t="str">
        <f>+IF(BASE!B273="","",BASE!B273)</f>
        <v>23XXR258</v>
      </c>
      <c r="B269" s="121" t="s">
        <v>40</v>
      </c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93"/>
      <c r="R269" s="91">
        <f t="shared" si="6"/>
        <v>0</v>
      </c>
      <c r="S269" s="91">
        <f>BASE!A273</f>
        <v>258</v>
      </c>
      <c r="T269" s="89">
        <f t="shared" si="7"/>
        <v>0</v>
      </c>
      <c r="U269" s="89">
        <f t="shared" si="8"/>
        <v>0</v>
      </c>
      <c r="V269" s="89">
        <f t="shared" si="9"/>
        <v>0</v>
      </c>
      <c r="W269" s="89">
        <f t="shared" si="10"/>
        <v>0</v>
      </c>
      <c r="X269" s="89">
        <f t="shared" si="11"/>
        <v>0</v>
      </c>
      <c r="Y269" s="28"/>
    </row>
    <row r="270" spans="1:25" ht="17.25" customHeight="1">
      <c r="A270" s="88" t="str">
        <f>+IF(BASE!B274="","",BASE!B274)</f>
        <v>23XXR259</v>
      </c>
      <c r="B270" s="121" t="s">
        <v>40</v>
      </c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93"/>
      <c r="R270" s="91">
        <f t="shared" si="6"/>
        <v>0</v>
      </c>
      <c r="S270" s="91">
        <f>BASE!A274</f>
        <v>259</v>
      </c>
      <c r="T270" s="89">
        <f t="shared" si="7"/>
        <v>0</v>
      </c>
      <c r="U270" s="89">
        <f t="shared" si="8"/>
        <v>0</v>
      </c>
      <c r="V270" s="89">
        <f t="shared" si="9"/>
        <v>0</v>
      </c>
      <c r="W270" s="89">
        <f t="shared" si="10"/>
        <v>0</v>
      </c>
      <c r="X270" s="89">
        <f t="shared" si="11"/>
        <v>0</v>
      </c>
      <c r="Y270" s="28"/>
    </row>
    <row r="271" spans="1:25" ht="17.25" customHeight="1">
      <c r="A271" s="88" t="str">
        <f>+IF(BASE!B275="","",BASE!B275)</f>
        <v>23XXR260</v>
      </c>
      <c r="B271" s="121" t="s">
        <v>40</v>
      </c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93"/>
      <c r="R271" s="91">
        <f t="shared" si="6"/>
        <v>0</v>
      </c>
      <c r="S271" s="91">
        <f>BASE!A275</f>
        <v>260</v>
      </c>
      <c r="T271" s="89">
        <f t="shared" si="7"/>
        <v>0</v>
      </c>
      <c r="U271" s="89">
        <f t="shared" si="8"/>
        <v>0</v>
      </c>
      <c r="V271" s="89">
        <f t="shared" si="9"/>
        <v>0</v>
      </c>
      <c r="W271" s="89">
        <f t="shared" si="10"/>
        <v>0</v>
      </c>
      <c r="X271" s="89">
        <f t="shared" si="11"/>
        <v>0</v>
      </c>
      <c r="Y271" s="28"/>
    </row>
    <row r="272" spans="1:25" ht="17.25" customHeight="1">
      <c r="A272" s="88" t="str">
        <f>+IF(BASE!B276="","",BASE!B276)</f>
        <v>23XXR261</v>
      </c>
      <c r="B272" s="121" t="s">
        <v>40</v>
      </c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93"/>
      <c r="R272" s="91">
        <f t="shared" si="6"/>
        <v>0</v>
      </c>
      <c r="S272" s="91">
        <f>BASE!A276</f>
        <v>261</v>
      </c>
      <c r="T272" s="89">
        <f t="shared" si="7"/>
        <v>0</v>
      </c>
      <c r="U272" s="89">
        <f t="shared" si="8"/>
        <v>0</v>
      </c>
      <c r="V272" s="89">
        <f t="shared" si="9"/>
        <v>0</v>
      </c>
      <c r="W272" s="89">
        <f t="shared" si="10"/>
        <v>0</v>
      </c>
      <c r="X272" s="89">
        <f t="shared" si="11"/>
        <v>0</v>
      </c>
      <c r="Y272" s="28"/>
    </row>
    <row r="273" spans="1:25" ht="17.25" customHeight="1">
      <c r="A273" s="88" t="str">
        <f>+IF(BASE!B277="","",BASE!B277)</f>
        <v>23XXR262</v>
      </c>
      <c r="B273" s="121" t="s">
        <v>40</v>
      </c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93"/>
      <c r="R273" s="91">
        <f t="shared" si="6"/>
        <v>0</v>
      </c>
      <c r="S273" s="91">
        <f>BASE!A277</f>
        <v>262</v>
      </c>
      <c r="T273" s="89">
        <f t="shared" si="7"/>
        <v>0</v>
      </c>
      <c r="U273" s="89">
        <f t="shared" si="8"/>
        <v>0</v>
      </c>
      <c r="V273" s="89">
        <f t="shared" si="9"/>
        <v>0</v>
      </c>
      <c r="W273" s="89">
        <f t="shared" si="10"/>
        <v>0</v>
      </c>
      <c r="X273" s="89">
        <f t="shared" si="11"/>
        <v>0</v>
      </c>
      <c r="Y273" s="28"/>
    </row>
    <row r="274" spans="1:25" ht="17.25" customHeight="1">
      <c r="A274" s="88" t="str">
        <f>+IF(BASE!B278="","",BASE!B278)</f>
        <v>23XXR263</v>
      </c>
      <c r="B274" s="121" t="s">
        <v>40</v>
      </c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93"/>
      <c r="R274" s="91">
        <f t="shared" si="6"/>
        <v>0</v>
      </c>
      <c r="S274" s="91">
        <f>BASE!A278</f>
        <v>263</v>
      </c>
      <c r="T274" s="89">
        <f t="shared" si="7"/>
        <v>0</v>
      </c>
      <c r="U274" s="89">
        <f t="shared" si="8"/>
        <v>0</v>
      </c>
      <c r="V274" s="89">
        <f t="shared" si="9"/>
        <v>0</v>
      </c>
      <c r="W274" s="89">
        <f t="shared" si="10"/>
        <v>0</v>
      </c>
      <c r="X274" s="89">
        <f t="shared" si="11"/>
        <v>0</v>
      </c>
      <c r="Y274" s="28"/>
    </row>
    <row r="275" spans="1:25" ht="17.25" customHeight="1">
      <c r="A275" s="88" t="str">
        <f>+IF(BASE!B279="","",BASE!B279)</f>
        <v>23XXR264</v>
      </c>
      <c r="B275" s="121" t="s">
        <v>40</v>
      </c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93"/>
      <c r="R275" s="91">
        <f t="shared" si="6"/>
        <v>0</v>
      </c>
      <c r="S275" s="91">
        <f>BASE!A279</f>
        <v>264</v>
      </c>
      <c r="T275" s="89">
        <f t="shared" si="7"/>
        <v>0</v>
      </c>
      <c r="U275" s="89">
        <f t="shared" si="8"/>
        <v>0</v>
      </c>
      <c r="V275" s="89">
        <f t="shared" si="9"/>
        <v>0</v>
      </c>
      <c r="W275" s="89">
        <f t="shared" si="10"/>
        <v>0</v>
      </c>
      <c r="X275" s="89">
        <f t="shared" si="11"/>
        <v>0</v>
      </c>
      <c r="Y275" s="28"/>
    </row>
    <row r="276" spans="1:25" ht="17.25" customHeight="1">
      <c r="A276" s="88" t="str">
        <f>+IF(BASE!B280="","",BASE!B280)</f>
        <v>23XXR265</v>
      </c>
      <c r="B276" s="121" t="s">
        <v>40</v>
      </c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93"/>
      <c r="R276" s="91">
        <f t="shared" si="6"/>
        <v>0</v>
      </c>
      <c r="S276" s="91">
        <f>BASE!A280</f>
        <v>265</v>
      </c>
      <c r="T276" s="89">
        <f t="shared" si="7"/>
        <v>0</v>
      </c>
      <c r="U276" s="89">
        <f t="shared" si="8"/>
        <v>0</v>
      </c>
      <c r="V276" s="89">
        <f t="shared" si="9"/>
        <v>0</v>
      </c>
      <c r="W276" s="89">
        <f t="shared" si="10"/>
        <v>0</v>
      </c>
      <c r="X276" s="89">
        <f t="shared" si="11"/>
        <v>0</v>
      </c>
      <c r="Y276" s="28"/>
    </row>
    <row r="277" spans="1:25" ht="17.25" customHeight="1">
      <c r="A277" s="88" t="str">
        <f>+IF(BASE!B281="","",BASE!B281)</f>
        <v>23XXR266</v>
      </c>
      <c r="B277" s="121" t="s">
        <v>40</v>
      </c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93"/>
      <c r="R277" s="91">
        <f t="shared" si="6"/>
        <v>0</v>
      </c>
      <c r="S277" s="91">
        <f>BASE!A281</f>
        <v>266</v>
      </c>
      <c r="T277" s="89">
        <f t="shared" si="7"/>
        <v>0</v>
      </c>
      <c r="U277" s="89">
        <f t="shared" si="8"/>
        <v>0</v>
      </c>
      <c r="V277" s="89">
        <f t="shared" si="9"/>
        <v>0</v>
      </c>
      <c r="W277" s="89">
        <f t="shared" si="10"/>
        <v>0</v>
      </c>
      <c r="X277" s="89">
        <f t="shared" si="11"/>
        <v>0</v>
      </c>
      <c r="Y277" s="28"/>
    </row>
    <row r="278" spans="1:25" ht="17.25" customHeight="1">
      <c r="A278" s="88" t="str">
        <f>+IF(BASE!B282="","",BASE!B282)</f>
        <v>23XXR267</v>
      </c>
      <c r="B278" s="121" t="s">
        <v>40</v>
      </c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93"/>
      <c r="R278" s="91">
        <f t="shared" si="6"/>
        <v>0</v>
      </c>
      <c r="S278" s="91">
        <f>BASE!A282</f>
        <v>267</v>
      </c>
      <c r="T278" s="89">
        <f t="shared" si="7"/>
        <v>0</v>
      </c>
      <c r="U278" s="89">
        <f t="shared" si="8"/>
        <v>0</v>
      </c>
      <c r="V278" s="89">
        <f t="shared" si="9"/>
        <v>0</v>
      </c>
      <c r="W278" s="89">
        <f t="shared" si="10"/>
        <v>0</v>
      </c>
      <c r="X278" s="89">
        <f t="shared" si="11"/>
        <v>0</v>
      </c>
      <c r="Y278" s="28"/>
    </row>
    <row r="279" spans="1:25" ht="17.25" customHeight="1">
      <c r="A279" s="88" t="str">
        <f>+IF(BASE!B283="","",BASE!B283)</f>
        <v>23XXR268</v>
      </c>
      <c r="B279" s="121" t="s">
        <v>40</v>
      </c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93"/>
      <c r="R279" s="91">
        <f t="shared" si="6"/>
        <v>0</v>
      </c>
      <c r="S279" s="91">
        <f>BASE!A283</f>
        <v>268</v>
      </c>
      <c r="T279" s="89">
        <f t="shared" si="7"/>
        <v>0</v>
      </c>
      <c r="U279" s="89">
        <f t="shared" si="8"/>
        <v>0</v>
      </c>
      <c r="V279" s="89">
        <f t="shared" si="9"/>
        <v>0</v>
      </c>
      <c r="W279" s="89">
        <f t="shared" si="10"/>
        <v>0</v>
      </c>
      <c r="X279" s="89">
        <f t="shared" si="11"/>
        <v>0</v>
      </c>
      <c r="Y279" s="28"/>
    </row>
    <row r="280" spans="1:25" ht="17.25" customHeight="1">
      <c r="A280" s="88" t="str">
        <f>+IF(BASE!B284="","",BASE!B284)</f>
        <v>23XXR269</v>
      </c>
      <c r="B280" s="121" t="s">
        <v>40</v>
      </c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93"/>
      <c r="R280" s="91">
        <f t="shared" si="6"/>
        <v>0</v>
      </c>
      <c r="S280" s="91">
        <f>BASE!A284</f>
        <v>269</v>
      </c>
      <c r="T280" s="89">
        <f t="shared" si="7"/>
        <v>0</v>
      </c>
      <c r="U280" s="89">
        <f t="shared" si="8"/>
        <v>0</v>
      </c>
      <c r="V280" s="89">
        <f t="shared" si="9"/>
        <v>0</v>
      </c>
      <c r="W280" s="89">
        <f t="shared" si="10"/>
        <v>0</v>
      </c>
      <c r="X280" s="89">
        <f t="shared" si="11"/>
        <v>0</v>
      </c>
      <c r="Y280" s="28"/>
    </row>
    <row r="281" spans="1:25" ht="17.25" customHeight="1">
      <c r="A281" s="88" t="str">
        <f>+IF(BASE!B285="","",BASE!B285)</f>
        <v>23XXR270</v>
      </c>
      <c r="B281" s="121" t="s">
        <v>40</v>
      </c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93"/>
      <c r="R281" s="91">
        <f t="shared" si="6"/>
        <v>0</v>
      </c>
      <c r="S281" s="91">
        <f>BASE!A285</f>
        <v>270</v>
      </c>
      <c r="T281" s="89">
        <f t="shared" si="7"/>
        <v>0</v>
      </c>
      <c r="U281" s="89">
        <f t="shared" si="8"/>
        <v>0</v>
      </c>
      <c r="V281" s="89">
        <f t="shared" si="9"/>
        <v>0</v>
      </c>
      <c r="W281" s="89">
        <f t="shared" si="10"/>
        <v>0</v>
      </c>
      <c r="X281" s="89">
        <f t="shared" si="11"/>
        <v>0</v>
      </c>
      <c r="Y281" s="28"/>
    </row>
    <row r="282" spans="1:25" ht="17.25" customHeight="1">
      <c r="A282" s="88" t="str">
        <f>+IF(BASE!B286="","",BASE!B286)</f>
        <v>23XXR271</v>
      </c>
      <c r="B282" s="121" t="s">
        <v>40</v>
      </c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93"/>
      <c r="R282" s="91">
        <f t="shared" si="6"/>
        <v>0</v>
      </c>
      <c r="S282" s="91">
        <f>BASE!A286</f>
        <v>271</v>
      </c>
      <c r="T282" s="89">
        <f t="shared" si="7"/>
        <v>0</v>
      </c>
      <c r="U282" s="89">
        <f t="shared" si="8"/>
        <v>0</v>
      </c>
      <c r="V282" s="89">
        <f t="shared" si="9"/>
        <v>0</v>
      </c>
      <c r="W282" s="89">
        <f t="shared" si="10"/>
        <v>0</v>
      </c>
      <c r="X282" s="89">
        <f t="shared" si="11"/>
        <v>0</v>
      </c>
      <c r="Y282" s="28"/>
    </row>
    <row r="283" spans="1:25" ht="17.25" customHeight="1">
      <c r="A283" s="88" t="str">
        <f>+IF(BASE!B287="","",BASE!B287)</f>
        <v>23XXR272</v>
      </c>
      <c r="B283" s="121" t="s">
        <v>40</v>
      </c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93"/>
      <c r="R283" s="91">
        <f t="shared" si="6"/>
        <v>0</v>
      </c>
      <c r="S283" s="91">
        <f>BASE!A287</f>
        <v>272</v>
      </c>
      <c r="T283" s="89">
        <f t="shared" si="7"/>
        <v>0</v>
      </c>
      <c r="U283" s="89">
        <f t="shared" si="8"/>
        <v>0</v>
      </c>
      <c r="V283" s="89">
        <f t="shared" si="9"/>
        <v>0</v>
      </c>
      <c r="W283" s="89">
        <f t="shared" si="10"/>
        <v>0</v>
      </c>
      <c r="X283" s="89">
        <f t="shared" si="11"/>
        <v>0</v>
      </c>
      <c r="Y283" s="28"/>
    </row>
    <row r="284" spans="1:25" ht="17.25" customHeight="1">
      <c r="A284" s="88" t="str">
        <f>+IF(BASE!B288="","",BASE!B288)</f>
        <v>23XXR273</v>
      </c>
      <c r="B284" s="121" t="s">
        <v>40</v>
      </c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93"/>
      <c r="R284" s="91">
        <f t="shared" si="6"/>
        <v>0</v>
      </c>
      <c r="S284" s="91">
        <f>BASE!A288</f>
        <v>273</v>
      </c>
      <c r="T284" s="89">
        <f t="shared" si="7"/>
        <v>0</v>
      </c>
      <c r="U284" s="89">
        <f t="shared" si="8"/>
        <v>0</v>
      </c>
      <c r="V284" s="89">
        <f t="shared" si="9"/>
        <v>0</v>
      </c>
      <c r="W284" s="89">
        <f t="shared" si="10"/>
        <v>0</v>
      </c>
      <c r="X284" s="89">
        <f t="shared" si="11"/>
        <v>0</v>
      </c>
      <c r="Y284" s="28"/>
    </row>
    <row r="285" spans="1:25" ht="17.25" customHeight="1">
      <c r="A285" s="88" t="str">
        <f>+IF(BASE!B289="","",BASE!B289)</f>
        <v>23XXR274</v>
      </c>
      <c r="B285" s="121" t="s">
        <v>40</v>
      </c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93"/>
      <c r="R285" s="91">
        <f t="shared" si="6"/>
        <v>0</v>
      </c>
      <c r="S285" s="91">
        <f>BASE!A289</f>
        <v>274</v>
      </c>
      <c r="T285" s="89">
        <f t="shared" si="7"/>
        <v>0</v>
      </c>
      <c r="U285" s="89">
        <f t="shared" si="8"/>
        <v>0</v>
      </c>
      <c r="V285" s="89">
        <f t="shared" si="9"/>
        <v>0</v>
      </c>
      <c r="W285" s="89">
        <f t="shared" si="10"/>
        <v>0</v>
      </c>
      <c r="X285" s="89">
        <f t="shared" si="11"/>
        <v>0</v>
      </c>
      <c r="Y285" s="28"/>
    </row>
    <row r="286" spans="1:25" ht="17.25" customHeight="1">
      <c r="A286" s="88" t="str">
        <f>+IF(BASE!B290="","",BASE!B290)</f>
        <v>23XXR275</v>
      </c>
      <c r="B286" s="121" t="s">
        <v>40</v>
      </c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93"/>
      <c r="R286" s="91">
        <f t="shared" si="6"/>
        <v>0</v>
      </c>
      <c r="S286" s="91">
        <f>BASE!A290</f>
        <v>275</v>
      </c>
      <c r="T286" s="89">
        <f t="shared" si="7"/>
        <v>0</v>
      </c>
      <c r="U286" s="89">
        <f t="shared" si="8"/>
        <v>0</v>
      </c>
      <c r="V286" s="89">
        <f t="shared" si="9"/>
        <v>0</v>
      </c>
      <c r="W286" s="89">
        <f t="shared" si="10"/>
        <v>0</v>
      </c>
      <c r="X286" s="89">
        <f t="shared" si="11"/>
        <v>0</v>
      </c>
      <c r="Y286" s="28"/>
    </row>
    <row r="287" spans="1:25" ht="17.25" customHeight="1">
      <c r="A287" s="88" t="str">
        <f>+IF(BASE!B291="","",BASE!B291)</f>
        <v>23XXR276</v>
      </c>
      <c r="B287" s="121" t="s">
        <v>40</v>
      </c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93"/>
      <c r="R287" s="91">
        <f t="shared" si="6"/>
        <v>0</v>
      </c>
      <c r="S287" s="91">
        <f>BASE!A291</f>
        <v>276</v>
      </c>
      <c r="T287" s="89">
        <f t="shared" si="7"/>
        <v>0</v>
      </c>
      <c r="U287" s="89">
        <f t="shared" si="8"/>
        <v>0</v>
      </c>
      <c r="V287" s="89">
        <f t="shared" si="9"/>
        <v>0</v>
      </c>
      <c r="W287" s="89">
        <f t="shared" si="10"/>
        <v>0</v>
      </c>
      <c r="X287" s="89">
        <f t="shared" si="11"/>
        <v>0</v>
      </c>
      <c r="Y287" s="28"/>
    </row>
    <row r="288" spans="1:25" ht="17.25" customHeight="1">
      <c r="A288" s="88" t="str">
        <f>+IF(BASE!B292="","",BASE!B292)</f>
        <v>23XXR277</v>
      </c>
      <c r="B288" s="121" t="s">
        <v>40</v>
      </c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93"/>
      <c r="R288" s="91">
        <f t="shared" si="6"/>
        <v>0</v>
      </c>
      <c r="S288" s="91">
        <f>BASE!A292</f>
        <v>277</v>
      </c>
      <c r="T288" s="89">
        <f t="shared" si="7"/>
        <v>0</v>
      </c>
      <c r="U288" s="89">
        <f t="shared" si="8"/>
        <v>0</v>
      </c>
      <c r="V288" s="89">
        <f t="shared" si="9"/>
        <v>0</v>
      </c>
      <c r="W288" s="89">
        <f t="shared" si="10"/>
        <v>0</v>
      </c>
      <c r="X288" s="89">
        <f t="shared" si="11"/>
        <v>0</v>
      </c>
      <c r="Y288" s="28"/>
    </row>
    <row r="289" spans="1:25" ht="17.25" customHeight="1">
      <c r="A289" s="88" t="str">
        <f>+IF(BASE!B293="","",BASE!B293)</f>
        <v>23XXR278</v>
      </c>
      <c r="B289" s="121" t="s">
        <v>40</v>
      </c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93"/>
      <c r="R289" s="91">
        <f t="shared" si="6"/>
        <v>0</v>
      </c>
      <c r="S289" s="91">
        <f>BASE!A293</f>
        <v>278</v>
      </c>
      <c r="T289" s="89">
        <f t="shared" si="7"/>
        <v>0</v>
      </c>
      <c r="U289" s="89">
        <f t="shared" si="8"/>
        <v>0</v>
      </c>
      <c r="V289" s="89">
        <f t="shared" si="9"/>
        <v>0</v>
      </c>
      <c r="W289" s="89">
        <f t="shared" si="10"/>
        <v>0</v>
      </c>
      <c r="X289" s="89">
        <f t="shared" si="11"/>
        <v>0</v>
      </c>
      <c r="Y289" s="28"/>
    </row>
    <row r="290" spans="1:25" ht="17.25" customHeight="1">
      <c r="A290" s="88" t="str">
        <f>+IF(BASE!B294="","",BASE!B294)</f>
        <v>23XXR279</v>
      </c>
      <c r="B290" s="121" t="s">
        <v>40</v>
      </c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93"/>
      <c r="R290" s="91">
        <f t="shared" si="6"/>
        <v>0</v>
      </c>
      <c r="S290" s="91">
        <f>BASE!A294</f>
        <v>279</v>
      </c>
      <c r="T290" s="89">
        <f t="shared" si="7"/>
        <v>0</v>
      </c>
      <c r="U290" s="89">
        <f t="shared" si="8"/>
        <v>0</v>
      </c>
      <c r="V290" s="89">
        <f t="shared" si="9"/>
        <v>0</v>
      </c>
      <c r="W290" s="89">
        <f t="shared" si="10"/>
        <v>0</v>
      </c>
      <c r="X290" s="89">
        <f t="shared" si="11"/>
        <v>0</v>
      </c>
      <c r="Y290" s="28"/>
    </row>
    <row r="291" spans="1:25" ht="17.25" customHeight="1">
      <c r="A291" s="88" t="str">
        <f>+IF(BASE!B295="","",BASE!B295)</f>
        <v>23XXR280</v>
      </c>
      <c r="B291" s="121" t="s">
        <v>40</v>
      </c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93"/>
      <c r="R291" s="91">
        <f t="shared" si="6"/>
        <v>0</v>
      </c>
      <c r="S291" s="91">
        <f>BASE!A295</f>
        <v>280</v>
      </c>
      <c r="T291" s="89">
        <f t="shared" si="7"/>
        <v>0</v>
      </c>
      <c r="U291" s="89">
        <f t="shared" si="8"/>
        <v>0</v>
      </c>
      <c r="V291" s="89">
        <f t="shared" si="9"/>
        <v>0</v>
      </c>
      <c r="W291" s="89">
        <f t="shared" si="10"/>
        <v>0</v>
      </c>
      <c r="X291" s="89">
        <f t="shared" si="11"/>
        <v>0</v>
      </c>
      <c r="Y291" s="28"/>
    </row>
    <row r="292" spans="1:25" ht="17.25" customHeight="1">
      <c r="A292" s="88" t="str">
        <f>+IF(BASE!B296="","",BASE!B296)</f>
        <v>23XXR281</v>
      </c>
      <c r="B292" s="121" t="s">
        <v>40</v>
      </c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93"/>
      <c r="R292" s="91">
        <f t="shared" si="6"/>
        <v>0</v>
      </c>
      <c r="S292" s="91">
        <f>BASE!A296</f>
        <v>281</v>
      </c>
      <c r="T292" s="89">
        <f t="shared" si="7"/>
        <v>0</v>
      </c>
      <c r="U292" s="89">
        <f t="shared" si="8"/>
        <v>0</v>
      </c>
      <c r="V292" s="89">
        <f t="shared" si="9"/>
        <v>0</v>
      </c>
      <c r="W292" s="89">
        <f t="shared" si="10"/>
        <v>0</v>
      </c>
      <c r="X292" s="89">
        <f t="shared" si="11"/>
        <v>0</v>
      </c>
      <c r="Y292" s="28"/>
    </row>
    <row r="293" spans="1:25" ht="17.25" customHeight="1">
      <c r="A293" s="88" t="str">
        <f>+IF(BASE!B297="","",BASE!B297)</f>
        <v>23XXR282</v>
      </c>
      <c r="B293" s="121" t="s">
        <v>40</v>
      </c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93"/>
      <c r="R293" s="91">
        <f t="shared" si="6"/>
        <v>0</v>
      </c>
      <c r="S293" s="91">
        <f>BASE!A297</f>
        <v>282</v>
      </c>
      <c r="T293" s="89">
        <f t="shared" si="7"/>
        <v>0</v>
      </c>
      <c r="U293" s="89">
        <f t="shared" si="8"/>
        <v>0</v>
      </c>
      <c r="V293" s="89">
        <f t="shared" si="9"/>
        <v>0</v>
      </c>
      <c r="W293" s="89">
        <f t="shared" si="10"/>
        <v>0</v>
      </c>
      <c r="X293" s="89">
        <f t="shared" si="11"/>
        <v>0</v>
      </c>
      <c r="Y293" s="28"/>
    </row>
    <row r="294" spans="1:25" ht="17.25" customHeight="1">
      <c r="A294" s="88" t="str">
        <f>+IF(BASE!B298="","",BASE!B298)</f>
        <v>23XXR283</v>
      </c>
      <c r="B294" s="121" t="s">
        <v>40</v>
      </c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93"/>
      <c r="R294" s="91">
        <f t="shared" si="6"/>
        <v>0</v>
      </c>
      <c r="S294" s="91">
        <f>BASE!A298</f>
        <v>283</v>
      </c>
      <c r="T294" s="89">
        <f t="shared" si="7"/>
        <v>0</v>
      </c>
      <c r="U294" s="89">
        <f t="shared" si="8"/>
        <v>0</v>
      </c>
      <c r="V294" s="89">
        <f t="shared" si="9"/>
        <v>0</v>
      </c>
      <c r="W294" s="89">
        <f t="shared" si="10"/>
        <v>0</v>
      </c>
      <c r="X294" s="89">
        <f t="shared" si="11"/>
        <v>0</v>
      </c>
      <c r="Y294" s="28"/>
    </row>
    <row r="295" spans="1:25" ht="17.25" customHeight="1">
      <c r="A295" s="88" t="str">
        <f>+IF(BASE!B299="","",BASE!B299)</f>
        <v>23XXR284</v>
      </c>
      <c r="B295" s="121" t="s">
        <v>40</v>
      </c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93"/>
      <c r="R295" s="91">
        <f t="shared" si="6"/>
        <v>0</v>
      </c>
      <c r="S295" s="91">
        <f>BASE!A299</f>
        <v>284</v>
      </c>
      <c r="T295" s="89">
        <f t="shared" si="7"/>
        <v>0</v>
      </c>
      <c r="U295" s="89">
        <f t="shared" si="8"/>
        <v>0</v>
      </c>
      <c r="V295" s="89">
        <f t="shared" si="9"/>
        <v>0</v>
      </c>
      <c r="W295" s="89">
        <f t="shared" si="10"/>
        <v>0</v>
      </c>
      <c r="X295" s="89">
        <f t="shared" si="11"/>
        <v>0</v>
      </c>
      <c r="Y295" s="28"/>
    </row>
    <row r="296" spans="1:25" ht="17.25" customHeight="1">
      <c r="A296" s="88" t="str">
        <f>+IF(BASE!B300="","",BASE!B300)</f>
        <v>23XXR285</v>
      </c>
      <c r="B296" s="121" t="s">
        <v>40</v>
      </c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93"/>
      <c r="R296" s="91">
        <f t="shared" si="6"/>
        <v>0</v>
      </c>
      <c r="S296" s="91">
        <f>BASE!A300</f>
        <v>285</v>
      </c>
      <c r="T296" s="89">
        <f t="shared" si="7"/>
        <v>0</v>
      </c>
      <c r="U296" s="89">
        <f t="shared" si="8"/>
        <v>0</v>
      </c>
      <c r="V296" s="89">
        <f t="shared" si="9"/>
        <v>0</v>
      </c>
      <c r="W296" s="89">
        <f t="shared" si="10"/>
        <v>0</v>
      </c>
      <c r="X296" s="89">
        <f t="shared" si="11"/>
        <v>0</v>
      </c>
      <c r="Y296" s="28"/>
    </row>
    <row r="297" spans="1:25" ht="17.25" customHeight="1">
      <c r="A297" s="88" t="str">
        <f>+IF(BASE!B301="","",BASE!B301)</f>
        <v>23XXR286</v>
      </c>
      <c r="B297" s="121" t="s">
        <v>40</v>
      </c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93"/>
      <c r="R297" s="91">
        <f t="shared" si="6"/>
        <v>0</v>
      </c>
      <c r="S297" s="91">
        <f>BASE!A301</f>
        <v>286</v>
      </c>
      <c r="T297" s="89">
        <f t="shared" si="7"/>
        <v>0</v>
      </c>
      <c r="U297" s="89">
        <f t="shared" si="8"/>
        <v>0</v>
      </c>
      <c r="V297" s="89">
        <f t="shared" si="9"/>
        <v>0</v>
      </c>
      <c r="W297" s="89">
        <f t="shared" si="10"/>
        <v>0</v>
      </c>
      <c r="X297" s="89">
        <f t="shared" si="11"/>
        <v>0</v>
      </c>
      <c r="Y297" s="28"/>
    </row>
    <row r="298" spans="1:25" ht="17.25" customHeight="1">
      <c r="A298" s="88" t="str">
        <f>+IF(BASE!B302="","",BASE!B302)</f>
        <v>23XXR287</v>
      </c>
      <c r="B298" s="121" t="s">
        <v>40</v>
      </c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93"/>
      <c r="R298" s="91">
        <f t="shared" si="6"/>
        <v>0</v>
      </c>
      <c r="S298" s="91">
        <f>BASE!A302</f>
        <v>287</v>
      </c>
      <c r="T298" s="89">
        <f t="shared" si="7"/>
        <v>0</v>
      </c>
      <c r="U298" s="89">
        <f t="shared" si="8"/>
        <v>0</v>
      </c>
      <c r="V298" s="89">
        <f t="shared" si="9"/>
        <v>0</v>
      </c>
      <c r="W298" s="89">
        <f t="shared" si="10"/>
        <v>0</v>
      </c>
      <c r="X298" s="89">
        <f t="shared" si="11"/>
        <v>0</v>
      </c>
      <c r="Y298" s="28"/>
    </row>
    <row r="299" spans="1:25" ht="17.25" customHeight="1">
      <c r="A299" s="88" t="str">
        <f>+IF(BASE!B303="","",BASE!B303)</f>
        <v>23XXR288</v>
      </c>
      <c r="B299" s="121" t="s">
        <v>40</v>
      </c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93"/>
      <c r="R299" s="91">
        <f t="shared" si="6"/>
        <v>0</v>
      </c>
      <c r="S299" s="91">
        <f>BASE!A303</f>
        <v>288</v>
      </c>
      <c r="T299" s="89">
        <f t="shared" si="7"/>
        <v>0</v>
      </c>
      <c r="U299" s="89">
        <f t="shared" si="8"/>
        <v>0</v>
      </c>
      <c r="V299" s="89">
        <f t="shared" si="9"/>
        <v>0</v>
      </c>
      <c r="W299" s="89">
        <f t="shared" si="10"/>
        <v>0</v>
      </c>
      <c r="X299" s="89">
        <f t="shared" si="11"/>
        <v>0</v>
      </c>
      <c r="Y299" s="28"/>
    </row>
    <row r="300" spans="1:25" ht="17.25" customHeight="1">
      <c r="A300" s="88" t="str">
        <f>+IF(BASE!B304="","",BASE!B304)</f>
        <v>23XXR289</v>
      </c>
      <c r="B300" s="121" t="s">
        <v>40</v>
      </c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93"/>
      <c r="R300" s="91">
        <f t="shared" si="6"/>
        <v>0</v>
      </c>
      <c r="S300" s="91">
        <f>BASE!A304</f>
        <v>289</v>
      </c>
      <c r="T300" s="89">
        <f t="shared" si="7"/>
        <v>0</v>
      </c>
      <c r="U300" s="89">
        <f t="shared" si="8"/>
        <v>0</v>
      </c>
      <c r="V300" s="89">
        <f t="shared" si="9"/>
        <v>0</v>
      </c>
      <c r="W300" s="89">
        <f t="shared" si="10"/>
        <v>0</v>
      </c>
      <c r="X300" s="89">
        <f t="shared" si="11"/>
        <v>0</v>
      </c>
      <c r="Y300" s="28"/>
    </row>
    <row r="301" spans="1:25" ht="17.25" customHeight="1">
      <c r="A301" s="88" t="str">
        <f>+IF(BASE!B305="","",BASE!B305)</f>
        <v>23XXR290</v>
      </c>
      <c r="B301" s="121" t="s">
        <v>40</v>
      </c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93"/>
      <c r="R301" s="91">
        <f t="shared" si="6"/>
        <v>0</v>
      </c>
      <c r="S301" s="91">
        <f>BASE!A305</f>
        <v>290</v>
      </c>
      <c r="T301" s="89">
        <f t="shared" si="7"/>
        <v>0</v>
      </c>
      <c r="U301" s="89">
        <f t="shared" si="8"/>
        <v>0</v>
      </c>
      <c r="V301" s="89">
        <f t="shared" si="9"/>
        <v>0</v>
      </c>
      <c r="W301" s="89">
        <f t="shared" si="10"/>
        <v>0</v>
      </c>
      <c r="X301" s="89">
        <f t="shared" si="11"/>
        <v>0</v>
      </c>
      <c r="Y301" s="28"/>
    </row>
    <row r="302" spans="1:25" ht="17.25" customHeight="1">
      <c r="A302" s="88" t="str">
        <f>+IF(BASE!B306="","",BASE!B306)</f>
        <v>23XXR291</v>
      </c>
      <c r="B302" s="121" t="s">
        <v>40</v>
      </c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93"/>
      <c r="R302" s="91">
        <f t="shared" si="6"/>
        <v>0</v>
      </c>
      <c r="S302" s="91">
        <f>BASE!A306</f>
        <v>291</v>
      </c>
      <c r="T302" s="89">
        <f t="shared" si="7"/>
        <v>0</v>
      </c>
      <c r="U302" s="89">
        <f t="shared" si="8"/>
        <v>0</v>
      </c>
      <c r="V302" s="89">
        <f t="shared" si="9"/>
        <v>0</v>
      </c>
      <c r="W302" s="89">
        <f t="shared" si="10"/>
        <v>0</v>
      </c>
      <c r="X302" s="89">
        <f t="shared" si="11"/>
        <v>0</v>
      </c>
      <c r="Y302" s="28"/>
    </row>
    <row r="303" spans="1:25" ht="17.25" customHeight="1">
      <c r="A303" s="88" t="str">
        <f>+IF(BASE!B307="","",BASE!B307)</f>
        <v>23XXR292</v>
      </c>
      <c r="B303" s="121" t="s">
        <v>40</v>
      </c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93"/>
      <c r="R303" s="91">
        <f t="shared" si="6"/>
        <v>0</v>
      </c>
      <c r="S303" s="91">
        <f>BASE!A307</f>
        <v>292</v>
      </c>
      <c r="T303" s="89">
        <f t="shared" si="7"/>
        <v>0</v>
      </c>
      <c r="U303" s="89">
        <f t="shared" si="8"/>
        <v>0</v>
      </c>
      <c r="V303" s="89">
        <f t="shared" si="9"/>
        <v>0</v>
      </c>
      <c r="W303" s="89">
        <f t="shared" si="10"/>
        <v>0</v>
      </c>
      <c r="X303" s="89">
        <f t="shared" si="11"/>
        <v>0</v>
      </c>
      <c r="Y303" s="28"/>
    </row>
    <row r="304" spans="1:25" ht="17.25" customHeight="1">
      <c r="A304" s="88" t="str">
        <f>+IF(BASE!B308="","",BASE!B308)</f>
        <v>23XXR293</v>
      </c>
      <c r="B304" s="121" t="s">
        <v>40</v>
      </c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93"/>
      <c r="R304" s="91">
        <f t="shared" si="6"/>
        <v>0</v>
      </c>
      <c r="S304" s="91">
        <f>BASE!A308</f>
        <v>293</v>
      </c>
      <c r="T304" s="89">
        <f t="shared" si="7"/>
        <v>0</v>
      </c>
      <c r="U304" s="89">
        <f t="shared" si="8"/>
        <v>0</v>
      </c>
      <c r="V304" s="89">
        <f t="shared" si="9"/>
        <v>0</v>
      </c>
      <c r="W304" s="89">
        <f t="shared" si="10"/>
        <v>0</v>
      </c>
      <c r="X304" s="89">
        <f t="shared" si="11"/>
        <v>0</v>
      </c>
      <c r="Y304" s="28"/>
    </row>
    <row r="305" spans="1:25" ht="17.25" customHeight="1">
      <c r="A305" s="88" t="str">
        <f>+IF(BASE!B309="","",BASE!B309)</f>
        <v>23XXR294</v>
      </c>
      <c r="B305" s="121" t="s">
        <v>40</v>
      </c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93"/>
      <c r="R305" s="91">
        <f t="shared" si="6"/>
        <v>0</v>
      </c>
      <c r="S305" s="91">
        <f>BASE!A309</f>
        <v>294</v>
      </c>
      <c r="T305" s="89">
        <f t="shared" si="7"/>
        <v>0</v>
      </c>
      <c r="U305" s="89">
        <f t="shared" si="8"/>
        <v>0</v>
      </c>
      <c r="V305" s="89">
        <f t="shared" si="9"/>
        <v>0</v>
      </c>
      <c r="W305" s="89">
        <f t="shared" si="10"/>
        <v>0</v>
      </c>
      <c r="X305" s="89">
        <f t="shared" si="11"/>
        <v>0</v>
      </c>
      <c r="Y305" s="28"/>
    </row>
    <row r="306" spans="1:25" ht="17.25" customHeight="1">
      <c r="A306" s="88" t="str">
        <f>+IF(BASE!B310="","",BASE!B310)</f>
        <v>23XXR295</v>
      </c>
      <c r="B306" s="121" t="s">
        <v>40</v>
      </c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93"/>
      <c r="R306" s="91">
        <f t="shared" si="6"/>
        <v>0</v>
      </c>
      <c r="S306" s="91">
        <f>BASE!A310</f>
        <v>295</v>
      </c>
      <c r="T306" s="89">
        <f t="shared" si="7"/>
        <v>0</v>
      </c>
      <c r="U306" s="89">
        <f t="shared" si="8"/>
        <v>0</v>
      </c>
      <c r="V306" s="89">
        <f t="shared" si="9"/>
        <v>0</v>
      </c>
      <c r="W306" s="89">
        <f t="shared" si="10"/>
        <v>0</v>
      </c>
      <c r="X306" s="89">
        <f t="shared" si="11"/>
        <v>0</v>
      </c>
      <c r="Y306" s="28"/>
    </row>
    <row r="307" spans="1:25" ht="17.25" customHeight="1">
      <c r="A307" s="88" t="str">
        <f>+IF(BASE!B311="","",BASE!B311)</f>
        <v>23XXR296</v>
      </c>
      <c r="B307" s="121" t="s">
        <v>40</v>
      </c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93"/>
      <c r="R307" s="91">
        <f t="shared" si="6"/>
        <v>0</v>
      </c>
      <c r="S307" s="91">
        <f>BASE!A311</f>
        <v>296</v>
      </c>
      <c r="T307" s="89">
        <f t="shared" si="7"/>
        <v>0</v>
      </c>
      <c r="U307" s="89">
        <f t="shared" si="8"/>
        <v>0</v>
      </c>
      <c r="V307" s="89">
        <f t="shared" si="9"/>
        <v>0</v>
      </c>
      <c r="W307" s="89">
        <f t="shared" si="10"/>
        <v>0</v>
      </c>
      <c r="X307" s="89">
        <f t="shared" si="11"/>
        <v>0</v>
      </c>
      <c r="Y307" s="28"/>
    </row>
    <row r="308" spans="1:25" ht="17.25" customHeight="1">
      <c r="A308" s="88" t="str">
        <f>+IF(BASE!B312="","",BASE!B312)</f>
        <v>23XXR297</v>
      </c>
      <c r="B308" s="121" t="s">
        <v>40</v>
      </c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93"/>
      <c r="R308" s="91">
        <f t="shared" si="6"/>
        <v>0</v>
      </c>
      <c r="S308" s="91">
        <f>BASE!A312</f>
        <v>297</v>
      </c>
      <c r="T308" s="89">
        <f t="shared" si="7"/>
        <v>0</v>
      </c>
      <c r="U308" s="89">
        <f t="shared" si="8"/>
        <v>0</v>
      </c>
      <c r="V308" s="89">
        <f t="shared" si="9"/>
        <v>0</v>
      </c>
      <c r="W308" s="89">
        <f t="shared" si="10"/>
        <v>0</v>
      </c>
      <c r="X308" s="89">
        <f t="shared" si="11"/>
        <v>0</v>
      </c>
      <c r="Y308" s="28"/>
    </row>
    <row r="309" spans="1:25" ht="17.25" customHeight="1">
      <c r="A309" s="88" t="str">
        <f>+IF(BASE!B313="","",BASE!B313)</f>
        <v>23XXR298</v>
      </c>
      <c r="B309" s="121" t="s">
        <v>40</v>
      </c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93"/>
      <c r="R309" s="91">
        <f t="shared" si="6"/>
        <v>0</v>
      </c>
      <c r="S309" s="91">
        <f>BASE!A313</f>
        <v>298</v>
      </c>
      <c r="T309" s="89">
        <f t="shared" si="7"/>
        <v>0</v>
      </c>
      <c r="U309" s="89">
        <f t="shared" si="8"/>
        <v>0</v>
      </c>
      <c r="V309" s="89">
        <f t="shared" si="9"/>
        <v>0</v>
      </c>
      <c r="W309" s="89">
        <f t="shared" si="10"/>
        <v>0</v>
      </c>
      <c r="X309" s="89">
        <f t="shared" si="11"/>
        <v>0</v>
      </c>
      <c r="Y309" s="28"/>
    </row>
    <row r="310" spans="1:25" ht="17.25" customHeight="1">
      <c r="A310" s="88" t="str">
        <f>+IF(BASE!B314="","",BASE!B314)</f>
        <v>23XXR299</v>
      </c>
      <c r="B310" s="121" t="s">
        <v>40</v>
      </c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93"/>
      <c r="R310" s="91">
        <f t="shared" si="6"/>
        <v>0</v>
      </c>
      <c r="S310" s="91">
        <f>BASE!A314</f>
        <v>299</v>
      </c>
      <c r="T310" s="89">
        <f t="shared" si="7"/>
        <v>0</v>
      </c>
      <c r="U310" s="89">
        <f t="shared" si="8"/>
        <v>0</v>
      </c>
      <c r="V310" s="89">
        <f t="shared" si="9"/>
        <v>0</v>
      </c>
      <c r="W310" s="89">
        <f t="shared" si="10"/>
        <v>0</v>
      </c>
      <c r="X310" s="89">
        <f t="shared" si="11"/>
        <v>0</v>
      </c>
      <c r="Y310" s="28"/>
    </row>
    <row r="311" spans="1:25" ht="17.25" customHeight="1">
      <c r="A311" s="88" t="str">
        <f>+IF(BASE!B315="","",BASE!B315)</f>
        <v>23XXR300</v>
      </c>
      <c r="B311" s="121" t="s">
        <v>40</v>
      </c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93"/>
      <c r="R311" s="91">
        <f t="shared" si="6"/>
        <v>0</v>
      </c>
      <c r="S311" s="91">
        <f>BASE!A315</f>
        <v>300</v>
      </c>
      <c r="T311" s="89">
        <f t="shared" si="7"/>
        <v>0</v>
      </c>
      <c r="U311" s="89">
        <f t="shared" si="8"/>
        <v>0</v>
      </c>
      <c r="V311" s="89">
        <f t="shared" si="9"/>
        <v>0</v>
      </c>
      <c r="W311" s="89">
        <f t="shared" si="10"/>
        <v>0</v>
      </c>
      <c r="X311" s="89">
        <f t="shared" si="11"/>
        <v>0</v>
      </c>
      <c r="Y311" s="28"/>
    </row>
    <row r="312" spans="1:25" ht="17.25" customHeight="1">
      <c r="A312" s="88" t="str">
        <f>+IF(BASE!B316="","",BASE!B316)</f>
        <v>23XXR301</v>
      </c>
      <c r="B312" s="121" t="s">
        <v>40</v>
      </c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93"/>
      <c r="R312" s="91">
        <f t="shared" si="6"/>
        <v>0</v>
      </c>
      <c r="S312" s="91">
        <f>BASE!A316</f>
        <v>301</v>
      </c>
      <c r="T312" s="89">
        <f t="shared" si="7"/>
        <v>0</v>
      </c>
      <c r="U312" s="89">
        <f t="shared" si="8"/>
        <v>0</v>
      </c>
      <c r="V312" s="89">
        <f t="shared" si="9"/>
        <v>0</v>
      </c>
      <c r="W312" s="89">
        <f t="shared" si="10"/>
        <v>0</v>
      </c>
      <c r="X312" s="89">
        <f t="shared" si="11"/>
        <v>0</v>
      </c>
      <c r="Y312" s="28"/>
    </row>
    <row r="313" spans="1:25" ht="17.25" customHeight="1">
      <c r="A313" s="88" t="str">
        <f>+IF(BASE!B317="","",BASE!B317)</f>
        <v>23XXR302</v>
      </c>
      <c r="B313" s="121" t="s">
        <v>40</v>
      </c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93"/>
      <c r="R313" s="91">
        <f t="shared" si="6"/>
        <v>0</v>
      </c>
      <c r="S313" s="91">
        <f>BASE!A317</f>
        <v>302</v>
      </c>
      <c r="T313" s="89">
        <f t="shared" si="7"/>
        <v>0</v>
      </c>
      <c r="U313" s="89">
        <f t="shared" si="8"/>
        <v>0</v>
      </c>
      <c r="V313" s="89">
        <f t="shared" si="9"/>
        <v>0</v>
      </c>
      <c r="W313" s="89">
        <f t="shared" si="10"/>
        <v>0</v>
      </c>
      <c r="X313" s="89">
        <f t="shared" si="11"/>
        <v>0</v>
      </c>
      <c r="Y313" s="28"/>
    </row>
    <row r="314" spans="1:25" ht="17.25" customHeight="1">
      <c r="A314" s="88" t="str">
        <f>+IF(BASE!B318="","",BASE!B318)</f>
        <v>23XXR303</v>
      </c>
      <c r="B314" s="121" t="s">
        <v>40</v>
      </c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93"/>
      <c r="R314" s="91">
        <f t="shared" si="6"/>
        <v>0</v>
      </c>
      <c r="S314" s="91">
        <f>BASE!A318</f>
        <v>303</v>
      </c>
      <c r="T314" s="89">
        <f t="shared" si="7"/>
        <v>0</v>
      </c>
      <c r="U314" s="89">
        <f t="shared" si="8"/>
        <v>0</v>
      </c>
      <c r="V314" s="89">
        <f t="shared" si="9"/>
        <v>0</v>
      </c>
      <c r="W314" s="89">
        <f t="shared" si="10"/>
        <v>0</v>
      </c>
      <c r="X314" s="89">
        <f t="shared" si="11"/>
        <v>0</v>
      </c>
      <c r="Y314" s="28"/>
    </row>
    <row r="315" spans="1:25" ht="17.25" customHeight="1">
      <c r="A315" s="88" t="str">
        <f>+IF(BASE!B319="","",BASE!B319)</f>
        <v>23XXR304</v>
      </c>
      <c r="B315" s="121" t="s">
        <v>40</v>
      </c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93"/>
      <c r="R315" s="91">
        <f t="shared" si="6"/>
        <v>0</v>
      </c>
      <c r="S315" s="91">
        <f>BASE!A319</f>
        <v>304</v>
      </c>
      <c r="T315" s="89">
        <f t="shared" si="7"/>
        <v>0</v>
      </c>
      <c r="U315" s="89">
        <f t="shared" si="8"/>
        <v>0</v>
      </c>
      <c r="V315" s="89">
        <f t="shared" si="9"/>
        <v>0</v>
      </c>
      <c r="W315" s="89">
        <f t="shared" si="10"/>
        <v>0</v>
      </c>
      <c r="X315" s="89">
        <f t="shared" si="11"/>
        <v>0</v>
      </c>
      <c r="Y315" s="28"/>
    </row>
    <row r="316" spans="1:25" ht="17.25" customHeight="1">
      <c r="A316" s="88" t="str">
        <f>+IF(BASE!B320="","",BASE!B320)</f>
        <v>23XXR305</v>
      </c>
      <c r="B316" s="121" t="s">
        <v>40</v>
      </c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93"/>
      <c r="R316" s="91">
        <f t="shared" si="6"/>
        <v>0</v>
      </c>
      <c r="S316" s="91">
        <f>BASE!A320</f>
        <v>305</v>
      </c>
      <c r="T316" s="89">
        <f t="shared" si="7"/>
        <v>0</v>
      </c>
      <c r="U316" s="89">
        <f t="shared" si="8"/>
        <v>0</v>
      </c>
      <c r="V316" s="89">
        <f t="shared" si="9"/>
        <v>0</v>
      </c>
      <c r="W316" s="89">
        <f t="shared" si="10"/>
        <v>0</v>
      </c>
      <c r="X316" s="89">
        <f t="shared" si="11"/>
        <v>0</v>
      </c>
      <c r="Y316" s="28"/>
    </row>
    <row r="317" spans="1:25" ht="17.25" customHeight="1">
      <c r="A317" s="88" t="str">
        <f>+IF(BASE!B321="","",BASE!B321)</f>
        <v>23XXR306</v>
      </c>
      <c r="B317" s="121" t="s">
        <v>40</v>
      </c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93"/>
      <c r="R317" s="91">
        <f t="shared" ref="R317:R380" si="12">SUM(C317:Q317)</f>
        <v>0</v>
      </c>
      <c r="S317" s="91">
        <f>BASE!A321</f>
        <v>306</v>
      </c>
      <c r="T317" s="89">
        <f t="shared" ref="T317:T380" si="13">SUMIF($C$11:$Q$11,1,C317:Q317)</f>
        <v>0</v>
      </c>
      <c r="U317" s="89">
        <f t="shared" ref="U317:U380" si="14">SUMIF($C$11:$Q$11,2,C317:Q317)</f>
        <v>0</v>
      </c>
      <c r="V317" s="89">
        <f t="shared" ref="V317:V380" si="15">SUMIF($C$11:$Q$11,3,C317:Q317)</f>
        <v>0</v>
      </c>
      <c r="W317" s="89">
        <f t="shared" ref="W317:W380" si="16">SUMIF($C$11:$Q$11,4,C317:Q317)</f>
        <v>0</v>
      </c>
      <c r="X317" s="89">
        <f t="shared" ref="X317:X380" si="17">SUMIF($C$11:$Q$11,5,C317:Q317)</f>
        <v>0</v>
      </c>
      <c r="Y317" s="28"/>
    </row>
    <row r="318" spans="1:25" ht="17.25" customHeight="1">
      <c r="A318" s="88" t="str">
        <f>+IF(BASE!B322="","",BASE!B322)</f>
        <v>23XXR307</v>
      </c>
      <c r="B318" s="121" t="s">
        <v>40</v>
      </c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93"/>
      <c r="R318" s="91">
        <f t="shared" si="12"/>
        <v>0</v>
      </c>
      <c r="S318" s="91">
        <f>BASE!A322</f>
        <v>307</v>
      </c>
      <c r="T318" s="89">
        <f t="shared" si="13"/>
        <v>0</v>
      </c>
      <c r="U318" s="89">
        <f t="shared" si="14"/>
        <v>0</v>
      </c>
      <c r="V318" s="89">
        <f t="shared" si="15"/>
        <v>0</v>
      </c>
      <c r="W318" s="89">
        <f t="shared" si="16"/>
        <v>0</v>
      </c>
      <c r="X318" s="89">
        <f t="shared" si="17"/>
        <v>0</v>
      </c>
      <c r="Y318" s="28"/>
    </row>
    <row r="319" spans="1:25" ht="17.25" customHeight="1">
      <c r="A319" s="88" t="str">
        <f>+IF(BASE!B323="","",BASE!B323)</f>
        <v>23XXR308</v>
      </c>
      <c r="B319" s="121" t="s">
        <v>40</v>
      </c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93"/>
      <c r="R319" s="91">
        <f t="shared" si="12"/>
        <v>0</v>
      </c>
      <c r="S319" s="91">
        <f>BASE!A323</f>
        <v>308</v>
      </c>
      <c r="T319" s="89">
        <f t="shared" si="13"/>
        <v>0</v>
      </c>
      <c r="U319" s="89">
        <f t="shared" si="14"/>
        <v>0</v>
      </c>
      <c r="V319" s="89">
        <f t="shared" si="15"/>
        <v>0</v>
      </c>
      <c r="W319" s="89">
        <f t="shared" si="16"/>
        <v>0</v>
      </c>
      <c r="X319" s="89">
        <f t="shared" si="17"/>
        <v>0</v>
      </c>
      <c r="Y319" s="28"/>
    </row>
    <row r="320" spans="1:25" ht="17.25" customHeight="1">
      <c r="A320" s="88" t="str">
        <f>+IF(BASE!B324="","",BASE!B324)</f>
        <v>23XXR309</v>
      </c>
      <c r="B320" s="121" t="s">
        <v>40</v>
      </c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93"/>
      <c r="R320" s="91">
        <f t="shared" si="12"/>
        <v>0</v>
      </c>
      <c r="S320" s="91">
        <f>BASE!A324</f>
        <v>309</v>
      </c>
      <c r="T320" s="89">
        <f t="shared" si="13"/>
        <v>0</v>
      </c>
      <c r="U320" s="89">
        <f t="shared" si="14"/>
        <v>0</v>
      </c>
      <c r="V320" s="89">
        <f t="shared" si="15"/>
        <v>0</v>
      </c>
      <c r="W320" s="89">
        <f t="shared" si="16"/>
        <v>0</v>
      </c>
      <c r="X320" s="89">
        <f t="shared" si="17"/>
        <v>0</v>
      </c>
      <c r="Y320" s="28"/>
    </row>
    <row r="321" spans="1:25" ht="17.25" customHeight="1">
      <c r="A321" s="88" t="str">
        <f>+IF(BASE!B325="","",BASE!B325)</f>
        <v>23XXR310</v>
      </c>
      <c r="B321" s="121" t="s">
        <v>40</v>
      </c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93"/>
      <c r="R321" s="91">
        <f t="shared" si="12"/>
        <v>0</v>
      </c>
      <c r="S321" s="91">
        <f>BASE!A325</f>
        <v>310</v>
      </c>
      <c r="T321" s="89">
        <f t="shared" si="13"/>
        <v>0</v>
      </c>
      <c r="U321" s="89">
        <f t="shared" si="14"/>
        <v>0</v>
      </c>
      <c r="V321" s="89">
        <f t="shared" si="15"/>
        <v>0</v>
      </c>
      <c r="W321" s="89">
        <f t="shared" si="16"/>
        <v>0</v>
      </c>
      <c r="X321" s="89">
        <f t="shared" si="17"/>
        <v>0</v>
      </c>
      <c r="Y321" s="28"/>
    </row>
    <row r="322" spans="1:25" ht="17.25" customHeight="1">
      <c r="A322" s="88" t="str">
        <f>+IF(BASE!B326="","",BASE!B326)</f>
        <v>23XXR311</v>
      </c>
      <c r="B322" s="121" t="s">
        <v>40</v>
      </c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93"/>
      <c r="R322" s="91">
        <f t="shared" si="12"/>
        <v>0</v>
      </c>
      <c r="S322" s="91">
        <f>BASE!A326</f>
        <v>311</v>
      </c>
      <c r="T322" s="89">
        <f t="shared" si="13"/>
        <v>0</v>
      </c>
      <c r="U322" s="89">
        <f t="shared" si="14"/>
        <v>0</v>
      </c>
      <c r="V322" s="89">
        <f t="shared" si="15"/>
        <v>0</v>
      </c>
      <c r="W322" s="89">
        <f t="shared" si="16"/>
        <v>0</v>
      </c>
      <c r="X322" s="89">
        <f t="shared" si="17"/>
        <v>0</v>
      </c>
      <c r="Y322" s="28"/>
    </row>
    <row r="323" spans="1:25" ht="17.25" customHeight="1">
      <c r="A323" s="88" t="str">
        <f>+IF(BASE!B327="","",BASE!B327)</f>
        <v>23XXR312</v>
      </c>
      <c r="B323" s="121" t="s">
        <v>40</v>
      </c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93"/>
      <c r="R323" s="91">
        <f t="shared" si="12"/>
        <v>0</v>
      </c>
      <c r="S323" s="91">
        <f>BASE!A327</f>
        <v>312</v>
      </c>
      <c r="T323" s="89">
        <f t="shared" si="13"/>
        <v>0</v>
      </c>
      <c r="U323" s="89">
        <f t="shared" si="14"/>
        <v>0</v>
      </c>
      <c r="V323" s="89">
        <f t="shared" si="15"/>
        <v>0</v>
      </c>
      <c r="W323" s="89">
        <f t="shared" si="16"/>
        <v>0</v>
      </c>
      <c r="X323" s="89">
        <f t="shared" si="17"/>
        <v>0</v>
      </c>
      <c r="Y323" s="28"/>
    </row>
    <row r="324" spans="1:25" ht="17.25" customHeight="1">
      <c r="A324" s="88" t="str">
        <f>+IF(BASE!B328="","",BASE!B328)</f>
        <v>23XXR313</v>
      </c>
      <c r="B324" s="121" t="s">
        <v>40</v>
      </c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93"/>
      <c r="R324" s="91">
        <f t="shared" si="12"/>
        <v>0</v>
      </c>
      <c r="S324" s="91">
        <f>BASE!A328</f>
        <v>313</v>
      </c>
      <c r="T324" s="89">
        <f t="shared" si="13"/>
        <v>0</v>
      </c>
      <c r="U324" s="89">
        <f t="shared" si="14"/>
        <v>0</v>
      </c>
      <c r="V324" s="89">
        <f t="shared" si="15"/>
        <v>0</v>
      </c>
      <c r="W324" s="89">
        <f t="shared" si="16"/>
        <v>0</v>
      </c>
      <c r="X324" s="89">
        <f t="shared" si="17"/>
        <v>0</v>
      </c>
      <c r="Y324" s="28"/>
    </row>
    <row r="325" spans="1:25" ht="17.25" customHeight="1">
      <c r="A325" s="88" t="str">
        <f>+IF(BASE!B329="","",BASE!B329)</f>
        <v>23XXR314</v>
      </c>
      <c r="B325" s="121" t="s">
        <v>40</v>
      </c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93"/>
      <c r="R325" s="91">
        <f t="shared" si="12"/>
        <v>0</v>
      </c>
      <c r="S325" s="91">
        <f>BASE!A329</f>
        <v>314</v>
      </c>
      <c r="T325" s="89">
        <f t="shared" si="13"/>
        <v>0</v>
      </c>
      <c r="U325" s="89">
        <f t="shared" si="14"/>
        <v>0</v>
      </c>
      <c r="V325" s="89">
        <f t="shared" si="15"/>
        <v>0</v>
      </c>
      <c r="W325" s="89">
        <f t="shared" si="16"/>
        <v>0</v>
      </c>
      <c r="X325" s="89">
        <f t="shared" si="17"/>
        <v>0</v>
      </c>
      <c r="Y325" s="28"/>
    </row>
    <row r="326" spans="1:25" ht="17.25" customHeight="1">
      <c r="A326" s="88" t="str">
        <f>+IF(BASE!B330="","",BASE!B330)</f>
        <v>23XXR315</v>
      </c>
      <c r="B326" s="121" t="s">
        <v>40</v>
      </c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93"/>
      <c r="R326" s="91">
        <f t="shared" si="12"/>
        <v>0</v>
      </c>
      <c r="S326" s="91">
        <f>BASE!A330</f>
        <v>315</v>
      </c>
      <c r="T326" s="89">
        <f t="shared" si="13"/>
        <v>0</v>
      </c>
      <c r="U326" s="89">
        <f t="shared" si="14"/>
        <v>0</v>
      </c>
      <c r="V326" s="89">
        <f t="shared" si="15"/>
        <v>0</v>
      </c>
      <c r="W326" s="89">
        <f t="shared" si="16"/>
        <v>0</v>
      </c>
      <c r="X326" s="89">
        <f t="shared" si="17"/>
        <v>0</v>
      </c>
      <c r="Y326" s="28"/>
    </row>
    <row r="327" spans="1:25" ht="17.25" customHeight="1">
      <c r="A327" s="88" t="str">
        <f>+IF(BASE!B331="","",BASE!B331)</f>
        <v>23XXR316</v>
      </c>
      <c r="B327" s="121" t="s">
        <v>40</v>
      </c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93"/>
      <c r="R327" s="91">
        <f t="shared" si="12"/>
        <v>0</v>
      </c>
      <c r="S327" s="91">
        <f>BASE!A331</f>
        <v>316</v>
      </c>
      <c r="T327" s="89">
        <f t="shared" si="13"/>
        <v>0</v>
      </c>
      <c r="U327" s="89">
        <f t="shared" si="14"/>
        <v>0</v>
      </c>
      <c r="V327" s="89">
        <f t="shared" si="15"/>
        <v>0</v>
      </c>
      <c r="W327" s="89">
        <f t="shared" si="16"/>
        <v>0</v>
      </c>
      <c r="X327" s="89">
        <f t="shared" si="17"/>
        <v>0</v>
      </c>
      <c r="Y327" s="28"/>
    </row>
    <row r="328" spans="1:25" ht="17.25" customHeight="1">
      <c r="A328" s="88" t="str">
        <f>+IF(BASE!B332="","",BASE!B332)</f>
        <v>23XXR317</v>
      </c>
      <c r="B328" s="121" t="s">
        <v>40</v>
      </c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93"/>
      <c r="R328" s="91">
        <f t="shared" si="12"/>
        <v>0</v>
      </c>
      <c r="S328" s="91">
        <f>BASE!A332</f>
        <v>317</v>
      </c>
      <c r="T328" s="89">
        <f t="shared" si="13"/>
        <v>0</v>
      </c>
      <c r="U328" s="89">
        <f t="shared" si="14"/>
        <v>0</v>
      </c>
      <c r="V328" s="89">
        <f t="shared" si="15"/>
        <v>0</v>
      </c>
      <c r="W328" s="89">
        <f t="shared" si="16"/>
        <v>0</v>
      </c>
      <c r="X328" s="89">
        <f t="shared" si="17"/>
        <v>0</v>
      </c>
      <c r="Y328" s="28"/>
    </row>
    <row r="329" spans="1:25" ht="17.25" customHeight="1">
      <c r="A329" s="88" t="str">
        <f>+IF(BASE!B333="","",BASE!B333)</f>
        <v>23XXR318</v>
      </c>
      <c r="B329" s="121" t="s">
        <v>40</v>
      </c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93"/>
      <c r="R329" s="91">
        <f t="shared" si="12"/>
        <v>0</v>
      </c>
      <c r="S329" s="91">
        <f>BASE!A333</f>
        <v>318</v>
      </c>
      <c r="T329" s="89">
        <f t="shared" si="13"/>
        <v>0</v>
      </c>
      <c r="U329" s="89">
        <f t="shared" si="14"/>
        <v>0</v>
      </c>
      <c r="V329" s="89">
        <f t="shared" si="15"/>
        <v>0</v>
      </c>
      <c r="W329" s="89">
        <f t="shared" si="16"/>
        <v>0</v>
      </c>
      <c r="X329" s="89">
        <f t="shared" si="17"/>
        <v>0</v>
      </c>
      <c r="Y329" s="28"/>
    </row>
    <row r="330" spans="1:25" ht="17.25" customHeight="1">
      <c r="A330" s="88" t="str">
        <f>+IF(BASE!B334="","",BASE!B334)</f>
        <v>23XXR319</v>
      </c>
      <c r="B330" s="121" t="s">
        <v>40</v>
      </c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93"/>
      <c r="R330" s="91">
        <f t="shared" si="12"/>
        <v>0</v>
      </c>
      <c r="S330" s="91">
        <f>BASE!A334</f>
        <v>319</v>
      </c>
      <c r="T330" s="89">
        <f t="shared" si="13"/>
        <v>0</v>
      </c>
      <c r="U330" s="89">
        <f t="shared" si="14"/>
        <v>0</v>
      </c>
      <c r="V330" s="89">
        <f t="shared" si="15"/>
        <v>0</v>
      </c>
      <c r="W330" s="89">
        <f t="shared" si="16"/>
        <v>0</v>
      </c>
      <c r="X330" s="89">
        <f t="shared" si="17"/>
        <v>0</v>
      </c>
      <c r="Y330" s="28"/>
    </row>
    <row r="331" spans="1:25" ht="17.25" customHeight="1">
      <c r="A331" s="88" t="str">
        <f>+IF(BASE!B335="","",BASE!B335)</f>
        <v>23XXR320</v>
      </c>
      <c r="B331" s="121" t="s">
        <v>40</v>
      </c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93"/>
      <c r="R331" s="91">
        <f t="shared" si="12"/>
        <v>0</v>
      </c>
      <c r="S331" s="91">
        <f>BASE!A335</f>
        <v>320</v>
      </c>
      <c r="T331" s="89">
        <f t="shared" si="13"/>
        <v>0</v>
      </c>
      <c r="U331" s="89">
        <f t="shared" si="14"/>
        <v>0</v>
      </c>
      <c r="V331" s="89">
        <f t="shared" si="15"/>
        <v>0</v>
      </c>
      <c r="W331" s="89">
        <f t="shared" si="16"/>
        <v>0</v>
      </c>
      <c r="X331" s="89">
        <f t="shared" si="17"/>
        <v>0</v>
      </c>
      <c r="Y331" s="28"/>
    </row>
    <row r="332" spans="1:25" ht="17.25" customHeight="1">
      <c r="A332" s="88" t="str">
        <f>+IF(BASE!B336="","",BASE!B336)</f>
        <v>23XXR321</v>
      </c>
      <c r="B332" s="121" t="s">
        <v>40</v>
      </c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93"/>
      <c r="R332" s="91">
        <f t="shared" si="12"/>
        <v>0</v>
      </c>
      <c r="S332" s="91">
        <f>BASE!A336</f>
        <v>321</v>
      </c>
      <c r="T332" s="89">
        <f t="shared" si="13"/>
        <v>0</v>
      </c>
      <c r="U332" s="89">
        <f t="shared" si="14"/>
        <v>0</v>
      </c>
      <c r="V332" s="89">
        <f t="shared" si="15"/>
        <v>0</v>
      </c>
      <c r="W332" s="89">
        <f t="shared" si="16"/>
        <v>0</v>
      </c>
      <c r="X332" s="89">
        <f t="shared" si="17"/>
        <v>0</v>
      </c>
      <c r="Y332" s="28"/>
    </row>
    <row r="333" spans="1:25" ht="17.25" customHeight="1">
      <c r="A333" s="88" t="str">
        <f>+IF(BASE!B337="","",BASE!B337)</f>
        <v>23XXR322</v>
      </c>
      <c r="B333" s="121" t="s">
        <v>40</v>
      </c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93"/>
      <c r="R333" s="91">
        <f t="shared" si="12"/>
        <v>0</v>
      </c>
      <c r="S333" s="91">
        <f>BASE!A337</f>
        <v>322</v>
      </c>
      <c r="T333" s="89">
        <f t="shared" si="13"/>
        <v>0</v>
      </c>
      <c r="U333" s="89">
        <f t="shared" si="14"/>
        <v>0</v>
      </c>
      <c r="V333" s="89">
        <f t="shared" si="15"/>
        <v>0</v>
      </c>
      <c r="W333" s="89">
        <f t="shared" si="16"/>
        <v>0</v>
      </c>
      <c r="X333" s="89">
        <f t="shared" si="17"/>
        <v>0</v>
      </c>
      <c r="Y333" s="28"/>
    </row>
    <row r="334" spans="1:25" ht="17.25" customHeight="1">
      <c r="A334" s="88" t="str">
        <f>+IF(BASE!B338="","",BASE!B338)</f>
        <v>23XXR323</v>
      </c>
      <c r="B334" s="121" t="s">
        <v>40</v>
      </c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93"/>
      <c r="R334" s="91">
        <f t="shared" si="12"/>
        <v>0</v>
      </c>
      <c r="S334" s="91">
        <f>BASE!A338</f>
        <v>323</v>
      </c>
      <c r="T334" s="89">
        <f t="shared" si="13"/>
        <v>0</v>
      </c>
      <c r="U334" s="89">
        <f t="shared" si="14"/>
        <v>0</v>
      </c>
      <c r="V334" s="89">
        <f t="shared" si="15"/>
        <v>0</v>
      </c>
      <c r="W334" s="89">
        <f t="shared" si="16"/>
        <v>0</v>
      </c>
      <c r="X334" s="89">
        <f t="shared" si="17"/>
        <v>0</v>
      </c>
      <c r="Y334" s="28"/>
    </row>
    <row r="335" spans="1:25" ht="17.25" customHeight="1">
      <c r="A335" s="88" t="str">
        <f>+IF(BASE!B339="","",BASE!B339)</f>
        <v>23XXR324</v>
      </c>
      <c r="B335" s="121" t="s">
        <v>40</v>
      </c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93"/>
      <c r="R335" s="91">
        <f t="shared" si="12"/>
        <v>0</v>
      </c>
      <c r="S335" s="91">
        <f>BASE!A339</f>
        <v>324</v>
      </c>
      <c r="T335" s="89">
        <f t="shared" si="13"/>
        <v>0</v>
      </c>
      <c r="U335" s="89">
        <f t="shared" si="14"/>
        <v>0</v>
      </c>
      <c r="V335" s="89">
        <f t="shared" si="15"/>
        <v>0</v>
      </c>
      <c r="W335" s="89">
        <f t="shared" si="16"/>
        <v>0</v>
      </c>
      <c r="X335" s="89">
        <f t="shared" si="17"/>
        <v>0</v>
      </c>
      <c r="Y335" s="28"/>
    </row>
    <row r="336" spans="1:25" ht="17.25" customHeight="1">
      <c r="A336" s="88" t="str">
        <f>+IF(BASE!B340="","",BASE!B340)</f>
        <v>23XXR325</v>
      </c>
      <c r="B336" s="121" t="s">
        <v>40</v>
      </c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93"/>
      <c r="R336" s="91">
        <f t="shared" si="12"/>
        <v>0</v>
      </c>
      <c r="S336" s="91">
        <f>BASE!A340</f>
        <v>325</v>
      </c>
      <c r="T336" s="89">
        <f t="shared" si="13"/>
        <v>0</v>
      </c>
      <c r="U336" s="89">
        <f t="shared" si="14"/>
        <v>0</v>
      </c>
      <c r="V336" s="89">
        <f t="shared" si="15"/>
        <v>0</v>
      </c>
      <c r="W336" s="89">
        <f t="shared" si="16"/>
        <v>0</v>
      </c>
      <c r="X336" s="89">
        <f t="shared" si="17"/>
        <v>0</v>
      </c>
      <c r="Y336" s="28"/>
    </row>
    <row r="337" spans="1:25" ht="17.25" customHeight="1">
      <c r="A337" s="88" t="str">
        <f>+IF(BASE!B341="","",BASE!B341)</f>
        <v>23XXR326</v>
      </c>
      <c r="B337" s="121" t="s">
        <v>40</v>
      </c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93"/>
      <c r="R337" s="91">
        <f t="shared" si="12"/>
        <v>0</v>
      </c>
      <c r="S337" s="91">
        <f>BASE!A341</f>
        <v>326</v>
      </c>
      <c r="T337" s="89">
        <f t="shared" si="13"/>
        <v>0</v>
      </c>
      <c r="U337" s="89">
        <f t="shared" si="14"/>
        <v>0</v>
      </c>
      <c r="V337" s="89">
        <f t="shared" si="15"/>
        <v>0</v>
      </c>
      <c r="W337" s="89">
        <f t="shared" si="16"/>
        <v>0</v>
      </c>
      <c r="X337" s="89">
        <f t="shared" si="17"/>
        <v>0</v>
      </c>
      <c r="Y337" s="28"/>
    </row>
    <row r="338" spans="1:25" ht="17.25" customHeight="1">
      <c r="A338" s="88" t="str">
        <f>+IF(BASE!B342="","",BASE!B342)</f>
        <v>23XXR327</v>
      </c>
      <c r="B338" s="121" t="s">
        <v>40</v>
      </c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93"/>
      <c r="R338" s="91">
        <f t="shared" si="12"/>
        <v>0</v>
      </c>
      <c r="S338" s="91">
        <f>BASE!A342</f>
        <v>327</v>
      </c>
      <c r="T338" s="89">
        <f t="shared" si="13"/>
        <v>0</v>
      </c>
      <c r="U338" s="89">
        <f t="shared" si="14"/>
        <v>0</v>
      </c>
      <c r="V338" s="89">
        <f t="shared" si="15"/>
        <v>0</v>
      </c>
      <c r="W338" s="89">
        <f t="shared" si="16"/>
        <v>0</v>
      </c>
      <c r="X338" s="89">
        <f t="shared" si="17"/>
        <v>0</v>
      </c>
      <c r="Y338" s="28"/>
    </row>
    <row r="339" spans="1:25" ht="17.25" customHeight="1">
      <c r="A339" s="88" t="str">
        <f>+IF(BASE!B343="","",BASE!B343)</f>
        <v>23XXR328</v>
      </c>
      <c r="B339" s="121" t="s">
        <v>40</v>
      </c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93"/>
      <c r="R339" s="91">
        <f t="shared" si="12"/>
        <v>0</v>
      </c>
      <c r="S339" s="91">
        <f>BASE!A343</f>
        <v>328</v>
      </c>
      <c r="T339" s="89">
        <f t="shared" si="13"/>
        <v>0</v>
      </c>
      <c r="U339" s="89">
        <f t="shared" si="14"/>
        <v>0</v>
      </c>
      <c r="V339" s="89">
        <f t="shared" si="15"/>
        <v>0</v>
      </c>
      <c r="W339" s="89">
        <f t="shared" si="16"/>
        <v>0</v>
      </c>
      <c r="X339" s="89">
        <f t="shared" si="17"/>
        <v>0</v>
      </c>
      <c r="Y339" s="28"/>
    </row>
    <row r="340" spans="1:25" ht="17.25" customHeight="1">
      <c r="A340" s="88" t="str">
        <f>+IF(BASE!B344="","",BASE!B344)</f>
        <v>23XXR329</v>
      </c>
      <c r="B340" s="121" t="s">
        <v>40</v>
      </c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93"/>
      <c r="R340" s="91">
        <f t="shared" si="12"/>
        <v>0</v>
      </c>
      <c r="S340" s="91">
        <f>BASE!A344</f>
        <v>329</v>
      </c>
      <c r="T340" s="89">
        <f t="shared" si="13"/>
        <v>0</v>
      </c>
      <c r="U340" s="89">
        <f t="shared" si="14"/>
        <v>0</v>
      </c>
      <c r="V340" s="89">
        <f t="shared" si="15"/>
        <v>0</v>
      </c>
      <c r="W340" s="89">
        <f t="shared" si="16"/>
        <v>0</v>
      </c>
      <c r="X340" s="89">
        <f t="shared" si="17"/>
        <v>0</v>
      </c>
      <c r="Y340" s="28"/>
    </row>
    <row r="341" spans="1:25" ht="17.25" customHeight="1">
      <c r="A341" s="88" t="str">
        <f>+IF(BASE!B345="","",BASE!B345)</f>
        <v>23XXR330</v>
      </c>
      <c r="B341" s="121" t="s">
        <v>40</v>
      </c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93"/>
      <c r="R341" s="91">
        <f t="shared" si="12"/>
        <v>0</v>
      </c>
      <c r="S341" s="91">
        <f>BASE!A345</f>
        <v>330</v>
      </c>
      <c r="T341" s="89">
        <f t="shared" si="13"/>
        <v>0</v>
      </c>
      <c r="U341" s="89">
        <f t="shared" si="14"/>
        <v>0</v>
      </c>
      <c r="V341" s="89">
        <f t="shared" si="15"/>
        <v>0</v>
      </c>
      <c r="W341" s="89">
        <f t="shared" si="16"/>
        <v>0</v>
      </c>
      <c r="X341" s="89">
        <f t="shared" si="17"/>
        <v>0</v>
      </c>
      <c r="Y341" s="28"/>
    </row>
    <row r="342" spans="1:25" ht="17.25" customHeight="1">
      <c r="A342" s="88" t="str">
        <f>+IF(BASE!B346="","",BASE!B346)</f>
        <v>23XXR331</v>
      </c>
      <c r="B342" s="121" t="s">
        <v>40</v>
      </c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93"/>
      <c r="R342" s="91">
        <f t="shared" si="12"/>
        <v>0</v>
      </c>
      <c r="S342" s="91">
        <f>BASE!A346</f>
        <v>331</v>
      </c>
      <c r="T342" s="89">
        <f t="shared" si="13"/>
        <v>0</v>
      </c>
      <c r="U342" s="89">
        <f t="shared" si="14"/>
        <v>0</v>
      </c>
      <c r="V342" s="89">
        <f t="shared" si="15"/>
        <v>0</v>
      </c>
      <c r="W342" s="89">
        <f t="shared" si="16"/>
        <v>0</v>
      </c>
      <c r="X342" s="89">
        <f t="shared" si="17"/>
        <v>0</v>
      </c>
      <c r="Y342" s="28"/>
    </row>
    <row r="343" spans="1:25" ht="17.25" customHeight="1">
      <c r="A343" s="88" t="str">
        <f>+IF(BASE!B347="","",BASE!B347)</f>
        <v>23XXR332</v>
      </c>
      <c r="B343" s="121" t="s">
        <v>40</v>
      </c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93"/>
      <c r="R343" s="91">
        <f t="shared" si="12"/>
        <v>0</v>
      </c>
      <c r="S343" s="91">
        <f>BASE!A347</f>
        <v>332</v>
      </c>
      <c r="T343" s="89">
        <f t="shared" si="13"/>
        <v>0</v>
      </c>
      <c r="U343" s="89">
        <f t="shared" si="14"/>
        <v>0</v>
      </c>
      <c r="V343" s="89">
        <f t="shared" si="15"/>
        <v>0</v>
      </c>
      <c r="W343" s="89">
        <f t="shared" si="16"/>
        <v>0</v>
      </c>
      <c r="X343" s="89">
        <f t="shared" si="17"/>
        <v>0</v>
      </c>
      <c r="Y343" s="28"/>
    </row>
    <row r="344" spans="1:25" ht="17.25" customHeight="1">
      <c r="A344" s="88" t="str">
        <f>+IF(BASE!B348="","",BASE!B348)</f>
        <v>23XXR333</v>
      </c>
      <c r="B344" s="121" t="s">
        <v>40</v>
      </c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93"/>
      <c r="R344" s="91">
        <f t="shared" si="12"/>
        <v>0</v>
      </c>
      <c r="S344" s="91">
        <f>BASE!A348</f>
        <v>333</v>
      </c>
      <c r="T344" s="89">
        <f t="shared" si="13"/>
        <v>0</v>
      </c>
      <c r="U344" s="89">
        <f t="shared" si="14"/>
        <v>0</v>
      </c>
      <c r="V344" s="89">
        <f t="shared" si="15"/>
        <v>0</v>
      </c>
      <c r="W344" s="89">
        <f t="shared" si="16"/>
        <v>0</v>
      </c>
      <c r="X344" s="89">
        <f t="shared" si="17"/>
        <v>0</v>
      </c>
      <c r="Y344" s="28"/>
    </row>
    <row r="345" spans="1:25" ht="17.25" customHeight="1">
      <c r="A345" s="88" t="str">
        <f>+IF(BASE!B349="","",BASE!B349)</f>
        <v>23XXR334</v>
      </c>
      <c r="B345" s="121" t="s">
        <v>40</v>
      </c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93"/>
      <c r="R345" s="91">
        <f t="shared" si="12"/>
        <v>0</v>
      </c>
      <c r="S345" s="91">
        <f>BASE!A349</f>
        <v>334</v>
      </c>
      <c r="T345" s="89">
        <f t="shared" si="13"/>
        <v>0</v>
      </c>
      <c r="U345" s="89">
        <f t="shared" si="14"/>
        <v>0</v>
      </c>
      <c r="V345" s="89">
        <f t="shared" si="15"/>
        <v>0</v>
      </c>
      <c r="W345" s="89">
        <f t="shared" si="16"/>
        <v>0</v>
      </c>
      <c r="X345" s="89">
        <f t="shared" si="17"/>
        <v>0</v>
      </c>
      <c r="Y345" s="28"/>
    </row>
    <row r="346" spans="1:25" ht="17.25" customHeight="1">
      <c r="A346" s="88" t="str">
        <f>+IF(BASE!B350="","",BASE!B350)</f>
        <v>23XXR335</v>
      </c>
      <c r="B346" s="121" t="s">
        <v>40</v>
      </c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93"/>
      <c r="R346" s="91">
        <f t="shared" si="12"/>
        <v>0</v>
      </c>
      <c r="S346" s="91">
        <f>BASE!A350</f>
        <v>335</v>
      </c>
      <c r="T346" s="89">
        <f t="shared" si="13"/>
        <v>0</v>
      </c>
      <c r="U346" s="89">
        <f t="shared" si="14"/>
        <v>0</v>
      </c>
      <c r="V346" s="89">
        <f t="shared" si="15"/>
        <v>0</v>
      </c>
      <c r="W346" s="89">
        <f t="shared" si="16"/>
        <v>0</v>
      </c>
      <c r="X346" s="89">
        <f t="shared" si="17"/>
        <v>0</v>
      </c>
      <c r="Y346" s="28"/>
    </row>
    <row r="347" spans="1:25" ht="17.25" customHeight="1">
      <c r="A347" s="88" t="str">
        <f>+IF(BASE!B351="","",BASE!B351)</f>
        <v>23XXR336</v>
      </c>
      <c r="B347" s="121" t="s">
        <v>40</v>
      </c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93"/>
      <c r="R347" s="91">
        <f t="shared" si="12"/>
        <v>0</v>
      </c>
      <c r="S347" s="91">
        <f>BASE!A351</f>
        <v>336</v>
      </c>
      <c r="T347" s="89">
        <f t="shared" si="13"/>
        <v>0</v>
      </c>
      <c r="U347" s="89">
        <f t="shared" si="14"/>
        <v>0</v>
      </c>
      <c r="V347" s="89">
        <f t="shared" si="15"/>
        <v>0</v>
      </c>
      <c r="W347" s="89">
        <f t="shared" si="16"/>
        <v>0</v>
      </c>
      <c r="X347" s="89">
        <f t="shared" si="17"/>
        <v>0</v>
      </c>
      <c r="Y347" s="28"/>
    </row>
    <row r="348" spans="1:25" ht="17.25" customHeight="1">
      <c r="A348" s="88" t="str">
        <f>+IF(BASE!B352="","",BASE!B352)</f>
        <v>23XXR337</v>
      </c>
      <c r="B348" s="121" t="s">
        <v>40</v>
      </c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93"/>
      <c r="R348" s="91">
        <f t="shared" si="12"/>
        <v>0</v>
      </c>
      <c r="S348" s="91">
        <f>BASE!A352</f>
        <v>337</v>
      </c>
      <c r="T348" s="89">
        <f t="shared" si="13"/>
        <v>0</v>
      </c>
      <c r="U348" s="89">
        <f t="shared" si="14"/>
        <v>0</v>
      </c>
      <c r="V348" s="89">
        <f t="shared" si="15"/>
        <v>0</v>
      </c>
      <c r="W348" s="89">
        <f t="shared" si="16"/>
        <v>0</v>
      </c>
      <c r="X348" s="89">
        <f t="shared" si="17"/>
        <v>0</v>
      </c>
      <c r="Y348" s="28"/>
    </row>
    <row r="349" spans="1:25" ht="17.25" customHeight="1">
      <c r="A349" s="88" t="str">
        <f>+IF(BASE!B353="","",BASE!B353)</f>
        <v>23XXR338</v>
      </c>
      <c r="B349" s="121" t="s">
        <v>40</v>
      </c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93"/>
      <c r="R349" s="91">
        <f t="shared" si="12"/>
        <v>0</v>
      </c>
      <c r="S349" s="91">
        <f>BASE!A353</f>
        <v>338</v>
      </c>
      <c r="T349" s="89">
        <f t="shared" si="13"/>
        <v>0</v>
      </c>
      <c r="U349" s="89">
        <f t="shared" si="14"/>
        <v>0</v>
      </c>
      <c r="V349" s="89">
        <f t="shared" si="15"/>
        <v>0</v>
      </c>
      <c r="W349" s="89">
        <f t="shared" si="16"/>
        <v>0</v>
      </c>
      <c r="X349" s="89">
        <f t="shared" si="17"/>
        <v>0</v>
      </c>
      <c r="Y349" s="28"/>
    </row>
    <row r="350" spans="1:25" ht="17.25" customHeight="1">
      <c r="A350" s="88" t="str">
        <f>+IF(BASE!B354="","",BASE!B354)</f>
        <v>23XXR339</v>
      </c>
      <c r="B350" s="121" t="s">
        <v>40</v>
      </c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93"/>
      <c r="R350" s="91">
        <f t="shared" si="12"/>
        <v>0</v>
      </c>
      <c r="S350" s="91">
        <f>BASE!A354</f>
        <v>339</v>
      </c>
      <c r="T350" s="89">
        <f t="shared" si="13"/>
        <v>0</v>
      </c>
      <c r="U350" s="89">
        <f t="shared" si="14"/>
        <v>0</v>
      </c>
      <c r="V350" s="89">
        <f t="shared" si="15"/>
        <v>0</v>
      </c>
      <c r="W350" s="89">
        <f t="shared" si="16"/>
        <v>0</v>
      </c>
      <c r="X350" s="89">
        <f t="shared" si="17"/>
        <v>0</v>
      </c>
      <c r="Y350" s="28"/>
    </row>
    <row r="351" spans="1:25" ht="17.25" customHeight="1">
      <c r="A351" s="88" t="str">
        <f>+IF(BASE!B355="","",BASE!B355)</f>
        <v>23XXR340</v>
      </c>
      <c r="B351" s="121" t="s">
        <v>40</v>
      </c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93"/>
      <c r="R351" s="91">
        <f t="shared" si="12"/>
        <v>0</v>
      </c>
      <c r="S351" s="91">
        <f>BASE!A355</f>
        <v>340</v>
      </c>
      <c r="T351" s="89">
        <f t="shared" si="13"/>
        <v>0</v>
      </c>
      <c r="U351" s="89">
        <f t="shared" si="14"/>
        <v>0</v>
      </c>
      <c r="V351" s="89">
        <f t="shared" si="15"/>
        <v>0</v>
      </c>
      <c r="W351" s="89">
        <f t="shared" si="16"/>
        <v>0</v>
      </c>
      <c r="X351" s="89">
        <f t="shared" si="17"/>
        <v>0</v>
      </c>
      <c r="Y351" s="28"/>
    </row>
    <row r="352" spans="1:25" ht="17.25" customHeight="1">
      <c r="A352" s="88" t="str">
        <f>+IF(BASE!B356="","",BASE!B356)</f>
        <v>23XXR341</v>
      </c>
      <c r="B352" s="121" t="s">
        <v>40</v>
      </c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93"/>
      <c r="R352" s="91">
        <f t="shared" si="12"/>
        <v>0</v>
      </c>
      <c r="S352" s="91">
        <f>BASE!A356</f>
        <v>341</v>
      </c>
      <c r="T352" s="89">
        <f t="shared" si="13"/>
        <v>0</v>
      </c>
      <c r="U352" s="89">
        <f t="shared" si="14"/>
        <v>0</v>
      </c>
      <c r="V352" s="89">
        <f t="shared" si="15"/>
        <v>0</v>
      </c>
      <c r="W352" s="89">
        <f t="shared" si="16"/>
        <v>0</v>
      </c>
      <c r="X352" s="89">
        <f t="shared" si="17"/>
        <v>0</v>
      </c>
      <c r="Y352" s="28"/>
    </row>
    <row r="353" spans="1:25" ht="17.25" customHeight="1">
      <c r="A353" s="88" t="str">
        <f>+IF(BASE!B357="","",BASE!B357)</f>
        <v>23XXR342</v>
      </c>
      <c r="B353" s="121" t="s">
        <v>40</v>
      </c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93"/>
      <c r="R353" s="91">
        <f t="shared" si="12"/>
        <v>0</v>
      </c>
      <c r="S353" s="91">
        <f>BASE!A357</f>
        <v>342</v>
      </c>
      <c r="T353" s="89">
        <f t="shared" si="13"/>
        <v>0</v>
      </c>
      <c r="U353" s="89">
        <f t="shared" si="14"/>
        <v>0</v>
      </c>
      <c r="V353" s="89">
        <f t="shared" si="15"/>
        <v>0</v>
      </c>
      <c r="W353" s="89">
        <f t="shared" si="16"/>
        <v>0</v>
      </c>
      <c r="X353" s="89">
        <f t="shared" si="17"/>
        <v>0</v>
      </c>
      <c r="Y353" s="28"/>
    </row>
    <row r="354" spans="1:25" ht="17.25" customHeight="1">
      <c r="A354" s="88" t="str">
        <f>+IF(BASE!B358="","",BASE!B358)</f>
        <v>23XXR343</v>
      </c>
      <c r="B354" s="121" t="s">
        <v>40</v>
      </c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93"/>
      <c r="R354" s="91">
        <f t="shared" si="12"/>
        <v>0</v>
      </c>
      <c r="S354" s="91">
        <f>BASE!A358</f>
        <v>343</v>
      </c>
      <c r="T354" s="89">
        <f t="shared" si="13"/>
        <v>0</v>
      </c>
      <c r="U354" s="89">
        <f t="shared" si="14"/>
        <v>0</v>
      </c>
      <c r="V354" s="89">
        <f t="shared" si="15"/>
        <v>0</v>
      </c>
      <c r="W354" s="89">
        <f t="shared" si="16"/>
        <v>0</v>
      </c>
      <c r="X354" s="89">
        <f t="shared" si="17"/>
        <v>0</v>
      </c>
      <c r="Y354" s="28"/>
    </row>
    <row r="355" spans="1:25" ht="17.25" customHeight="1">
      <c r="A355" s="88" t="str">
        <f>+IF(BASE!B359="","",BASE!B359)</f>
        <v>23XXR344</v>
      </c>
      <c r="B355" s="121" t="s">
        <v>40</v>
      </c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93"/>
      <c r="R355" s="91">
        <f t="shared" si="12"/>
        <v>0</v>
      </c>
      <c r="S355" s="91">
        <f>BASE!A359</f>
        <v>344</v>
      </c>
      <c r="T355" s="89">
        <f t="shared" si="13"/>
        <v>0</v>
      </c>
      <c r="U355" s="89">
        <f t="shared" si="14"/>
        <v>0</v>
      </c>
      <c r="V355" s="89">
        <f t="shared" si="15"/>
        <v>0</v>
      </c>
      <c r="W355" s="89">
        <f t="shared" si="16"/>
        <v>0</v>
      </c>
      <c r="X355" s="89">
        <f t="shared" si="17"/>
        <v>0</v>
      </c>
      <c r="Y355" s="28"/>
    </row>
    <row r="356" spans="1:25" ht="17.25" customHeight="1">
      <c r="A356" s="88" t="str">
        <f>+IF(BASE!B360="","",BASE!B360)</f>
        <v>23XXR345</v>
      </c>
      <c r="B356" s="121" t="s">
        <v>40</v>
      </c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93"/>
      <c r="R356" s="91">
        <f t="shared" si="12"/>
        <v>0</v>
      </c>
      <c r="S356" s="91">
        <f>BASE!A360</f>
        <v>345</v>
      </c>
      <c r="T356" s="89">
        <f t="shared" si="13"/>
        <v>0</v>
      </c>
      <c r="U356" s="89">
        <f t="shared" si="14"/>
        <v>0</v>
      </c>
      <c r="V356" s="89">
        <f t="shared" si="15"/>
        <v>0</v>
      </c>
      <c r="W356" s="89">
        <f t="shared" si="16"/>
        <v>0</v>
      </c>
      <c r="X356" s="89">
        <f t="shared" si="17"/>
        <v>0</v>
      </c>
      <c r="Y356" s="28"/>
    </row>
    <row r="357" spans="1:25" ht="17.25" customHeight="1">
      <c r="A357" s="88" t="str">
        <f>+IF(BASE!B361="","",BASE!B361)</f>
        <v>23XXR346</v>
      </c>
      <c r="B357" s="121" t="s">
        <v>40</v>
      </c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93"/>
      <c r="R357" s="91">
        <f t="shared" si="12"/>
        <v>0</v>
      </c>
      <c r="S357" s="91">
        <f>BASE!A361</f>
        <v>346</v>
      </c>
      <c r="T357" s="89">
        <f t="shared" si="13"/>
        <v>0</v>
      </c>
      <c r="U357" s="89">
        <f t="shared" si="14"/>
        <v>0</v>
      </c>
      <c r="V357" s="89">
        <f t="shared" si="15"/>
        <v>0</v>
      </c>
      <c r="W357" s="89">
        <f t="shared" si="16"/>
        <v>0</v>
      </c>
      <c r="X357" s="89">
        <f t="shared" si="17"/>
        <v>0</v>
      </c>
      <c r="Y357" s="28"/>
    </row>
    <row r="358" spans="1:25" ht="17.25" customHeight="1">
      <c r="A358" s="88" t="str">
        <f>+IF(BASE!B362="","",BASE!B362)</f>
        <v>23XXR347</v>
      </c>
      <c r="B358" s="121" t="s">
        <v>40</v>
      </c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93"/>
      <c r="R358" s="91">
        <f t="shared" si="12"/>
        <v>0</v>
      </c>
      <c r="S358" s="91">
        <f>BASE!A362</f>
        <v>347</v>
      </c>
      <c r="T358" s="89">
        <f t="shared" si="13"/>
        <v>0</v>
      </c>
      <c r="U358" s="89">
        <f t="shared" si="14"/>
        <v>0</v>
      </c>
      <c r="V358" s="89">
        <f t="shared" si="15"/>
        <v>0</v>
      </c>
      <c r="W358" s="89">
        <f t="shared" si="16"/>
        <v>0</v>
      </c>
      <c r="X358" s="89">
        <f t="shared" si="17"/>
        <v>0</v>
      </c>
      <c r="Y358" s="28"/>
    </row>
    <row r="359" spans="1:25" ht="17.25" customHeight="1">
      <c r="A359" s="88" t="str">
        <f>+IF(BASE!B363="","",BASE!B363)</f>
        <v>23XXR348</v>
      </c>
      <c r="B359" s="121" t="s">
        <v>40</v>
      </c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93"/>
      <c r="R359" s="91">
        <f t="shared" si="12"/>
        <v>0</v>
      </c>
      <c r="S359" s="91">
        <f>BASE!A363</f>
        <v>348</v>
      </c>
      <c r="T359" s="89">
        <f t="shared" si="13"/>
        <v>0</v>
      </c>
      <c r="U359" s="89">
        <f t="shared" si="14"/>
        <v>0</v>
      </c>
      <c r="V359" s="89">
        <f t="shared" si="15"/>
        <v>0</v>
      </c>
      <c r="W359" s="89">
        <f t="shared" si="16"/>
        <v>0</v>
      </c>
      <c r="X359" s="89">
        <f t="shared" si="17"/>
        <v>0</v>
      </c>
      <c r="Y359" s="28"/>
    </row>
    <row r="360" spans="1:25" ht="17.25" customHeight="1">
      <c r="A360" s="88" t="str">
        <f>+IF(BASE!B364="","",BASE!B364)</f>
        <v>23XXR349</v>
      </c>
      <c r="B360" s="121" t="s">
        <v>40</v>
      </c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93"/>
      <c r="R360" s="91">
        <f t="shared" si="12"/>
        <v>0</v>
      </c>
      <c r="S360" s="91">
        <f>BASE!A364</f>
        <v>349</v>
      </c>
      <c r="T360" s="89">
        <f t="shared" si="13"/>
        <v>0</v>
      </c>
      <c r="U360" s="89">
        <f t="shared" si="14"/>
        <v>0</v>
      </c>
      <c r="V360" s="89">
        <f t="shared" si="15"/>
        <v>0</v>
      </c>
      <c r="W360" s="89">
        <f t="shared" si="16"/>
        <v>0</v>
      </c>
      <c r="X360" s="89">
        <f t="shared" si="17"/>
        <v>0</v>
      </c>
      <c r="Y360" s="28"/>
    </row>
    <row r="361" spans="1:25" ht="17.25" customHeight="1">
      <c r="A361" s="88" t="str">
        <f>+IF(BASE!B365="","",BASE!B365)</f>
        <v>23XXR350</v>
      </c>
      <c r="B361" s="121" t="s">
        <v>40</v>
      </c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93"/>
      <c r="R361" s="91">
        <f t="shared" si="12"/>
        <v>0</v>
      </c>
      <c r="S361" s="91">
        <f>BASE!A365</f>
        <v>350</v>
      </c>
      <c r="T361" s="89">
        <f t="shared" si="13"/>
        <v>0</v>
      </c>
      <c r="U361" s="89">
        <f t="shared" si="14"/>
        <v>0</v>
      </c>
      <c r="V361" s="89">
        <f t="shared" si="15"/>
        <v>0</v>
      </c>
      <c r="W361" s="89">
        <f t="shared" si="16"/>
        <v>0</v>
      </c>
      <c r="X361" s="89">
        <f t="shared" si="17"/>
        <v>0</v>
      </c>
      <c r="Y361" s="28"/>
    </row>
    <row r="362" spans="1:25" ht="17.25" customHeight="1">
      <c r="A362" s="88" t="str">
        <f>+IF(BASE!B366="","",BASE!B366)</f>
        <v>23XXR351</v>
      </c>
      <c r="B362" s="121" t="s">
        <v>40</v>
      </c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93"/>
      <c r="R362" s="91">
        <f t="shared" si="12"/>
        <v>0</v>
      </c>
      <c r="S362" s="91">
        <f>BASE!A366</f>
        <v>351</v>
      </c>
      <c r="T362" s="89">
        <f t="shared" si="13"/>
        <v>0</v>
      </c>
      <c r="U362" s="89">
        <f t="shared" si="14"/>
        <v>0</v>
      </c>
      <c r="V362" s="89">
        <f t="shared" si="15"/>
        <v>0</v>
      </c>
      <c r="W362" s="89">
        <f t="shared" si="16"/>
        <v>0</v>
      </c>
      <c r="X362" s="89">
        <f t="shared" si="17"/>
        <v>0</v>
      </c>
      <c r="Y362" s="28"/>
    </row>
    <row r="363" spans="1:25" ht="17.25" customHeight="1">
      <c r="A363" s="88" t="str">
        <f>+IF(BASE!B367="","",BASE!B367)</f>
        <v>23XXR352</v>
      </c>
      <c r="B363" s="121" t="s">
        <v>40</v>
      </c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93"/>
      <c r="R363" s="91">
        <f t="shared" si="12"/>
        <v>0</v>
      </c>
      <c r="S363" s="91">
        <f>BASE!A367</f>
        <v>352</v>
      </c>
      <c r="T363" s="89">
        <f t="shared" si="13"/>
        <v>0</v>
      </c>
      <c r="U363" s="89">
        <f t="shared" si="14"/>
        <v>0</v>
      </c>
      <c r="V363" s="89">
        <f t="shared" si="15"/>
        <v>0</v>
      </c>
      <c r="W363" s="89">
        <f t="shared" si="16"/>
        <v>0</v>
      </c>
      <c r="X363" s="89">
        <f t="shared" si="17"/>
        <v>0</v>
      </c>
      <c r="Y363" s="28"/>
    </row>
    <row r="364" spans="1:25" ht="17.25" customHeight="1">
      <c r="A364" s="88" t="str">
        <f>+IF(BASE!B368="","",BASE!B368)</f>
        <v>23XXR353</v>
      </c>
      <c r="B364" s="121" t="s">
        <v>40</v>
      </c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93"/>
      <c r="R364" s="91">
        <f t="shared" si="12"/>
        <v>0</v>
      </c>
      <c r="S364" s="91">
        <f>BASE!A368</f>
        <v>353</v>
      </c>
      <c r="T364" s="89">
        <f t="shared" si="13"/>
        <v>0</v>
      </c>
      <c r="U364" s="89">
        <f t="shared" si="14"/>
        <v>0</v>
      </c>
      <c r="V364" s="89">
        <f t="shared" si="15"/>
        <v>0</v>
      </c>
      <c r="W364" s="89">
        <f t="shared" si="16"/>
        <v>0</v>
      </c>
      <c r="X364" s="89">
        <f t="shared" si="17"/>
        <v>0</v>
      </c>
      <c r="Y364" s="28"/>
    </row>
    <row r="365" spans="1:25" ht="17.25" customHeight="1">
      <c r="A365" s="88" t="str">
        <f>+IF(BASE!B369="","",BASE!B369)</f>
        <v>23XXR354</v>
      </c>
      <c r="B365" s="121" t="s">
        <v>40</v>
      </c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93"/>
      <c r="R365" s="91">
        <f t="shared" si="12"/>
        <v>0</v>
      </c>
      <c r="S365" s="91">
        <f>BASE!A369</f>
        <v>354</v>
      </c>
      <c r="T365" s="89">
        <f t="shared" si="13"/>
        <v>0</v>
      </c>
      <c r="U365" s="89">
        <f t="shared" si="14"/>
        <v>0</v>
      </c>
      <c r="V365" s="89">
        <f t="shared" si="15"/>
        <v>0</v>
      </c>
      <c r="W365" s="89">
        <f t="shared" si="16"/>
        <v>0</v>
      </c>
      <c r="X365" s="89">
        <f t="shared" si="17"/>
        <v>0</v>
      </c>
      <c r="Y365" s="28"/>
    </row>
    <row r="366" spans="1:25" ht="17.25" customHeight="1">
      <c r="A366" s="88" t="str">
        <f>+IF(BASE!B370="","",BASE!B370)</f>
        <v>23XXR355</v>
      </c>
      <c r="B366" s="121" t="s">
        <v>40</v>
      </c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93"/>
      <c r="R366" s="91">
        <f t="shared" si="12"/>
        <v>0</v>
      </c>
      <c r="S366" s="91">
        <f>BASE!A370</f>
        <v>355</v>
      </c>
      <c r="T366" s="89">
        <f t="shared" si="13"/>
        <v>0</v>
      </c>
      <c r="U366" s="89">
        <f t="shared" si="14"/>
        <v>0</v>
      </c>
      <c r="V366" s="89">
        <f t="shared" si="15"/>
        <v>0</v>
      </c>
      <c r="W366" s="89">
        <f t="shared" si="16"/>
        <v>0</v>
      </c>
      <c r="X366" s="89">
        <f t="shared" si="17"/>
        <v>0</v>
      </c>
      <c r="Y366" s="28"/>
    </row>
    <row r="367" spans="1:25" ht="17.25" customHeight="1">
      <c r="A367" s="88" t="str">
        <f>+IF(BASE!B371="","",BASE!B371)</f>
        <v>23XXR356</v>
      </c>
      <c r="B367" s="121" t="s">
        <v>40</v>
      </c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93"/>
      <c r="R367" s="91">
        <f t="shared" si="12"/>
        <v>0</v>
      </c>
      <c r="S367" s="91">
        <f>BASE!A371</f>
        <v>356</v>
      </c>
      <c r="T367" s="89">
        <f t="shared" si="13"/>
        <v>0</v>
      </c>
      <c r="U367" s="89">
        <f t="shared" si="14"/>
        <v>0</v>
      </c>
      <c r="V367" s="89">
        <f t="shared" si="15"/>
        <v>0</v>
      </c>
      <c r="W367" s="89">
        <f t="shared" si="16"/>
        <v>0</v>
      </c>
      <c r="X367" s="89">
        <f t="shared" si="17"/>
        <v>0</v>
      </c>
      <c r="Y367" s="28"/>
    </row>
    <row r="368" spans="1:25" ht="17.25" customHeight="1">
      <c r="A368" s="88" t="str">
        <f>+IF(BASE!B372="","",BASE!B372)</f>
        <v>23XXR357</v>
      </c>
      <c r="B368" s="121" t="s">
        <v>40</v>
      </c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93"/>
      <c r="R368" s="91">
        <f t="shared" si="12"/>
        <v>0</v>
      </c>
      <c r="S368" s="91">
        <f>BASE!A372</f>
        <v>357</v>
      </c>
      <c r="T368" s="89">
        <f t="shared" si="13"/>
        <v>0</v>
      </c>
      <c r="U368" s="89">
        <f t="shared" si="14"/>
        <v>0</v>
      </c>
      <c r="V368" s="89">
        <f t="shared" si="15"/>
        <v>0</v>
      </c>
      <c r="W368" s="89">
        <f t="shared" si="16"/>
        <v>0</v>
      </c>
      <c r="X368" s="89">
        <f t="shared" si="17"/>
        <v>0</v>
      </c>
      <c r="Y368" s="28"/>
    </row>
    <row r="369" spans="1:25" ht="17.25" customHeight="1">
      <c r="A369" s="88" t="str">
        <f>+IF(BASE!B373="","",BASE!B373)</f>
        <v>23XXR358</v>
      </c>
      <c r="B369" s="121" t="s">
        <v>40</v>
      </c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93"/>
      <c r="R369" s="91">
        <f t="shared" si="12"/>
        <v>0</v>
      </c>
      <c r="S369" s="91">
        <f>BASE!A373</f>
        <v>358</v>
      </c>
      <c r="T369" s="89">
        <f t="shared" si="13"/>
        <v>0</v>
      </c>
      <c r="U369" s="89">
        <f t="shared" si="14"/>
        <v>0</v>
      </c>
      <c r="V369" s="89">
        <f t="shared" si="15"/>
        <v>0</v>
      </c>
      <c r="W369" s="89">
        <f t="shared" si="16"/>
        <v>0</v>
      </c>
      <c r="X369" s="89">
        <f t="shared" si="17"/>
        <v>0</v>
      </c>
      <c r="Y369" s="28"/>
    </row>
    <row r="370" spans="1:25" ht="17.25" customHeight="1">
      <c r="A370" s="88" t="str">
        <f>+IF(BASE!B374="","",BASE!B374)</f>
        <v>23XXR359</v>
      </c>
      <c r="B370" s="121" t="s">
        <v>40</v>
      </c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93"/>
      <c r="R370" s="91">
        <f t="shared" si="12"/>
        <v>0</v>
      </c>
      <c r="S370" s="91">
        <f>BASE!A374</f>
        <v>359</v>
      </c>
      <c r="T370" s="89">
        <f t="shared" si="13"/>
        <v>0</v>
      </c>
      <c r="U370" s="89">
        <f t="shared" si="14"/>
        <v>0</v>
      </c>
      <c r="V370" s="89">
        <f t="shared" si="15"/>
        <v>0</v>
      </c>
      <c r="W370" s="89">
        <f t="shared" si="16"/>
        <v>0</v>
      </c>
      <c r="X370" s="89">
        <f t="shared" si="17"/>
        <v>0</v>
      </c>
      <c r="Y370" s="28"/>
    </row>
    <row r="371" spans="1:25" ht="17.25" customHeight="1">
      <c r="A371" s="88" t="str">
        <f>+IF(BASE!B375="","",BASE!B375)</f>
        <v>23XXR360</v>
      </c>
      <c r="B371" s="121" t="s">
        <v>40</v>
      </c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93"/>
      <c r="R371" s="91">
        <f t="shared" si="12"/>
        <v>0</v>
      </c>
      <c r="S371" s="91">
        <f>BASE!A375</f>
        <v>360</v>
      </c>
      <c r="T371" s="89">
        <f t="shared" si="13"/>
        <v>0</v>
      </c>
      <c r="U371" s="89">
        <f t="shared" si="14"/>
        <v>0</v>
      </c>
      <c r="V371" s="89">
        <f t="shared" si="15"/>
        <v>0</v>
      </c>
      <c r="W371" s="89">
        <f t="shared" si="16"/>
        <v>0</v>
      </c>
      <c r="X371" s="89">
        <f t="shared" si="17"/>
        <v>0</v>
      </c>
      <c r="Y371" s="28"/>
    </row>
    <row r="372" spans="1:25" ht="17.25" customHeight="1">
      <c r="A372" s="88" t="str">
        <f>+IF(BASE!B376="","",BASE!B376)</f>
        <v>23XXR361</v>
      </c>
      <c r="B372" s="121" t="s">
        <v>40</v>
      </c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93"/>
      <c r="R372" s="91">
        <f t="shared" si="12"/>
        <v>0</v>
      </c>
      <c r="S372" s="91">
        <f>BASE!A376</f>
        <v>361</v>
      </c>
      <c r="T372" s="89">
        <f t="shared" si="13"/>
        <v>0</v>
      </c>
      <c r="U372" s="89">
        <f t="shared" si="14"/>
        <v>0</v>
      </c>
      <c r="V372" s="89">
        <f t="shared" si="15"/>
        <v>0</v>
      </c>
      <c r="W372" s="89">
        <f t="shared" si="16"/>
        <v>0</v>
      </c>
      <c r="X372" s="89">
        <f t="shared" si="17"/>
        <v>0</v>
      </c>
      <c r="Y372" s="28"/>
    </row>
    <row r="373" spans="1:25" ht="17.25" customHeight="1">
      <c r="A373" s="88" t="str">
        <f>+IF(BASE!B377="","",BASE!B377)</f>
        <v>23XXR362</v>
      </c>
      <c r="B373" s="121" t="s">
        <v>40</v>
      </c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93"/>
      <c r="R373" s="91">
        <f t="shared" si="12"/>
        <v>0</v>
      </c>
      <c r="S373" s="91">
        <f>BASE!A377</f>
        <v>362</v>
      </c>
      <c r="T373" s="89">
        <f t="shared" si="13"/>
        <v>0</v>
      </c>
      <c r="U373" s="89">
        <f t="shared" si="14"/>
        <v>0</v>
      </c>
      <c r="V373" s="89">
        <f t="shared" si="15"/>
        <v>0</v>
      </c>
      <c r="W373" s="89">
        <f t="shared" si="16"/>
        <v>0</v>
      </c>
      <c r="X373" s="89">
        <f t="shared" si="17"/>
        <v>0</v>
      </c>
      <c r="Y373" s="28"/>
    </row>
    <row r="374" spans="1:25" ht="17.25" customHeight="1">
      <c r="A374" s="88" t="str">
        <f>+IF(BASE!B378="","",BASE!B378)</f>
        <v>23XXR363</v>
      </c>
      <c r="B374" s="121" t="s">
        <v>40</v>
      </c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93"/>
      <c r="R374" s="91">
        <f t="shared" si="12"/>
        <v>0</v>
      </c>
      <c r="S374" s="91">
        <f>BASE!A378</f>
        <v>363</v>
      </c>
      <c r="T374" s="89">
        <f t="shared" si="13"/>
        <v>0</v>
      </c>
      <c r="U374" s="89">
        <f t="shared" si="14"/>
        <v>0</v>
      </c>
      <c r="V374" s="89">
        <f t="shared" si="15"/>
        <v>0</v>
      </c>
      <c r="W374" s="89">
        <f t="shared" si="16"/>
        <v>0</v>
      </c>
      <c r="X374" s="89">
        <f t="shared" si="17"/>
        <v>0</v>
      </c>
      <c r="Y374" s="28"/>
    </row>
    <row r="375" spans="1:25" ht="17.25" customHeight="1">
      <c r="A375" s="88" t="str">
        <f>+IF(BASE!B379="","",BASE!B379)</f>
        <v>23XXR364</v>
      </c>
      <c r="B375" s="121" t="s">
        <v>40</v>
      </c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93"/>
      <c r="R375" s="91">
        <f t="shared" si="12"/>
        <v>0</v>
      </c>
      <c r="S375" s="91">
        <f>BASE!A379</f>
        <v>364</v>
      </c>
      <c r="T375" s="89">
        <f t="shared" si="13"/>
        <v>0</v>
      </c>
      <c r="U375" s="89">
        <f t="shared" si="14"/>
        <v>0</v>
      </c>
      <c r="V375" s="89">
        <f t="shared" si="15"/>
        <v>0</v>
      </c>
      <c r="W375" s="89">
        <f t="shared" si="16"/>
        <v>0</v>
      </c>
      <c r="X375" s="89">
        <f t="shared" si="17"/>
        <v>0</v>
      </c>
      <c r="Y375" s="28"/>
    </row>
    <row r="376" spans="1:25" ht="17.25" customHeight="1">
      <c r="A376" s="88" t="str">
        <f>+IF(BASE!B380="","",BASE!B380)</f>
        <v>23XXR365</v>
      </c>
      <c r="B376" s="121" t="s">
        <v>40</v>
      </c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93"/>
      <c r="R376" s="91">
        <f t="shared" si="12"/>
        <v>0</v>
      </c>
      <c r="S376" s="91">
        <f>BASE!A380</f>
        <v>365</v>
      </c>
      <c r="T376" s="89">
        <f t="shared" si="13"/>
        <v>0</v>
      </c>
      <c r="U376" s="89">
        <f t="shared" si="14"/>
        <v>0</v>
      </c>
      <c r="V376" s="89">
        <f t="shared" si="15"/>
        <v>0</v>
      </c>
      <c r="W376" s="89">
        <f t="shared" si="16"/>
        <v>0</v>
      </c>
      <c r="X376" s="89">
        <f t="shared" si="17"/>
        <v>0</v>
      </c>
      <c r="Y376" s="28"/>
    </row>
    <row r="377" spans="1:25" ht="17.25" customHeight="1">
      <c r="A377" s="88" t="str">
        <f>+IF(BASE!B381="","",BASE!B381)</f>
        <v>23XXR366</v>
      </c>
      <c r="B377" s="121" t="s">
        <v>40</v>
      </c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93"/>
      <c r="R377" s="91">
        <f t="shared" si="12"/>
        <v>0</v>
      </c>
      <c r="S377" s="91">
        <f>BASE!A381</f>
        <v>366</v>
      </c>
      <c r="T377" s="89">
        <f t="shared" si="13"/>
        <v>0</v>
      </c>
      <c r="U377" s="89">
        <f t="shared" si="14"/>
        <v>0</v>
      </c>
      <c r="V377" s="89">
        <f t="shared" si="15"/>
        <v>0</v>
      </c>
      <c r="W377" s="89">
        <f t="shared" si="16"/>
        <v>0</v>
      </c>
      <c r="X377" s="89">
        <f t="shared" si="17"/>
        <v>0</v>
      </c>
      <c r="Y377" s="28"/>
    </row>
    <row r="378" spans="1:25" ht="17.25" customHeight="1">
      <c r="A378" s="88" t="str">
        <f>+IF(BASE!B382="","",BASE!B382)</f>
        <v>23XXR367</v>
      </c>
      <c r="B378" s="121" t="s">
        <v>40</v>
      </c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93"/>
      <c r="R378" s="91">
        <f t="shared" si="12"/>
        <v>0</v>
      </c>
      <c r="S378" s="91">
        <f>BASE!A382</f>
        <v>367</v>
      </c>
      <c r="T378" s="89">
        <f t="shared" si="13"/>
        <v>0</v>
      </c>
      <c r="U378" s="89">
        <f t="shared" si="14"/>
        <v>0</v>
      </c>
      <c r="V378" s="89">
        <f t="shared" si="15"/>
        <v>0</v>
      </c>
      <c r="W378" s="89">
        <f t="shared" si="16"/>
        <v>0</v>
      </c>
      <c r="X378" s="89">
        <f t="shared" si="17"/>
        <v>0</v>
      </c>
      <c r="Y378" s="28"/>
    </row>
    <row r="379" spans="1:25" ht="17.25" customHeight="1">
      <c r="A379" s="88" t="str">
        <f>+IF(BASE!B383="","",BASE!B383)</f>
        <v>23XXR368</v>
      </c>
      <c r="B379" s="121" t="s">
        <v>40</v>
      </c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93"/>
      <c r="R379" s="91">
        <f t="shared" si="12"/>
        <v>0</v>
      </c>
      <c r="S379" s="91">
        <f>BASE!A383</f>
        <v>368</v>
      </c>
      <c r="T379" s="89">
        <f t="shared" si="13"/>
        <v>0</v>
      </c>
      <c r="U379" s="89">
        <f t="shared" si="14"/>
        <v>0</v>
      </c>
      <c r="V379" s="89">
        <f t="shared" si="15"/>
        <v>0</v>
      </c>
      <c r="W379" s="89">
        <f t="shared" si="16"/>
        <v>0</v>
      </c>
      <c r="X379" s="89">
        <f t="shared" si="17"/>
        <v>0</v>
      </c>
      <c r="Y379" s="28"/>
    </row>
    <row r="380" spans="1:25" ht="17.25" customHeight="1">
      <c r="A380" s="88" t="str">
        <f>+IF(BASE!B384="","",BASE!B384)</f>
        <v>23XXR369</v>
      </c>
      <c r="B380" s="121" t="s">
        <v>40</v>
      </c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93"/>
      <c r="R380" s="91">
        <f t="shared" si="12"/>
        <v>0</v>
      </c>
      <c r="S380" s="91">
        <f>BASE!A384</f>
        <v>369</v>
      </c>
      <c r="T380" s="89">
        <f t="shared" si="13"/>
        <v>0</v>
      </c>
      <c r="U380" s="89">
        <f t="shared" si="14"/>
        <v>0</v>
      </c>
      <c r="V380" s="89">
        <f t="shared" si="15"/>
        <v>0</v>
      </c>
      <c r="W380" s="89">
        <f t="shared" si="16"/>
        <v>0</v>
      </c>
      <c r="X380" s="89">
        <f t="shared" si="17"/>
        <v>0</v>
      </c>
      <c r="Y380" s="28"/>
    </row>
    <row r="381" spans="1:25" ht="17.25" customHeight="1">
      <c r="A381" s="88" t="str">
        <f>+IF(BASE!B385="","",BASE!B385)</f>
        <v>23XXR370</v>
      </c>
      <c r="B381" s="121" t="s">
        <v>40</v>
      </c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93"/>
      <c r="R381" s="91">
        <f t="shared" ref="R381:R444" si="18">SUM(C381:Q381)</f>
        <v>0</v>
      </c>
      <c r="S381" s="91">
        <f>BASE!A385</f>
        <v>370</v>
      </c>
      <c r="T381" s="89">
        <f t="shared" ref="T381:T444" si="19">SUMIF($C$11:$Q$11,1,C381:Q381)</f>
        <v>0</v>
      </c>
      <c r="U381" s="89">
        <f t="shared" ref="U381:U444" si="20">SUMIF($C$11:$Q$11,2,C381:Q381)</f>
        <v>0</v>
      </c>
      <c r="V381" s="89">
        <f t="shared" ref="V381:V444" si="21">SUMIF($C$11:$Q$11,3,C381:Q381)</f>
        <v>0</v>
      </c>
      <c r="W381" s="89">
        <f t="shared" ref="W381:W444" si="22">SUMIF($C$11:$Q$11,4,C381:Q381)</f>
        <v>0</v>
      </c>
      <c r="X381" s="89">
        <f t="shared" ref="X381:X444" si="23">SUMIF($C$11:$Q$11,5,C381:Q381)</f>
        <v>0</v>
      </c>
      <c r="Y381" s="28"/>
    </row>
    <row r="382" spans="1:25" ht="17.25" customHeight="1">
      <c r="A382" s="88" t="str">
        <f>+IF(BASE!B386="","",BASE!B386)</f>
        <v>23XXR371</v>
      </c>
      <c r="B382" s="121" t="s">
        <v>40</v>
      </c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93"/>
      <c r="R382" s="91">
        <f t="shared" si="18"/>
        <v>0</v>
      </c>
      <c r="S382" s="91">
        <f>BASE!A386</f>
        <v>371</v>
      </c>
      <c r="T382" s="89">
        <f t="shared" si="19"/>
        <v>0</v>
      </c>
      <c r="U382" s="89">
        <f t="shared" si="20"/>
        <v>0</v>
      </c>
      <c r="V382" s="89">
        <f t="shared" si="21"/>
        <v>0</v>
      </c>
      <c r="W382" s="89">
        <f t="shared" si="22"/>
        <v>0</v>
      </c>
      <c r="X382" s="89">
        <f t="shared" si="23"/>
        <v>0</v>
      </c>
      <c r="Y382" s="28"/>
    </row>
    <row r="383" spans="1:25" ht="17.25" customHeight="1">
      <c r="A383" s="88" t="str">
        <f>+IF(BASE!B387="","",BASE!B387)</f>
        <v>23XXR372</v>
      </c>
      <c r="B383" s="121" t="s">
        <v>40</v>
      </c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93"/>
      <c r="R383" s="91">
        <f t="shared" si="18"/>
        <v>0</v>
      </c>
      <c r="S383" s="91">
        <f>BASE!A387</f>
        <v>372</v>
      </c>
      <c r="T383" s="89">
        <f t="shared" si="19"/>
        <v>0</v>
      </c>
      <c r="U383" s="89">
        <f t="shared" si="20"/>
        <v>0</v>
      </c>
      <c r="V383" s="89">
        <f t="shared" si="21"/>
        <v>0</v>
      </c>
      <c r="W383" s="89">
        <f t="shared" si="22"/>
        <v>0</v>
      </c>
      <c r="X383" s="89">
        <f t="shared" si="23"/>
        <v>0</v>
      </c>
      <c r="Y383" s="28"/>
    </row>
    <row r="384" spans="1:25" ht="17.25" customHeight="1">
      <c r="A384" s="88" t="str">
        <f>+IF(BASE!B388="","",BASE!B388)</f>
        <v>23XXR373</v>
      </c>
      <c r="B384" s="121" t="s">
        <v>40</v>
      </c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93"/>
      <c r="R384" s="91">
        <f t="shared" si="18"/>
        <v>0</v>
      </c>
      <c r="S384" s="91">
        <f>BASE!A388</f>
        <v>373</v>
      </c>
      <c r="T384" s="89">
        <f t="shared" si="19"/>
        <v>0</v>
      </c>
      <c r="U384" s="89">
        <f t="shared" si="20"/>
        <v>0</v>
      </c>
      <c r="V384" s="89">
        <f t="shared" si="21"/>
        <v>0</v>
      </c>
      <c r="W384" s="89">
        <f t="shared" si="22"/>
        <v>0</v>
      </c>
      <c r="X384" s="89">
        <f t="shared" si="23"/>
        <v>0</v>
      </c>
      <c r="Y384" s="28"/>
    </row>
    <row r="385" spans="1:25" ht="17.25" customHeight="1">
      <c r="A385" s="88" t="str">
        <f>+IF(BASE!B389="","",BASE!B389)</f>
        <v>23XXR374</v>
      </c>
      <c r="B385" s="121" t="s">
        <v>40</v>
      </c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93"/>
      <c r="R385" s="91">
        <f t="shared" si="18"/>
        <v>0</v>
      </c>
      <c r="S385" s="91">
        <f>BASE!A389</f>
        <v>374</v>
      </c>
      <c r="T385" s="89">
        <f t="shared" si="19"/>
        <v>0</v>
      </c>
      <c r="U385" s="89">
        <f t="shared" si="20"/>
        <v>0</v>
      </c>
      <c r="V385" s="89">
        <f t="shared" si="21"/>
        <v>0</v>
      </c>
      <c r="W385" s="89">
        <f t="shared" si="22"/>
        <v>0</v>
      </c>
      <c r="X385" s="89">
        <f t="shared" si="23"/>
        <v>0</v>
      </c>
      <c r="Y385" s="28"/>
    </row>
    <row r="386" spans="1:25" ht="17.25" customHeight="1">
      <c r="A386" s="88" t="str">
        <f>+IF(BASE!B390="","",BASE!B390)</f>
        <v>23XXR375</v>
      </c>
      <c r="B386" s="121" t="s">
        <v>40</v>
      </c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93"/>
      <c r="R386" s="91">
        <f t="shared" si="18"/>
        <v>0</v>
      </c>
      <c r="S386" s="91">
        <f>BASE!A390</f>
        <v>375</v>
      </c>
      <c r="T386" s="89">
        <f t="shared" si="19"/>
        <v>0</v>
      </c>
      <c r="U386" s="89">
        <f t="shared" si="20"/>
        <v>0</v>
      </c>
      <c r="V386" s="89">
        <f t="shared" si="21"/>
        <v>0</v>
      </c>
      <c r="W386" s="89">
        <f t="shared" si="22"/>
        <v>0</v>
      </c>
      <c r="X386" s="89">
        <f t="shared" si="23"/>
        <v>0</v>
      </c>
      <c r="Y386" s="28"/>
    </row>
    <row r="387" spans="1:25" ht="17.25" customHeight="1">
      <c r="A387" s="88" t="str">
        <f>+IF(BASE!B391="","",BASE!B391)</f>
        <v>23XXR376</v>
      </c>
      <c r="B387" s="121" t="s">
        <v>40</v>
      </c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93"/>
      <c r="R387" s="91">
        <f t="shared" si="18"/>
        <v>0</v>
      </c>
      <c r="S387" s="91">
        <f>BASE!A391</f>
        <v>376</v>
      </c>
      <c r="T387" s="89">
        <f t="shared" si="19"/>
        <v>0</v>
      </c>
      <c r="U387" s="89">
        <f t="shared" si="20"/>
        <v>0</v>
      </c>
      <c r="V387" s="89">
        <f t="shared" si="21"/>
        <v>0</v>
      </c>
      <c r="W387" s="89">
        <f t="shared" si="22"/>
        <v>0</v>
      </c>
      <c r="X387" s="89">
        <f t="shared" si="23"/>
        <v>0</v>
      </c>
      <c r="Y387" s="28"/>
    </row>
    <row r="388" spans="1:25" ht="17.25" customHeight="1">
      <c r="A388" s="88" t="str">
        <f>+IF(BASE!B392="","",BASE!B392)</f>
        <v>23XXR377</v>
      </c>
      <c r="B388" s="121" t="s">
        <v>40</v>
      </c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93"/>
      <c r="R388" s="91">
        <f t="shared" si="18"/>
        <v>0</v>
      </c>
      <c r="S388" s="91">
        <f>BASE!A392</f>
        <v>377</v>
      </c>
      <c r="T388" s="89">
        <f t="shared" si="19"/>
        <v>0</v>
      </c>
      <c r="U388" s="89">
        <f t="shared" si="20"/>
        <v>0</v>
      </c>
      <c r="V388" s="89">
        <f t="shared" si="21"/>
        <v>0</v>
      </c>
      <c r="W388" s="89">
        <f t="shared" si="22"/>
        <v>0</v>
      </c>
      <c r="X388" s="89">
        <f t="shared" si="23"/>
        <v>0</v>
      </c>
      <c r="Y388" s="28"/>
    </row>
    <row r="389" spans="1:25" ht="17.25" customHeight="1">
      <c r="A389" s="88" t="str">
        <f>+IF(BASE!B393="","",BASE!B393)</f>
        <v>23XXR378</v>
      </c>
      <c r="B389" s="121" t="s">
        <v>40</v>
      </c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93"/>
      <c r="R389" s="91">
        <f t="shared" si="18"/>
        <v>0</v>
      </c>
      <c r="S389" s="91">
        <f>BASE!A393</f>
        <v>378</v>
      </c>
      <c r="T389" s="89">
        <f t="shared" si="19"/>
        <v>0</v>
      </c>
      <c r="U389" s="89">
        <f t="shared" si="20"/>
        <v>0</v>
      </c>
      <c r="V389" s="89">
        <f t="shared" si="21"/>
        <v>0</v>
      </c>
      <c r="W389" s="89">
        <f t="shared" si="22"/>
        <v>0</v>
      </c>
      <c r="X389" s="89">
        <f t="shared" si="23"/>
        <v>0</v>
      </c>
      <c r="Y389" s="28"/>
    </row>
    <row r="390" spans="1:25" ht="17.25" customHeight="1">
      <c r="A390" s="88" t="str">
        <f>+IF(BASE!B394="","",BASE!B394)</f>
        <v>23XXR379</v>
      </c>
      <c r="B390" s="121" t="s">
        <v>40</v>
      </c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93"/>
      <c r="R390" s="91">
        <f t="shared" si="18"/>
        <v>0</v>
      </c>
      <c r="S390" s="91">
        <f>BASE!A394</f>
        <v>379</v>
      </c>
      <c r="T390" s="89">
        <f t="shared" si="19"/>
        <v>0</v>
      </c>
      <c r="U390" s="89">
        <f t="shared" si="20"/>
        <v>0</v>
      </c>
      <c r="V390" s="89">
        <f t="shared" si="21"/>
        <v>0</v>
      </c>
      <c r="W390" s="89">
        <f t="shared" si="22"/>
        <v>0</v>
      </c>
      <c r="X390" s="89">
        <f t="shared" si="23"/>
        <v>0</v>
      </c>
      <c r="Y390" s="28"/>
    </row>
    <row r="391" spans="1:25" ht="17.25" customHeight="1">
      <c r="A391" s="88" t="str">
        <f>+IF(BASE!B395="","",BASE!B395)</f>
        <v>23XXR380</v>
      </c>
      <c r="B391" s="121" t="s">
        <v>40</v>
      </c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93"/>
      <c r="R391" s="91">
        <f t="shared" si="18"/>
        <v>0</v>
      </c>
      <c r="S391" s="91">
        <f>BASE!A395</f>
        <v>380</v>
      </c>
      <c r="T391" s="89">
        <f t="shared" si="19"/>
        <v>0</v>
      </c>
      <c r="U391" s="89">
        <f t="shared" si="20"/>
        <v>0</v>
      </c>
      <c r="V391" s="89">
        <f t="shared" si="21"/>
        <v>0</v>
      </c>
      <c r="W391" s="89">
        <f t="shared" si="22"/>
        <v>0</v>
      </c>
      <c r="X391" s="89">
        <f t="shared" si="23"/>
        <v>0</v>
      </c>
      <c r="Y391" s="28"/>
    </row>
    <row r="392" spans="1:25" ht="17.25" customHeight="1">
      <c r="A392" s="88" t="str">
        <f>+IF(BASE!B396="","",BASE!B396)</f>
        <v>23XXR381</v>
      </c>
      <c r="B392" s="121" t="s">
        <v>40</v>
      </c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93"/>
      <c r="R392" s="91">
        <f t="shared" si="18"/>
        <v>0</v>
      </c>
      <c r="S392" s="91">
        <f>BASE!A396</f>
        <v>381</v>
      </c>
      <c r="T392" s="89">
        <f t="shared" si="19"/>
        <v>0</v>
      </c>
      <c r="U392" s="89">
        <f t="shared" si="20"/>
        <v>0</v>
      </c>
      <c r="V392" s="89">
        <f t="shared" si="21"/>
        <v>0</v>
      </c>
      <c r="W392" s="89">
        <f t="shared" si="22"/>
        <v>0</v>
      </c>
      <c r="X392" s="89">
        <f t="shared" si="23"/>
        <v>0</v>
      </c>
      <c r="Y392" s="28"/>
    </row>
    <row r="393" spans="1:25" ht="17.25" customHeight="1">
      <c r="A393" s="88" t="str">
        <f>+IF(BASE!B397="","",BASE!B397)</f>
        <v>23XXR382</v>
      </c>
      <c r="B393" s="121" t="s">
        <v>40</v>
      </c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93"/>
      <c r="R393" s="91">
        <f t="shared" si="18"/>
        <v>0</v>
      </c>
      <c r="S393" s="91">
        <f>BASE!A397</f>
        <v>382</v>
      </c>
      <c r="T393" s="89">
        <f t="shared" si="19"/>
        <v>0</v>
      </c>
      <c r="U393" s="89">
        <f t="shared" si="20"/>
        <v>0</v>
      </c>
      <c r="V393" s="89">
        <f t="shared" si="21"/>
        <v>0</v>
      </c>
      <c r="W393" s="89">
        <f t="shared" si="22"/>
        <v>0</v>
      </c>
      <c r="X393" s="89">
        <f t="shared" si="23"/>
        <v>0</v>
      </c>
      <c r="Y393" s="28"/>
    </row>
    <row r="394" spans="1:25" ht="17.25" customHeight="1">
      <c r="A394" s="88" t="str">
        <f>+IF(BASE!B398="","",BASE!B398)</f>
        <v>23XXR383</v>
      </c>
      <c r="B394" s="121" t="s">
        <v>40</v>
      </c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93"/>
      <c r="R394" s="91">
        <f t="shared" si="18"/>
        <v>0</v>
      </c>
      <c r="S394" s="91">
        <f>BASE!A398</f>
        <v>383</v>
      </c>
      <c r="T394" s="89">
        <f t="shared" si="19"/>
        <v>0</v>
      </c>
      <c r="U394" s="89">
        <f t="shared" si="20"/>
        <v>0</v>
      </c>
      <c r="V394" s="89">
        <f t="shared" si="21"/>
        <v>0</v>
      </c>
      <c r="W394" s="89">
        <f t="shared" si="22"/>
        <v>0</v>
      </c>
      <c r="X394" s="89">
        <f t="shared" si="23"/>
        <v>0</v>
      </c>
      <c r="Y394" s="28"/>
    </row>
    <row r="395" spans="1:25" ht="17.25" customHeight="1">
      <c r="A395" s="88" t="str">
        <f>+IF(BASE!B399="","",BASE!B399)</f>
        <v>23XXR384</v>
      </c>
      <c r="B395" s="121" t="s">
        <v>40</v>
      </c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93"/>
      <c r="R395" s="91">
        <f t="shared" si="18"/>
        <v>0</v>
      </c>
      <c r="S395" s="91">
        <f>BASE!A399</f>
        <v>384</v>
      </c>
      <c r="T395" s="89">
        <f t="shared" si="19"/>
        <v>0</v>
      </c>
      <c r="U395" s="89">
        <f t="shared" si="20"/>
        <v>0</v>
      </c>
      <c r="V395" s="89">
        <f t="shared" si="21"/>
        <v>0</v>
      </c>
      <c r="W395" s="89">
        <f t="shared" si="22"/>
        <v>0</v>
      </c>
      <c r="X395" s="89">
        <f t="shared" si="23"/>
        <v>0</v>
      </c>
      <c r="Y395" s="28"/>
    </row>
    <row r="396" spans="1:25" ht="17.25" customHeight="1">
      <c r="A396" s="88" t="str">
        <f>+IF(BASE!B400="","",BASE!B400)</f>
        <v>23XXR385</v>
      </c>
      <c r="B396" s="121" t="s">
        <v>40</v>
      </c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93"/>
      <c r="R396" s="91">
        <f t="shared" si="18"/>
        <v>0</v>
      </c>
      <c r="S396" s="91">
        <f>BASE!A400</f>
        <v>385</v>
      </c>
      <c r="T396" s="89">
        <f t="shared" si="19"/>
        <v>0</v>
      </c>
      <c r="U396" s="89">
        <f t="shared" si="20"/>
        <v>0</v>
      </c>
      <c r="V396" s="89">
        <f t="shared" si="21"/>
        <v>0</v>
      </c>
      <c r="W396" s="89">
        <f t="shared" si="22"/>
        <v>0</v>
      </c>
      <c r="X396" s="89">
        <f t="shared" si="23"/>
        <v>0</v>
      </c>
      <c r="Y396" s="28"/>
    </row>
    <row r="397" spans="1:25" ht="17.25" customHeight="1">
      <c r="A397" s="88" t="str">
        <f>+IF(BASE!B401="","",BASE!B401)</f>
        <v>23XXR386</v>
      </c>
      <c r="B397" s="121" t="s">
        <v>40</v>
      </c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93"/>
      <c r="R397" s="91">
        <f t="shared" si="18"/>
        <v>0</v>
      </c>
      <c r="S397" s="91">
        <f>BASE!A401</f>
        <v>386</v>
      </c>
      <c r="T397" s="89">
        <f t="shared" si="19"/>
        <v>0</v>
      </c>
      <c r="U397" s="89">
        <f t="shared" si="20"/>
        <v>0</v>
      </c>
      <c r="V397" s="89">
        <f t="shared" si="21"/>
        <v>0</v>
      </c>
      <c r="W397" s="89">
        <f t="shared" si="22"/>
        <v>0</v>
      </c>
      <c r="X397" s="89">
        <f t="shared" si="23"/>
        <v>0</v>
      </c>
      <c r="Y397" s="28"/>
    </row>
    <row r="398" spans="1:25" ht="17.25" customHeight="1">
      <c r="A398" s="88" t="str">
        <f>+IF(BASE!B402="","",BASE!B402)</f>
        <v>23XXR387</v>
      </c>
      <c r="B398" s="121" t="s">
        <v>40</v>
      </c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93"/>
      <c r="R398" s="91">
        <f t="shared" si="18"/>
        <v>0</v>
      </c>
      <c r="S398" s="91">
        <f>BASE!A402</f>
        <v>387</v>
      </c>
      <c r="T398" s="89">
        <f t="shared" si="19"/>
        <v>0</v>
      </c>
      <c r="U398" s="89">
        <f t="shared" si="20"/>
        <v>0</v>
      </c>
      <c r="V398" s="89">
        <f t="shared" si="21"/>
        <v>0</v>
      </c>
      <c r="W398" s="89">
        <f t="shared" si="22"/>
        <v>0</v>
      </c>
      <c r="X398" s="89">
        <f t="shared" si="23"/>
        <v>0</v>
      </c>
      <c r="Y398" s="28"/>
    </row>
    <row r="399" spans="1:25" ht="17.25" customHeight="1">
      <c r="A399" s="88" t="str">
        <f>+IF(BASE!B403="","",BASE!B403)</f>
        <v>23XXR388</v>
      </c>
      <c r="B399" s="121" t="s">
        <v>40</v>
      </c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93"/>
      <c r="R399" s="91">
        <f t="shared" si="18"/>
        <v>0</v>
      </c>
      <c r="S399" s="91">
        <f>BASE!A403</f>
        <v>388</v>
      </c>
      <c r="T399" s="89">
        <f t="shared" si="19"/>
        <v>0</v>
      </c>
      <c r="U399" s="89">
        <f t="shared" si="20"/>
        <v>0</v>
      </c>
      <c r="V399" s="89">
        <f t="shared" si="21"/>
        <v>0</v>
      </c>
      <c r="W399" s="89">
        <f t="shared" si="22"/>
        <v>0</v>
      </c>
      <c r="X399" s="89">
        <f t="shared" si="23"/>
        <v>0</v>
      </c>
      <c r="Y399" s="28"/>
    </row>
    <row r="400" spans="1:25" ht="17.25" customHeight="1">
      <c r="A400" s="88" t="str">
        <f>+IF(BASE!B404="","",BASE!B404)</f>
        <v>23XXR389</v>
      </c>
      <c r="B400" s="121" t="s">
        <v>40</v>
      </c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93"/>
      <c r="R400" s="91">
        <f t="shared" si="18"/>
        <v>0</v>
      </c>
      <c r="S400" s="91">
        <f>BASE!A404</f>
        <v>389</v>
      </c>
      <c r="T400" s="89">
        <f t="shared" si="19"/>
        <v>0</v>
      </c>
      <c r="U400" s="89">
        <f t="shared" si="20"/>
        <v>0</v>
      </c>
      <c r="V400" s="89">
        <f t="shared" si="21"/>
        <v>0</v>
      </c>
      <c r="W400" s="89">
        <f t="shared" si="22"/>
        <v>0</v>
      </c>
      <c r="X400" s="89">
        <f t="shared" si="23"/>
        <v>0</v>
      </c>
      <c r="Y400" s="28"/>
    </row>
    <row r="401" spans="1:25" ht="17.25" customHeight="1">
      <c r="A401" s="88" t="str">
        <f>+IF(BASE!B405="","",BASE!B405)</f>
        <v>23XXR390</v>
      </c>
      <c r="B401" s="121" t="s">
        <v>40</v>
      </c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93"/>
      <c r="R401" s="91">
        <f t="shared" si="18"/>
        <v>0</v>
      </c>
      <c r="S401" s="91">
        <f>BASE!A405</f>
        <v>390</v>
      </c>
      <c r="T401" s="89">
        <f t="shared" si="19"/>
        <v>0</v>
      </c>
      <c r="U401" s="89">
        <f t="shared" si="20"/>
        <v>0</v>
      </c>
      <c r="V401" s="89">
        <f t="shared" si="21"/>
        <v>0</v>
      </c>
      <c r="W401" s="89">
        <f t="shared" si="22"/>
        <v>0</v>
      </c>
      <c r="X401" s="89">
        <f t="shared" si="23"/>
        <v>0</v>
      </c>
      <c r="Y401" s="28"/>
    </row>
    <row r="402" spans="1:25" ht="17.25" customHeight="1">
      <c r="A402" s="88" t="str">
        <f>+IF(BASE!B406="","",BASE!B406)</f>
        <v>23XXR391</v>
      </c>
      <c r="B402" s="121" t="s">
        <v>40</v>
      </c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93"/>
      <c r="R402" s="91">
        <f t="shared" si="18"/>
        <v>0</v>
      </c>
      <c r="S402" s="91">
        <f>BASE!A406</f>
        <v>391</v>
      </c>
      <c r="T402" s="89">
        <f t="shared" si="19"/>
        <v>0</v>
      </c>
      <c r="U402" s="89">
        <f t="shared" si="20"/>
        <v>0</v>
      </c>
      <c r="V402" s="89">
        <f t="shared" si="21"/>
        <v>0</v>
      </c>
      <c r="W402" s="89">
        <f t="shared" si="22"/>
        <v>0</v>
      </c>
      <c r="X402" s="89">
        <f t="shared" si="23"/>
        <v>0</v>
      </c>
      <c r="Y402" s="28"/>
    </row>
    <row r="403" spans="1:25" ht="17.25" customHeight="1">
      <c r="A403" s="88" t="str">
        <f>+IF(BASE!B407="","",BASE!B407)</f>
        <v>23XXR392</v>
      </c>
      <c r="B403" s="121" t="s">
        <v>40</v>
      </c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93"/>
      <c r="R403" s="91">
        <f t="shared" si="18"/>
        <v>0</v>
      </c>
      <c r="S403" s="91">
        <f>BASE!A407</f>
        <v>392</v>
      </c>
      <c r="T403" s="89">
        <f t="shared" si="19"/>
        <v>0</v>
      </c>
      <c r="U403" s="89">
        <f t="shared" si="20"/>
        <v>0</v>
      </c>
      <c r="V403" s="89">
        <f t="shared" si="21"/>
        <v>0</v>
      </c>
      <c r="W403" s="89">
        <f t="shared" si="22"/>
        <v>0</v>
      </c>
      <c r="X403" s="89">
        <f t="shared" si="23"/>
        <v>0</v>
      </c>
      <c r="Y403" s="28"/>
    </row>
    <row r="404" spans="1:25" ht="17.25" customHeight="1">
      <c r="A404" s="88" t="str">
        <f>+IF(BASE!B408="","",BASE!B408)</f>
        <v>23XXR393</v>
      </c>
      <c r="B404" s="121" t="s">
        <v>40</v>
      </c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93"/>
      <c r="R404" s="91">
        <f t="shared" si="18"/>
        <v>0</v>
      </c>
      <c r="S404" s="91">
        <f>BASE!A408</f>
        <v>393</v>
      </c>
      <c r="T404" s="89">
        <f t="shared" si="19"/>
        <v>0</v>
      </c>
      <c r="U404" s="89">
        <f t="shared" si="20"/>
        <v>0</v>
      </c>
      <c r="V404" s="89">
        <f t="shared" si="21"/>
        <v>0</v>
      </c>
      <c r="W404" s="89">
        <f t="shared" si="22"/>
        <v>0</v>
      </c>
      <c r="X404" s="89">
        <f t="shared" si="23"/>
        <v>0</v>
      </c>
      <c r="Y404" s="28"/>
    </row>
    <row r="405" spans="1:25" ht="17.25" customHeight="1">
      <c r="A405" s="88" t="str">
        <f>+IF(BASE!B409="","",BASE!B409)</f>
        <v>23XXR394</v>
      </c>
      <c r="B405" s="121" t="s">
        <v>40</v>
      </c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93"/>
      <c r="R405" s="91">
        <f t="shared" si="18"/>
        <v>0</v>
      </c>
      <c r="S405" s="91">
        <f>BASE!A409</f>
        <v>394</v>
      </c>
      <c r="T405" s="89">
        <f t="shared" si="19"/>
        <v>0</v>
      </c>
      <c r="U405" s="89">
        <f t="shared" si="20"/>
        <v>0</v>
      </c>
      <c r="V405" s="89">
        <f t="shared" si="21"/>
        <v>0</v>
      </c>
      <c r="W405" s="89">
        <f t="shared" si="22"/>
        <v>0</v>
      </c>
      <c r="X405" s="89">
        <f t="shared" si="23"/>
        <v>0</v>
      </c>
      <c r="Y405" s="28"/>
    </row>
    <row r="406" spans="1:25" ht="17.25" customHeight="1">
      <c r="A406" s="88" t="str">
        <f>+IF(BASE!B410="","",BASE!B410)</f>
        <v>23XXR395</v>
      </c>
      <c r="B406" s="121" t="s">
        <v>40</v>
      </c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93"/>
      <c r="R406" s="91">
        <f t="shared" si="18"/>
        <v>0</v>
      </c>
      <c r="S406" s="91">
        <f>BASE!A410</f>
        <v>395</v>
      </c>
      <c r="T406" s="89">
        <f t="shared" si="19"/>
        <v>0</v>
      </c>
      <c r="U406" s="89">
        <f t="shared" si="20"/>
        <v>0</v>
      </c>
      <c r="V406" s="89">
        <f t="shared" si="21"/>
        <v>0</v>
      </c>
      <c r="W406" s="89">
        <f t="shared" si="22"/>
        <v>0</v>
      </c>
      <c r="X406" s="89">
        <f t="shared" si="23"/>
        <v>0</v>
      </c>
      <c r="Y406" s="28"/>
    </row>
    <row r="407" spans="1:25" ht="17.25" customHeight="1">
      <c r="A407" s="88" t="str">
        <f>+IF(BASE!B411="","",BASE!B411)</f>
        <v>23XXR396</v>
      </c>
      <c r="B407" s="121" t="s">
        <v>40</v>
      </c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93"/>
      <c r="R407" s="91">
        <f t="shared" si="18"/>
        <v>0</v>
      </c>
      <c r="S407" s="91">
        <f>BASE!A411</f>
        <v>396</v>
      </c>
      <c r="T407" s="89">
        <f t="shared" si="19"/>
        <v>0</v>
      </c>
      <c r="U407" s="89">
        <f t="shared" si="20"/>
        <v>0</v>
      </c>
      <c r="V407" s="89">
        <f t="shared" si="21"/>
        <v>0</v>
      </c>
      <c r="W407" s="89">
        <f t="shared" si="22"/>
        <v>0</v>
      </c>
      <c r="X407" s="89">
        <f t="shared" si="23"/>
        <v>0</v>
      </c>
      <c r="Y407" s="28"/>
    </row>
    <row r="408" spans="1:25" ht="17.25" customHeight="1">
      <c r="A408" s="88" t="str">
        <f>+IF(BASE!B412="","",BASE!B412)</f>
        <v>23XXR397</v>
      </c>
      <c r="B408" s="121" t="s">
        <v>40</v>
      </c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93"/>
      <c r="R408" s="91">
        <f t="shared" si="18"/>
        <v>0</v>
      </c>
      <c r="S408" s="91">
        <f>BASE!A412</f>
        <v>397</v>
      </c>
      <c r="T408" s="89">
        <f t="shared" si="19"/>
        <v>0</v>
      </c>
      <c r="U408" s="89">
        <f t="shared" si="20"/>
        <v>0</v>
      </c>
      <c r="V408" s="89">
        <f t="shared" si="21"/>
        <v>0</v>
      </c>
      <c r="W408" s="89">
        <f t="shared" si="22"/>
        <v>0</v>
      </c>
      <c r="X408" s="89">
        <f t="shared" si="23"/>
        <v>0</v>
      </c>
      <c r="Y408" s="28"/>
    </row>
    <row r="409" spans="1:25" ht="17.25" customHeight="1">
      <c r="A409" s="88" t="str">
        <f>+IF(BASE!B413="","",BASE!B413)</f>
        <v>23XXR398</v>
      </c>
      <c r="B409" s="121" t="s">
        <v>40</v>
      </c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93"/>
      <c r="R409" s="91">
        <f t="shared" si="18"/>
        <v>0</v>
      </c>
      <c r="S409" s="91">
        <f>BASE!A413</f>
        <v>398</v>
      </c>
      <c r="T409" s="89">
        <f t="shared" si="19"/>
        <v>0</v>
      </c>
      <c r="U409" s="89">
        <f t="shared" si="20"/>
        <v>0</v>
      </c>
      <c r="V409" s="89">
        <f t="shared" si="21"/>
        <v>0</v>
      </c>
      <c r="W409" s="89">
        <f t="shared" si="22"/>
        <v>0</v>
      </c>
      <c r="X409" s="89">
        <f t="shared" si="23"/>
        <v>0</v>
      </c>
      <c r="Y409" s="28"/>
    </row>
    <row r="410" spans="1:25" ht="17.25" customHeight="1">
      <c r="A410" s="88" t="str">
        <f>+IF(BASE!B414="","",BASE!B414)</f>
        <v>23XXR399</v>
      </c>
      <c r="B410" s="121" t="s">
        <v>40</v>
      </c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93"/>
      <c r="R410" s="91">
        <f t="shared" si="18"/>
        <v>0</v>
      </c>
      <c r="S410" s="91">
        <f>BASE!A414</f>
        <v>399</v>
      </c>
      <c r="T410" s="89">
        <f t="shared" si="19"/>
        <v>0</v>
      </c>
      <c r="U410" s="89">
        <f t="shared" si="20"/>
        <v>0</v>
      </c>
      <c r="V410" s="89">
        <f t="shared" si="21"/>
        <v>0</v>
      </c>
      <c r="W410" s="89">
        <f t="shared" si="22"/>
        <v>0</v>
      </c>
      <c r="X410" s="89">
        <f t="shared" si="23"/>
        <v>0</v>
      </c>
      <c r="Y410" s="28"/>
    </row>
    <row r="411" spans="1:25" ht="17.25" customHeight="1">
      <c r="A411" s="88" t="str">
        <f>+IF(BASE!B415="","",BASE!B415)</f>
        <v>23XXR400</v>
      </c>
      <c r="B411" s="121" t="s">
        <v>40</v>
      </c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93"/>
      <c r="R411" s="91">
        <f t="shared" si="18"/>
        <v>0</v>
      </c>
      <c r="S411" s="91">
        <f>BASE!A415</f>
        <v>400</v>
      </c>
      <c r="T411" s="89">
        <f t="shared" si="19"/>
        <v>0</v>
      </c>
      <c r="U411" s="89">
        <f t="shared" si="20"/>
        <v>0</v>
      </c>
      <c r="V411" s="89">
        <f t="shared" si="21"/>
        <v>0</v>
      </c>
      <c r="W411" s="89">
        <f t="shared" si="22"/>
        <v>0</v>
      </c>
      <c r="X411" s="89">
        <f t="shared" si="23"/>
        <v>0</v>
      </c>
      <c r="Y411" s="28"/>
    </row>
    <row r="412" spans="1:25" ht="17.25" customHeight="1">
      <c r="A412" s="88" t="str">
        <f>+IF(BASE!B416="","",BASE!B416)</f>
        <v>23XXR401</v>
      </c>
      <c r="B412" s="121" t="s">
        <v>40</v>
      </c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93"/>
      <c r="R412" s="91">
        <f t="shared" si="18"/>
        <v>0</v>
      </c>
      <c r="S412" s="91">
        <f>BASE!A416</f>
        <v>401</v>
      </c>
      <c r="T412" s="89">
        <f t="shared" si="19"/>
        <v>0</v>
      </c>
      <c r="U412" s="89">
        <f t="shared" si="20"/>
        <v>0</v>
      </c>
      <c r="V412" s="89">
        <f t="shared" si="21"/>
        <v>0</v>
      </c>
      <c r="W412" s="89">
        <f t="shared" si="22"/>
        <v>0</v>
      </c>
      <c r="X412" s="89">
        <f t="shared" si="23"/>
        <v>0</v>
      </c>
      <c r="Y412" s="28"/>
    </row>
    <row r="413" spans="1:25" ht="17.25" customHeight="1">
      <c r="A413" s="88" t="str">
        <f>+IF(BASE!B417="","",BASE!B417)</f>
        <v>23XXR402</v>
      </c>
      <c r="B413" s="121" t="s">
        <v>40</v>
      </c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93"/>
      <c r="R413" s="91">
        <f t="shared" si="18"/>
        <v>0</v>
      </c>
      <c r="S413" s="91">
        <f>BASE!A417</f>
        <v>402</v>
      </c>
      <c r="T413" s="89">
        <f t="shared" si="19"/>
        <v>0</v>
      </c>
      <c r="U413" s="89">
        <f t="shared" si="20"/>
        <v>0</v>
      </c>
      <c r="V413" s="89">
        <f t="shared" si="21"/>
        <v>0</v>
      </c>
      <c r="W413" s="89">
        <f t="shared" si="22"/>
        <v>0</v>
      </c>
      <c r="X413" s="89">
        <f t="shared" si="23"/>
        <v>0</v>
      </c>
      <c r="Y413" s="28"/>
    </row>
    <row r="414" spans="1:25" ht="17.25" customHeight="1">
      <c r="A414" s="88" t="str">
        <f>+IF(BASE!B418="","",BASE!B418)</f>
        <v>23XXR403</v>
      </c>
      <c r="B414" s="121" t="s">
        <v>40</v>
      </c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93"/>
      <c r="R414" s="91">
        <f t="shared" si="18"/>
        <v>0</v>
      </c>
      <c r="S414" s="91">
        <f>BASE!A418</f>
        <v>403</v>
      </c>
      <c r="T414" s="89">
        <f t="shared" si="19"/>
        <v>0</v>
      </c>
      <c r="U414" s="89">
        <f t="shared" si="20"/>
        <v>0</v>
      </c>
      <c r="V414" s="89">
        <f t="shared" si="21"/>
        <v>0</v>
      </c>
      <c r="W414" s="89">
        <f t="shared" si="22"/>
        <v>0</v>
      </c>
      <c r="X414" s="89">
        <f t="shared" si="23"/>
        <v>0</v>
      </c>
      <c r="Y414" s="28"/>
    </row>
    <row r="415" spans="1:25" ht="17.25" customHeight="1">
      <c r="A415" s="88" t="str">
        <f>+IF(BASE!B419="","",BASE!B419)</f>
        <v>23XXR404</v>
      </c>
      <c r="B415" s="121" t="s">
        <v>40</v>
      </c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93"/>
      <c r="R415" s="91">
        <f t="shared" si="18"/>
        <v>0</v>
      </c>
      <c r="S415" s="91">
        <f>BASE!A419</f>
        <v>404</v>
      </c>
      <c r="T415" s="89">
        <f t="shared" si="19"/>
        <v>0</v>
      </c>
      <c r="U415" s="89">
        <f t="shared" si="20"/>
        <v>0</v>
      </c>
      <c r="V415" s="89">
        <f t="shared" si="21"/>
        <v>0</v>
      </c>
      <c r="W415" s="89">
        <f t="shared" si="22"/>
        <v>0</v>
      </c>
      <c r="X415" s="89">
        <f t="shared" si="23"/>
        <v>0</v>
      </c>
      <c r="Y415" s="28"/>
    </row>
    <row r="416" spans="1:25" ht="17.25" customHeight="1">
      <c r="A416" s="88" t="str">
        <f>+IF(BASE!B420="","",BASE!B420)</f>
        <v>23XXR405</v>
      </c>
      <c r="B416" s="121" t="s">
        <v>40</v>
      </c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93"/>
      <c r="R416" s="91">
        <f t="shared" si="18"/>
        <v>0</v>
      </c>
      <c r="S416" s="91">
        <f>BASE!A420</f>
        <v>405</v>
      </c>
      <c r="T416" s="89">
        <f t="shared" si="19"/>
        <v>0</v>
      </c>
      <c r="U416" s="89">
        <f t="shared" si="20"/>
        <v>0</v>
      </c>
      <c r="V416" s="89">
        <f t="shared" si="21"/>
        <v>0</v>
      </c>
      <c r="W416" s="89">
        <f t="shared" si="22"/>
        <v>0</v>
      </c>
      <c r="X416" s="89">
        <f t="shared" si="23"/>
        <v>0</v>
      </c>
      <c r="Y416" s="28"/>
    </row>
    <row r="417" spans="1:25" ht="17.25" customHeight="1">
      <c r="A417" s="88" t="str">
        <f>+IF(BASE!B421="","",BASE!B421)</f>
        <v>23XXR406</v>
      </c>
      <c r="B417" s="121" t="s">
        <v>40</v>
      </c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93"/>
      <c r="R417" s="91">
        <f t="shared" si="18"/>
        <v>0</v>
      </c>
      <c r="S417" s="91">
        <f>BASE!A421</f>
        <v>406</v>
      </c>
      <c r="T417" s="89">
        <f t="shared" si="19"/>
        <v>0</v>
      </c>
      <c r="U417" s="89">
        <f t="shared" si="20"/>
        <v>0</v>
      </c>
      <c r="V417" s="89">
        <f t="shared" si="21"/>
        <v>0</v>
      </c>
      <c r="W417" s="89">
        <f t="shared" si="22"/>
        <v>0</v>
      </c>
      <c r="X417" s="89">
        <f t="shared" si="23"/>
        <v>0</v>
      </c>
      <c r="Y417" s="28"/>
    </row>
    <row r="418" spans="1:25" ht="17.25" customHeight="1">
      <c r="A418" s="88" t="str">
        <f>+IF(BASE!B422="","",BASE!B422)</f>
        <v>23XXR407</v>
      </c>
      <c r="B418" s="121" t="s">
        <v>40</v>
      </c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93"/>
      <c r="R418" s="91">
        <f t="shared" si="18"/>
        <v>0</v>
      </c>
      <c r="S418" s="91">
        <f>BASE!A422</f>
        <v>407</v>
      </c>
      <c r="T418" s="89">
        <f t="shared" si="19"/>
        <v>0</v>
      </c>
      <c r="U418" s="89">
        <f t="shared" si="20"/>
        <v>0</v>
      </c>
      <c r="V418" s="89">
        <f t="shared" si="21"/>
        <v>0</v>
      </c>
      <c r="W418" s="89">
        <f t="shared" si="22"/>
        <v>0</v>
      </c>
      <c r="X418" s="89">
        <f t="shared" si="23"/>
        <v>0</v>
      </c>
      <c r="Y418" s="28"/>
    </row>
    <row r="419" spans="1:25" ht="17.25" customHeight="1">
      <c r="A419" s="88" t="str">
        <f>+IF(BASE!B423="","",BASE!B423)</f>
        <v>23XXR408</v>
      </c>
      <c r="B419" s="121" t="s">
        <v>40</v>
      </c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93"/>
      <c r="R419" s="91">
        <f t="shared" si="18"/>
        <v>0</v>
      </c>
      <c r="S419" s="91">
        <f>BASE!A423</f>
        <v>408</v>
      </c>
      <c r="T419" s="89">
        <f t="shared" si="19"/>
        <v>0</v>
      </c>
      <c r="U419" s="89">
        <f t="shared" si="20"/>
        <v>0</v>
      </c>
      <c r="V419" s="89">
        <f t="shared" si="21"/>
        <v>0</v>
      </c>
      <c r="W419" s="89">
        <f t="shared" si="22"/>
        <v>0</v>
      </c>
      <c r="X419" s="89">
        <f t="shared" si="23"/>
        <v>0</v>
      </c>
      <c r="Y419" s="28"/>
    </row>
    <row r="420" spans="1:25" ht="17.25" customHeight="1">
      <c r="A420" s="88" t="str">
        <f>+IF(BASE!B424="","",BASE!B424)</f>
        <v>23XXR409</v>
      </c>
      <c r="B420" s="121" t="s">
        <v>40</v>
      </c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93"/>
      <c r="R420" s="91">
        <f t="shared" si="18"/>
        <v>0</v>
      </c>
      <c r="S420" s="91">
        <f>BASE!A424</f>
        <v>409</v>
      </c>
      <c r="T420" s="89">
        <f t="shared" si="19"/>
        <v>0</v>
      </c>
      <c r="U420" s="89">
        <f t="shared" si="20"/>
        <v>0</v>
      </c>
      <c r="V420" s="89">
        <f t="shared" si="21"/>
        <v>0</v>
      </c>
      <c r="W420" s="89">
        <f t="shared" si="22"/>
        <v>0</v>
      </c>
      <c r="X420" s="89">
        <f t="shared" si="23"/>
        <v>0</v>
      </c>
      <c r="Y420" s="28"/>
    </row>
    <row r="421" spans="1:25" ht="17.25" customHeight="1">
      <c r="A421" s="88" t="str">
        <f>+IF(BASE!B425="","",BASE!B425)</f>
        <v>23XXR410</v>
      </c>
      <c r="B421" s="121" t="s">
        <v>40</v>
      </c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93"/>
      <c r="R421" s="91">
        <f t="shared" si="18"/>
        <v>0</v>
      </c>
      <c r="S421" s="91">
        <f>BASE!A425</f>
        <v>410</v>
      </c>
      <c r="T421" s="89">
        <f t="shared" si="19"/>
        <v>0</v>
      </c>
      <c r="U421" s="89">
        <f t="shared" si="20"/>
        <v>0</v>
      </c>
      <c r="V421" s="89">
        <f t="shared" si="21"/>
        <v>0</v>
      </c>
      <c r="W421" s="89">
        <f t="shared" si="22"/>
        <v>0</v>
      </c>
      <c r="X421" s="89">
        <f t="shared" si="23"/>
        <v>0</v>
      </c>
      <c r="Y421" s="28"/>
    </row>
    <row r="422" spans="1:25" ht="17.25" customHeight="1">
      <c r="A422" s="88" t="str">
        <f>+IF(BASE!B426="","",BASE!B426)</f>
        <v>23XXR411</v>
      </c>
      <c r="B422" s="121" t="s">
        <v>40</v>
      </c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93"/>
      <c r="R422" s="91">
        <f t="shared" si="18"/>
        <v>0</v>
      </c>
      <c r="S422" s="91">
        <f>BASE!A426</f>
        <v>411</v>
      </c>
      <c r="T422" s="89">
        <f t="shared" si="19"/>
        <v>0</v>
      </c>
      <c r="U422" s="89">
        <f t="shared" si="20"/>
        <v>0</v>
      </c>
      <c r="V422" s="89">
        <f t="shared" si="21"/>
        <v>0</v>
      </c>
      <c r="W422" s="89">
        <f t="shared" si="22"/>
        <v>0</v>
      </c>
      <c r="X422" s="89">
        <f t="shared" si="23"/>
        <v>0</v>
      </c>
      <c r="Y422" s="28"/>
    </row>
    <row r="423" spans="1:25" ht="17.25" customHeight="1">
      <c r="A423" s="88" t="str">
        <f>+IF(BASE!B427="","",BASE!B427)</f>
        <v>23XXR412</v>
      </c>
      <c r="B423" s="121" t="s">
        <v>40</v>
      </c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93"/>
      <c r="R423" s="91">
        <f t="shared" si="18"/>
        <v>0</v>
      </c>
      <c r="S423" s="91">
        <f>BASE!A427</f>
        <v>412</v>
      </c>
      <c r="T423" s="89">
        <f t="shared" si="19"/>
        <v>0</v>
      </c>
      <c r="U423" s="89">
        <f t="shared" si="20"/>
        <v>0</v>
      </c>
      <c r="V423" s="89">
        <f t="shared" si="21"/>
        <v>0</v>
      </c>
      <c r="W423" s="89">
        <f t="shared" si="22"/>
        <v>0</v>
      </c>
      <c r="X423" s="89">
        <f t="shared" si="23"/>
        <v>0</v>
      </c>
      <c r="Y423" s="28"/>
    </row>
    <row r="424" spans="1:25" ht="17.25" customHeight="1">
      <c r="A424" s="88" t="str">
        <f>+IF(BASE!B428="","",BASE!B428)</f>
        <v>23XXR413</v>
      </c>
      <c r="B424" s="121" t="s">
        <v>40</v>
      </c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93"/>
      <c r="R424" s="91">
        <f t="shared" si="18"/>
        <v>0</v>
      </c>
      <c r="S424" s="91">
        <f>BASE!A428</f>
        <v>413</v>
      </c>
      <c r="T424" s="89">
        <f t="shared" si="19"/>
        <v>0</v>
      </c>
      <c r="U424" s="89">
        <f t="shared" si="20"/>
        <v>0</v>
      </c>
      <c r="V424" s="89">
        <f t="shared" si="21"/>
        <v>0</v>
      </c>
      <c r="W424" s="89">
        <f t="shared" si="22"/>
        <v>0</v>
      </c>
      <c r="X424" s="89">
        <f t="shared" si="23"/>
        <v>0</v>
      </c>
      <c r="Y424" s="28"/>
    </row>
    <row r="425" spans="1:25" ht="17.25" customHeight="1">
      <c r="A425" s="88" t="str">
        <f>+IF(BASE!B429="","",BASE!B429)</f>
        <v>23XXR414</v>
      </c>
      <c r="B425" s="121" t="s">
        <v>40</v>
      </c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93"/>
      <c r="R425" s="91">
        <f t="shared" si="18"/>
        <v>0</v>
      </c>
      <c r="S425" s="91">
        <f>BASE!A429</f>
        <v>414</v>
      </c>
      <c r="T425" s="89">
        <f t="shared" si="19"/>
        <v>0</v>
      </c>
      <c r="U425" s="89">
        <f t="shared" si="20"/>
        <v>0</v>
      </c>
      <c r="V425" s="89">
        <f t="shared" si="21"/>
        <v>0</v>
      </c>
      <c r="W425" s="89">
        <f t="shared" si="22"/>
        <v>0</v>
      </c>
      <c r="X425" s="89">
        <f t="shared" si="23"/>
        <v>0</v>
      </c>
      <c r="Y425" s="28"/>
    </row>
    <row r="426" spans="1:25" ht="17.25" customHeight="1">
      <c r="A426" s="88" t="str">
        <f>+IF(BASE!B430="","",BASE!B430)</f>
        <v>23XXR415</v>
      </c>
      <c r="B426" s="121" t="s">
        <v>40</v>
      </c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93"/>
      <c r="R426" s="91">
        <f t="shared" si="18"/>
        <v>0</v>
      </c>
      <c r="S426" s="91">
        <f>BASE!A430</f>
        <v>415</v>
      </c>
      <c r="T426" s="89">
        <f t="shared" si="19"/>
        <v>0</v>
      </c>
      <c r="U426" s="89">
        <f t="shared" si="20"/>
        <v>0</v>
      </c>
      <c r="V426" s="89">
        <f t="shared" si="21"/>
        <v>0</v>
      </c>
      <c r="W426" s="89">
        <f t="shared" si="22"/>
        <v>0</v>
      </c>
      <c r="X426" s="89">
        <f t="shared" si="23"/>
        <v>0</v>
      </c>
      <c r="Y426" s="28"/>
    </row>
    <row r="427" spans="1:25" ht="17.25" customHeight="1">
      <c r="A427" s="88" t="str">
        <f>+IF(BASE!B431="","",BASE!B431)</f>
        <v>23XXR416</v>
      </c>
      <c r="B427" s="121" t="s">
        <v>40</v>
      </c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93"/>
      <c r="R427" s="91">
        <f t="shared" si="18"/>
        <v>0</v>
      </c>
      <c r="S427" s="91">
        <f>BASE!A431</f>
        <v>416</v>
      </c>
      <c r="T427" s="89">
        <f t="shared" si="19"/>
        <v>0</v>
      </c>
      <c r="U427" s="89">
        <f t="shared" si="20"/>
        <v>0</v>
      </c>
      <c r="V427" s="89">
        <f t="shared" si="21"/>
        <v>0</v>
      </c>
      <c r="W427" s="89">
        <f t="shared" si="22"/>
        <v>0</v>
      </c>
      <c r="X427" s="89">
        <f t="shared" si="23"/>
        <v>0</v>
      </c>
      <c r="Y427" s="28"/>
    </row>
    <row r="428" spans="1:25" ht="17.25" customHeight="1">
      <c r="A428" s="88" t="str">
        <f>+IF(BASE!B432="","",BASE!B432)</f>
        <v>23XXR417</v>
      </c>
      <c r="B428" s="121" t="s">
        <v>40</v>
      </c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93"/>
      <c r="R428" s="91">
        <f t="shared" si="18"/>
        <v>0</v>
      </c>
      <c r="S428" s="91">
        <f>BASE!A432</f>
        <v>417</v>
      </c>
      <c r="T428" s="89">
        <f t="shared" si="19"/>
        <v>0</v>
      </c>
      <c r="U428" s="89">
        <f t="shared" si="20"/>
        <v>0</v>
      </c>
      <c r="V428" s="89">
        <f t="shared" si="21"/>
        <v>0</v>
      </c>
      <c r="W428" s="89">
        <f t="shared" si="22"/>
        <v>0</v>
      </c>
      <c r="X428" s="89">
        <f t="shared" si="23"/>
        <v>0</v>
      </c>
      <c r="Y428" s="28"/>
    </row>
    <row r="429" spans="1:25" ht="17.25" customHeight="1">
      <c r="A429" s="88" t="str">
        <f>+IF(BASE!B433="","",BASE!B433)</f>
        <v>23XXR418</v>
      </c>
      <c r="B429" s="121" t="s">
        <v>40</v>
      </c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93"/>
      <c r="R429" s="91">
        <f t="shared" si="18"/>
        <v>0</v>
      </c>
      <c r="S429" s="91">
        <f>BASE!A433</f>
        <v>418</v>
      </c>
      <c r="T429" s="89">
        <f t="shared" si="19"/>
        <v>0</v>
      </c>
      <c r="U429" s="89">
        <f t="shared" si="20"/>
        <v>0</v>
      </c>
      <c r="V429" s="89">
        <f t="shared" si="21"/>
        <v>0</v>
      </c>
      <c r="W429" s="89">
        <f t="shared" si="22"/>
        <v>0</v>
      </c>
      <c r="X429" s="89">
        <f t="shared" si="23"/>
        <v>0</v>
      </c>
      <c r="Y429" s="28"/>
    </row>
    <row r="430" spans="1:25" ht="17.25" customHeight="1">
      <c r="A430" s="88" t="str">
        <f>+IF(BASE!B434="","",BASE!B434)</f>
        <v>23XXR419</v>
      </c>
      <c r="B430" s="121" t="s">
        <v>40</v>
      </c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93"/>
      <c r="R430" s="91">
        <f t="shared" si="18"/>
        <v>0</v>
      </c>
      <c r="S430" s="91">
        <f>BASE!A434</f>
        <v>419</v>
      </c>
      <c r="T430" s="89">
        <f t="shared" si="19"/>
        <v>0</v>
      </c>
      <c r="U430" s="89">
        <f t="shared" si="20"/>
        <v>0</v>
      </c>
      <c r="V430" s="89">
        <f t="shared" si="21"/>
        <v>0</v>
      </c>
      <c r="W430" s="89">
        <f t="shared" si="22"/>
        <v>0</v>
      </c>
      <c r="X430" s="89">
        <f t="shared" si="23"/>
        <v>0</v>
      </c>
      <c r="Y430" s="28"/>
    </row>
    <row r="431" spans="1:25" ht="17.25" customHeight="1">
      <c r="A431" s="88" t="str">
        <f>+IF(BASE!B435="","",BASE!B435)</f>
        <v>23XXR420</v>
      </c>
      <c r="B431" s="121" t="s">
        <v>40</v>
      </c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93"/>
      <c r="R431" s="91">
        <f t="shared" si="18"/>
        <v>0</v>
      </c>
      <c r="S431" s="91">
        <f>BASE!A435</f>
        <v>420</v>
      </c>
      <c r="T431" s="89">
        <f t="shared" si="19"/>
        <v>0</v>
      </c>
      <c r="U431" s="89">
        <f t="shared" si="20"/>
        <v>0</v>
      </c>
      <c r="V431" s="89">
        <f t="shared" si="21"/>
        <v>0</v>
      </c>
      <c r="W431" s="89">
        <f t="shared" si="22"/>
        <v>0</v>
      </c>
      <c r="X431" s="89">
        <f t="shared" si="23"/>
        <v>0</v>
      </c>
      <c r="Y431" s="28"/>
    </row>
    <row r="432" spans="1:25" ht="17.25" customHeight="1">
      <c r="A432" s="88" t="str">
        <f>+IF(BASE!B436="","",BASE!B436)</f>
        <v>23XXR421</v>
      </c>
      <c r="B432" s="121" t="s">
        <v>40</v>
      </c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93"/>
      <c r="R432" s="91">
        <f t="shared" si="18"/>
        <v>0</v>
      </c>
      <c r="S432" s="91">
        <f>BASE!A436</f>
        <v>421</v>
      </c>
      <c r="T432" s="89">
        <f t="shared" si="19"/>
        <v>0</v>
      </c>
      <c r="U432" s="89">
        <f t="shared" si="20"/>
        <v>0</v>
      </c>
      <c r="V432" s="89">
        <f t="shared" si="21"/>
        <v>0</v>
      </c>
      <c r="W432" s="89">
        <f t="shared" si="22"/>
        <v>0</v>
      </c>
      <c r="X432" s="89">
        <f t="shared" si="23"/>
        <v>0</v>
      </c>
      <c r="Y432" s="28"/>
    </row>
    <row r="433" spans="1:25" ht="17.25" customHeight="1">
      <c r="A433" s="88" t="str">
        <f>+IF(BASE!B437="","",BASE!B437)</f>
        <v/>
      </c>
      <c r="B433" s="121" t="s">
        <v>40</v>
      </c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93"/>
      <c r="R433" s="91">
        <f t="shared" si="18"/>
        <v>0</v>
      </c>
      <c r="S433" s="91">
        <f>BASE!A437</f>
        <v>422</v>
      </c>
      <c r="T433" s="89">
        <f t="shared" si="19"/>
        <v>0</v>
      </c>
      <c r="U433" s="89">
        <f t="shared" si="20"/>
        <v>0</v>
      </c>
      <c r="V433" s="89">
        <f t="shared" si="21"/>
        <v>0</v>
      </c>
      <c r="W433" s="89">
        <f t="shared" si="22"/>
        <v>0</v>
      </c>
      <c r="X433" s="89">
        <f t="shared" si="23"/>
        <v>0</v>
      </c>
      <c r="Y433" s="28"/>
    </row>
    <row r="434" spans="1:25" ht="17.25" customHeight="1">
      <c r="A434" s="88" t="str">
        <f>+IF(BASE!B438="","",BASE!B438)</f>
        <v/>
      </c>
      <c r="B434" s="121" t="s">
        <v>40</v>
      </c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93"/>
      <c r="R434" s="91">
        <f t="shared" si="18"/>
        <v>0</v>
      </c>
      <c r="S434" s="91">
        <f>BASE!A438</f>
        <v>423</v>
      </c>
      <c r="T434" s="89">
        <f t="shared" si="19"/>
        <v>0</v>
      </c>
      <c r="U434" s="89">
        <f t="shared" si="20"/>
        <v>0</v>
      </c>
      <c r="V434" s="89">
        <f t="shared" si="21"/>
        <v>0</v>
      </c>
      <c r="W434" s="89">
        <f t="shared" si="22"/>
        <v>0</v>
      </c>
      <c r="X434" s="89">
        <f t="shared" si="23"/>
        <v>0</v>
      </c>
      <c r="Y434" s="28"/>
    </row>
    <row r="435" spans="1:25" ht="17.25" customHeight="1">
      <c r="A435" s="88" t="str">
        <f>+IF(BASE!B439="","",BASE!B439)</f>
        <v/>
      </c>
      <c r="B435" s="121" t="s">
        <v>40</v>
      </c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93"/>
      <c r="R435" s="91">
        <f t="shared" si="18"/>
        <v>0</v>
      </c>
      <c r="S435" s="91">
        <f>BASE!A439</f>
        <v>424</v>
      </c>
      <c r="T435" s="89">
        <f t="shared" si="19"/>
        <v>0</v>
      </c>
      <c r="U435" s="89">
        <f t="shared" si="20"/>
        <v>0</v>
      </c>
      <c r="V435" s="89">
        <f t="shared" si="21"/>
        <v>0</v>
      </c>
      <c r="W435" s="89">
        <f t="shared" si="22"/>
        <v>0</v>
      </c>
      <c r="X435" s="89">
        <f t="shared" si="23"/>
        <v>0</v>
      </c>
      <c r="Y435" s="28"/>
    </row>
    <row r="436" spans="1:25" ht="17.25" customHeight="1">
      <c r="A436" s="88" t="str">
        <f>+IF(BASE!B440="","",BASE!B440)</f>
        <v/>
      </c>
      <c r="B436" s="121" t="s">
        <v>40</v>
      </c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93"/>
      <c r="R436" s="91">
        <f t="shared" si="18"/>
        <v>0</v>
      </c>
      <c r="S436" s="91">
        <f>BASE!A440</f>
        <v>425</v>
      </c>
      <c r="T436" s="89">
        <f t="shared" si="19"/>
        <v>0</v>
      </c>
      <c r="U436" s="89">
        <f t="shared" si="20"/>
        <v>0</v>
      </c>
      <c r="V436" s="89">
        <f t="shared" si="21"/>
        <v>0</v>
      </c>
      <c r="W436" s="89">
        <f t="shared" si="22"/>
        <v>0</v>
      </c>
      <c r="X436" s="89">
        <f t="shared" si="23"/>
        <v>0</v>
      </c>
      <c r="Y436" s="28"/>
    </row>
    <row r="437" spans="1:25" ht="17.25" customHeight="1">
      <c r="A437" s="88" t="str">
        <f>+IF(BASE!B441="","",BASE!B441)</f>
        <v/>
      </c>
      <c r="B437" s="121" t="s">
        <v>40</v>
      </c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93"/>
      <c r="R437" s="91">
        <f t="shared" si="18"/>
        <v>0</v>
      </c>
      <c r="S437" s="91">
        <f>BASE!A441</f>
        <v>426</v>
      </c>
      <c r="T437" s="89">
        <f t="shared" si="19"/>
        <v>0</v>
      </c>
      <c r="U437" s="89">
        <f t="shared" si="20"/>
        <v>0</v>
      </c>
      <c r="V437" s="89">
        <f t="shared" si="21"/>
        <v>0</v>
      </c>
      <c r="W437" s="89">
        <f t="shared" si="22"/>
        <v>0</v>
      </c>
      <c r="X437" s="89">
        <f t="shared" si="23"/>
        <v>0</v>
      </c>
      <c r="Y437" s="28"/>
    </row>
    <row r="438" spans="1:25" ht="17.25" customHeight="1">
      <c r="A438" s="88" t="str">
        <f>+IF(BASE!B442="","",BASE!B442)</f>
        <v/>
      </c>
      <c r="B438" s="121" t="s">
        <v>40</v>
      </c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93"/>
      <c r="R438" s="91">
        <f t="shared" si="18"/>
        <v>0</v>
      </c>
      <c r="S438" s="91">
        <f>BASE!A442</f>
        <v>427</v>
      </c>
      <c r="T438" s="89">
        <f t="shared" si="19"/>
        <v>0</v>
      </c>
      <c r="U438" s="89">
        <f t="shared" si="20"/>
        <v>0</v>
      </c>
      <c r="V438" s="89">
        <f t="shared" si="21"/>
        <v>0</v>
      </c>
      <c r="W438" s="89">
        <f t="shared" si="22"/>
        <v>0</v>
      </c>
      <c r="X438" s="89">
        <f t="shared" si="23"/>
        <v>0</v>
      </c>
      <c r="Y438" s="28"/>
    </row>
    <row r="439" spans="1:25" ht="17.25" customHeight="1">
      <c r="A439" s="88" t="str">
        <f>+IF(BASE!B443="","",BASE!B443)</f>
        <v/>
      </c>
      <c r="B439" s="121" t="s">
        <v>40</v>
      </c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93"/>
      <c r="R439" s="91">
        <f t="shared" si="18"/>
        <v>0</v>
      </c>
      <c r="S439" s="91">
        <f>BASE!A443</f>
        <v>428</v>
      </c>
      <c r="T439" s="89">
        <f t="shared" si="19"/>
        <v>0</v>
      </c>
      <c r="U439" s="89">
        <f t="shared" si="20"/>
        <v>0</v>
      </c>
      <c r="V439" s="89">
        <f t="shared" si="21"/>
        <v>0</v>
      </c>
      <c r="W439" s="89">
        <f t="shared" si="22"/>
        <v>0</v>
      </c>
      <c r="X439" s="89">
        <f t="shared" si="23"/>
        <v>0</v>
      </c>
      <c r="Y439" s="28"/>
    </row>
    <row r="440" spans="1:25" ht="17.25" customHeight="1">
      <c r="A440" s="88" t="str">
        <f>+IF(BASE!B444="","",BASE!B444)</f>
        <v/>
      </c>
      <c r="B440" s="121" t="s">
        <v>40</v>
      </c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93"/>
      <c r="R440" s="91">
        <f t="shared" si="18"/>
        <v>0</v>
      </c>
      <c r="S440" s="91">
        <f>BASE!A444</f>
        <v>429</v>
      </c>
      <c r="T440" s="89">
        <f t="shared" si="19"/>
        <v>0</v>
      </c>
      <c r="U440" s="89">
        <f t="shared" si="20"/>
        <v>0</v>
      </c>
      <c r="V440" s="89">
        <f t="shared" si="21"/>
        <v>0</v>
      </c>
      <c r="W440" s="89">
        <f t="shared" si="22"/>
        <v>0</v>
      </c>
      <c r="X440" s="89">
        <f t="shared" si="23"/>
        <v>0</v>
      </c>
      <c r="Y440" s="28"/>
    </row>
    <row r="441" spans="1:25" ht="17.25" customHeight="1">
      <c r="A441" s="88" t="str">
        <f>+IF(BASE!B445="","",BASE!B445)</f>
        <v/>
      </c>
      <c r="B441" s="121" t="s">
        <v>40</v>
      </c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93"/>
      <c r="R441" s="91">
        <f t="shared" si="18"/>
        <v>0</v>
      </c>
      <c r="S441" s="91">
        <f>BASE!A445</f>
        <v>430</v>
      </c>
      <c r="T441" s="89">
        <f t="shared" si="19"/>
        <v>0</v>
      </c>
      <c r="U441" s="89">
        <f t="shared" si="20"/>
        <v>0</v>
      </c>
      <c r="V441" s="89">
        <f t="shared" si="21"/>
        <v>0</v>
      </c>
      <c r="W441" s="89">
        <f t="shared" si="22"/>
        <v>0</v>
      </c>
      <c r="X441" s="89">
        <f t="shared" si="23"/>
        <v>0</v>
      </c>
      <c r="Y441" s="28"/>
    </row>
    <row r="442" spans="1:25" ht="17.25" customHeight="1">
      <c r="A442" s="88" t="str">
        <f>+IF(BASE!B446="","",BASE!B446)</f>
        <v/>
      </c>
      <c r="B442" s="121" t="s">
        <v>40</v>
      </c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93"/>
      <c r="R442" s="91">
        <f t="shared" si="18"/>
        <v>0</v>
      </c>
      <c r="S442" s="91">
        <f>BASE!A446</f>
        <v>431</v>
      </c>
      <c r="T442" s="89">
        <f t="shared" si="19"/>
        <v>0</v>
      </c>
      <c r="U442" s="89">
        <f t="shared" si="20"/>
        <v>0</v>
      </c>
      <c r="V442" s="89">
        <f t="shared" si="21"/>
        <v>0</v>
      </c>
      <c r="W442" s="89">
        <f t="shared" si="22"/>
        <v>0</v>
      </c>
      <c r="X442" s="89">
        <f t="shared" si="23"/>
        <v>0</v>
      </c>
      <c r="Y442" s="28"/>
    </row>
    <row r="443" spans="1:25" ht="17.25" customHeight="1">
      <c r="A443" s="88" t="str">
        <f>+IF(BASE!B447="","",BASE!B447)</f>
        <v/>
      </c>
      <c r="B443" s="121" t="s">
        <v>40</v>
      </c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93"/>
      <c r="R443" s="91">
        <f t="shared" si="18"/>
        <v>0</v>
      </c>
      <c r="S443" s="91">
        <f>BASE!A447</f>
        <v>432</v>
      </c>
      <c r="T443" s="89">
        <f t="shared" si="19"/>
        <v>0</v>
      </c>
      <c r="U443" s="89">
        <f t="shared" si="20"/>
        <v>0</v>
      </c>
      <c r="V443" s="89">
        <f t="shared" si="21"/>
        <v>0</v>
      </c>
      <c r="W443" s="89">
        <f t="shared" si="22"/>
        <v>0</v>
      </c>
      <c r="X443" s="89">
        <f t="shared" si="23"/>
        <v>0</v>
      </c>
      <c r="Y443" s="28"/>
    </row>
    <row r="444" spans="1:25" ht="17.25" customHeight="1">
      <c r="A444" s="88" t="str">
        <f>+IF(BASE!B448="","",BASE!B448)</f>
        <v/>
      </c>
      <c r="B444" s="121" t="s">
        <v>40</v>
      </c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93"/>
      <c r="R444" s="91">
        <f t="shared" si="18"/>
        <v>0</v>
      </c>
      <c r="S444" s="91">
        <f>BASE!A448</f>
        <v>433</v>
      </c>
      <c r="T444" s="89">
        <f t="shared" si="19"/>
        <v>0</v>
      </c>
      <c r="U444" s="89">
        <f t="shared" si="20"/>
        <v>0</v>
      </c>
      <c r="V444" s="89">
        <f t="shared" si="21"/>
        <v>0</v>
      </c>
      <c r="W444" s="89">
        <f t="shared" si="22"/>
        <v>0</v>
      </c>
      <c r="X444" s="89">
        <f t="shared" si="23"/>
        <v>0</v>
      </c>
      <c r="Y444" s="28"/>
    </row>
    <row r="445" spans="1:25" ht="17.25" customHeight="1">
      <c r="A445" s="88" t="str">
        <f>+IF(BASE!B449="","",BASE!B449)</f>
        <v/>
      </c>
      <c r="B445" s="121" t="s">
        <v>40</v>
      </c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93"/>
      <c r="R445" s="91">
        <f t="shared" ref="R445:R461" si="24">SUM(C445:Q445)</f>
        <v>0</v>
      </c>
      <c r="S445" s="91">
        <f>BASE!A449</f>
        <v>434</v>
      </c>
      <c r="T445" s="89">
        <f t="shared" ref="T445:T461" si="25">SUMIF($C$11:$Q$11,1,C445:Q445)</f>
        <v>0</v>
      </c>
      <c r="U445" s="89">
        <f t="shared" ref="U445:U461" si="26">SUMIF($C$11:$Q$11,2,C445:Q445)</f>
        <v>0</v>
      </c>
      <c r="V445" s="89">
        <f t="shared" ref="V445:V461" si="27">SUMIF($C$11:$Q$11,3,C445:Q445)</f>
        <v>0</v>
      </c>
      <c r="W445" s="89">
        <f t="shared" ref="W445:W461" si="28">SUMIF($C$11:$Q$11,4,C445:Q445)</f>
        <v>0</v>
      </c>
      <c r="X445" s="89">
        <f t="shared" ref="X445:X461" si="29">SUMIF($C$11:$Q$11,5,C445:Q445)</f>
        <v>0</v>
      </c>
      <c r="Y445" s="28"/>
    </row>
    <row r="446" spans="1:25" ht="17.25" customHeight="1">
      <c r="A446" s="88" t="str">
        <f>+IF(BASE!B450="","",BASE!B450)</f>
        <v/>
      </c>
      <c r="B446" s="121" t="s">
        <v>40</v>
      </c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93"/>
      <c r="R446" s="91">
        <f t="shared" si="24"/>
        <v>0</v>
      </c>
      <c r="S446" s="91">
        <f>BASE!A450</f>
        <v>435</v>
      </c>
      <c r="T446" s="89">
        <f t="shared" si="25"/>
        <v>0</v>
      </c>
      <c r="U446" s="89">
        <f t="shared" si="26"/>
        <v>0</v>
      </c>
      <c r="V446" s="89">
        <f t="shared" si="27"/>
        <v>0</v>
      </c>
      <c r="W446" s="89">
        <f t="shared" si="28"/>
        <v>0</v>
      </c>
      <c r="X446" s="89">
        <f t="shared" si="29"/>
        <v>0</v>
      </c>
      <c r="Y446" s="28"/>
    </row>
    <row r="447" spans="1:25" ht="17.25" customHeight="1">
      <c r="A447" s="88" t="str">
        <f>+IF(BASE!B451="","",BASE!B451)</f>
        <v/>
      </c>
      <c r="B447" s="121" t="s">
        <v>40</v>
      </c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93"/>
      <c r="R447" s="91">
        <f t="shared" si="24"/>
        <v>0</v>
      </c>
      <c r="S447" s="91">
        <f>BASE!A451</f>
        <v>436</v>
      </c>
      <c r="T447" s="89">
        <f t="shared" si="25"/>
        <v>0</v>
      </c>
      <c r="U447" s="89">
        <f t="shared" si="26"/>
        <v>0</v>
      </c>
      <c r="V447" s="89">
        <f t="shared" si="27"/>
        <v>0</v>
      </c>
      <c r="W447" s="89">
        <f t="shared" si="28"/>
        <v>0</v>
      </c>
      <c r="X447" s="89">
        <f t="shared" si="29"/>
        <v>0</v>
      </c>
      <c r="Y447" s="28"/>
    </row>
    <row r="448" spans="1:25" ht="17.25" customHeight="1">
      <c r="A448" s="88" t="str">
        <f>+IF(BASE!B452="","",BASE!B452)</f>
        <v/>
      </c>
      <c r="B448" s="121" t="s">
        <v>40</v>
      </c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93"/>
      <c r="R448" s="91">
        <f t="shared" si="24"/>
        <v>0</v>
      </c>
      <c r="S448" s="91">
        <f>BASE!A452</f>
        <v>437</v>
      </c>
      <c r="T448" s="89">
        <f t="shared" si="25"/>
        <v>0</v>
      </c>
      <c r="U448" s="89">
        <f t="shared" si="26"/>
        <v>0</v>
      </c>
      <c r="V448" s="89">
        <f t="shared" si="27"/>
        <v>0</v>
      </c>
      <c r="W448" s="89">
        <f t="shared" si="28"/>
        <v>0</v>
      </c>
      <c r="X448" s="89">
        <f t="shared" si="29"/>
        <v>0</v>
      </c>
      <c r="Y448" s="28"/>
    </row>
    <row r="449" spans="1:25" ht="17.25" customHeight="1">
      <c r="A449" s="88" t="str">
        <f>+IF(BASE!B453="","",BASE!B453)</f>
        <v/>
      </c>
      <c r="B449" s="121" t="s">
        <v>40</v>
      </c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93"/>
      <c r="R449" s="91">
        <f t="shared" si="24"/>
        <v>0</v>
      </c>
      <c r="S449" s="91">
        <f>BASE!A453</f>
        <v>438</v>
      </c>
      <c r="T449" s="89">
        <f t="shared" si="25"/>
        <v>0</v>
      </c>
      <c r="U449" s="89">
        <f t="shared" si="26"/>
        <v>0</v>
      </c>
      <c r="V449" s="89">
        <f t="shared" si="27"/>
        <v>0</v>
      </c>
      <c r="W449" s="89">
        <f t="shared" si="28"/>
        <v>0</v>
      </c>
      <c r="X449" s="89">
        <f t="shared" si="29"/>
        <v>0</v>
      </c>
      <c r="Y449" s="28"/>
    </row>
    <row r="450" spans="1:25" ht="17.25" customHeight="1">
      <c r="A450" s="88" t="str">
        <f>+IF(BASE!B454="","",BASE!B454)</f>
        <v/>
      </c>
      <c r="B450" s="121" t="s">
        <v>40</v>
      </c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93"/>
      <c r="R450" s="91">
        <f t="shared" si="24"/>
        <v>0</v>
      </c>
      <c r="S450" s="91">
        <f>BASE!A454</f>
        <v>439</v>
      </c>
      <c r="T450" s="89">
        <f t="shared" si="25"/>
        <v>0</v>
      </c>
      <c r="U450" s="89">
        <f t="shared" si="26"/>
        <v>0</v>
      </c>
      <c r="V450" s="89">
        <f t="shared" si="27"/>
        <v>0</v>
      </c>
      <c r="W450" s="89">
        <f t="shared" si="28"/>
        <v>0</v>
      </c>
      <c r="X450" s="89">
        <f t="shared" si="29"/>
        <v>0</v>
      </c>
      <c r="Y450" s="28"/>
    </row>
    <row r="451" spans="1:25" ht="17.25" customHeight="1">
      <c r="A451" s="88" t="str">
        <f>+IF(BASE!B455="","",BASE!B455)</f>
        <v/>
      </c>
      <c r="B451" s="121" t="s">
        <v>40</v>
      </c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93"/>
      <c r="R451" s="91">
        <f t="shared" si="24"/>
        <v>0</v>
      </c>
      <c r="S451" s="91">
        <f>BASE!A455</f>
        <v>440</v>
      </c>
      <c r="T451" s="89">
        <f t="shared" si="25"/>
        <v>0</v>
      </c>
      <c r="U451" s="89">
        <f t="shared" si="26"/>
        <v>0</v>
      </c>
      <c r="V451" s="89">
        <f t="shared" si="27"/>
        <v>0</v>
      </c>
      <c r="W451" s="89">
        <f t="shared" si="28"/>
        <v>0</v>
      </c>
      <c r="X451" s="89">
        <f t="shared" si="29"/>
        <v>0</v>
      </c>
      <c r="Y451" s="28"/>
    </row>
    <row r="452" spans="1:25" ht="15.75" customHeight="1">
      <c r="A452" s="88" t="str">
        <f>+IF(BASE!B456="","",BASE!B456)</f>
        <v/>
      </c>
      <c r="B452" s="121" t="s">
        <v>40</v>
      </c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90"/>
      <c r="R452" s="91">
        <f t="shared" si="24"/>
        <v>0</v>
      </c>
      <c r="S452" s="91">
        <f>BASE!A456</f>
        <v>441</v>
      </c>
      <c r="T452" s="89">
        <f t="shared" si="25"/>
        <v>0</v>
      </c>
      <c r="U452" s="89">
        <f t="shared" si="26"/>
        <v>0</v>
      </c>
      <c r="V452" s="89">
        <f t="shared" si="27"/>
        <v>0</v>
      </c>
      <c r="W452" s="89">
        <f t="shared" si="28"/>
        <v>0</v>
      </c>
      <c r="X452" s="89">
        <f t="shared" si="29"/>
        <v>0</v>
      </c>
    </row>
    <row r="453" spans="1:25" ht="15.75" customHeight="1">
      <c r="A453" s="88" t="str">
        <f>+IF(BASE!B457="","",BASE!B457)</f>
        <v/>
      </c>
      <c r="B453" s="121" t="s">
        <v>40</v>
      </c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90"/>
      <c r="R453" s="91">
        <f t="shared" si="24"/>
        <v>0</v>
      </c>
      <c r="S453" s="91">
        <f>BASE!A457</f>
        <v>442</v>
      </c>
      <c r="T453" s="89">
        <f t="shared" si="25"/>
        <v>0</v>
      </c>
      <c r="U453" s="89">
        <f t="shared" si="26"/>
        <v>0</v>
      </c>
      <c r="V453" s="89">
        <f t="shared" si="27"/>
        <v>0</v>
      </c>
      <c r="W453" s="89">
        <f t="shared" si="28"/>
        <v>0</v>
      </c>
      <c r="X453" s="89">
        <f t="shared" si="29"/>
        <v>0</v>
      </c>
    </row>
    <row r="454" spans="1:25" ht="15.75" customHeight="1">
      <c r="A454" s="88" t="str">
        <f>+IF(BASE!B458="","",BASE!B458)</f>
        <v/>
      </c>
      <c r="B454" s="121" t="s">
        <v>40</v>
      </c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90"/>
      <c r="R454" s="91">
        <f t="shared" si="24"/>
        <v>0</v>
      </c>
      <c r="S454" s="91">
        <f>BASE!A458</f>
        <v>443</v>
      </c>
      <c r="T454" s="89">
        <f t="shared" si="25"/>
        <v>0</v>
      </c>
      <c r="U454" s="89">
        <f t="shared" si="26"/>
        <v>0</v>
      </c>
      <c r="V454" s="89">
        <f t="shared" si="27"/>
        <v>0</v>
      </c>
      <c r="W454" s="89">
        <f t="shared" si="28"/>
        <v>0</v>
      </c>
      <c r="X454" s="89">
        <f t="shared" si="29"/>
        <v>0</v>
      </c>
    </row>
    <row r="455" spans="1:25" ht="15.75" customHeight="1">
      <c r="A455" s="88" t="str">
        <f>+IF(BASE!B459="","",BASE!B459)</f>
        <v/>
      </c>
      <c r="B455" s="121" t="s">
        <v>40</v>
      </c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90"/>
      <c r="R455" s="91">
        <f t="shared" si="24"/>
        <v>0</v>
      </c>
      <c r="S455" s="91">
        <f>BASE!A459</f>
        <v>444</v>
      </c>
      <c r="T455" s="89">
        <f t="shared" si="25"/>
        <v>0</v>
      </c>
      <c r="U455" s="89">
        <f t="shared" si="26"/>
        <v>0</v>
      </c>
      <c r="V455" s="89">
        <f t="shared" si="27"/>
        <v>0</v>
      </c>
      <c r="W455" s="89">
        <f t="shared" si="28"/>
        <v>0</v>
      </c>
      <c r="X455" s="89">
        <f t="shared" si="29"/>
        <v>0</v>
      </c>
    </row>
    <row r="456" spans="1:25" ht="15.75" customHeight="1">
      <c r="A456" s="88" t="str">
        <f>+IF(BASE!B460="","",BASE!B460)</f>
        <v/>
      </c>
      <c r="B456" s="121" t="s">
        <v>40</v>
      </c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90"/>
      <c r="R456" s="91">
        <f t="shared" si="24"/>
        <v>0</v>
      </c>
      <c r="S456" s="91">
        <f>BASE!A460</f>
        <v>445</v>
      </c>
      <c r="T456" s="89">
        <f t="shared" si="25"/>
        <v>0</v>
      </c>
      <c r="U456" s="89">
        <f t="shared" si="26"/>
        <v>0</v>
      </c>
      <c r="V456" s="89">
        <f t="shared" si="27"/>
        <v>0</v>
      </c>
      <c r="W456" s="89">
        <f t="shared" si="28"/>
        <v>0</v>
      </c>
      <c r="X456" s="89">
        <f t="shared" si="29"/>
        <v>0</v>
      </c>
    </row>
    <row r="457" spans="1:25" ht="15.75" customHeight="1">
      <c r="A457" s="88" t="str">
        <f>+IF(BASE!B461="","",BASE!B461)</f>
        <v/>
      </c>
      <c r="B457" s="121" t="s">
        <v>40</v>
      </c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90"/>
      <c r="R457" s="91">
        <f t="shared" si="24"/>
        <v>0</v>
      </c>
      <c r="S457" s="91">
        <f>BASE!A461</f>
        <v>446</v>
      </c>
      <c r="T457" s="89">
        <f t="shared" si="25"/>
        <v>0</v>
      </c>
      <c r="U457" s="89">
        <f t="shared" si="26"/>
        <v>0</v>
      </c>
      <c r="V457" s="89">
        <f t="shared" si="27"/>
        <v>0</v>
      </c>
      <c r="W457" s="89">
        <f t="shared" si="28"/>
        <v>0</v>
      </c>
      <c r="X457" s="89">
        <f t="shared" si="29"/>
        <v>0</v>
      </c>
    </row>
    <row r="458" spans="1:25" ht="15.75" customHeight="1">
      <c r="A458" s="88" t="str">
        <f>+IF(BASE!B462="","",BASE!B462)</f>
        <v/>
      </c>
      <c r="B458" s="121" t="s">
        <v>40</v>
      </c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90"/>
      <c r="R458" s="91">
        <f t="shared" si="24"/>
        <v>0</v>
      </c>
      <c r="S458" s="91">
        <f>BASE!A462</f>
        <v>447</v>
      </c>
      <c r="T458" s="89">
        <f t="shared" si="25"/>
        <v>0</v>
      </c>
      <c r="U458" s="89">
        <f t="shared" si="26"/>
        <v>0</v>
      </c>
      <c r="V458" s="89">
        <f t="shared" si="27"/>
        <v>0</v>
      </c>
      <c r="W458" s="89">
        <f t="shared" si="28"/>
        <v>0</v>
      </c>
      <c r="X458" s="89">
        <f t="shared" si="29"/>
        <v>0</v>
      </c>
    </row>
    <row r="459" spans="1:25" ht="15.75" customHeight="1">
      <c r="A459" s="88" t="str">
        <f>+IF(BASE!B463="","",BASE!B463)</f>
        <v/>
      </c>
      <c r="B459" s="121" t="s">
        <v>40</v>
      </c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90"/>
      <c r="R459" s="91">
        <f t="shared" si="24"/>
        <v>0</v>
      </c>
      <c r="S459" s="91">
        <f>BASE!A463</f>
        <v>448</v>
      </c>
      <c r="T459" s="89">
        <f t="shared" si="25"/>
        <v>0</v>
      </c>
      <c r="U459" s="89">
        <f t="shared" si="26"/>
        <v>0</v>
      </c>
      <c r="V459" s="89">
        <f t="shared" si="27"/>
        <v>0</v>
      </c>
      <c r="W459" s="89">
        <f t="shared" si="28"/>
        <v>0</v>
      </c>
      <c r="X459" s="89">
        <f t="shared" si="29"/>
        <v>0</v>
      </c>
    </row>
    <row r="460" spans="1:25" ht="15.75" customHeight="1">
      <c r="A460" s="88" t="str">
        <f>+IF(BASE!B464="","",BASE!B464)</f>
        <v/>
      </c>
      <c r="B460" s="121" t="s">
        <v>40</v>
      </c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90"/>
      <c r="R460" s="91">
        <f t="shared" si="24"/>
        <v>0</v>
      </c>
      <c r="S460" s="91">
        <f>BASE!A464</f>
        <v>449</v>
      </c>
      <c r="T460" s="89">
        <f t="shared" si="25"/>
        <v>0</v>
      </c>
      <c r="U460" s="89">
        <f t="shared" si="26"/>
        <v>0</v>
      </c>
      <c r="V460" s="89">
        <f t="shared" si="27"/>
        <v>0</v>
      </c>
      <c r="W460" s="89">
        <f t="shared" si="28"/>
        <v>0</v>
      </c>
      <c r="X460" s="89">
        <f t="shared" si="29"/>
        <v>0</v>
      </c>
    </row>
    <row r="461" spans="1:25" ht="15.75" customHeight="1">
      <c r="A461" s="88" t="str">
        <f>+IF(BASE!B465="","",BASE!B465)</f>
        <v/>
      </c>
      <c r="B461" s="121" t="s">
        <v>40</v>
      </c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90"/>
      <c r="R461" s="91">
        <f t="shared" si="24"/>
        <v>0</v>
      </c>
      <c r="S461" s="91">
        <f>BASE!A465</f>
        <v>450</v>
      </c>
      <c r="T461" s="89">
        <f t="shared" si="25"/>
        <v>0</v>
      </c>
      <c r="U461" s="89">
        <f t="shared" si="26"/>
        <v>0</v>
      </c>
      <c r="V461" s="89">
        <f t="shared" si="27"/>
        <v>0</v>
      </c>
      <c r="W461" s="89">
        <f t="shared" si="28"/>
        <v>0</v>
      </c>
      <c r="X461" s="89">
        <f t="shared" si="29"/>
        <v>0</v>
      </c>
    </row>
    <row r="462" spans="1:25" ht="15.75" customHeight="1"/>
    <row r="463" spans="1:25" ht="15.75" customHeight="1"/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</sheetData>
  <sheetProtection password="CC28" sheet="1" objects="1" scenarios="1" deleteColumns="0" deleteRows="0"/>
  <mergeCells count="33">
    <mergeCell ref="U7:X7"/>
    <mergeCell ref="R9:R11"/>
    <mergeCell ref="S9:S11"/>
    <mergeCell ref="T11:X11"/>
    <mergeCell ref="C5:F5"/>
    <mergeCell ref="G5:R5"/>
    <mergeCell ref="S5:T5"/>
    <mergeCell ref="U5:X5"/>
    <mergeCell ref="C6:F6"/>
    <mergeCell ref="U6:V6"/>
    <mergeCell ref="K6:M6"/>
    <mergeCell ref="O6:R6"/>
    <mergeCell ref="C7:F7"/>
    <mergeCell ref="G7:J7"/>
    <mergeCell ref="A9:A11"/>
    <mergeCell ref="O4:R4"/>
    <mergeCell ref="S4:T4"/>
    <mergeCell ref="C4:F4"/>
    <mergeCell ref="L7:N7"/>
    <mergeCell ref="O7:P7"/>
    <mergeCell ref="S6:T6"/>
    <mergeCell ref="G6:H6"/>
    <mergeCell ref="I6:J6"/>
    <mergeCell ref="S7:T7"/>
    <mergeCell ref="U4:X4"/>
    <mergeCell ref="G4:J4"/>
    <mergeCell ref="K4:N4"/>
    <mergeCell ref="A1:R1"/>
    <mergeCell ref="S1:X1"/>
    <mergeCell ref="A2:R2"/>
    <mergeCell ref="S2:X2"/>
    <mergeCell ref="A3:R3"/>
    <mergeCell ref="S3:X3"/>
  </mergeCells>
  <dataValidations count="2">
    <dataValidation type="decimal" allowBlank="1" showErrorMessage="1" sqref="C12:L461">
      <formula1>0</formula1>
      <formula2>2</formula2>
    </dataValidation>
    <dataValidation type="decimal" allowBlank="1" showErrorMessage="1" sqref="M12:P461">
      <formula1>0</formula1>
      <formula2>10</formula2>
    </dataValidation>
  </dataValidations>
  <printOptions horizontalCentered="1"/>
  <pageMargins left="0" right="0" top="0.5" bottom="0.5" header="0" footer="0"/>
  <pageSetup paperSize="9" orientation="portrait"/>
  <rowBreaks count="4" manualBreakCount="4">
    <brk id="43" man="1"/>
    <brk id="75" man="1"/>
    <brk id="206" man="1"/>
    <brk id="174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Y998"/>
  <sheetViews>
    <sheetView workbookViewId="0">
      <selection activeCell="U5" sqref="U5:X5"/>
    </sheetView>
  </sheetViews>
  <sheetFormatPr defaultColWidth="14.42578125" defaultRowHeight="15" customHeight="1"/>
  <cols>
    <col min="1" max="1" width="20.42578125" customWidth="1"/>
    <col min="2" max="2" width="7.7109375" customWidth="1"/>
    <col min="3" max="16" width="6.28515625" customWidth="1"/>
    <col min="17" max="17" width="4.140625" customWidth="1"/>
    <col min="18" max="18" width="9.42578125" customWidth="1"/>
    <col min="19" max="24" width="11.28515625" customWidth="1"/>
    <col min="25" max="25" width="9.140625" customWidth="1"/>
  </cols>
  <sheetData>
    <row r="1" spans="1:25" ht="23.25" customHeight="1">
      <c r="A1" s="259">
        <f>BASE!A7</f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6"/>
      <c r="S1" s="259">
        <f>BASE!A7</f>
        <v>0</v>
      </c>
      <c r="T1" s="195"/>
      <c r="U1" s="195"/>
      <c r="V1" s="195"/>
      <c r="W1" s="195"/>
      <c r="X1" s="196"/>
      <c r="Y1" s="26"/>
    </row>
    <row r="2" spans="1:25" ht="23.25" customHeight="1">
      <c r="A2" s="259" t="str">
        <f>+BASE!A8</f>
        <v>DEPARTMENT OF __________________________________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6"/>
      <c r="S2" s="259" t="str">
        <f>BASE!A8</f>
        <v>DEPARTMENT OF __________________________________</v>
      </c>
      <c r="T2" s="195"/>
      <c r="U2" s="195"/>
      <c r="V2" s="195"/>
      <c r="W2" s="195"/>
      <c r="X2" s="196"/>
      <c r="Y2" s="26"/>
    </row>
    <row r="3" spans="1:25" ht="23.25" customHeight="1">
      <c r="A3" s="259" t="str">
        <f>+BASE!A9</f>
        <v>THEORY CUM PRACTICAL COURSE OUTCOME ANALYSIS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6"/>
      <c r="S3" s="259" t="str">
        <f>BASE!A9</f>
        <v>THEORY CUM PRACTICAL COURSE OUTCOME ANALYSIS</v>
      </c>
      <c r="T3" s="195"/>
      <c r="U3" s="195"/>
      <c r="V3" s="195"/>
      <c r="W3" s="195"/>
      <c r="X3" s="196"/>
      <c r="Y3" s="26"/>
    </row>
    <row r="4" spans="1:25" ht="47.25" customHeight="1">
      <c r="A4" s="27" t="str">
        <f>BASE!A11</f>
        <v>Name of Faculty(s)</v>
      </c>
      <c r="B4" s="6" t="s">
        <v>40</v>
      </c>
      <c r="C4" s="188">
        <f>BASE!D11</f>
        <v>1</v>
      </c>
      <c r="D4" s="189"/>
      <c r="E4" s="189"/>
      <c r="F4" s="190"/>
      <c r="G4" s="188">
        <f>BASE!G11</f>
        <v>1</v>
      </c>
      <c r="H4" s="189"/>
      <c r="I4" s="189"/>
      <c r="J4" s="190"/>
      <c r="K4" s="188">
        <f>BASE!J11</f>
        <v>1</v>
      </c>
      <c r="L4" s="189"/>
      <c r="M4" s="189"/>
      <c r="N4" s="190"/>
      <c r="O4" s="262">
        <f>BASE!M11</f>
        <v>1</v>
      </c>
      <c r="P4" s="189"/>
      <c r="Q4" s="189"/>
      <c r="R4" s="190"/>
      <c r="S4" s="188" t="s">
        <v>41</v>
      </c>
      <c r="T4" s="190"/>
      <c r="U4" s="258" t="str">
        <f>BASE!D12</f>
        <v>22ABXCXX</v>
      </c>
      <c r="V4" s="189"/>
      <c r="W4" s="189"/>
      <c r="X4" s="190"/>
      <c r="Y4" s="28"/>
    </row>
    <row r="5" spans="1:25" ht="39" customHeight="1">
      <c r="A5" s="33" t="str">
        <f>BASE!A12</f>
        <v>Course Code and Name</v>
      </c>
      <c r="B5" s="6" t="s">
        <v>40</v>
      </c>
      <c r="C5" s="188" t="str">
        <f>BASE!D12</f>
        <v>22ABXCXX</v>
      </c>
      <c r="D5" s="189"/>
      <c r="E5" s="189"/>
      <c r="F5" s="190"/>
      <c r="G5" s="188" t="str">
        <f>BASE!G12</f>
        <v>XXXXXXXX XXXXX XXXXXXXX</v>
      </c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264"/>
      <c r="S5" s="258" t="s">
        <v>42</v>
      </c>
      <c r="T5" s="190"/>
      <c r="U5" s="188" t="str">
        <f>BASE!G12</f>
        <v>XXXXXXXX XXXXX XXXXXXXX</v>
      </c>
      <c r="V5" s="189"/>
      <c r="W5" s="189"/>
      <c r="X5" s="190"/>
      <c r="Y5" s="28"/>
    </row>
    <row r="6" spans="1:25" ht="51" customHeight="1">
      <c r="A6" s="33" t="str">
        <f>BASE!A13</f>
        <v>Branch / Year / Semester</v>
      </c>
      <c r="B6" s="6" t="s">
        <v>40</v>
      </c>
      <c r="C6" s="272" t="str">
        <f>+BASE!D13</f>
        <v>abcd</v>
      </c>
      <c r="D6" s="273"/>
      <c r="E6" s="273"/>
      <c r="F6" s="274"/>
      <c r="G6" s="258">
        <f>BASE!H13</f>
        <v>1</v>
      </c>
      <c r="H6" s="190"/>
      <c r="I6" s="258" t="str">
        <f>BASE!L13</f>
        <v>IV</v>
      </c>
      <c r="J6" s="190"/>
      <c r="K6" s="258" t="s">
        <v>43</v>
      </c>
      <c r="L6" s="189"/>
      <c r="M6" s="190"/>
      <c r="N6" s="29" t="s">
        <v>40</v>
      </c>
      <c r="O6" s="269"/>
      <c r="P6" s="192"/>
      <c r="Q6" s="192"/>
      <c r="R6" s="193"/>
      <c r="S6" s="263" t="str">
        <f>BASE!A13</f>
        <v>Branch / Year / Semester</v>
      </c>
      <c r="T6" s="190"/>
      <c r="U6" s="258" t="str">
        <f>BASE!D13</f>
        <v>abcd</v>
      </c>
      <c r="V6" s="190"/>
      <c r="W6" s="6">
        <f>BASE!H13</f>
        <v>1</v>
      </c>
      <c r="X6" s="6" t="str">
        <f>BASE!L13</f>
        <v>IV</v>
      </c>
      <c r="Y6" s="28"/>
    </row>
    <row r="7" spans="1:25" ht="51" customHeight="1">
      <c r="A7" s="27" t="s">
        <v>44</v>
      </c>
      <c r="B7" s="6" t="s">
        <v>40</v>
      </c>
      <c r="C7" s="275" t="s">
        <v>58</v>
      </c>
      <c r="D7" s="189"/>
      <c r="E7" s="189"/>
      <c r="F7" s="190"/>
      <c r="G7" s="270" t="s">
        <v>133</v>
      </c>
      <c r="H7" s="189"/>
      <c r="I7" s="189"/>
      <c r="J7" s="190"/>
      <c r="K7" s="30" t="s">
        <v>40</v>
      </c>
      <c r="L7" s="265">
        <f>ROWS(A12:A480)-COUNTIF(A12:A480,"")</f>
        <v>421</v>
      </c>
      <c r="M7" s="189"/>
      <c r="N7" s="190"/>
      <c r="O7" s="266" t="s">
        <v>46</v>
      </c>
      <c r="P7" s="190"/>
      <c r="Q7" s="30" t="s">
        <v>40</v>
      </c>
      <c r="R7" s="156"/>
      <c r="S7" s="263" t="str">
        <f>A7</f>
        <v xml:space="preserve">Continuous Assessment Test </v>
      </c>
      <c r="T7" s="190"/>
      <c r="U7" s="258" t="str">
        <f>C7</f>
        <v>III</v>
      </c>
      <c r="V7" s="189"/>
      <c r="W7" s="189"/>
      <c r="X7" s="190"/>
      <c r="Y7" s="28"/>
    </row>
    <row r="8" spans="1:25" ht="21" customHeight="1">
      <c r="A8" s="31"/>
      <c r="B8" s="32"/>
      <c r="C8" s="15"/>
      <c r="D8" s="15"/>
      <c r="E8" s="15"/>
      <c r="F8" s="15"/>
      <c r="G8" s="15"/>
      <c r="H8" s="15"/>
      <c r="I8" s="16"/>
      <c r="J8" s="16"/>
      <c r="K8" s="16"/>
      <c r="L8" s="16"/>
      <c r="M8" s="16"/>
      <c r="N8" s="16"/>
      <c r="O8" s="16"/>
      <c r="P8" s="16"/>
      <c r="Q8" s="16"/>
      <c r="R8" s="14"/>
      <c r="S8" s="15"/>
      <c r="T8" s="28"/>
      <c r="U8" s="28"/>
      <c r="V8" s="28"/>
      <c r="W8" s="28"/>
      <c r="X8" s="28"/>
      <c r="Y8" s="28"/>
    </row>
    <row r="9" spans="1:25" ht="22.5" customHeight="1">
      <c r="A9" s="260" t="s">
        <v>47</v>
      </c>
      <c r="B9" s="91" t="s">
        <v>48</v>
      </c>
      <c r="C9" s="89">
        <v>1</v>
      </c>
      <c r="D9" s="89">
        <v>2</v>
      </c>
      <c r="E9" s="89">
        <v>3</v>
      </c>
      <c r="F9" s="89">
        <v>4</v>
      </c>
      <c r="G9" s="89">
        <v>5</v>
      </c>
      <c r="H9" s="89">
        <v>6</v>
      </c>
      <c r="I9" s="89">
        <v>7</v>
      </c>
      <c r="J9" s="89">
        <v>8</v>
      </c>
      <c r="K9" s="89">
        <v>9</v>
      </c>
      <c r="L9" s="89">
        <v>10</v>
      </c>
      <c r="M9" s="89">
        <v>11</v>
      </c>
      <c r="N9" s="89">
        <v>12</v>
      </c>
      <c r="O9" s="89">
        <v>13</v>
      </c>
      <c r="P9" s="89">
        <v>14</v>
      </c>
      <c r="Q9" s="89"/>
      <c r="R9" s="260" t="s">
        <v>49</v>
      </c>
      <c r="S9" s="260" t="s">
        <v>50</v>
      </c>
      <c r="T9" s="91" t="s">
        <v>51</v>
      </c>
      <c r="U9" s="91" t="s">
        <v>52</v>
      </c>
      <c r="V9" s="91" t="s">
        <v>53</v>
      </c>
      <c r="W9" s="91" t="s">
        <v>54</v>
      </c>
      <c r="X9" s="91" t="s">
        <v>55</v>
      </c>
      <c r="Y9" s="28"/>
    </row>
    <row r="10" spans="1:25" ht="40.5" customHeight="1">
      <c r="A10" s="261"/>
      <c r="B10" s="92" t="s">
        <v>56</v>
      </c>
      <c r="C10" s="91">
        <v>2</v>
      </c>
      <c r="D10" s="91">
        <v>2</v>
      </c>
      <c r="E10" s="91">
        <v>2</v>
      </c>
      <c r="F10" s="91">
        <v>2</v>
      </c>
      <c r="G10" s="91">
        <v>2</v>
      </c>
      <c r="H10" s="91">
        <v>2</v>
      </c>
      <c r="I10" s="91">
        <v>2</v>
      </c>
      <c r="J10" s="91">
        <v>2</v>
      </c>
      <c r="K10" s="91">
        <v>2</v>
      </c>
      <c r="L10" s="91">
        <v>2</v>
      </c>
      <c r="M10" s="91">
        <v>10</v>
      </c>
      <c r="N10" s="91">
        <v>10</v>
      </c>
      <c r="O10" s="91">
        <v>10</v>
      </c>
      <c r="P10" s="91">
        <v>10</v>
      </c>
      <c r="Q10" s="91"/>
      <c r="R10" s="261"/>
      <c r="S10" s="261"/>
      <c r="T10" s="89">
        <f>SUMIF($C$11:$Q$11,1,C10:Q10)</f>
        <v>0</v>
      </c>
      <c r="U10" s="89">
        <f>SUMIF($C$11:$Q$11,2,C10:Q10)</f>
        <v>0</v>
      </c>
      <c r="V10" s="89">
        <f>SUMIF($C$11:$Q$11,3,C10:Q10)</f>
        <v>0</v>
      </c>
      <c r="W10" s="89">
        <f>SUMIF($C$11:$Q$11,4,C10:Q10)</f>
        <v>30</v>
      </c>
      <c r="X10" s="89">
        <f>SUMIF($C$11:$Q$11,5,C10:Q10)</f>
        <v>30</v>
      </c>
      <c r="Y10" s="28"/>
    </row>
    <row r="11" spans="1:25" ht="22.5" customHeight="1">
      <c r="A11" s="261"/>
      <c r="B11" s="91" t="s">
        <v>57</v>
      </c>
      <c r="C11" s="157">
        <v>4</v>
      </c>
      <c r="D11" s="157">
        <v>4</v>
      </c>
      <c r="E11" s="157">
        <v>4</v>
      </c>
      <c r="F11" s="157">
        <v>4</v>
      </c>
      <c r="G11" s="157">
        <v>4</v>
      </c>
      <c r="H11" s="157">
        <v>5</v>
      </c>
      <c r="I11" s="157">
        <v>5</v>
      </c>
      <c r="J11" s="157">
        <v>5</v>
      </c>
      <c r="K11" s="157">
        <v>5</v>
      </c>
      <c r="L11" s="157">
        <v>5</v>
      </c>
      <c r="M11" s="157">
        <v>4</v>
      </c>
      <c r="N11" s="157">
        <v>4</v>
      </c>
      <c r="O11" s="157">
        <v>5</v>
      </c>
      <c r="P11" s="157">
        <v>5</v>
      </c>
      <c r="Q11" s="91"/>
      <c r="R11" s="261"/>
      <c r="S11" s="261"/>
      <c r="T11" s="267"/>
      <c r="U11" s="261"/>
      <c r="V11" s="261"/>
      <c r="W11" s="261"/>
      <c r="X11" s="261"/>
      <c r="Y11" s="28"/>
    </row>
    <row r="12" spans="1:25" ht="20.25" customHeight="1">
      <c r="A12" s="88" t="str">
        <f>+IF(BASE!B16="","",BASE!B16)</f>
        <v>23XXR001</v>
      </c>
      <c r="B12" s="121" t="s">
        <v>40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89"/>
      <c r="R12" s="91">
        <f t="shared" ref="R12:R252" si="0">SUM(C12:Q12)</f>
        <v>0</v>
      </c>
      <c r="S12" s="91">
        <f>BASE!A16</f>
        <v>1</v>
      </c>
      <c r="T12" s="89">
        <f t="shared" ref="T12:T252" si="1">SUMIF($C$11:$Q$11,1,C12:Q12)</f>
        <v>0</v>
      </c>
      <c r="U12" s="89">
        <f t="shared" ref="U12:U252" si="2">SUMIF($C$11:$Q$11,2,C12:Q12)</f>
        <v>0</v>
      </c>
      <c r="V12" s="89">
        <f t="shared" ref="V12:V252" si="3">SUMIF($C$11:$Q$11,3,C12:Q12)</f>
        <v>0</v>
      </c>
      <c r="W12" s="89">
        <f t="shared" ref="W12:W252" si="4">SUMIF($C$11:$Q$11,4,C12:Q12)</f>
        <v>0</v>
      </c>
      <c r="X12" s="89">
        <f t="shared" ref="X12:X252" si="5">SUMIF($C$11:$Q$11,5,C12:Q12)</f>
        <v>0</v>
      </c>
      <c r="Y12" s="28"/>
    </row>
    <row r="13" spans="1:25" ht="20.25" customHeight="1">
      <c r="A13" s="88" t="str">
        <f>+IF(BASE!B17="","",BASE!B17)</f>
        <v>23XXR002</v>
      </c>
      <c r="B13" s="121" t="s">
        <v>40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89"/>
      <c r="R13" s="91">
        <f t="shared" si="0"/>
        <v>0</v>
      </c>
      <c r="S13" s="91">
        <f>BASE!A17</f>
        <v>2</v>
      </c>
      <c r="T13" s="89">
        <f t="shared" si="1"/>
        <v>0</v>
      </c>
      <c r="U13" s="89">
        <f t="shared" si="2"/>
        <v>0</v>
      </c>
      <c r="V13" s="89">
        <f t="shared" si="3"/>
        <v>0</v>
      </c>
      <c r="W13" s="89">
        <f t="shared" si="4"/>
        <v>0</v>
      </c>
      <c r="X13" s="89">
        <f t="shared" si="5"/>
        <v>0</v>
      </c>
      <c r="Y13" s="28"/>
    </row>
    <row r="14" spans="1:25" ht="20.25" customHeight="1">
      <c r="A14" s="88" t="str">
        <f>+IF(BASE!B18="","",BASE!B18)</f>
        <v>23XXR003</v>
      </c>
      <c r="B14" s="121" t="s">
        <v>40</v>
      </c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89"/>
      <c r="R14" s="91">
        <f t="shared" si="0"/>
        <v>0</v>
      </c>
      <c r="S14" s="91">
        <f>BASE!A18</f>
        <v>3</v>
      </c>
      <c r="T14" s="89">
        <f t="shared" si="1"/>
        <v>0</v>
      </c>
      <c r="U14" s="89">
        <f t="shared" si="2"/>
        <v>0</v>
      </c>
      <c r="V14" s="89">
        <f t="shared" si="3"/>
        <v>0</v>
      </c>
      <c r="W14" s="89">
        <f t="shared" si="4"/>
        <v>0</v>
      </c>
      <c r="X14" s="89">
        <f t="shared" si="5"/>
        <v>0</v>
      </c>
      <c r="Y14" s="28"/>
    </row>
    <row r="15" spans="1:25" ht="20.25" customHeight="1">
      <c r="A15" s="88" t="str">
        <f>+IF(BASE!B19="","",BASE!B19)</f>
        <v>23XXR004</v>
      </c>
      <c r="B15" s="121" t="s">
        <v>40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89"/>
      <c r="R15" s="91">
        <f t="shared" si="0"/>
        <v>0</v>
      </c>
      <c r="S15" s="91">
        <f>BASE!A19</f>
        <v>4</v>
      </c>
      <c r="T15" s="89">
        <f t="shared" si="1"/>
        <v>0</v>
      </c>
      <c r="U15" s="89">
        <f t="shared" si="2"/>
        <v>0</v>
      </c>
      <c r="V15" s="89">
        <f t="shared" si="3"/>
        <v>0</v>
      </c>
      <c r="W15" s="89">
        <f t="shared" si="4"/>
        <v>0</v>
      </c>
      <c r="X15" s="89">
        <f t="shared" si="5"/>
        <v>0</v>
      </c>
      <c r="Y15" s="28"/>
    </row>
    <row r="16" spans="1:25" ht="20.25" customHeight="1">
      <c r="A16" s="88" t="str">
        <f>+IF(BASE!B20="","",BASE!B20)</f>
        <v>23XXR005</v>
      </c>
      <c r="B16" s="121" t="s">
        <v>40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89"/>
      <c r="R16" s="91">
        <f t="shared" si="0"/>
        <v>0</v>
      </c>
      <c r="S16" s="91">
        <f>BASE!A20</f>
        <v>5</v>
      </c>
      <c r="T16" s="89">
        <f t="shared" si="1"/>
        <v>0</v>
      </c>
      <c r="U16" s="89">
        <f t="shared" si="2"/>
        <v>0</v>
      </c>
      <c r="V16" s="89">
        <f t="shared" si="3"/>
        <v>0</v>
      </c>
      <c r="W16" s="89">
        <f t="shared" si="4"/>
        <v>0</v>
      </c>
      <c r="X16" s="89">
        <f t="shared" si="5"/>
        <v>0</v>
      </c>
      <c r="Y16" s="28"/>
    </row>
    <row r="17" spans="1:25" ht="20.25" customHeight="1">
      <c r="A17" s="88" t="str">
        <f>+IF(BASE!B21="","",BASE!B21)</f>
        <v>23XXR006</v>
      </c>
      <c r="B17" s="121" t="s">
        <v>40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89"/>
      <c r="R17" s="91">
        <f t="shared" si="0"/>
        <v>0</v>
      </c>
      <c r="S17" s="91">
        <f>BASE!A21</f>
        <v>6</v>
      </c>
      <c r="T17" s="89">
        <f t="shared" si="1"/>
        <v>0</v>
      </c>
      <c r="U17" s="89">
        <f t="shared" si="2"/>
        <v>0</v>
      </c>
      <c r="V17" s="89">
        <f t="shared" si="3"/>
        <v>0</v>
      </c>
      <c r="W17" s="89">
        <f t="shared" si="4"/>
        <v>0</v>
      </c>
      <c r="X17" s="89">
        <f t="shared" si="5"/>
        <v>0</v>
      </c>
      <c r="Y17" s="28"/>
    </row>
    <row r="18" spans="1:25" ht="20.25" customHeight="1">
      <c r="A18" s="88" t="str">
        <f>+IF(BASE!B22="","",BASE!B22)</f>
        <v>23XXR007</v>
      </c>
      <c r="B18" s="121" t="s">
        <v>40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89"/>
      <c r="R18" s="91">
        <f t="shared" si="0"/>
        <v>0</v>
      </c>
      <c r="S18" s="91">
        <f>BASE!A22</f>
        <v>7</v>
      </c>
      <c r="T18" s="89">
        <f t="shared" si="1"/>
        <v>0</v>
      </c>
      <c r="U18" s="89">
        <f t="shared" si="2"/>
        <v>0</v>
      </c>
      <c r="V18" s="89">
        <f t="shared" si="3"/>
        <v>0</v>
      </c>
      <c r="W18" s="89">
        <f t="shared" si="4"/>
        <v>0</v>
      </c>
      <c r="X18" s="89">
        <f t="shared" si="5"/>
        <v>0</v>
      </c>
      <c r="Y18" s="28"/>
    </row>
    <row r="19" spans="1:25" ht="20.25" customHeight="1">
      <c r="A19" s="88" t="str">
        <f>+IF(BASE!B23="","",BASE!B23)</f>
        <v>23XXR008</v>
      </c>
      <c r="B19" s="121" t="s">
        <v>40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89"/>
      <c r="R19" s="91">
        <f t="shared" si="0"/>
        <v>0</v>
      </c>
      <c r="S19" s="91">
        <f>BASE!A23</f>
        <v>8</v>
      </c>
      <c r="T19" s="89">
        <f t="shared" si="1"/>
        <v>0</v>
      </c>
      <c r="U19" s="89">
        <f t="shared" si="2"/>
        <v>0</v>
      </c>
      <c r="V19" s="89">
        <f t="shared" si="3"/>
        <v>0</v>
      </c>
      <c r="W19" s="89">
        <f t="shared" si="4"/>
        <v>0</v>
      </c>
      <c r="X19" s="89">
        <f t="shared" si="5"/>
        <v>0</v>
      </c>
      <c r="Y19" s="28"/>
    </row>
    <row r="20" spans="1:25" ht="20.25" customHeight="1">
      <c r="A20" s="88" t="str">
        <f>+IF(BASE!B24="","",BASE!B24)</f>
        <v>23XXR009</v>
      </c>
      <c r="B20" s="121" t="s">
        <v>40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89"/>
      <c r="R20" s="91">
        <f t="shared" si="0"/>
        <v>0</v>
      </c>
      <c r="S20" s="91">
        <f>BASE!A24</f>
        <v>9</v>
      </c>
      <c r="T20" s="89">
        <f t="shared" si="1"/>
        <v>0</v>
      </c>
      <c r="U20" s="89">
        <f t="shared" si="2"/>
        <v>0</v>
      </c>
      <c r="V20" s="89">
        <f t="shared" si="3"/>
        <v>0</v>
      </c>
      <c r="W20" s="89">
        <f t="shared" si="4"/>
        <v>0</v>
      </c>
      <c r="X20" s="89">
        <f t="shared" si="5"/>
        <v>0</v>
      </c>
      <c r="Y20" s="28"/>
    </row>
    <row r="21" spans="1:25" ht="20.25" customHeight="1">
      <c r="A21" s="88" t="str">
        <f>+IF(BASE!B25="","",BASE!B25)</f>
        <v>23XXR010</v>
      </c>
      <c r="B21" s="121" t="s">
        <v>40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89"/>
      <c r="R21" s="91">
        <f t="shared" si="0"/>
        <v>0</v>
      </c>
      <c r="S21" s="91">
        <f>BASE!A25</f>
        <v>10</v>
      </c>
      <c r="T21" s="89">
        <f t="shared" si="1"/>
        <v>0</v>
      </c>
      <c r="U21" s="89">
        <f t="shared" si="2"/>
        <v>0</v>
      </c>
      <c r="V21" s="89">
        <f t="shared" si="3"/>
        <v>0</v>
      </c>
      <c r="W21" s="89">
        <f t="shared" si="4"/>
        <v>0</v>
      </c>
      <c r="X21" s="89">
        <f t="shared" si="5"/>
        <v>0</v>
      </c>
      <c r="Y21" s="28"/>
    </row>
    <row r="22" spans="1:25" ht="20.25" customHeight="1">
      <c r="A22" s="88" t="str">
        <f>+IF(BASE!B26="","",BASE!B26)</f>
        <v>23XXR011</v>
      </c>
      <c r="B22" s="121" t="s">
        <v>40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89"/>
      <c r="R22" s="91">
        <f t="shared" si="0"/>
        <v>0</v>
      </c>
      <c r="S22" s="91">
        <f>BASE!A26</f>
        <v>11</v>
      </c>
      <c r="T22" s="89">
        <f t="shared" si="1"/>
        <v>0</v>
      </c>
      <c r="U22" s="89">
        <f t="shared" si="2"/>
        <v>0</v>
      </c>
      <c r="V22" s="89">
        <f t="shared" si="3"/>
        <v>0</v>
      </c>
      <c r="W22" s="89">
        <f t="shared" si="4"/>
        <v>0</v>
      </c>
      <c r="X22" s="89">
        <f t="shared" si="5"/>
        <v>0</v>
      </c>
      <c r="Y22" s="28"/>
    </row>
    <row r="23" spans="1:25" ht="20.25" customHeight="1">
      <c r="A23" s="88" t="str">
        <f>+IF(BASE!B27="","",BASE!B27)</f>
        <v>23XXR012</v>
      </c>
      <c r="B23" s="121" t="s">
        <v>40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89"/>
      <c r="R23" s="91">
        <f t="shared" si="0"/>
        <v>0</v>
      </c>
      <c r="S23" s="91">
        <f>BASE!A27</f>
        <v>12</v>
      </c>
      <c r="T23" s="89">
        <f t="shared" si="1"/>
        <v>0</v>
      </c>
      <c r="U23" s="89">
        <f t="shared" si="2"/>
        <v>0</v>
      </c>
      <c r="V23" s="89">
        <f t="shared" si="3"/>
        <v>0</v>
      </c>
      <c r="W23" s="89">
        <f t="shared" si="4"/>
        <v>0</v>
      </c>
      <c r="X23" s="89">
        <f t="shared" si="5"/>
        <v>0</v>
      </c>
      <c r="Y23" s="28"/>
    </row>
    <row r="24" spans="1:25" ht="20.25" customHeight="1">
      <c r="A24" s="88" t="str">
        <f>+IF(BASE!B28="","",BASE!B28)</f>
        <v>23XXR013</v>
      </c>
      <c r="B24" s="121" t="s">
        <v>40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89"/>
      <c r="R24" s="91">
        <f t="shared" si="0"/>
        <v>0</v>
      </c>
      <c r="S24" s="91">
        <f>BASE!A28</f>
        <v>13</v>
      </c>
      <c r="T24" s="89">
        <f t="shared" si="1"/>
        <v>0</v>
      </c>
      <c r="U24" s="89">
        <f t="shared" si="2"/>
        <v>0</v>
      </c>
      <c r="V24" s="89">
        <f t="shared" si="3"/>
        <v>0</v>
      </c>
      <c r="W24" s="89">
        <f t="shared" si="4"/>
        <v>0</v>
      </c>
      <c r="X24" s="89">
        <f t="shared" si="5"/>
        <v>0</v>
      </c>
      <c r="Y24" s="28"/>
    </row>
    <row r="25" spans="1:25" ht="20.25" customHeight="1">
      <c r="A25" s="88" t="str">
        <f>+IF(BASE!B29="","",BASE!B29)</f>
        <v>23XXR014</v>
      </c>
      <c r="B25" s="121" t="s">
        <v>40</v>
      </c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89"/>
      <c r="R25" s="91">
        <f t="shared" si="0"/>
        <v>0</v>
      </c>
      <c r="S25" s="91">
        <f>BASE!A29</f>
        <v>14</v>
      </c>
      <c r="T25" s="89">
        <f t="shared" si="1"/>
        <v>0</v>
      </c>
      <c r="U25" s="89">
        <f t="shared" si="2"/>
        <v>0</v>
      </c>
      <c r="V25" s="89">
        <f t="shared" si="3"/>
        <v>0</v>
      </c>
      <c r="W25" s="89">
        <f t="shared" si="4"/>
        <v>0</v>
      </c>
      <c r="X25" s="89">
        <f t="shared" si="5"/>
        <v>0</v>
      </c>
      <c r="Y25" s="28"/>
    </row>
    <row r="26" spans="1:25" ht="20.25" customHeight="1">
      <c r="A26" s="88" t="str">
        <f>+IF(BASE!B30="","",BASE!B30)</f>
        <v>23XXR015</v>
      </c>
      <c r="B26" s="121" t="s">
        <v>40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89"/>
      <c r="R26" s="91">
        <f t="shared" si="0"/>
        <v>0</v>
      </c>
      <c r="S26" s="91">
        <f>BASE!A30</f>
        <v>15</v>
      </c>
      <c r="T26" s="89">
        <f t="shared" si="1"/>
        <v>0</v>
      </c>
      <c r="U26" s="89">
        <f t="shared" si="2"/>
        <v>0</v>
      </c>
      <c r="V26" s="89">
        <f t="shared" si="3"/>
        <v>0</v>
      </c>
      <c r="W26" s="89">
        <f t="shared" si="4"/>
        <v>0</v>
      </c>
      <c r="X26" s="89">
        <f t="shared" si="5"/>
        <v>0</v>
      </c>
      <c r="Y26" s="28"/>
    </row>
    <row r="27" spans="1:25" ht="20.25" customHeight="1">
      <c r="A27" s="88" t="str">
        <f>+IF(BASE!B31="","",BASE!B31)</f>
        <v>23XXR016</v>
      </c>
      <c r="B27" s="121" t="s">
        <v>40</v>
      </c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89"/>
      <c r="R27" s="91">
        <f t="shared" si="0"/>
        <v>0</v>
      </c>
      <c r="S27" s="91">
        <f>BASE!A31</f>
        <v>16</v>
      </c>
      <c r="T27" s="89">
        <f t="shared" si="1"/>
        <v>0</v>
      </c>
      <c r="U27" s="89">
        <f t="shared" si="2"/>
        <v>0</v>
      </c>
      <c r="V27" s="89">
        <f t="shared" si="3"/>
        <v>0</v>
      </c>
      <c r="W27" s="89">
        <f t="shared" si="4"/>
        <v>0</v>
      </c>
      <c r="X27" s="89">
        <f t="shared" si="5"/>
        <v>0</v>
      </c>
      <c r="Y27" s="28"/>
    </row>
    <row r="28" spans="1:25" ht="20.25" customHeight="1">
      <c r="A28" s="88" t="str">
        <f>+IF(BASE!B32="","",BASE!B32)</f>
        <v>23XXR017</v>
      </c>
      <c r="B28" s="121" t="s">
        <v>40</v>
      </c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89"/>
      <c r="R28" s="91">
        <f t="shared" si="0"/>
        <v>0</v>
      </c>
      <c r="S28" s="91">
        <f>BASE!A32</f>
        <v>17</v>
      </c>
      <c r="T28" s="89">
        <f t="shared" si="1"/>
        <v>0</v>
      </c>
      <c r="U28" s="89">
        <f t="shared" si="2"/>
        <v>0</v>
      </c>
      <c r="V28" s="89">
        <f t="shared" si="3"/>
        <v>0</v>
      </c>
      <c r="W28" s="89">
        <f t="shared" si="4"/>
        <v>0</v>
      </c>
      <c r="X28" s="89">
        <f t="shared" si="5"/>
        <v>0</v>
      </c>
      <c r="Y28" s="28"/>
    </row>
    <row r="29" spans="1:25" ht="20.25" customHeight="1">
      <c r="A29" s="88" t="str">
        <f>+IF(BASE!B33="","",BASE!B33)</f>
        <v>23XXR018</v>
      </c>
      <c r="B29" s="121" t="s">
        <v>40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89"/>
      <c r="R29" s="91">
        <f t="shared" si="0"/>
        <v>0</v>
      </c>
      <c r="S29" s="91">
        <f>BASE!A33</f>
        <v>18</v>
      </c>
      <c r="T29" s="89">
        <f t="shared" si="1"/>
        <v>0</v>
      </c>
      <c r="U29" s="89">
        <f t="shared" si="2"/>
        <v>0</v>
      </c>
      <c r="V29" s="89">
        <f t="shared" si="3"/>
        <v>0</v>
      </c>
      <c r="W29" s="89">
        <f t="shared" si="4"/>
        <v>0</v>
      </c>
      <c r="X29" s="89">
        <f t="shared" si="5"/>
        <v>0</v>
      </c>
      <c r="Y29" s="28"/>
    </row>
    <row r="30" spans="1:25" ht="20.25" customHeight="1">
      <c r="A30" s="88" t="str">
        <f>+IF(BASE!B34="","",BASE!B34)</f>
        <v>23XXR019</v>
      </c>
      <c r="B30" s="121" t="s">
        <v>40</v>
      </c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89"/>
      <c r="R30" s="91">
        <f t="shared" si="0"/>
        <v>0</v>
      </c>
      <c r="S30" s="91">
        <f>BASE!A34</f>
        <v>19</v>
      </c>
      <c r="T30" s="89">
        <f t="shared" si="1"/>
        <v>0</v>
      </c>
      <c r="U30" s="89">
        <f t="shared" si="2"/>
        <v>0</v>
      </c>
      <c r="V30" s="89">
        <f t="shared" si="3"/>
        <v>0</v>
      </c>
      <c r="W30" s="89">
        <f t="shared" si="4"/>
        <v>0</v>
      </c>
      <c r="X30" s="89">
        <f t="shared" si="5"/>
        <v>0</v>
      </c>
      <c r="Y30" s="28"/>
    </row>
    <row r="31" spans="1:25" ht="20.25" customHeight="1">
      <c r="A31" s="88" t="str">
        <f>+IF(BASE!B35="","",BASE!B35)</f>
        <v>23XXR020</v>
      </c>
      <c r="B31" s="121" t="s">
        <v>40</v>
      </c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89"/>
      <c r="R31" s="91">
        <f t="shared" si="0"/>
        <v>0</v>
      </c>
      <c r="S31" s="91">
        <f>BASE!A35</f>
        <v>20</v>
      </c>
      <c r="T31" s="89">
        <f t="shared" si="1"/>
        <v>0</v>
      </c>
      <c r="U31" s="89">
        <f t="shared" si="2"/>
        <v>0</v>
      </c>
      <c r="V31" s="89">
        <f t="shared" si="3"/>
        <v>0</v>
      </c>
      <c r="W31" s="89">
        <f t="shared" si="4"/>
        <v>0</v>
      </c>
      <c r="X31" s="89">
        <f t="shared" si="5"/>
        <v>0</v>
      </c>
      <c r="Y31" s="28"/>
    </row>
    <row r="32" spans="1:25" ht="20.25" customHeight="1">
      <c r="A32" s="88" t="str">
        <f>+IF(BASE!B36="","",BASE!B36)</f>
        <v>23XXR021</v>
      </c>
      <c r="B32" s="121" t="s">
        <v>40</v>
      </c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89"/>
      <c r="R32" s="91">
        <f t="shared" si="0"/>
        <v>0</v>
      </c>
      <c r="S32" s="91">
        <f>BASE!A36</f>
        <v>21</v>
      </c>
      <c r="T32" s="89">
        <f t="shared" si="1"/>
        <v>0</v>
      </c>
      <c r="U32" s="89">
        <f t="shared" si="2"/>
        <v>0</v>
      </c>
      <c r="V32" s="89">
        <f t="shared" si="3"/>
        <v>0</v>
      </c>
      <c r="W32" s="89">
        <f t="shared" si="4"/>
        <v>0</v>
      </c>
      <c r="X32" s="89">
        <f t="shared" si="5"/>
        <v>0</v>
      </c>
      <c r="Y32" s="28"/>
    </row>
    <row r="33" spans="1:25" ht="20.25" customHeight="1">
      <c r="A33" s="88" t="str">
        <f>+IF(BASE!B37="","",BASE!B37)</f>
        <v>23XXR022</v>
      </c>
      <c r="B33" s="121" t="s">
        <v>40</v>
      </c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89"/>
      <c r="R33" s="91">
        <f t="shared" si="0"/>
        <v>0</v>
      </c>
      <c r="S33" s="91">
        <f>BASE!A37</f>
        <v>22</v>
      </c>
      <c r="T33" s="89">
        <f t="shared" si="1"/>
        <v>0</v>
      </c>
      <c r="U33" s="89">
        <f t="shared" si="2"/>
        <v>0</v>
      </c>
      <c r="V33" s="89">
        <f t="shared" si="3"/>
        <v>0</v>
      </c>
      <c r="W33" s="89">
        <f t="shared" si="4"/>
        <v>0</v>
      </c>
      <c r="X33" s="89">
        <f t="shared" si="5"/>
        <v>0</v>
      </c>
      <c r="Y33" s="28"/>
    </row>
    <row r="34" spans="1:25" ht="20.25" customHeight="1">
      <c r="A34" s="88" t="str">
        <f>+IF(BASE!B38="","",BASE!B38)</f>
        <v>23XXR023</v>
      </c>
      <c r="B34" s="121" t="s">
        <v>40</v>
      </c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89"/>
      <c r="R34" s="91">
        <f t="shared" si="0"/>
        <v>0</v>
      </c>
      <c r="S34" s="91">
        <f>BASE!A38</f>
        <v>23</v>
      </c>
      <c r="T34" s="89">
        <f t="shared" si="1"/>
        <v>0</v>
      </c>
      <c r="U34" s="89">
        <f t="shared" si="2"/>
        <v>0</v>
      </c>
      <c r="V34" s="89">
        <f t="shared" si="3"/>
        <v>0</v>
      </c>
      <c r="W34" s="89">
        <f t="shared" si="4"/>
        <v>0</v>
      </c>
      <c r="X34" s="89">
        <f t="shared" si="5"/>
        <v>0</v>
      </c>
      <c r="Y34" s="28"/>
    </row>
    <row r="35" spans="1:25" ht="20.25" customHeight="1">
      <c r="A35" s="88" t="str">
        <f>+IF(BASE!B39="","",BASE!B39)</f>
        <v>23XXR024</v>
      </c>
      <c r="B35" s="121" t="s">
        <v>40</v>
      </c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89"/>
      <c r="R35" s="91">
        <f t="shared" si="0"/>
        <v>0</v>
      </c>
      <c r="S35" s="91">
        <f>BASE!A39</f>
        <v>24</v>
      </c>
      <c r="T35" s="89">
        <f t="shared" si="1"/>
        <v>0</v>
      </c>
      <c r="U35" s="89">
        <f t="shared" si="2"/>
        <v>0</v>
      </c>
      <c r="V35" s="89">
        <f t="shared" si="3"/>
        <v>0</v>
      </c>
      <c r="W35" s="89">
        <f t="shared" si="4"/>
        <v>0</v>
      </c>
      <c r="X35" s="89">
        <f t="shared" si="5"/>
        <v>0</v>
      </c>
      <c r="Y35" s="28"/>
    </row>
    <row r="36" spans="1:25" ht="20.25" customHeight="1">
      <c r="A36" s="88" t="str">
        <f>+IF(BASE!B40="","",BASE!B40)</f>
        <v>23XXR025</v>
      </c>
      <c r="B36" s="121" t="s">
        <v>40</v>
      </c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89"/>
      <c r="R36" s="91">
        <f t="shared" si="0"/>
        <v>0</v>
      </c>
      <c r="S36" s="91">
        <f>BASE!A40</f>
        <v>25</v>
      </c>
      <c r="T36" s="89">
        <f t="shared" si="1"/>
        <v>0</v>
      </c>
      <c r="U36" s="89">
        <f t="shared" si="2"/>
        <v>0</v>
      </c>
      <c r="V36" s="89">
        <f t="shared" si="3"/>
        <v>0</v>
      </c>
      <c r="W36" s="89">
        <f t="shared" si="4"/>
        <v>0</v>
      </c>
      <c r="X36" s="89">
        <f t="shared" si="5"/>
        <v>0</v>
      </c>
      <c r="Y36" s="28"/>
    </row>
    <row r="37" spans="1:25" ht="20.25" customHeight="1">
      <c r="A37" s="88" t="str">
        <f>+IF(BASE!B41="","",BASE!B41)</f>
        <v>23XXR026</v>
      </c>
      <c r="B37" s="121" t="s">
        <v>40</v>
      </c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89"/>
      <c r="R37" s="91">
        <f t="shared" si="0"/>
        <v>0</v>
      </c>
      <c r="S37" s="91">
        <f>BASE!A41</f>
        <v>26</v>
      </c>
      <c r="T37" s="89">
        <f t="shared" si="1"/>
        <v>0</v>
      </c>
      <c r="U37" s="89">
        <f t="shared" si="2"/>
        <v>0</v>
      </c>
      <c r="V37" s="89">
        <f t="shared" si="3"/>
        <v>0</v>
      </c>
      <c r="W37" s="89">
        <f t="shared" si="4"/>
        <v>0</v>
      </c>
      <c r="X37" s="89">
        <f t="shared" si="5"/>
        <v>0</v>
      </c>
      <c r="Y37" s="28"/>
    </row>
    <row r="38" spans="1:25" ht="20.25" customHeight="1">
      <c r="A38" s="88" t="str">
        <f>+IF(BASE!B42="","",BASE!B42)</f>
        <v>23XXR027</v>
      </c>
      <c r="B38" s="121" t="s">
        <v>40</v>
      </c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89"/>
      <c r="R38" s="91">
        <f t="shared" si="0"/>
        <v>0</v>
      </c>
      <c r="S38" s="91">
        <f>BASE!A42</f>
        <v>27</v>
      </c>
      <c r="T38" s="89">
        <f t="shared" si="1"/>
        <v>0</v>
      </c>
      <c r="U38" s="89">
        <f t="shared" si="2"/>
        <v>0</v>
      </c>
      <c r="V38" s="89">
        <f t="shared" si="3"/>
        <v>0</v>
      </c>
      <c r="W38" s="89">
        <f t="shared" si="4"/>
        <v>0</v>
      </c>
      <c r="X38" s="89">
        <f t="shared" si="5"/>
        <v>0</v>
      </c>
      <c r="Y38" s="28"/>
    </row>
    <row r="39" spans="1:25" ht="20.25" customHeight="1">
      <c r="A39" s="88" t="str">
        <f>+IF(BASE!B43="","",BASE!B43)</f>
        <v>23XXR028</v>
      </c>
      <c r="B39" s="121" t="s">
        <v>40</v>
      </c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89"/>
      <c r="R39" s="91">
        <f t="shared" si="0"/>
        <v>0</v>
      </c>
      <c r="S39" s="91">
        <f>BASE!A43</f>
        <v>28</v>
      </c>
      <c r="T39" s="89">
        <f t="shared" si="1"/>
        <v>0</v>
      </c>
      <c r="U39" s="89">
        <f t="shared" si="2"/>
        <v>0</v>
      </c>
      <c r="V39" s="89">
        <f t="shared" si="3"/>
        <v>0</v>
      </c>
      <c r="W39" s="89">
        <f t="shared" si="4"/>
        <v>0</v>
      </c>
      <c r="X39" s="89">
        <f t="shared" si="5"/>
        <v>0</v>
      </c>
      <c r="Y39" s="28"/>
    </row>
    <row r="40" spans="1:25" ht="20.25" customHeight="1">
      <c r="A40" s="88" t="str">
        <f>+IF(BASE!B44="","",BASE!B44)</f>
        <v>23XXR029</v>
      </c>
      <c r="B40" s="121" t="s">
        <v>40</v>
      </c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89"/>
      <c r="R40" s="91">
        <f t="shared" si="0"/>
        <v>0</v>
      </c>
      <c r="S40" s="91">
        <f>BASE!A44</f>
        <v>29</v>
      </c>
      <c r="T40" s="89">
        <f t="shared" si="1"/>
        <v>0</v>
      </c>
      <c r="U40" s="89">
        <f t="shared" si="2"/>
        <v>0</v>
      </c>
      <c r="V40" s="89">
        <f t="shared" si="3"/>
        <v>0</v>
      </c>
      <c r="W40" s="89">
        <f t="shared" si="4"/>
        <v>0</v>
      </c>
      <c r="X40" s="89">
        <f t="shared" si="5"/>
        <v>0</v>
      </c>
      <c r="Y40" s="28"/>
    </row>
    <row r="41" spans="1:25" ht="20.25" customHeight="1">
      <c r="A41" s="88" t="str">
        <f>+IF(BASE!B45="","",BASE!B45)</f>
        <v>23XXR030</v>
      </c>
      <c r="B41" s="121" t="s">
        <v>40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89"/>
      <c r="R41" s="91">
        <f t="shared" si="0"/>
        <v>0</v>
      </c>
      <c r="S41" s="91">
        <f>BASE!A45</f>
        <v>30</v>
      </c>
      <c r="T41" s="89">
        <f t="shared" si="1"/>
        <v>0</v>
      </c>
      <c r="U41" s="89">
        <f t="shared" si="2"/>
        <v>0</v>
      </c>
      <c r="V41" s="89">
        <f t="shared" si="3"/>
        <v>0</v>
      </c>
      <c r="W41" s="89">
        <f t="shared" si="4"/>
        <v>0</v>
      </c>
      <c r="X41" s="89">
        <f t="shared" si="5"/>
        <v>0</v>
      </c>
      <c r="Y41" s="28"/>
    </row>
    <row r="42" spans="1:25" ht="20.25" customHeight="1">
      <c r="A42" s="88" t="str">
        <f>+IF(BASE!B46="","",BASE!B46)</f>
        <v>23XXR031</v>
      </c>
      <c r="B42" s="121" t="s">
        <v>40</v>
      </c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89"/>
      <c r="R42" s="91">
        <f t="shared" si="0"/>
        <v>0</v>
      </c>
      <c r="S42" s="91">
        <f>BASE!A46</f>
        <v>31</v>
      </c>
      <c r="T42" s="89">
        <f t="shared" si="1"/>
        <v>0</v>
      </c>
      <c r="U42" s="89">
        <f t="shared" si="2"/>
        <v>0</v>
      </c>
      <c r="V42" s="89">
        <f t="shared" si="3"/>
        <v>0</v>
      </c>
      <c r="W42" s="89">
        <f t="shared" si="4"/>
        <v>0</v>
      </c>
      <c r="X42" s="89">
        <f t="shared" si="5"/>
        <v>0</v>
      </c>
      <c r="Y42" s="28"/>
    </row>
    <row r="43" spans="1:25" ht="20.25" customHeight="1">
      <c r="A43" s="88" t="str">
        <f>+IF(BASE!B47="","",BASE!B47)</f>
        <v>23XXR032</v>
      </c>
      <c r="B43" s="121" t="s">
        <v>40</v>
      </c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89"/>
      <c r="R43" s="91">
        <f t="shared" si="0"/>
        <v>0</v>
      </c>
      <c r="S43" s="91">
        <f>BASE!A47</f>
        <v>32</v>
      </c>
      <c r="T43" s="89">
        <f t="shared" si="1"/>
        <v>0</v>
      </c>
      <c r="U43" s="89">
        <f t="shared" si="2"/>
        <v>0</v>
      </c>
      <c r="V43" s="89">
        <f t="shared" si="3"/>
        <v>0</v>
      </c>
      <c r="W43" s="89">
        <f t="shared" si="4"/>
        <v>0</v>
      </c>
      <c r="X43" s="89">
        <f t="shared" si="5"/>
        <v>0</v>
      </c>
      <c r="Y43" s="28"/>
    </row>
    <row r="44" spans="1:25" ht="20.25" customHeight="1">
      <c r="A44" s="88" t="str">
        <f>+IF(BASE!B48="","",BASE!B48)</f>
        <v>23XXR033</v>
      </c>
      <c r="B44" s="121" t="s">
        <v>40</v>
      </c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89"/>
      <c r="R44" s="91">
        <f t="shared" si="0"/>
        <v>0</v>
      </c>
      <c r="S44" s="91">
        <f>BASE!A48</f>
        <v>33</v>
      </c>
      <c r="T44" s="89">
        <f t="shared" si="1"/>
        <v>0</v>
      </c>
      <c r="U44" s="89">
        <f t="shared" si="2"/>
        <v>0</v>
      </c>
      <c r="V44" s="89">
        <f t="shared" si="3"/>
        <v>0</v>
      </c>
      <c r="W44" s="89">
        <f t="shared" si="4"/>
        <v>0</v>
      </c>
      <c r="X44" s="89">
        <f t="shared" si="5"/>
        <v>0</v>
      </c>
      <c r="Y44" s="28"/>
    </row>
    <row r="45" spans="1:25" ht="20.25" customHeight="1">
      <c r="A45" s="88" t="str">
        <f>+IF(BASE!B49="","",BASE!B49)</f>
        <v>23XXR034</v>
      </c>
      <c r="B45" s="121" t="s">
        <v>40</v>
      </c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89"/>
      <c r="R45" s="91">
        <f t="shared" si="0"/>
        <v>0</v>
      </c>
      <c r="S45" s="91">
        <f>BASE!A49</f>
        <v>34</v>
      </c>
      <c r="T45" s="89">
        <f t="shared" si="1"/>
        <v>0</v>
      </c>
      <c r="U45" s="89">
        <f t="shared" si="2"/>
        <v>0</v>
      </c>
      <c r="V45" s="89">
        <f t="shared" si="3"/>
        <v>0</v>
      </c>
      <c r="W45" s="89">
        <f t="shared" si="4"/>
        <v>0</v>
      </c>
      <c r="X45" s="89">
        <f t="shared" si="5"/>
        <v>0</v>
      </c>
      <c r="Y45" s="28"/>
    </row>
    <row r="46" spans="1:25" ht="20.25" customHeight="1">
      <c r="A46" s="88" t="str">
        <f>+IF(BASE!B50="","",BASE!B50)</f>
        <v>23XXR035</v>
      </c>
      <c r="B46" s="121" t="s">
        <v>40</v>
      </c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89"/>
      <c r="R46" s="91">
        <f t="shared" si="0"/>
        <v>0</v>
      </c>
      <c r="S46" s="91">
        <f>BASE!A50</f>
        <v>35</v>
      </c>
      <c r="T46" s="89">
        <f t="shared" si="1"/>
        <v>0</v>
      </c>
      <c r="U46" s="89">
        <f t="shared" si="2"/>
        <v>0</v>
      </c>
      <c r="V46" s="89">
        <f t="shared" si="3"/>
        <v>0</v>
      </c>
      <c r="W46" s="89">
        <f t="shared" si="4"/>
        <v>0</v>
      </c>
      <c r="X46" s="89">
        <f t="shared" si="5"/>
        <v>0</v>
      </c>
      <c r="Y46" s="28"/>
    </row>
    <row r="47" spans="1:25" ht="20.25" customHeight="1">
      <c r="A47" s="88" t="str">
        <f>+IF(BASE!B51="","",BASE!B51)</f>
        <v>23XXR036</v>
      </c>
      <c r="B47" s="121" t="s">
        <v>40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89"/>
      <c r="R47" s="91">
        <f t="shared" si="0"/>
        <v>0</v>
      </c>
      <c r="S47" s="91">
        <f>BASE!A51</f>
        <v>36</v>
      </c>
      <c r="T47" s="89">
        <f t="shared" si="1"/>
        <v>0</v>
      </c>
      <c r="U47" s="89">
        <f t="shared" si="2"/>
        <v>0</v>
      </c>
      <c r="V47" s="89">
        <f t="shared" si="3"/>
        <v>0</v>
      </c>
      <c r="W47" s="89">
        <f t="shared" si="4"/>
        <v>0</v>
      </c>
      <c r="X47" s="89">
        <f t="shared" si="5"/>
        <v>0</v>
      </c>
      <c r="Y47" s="28"/>
    </row>
    <row r="48" spans="1:25" ht="20.25" customHeight="1">
      <c r="A48" s="88" t="str">
        <f>+IF(BASE!B52="","",BASE!B52)</f>
        <v>23XXR037</v>
      </c>
      <c r="B48" s="121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89"/>
      <c r="R48" s="91">
        <f t="shared" si="0"/>
        <v>0</v>
      </c>
      <c r="S48" s="91">
        <f>BASE!A52</f>
        <v>37</v>
      </c>
      <c r="T48" s="89">
        <f t="shared" si="1"/>
        <v>0</v>
      </c>
      <c r="U48" s="89">
        <f t="shared" si="2"/>
        <v>0</v>
      </c>
      <c r="V48" s="89">
        <f t="shared" si="3"/>
        <v>0</v>
      </c>
      <c r="W48" s="89">
        <f t="shared" si="4"/>
        <v>0</v>
      </c>
      <c r="X48" s="89">
        <f t="shared" si="5"/>
        <v>0</v>
      </c>
      <c r="Y48" s="28"/>
    </row>
    <row r="49" spans="1:25" ht="20.25" customHeight="1">
      <c r="A49" s="88" t="str">
        <f>+IF(BASE!B53="","",BASE!B53)</f>
        <v>23XXR038</v>
      </c>
      <c r="B49" s="121" t="s">
        <v>40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89"/>
      <c r="R49" s="91">
        <f t="shared" si="0"/>
        <v>0</v>
      </c>
      <c r="S49" s="91">
        <f>BASE!A53</f>
        <v>38</v>
      </c>
      <c r="T49" s="89">
        <f t="shared" si="1"/>
        <v>0</v>
      </c>
      <c r="U49" s="89">
        <f t="shared" si="2"/>
        <v>0</v>
      </c>
      <c r="V49" s="89">
        <f t="shared" si="3"/>
        <v>0</v>
      </c>
      <c r="W49" s="89">
        <f t="shared" si="4"/>
        <v>0</v>
      </c>
      <c r="X49" s="89">
        <f t="shared" si="5"/>
        <v>0</v>
      </c>
      <c r="Y49" s="28"/>
    </row>
    <row r="50" spans="1:25" ht="20.25" customHeight="1">
      <c r="A50" s="88" t="str">
        <f>+IF(BASE!B54="","",BASE!B54)</f>
        <v>23XXR039</v>
      </c>
      <c r="B50" s="121" t="s">
        <v>40</v>
      </c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89"/>
      <c r="R50" s="91">
        <f t="shared" si="0"/>
        <v>0</v>
      </c>
      <c r="S50" s="91">
        <f>BASE!A54</f>
        <v>39</v>
      </c>
      <c r="T50" s="89">
        <f t="shared" si="1"/>
        <v>0</v>
      </c>
      <c r="U50" s="89">
        <f t="shared" si="2"/>
        <v>0</v>
      </c>
      <c r="V50" s="89">
        <f t="shared" si="3"/>
        <v>0</v>
      </c>
      <c r="W50" s="89">
        <f t="shared" si="4"/>
        <v>0</v>
      </c>
      <c r="X50" s="89">
        <f t="shared" si="5"/>
        <v>0</v>
      </c>
      <c r="Y50" s="28"/>
    </row>
    <row r="51" spans="1:25" ht="20.25" customHeight="1">
      <c r="A51" s="88" t="str">
        <f>+IF(BASE!B55="","",BASE!B55)</f>
        <v>23XXR040</v>
      </c>
      <c r="B51" s="121" t="s">
        <v>40</v>
      </c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89"/>
      <c r="R51" s="91">
        <f t="shared" si="0"/>
        <v>0</v>
      </c>
      <c r="S51" s="91">
        <f>BASE!A55</f>
        <v>40</v>
      </c>
      <c r="T51" s="89">
        <f t="shared" si="1"/>
        <v>0</v>
      </c>
      <c r="U51" s="89">
        <f t="shared" si="2"/>
        <v>0</v>
      </c>
      <c r="V51" s="89">
        <f t="shared" si="3"/>
        <v>0</v>
      </c>
      <c r="W51" s="89">
        <f t="shared" si="4"/>
        <v>0</v>
      </c>
      <c r="X51" s="89">
        <f t="shared" si="5"/>
        <v>0</v>
      </c>
      <c r="Y51" s="28"/>
    </row>
    <row r="52" spans="1:25" ht="20.25" customHeight="1">
      <c r="A52" s="88" t="str">
        <f>+IF(BASE!B56="","",BASE!B56)</f>
        <v>23XXR041</v>
      </c>
      <c r="B52" s="121" t="s">
        <v>40</v>
      </c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89"/>
      <c r="R52" s="91">
        <f t="shared" si="0"/>
        <v>0</v>
      </c>
      <c r="S52" s="91">
        <f>BASE!A56</f>
        <v>41</v>
      </c>
      <c r="T52" s="89">
        <f t="shared" si="1"/>
        <v>0</v>
      </c>
      <c r="U52" s="89">
        <f t="shared" si="2"/>
        <v>0</v>
      </c>
      <c r="V52" s="89">
        <f t="shared" si="3"/>
        <v>0</v>
      </c>
      <c r="W52" s="89">
        <f t="shared" si="4"/>
        <v>0</v>
      </c>
      <c r="X52" s="89">
        <f t="shared" si="5"/>
        <v>0</v>
      </c>
      <c r="Y52" s="28"/>
    </row>
    <row r="53" spans="1:25" ht="20.25" customHeight="1">
      <c r="A53" s="88" t="str">
        <f>+IF(BASE!B57="","",BASE!B57)</f>
        <v>23XXR042</v>
      </c>
      <c r="B53" s="121" t="s">
        <v>40</v>
      </c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89"/>
      <c r="R53" s="91">
        <f t="shared" si="0"/>
        <v>0</v>
      </c>
      <c r="S53" s="91">
        <f>BASE!A57</f>
        <v>42</v>
      </c>
      <c r="T53" s="89">
        <f t="shared" si="1"/>
        <v>0</v>
      </c>
      <c r="U53" s="89">
        <f t="shared" si="2"/>
        <v>0</v>
      </c>
      <c r="V53" s="89">
        <f t="shared" si="3"/>
        <v>0</v>
      </c>
      <c r="W53" s="89">
        <f t="shared" si="4"/>
        <v>0</v>
      </c>
      <c r="X53" s="89">
        <f t="shared" si="5"/>
        <v>0</v>
      </c>
      <c r="Y53" s="28"/>
    </row>
    <row r="54" spans="1:25" ht="20.25" customHeight="1">
      <c r="A54" s="88" t="str">
        <f>+IF(BASE!B58="","",BASE!B58)</f>
        <v>23XXR043</v>
      </c>
      <c r="B54" s="121" t="s">
        <v>40</v>
      </c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89"/>
      <c r="R54" s="91">
        <f t="shared" si="0"/>
        <v>0</v>
      </c>
      <c r="S54" s="91">
        <f>BASE!A58</f>
        <v>43</v>
      </c>
      <c r="T54" s="89">
        <f t="shared" si="1"/>
        <v>0</v>
      </c>
      <c r="U54" s="89">
        <f t="shared" si="2"/>
        <v>0</v>
      </c>
      <c r="V54" s="89">
        <f t="shared" si="3"/>
        <v>0</v>
      </c>
      <c r="W54" s="89">
        <f t="shared" si="4"/>
        <v>0</v>
      </c>
      <c r="X54" s="89">
        <f t="shared" si="5"/>
        <v>0</v>
      </c>
      <c r="Y54" s="28"/>
    </row>
    <row r="55" spans="1:25" ht="20.25" customHeight="1">
      <c r="A55" s="88" t="str">
        <f>+IF(BASE!B59="","",BASE!B59)</f>
        <v>23XXR044</v>
      </c>
      <c r="B55" s="121" t="s">
        <v>40</v>
      </c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89"/>
      <c r="R55" s="91">
        <f t="shared" si="0"/>
        <v>0</v>
      </c>
      <c r="S55" s="91">
        <f>BASE!A59</f>
        <v>44</v>
      </c>
      <c r="T55" s="89">
        <f t="shared" si="1"/>
        <v>0</v>
      </c>
      <c r="U55" s="89">
        <f t="shared" si="2"/>
        <v>0</v>
      </c>
      <c r="V55" s="89">
        <f t="shared" si="3"/>
        <v>0</v>
      </c>
      <c r="W55" s="89">
        <f t="shared" si="4"/>
        <v>0</v>
      </c>
      <c r="X55" s="89">
        <f t="shared" si="5"/>
        <v>0</v>
      </c>
      <c r="Y55" s="28"/>
    </row>
    <row r="56" spans="1:25" ht="20.25" customHeight="1">
      <c r="A56" s="88" t="str">
        <f>+IF(BASE!B60="","",BASE!B60)</f>
        <v>23XXR045</v>
      </c>
      <c r="B56" s="121" t="s">
        <v>40</v>
      </c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89"/>
      <c r="R56" s="91">
        <f t="shared" si="0"/>
        <v>0</v>
      </c>
      <c r="S56" s="91">
        <f>BASE!A60</f>
        <v>45</v>
      </c>
      <c r="T56" s="89">
        <f t="shared" si="1"/>
        <v>0</v>
      </c>
      <c r="U56" s="89">
        <f t="shared" si="2"/>
        <v>0</v>
      </c>
      <c r="V56" s="89">
        <f t="shared" si="3"/>
        <v>0</v>
      </c>
      <c r="W56" s="89">
        <f t="shared" si="4"/>
        <v>0</v>
      </c>
      <c r="X56" s="89">
        <f t="shared" si="5"/>
        <v>0</v>
      </c>
      <c r="Y56" s="28"/>
    </row>
    <row r="57" spans="1:25" ht="20.25" customHeight="1">
      <c r="A57" s="88" t="str">
        <f>+IF(BASE!B61="","",BASE!B61)</f>
        <v>23XXR046</v>
      </c>
      <c r="B57" s="121" t="s">
        <v>40</v>
      </c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89"/>
      <c r="R57" s="91">
        <f t="shared" si="0"/>
        <v>0</v>
      </c>
      <c r="S57" s="91">
        <f>BASE!A61</f>
        <v>46</v>
      </c>
      <c r="T57" s="89">
        <f t="shared" si="1"/>
        <v>0</v>
      </c>
      <c r="U57" s="89">
        <f t="shared" si="2"/>
        <v>0</v>
      </c>
      <c r="V57" s="89">
        <f t="shared" si="3"/>
        <v>0</v>
      </c>
      <c r="W57" s="89">
        <f t="shared" si="4"/>
        <v>0</v>
      </c>
      <c r="X57" s="89">
        <f t="shared" si="5"/>
        <v>0</v>
      </c>
      <c r="Y57" s="28"/>
    </row>
    <row r="58" spans="1:25" ht="20.25" customHeight="1">
      <c r="A58" s="88" t="str">
        <f>+IF(BASE!B62="","",BASE!B62)</f>
        <v>23XXR047</v>
      </c>
      <c r="B58" s="121" t="s">
        <v>40</v>
      </c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89"/>
      <c r="R58" s="91">
        <f t="shared" si="0"/>
        <v>0</v>
      </c>
      <c r="S58" s="91">
        <f>BASE!A62</f>
        <v>47</v>
      </c>
      <c r="T58" s="89">
        <f t="shared" si="1"/>
        <v>0</v>
      </c>
      <c r="U58" s="89">
        <f t="shared" si="2"/>
        <v>0</v>
      </c>
      <c r="V58" s="89">
        <f t="shared" si="3"/>
        <v>0</v>
      </c>
      <c r="W58" s="89">
        <f t="shared" si="4"/>
        <v>0</v>
      </c>
      <c r="X58" s="89">
        <f t="shared" si="5"/>
        <v>0</v>
      </c>
      <c r="Y58" s="28"/>
    </row>
    <row r="59" spans="1:25" ht="20.25" customHeight="1">
      <c r="A59" s="88" t="str">
        <f>+IF(BASE!B63="","",BASE!B63)</f>
        <v>23XXR048</v>
      </c>
      <c r="B59" s="121" t="s">
        <v>40</v>
      </c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89"/>
      <c r="R59" s="91">
        <f t="shared" si="0"/>
        <v>0</v>
      </c>
      <c r="S59" s="91">
        <f>BASE!A63</f>
        <v>48</v>
      </c>
      <c r="T59" s="89">
        <f t="shared" si="1"/>
        <v>0</v>
      </c>
      <c r="U59" s="89">
        <f t="shared" si="2"/>
        <v>0</v>
      </c>
      <c r="V59" s="89">
        <f t="shared" si="3"/>
        <v>0</v>
      </c>
      <c r="W59" s="89">
        <f t="shared" si="4"/>
        <v>0</v>
      </c>
      <c r="X59" s="89">
        <f t="shared" si="5"/>
        <v>0</v>
      </c>
      <c r="Y59" s="28"/>
    </row>
    <row r="60" spans="1:25" ht="20.25" customHeight="1">
      <c r="A60" s="88" t="str">
        <f>+IF(BASE!B64="","",BASE!B64)</f>
        <v>23XXR049</v>
      </c>
      <c r="B60" s="121" t="s">
        <v>40</v>
      </c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89"/>
      <c r="R60" s="91">
        <f t="shared" si="0"/>
        <v>0</v>
      </c>
      <c r="S60" s="91">
        <f>BASE!A64</f>
        <v>49</v>
      </c>
      <c r="T60" s="89">
        <f t="shared" si="1"/>
        <v>0</v>
      </c>
      <c r="U60" s="89">
        <f t="shared" si="2"/>
        <v>0</v>
      </c>
      <c r="V60" s="89">
        <f t="shared" si="3"/>
        <v>0</v>
      </c>
      <c r="W60" s="89">
        <f t="shared" si="4"/>
        <v>0</v>
      </c>
      <c r="X60" s="89">
        <f t="shared" si="5"/>
        <v>0</v>
      </c>
      <c r="Y60" s="28"/>
    </row>
    <row r="61" spans="1:25" ht="20.25" customHeight="1">
      <c r="A61" s="88" t="str">
        <f>+IF(BASE!B65="","",BASE!B65)</f>
        <v>23XXR050</v>
      </c>
      <c r="B61" s="121" t="s">
        <v>40</v>
      </c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89"/>
      <c r="R61" s="91">
        <f t="shared" si="0"/>
        <v>0</v>
      </c>
      <c r="S61" s="91">
        <f>BASE!A65</f>
        <v>50</v>
      </c>
      <c r="T61" s="89">
        <f t="shared" si="1"/>
        <v>0</v>
      </c>
      <c r="U61" s="89">
        <f t="shared" si="2"/>
        <v>0</v>
      </c>
      <c r="V61" s="89">
        <f t="shared" si="3"/>
        <v>0</v>
      </c>
      <c r="W61" s="89">
        <f t="shared" si="4"/>
        <v>0</v>
      </c>
      <c r="X61" s="89">
        <f t="shared" si="5"/>
        <v>0</v>
      </c>
      <c r="Y61" s="28"/>
    </row>
    <row r="62" spans="1:25" ht="20.25" customHeight="1">
      <c r="A62" s="88" t="str">
        <f>+IF(BASE!B66="","",BASE!B66)</f>
        <v>23XXR051</v>
      </c>
      <c r="B62" s="121" t="s">
        <v>40</v>
      </c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89"/>
      <c r="R62" s="91">
        <f t="shared" si="0"/>
        <v>0</v>
      </c>
      <c r="S62" s="91">
        <f>BASE!A66</f>
        <v>51</v>
      </c>
      <c r="T62" s="89">
        <f t="shared" si="1"/>
        <v>0</v>
      </c>
      <c r="U62" s="89">
        <f t="shared" si="2"/>
        <v>0</v>
      </c>
      <c r="V62" s="89">
        <f t="shared" si="3"/>
        <v>0</v>
      </c>
      <c r="W62" s="89">
        <f t="shared" si="4"/>
        <v>0</v>
      </c>
      <c r="X62" s="89">
        <f t="shared" si="5"/>
        <v>0</v>
      </c>
      <c r="Y62" s="28"/>
    </row>
    <row r="63" spans="1:25" ht="20.25" customHeight="1">
      <c r="A63" s="88" t="str">
        <f>+IF(BASE!B67="","",BASE!B67)</f>
        <v>23XXR052</v>
      </c>
      <c r="B63" s="121" t="s">
        <v>40</v>
      </c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89"/>
      <c r="R63" s="91">
        <f t="shared" si="0"/>
        <v>0</v>
      </c>
      <c r="S63" s="91">
        <f>BASE!A67</f>
        <v>52</v>
      </c>
      <c r="T63" s="89">
        <f t="shared" si="1"/>
        <v>0</v>
      </c>
      <c r="U63" s="89">
        <f t="shared" si="2"/>
        <v>0</v>
      </c>
      <c r="V63" s="89">
        <f t="shared" si="3"/>
        <v>0</v>
      </c>
      <c r="W63" s="89">
        <f t="shared" si="4"/>
        <v>0</v>
      </c>
      <c r="X63" s="89">
        <f t="shared" si="5"/>
        <v>0</v>
      </c>
      <c r="Y63" s="28"/>
    </row>
    <row r="64" spans="1:25" ht="20.25" customHeight="1">
      <c r="A64" s="88" t="str">
        <f>+IF(BASE!B68="","",BASE!B68)</f>
        <v>23XXR053</v>
      </c>
      <c r="B64" s="121" t="s">
        <v>40</v>
      </c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89"/>
      <c r="R64" s="91">
        <f t="shared" si="0"/>
        <v>0</v>
      </c>
      <c r="S64" s="91">
        <f>BASE!A68</f>
        <v>53</v>
      </c>
      <c r="T64" s="89">
        <f t="shared" si="1"/>
        <v>0</v>
      </c>
      <c r="U64" s="89">
        <f t="shared" si="2"/>
        <v>0</v>
      </c>
      <c r="V64" s="89">
        <f t="shared" si="3"/>
        <v>0</v>
      </c>
      <c r="W64" s="89">
        <f t="shared" si="4"/>
        <v>0</v>
      </c>
      <c r="X64" s="89">
        <f t="shared" si="5"/>
        <v>0</v>
      </c>
      <c r="Y64" s="28"/>
    </row>
    <row r="65" spans="1:25" ht="20.25" customHeight="1">
      <c r="A65" s="88" t="str">
        <f>+IF(BASE!B69="","",BASE!B69)</f>
        <v>23XXR054</v>
      </c>
      <c r="B65" s="121" t="s">
        <v>40</v>
      </c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89"/>
      <c r="R65" s="91">
        <f t="shared" si="0"/>
        <v>0</v>
      </c>
      <c r="S65" s="91">
        <f>BASE!A69</f>
        <v>54</v>
      </c>
      <c r="T65" s="89">
        <f t="shared" si="1"/>
        <v>0</v>
      </c>
      <c r="U65" s="89">
        <f t="shared" si="2"/>
        <v>0</v>
      </c>
      <c r="V65" s="89">
        <f t="shared" si="3"/>
        <v>0</v>
      </c>
      <c r="W65" s="89">
        <f t="shared" si="4"/>
        <v>0</v>
      </c>
      <c r="X65" s="89">
        <f t="shared" si="5"/>
        <v>0</v>
      </c>
      <c r="Y65" s="28"/>
    </row>
    <row r="66" spans="1:25" ht="20.25" customHeight="1">
      <c r="A66" s="88" t="str">
        <f>+IF(BASE!B70="","",BASE!B70)</f>
        <v>23XXR055</v>
      </c>
      <c r="B66" s="121" t="s">
        <v>40</v>
      </c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89"/>
      <c r="R66" s="91">
        <f t="shared" si="0"/>
        <v>0</v>
      </c>
      <c r="S66" s="91">
        <f>BASE!A70</f>
        <v>55</v>
      </c>
      <c r="T66" s="89">
        <f t="shared" si="1"/>
        <v>0</v>
      </c>
      <c r="U66" s="89">
        <f t="shared" si="2"/>
        <v>0</v>
      </c>
      <c r="V66" s="89">
        <f t="shared" si="3"/>
        <v>0</v>
      </c>
      <c r="W66" s="89">
        <f t="shared" si="4"/>
        <v>0</v>
      </c>
      <c r="X66" s="89">
        <f t="shared" si="5"/>
        <v>0</v>
      </c>
      <c r="Y66" s="28"/>
    </row>
    <row r="67" spans="1:25" ht="20.25" customHeight="1">
      <c r="A67" s="88" t="str">
        <f>+IF(BASE!B71="","",BASE!B71)</f>
        <v>23XXR056</v>
      </c>
      <c r="B67" s="121" t="s">
        <v>40</v>
      </c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89"/>
      <c r="R67" s="91">
        <f t="shared" si="0"/>
        <v>0</v>
      </c>
      <c r="S67" s="91">
        <f>BASE!A71</f>
        <v>56</v>
      </c>
      <c r="T67" s="89">
        <f t="shared" si="1"/>
        <v>0</v>
      </c>
      <c r="U67" s="89">
        <f t="shared" si="2"/>
        <v>0</v>
      </c>
      <c r="V67" s="89">
        <f t="shared" si="3"/>
        <v>0</v>
      </c>
      <c r="W67" s="89">
        <f t="shared" si="4"/>
        <v>0</v>
      </c>
      <c r="X67" s="89">
        <f t="shared" si="5"/>
        <v>0</v>
      </c>
      <c r="Y67" s="28"/>
    </row>
    <row r="68" spans="1:25" ht="20.25" customHeight="1">
      <c r="A68" s="88" t="str">
        <f>+IF(BASE!B72="","",BASE!B72)</f>
        <v>23XXR057</v>
      </c>
      <c r="B68" s="121" t="s">
        <v>40</v>
      </c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89"/>
      <c r="R68" s="91">
        <f t="shared" si="0"/>
        <v>0</v>
      </c>
      <c r="S68" s="91">
        <f>BASE!A72</f>
        <v>57</v>
      </c>
      <c r="T68" s="89">
        <f t="shared" si="1"/>
        <v>0</v>
      </c>
      <c r="U68" s="89">
        <f t="shared" si="2"/>
        <v>0</v>
      </c>
      <c r="V68" s="89">
        <f t="shared" si="3"/>
        <v>0</v>
      </c>
      <c r="W68" s="89">
        <f t="shared" si="4"/>
        <v>0</v>
      </c>
      <c r="X68" s="89">
        <f t="shared" si="5"/>
        <v>0</v>
      </c>
      <c r="Y68" s="28"/>
    </row>
    <row r="69" spans="1:25" ht="20.25" customHeight="1">
      <c r="A69" s="88" t="str">
        <f>+IF(BASE!B73="","",BASE!B73)</f>
        <v>23XXR058</v>
      </c>
      <c r="B69" s="121" t="s">
        <v>40</v>
      </c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89"/>
      <c r="R69" s="91">
        <f t="shared" si="0"/>
        <v>0</v>
      </c>
      <c r="S69" s="91">
        <f>BASE!A73</f>
        <v>58</v>
      </c>
      <c r="T69" s="89">
        <f t="shared" si="1"/>
        <v>0</v>
      </c>
      <c r="U69" s="89">
        <f t="shared" si="2"/>
        <v>0</v>
      </c>
      <c r="V69" s="89">
        <f t="shared" si="3"/>
        <v>0</v>
      </c>
      <c r="W69" s="89">
        <f t="shared" si="4"/>
        <v>0</v>
      </c>
      <c r="X69" s="89">
        <f t="shared" si="5"/>
        <v>0</v>
      </c>
      <c r="Y69" s="28"/>
    </row>
    <row r="70" spans="1:25" ht="20.25" customHeight="1">
      <c r="A70" s="88" t="str">
        <f>+IF(BASE!B74="","",BASE!B74)</f>
        <v>23XXR059</v>
      </c>
      <c r="B70" s="121" t="s">
        <v>40</v>
      </c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89"/>
      <c r="R70" s="91">
        <f t="shared" si="0"/>
        <v>0</v>
      </c>
      <c r="S70" s="91">
        <f>BASE!A74</f>
        <v>59</v>
      </c>
      <c r="T70" s="89">
        <f t="shared" si="1"/>
        <v>0</v>
      </c>
      <c r="U70" s="89">
        <f t="shared" si="2"/>
        <v>0</v>
      </c>
      <c r="V70" s="89">
        <f t="shared" si="3"/>
        <v>0</v>
      </c>
      <c r="W70" s="89">
        <f t="shared" si="4"/>
        <v>0</v>
      </c>
      <c r="X70" s="89">
        <f t="shared" si="5"/>
        <v>0</v>
      </c>
      <c r="Y70" s="28"/>
    </row>
    <row r="71" spans="1:25" ht="20.25" customHeight="1">
      <c r="A71" s="88" t="str">
        <f>+IF(BASE!B75="","",BASE!B75)</f>
        <v>23XXR060</v>
      </c>
      <c r="B71" s="121" t="s">
        <v>40</v>
      </c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89"/>
      <c r="R71" s="91">
        <f t="shared" si="0"/>
        <v>0</v>
      </c>
      <c r="S71" s="91">
        <f>BASE!A75</f>
        <v>60</v>
      </c>
      <c r="T71" s="89">
        <f t="shared" si="1"/>
        <v>0</v>
      </c>
      <c r="U71" s="89">
        <f t="shared" si="2"/>
        <v>0</v>
      </c>
      <c r="V71" s="89">
        <f t="shared" si="3"/>
        <v>0</v>
      </c>
      <c r="W71" s="89">
        <f t="shared" si="4"/>
        <v>0</v>
      </c>
      <c r="X71" s="89">
        <f t="shared" si="5"/>
        <v>0</v>
      </c>
      <c r="Y71" s="28"/>
    </row>
    <row r="72" spans="1:25" ht="20.25" customHeight="1">
      <c r="A72" s="88" t="str">
        <f>+IF(BASE!B76="","",BASE!B76)</f>
        <v>23XXR061</v>
      </c>
      <c r="B72" s="121" t="s">
        <v>40</v>
      </c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89"/>
      <c r="R72" s="91">
        <f t="shared" si="0"/>
        <v>0</v>
      </c>
      <c r="S72" s="91">
        <f>BASE!A76</f>
        <v>61</v>
      </c>
      <c r="T72" s="89">
        <f t="shared" si="1"/>
        <v>0</v>
      </c>
      <c r="U72" s="89">
        <f t="shared" si="2"/>
        <v>0</v>
      </c>
      <c r="V72" s="89">
        <f t="shared" si="3"/>
        <v>0</v>
      </c>
      <c r="W72" s="89">
        <f t="shared" si="4"/>
        <v>0</v>
      </c>
      <c r="X72" s="89">
        <f t="shared" si="5"/>
        <v>0</v>
      </c>
      <c r="Y72" s="28"/>
    </row>
    <row r="73" spans="1:25" ht="20.25" customHeight="1">
      <c r="A73" s="88" t="str">
        <f>+IF(BASE!B77="","",BASE!B77)</f>
        <v>23XXR062</v>
      </c>
      <c r="B73" s="121" t="s">
        <v>40</v>
      </c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89"/>
      <c r="R73" s="91">
        <f t="shared" si="0"/>
        <v>0</v>
      </c>
      <c r="S73" s="91">
        <f>BASE!A77</f>
        <v>62</v>
      </c>
      <c r="T73" s="89">
        <f t="shared" si="1"/>
        <v>0</v>
      </c>
      <c r="U73" s="89">
        <f t="shared" si="2"/>
        <v>0</v>
      </c>
      <c r="V73" s="89">
        <f t="shared" si="3"/>
        <v>0</v>
      </c>
      <c r="W73" s="89">
        <f t="shared" si="4"/>
        <v>0</v>
      </c>
      <c r="X73" s="89">
        <f t="shared" si="5"/>
        <v>0</v>
      </c>
      <c r="Y73" s="28"/>
    </row>
    <row r="74" spans="1:25" ht="20.25" customHeight="1">
      <c r="A74" s="88" t="str">
        <f>+IF(BASE!B78="","",BASE!B78)</f>
        <v>23XXR063</v>
      </c>
      <c r="B74" s="121" t="s">
        <v>40</v>
      </c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89"/>
      <c r="R74" s="91">
        <f t="shared" si="0"/>
        <v>0</v>
      </c>
      <c r="S74" s="91">
        <f>BASE!A78</f>
        <v>63</v>
      </c>
      <c r="T74" s="89">
        <f t="shared" si="1"/>
        <v>0</v>
      </c>
      <c r="U74" s="89">
        <f t="shared" si="2"/>
        <v>0</v>
      </c>
      <c r="V74" s="89">
        <f t="shared" si="3"/>
        <v>0</v>
      </c>
      <c r="W74" s="89">
        <f t="shared" si="4"/>
        <v>0</v>
      </c>
      <c r="X74" s="89">
        <f t="shared" si="5"/>
        <v>0</v>
      </c>
      <c r="Y74" s="28"/>
    </row>
    <row r="75" spans="1:25" ht="20.25" customHeight="1">
      <c r="A75" s="88" t="str">
        <f>+IF(BASE!B79="","",BASE!B79)</f>
        <v>23XXR064</v>
      </c>
      <c r="B75" s="121" t="s">
        <v>40</v>
      </c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89"/>
      <c r="R75" s="91">
        <f t="shared" si="0"/>
        <v>0</v>
      </c>
      <c r="S75" s="91">
        <f>BASE!A79</f>
        <v>64</v>
      </c>
      <c r="T75" s="89">
        <f t="shared" si="1"/>
        <v>0</v>
      </c>
      <c r="U75" s="89">
        <f t="shared" si="2"/>
        <v>0</v>
      </c>
      <c r="V75" s="89">
        <f t="shared" si="3"/>
        <v>0</v>
      </c>
      <c r="W75" s="89">
        <f t="shared" si="4"/>
        <v>0</v>
      </c>
      <c r="X75" s="89">
        <f t="shared" si="5"/>
        <v>0</v>
      </c>
      <c r="Y75" s="28"/>
    </row>
    <row r="76" spans="1:25" ht="20.25" customHeight="1">
      <c r="A76" s="88" t="str">
        <f>+IF(BASE!B80="","",BASE!B80)</f>
        <v>23XXR065</v>
      </c>
      <c r="B76" s="121" t="s">
        <v>40</v>
      </c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89"/>
      <c r="R76" s="91">
        <f t="shared" si="0"/>
        <v>0</v>
      </c>
      <c r="S76" s="91">
        <f>BASE!A80</f>
        <v>65</v>
      </c>
      <c r="T76" s="89">
        <f t="shared" si="1"/>
        <v>0</v>
      </c>
      <c r="U76" s="89">
        <f t="shared" si="2"/>
        <v>0</v>
      </c>
      <c r="V76" s="89">
        <f t="shared" si="3"/>
        <v>0</v>
      </c>
      <c r="W76" s="89">
        <f t="shared" si="4"/>
        <v>0</v>
      </c>
      <c r="X76" s="89">
        <f t="shared" si="5"/>
        <v>0</v>
      </c>
      <c r="Y76" s="28"/>
    </row>
    <row r="77" spans="1:25" ht="20.25" customHeight="1">
      <c r="A77" s="88" t="str">
        <f>+IF(BASE!B81="","",BASE!B81)</f>
        <v>23XXR066</v>
      </c>
      <c r="B77" s="121" t="s">
        <v>40</v>
      </c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89"/>
      <c r="R77" s="91">
        <f t="shared" si="0"/>
        <v>0</v>
      </c>
      <c r="S77" s="91">
        <f>BASE!A81</f>
        <v>66</v>
      </c>
      <c r="T77" s="89">
        <f t="shared" si="1"/>
        <v>0</v>
      </c>
      <c r="U77" s="89">
        <f t="shared" si="2"/>
        <v>0</v>
      </c>
      <c r="V77" s="89">
        <f t="shared" si="3"/>
        <v>0</v>
      </c>
      <c r="W77" s="89">
        <f t="shared" si="4"/>
        <v>0</v>
      </c>
      <c r="X77" s="89">
        <f t="shared" si="5"/>
        <v>0</v>
      </c>
      <c r="Y77" s="28"/>
    </row>
    <row r="78" spans="1:25" ht="20.25" customHeight="1">
      <c r="A78" s="88" t="str">
        <f>+IF(BASE!B82="","",BASE!B82)</f>
        <v>23XXR067</v>
      </c>
      <c r="B78" s="121" t="s">
        <v>40</v>
      </c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89"/>
      <c r="R78" s="91">
        <f t="shared" si="0"/>
        <v>0</v>
      </c>
      <c r="S78" s="91">
        <f>BASE!A82</f>
        <v>67</v>
      </c>
      <c r="T78" s="89">
        <f t="shared" si="1"/>
        <v>0</v>
      </c>
      <c r="U78" s="89">
        <f t="shared" si="2"/>
        <v>0</v>
      </c>
      <c r="V78" s="89">
        <f t="shared" si="3"/>
        <v>0</v>
      </c>
      <c r="W78" s="89">
        <f t="shared" si="4"/>
        <v>0</v>
      </c>
      <c r="X78" s="89">
        <f t="shared" si="5"/>
        <v>0</v>
      </c>
      <c r="Y78" s="28"/>
    </row>
    <row r="79" spans="1:25" ht="20.25" customHeight="1">
      <c r="A79" s="88" t="str">
        <f>+IF(BASE!B83="","",BASE!B83)</f>
        <v>23XXR068</v>
      </c>
      <c r="B79" s="121" t="s">
        <v>40</v>
      </c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89"/>
      <c r="R79" s="91">
        <f t="shared" si="0"/>
        <v>0</v>
      </c>
      <c r="S79" s="91">
        <f>BASE!A83</f>
        <v>68</v>
      </c>
      <c r="T79" s="89">
        <f t="shared" si="1"/>
        <v>0</v>
      </c>
      <c r="U79" s="89">
        <f t="shared" si="2"/>
        <v>0</v>
      </c>
      <c r="V79" s="89">
        <f t="shared" si="3"/>
        <v>0</v>
      </c>
      <c r="W79" s="89">
        <f t="shared" si="4"/>
        <v>0</v>
      </c>
      <c r="X79" s="89">
        <f t="shared" si="5"/>
        <v>0</v>
      </c>
      <c r="Y79" s="28"/>
    </row>
    <row r="80" spans="1:25" ht="20.25" customHeight="1">
      <c r="A80" s="88" t="str">
        <f>+IF(BASE!B84="","",BASE!B84)</f>
        <v>23XXR069</v>
      </c>
      <c r="B80" s="121" t="s">
        <v>40</v>
      </c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89"/>
      <c r="R80" s="91">
        <f t="shared" si="0"/>
        <v>0</v>
      </c>
      <c r="S80" s="91">
        <f>BASE!A84</f>
        <v>69</v>
      </c>
      <c r="T80" s="89">
        <f t="shared" si="1"/>
        <v>0</v>
      </c>
      <c r="U80" s="89">
        <f t="shared" si="2"/>
        <v>0</v>
      </c>
      <c r="V80" s="89">
        <f t="shared" si="3"/>
        <v>0</v>
      </c>
      <c r="W80" s="89">
        <f t="shared" si="4"/>
        <v>0</v>
      </c>
      <c r="X80" s="89">
        <f t="shared" si="5"/>
        <v>0</v>
      </c>
      <c r="Y80" s="28"/>
    </row>
    <row r="81" spans="1:25" ht="20.25" customHeight="1">
      <c r="A81" s="88" t="str">
        <f>+IF(BASE!B85="","",BASE!B85)</f>
        <v>23XXR070</v>
      </c>
      <c r="B81" s="121" t="s">
        <v>40</v>
      </c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89"/>
      <c r="R81" s="91">
        <f t="shared" si="0"/>
        <v>0</v>
      </c>
      <c r="S81" s="91">
        <f>BASE!A85</f>
        <v>70</v>
      </c>
      <c r="T81" s="89">
        <f t="shared" si="1"/>
        <v>0</v>
      </c>
      <c r="U81" s="89">
        <f t="shared" si="2"/>
        <v>0</v>
      </c>
      <c r="V81" s="89">
        <f t="shared" si="3"/>
        <v>0</v>
      </c>
      <c r="W81" s="89">
        <f t="shared" si="4"/>
        <v>0</v>
      </c>
      <c r="X81" s="89">
        <f t="shared" si="5"/>
        <v>0</v>
      </c>
      <c r="Y81" s="28"/>
    </row>
    <row r="82" spans="1:25" ht="20.25" customHeight="1">
      <c r="A82" s="88" t="str">
        <f>+IF(BASE!B86="","",BASE!B86)</f>
        <v>23XXR071</v>
      </c>
      <c r="B82" s="121" t="s">
        <v>40</v>
      </c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89"/>
      <c r="R82" s="91">
        <f t="shared" si="0"/>
        <v>0</v>
      </c>
      <c r="S82" s="91">
        <f>BASE!A86</f>
        <v>71</v>
      </c>
      <c r="T82" s="89">
        <f t="shared" si="1"/>
        <v>0</v>
      </c>
      <c r="U82" s="89">
        <f t="shared" si="2"/>
        <v>0</v>
      </c>
      <c r="V82" s="89">
        <f t="shared" si="3"/>
        <v>0</v>
      </c>
      <c r="W82" s="89">
        <f t="shared" si="4"/>
        <v>0</v>
      </c>
      <c r="X82" s="89">
        <f t="shared" si="5"/>
        <v>0</v>
      </c>
      <c r="Y82" s="28"/>
    </row>
    <row r="83" spans="1:25" ht="20.25" customHeight="1">
      <c r="A83" s="88" t="str">
        <f>+IF(BASE!B87="","",BASE!B87)</f>
        <v>23XXR072</v>
      </c>
      <c r="B83" s="121" t="s">
        <v>40</v>
      </c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89"/>
      <c r="R83" s="91">
        <f t="shared" si="0"/>
        <v>0</v>
      </c>
      <c r="S83" s="91">
        <f>BASE!A87</f>
        <v>72</v>
      </c>
      <c r="T83" s="89">
        <f t="shared" si="1"/>
        <v>0</v>
      </c>
      <c r="U83" s="89">
        <f t="shared" si="2"/>
        <v>0</v>
      </c>
      <c r="V83" s="89">
        <f t="shared" si="3"/>
        <v>0</v>
      </c>
      <c r="W83" s="89">
        <f t="shared" si="4"/>
        <v>0</v>
      </c>
      <c r="X83" s="89">
        <f t="shared" si="5"/>
        <v>0</v>
      </c>
      <c r="Y83" s="28"/>
    </row>
    <row r="84" spans="1:25" ht="20.25" customHeight="1">
      <c r="A84" s="88" t="str">
        <f>+IF(BASE!B88="","",BASE!B88)</f>
        <v>23XXR073</v>
      </c>
      <c r="B84" s="121" t="s">
        <v>40</v>
      </c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89"/>
      <c r="R84" s="91">
        <f t="shared" si="0"/>
        <v>0</v>
      </c>
      <c r="S84" s="91">
        <f>BASE!A88</f>
        <v>73</v>
      </c>
      <c r="T84" s="89">
        <f t="shared" si="1"/>
        <v>0</v>
      </c>
      <c r="U84" s="89">
        <f t="shared" si="2"/>
        <v>0</v>
      </c>
      <c r="V84" s="89">
        <f t="shared" si="3"/>
        <v>0</v>
      </c>
      <c r="W84" s="89">
        <f t="shared" si="4"/>
        <v>0</v>
      </c>
      <c r="X84" s="89">
        <f t="shared" si="5"/>
        <v>0</v>
      </c>
      <c r="Y84" s="28"/>
    </row>
    <row r="85" spans="1:25" ht="20.25" customHeight="1">
      <c r="A85" s="88" t="str">
        <f>+IF(BASE!B89="","",BASE!B89)</f>
        <v>23XXR074</v>
      </c>
      <c r="B85" s="121" t="s">
        <v>40</v>
      </c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89"/>
      <c r="R85" s="91">
        <f t="shared" si="0"/>
        <v>0</v>
      </c>
      <c r="S85" s="91">
        <f>BASE!A89</f>
        <v>74</v>
      </c>
      <c r="T85" s="89">
        <f t="shared" si="1"/>
        <v>0</v>
      </c>
      <c r="U85" s="89">
        <f t="shared" si="2"/>
        <v>0</v>
      </c>
      <c r="V85" s="89">
        <f t="shared" si="3"/>
        <v>0</v>
      </c>
      <c r="W85" s="89">
        <f t="shared" si="4"/>
        <v>0</v>
      </c>
      <c r="X85" s="89">
        <f t="shared" si="5"/>
        <v>0</v>
      </c>
      <c r="Y85" s="28"/>
    </row>
    <row r="86" spans="1:25" ht="20.25" customHeight="1">
      <c r="A86" s="88" t="str">
        <f>+IF(BASE!B90="","",BASE!B90)</f>
        <v>23XXR075</v>
      </c>
      <c r="B86" s="121" t="s">
        <v>40</v>
      </c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89"/>
      <c r="R86" s="91">
        <f t="shared" si="0"/>
        <v>0</v>
      </c>
      <c r="S86" s="91">
        <f>BASE!A90</f>
        <v>75</v>
      </c>
      <c r="T86" s="89">
        <f t="shared" si="1"/>
        <v>0</v>
      </c>
      <c r="U86" s="89">
        <f t="shared" si="2"/>
        <v>0</v>
      </c>
      <c r="V86" s="89">
        <f t="shared" si="3"/>
        <v>0</v>
      </c>
      <c r="W86" s="89">
        <f t="shared" si="4"/>
        <v>0</v>
      </c>
      <c r="X86" s="89">
        <f t="shared" si="5"/>
        <v>0</v>
      </c>
      <c r="Y86" s="28"/>
    </row>
    <row r="87" spans="1:25" ht="20.25" customHeight="1">
      <c r="A87" s="88" t="str">
        <f>+IF(BASE!B91="","",BASE!B91)</f>
        <v>23XXR076</v>
      </c>
      <c r="B87" s="121" t="s">
        <v>40</v>
      </c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89"/>
      <c r="R87" s="91">
        <f t="shared" si="0"/>
        <v>0</v>
      </c>
      <c r="S87" s="91">
        <f>BASE!A91</f>
        <v>76</v>
      </c>
      <c r="T87" s="89">
        <f t="shared" si="1"/>
        <v>0</v>
      </c>
      <c r="U87" s="89">
        <f t="shared" si="2"/>
        <v>0</v>
      </c>
      <c r="V87" s="89">
        <f t="shared" si="3"/>
        <v>0</v>
      </c>
      <c r="W87" s="89">
        <f t="shared" si="4"/>
        <v>0</v>
      </c>
      <c r="X87" s="89">
        <f t="shared" si="5"/>
        <v>0</v>
      </c>
      <c r="Y87" s="28"/>
    </row>
    <row r="88" spans="1:25" ht="20.25" customHeight="1">
      <c r="A88" s="88" t="str">
        <f>+IF(BASE!B92="","",BASE!B92)</f>
        <v>23XXR077</v>
      </c>
      <c r="B88" s="121" t="s">
        <v>40</v>
      </c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89"/>
      <c r="R88" s="91">
        <f t="shared" si="0"/>
        <v>0</v>
      </c>
      <c r="S88" s="91">
        <f>BASE!A92</f>
        <v>77</v>
      </c>
      <c r="T88" s="89">
        <f t="shared" si="1"/>
        <v>0</v>
      </c>
      <c r="U88" s="89">
        <f t="shared" si="2"/>
        <v>0</v>
      </c>
      <c r="V88" s="89">
        <f t="shared" si="3"/>
        <v>0</v>
      </c>
      <c r="W88" s="89">
        <f t="shared" si="4"/>
        <v>0</v>
      </c>
      <c r="X88" s="89">
        <f t="shared" si="5"/>
        <v>0</v>
      </c>
      <c r="Y88" s="28"/>
    </row>
    <row r="89" spans="1:25" ht="20.25" customHeight="1">
      <c r="A89" s="88" t="str">
        <f>+IF(BASE!B93="","",BASE!B93)</f>
        <v>23XXR078</v>
      </c>
      <c r="B89" s="121" t="s">
        <v>40</v>
      </c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89"/>
      <c r="R89" s="91">
        <f t="shared" si="0"/>
        <v>0</v>
      </c>
      <c r="S89" s="91">
        <f>BASE!A93</f>
        <v>78</v>
      </c>
      <c r="T89" s="89">
        <f t="shared" si="1"/>
        <v>0</v>
      </c>
      <c r="U89" s="89">
        <f t="shared" si="2"/>
        <v>0</v>
      </c>
      <c r="V89" s="89">
        <f t="shared" si="3"/>
        <v>0</v>
      </c>
      <c r="W89" s="89">
        <f t="shared" si="4"/>
        <v>0</v>
      </c>
      <c r="X89" s="89">
        <f t="shared" si="5"/>
        <v>0</v>
      </c>
      <c r="Y89" s="28"/>
    </row>
    <row r="90" spans="1:25" ht="20.25" customHeight="1">
      <c r="A90" s="88" t="str">
        <f>+IF(BASE!B94="","",BASE!B94)</f>
        <v>23XXR079</v>
      </c>
      <c r="B90" s="121" t="s">
        <v>40</v>
      </c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89"/>
      <c r="R90" s="91">
        <f t="shared" si="0"/>
        <v>0</v>
      </c>
      <c r="S90" s="91">
        <f>BASE!A94</f>
        <v>79</v>
      </c>
      <c r="T90" s="89">
        <f t="shared" si="1"/>
        <v>0</v>
      </c>
      <c r="U90" s="89">
        <f t="shared" si="2"/>
        <v>0</v>
      </c>
      <c r="V90" s="89">
        <f t="shared" si="3"/>
        <v>0</v>
      </c>
      <c r="W90" s="89">
        <f t="shared" si="4"/>
        <v>0</v>
      </c>
      <c r="X90" s="89">
        <f t="shared" si="5"/>
        <v>0</v>
      </c>
      <c r="Y90" s="28"/>
    </row>
    <row r="91" spans="1:25" ht="20.25" customHeight="1">
      <c r="A91" s="88" t="str">
        <f>+IF(BASE!B95="","",BASE!B95)</f>
        <v>23XXR080</v>
      </c>
      <c r="B91" s="121" t="s">
        <v>40</v>
      </c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89"/>
      <c r="R91" s="91">
        <f t="shared" si="0"/>
        <v>0</v>
      </c>
      <c r="S91" s="91">
        <f>BASE!A95</f>
        <v>80</v>
      </c>
      <c r="T91" s="89">
        <f t="shared" si="1"/>
        <v>0</v>
      </c>
      <c r="U91" s="89">
        <f t="shared" si="2"/>
        <v>0</v>
      </c>
      <c r="V91" s="89">
        <f t="shared" si="3"/>
        <v>0</v>
      </c>
      <c r="W91" s="89">
        <f t="shared" si="4"/>
        <v>0</v>
      </c>
      <c r="X91" s="89">
        <f t="shared" si="5"/>
        <v>0</v>
      </c>
      <c r="Y91" s="28"/>
    </row>
    <row r="92" spans="1:25" ht="20.25" customHeight="1">
      <c r="A92" s="88" t="str">
        <f>+IF(BASE!B96="","",BASE!B96)</f>
        <v>23XXR081</v>
      </c>
      <c r="B92" s="121" t="s">
        <v>40</v>
      </c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89"/>
      <c r="R92" s="91">
        <f t="shared" si="0"/>
        <v>0</v>
      </c>
      <c r="S92" s="91">
        <f>BASE!A96</f>
        <v>81</v>
      </c>
      <c r="T92" s="89">
        <f t="shared" si="1"/>
        <v>0</v>
      </c>
      <c r="U92" s="89">
        <f t="shared" si="2"/>
        <v>0</v>
      </c>
      <c r="V92" s="89">
        <f t="shared" si="3"/>
        <v>0</v>
      </c>
      <c r="W92" s="89">
        <f t="shared" si="4"/>
        <v>0</v>
      </c>
      <c r="X92" s="89">
        <f t="shared" si="5"/>
        <v>0</v>
      </c>
      <c r="Y92" s="28"/>
    </row>
    <row r="93" spans="1:25" ht="20.25" customHeight="1">
      <c r="A93" s="88" t="str">
        <f>+IF(BASE!B97="","",BASE!B97)</f>
        <v>23XXR082</v>
      </c>
      <c r="B93" s="121" t="s">
        <v>40</v>
      </c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89"/>
      <c r="R93" s="91">
        <f t="shared" si="0"/>
        <v>0</v>
      </c>
      <c r="S93" s="91">
        <f>BASE!A97</f>
        <v>82</v>
      </c>
      <c r="T93" s="89">
        <f t="shared" si="1"/>
        <v>0</v>
      </c>
      <c r="U93" s="89">
        <f t="shared" si="2"/>
        <v>0</v>
      </c>
      <c r="V93" s="89">
        <f t="shared" si="3"/>
        <v>0</v>
      </c>
      <c r="W93" s="89">
        <f t="shared" si="4"/>
        <v>0</v>
      </c>
      <c r="X93" s="89">
        <f t="shared" si="5"/>
        <v>0</v>
      </c>
      <c r="Y93" s="28"/>
    </row>
    <row r="94" spans="1:25" ht="20.25" customHeight="1">
      <c r="A94" s="88" t="str">
        <f>+IF(BASE!B98="","",BASE!B98)</f>
        <v>23XXR083</v>
      </c>
      <c r="B94" s="121" t="s">
        <v>40</v>
      </c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89"/>
      <c r="R94" s="91">
        <f t="shared" si="0"/>
        <v>0</v>
      </c>
      <c r="S94" s="91">
        <f>BASE!A98</f>
        <v>83</v>
      </c>
      <c r="T94" s="89">
        <f t="shared" si="1"/>
        <v>0</v>
      </c>
      <c r="U94" s="89">
        <f t="shared" si="2"/>
        <v>0</v>
      </c>
      <c r="V94" s="89">
        <f t="shared" si="3"/>
        <v>0</v>
      </c>
      <c r="W94" s="89">
        <f t="shared" si="4"/>
        <v>0</v>
      </c>
      <c r="X94" s="89">
        <f t="shared" si="5"/>
        <v>0</v>
      </c>
      <c r="Y94" s="28"/>
    </row>
    <row r="95" spans="1:25" ht="20.25" customHeight="1">
      <c r="A95" s="88" t="str">
        <f>+IF(BASE!B99="","",BASE!B99)</f>
        <v>23XXR084</v>
      </c>
      <c r="B95" s="121" t="s">
        <v>40</v>
      </c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89"/>
      <c r="R95" s="91">
        <f t="shared" si="0"/>
        <v>0</v>
      </c>
      <c r="S95" s="91">
        <f>BASE!A99</f>
        <v>84</v>
      </c>
      <c r="T95" s="89">
        <f t="shared" si="1"/>
        <v>0</v>
      </c>
      <c r="U95" s="89">
        <f t="shared" si="2"/>
        <v>0</v>
      </c>
      <c r="V95" s="89">
        <f t="shared" si="3"/>
        <v>0</v>
      </c>
      <c r="W95" s="89">
        <f t="shared" si="4"/>
        <v>0</v>
      </c>
      <c r="X95" s="89">
        <f t="shared" si="5"/>
        <v>0</v>
      </c>
      <c r="Y95" s="28"/>
    </row>
    <row r="96" spans="1:25" ht="20.25" customHeight="1">
      <c r="A96" s="88" t="str">
        <f>+IF(BASE!B100="","",BASE!B100)</f>
        <v>23XXR085</v>
      </c>
      <c r="B96" s="121" t="s">
        <v>40</v>
      </c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89"/>
      <c r="R96" s="91">
        <f t="shared" si="0"/>
        <v>0</v>
      </c>
      <c r="S96" s="91">
        <f>BASE!A100</f>
        <v>85</v>
      </c>
      <c r="T96" s="89">
        <f t="shared" si="1"/>
        <v>0</v>
      </c>
      <c r="U96" s="89">
        <f t="shared" si="2"/>
        <v>0</v>
      </c>
      <c r="V96" s="89">
        <f t="shared" si="3"/>
        <v>0</v>
      </c>
      <c r="W96" s="89">
        <f t="shared" si="4"/>
        <v>0</v>
      </c>
      <c r="X96" s="89">
        <f t="shared" si="5"/>
        <v>0</v>
      </c>
      <c r="Y96" s="28"/>
    </row>
    <row r="97" spans="1:25" ht="20.25" customHeight="1">
      <c r="A97" s="88" t="str">
        <f>+IF(BASE!B101="","",BASE!B101)</f>
        <v>23XXR086</v>
      </c>
      <c r="B97" s="121" t="s">
        <v>40</v>
      </c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89"/>
      <c r="R97" s="91">
        <f t="shared" si="0"/>
        <v>0</v>
      </c>
      <c r="S97" s="91">
        <f>BASE!A101</f>
        <v>86</v>
      </c>
      <c r="T97" s="89">
        <f t="shared" si="1"/>
        <v>0</v>
      </c>
      <c r="U97" s="89">
        <f t="shared" si="2"/>
        <v>0</v>
      </c>
      <c r="V97" s="89">
        <f t="shared" si="3"/>
        <v>0</v>
      </c>
      <c r="W97" s="89">
        <f t="shared" si="4"/>
        <v>0</v>
      </c>
      <c r="X97" s="89">
        <f t="shared" si="5"/>
        <v>0</v>
      </c>
      <c r="Y97" s="28"/>
    </row>
    <row r="98" spans="1:25" ht="20.25" customHeight="1">
      <c r="A98" s="88" t="str">
        <f>+IF(BASE!B102="","",BASE!B102)</f>
        <v>23XXR087</v>
      </c>
      <c r="B98" s="121" t="s">
        <v>40</v>
      </c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89"/>
      <c r="R98" s="91">
        <f t="shared" si="0"/>
        <v>0</v>
      </c>
      <c r="S98" s="91">
        <f>BASE!A102</f>
        <v>87</v>
      </c>
      <c r="T98" s="89">
        <f t="shared" si="1"/>
        <v>0</v>
      </c>
      <c r="U98" s="89">
        <f t="shared" si="2"/>
        <v>0</v>
      </c>
      <c r="V98" s="89">
        <f t="shared" si="3"/>
        <v>0</v>
      </c>
      <c r="W98" s="89">
        <f t="shared" si="4"/>
        <v>0</v>
      </c>
      <c r="X98" s="89">
        <f t="shared" si="5"/>
        <v>0</v>
      </c>
      <c r="Y98" s="28"/>
    </row>
    <row r="99" spans="1:25" ht="20.25" customHeight="1">
      <c r="A99" s="88" t="str">
        <f>+IF(BASE!B103="","",BASE!B103)</f>
        <v>23XXR088</v>
      </c>
      <c r="B99" s="121" t="s">
        <v>40</v>
      </c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89"/>
      <c r="R99" s="91">
        <f t="shared" si="0"/>
        <v>0</v>
      </c>
      <c r="S99" s="91">
        <f>BASE!A103</f>
        <v>88</v>
      </c>
      <c r="T99" s="89">
        <f t="shared" si="1"/>
        <v>0</v>
      </c>
      <c r="U99" s="89">
        <f t="shared" si="2"/>
        <v>0</v>
      </c>
      <c r="V99" s="89">
        <f t="shared" si="3"/>
        <v>0</v>
      </c>
      <c r="W99" s="89">
        <f t="shared" si="4"/>
        <v>0</v>
      </c>
      <c r="X99" s="89">
        <f t="shared" si="5"/>
        <v>0</v>
      </c>
      <c r="Y99" s="28"/>
    </row>
    <row r="100" spans="1:25" ht="20.25" customHeight="1">
      <c r="A100" s="88" t="str">
        <f>+IF(BASE!B104="","",BASE!B104)</f>
        <v>23XXR089</v>
      </c>
      <c r="B100" s="121" t="s">
        <v>40</v>
      </c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89"/>
      <c r="R100" s="91">
        <f t="shared" si="0"/>
        <v>0</v>
      </c>
      <c r="S100" s="91">
        <f>BASE!A104</f>
        <v>89</v>
      </c>
      <c r="T100" s="89">
        <f t="shared" si="1"/>
        <v>0</v>
      </c>
      <c r="U100" s="89">
        <f t="shared" si="2"/>
        <v>0</v>
      </c>
      <c r="V100" s="89">
        <f t="shared" si="3"/>
        <v>0</v>
      </c>
      <c r="W100" s="89">
        <f t="shared" si="4"/>
        <v>0</v>
      </c>
      <c r="X100" s="89">
        <f t="shared" si="5"/>
        <v>0</v>
      </c>
      <c r="Y100" s="28"/>
    </row>
    <row r="101" spans="1:25" ht="20.25" customHeight="1">
      <c r="A101" s="88" t="str">
        <f>+IF(BASE!B105="","",BASE!B105)</f>
        <v>23XXR090</v>
      </c>
      <c r="B101" s="121" t="s">
        <v>40</v>
      </c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89"/>
      <c r="R101" s="91">
        <f t="shared" si="0"/>
        <v>0</v>
      </c>
      <c r="S101" s="91">
        <f>BASE!A105</f>
        <v>90</v>
      </c>
      <c r="T101" s="89">
        <f t="shared" si="1"/>
        <v>0</v>
      </c>
      <c r="U101" s="89">
        <f t="shared" si="2"/>
        <v>0</v>
      </c>
      <c r="V101" s="89">
        <f t="shared" si="3"/>
        <v>0</v>
      </c>
      <c r="W101" s="89">
        <f t="shared" si="4"/>
        <v>0</v>
      </c>
      <c r="X101" s="89">
        <f t="shared" si="5"/>
        <v>0</v>
      </c>
      <c r="Y101" s="28"/>
    </row>
    <row r="102" spans="1:25" ht="20.25" customHeight="1">
      <c r="A102" s="88" t="str">
        <f>+IF(BASE!B106="","",BASE!B106)</f>
        <v>23XXR091</v>
      </c>
      <c r="B102" s="121" t="s">
        <v>40</v>
      </c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89"/>
      <c r="R102" s="91">
        <f t="shared" si="0"/>
        <v>0</v>
      </c>
      <c r="S102" s="91">
        <f>BASE!A106</f>
        <v>91</v>
      </c>
      <c r="T102" s="89">
        <f t="shared" si="1"/>
        <v>0</v>
      </c>
      <c r="U102" s="89">
        <f t="shared" si="2"/>
        <v>0</v>
      </c>
      <c r="V102" s="89">
        <f t="shared" si="3"/>
        <v>0</v>
      </c>
      <c r="W102" s="89">
        <f t="shared" si="4"/>
        <v>0</v>
      </c>
      <c r="X102" s="89">
        <f t="shared" si="5"/>
        <v>0</v>
      </c>
      <c r="Y102" s="28"/>
    </row>
    <row r="103" spans="1:25" ht="20.25" customHeight="1">
      <c r="A103" s="88" t="str">
        <f>+IF(BASE!B107="","",BASE!B107)</f>
        <v>23XXR092</v>
      </c>
      <c r="B103" s="121" t="s">
        <v>40</v>
      </c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89"/>
      <c r="R103" s="91">
        <f t="shared" si="0"/>
        <v>0</v>
      </c>
      <c r="S103" s="91">
        <f>BASE!A107</f>
        <v>92</v>
      </c>
      <c r="T103" s="89">
        <f t="shared" si="1"/>
        <v>0</v>
      </c>
      <c r="U103" s="89">
        <f t="shared" si="2"/>
        <v>0</v>
      </c>
      <c r="V103" s="89">
        <f t="shared" si="3"/>
        <v>0</v>
      </c>
      <c r="W103" s="89">
        <f t="shared" si="4"/>
        <v>0</v>
      </c>
      <c r="X103" s="89">
        <f t="shared" si="5"/>
        <v>0</v>
      </c>
      <c r="Y103" s="28"/>
    </row>
    <row r="104" spans="1:25" ht="20.25" customHeight="1">
      <c r="A104" s="88" t="str">
        <f>+IF(BASE!B108="","",BASE!B108)</f>
        <v>23XXR093</v>
      </c>
      <c r="B104" s="121" t="s">
        <v>40</v>
      </c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89"/>
      <c r="R104" s="91">
        <f t="shared" si="0"/>
        <v>0</v>
      </c>
      <c r="S104" s="91">
        <f>BASE!A108</f>
        <v>93</v>
      </c>
      <c r="T104" s="89">
        <f t="shared" si="1"/>
        <v>0</v>
      </c>
      <c r="U104" s="89">
        <f t="shared" si="2"/>
        <v>0</v>
      </c>
      <c r="V104" s="89">
        <f t="shared" si="3"/>
        <v>0</v>
      </c>
      <c r="W104" s="89">
        <f t="shared" si="4"/>
        <v>0</v>
      </c>
      <c r="X104" s="89">
        <f t="shared" si="5"/>
        <v>0</v>
      </c>
      <c r="Y104" s="28"/>
    </row>
    <row r="105" spans="1:25" ht="20.25" customHeight="1">
      <c r="A105" s="88" t="str">
        <f>+IF(BASE!B109="","",BASE!B109)</f>
        <v>23XXR094</v>
      </c>
      <c r="B105" s="121" t="s">
        <v>40</v>
      </c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89"/>
      <c r="R105" s="91">
        <f t="shared" si="0"/>
        <v>0</v>
      </c>
      <c r="S105" s="91">
        <f>BASE!A109</f>
        <v>94</v>
      </c>
      <c r="T105" s="89">
        <f t="shared" si="1"/>
        <v>0</v>
      </c>
      <c r="U105" s="89">
        <f t="shared" si="2"/>
        <v>0</v>
      </c>
      <c r="V105" s="89">
        <f t="shared" si="3"/>
        <v>0</v>
      </c>
      <c r="W105" s="89">
        <f t="shared" si="4"/>
        <v>0</v>
      </c>
      <c r="X105" s="89">
        <f t="shared" si="5"/>
        <v>0</v>
      </c>
      <c r="Y105" s="28"/>
    </row>
    <row r="106" spans="1:25" ht="20.25" customHeight="1">
      <c r="A106" s="88" t="str">
        <f>+IF(BASE!B110="","",BASE!B110)</f>
        <v>23XXR095</v>
      </c>
      <c r="B106" s="121" t="s">
        <v>40</v>
      </c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89"/>
      <c r="R106" s="91">
        <f t="shared" si="0"/>
        <v>0</v>
      </c>
      <c r="S106" s="91">
        <f>BASE!A110</f>
        <v>95</v>
      </c>
      <c r="T106" s="89">
        <f t="shared" si="1"/>
        <v>0</v>
      </c>
      <c r="U106" s="89">
        <f t="shared" si="2"/>
        <v>0</v>
      </c>
      <c r="V106" s="89">
        <f t="shared" si="3"/>
        <v>0</v>
      </c>
      <c r="W106" s="89">
        <f t="shared" si="4"/>
        <v>0</v>
      </c>
      <c r="X106" s="89">
        <f t="shared" si="5"/>
        <v>0</v>
      </c>
      <c r="Y106" s="28"/>
    </row>
    <row r="107" spans="1:25" ht="20.25" customHeight="1">
      <c r="A107" s="88" t="str">
        <f>+IF(BASE!B111="","",BASE!B111)</f>
        <v>23XXR096</v>
      </c>
      <c r="B107" s="121" t="s">
        <v>40</v>
      </c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89"/>
      <c r="R107" s="91">
        <f t="shared" si="0"/>
        <v>0</v>
      </c>
      <c r="S107" s="91">
        <f>BASE!A111</f>
        <v>96</v>
      </c>
      <c r="T107" s="89">
        <f t="shared" si="1"/>
        <v>0</v>
      </c>
      <c r="U107" s="89">
        <f t="shared" si="2"/>
        <v>0</v>
      </c>
      <c r="V107" s="89">
        <f t="shared" si="3"/>
        <v>0</v>
      </c>
      <c r="W107" s="89">
        <f t="shared" si="4"/>
        <v>0</v>
      </c>
      <c r="X107" s="89">
        <f t="shared" si="5"/>
        <v>0</v>
      </c>
      <c r="Y107" s="28"/>
    </row>
    <row r="108" spans="1:25" ht="20.25" customHeight="1">
      <c r="A108" s="88" t="str">
        <f>+IF(BASE!B112="","",BASE!B112)</f>
        <v>23XXR097</v>
      </c>
      <c r="B108" s="121" t="s">
        <v>40</v>
      </c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89"/>
      <c r="R108" s="91">
        <f t="shared" si="0"/>
        <v>0</v>
      </c>
      <c r="S108" s="91">
        <f>BASE!A112</f>
        <v>97</v>
      </c>
      <c r="T108" s="89">
        <f t="shared" si="1"/>
        <v>0</v>
      </c>
      <c r="U108" s="89">
        <f t="shared" si="2"/>
        <v>0</v>
      </c>
      <c r="V108" s="89">
        <f t="shared" si="3"/>
        <v>0</v>
      </c>
      <c r="W108" s="89">
        <f t="shared" si="4"/>
        <v>0</v>
      </c>
      <c r="X108" s="89">
        <f t="shared" si="5"/>
        <v>0</v>
      </c>
      <c r="Y108" s="28"/>
    </row>
    <row r="109" spans="1:25" ht="20.25" customHeight="1">
      <c r="A109" s="88" t="str">
        <f>+IF(BASE!B113="","",BASE!B113)</f>
        <v>23XXR098</v>
      </c>
      <c r="B109" s="121" t="s">
        <v>40</v>
      </c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89"/>
      <c r="R109" s="91">
        <f t="shared" si="0"/>
        <v>0</v>
      </c>
      <c r="S109" s="91">
        <f>BASE!A113</f>
        <v>98</v>
      </c>
      <c r="T109" s="89">
        <f t="shared" si="1"/>
        <v>0</v>
      </c>
      <c r="U109" s="89">
        <f t="shared" si="2"/>
        <v>0</v>
      </c>
      <c r="V109" s="89">
        <f t="shared" si="3"/>
        <v>0</v>
      </c>
      <c r="W109" s="89">
        <f t="shared" si="4"/>
        <v>0</v>
      </c>
      <c r="X109" s="89">
        <f t="shared" si="5"/>
        <v>0</v>
      </c>
      <c r="Y109" s="28"/>
    </row>
    <row r="110" spans="1:25" ht="20.25" customHeight="1">
      <c r="A110" s="88" t="str">
        <f>+IF(BASE!B114="","",BASE!B114)</f>
        <v>23XXR099</v>
      </c>
      <c r="B110" s="121" t="s">
        <v>40</v>
      </c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89"/>
      <c r="R110" s="91">
        <f t="shared" si="0"/>
        <v>0</v>
      </c>
      <c r="S110" s="91">
        <f>BASE!A114</f>
        <v>99</v>
      </c>
      <c r="T110" s="89">
        <f t="shared" si="1"/>
        <v>0</v>
      </c>
      <c r="U110" s="89">
        <f t="shared" si="2"/>
        <v>0</v>
      </c>
      <c r="V110" s="89">
        <f t="shared" si="3"/>
        <v>0</v>
      </c>
      <c r="W110" s="89">
        <f t="shared" si="4"/>
        <v>0</v>
      </c>
      <c r="X110" s="89">
        <f t="shared" si="5"/>
        <v>0</v>
      </c>
      <c r="Y110" s="28"/>
    </row>
    <row r="111" spans="1:25" ht="20.25" customHeight="1">
      <c r="A111" s="88" t="str">
        <f>+IF(BASE!B115="","",BASE!B115)</f>
        <v>23XXR100</v>
      </c>
      <c r="B111" s="121" t="s">
        <v>40</v>
      </c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89"/>
      <c r="R111" s="91">
        <f t="shared" si="0"/>
        <v>0</v>
      </c>
      <c r="S111" s="91">
        <f>BASE!A115</f>
        <v>100</v>
      </c>
      <c r="T111" s="89">
        <f t="shared" si="1"/>
        <v>0</v>
      </c>
      <c r="U111" s="89">
        <f t="shared" si="2"/>
        <v>0</v>
      </c>
      <c r="V111" s="89">
        <f t="shared" si="3"/>
        <v>0</v>
      </c>
      <c r="W111" s="89">
        <f t="shared" si="4"/>
        <v>0</v>
      </c>
      <c r="X111" s="89">
        <f t="shared" si="5"/>
        <v>0</v>
      </c>
      <c r="Y111" s="28"/>
    </row>
    <row r="112" spans="1:25" ht="20.25" customHeight="1">
      <c r="A112" s="88" t="str">
        <f>+IF(BASE!B116="","",BASE!B116)</f>
        <v>23XXR101</v>
      </c>
      <c r="B112" s="121" t="s">
        <v>40</v>
      </c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89"/>
      <c r="R112" s="91">
        <f t="shared" si="0"/>
        <v>0</v>
      </c>
      <c r="S112" s="91">
        <f>BASE!A116</f>
        <v>101</v>
      </c>
      <c r="T112" s="89">
        <f t="shared" si="1"/>
        <v>0</v>
      </c>
      <c r="U112" s="89">
        <f t="shared" si="2"/>
        <v>0</v>
      </c>
      <c r="V112" s="89">
        <f t="shared" si="3"/>
        <v>0</v>
      </c>
      <c r="W112" s="89">
        <f t="shared" si="4"/>
        <v>0</v>
      </c>
      <c r="X112" s="89">
        <f t="shared" si="5"/>
        <v>0</v>
      </c>
      <c r="Y112" s="28"/>
    </row>
    <row r="113" spans="1:25" ht="20.25" customHeight="1">
      <c r="A113" s="88" t="str">
        <f>+IF(BASE!B117="","",BASE!B117)</f>
        <v>23XXR102</v>
      </c>
      <c r="B113" s="121" t="s">
        <v>40</v>
      </c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89"/>
      <c r="R113" s="91">
        <f t="shared" si="0"/>
        <v>0</v>
      </c>
      <c r="S113" s="91">
        <f>BASE!A117</f>
        <v>102</v>
      </c>
      <c r="T113" s="89">
        <f t="shared" si="1"/>
        <v>0</v>
      </c>
      <c r="U113" s="89">
        <f t="shared" si="2"/>
        <v>0</v>
      </c>
      <c r="V113" s="89">
        <f t="shared" si="3"/>
        <v>0</v>
      </c>
      <c r="W113" s="89">
        <f t="shared" si="4"/>
        <v>0</v>
      </c>
      <c r="X113" s="89">
        <f t="shared" si="5"/>
        <v>0</v>
      </c>
      <c r="Y113" s="28"/>
    </row>
    <row r="114" spans="1:25" ht="20.25" customHeight="1">
      <c r="A114" s="88" t="str">
        <f>+IF(BASE!B118="","",BASE!B118)</f>
        <v>23XXR103</v>
      </c>
      <c r="B114" s="121" t="s">
        <v>40</v>
      </c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89"/>
      <c r="R114" s="91">
        <f t="shared" si="0"/>
        <v>0</v>
      </c>
      <c r="S114" s="91">
        <f>BASE!A118</f>
        <v>103</v>
      </c>
      <c r="T114" s="89">
        <f t="shared" si="1"/>
        <v>0</v>
      </c>
      <c r="U114" s="89">
        <f t="shared" si="2"/>
        <v>0</v>
      </c>
      <c r="V114" s="89">
        <f t="shared" si="3"/>
        <v>0</v>
      </c>
      <c r="W114" s="89">
        <f t="shared" si="4"/>
        <v>0</v>
      </c>
      <c r="X114" s="89">
        <f t="shared" si="5"/>
        <v>0</v>
      </c>
      <c r="Y114" s="28"/>
    </row>
    <row r="115" spans="1:25" ht="20.25" customHeight="1">
      <c r="A115" s="88" t="str">
        <f>+IF(BASE!B119="","",BASE!B119)</f>
        <v>23XXR104</v>
      </c>
      <c r="B115" s="121" t="s">
        <v>40</v>
      </c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89"/>
      <c r="R115" s="91">
        <f t="shared" si="0"/>
        <v>0</v>
      </c>
      <c r="S115" s="91">
        <f>BASE!A119</f>
        <v>104</v>
      </c>
      <c r="T115" s="89">
        <f t="shared" si="1"/>
        <v>0</v>
      </c>
      <c r="U115" s="89">
        <f t="shared" si="2"/>
        <v>0</v>
      </c>
      <c r="V115" s="89">
        <f t="shared" si="3"/>
        <v>0</v>
      </c>
      <c r="W115" s="89">
        <f t="shared" si="4"/>
        <v>0</v>
      </c>
      <c r="X115" s="89">
        <f t="shared" si="5"/>
        <v>0</v>
      </c>
      <c r="Y115" s="28"/>
    </row>
    <row r="116" spans="1:25" ht="20.25" customHeight="1">
      <c r="A116" s="88" t="str">
        <f>+IF(BASE!B120="","",BASE!B120)</f>
        <v>23XXR105</v>
      </c>
      <c r="B116" s="121" t="s">
        <v>40</v>
      </c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89"/>
      <c r="R116" s="91">
        <f t="shared" si="0"/>
        <v>0</v>
      </c>
      <c r="S116" s="91">
        <f>BASE!A120</f>
        <v>105</v>
      </c>
      <c r="T116" s="89">
        <f t="shared" si="1"/>
        <v>0</v>
      </c>
      <c r="U116" s="89">
        <f t="shared" si="2"/>
        <v>0</v>
      </c>
      <c r="V116" s="89">
        <f t="shared" si="3"/>
        <v>0</v>
      </c>
      <c r="W116" s="89">
        <f t="shared" si="4"/>
        <v>0</v>
      </c>
      <c r="X116" s="89">
        <f t="shared" si="5"/>
        <v>0</v>
      </c>
      <c r="Y116" s="28"/>
    </row>
    <row r="117" spans="1:25" ht="20.25" customHeight="1">
      <c r="A117" s="88" t="str">
        <f>+IF(BASE!B121="","",BASE!B121)</f>
        <v>23XXR106</v>
      </c>
      <c r="B117" s="121" t="s">
        <v>40</v>
      </c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89"/>
      <c r="R117" s="91">
        <f t="shared" si="0"/>
        <v>0</v>
      </c>
      <c r="S117" s="91">
        <f>BASE!A121</f>
        <v>106</v>
      </c>
      <c r="T117" s="89">
        <f t="shared" si="1"/>
        <v>0</v>
      </c>
      <c r="U117" s="89">
        <f t="shared" si="2"/>
        <v>0</v>
      </c>
      <c r="V117" s="89">
        <f t="shared" si="3"/>
        <v>0</v>
      </c>
      <c r="W117" s="89">
        <f t="shared" si="4"/>
        <v>0</v>
      </c>
      <c r="X117" s="89">
        <f t="shared" si="5"/>
        <v>0</v>
      </c>
      <c r="Y117" s="28"/>
    </row>
    <row r="118" spans="1:25" ht="20.25" customHeight="1">
      <c r="A118" s="88" t="str">
        <f>+IF(BASE!B122="","",BASE!B122)</f>
        <v>23XXR107</v>
      </c>
      <c r="B118" s="121" t="s">
        <v>40</v>
      </c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89"/>
      <c r="R118" s="91">
        <f t="shared" si="0"/>
        <v>0</v>
      </c>
      <c r="S118" s="91">
        <f>BASE!A122</f>
        <v>107</v>
      </c>
      <c r="T118" s="89">
        <f t="shared" si="1"/>
        <v>0</v>
      </c>
      <c r="U118" s="89">
        <f t="shared" si="2"/>
        <v>0</v>
      </c>
      <c r="V118" s="89">
        <f t="shared" si="3"/>
        <v>0</v>
      </c>
      <c r="W118" s="89">
        <f t="shared" si="4"/>
        <v>0</v>
      </c>
      <c r="X118" s="89">
        <f t="shared" si="5"/>
        <v>0</v>
      </c>
      <c r="Y118" s="28"/>
    </row>
    <row r="119" spans="1:25" ht="20.25" customHeight="1">
      <c r="A119" s="88" t="str">
        <f>+IF(BASE!B123="","",BASE!B123)</f>
        <v>23XXR108</v>
      </c>
      <c r="B119" s="121" t="s">
        <v>40</v>
      </c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89"/>
      <c r="R119" s="91">
        <f t="shared" si="0"/>
        <v>0</v>
      </c>
      <c r="S119" s="91">
        <f>BASE!A123</f>
        <v>108</v>
      </c>
      <c r="T119" s="89">
        <f t="shared" si="1"/>
        <v>0</v>
      </c>
      <c r="U119" s="89">
        <f t="shared" si="2"/>
        <v>0</v>
      </c>
      <c r="V119" s="89">
        <f t="shared" si="3"/>
        <v>0</v>
      </c>
      <c r="W119" s="89">
        <f t="shared" si="4"/>
        <v>0</v>
      </c>
      <c r="X119" s="89">
        <f t="shared" si="5"/>
        <v>0</v>
      </c>
      <c r="Y119" s="28"/>
    </row>
    <row r="120" spans="1:25" ht="20.25" customHeight="1">
      <c r="A120" s="88" t="str">
        <f>+IF(BASE!B124="","",BASE!B124)</f>
        <v>23XXR109</v>
      </c>
      <c r="B120" s="121" t="s">
        <v>40</v>
      </c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89"/>
      <c r="R120" s="91">
        <f t="shared" si="0"/>
        <v>0</v>
      </c>
      <c r="S120" s="91">
        <f>BASE!A124</f>
        <v>109</v>
      </c>
      <c r="T120" s="89">
        <f t="shared" si="1"/>
        <v>0</v>
      </c>
      <c r="U120" s="89">
        <f t="shared" si="2"/>
        <v>0</v>
      </c>
      <c r="V120" s="89">
        <f t="shared" si="3"/>
        <v>0</v>
      </c>
      <c r="W120" s="89">
        <f t="shared" si="4"/>
        <v>0</v>
      </c>
      <c r="X120" s="89">
        <f t="shared" si="5"/>
        <v>0</v>
      </c>
      <c r="Y120" s="28"/>
    </row>
    <row r="121" spans="1:25" ht="20.25" customHeight="1">
      <c r="A121" s="88" t="str">
        <f>+IF(BASE!B125="","",BASE!B125)</f>
        <v>23XXR110</v>
      </c>
      <c r="B121" s="121" t="s">
        <v>40</v>
      </c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89"/>
      <c r="R121" s="91">
        <f t="shared" si="0"/>
        <v>0</v>
      </c>
      <c r="S121" s="91">
        <f>BASE!A125</f>
        <v>110</v>
      </c>
      <c r="T121" s="89">
        <f t="shared" si="1"/>
        <v>0</v>
      </c>
      <c r="U121" s="89">
        <f t="shared" si="2"/>
        <v>0</v>
      </c>
      <c r="V121" s="89">
        <f t="shared" si="3"/>
        <v>0</v>
      </c>
      <c r="W121" s="89">
        <f t="shared" si="4"/>
        <v>0</v>
      </c>
      <c r="X121" s="89">
        <f t="shared" si="5"/>
        <v>0</v>
      </c>
      <c r="Y121" s="28"/>
    </row>
    <row r="122" spans="1:25" ht="20.25" customHeight="1">
      <c r="A122" s="88" t="str">
        <f>+IF(BASE!B126="","",BASE!B126)</f>
        <v>23XXR111</v>
      </c>
      <c r="B122" s="121" t="s">
        <v>40</v>
      </c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89"/>
      <c r="R122" s="91">
        <f t="shared" si="0"/>
        <v>0</v>
      </c>
      <c r="S122" s="91">
        <f>BASE!A126</f>
        <v>111</v>
      </c>
      <c r="T122" s="89">
        <f t="shared" si="1"/>
        <v>0</v>
      </c>
      <c r="U122" s="89">
        <f t="shared" si="2"/>
        <v>0</v>
      </c>
      <c r="V122" s="89">
        <f t="shared" si="3"/>
        <v>0</v>
      </c>
      <c r="W122" s="89">
        <f t="shared" si="4"/>
        <v>0</v>
      </c>
      <c r="X122" s="89">
        <f t="shared" si="5"/>
        <v>0</v>
      </c>
      <c r="Y122" s="28"/>
    </row>
    <row r="123" spans="1:25" ht="20.25" customHeight="1">
      <c r="A123" s="88" t="str">
        <f>+IF(BASE!B127="","",BASE!B127)</f>
        <v>23XXR112</v>
      </c>
      <c r="B123" s="121" t="s">
        <v>40</v>
      </c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89"/>
      <c r="R123" s="91">
        <f t="shared" si="0"/>
        <v>0</v>
      </c>
      <c r="S123" s="91">
        <f>BASE!A127</f>
        <v>112</v>
      </c>
      <c r="T123" s="89">
        <f t="shared" si="1"/>
        <v>0</v>
      </c>
      <c r="U123" s="89">
        <f t="shared" si="2"/>
        <v>0</v>
      </c>
      <c r="V123" s="89">
        <f t="shared" si="3"/>
        <v>0</v>
      </c>
      <c r="W123" s="89">
        <f t="shared" si="4"/>
        <v>0</v>
      </c>
      <c r="X123" s="89">
        <f t="shared" si="5"/>
        <v>0</v>
      </c>
      <c r="Y123" s="28"/>
    </row>
    <row r="124" spans="1:25" ht="20.25" customHeight="1">
      <c r="A124" s="88" t="str">
        <f>+IF(BASE!B128="","",BASE!B128)</f>
        <v>23XXR113</v>
      </c>
      <c r="B124" s="121" t="s">
        <v>40</v>
      </c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89"/>
      <c r="R124" s="91">
        <f t="shared" si="0"/>
        <v>0</v>
      </c>
      <c r="S124" s="91">
        <f>BASE!A128</f>
        <v>113</v>
      </c>
      <c r="T124" s="89">
        <f t="shared" si="1"/>
        <v>0</v>
      </c>
      <c r="U124" s="89">
        <f t="shared" si="2"/>
        <v>0</v>
      </c>
      <c r="V124" s="89">
        <f t="shared" si="3"/>
        <v>0</v>
      </c>
      <c r="W124" s="89">
        <f t="shared" si="4"/>
        <v>0</v>
      </c>
      <c r="X124" s="89">
        <f t="shared" si="5"/>
        <v>0</v>
      </c>
      <c r="Y124" s="28"/>
    </row>
    <row r="125" spans="1:25" ht="20.25" customHeight="1">
      <c r="A125" s="88" t="str">
        <f>+IF(BASE!B129="","",BASE!B129)</f>
        <v>23XXR114</v>
      </c>
      <c r="B125" s="121" t="s">
        <v>40</v>
      </c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89"/>
      <c r="R125" s="91">
        <f t="shared" si="0"/>
        <v>0</v>
      </c>
      <c r="S125" s="91">
        <f>BASE!A129</f>
        <v>114</v>
      </c>
      <c r="T125" s="89">
        <f t="shared" si="1"/>
        <v>0</v>
      </c>
      <c r="U125" s="89">
        <f t="shared" si="2"/>
        <v>0</v>
      </c>
      <c r="V125" s="89">
        <f t="shared" si="3"/>
        <v>0</v>
      </c>
      <c r="W125" s="89">
        <f t="shared" si="4"/>
        <v>0</v>
      </c>
      <c r="X125" s="89">
        <f t="shared" si="5"/>
        <v>0</v>
      </c>
      <c r="Y125" s="28"/>
    </row>
    <row r="126" spans="1:25" ht="20.25" customHeight="1">
      <c r="A126" s="88" t="str">
        <f>+IF(BASE!B130="","",BASE!B130)</f>
        <v>23XXR115</v>
      </c>
      <c r="B126" s="121" t="s">
        <v>40</v>
      </c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89"/>
      <c r="R126" s="91">
        <f t="shared" si="0"/>
        <v>0</v>
      </c>
      <c r="S126" s="91">
        <f>BASE!A130</f>
        <v>115</v>
      </c>
      <c r="T126" s="89">
        <f t="shared" si="1"/>
        <v>0</v>
      </c>
      <c r="U126" s="89">
        <f t="shared" si="2"/>
        <v>0</v>
      </c>
      <c r="V126" s="89">
        <f t="shared" si="3"/>
        <v>0</v>
      </c>
      <c r="W126" s="89">
        <f t="shared" si="4"/>
        <v>0</v>
      </c>
      <c r="X126" s="89">
        <f t="shared" si="5"/>
        <v>0</v>
      </c>
      <c r="Y126" s="28"/>
    </row>
    <row r="127" spans="1:25" ht="20.25" customHeight="1">
      <c r="A127" s="88" t="str">
        <f>+IF(BASE!B131="","",BASE!B131)</f>
        <v>23XXR116</v>
      </c>
      <c r="B127" s="121" t="s">
        <v>40</v>
      </c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89"/>
      <c r="R127" s="91">
        <f t="shared" si="0"/>
        <v>0</v>
      </c>
      <c r="S127" s="91">
        <f>BASE!A131</f>
        <v>116</v>
      </c>
      <c r="T127" s="89">
        <f t="shared" si="1"/>
        <v>0</v>
      </c>
      <c r="U127" s="89">
        <f t="shared" si="2"/>
        <v>0</v>
      </c>
      <c r="V127" s="89">
        <f t="shared" si="3"/>
        <v>0</v>
      </c>
      <c r="W127" s="89">
        <f t="shared" si="4"/>
        <v>0</v>
      </c>
      <c r="X127" s="89">
        <f t="shared" si="5"/>
        <v>0</v>
      </c>
      <c r="Y127" s="28"/>
    </row>
    <row r="128" spans="1:25" ht="20.25" customHeight="1">
      <c r="A128" s="88" t="str">
        <f>+IF(BASE!B132="","",BASE!B132)</f>
        <v>23XXR117</v>
      </c>
      <c r="B128" s="121" t="s">
        <v>40</v>
      </c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89"/>
      <c r="R128" s="91">
        <f t="shared" si="0"/>
        <v>0</v>
      </c>
      <c r="S128" s="91">
        <f>BASE!A132</f>
        <v>117</v>
      </c>
      <c r="T128" s="89">
        <f t="shared" si="1"/>
        <v>0</v>
      </c>
      <c r="U128" s="89">
        <f t="shared" si="2"/>
        <v>0</v>
      </c>
      <c r="V128" s="89">
        <f t="shared" si="3"/>
        <v>0</v>
      </c>
      <c r="W128" s="89">
        <f t="shared" si="4"/>
        <v>0</v>
      </c>
      <c r="X128" s="89">
        <f t="shared" si="5"/>
        <v>0</v>
      </c>
      <c r="Y128" s="28"/>
    </row>
    <row r="129" spans="1:25" ht="20.25" customHeight="1">
      <c r="A129" s="88" t="str">
        <f>+IF(BASE!B133="","",BASE!B133)</f>
        <v>23XXR118</v>
      </c>
      <c r="B129" s="121" t="s">
        <v>40</v>
      </c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89"/>
      <c r="R129" s="91">
        <f t="shared" si="0"/>
        <v>0</v>
      </c>
      <c r="S129" s="91">
        <f>BASE!A133</f>
        <v>118</v>
      </c>
      <c r="T129" s="89">
        <f t="shared" si="1"/>
        <v>0</v>
      </c>
      <c r="U129" s="89">
        <f t="shared" si="2"/>
        <v>0</v>
      </c>
      <c r="V129" s="89">
        <f t="shared" si="3"/>
        <v>0</v>
      </c>
      <c r="W129" s="89">
        <f t="shared" si="4"/>
        <v>0</v>
      </c>
      <c r="X129" s="89">
        <f t="shared" si="5"/>
        <v>0</v>
      </c>
      <c r="Y129" s="28"/>
    </row>
    <row r="130" spans="1:25" ht="20.25" customHeight="1">
      <c r="A130" s="88" t="str">
        <f>+IF(BASE!B134="","",BASE!B134)</f>
        <v>23XXR119</v>
      </c>
      <c r="B130" s="121" t="s">
        <v>40</v>
      </c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89"/>
      <c r="R130" s="91">
        <f t="shared" si="0"/>
        <v>0</v>
      </c>
      <c r="S130" s="91">
        <f>BASE!A134</f>
        <v>119</v>
      </c>
      <c r="T130" s="89">
        <f t="shared" si="1"/>
        <v>0</v>
      </c>
      <c r="U130" s="89">
        <f t="shared" si="2"/>
        <v>0</v>
      </c>
      <c r="V130" s="89">
        <f t="shared" si="3"/>
        <v>0</v>
      </c>
      <c r="W130" s="89">
        <f t="shared" si="4"/>
        <v>0</v>
      </c>
      <c r="X130" s="89">
        <f t="shared" si="5"/>
        <v>0</v>
      </c>
      <c r="Y130" s="28"/>
    </row>
    <row r="131" spans="1:25" ht="20.25" customHeight="1">
      <c r="A131" s="88" t="str">
        <f>+IF(BASE!B135="","",BASE!B135)</f>
        <v>23XXR120</v>
      </c>
      <c r="B131" s="121" t="s">
        <v>40</v>
      </c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89"/>
      <c r="R131" s="91">
        <f t="shared" si="0"/>
        <v>0</v>
      </c>
      <c r="S131" s="91">
        <f>BASE!A135</f>
        <v>120</v>
      </c>
      <c r="T131" s="89">
        <f t="shared" si="1"/>
        <v>0</v>
      </c>
      <c r="U131" s="89">
        <f t="shared" si="2"/>
        <v>0</v>
      </c>
      <c r="V131" s="89">
        <f t="shared" si="3"/>
        <v>0</v>
      </c>
      <c r="W131" s="89">
        <f t="shared" si="4"/>
        <v>0</v>
      </c>
      <c r="X131" s="89">
        <f t="shared" si="5"/>
        <v>0</v>
      </c>
      <c r="Y131" s="28"/>
    </row>
    <row r="132" spans="1:25" ht="20.25" customHeight="1">
      <c r="A132" s="88" t="str">
        <f>+IF(BASE!B136="","",BASE!B136)</f>
        <v>23XXR121</v>
      </c>
      <c r="B132" s="121" t="s">
        <v>40</v>
      </c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89"/>
      <c r="R132" s="91">
        <f t="shared" si="0"/>
        <v>0</v>
      </c>
      <c r="S132" s="91">
        <f>BASE!A136</f>
        <v>121</v>
      </c>
      <c r="T132" s="89">
        <f t="shared" si="1"/>
        <v>0</v>
      </c>
      <c r="U132" s="89">
        <f t="shared" si="2"/>
        <v>0</v>
      </c>
      <c r="V132" s="89">
        <f t="shared" si="3"/>
        <v>0</v>
      </c>
      <c r="W132" s="89">
        <f t="shared" si="4"/>
        <v>0</v>
      </c>
      <c r="X132" s="89">
        <f t="shared" si="5"/>
        <v>0</v>
      </c>
      <c r="Y132" s="28"/>
    </row>
    <row r="133" spans="1:25" ht="20.25" customHeight="1">
      <c r="A133" s="88" t="str">
        <f>+IF(BASE!B137="","",BASE!B137)</f>
        <v>23XXR122</v>
      </c>
      <c r="B133" s="121" t="s">
        <v>40</v>
      </c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89"/>
      <c r="R133" s="91">
        <f t="shared" si="0"/>
        <v>0</v>
      </c>
      <c r="S133" s="91">
        <f>BASE!A137</f>
        <v>122</v>
      </c>
      <c r="T133" s="89">
        <f t="shared" si="1"/>
        <v>0</v>
      </c>
      <c r="U133" s="89">
        <f t="shared" si="2"/>
        <v>0</v>
      </c>
      <c r="V133" s="89">
        <f t="shared" si="3"/>
        <v>0</v>
      </c>
      <c r="W133" s="89">
        <f t="shared" si="4"/>
        <v>0</v>
      </c>
      <c r="X133" s="89">
        <f t="shared" si="5"/>
        <v>0</v>
      </c>
      <c r="Y133" s="28"/>
    </row>
    <row r="134" spans="1:25" ht="20.25" customHeight="1">
      <c r="A134" s="88" t="str">
        <f>+IF(BASE!B138="","",BASE!B138)</f>
        <v>23XXR123</v>
      </c>
      <c r="B134" s="121" t="s">
        <v>40</v>
      </c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89"/>
      <c r="R134" s="91">
        <f t="shared" si="0"/>
        <v>0</v>
      </c>
      <c r="S134" s="91">
        <f>BASE!A138</f>
        <v>123</v>
      </c>
      <c r="T134" s="89">
        <f t="shared" si="1"/>
        <v>0</v>
      </c>
      <c r="U134" s="89">
        <f t="shared" si="2"/>
        <v>0</v>
      </c>
      <c r="V134" s="89">
        <f t="shared" si="3"/>
        <v>0</v>
      </c>
      <c r="W134" s="89">
        <f t="shared" si="4"/>
        <v>0</v>
      </c>
      <c r="X134" s="89">
        <f t="shared" si="5"/>
        <v>0</v>
      </c>
      <c r="Y134" s="28"/>
    </row>
    <row r="135" spans="1:25" ht="20.25" customHeight="1">
      <c r="A135" s="88" t="str">
        <f>+IF(BASE!B139="","",BASE!B139)</f>
        <v>23XXR124</v>
      </c>
      <c r="B135" s="121" t="s">
        <v>40</v>
      </c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89"/>
      <c r="R135" s="91">
        <f t="shared" si="0"/>
        <v>0</v>
      </c>
      <c r="S135" s="91">
        <f>BASE!A139</f>
        <v>124</v>
      </c>
      <c r="T135" s="89">
        <f t="shared" si="1"/>
        <v>0</v>
      </c>
      <c r="U135" s="89">
        <f t="shared" si="2"/>
        <v>0</v>
      </c>
      <c r="V135" s="89">
        <f t="shared" si="3"/>
        <v>0</v>
      </c>
      <c r="W135" s="89">
        <f t="shared" si="4"/>
        <v>0</v>
      </c>
      <c r="X135" s="89">
        <f t="shared" si="5"/>
        <v>0</v>
      </c>
      <c r="Y135" s="28"/>
    </row>
    <row r="136" spans="1:25" ht="20.25" customHeight="1">
      <c r="A136" s="88" t="str">
        <f>+IF(BASE!B140="","",BASE!B140)</f>
        <v>23XXR125</v>
      </c>
      <c r="B136" s="121" t="s">
        <v>40</v>
      </c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89"/>
      <c r="R136" s="91">
        <f t="shared" si="0"/>
        <v>0</v>
      </c>
      <c r="S136" s="91">
        <f>BASE!A140</f>
        <v>125</v>
      </c>
      <c r="T136" s="89">
        <f t="shared" si="1"/>
        <v>0</v>
      </c>
      <c r="U136" s="89">
        <f t="shared" si="2"/>
        <v>0</v>
      </c>
      <c r="V136" s="89">
        <f t="shared" si="3"/>
        <v>0</v>
      </c>
      <c r="W136" s="89">
        <f t="shared" si="4"/>
        <v>0</v>
      </c>
      <c r="X136" s="89">
        <f t="shared" si="5"/>
        <v>0</v>
      </c>
      <c r="Y136" s="28"/>
    </row>
    <row r="137" spans="1:25" ht="20.25" customHeight="1">
      <c r="A137" s="88" t="str">
        <f>+IF(BASE!B141="","",BASE!B141)</f>
        <v>23XXR126</v>
      </c>
      <c r="B137" s="121" t="s">
        <v>40</v>
      </c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89"/>
      <c r="R137" s="91">
        <f t="shared" si="0"/>
        <v>0</v>
      </c>
      <c r="S137" s="91">
        <f>BASE!A141</f>
        <v>126</v>
      </c>
      <c r="T137" s="89">
        <f t="shared" si="1"/>
        <v>0</v>
      </c>
      <c r="U137" s="89">
        <f t="shared" si="2"/>
        <v>0</v>
      </c>
      <c r="V137" s="89">
        <f t="shared" si="3"/>
        <v>0</v>
      </c>
      <c r="W137" s="89">
        <f t="shared" si="4"/>
        <v>0</v>
      </c>
      <c r="X137" s="89">
        <f t="shared" si="5"/>
        <v>0</v>
      </c>
      <c r="Y137" s="28"/>
    </row>
    <row r="138" spans="1:25" ht="20.25" customHeight="1">
      <c r="A138" s="88" t="str">
        <f>+IF(BASE!B142="","",BASE!B142)</f>
        <v>23XXR127</v>
      </c>
      <c r="B138" s="121" t="s">
        <v>40</v>
      </c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89"/>
      <c r="R138" s="91">
        <f t="shared" si="0"/>
        <v>0</v>
      </c>
      <c r="S138" s="91">
        <f>BASE!A142</f>
        <v>127</v>
      </c>
      <c r="T138" s="89">
        <f t="shared" si="1"/>
        <v>0</v>
      </c>
      <c r="U138" s="89">
        <f t="shared" si="2"/>
        <v>0</v>
      </c>
      <c r="V138" s="89">
        <f t="shared" si="3"/>
        <v>0</v>
      </c>
      <c r="W138" s="89">
        <f t="shared" si="4"/>
        <v>0</v>
      </c>
      <c r="X138" s="89">
        <f t="shared" si="5"/>
        <v>0</v>
      </c>
      <c r="Y138" s="28"/>
    </row>
    <row r="139" spans="1:25" ht="20.25" customHeight="1">
      <c r="A139" s="88" t="str">
        <f>+IF(BASE!B143="","",BASE!B143)</f>
        <v>23XXR128</v>
      </c>
      <c r="B139" s="121" t="s">
        <v>40</v>
      </c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89"/>
      <c r="R139" s="91">
        <f t="shared" si="0"/>
        <v>0</v>
      </c>
      <c r="S139" s="91">
        <f>BASE!A143</f>
        <v>128</v>
      </c>
      <c r="T139" s="89">
        <f t="shared" si="1"/>
        <v>0</v>
      </c>
      <c r="U139" s="89">
        <f t="shared" si="2"/>
        <v>0</v>
      </c>
      <c r="V139" s="89">
        <f t="shared" si="3"/>
        <v>0</v>
      </c>
      <c r="W139" s="89">
        <f t="shared" si="4"/>
        <v>0</v>
      </c>
      <c r="X139" s="89">
        <f t="shared" si="5"/>
        <v>0</v>
      </c>
      <c r="Y139" s="28"/>
    </row>
    <row r="140" spans="1:25" ht="20.25" customHeight="1">
      <c r="A140" s="88" t="str">
        <f>+IF(BASE!B144="","",BASE!B144)</f>
        <v>23XXR129</v>
      </c>
      <c r="B140" s="121" t="s">
        <v>40</v>
      </c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89"/>
      <c r="R140" s="91">
        <f t="shared" si="0"/>
        <v>0</v>
      </c>
      <c r="S140" s="91">
        <f>BASE!A144</f>
        <v>129</v>
      </c>
      <c r="T140" s="89">
        <f t="shared" si="1"/>
        <v>0</v>
      </c>
      <c r="U140" s="89">
        <f t="shared" si="2"/>
        <v>0</v>
      </c>
      <c r="V140" s="89">
        <f t="shared" si="3"/>
        <v>0</v>
      </c>
      <c r="W140" s="89">
        <f t="shared" si="4"/>
        <v>0</v>
      </c>
      <c r="X140" s="89">
        <f t="shared" si="5"/>
        <v>0</v>
      </c>
      <c r="Y140" s="28"/>
    </row>
    <row r="141" spans="1:25" ht="20.25" customHeight="1">
      <c r="A141" s="88" t="str">
        <f>+IF(BASE!B145="","",BASE!B145)</f>
        <v>23XXR130</v>
      </c>
      <c r="B141" s="121" t="s">
        <v>40</v>
      </c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89"/>
      <c r="R141" s="91">
        <f t="shared" si="0"/>
        <v>0</v>
      </c>
      <c r="S141" s="91">
        <f>BASE!A145</f>
        <v>130</v>
      </c>
      <c r="T141" s="89">
        <f t="shared" si="1"/>
        <v>0</v>
      </c>
      <c r="U141" s="89">
        <f t="shared" si="2"/>
        <v>0</v>
      </c>
      <c r="V141" s="89">
        <f t="shared" si="3"/>
        <v>0</v>
      </c>
      <c r="W141" s="89">
        <f t="shared" si="4"/>
        <v>0</v>
      </c>
      <c r="X141" s="89">
        <f t="shared" si="5"/>
        <v>0</v>
      </c>
      <c r="Y141" s="28"/>
    </row>
    <row r="142" spans="1:25" ht="20.25" customHeight="1">
      <c r="A142" s="88" t="str">
        <f>+IF(BASE!B146="","",BASE!B146)</f>
        <v>23XXR131</v>
      </c>
      <c r="B142" s="121" t="s">
        <v>40</v>
      </c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89"/>
      <c r="R142" s="91">
        <f t="shared" si="0"/>
        <v>0</v>
      </c>
      <c r="S142" s="91">
        <f>BASE!A146</f>
        <v>131</v>
      </c>
      <c r="T142" s="89">
        <f t="shared" si="1"/>
        <v>0</v>
      </c>
      <c r="U142" s="89">
        <f t="shared" si="2"/>
        <v>0</v>
      </c>
      <c r="V142" s="89">
        <f t="shared" si="3"/>
        <v>0</v>
      </c>
      <c r="W142" s="89">
        <f t="shared" si="4"/>
        <v>0</v>
      </c>
      <c r="X142" s="89">
        <f t="shared" si="5"/>
        <v>0</v>
      </c>
      <c r="Y142" s="28"/>
    </row>
    <row r="143" spans="1:25" ht="20.25" customHeight="1">
      <c r="A143" s="88" t="str">
        <f>+IF(BASE!B147="","",BASE!B147)</f>
        <v>23XXR132</v>
      </c>
      <c r="B143" s="121" t="s">
        <v>40</v>
      </c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89"/>
      <c r="R143" s="91">
        <f t="shared" si="0"/>
        <v>0</v>
      </c>
      <c r="S143" s="91">
        <f>BASE!A147</f>
        <v>132</v>
      </c>
      <c r="T143" s="89">
        <f t="shared" si="1"/>
        <v>0</v>
      </c>
      <c r="U143" s="89">
        <f t="shared" si="2"/>
        <v>0</v>
      </c>
      <c r="V143" s="89">
        <f t="shared" si="3"/>
        <v>0</v>
      </c>
      <c r="W143" s="89">
        <f t="shared" si="4"/>
        <v>0</v>
      </c>
      <c r="X143" s="89">
        <f t="shared" si="5"/>
        <v>0</v>
      </c>
      <c r="Y143" s="28"/>
    </row>
    <row r="144" spans="1:25" ht="20.25" customHeight="1">
      <c r="A144" s="88" t="str">
        <f>+IF(BASE!B148="","",BASE!B148)</f>
        <v>23XXR133</v>
      </c>
      <c r="B144" s="121" t="s">
        <v>40</v>
      </c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89"/>
      <c r="R144" s="91">
        <f t="shared" si="0"/>
        <v>0</v>
      </c>
      <c r="S144" s="91">
        <f>BASE!A148</f>
        <v>133</v>
      </c>
      <c r="T144" s="89">
        <f t="shared" si="1"/>
        <v>0</v>
      </c>
      <c r="U144" s="89">
        <f t="shared" si="2"/>
        <v>0</v>
      </c>
      <c r="V144" s="89">
        <f t="shared" si="3"/>
        <v>0</v>
      </c>
      <c r="W144" s="89">
        <f t="shared" si="4"/>
        <v>0</v>
      </c>
      <c r="X144" s="89">
        <f t="shared" si="5"/>
        <v>0</v>
      </c>
      <c r="Y144" s="28"/>
    </row>
    <row r="145" spans="1:25" ht="20.25" customHeight="1">
      <c r="A145" s="88" t="str">
        <f>+IF(BASE!B149="","",BASE!B149)</f>
        <v>23XXR134</v>
      </c>
      <c r="B145" s="121" t="s">
        <v>40</v>
      </c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89"/>
      <c r="R145" s="91">
        <f t="shared" si="0"/>
        <v>0</v>
      </c>
      <c r="S145" s="91">
        <f>BASE!A149</f>
        <v>134</v>
      </c>
      <c r="T145" s="89">
        <f t="shared" si="1"/>
        <v>0</v>
      </c>
      <c r="U145" s="89">
        <f t="shared" si="2"/>
        <v>0</v>
      </c>
      <c r="V145" s="89">
        <f t="shared" si="3"/>
        <v>0</v>
      </c>
      <c r="W145" s="89">
        <f t="shared" si="4"/>
        <v>0</v>
      </c>
      <c r="X145" s="89">
        <f t="shared" si="5"/>
        <v>0</v>
      </c>
      <c r="Y145" s="28"/>
    </row>
    <row r="146" spans="1:25" ht="20.25" customHeight="1">
      <c r="A146" s="88" t="str">
        <f>+IF(BASE!B150="","",BASE!B150)</f>
        <v>23XXR135</v>
      </c>
      <c r="B146" s="121" t="s">
        <v>40</v>
      </c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89"/>
      <c r="R146" s="91">
        <f t="shared" si="0"/>
        <v>0</v>
      </c>
      <c r="S146" s="91">
        <f>BASE!A150</f>
        <v>135</v>
      </c>
      <c r="T146" s="89">
        <f t="shared" si="1"/>
        <v>0</v>
      </c>
      <c r="U146" s="89">
        <f t="shared" si="2"/>
        <v>0</v>
      </c>
      <c r="V146" s="89">
        <f t="shared" si="3"/>
        <v>0</v>
      </c>
      <c r="W146" s="89">
        <f t="shared" si="4"/>
        <v>0</v>
      </c>
      <c r="X146" s="89">
        <f t="shared" si="5"/>
        <v>0</v>
      </c>
      <c r="Y146" s="28"/>
    </row>
    <row r="147" spans="1:25" ht="20.25" customHeight="1">
      <c r="A147" s="88" t="str">
        <f>+IF(BASE!B151="","",BASE!B151)</f>
        <v>23XXR136</v>
      </c>
      <c r="B147" s="121" t="s">
        <v>40</v>
      </c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89"/>
      <c r="R147" s="91">
        <f t="shared" si="0"/>
        <v>0</v>
      </c>
      <c r="S147" s="91">
        <f>BASE!A151</f>
        <v>136</v>
      </c>
      <c r="T147" s="89">
        <f t="shared" si="1"/>
        <v>0</v>
      </c>
      <c r="U147" s="89">
        <f t="shared" si="2"/>
        <v>0</v>
      </c>
      <c r="V147" s="89">
        <f t="shared" si="3"/>
        <v>0</v>
      </c>
      <c r="W147" s="89">
        <f t="shared" si="4"/>
        <v>0</v>
      </c>
      <c r="X147" s="89">
        <f t="shared" si="5"/>
        <v>0</v>
      </c>
      <c r="Y147" s="28"/>
    </row>
    <row r="148" spans="1:25" ht="20.25" customHeight="1">
      <c r="A148" s="88" t="str">
        <f>+IF(BASE!B152="","",BASE!B152)</f>
        <v>23XXR137</v>
      </c>
      <c r="B148" s="121" t="s">
        <v>40</v>
      </c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89"/>
      <c r="R148" s="91">
        <f t="shared" si="0"/>
        <v>0</v>
      </c>
      <c r="S148" s="91">
        <f>BASE!A152</f>
        <v>137</v>
      </c>
      <c r="T148" s="89">
        <f t="shared" si="1"/>
        <v>0</v>
      </c>
      <c r="U148" s="89">
        <f t="shared" si="2"/>
        <v>0</v>
      </c>
      <c r="V148" s="89">
        <f t="shared" si="3"/>
        <v>0</v>
      </c>
      <c r="W148" s="89">
        <f t="shared" si="4"/>
        <v>0</v>
      </c>
      <c r="X148" s="89">
        <f t="shared" si="5"/>
        <v>0</v>
      </c>
      <c r="Y148" s="28"/>
    </row>
    <row r="149" spans="1:25" ht="20.25" customHeight="1">
      <c r="A149" s="88" t="str">
        <f>+IF(BASE!B153="","",BASE!B153)</f>
        <v>23XXR138</v>
      </c>
      <c r="B149" s="121" t="s">
        <v>40</v>
      </c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89"/>
      <c r="R149" s="91">
        <f t="shared" si="0"/>
        <v>0</v>
      </c>
      <c r="S149" s="91">
        <f>BASE!A153</f>
        <v>138</v>
      </c>
      <c r="T149" s="89">
        <f t="shared" si="1"/>
        <v>0</v>
      </c>
      <c r="U149" s="89">
        <f t="shared" si="2"/>
        <v>0</v>
      </c>
      <c r="V149" s="89">
        <f t="shared" si="3"/>
        <v>0</v>
      </c>
      <c r="W149" s="89">
        <f t="shared" si="4"/>
        <v>0</v>
      </c>
      <c r="X149" s="89">
        <f t="shared" si="5"/>
        <v>0</v>
      </c>
      <c r="Y149" s="28"/>
    </row>
    <row r="150" spans="1:25" ht="20.25" customHeight="1">
      <c r="A150" s="88" t="str">
        <f>+IF(BASE!B154="","",BASE!B154)</f>
        <v>23XXR139</v>
      </c>
      <c r="B150" s="121" t="s">
        <v>40</v>
      </c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89"/>
      <c r="R150" s="91">
        <f t="shared" si="0"/>
        <v>0</v>
      </c>
      <c r="S150" s="91">
        <f>BASE!A154</f>
        <v>139</v>
      </c>
      <c r="T150" s="89">
        <f t="shared" si="1"/>
        <v>0</v>
      </c>
      <c r="U150" s="89">
        <f t="shared" si="2"/>
        <v>0</v>
      </c>
      <c r="V150" s="89">
        <f t="shared" si="3"/>
        <v>0</v>
      </c>
      <c r="W150" s="89">
        <f t="shared" si="4"/>
        <v>0</v>
      </c>
      <c r="X150" s="89">
        <f t="shared" si="5"/>
        <v>0</v>
      </c>
      <c r="Y150" s="28"/>
    </row>
    <row r="151" spans="1:25" ht="20.25" customHeight="1">
      <c r="A151" s="88" t="str">
        <f>+IF(BASE!B155="","",BASE!B155)</f>
        <v>23XXR140</v>
      </c>
      <c r="B151" s="121" t="s">
        <v>40</v>
      </c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89"/>
      <c r="R151" s="91">
        <f t="shared" si="0"/>
        <v>0</v>
      </c>
      <c r="S151" s="91">
        <f>BASE!A155</f>
        <v>140</v>
      </c>
      <c r="T151" s="89">
        <f t="shared" si="1"/>
        <v>0</v>
      </c>
      <c r="U151" s="89">
        <f t="shared" si="2"/>
        <v>0</v>
      </c>
      <c r="V151" s="89">
        <f t="shared" si="3"/>
        <v>0</v>
      </c>
      <c r="W151" s="89">
        <f t="shared" si="4"/>
        <v>0</v>
      </c>
      <c r="X151" s="89">
        <f t="shared" si="5"/>
        <v>0</v>
      </c>
      <c r="Y151" s="28"/>
    </row>
    <row r="152" spans="1:25" ht="20.25" customHeight="1">
      <c r="A152" s="88" t="str">
        <f>+IF(BASE!B156="","",BASE!B156)</f>
        <v>23XXR141</v>
      </c>
      <c r="B152" s="121" t="s">
        <v>40</v>
      </c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89"/>
      <c r="R152" s="91">
        <f t="shared" si="0"/>
        <v>0</v>
      </c>
      <c r="S152" s="91">
        <f>BASE!A156</f>
        <v>141</v>
      </c>
      <c r="T152" s="89">
        <f t="shared" si="1"/>
        <v>0</v>
      </c>
      <c r="U152" s="89">
        <f t="shared" si="2"/>
        <v>0</v>
      </c>
      <c r="V152" s="89">
        <f t="shared" si="3"/>
        <v>0</v>
      </c>
      <c r="W152" s="89">
        <f t="shared" si="4"/>
        <v>0</v>
      </c>
      <c r="X152" s="89">
        <f t="shared" si="5"/>
        <v>0</v>
      </c>
      <c r="Y152" s="28"/>
    </row>
    <row r="153" spans="1:25" ht="20.25" customHeight="1">
      <c r="A153" s="88" t="str">
        <f>+IF(BASE!B157="","",BASE!B157)</f>
        <v>23XXR142</v>
      </c>
      <c r="B153" s="121" t="s">
        <v>40</v>
      </c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89"/>
      <c r="R153" s="91">
        <f t="shared" si="0"/>
        <v>0</v>
      </c>
      <c r="S153" s="91">
        <f>BASE!A157</f>
        <v>142</v>
      </c>
      <c r="T153" s="89">
        <f t="shared" si="1"/>
        <v>0</v>
      </c>
      <c r="U153" s="89">
        <f t="shared" si="2"/>
        <v>0</v>
      </c>
      <c r="V153" s="89">
        <f t="shared" si="3"/>
        <v>0</v>
      </c>
      <c r="W153" s="89">
        <f t="shared" si="4"/>
        <v>0</v>
      </c>
      <c r="X153" s="89">
        <f t="shared" si="5"/>
        <v>0</v>
      </c>
      <c r="Y153" s="28"/>
    </row>
    <row r="154" spans="1:25" ht="20.25" customHeight="1">
      <c r="A154" s="88" t="str">
        <f>+IF(BASE!B158="","",BASE!B158)</f>
        <v>23XXR143</v>
      </c>
      <c r="B154" s="121" t="s">
        <v>40</v>
      </c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89"/>
      <c r="R154" s="91">
        <f t="shared" si="0"/>
        <v>0</v>
      </c>
      <c r="S154" s="91">
        <f>BASE!A158</f>
        <v>143</v>
      </c>
      <c r="T154" s="89">
        <f t="shared" si="1"/>
        <v>0</v>
      </c>
      <c r="U154" s="89">
        <f t="shared" si="2"/>
        <v>0</v>
      </c>
      <c r="V154" s="89">
        <f t="shared" si="3"/>
        <v>0</v>
      </c>
      <c r="W154" s="89">
        <f t="shared" si="4"/>
        <v>0</v>
      </c>
      <c r="X154" s="89">
        <f t="shared" si="5"/>
        <v>0</v>
      </c>
      <c r="Y154" s="28"/>
    </row>
    <row r="155" spans="1:25" ht="20.25" customHeight="1">
      <c r="A155" s="88" t="str">
        <f>+IF(BASE!B159="","",BASE!B159)</f>
        <v>23XXR144</v>
      </c>
      <c r="B155" s="121" t="s">
        <v>40</v>
      </c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89"/>
      <c r="R155" s="91">
        <f t="shared" si="0"/>
        <v>0</v>
      </c>
      <c r="S155" s="91">
        <f>BASE!A159</f>
        <v>144</v>
      </c>
      <c r="T155" s="89">
        <f t="shared" si="1"/>
        <v>0</v>
      </c>
      <c r="U155" s="89">
        <f t="shared" si="2"/>
        <v>0</v>
      </c>
      <c r="V155" s="89">
        <f t="shared" si="3"/>
        <v>0</v>
      </c>
      <c r="W155" s="89">
        <f t="shared" si="4"/>
        <v>0</v>
      </c>
      <c r="X155" s="89">
        <f t="shared" si="5"/>
        <v>0</v>
      </c>
      <c r="Y155" s="28"/>
    </row>
    <row r="156" spans="1:25" ht="20.25" customHeight="1">
      <c r="A156" s="88" t="str">
        <f>+IF(BASE!B160="","",BASE!B160)</f>
        <v>23XXR145</v>
      </c>
      <c r="B156" s="121" t="s">
        <v>40</v>
      </c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89"/>
      <c r="R156" s="91">
        <f t="shared" si="0"/>
        <v>0</v>
      </c>
      <c r="S156" s="91">
        <f>BASE!A160</f>
        <v>145</v>
      </c>
      <c r="T156" s="89">
        <f t="shared" si="1"/>
        <v>0</v>
      </c>
      <c r="U156" s="89">
        <f t="shared" si="2"/>
        <v>0</v>
      </c>
      <c r="V156" s="89">
        <f t="shared" si="3"/>
        <v>0</v>
      </c>
      <c r="W156" s="89">
        <f t="shared" si="4"/>
        <v>0</v>
      </c>
      <c r="X156" s="89">
        <f t="shared" si="5"/>
        <v>0</v>
      </c>
      <c r="Y156" s="28"/>
    </row>
    <row r="157" spans="1:25" ht="20.25" customHeight="1">
      <c r="A157" s="88" t="str">
        <f>+IF(BASE!B161="","",BASE!B161)</f>
        <v>23XXR146</v>
      </c>
      <c r="B157" s="121" t="s">
        <v>40</v>
      </c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89"/>
      <c r="R157" s="91">
        <f t="shared" si="0"/>
        <v>0</v>
      </c>
      <c r="S157" s="91">
        <f>BASE!A161</f>
        <v>146</v>
      </c>
      <c r="T157" s="89">
        <f t="shared" si="1"/>
        <v>0</v>
      </c>
      <c r="U157" s="89">
        <f t="shared" si="2"/>
        <v>0</v>
      </c>
      <c r="V157" s="89">
        <f t="shared" si="3"/>
        <v>0</v>
      </c>
      <c r="W157" s="89">
        <f t="shared" si="4"/>
        <v>0</v>
      </c>
      <c r="X157" s="89">
        <f t="shared" si="5"/>
        <v>0</v>
      </c>
      <c r="Y157" s="28"/>
    </row>
    <row r="158" spans="1:25" ht="20.25" customHeight="1">
      <c r="A158" s="88" t="str">
        <f>+IF(BASE!B162="","",BASE!B162)</f>
        <v>23XXR147</v>
      </c>
      <c r="B158" s="121" t="s">
        <v>40</v>
      </c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89"/>
      <c r="R158" s="91">
        <f t="shared" si="0"/>
        <v>0</v>
      </c>
      <c r="S158" s="91">
        <f>BASE!A162</f>
        <v>147</v>
      </c>
      <c r="T158" s="89">
        <f t="shared" si="1"/>
        <v>0</v>
      </c>
      <c r="U158" s="89">
        <f t="shared" si="2"/>
        <v>0</v>
      </c>
      <c r="V158" s="89">
        <f t="shared" si="3"/>
        <v>0</v>
      </c>
      <c r="W158" s="89">
        <f t="shared" si="4"/>
        <v>0</v>
      </c>
      <c r="X158" s="89">
        <f t="shared" si="5"/>
        <v>0</v>
      </c>
      <c r="Y158" s="28"/>
    </row>
    <row r="159" spans="1:25" ht="20.25" customHeight="1">
      <c r="A159" s="88" t="str">
        <f>+IF(BASE!B163="","",BASE!B163)</f>
        <v>23XXR148</v>
      </c>
      <c r="B159" s="121" t="s">
        <v>40</v>
      </c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89"/>
      <c r="R159" s="91">
        <f t="shared" si="0"/>
        <v>0</v>
      </c>
      <c r="S159" s="91">
        <f>BASE!A163</f>
        <v>148</v>
      </c>
      <c r="T159" s="89">
        <f t="shared" si="1"/>
        <v>0</v>
      </c>
      <c r="U159" s="89">
        <f t="shared" si="2"/>
        <v>0</v>
      </c>
      <c r="V159" s="89">
        <f t="shared" si="3"/>
        <v>0</v>
      </c>
      <c r="W159" s="89">
        <f t="shared" si="4"/>
        <v>0</v>
      </c>
      <c r="X159" s="89">
        <f t="shared" si="5"/>
        <v>0</v>
      </c>
      <c r="Y159" s="28"/>
    </row>
    <row r="160" spans="1:25" ht="20.25" customHeight="1">
      <c r="A160" s="88" t="str">
        <f>+IF(BASE!B164="","",BASE!B164)</f>
        <v>23XXR149</v>
      </c>
      <c r="B160" s="121" t="s">
        <v>40</v>
      </c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89"/>
      <c r="R160" s="91">
        <f t="shared" si="0"/>
        <v>0</v>
      </c>
      <c r="S160" s="91">
        <f>BASE!A164</f>
        <v>149</v>
      </c>
      <c r="T160" s="89">
        <f t="shared" si="1"/>
        <v>0</v>
      </c>
      <c r="U160" s="89">
        <f t="shared" si="2"/>
        <v>0</v>
      </c>
      <c r="V160" s="89">
        <f t="shared" si="3"/>
        <v>0</v>
      </c>
      <c r="W160" s="89">
        <f t="shared" si="4"/>
        <v>0</v>
      </c>
      <c r="X160" s="89">
        <f t="shared" si="5"/>
        <v>0</v>
      </c>
      <c r="Y160" s="28"/>
    </row>
    <row r="161" spans="1:25" ht="20.25" customHeight="1">
      <c r="A161" s="88" t="str">
        <f>+IF(BASE!B165="","",BASE!B165)</f>
        <v>23XXR150</v>
      </c>
      <c r="B161" s="121" t="s">
        <v>40</v>
      </c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89"/>
      <c r="R161" s="91">
        <f t="shared" si="0"/>
        <v>0</v>
      </c>
      <c r="S161" s="91">
        <f>BASE!A165</f>
        <v>150</v>
      </c>
      <c r="T161" s="89">
        <f t="shared" si="1"/>
        <v>0</v>
      </c>
      <c r="U161" s="89">
        <f t="shared" si="2"/>
        <v>0</v>
      </c>
      <c r="V161" s="89">
        <f t="shared" si="3"/>
        <v>0</v>
      </c>
      <c r="W161" s="89">
        <f t="shared" si="4"/>
        <v>0</v>
      </c>
      <c r="X161" s="89">
        <f t="shared" si="5"/>
        <v>0</v>
      </c>
      <c r="Y161" s="28"/>
    </row>
    <row r="162" spans="1:25" ht="20.25" customHeight="1">
      <c r="A162" s="88" t="str">
        <f>+IF(BASE!B166="","",BASE!B166)</f>
        <v>23XXR151</v>
      </c>
      <c r="B162" s="121" t="s">
        <v>40</v>
      </c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89"/>
      <c r="R162" s="91">
        <f t="shared" si="0"/>
        <v>0</v>
      </c>
      <c r="S162" s="91">
        <f>BASE!A166</f>
        <v>151</v>
      </c>
      <c r="T162" s="89">
        <f t="shared" si="1"/>
        <v>0</v>
      </c>
      <c r="U162" s="89">
        <f t="shared" si="2"/>
        <v>0</v>
      </c>
      <c r="V162" s="89">
        <f t="shared" si="3"/>
        <v>0</v>
      </c>
      <c r="W162" s="89">
        <f t="shared" si="4"/>
        <v>0</v>
      </c>
      <c r="X162" s="89">
        <f t="shared" si="5"/>
        <v>0</v>
      </c>
      <c r="Y162" s="28"/>
    </row>
    <row r="163" spans="1:25" ht="20.25" customHeight="1">
      <c r="A163" s="88" t="str">
        <f>+IF(BASE!B167="","",BASE!B167)</f>
        <v>23XXR152</v>
      </c>
      <c r="B163" s="121" t="s">
        <v>40</v>
      </c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89"/>
      <c r="R163" s="91">
        <f t="shared" si="0"/>
        <v>0</v>
      </c>
      <c r="S163" s="91">
        <f>BASE!A167</f>
        <v>152</v>
      </c>
      <c r="T163" s="89">
        <f t="shared" si="1"/>
        <v>0</v>
      </c>
      <c r="U163" s="89">
        <f t="shared" si="2"/>
        <v>0</v>
      </c>
      <c r="V163" s="89">
        <f t="shared" si="3"/>
        <v>0</v>
      </c>
      <c r="W163" s="89">
        <f t="shared" si="4"/>
        <v>0</v>
      </c>
      <c r="X163" s="89">
        <f t="shared" si="5"/>
        <v>0</v>
      </c>
      <c r="Y163" s="28"/>
    </row>
    <row r="164" spans="1:25" ht="20.25" customHeight="1">
      <c r="A164" s="88" t="str">
        <f>+IF(BASE!B168="","",BASE!B168)</f>
        <v>23XXR153</v>
      </c>
      <c r="B164" s="121" t="s">
        <v>40</v>
      </c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89"/>
      <c r="R164" s="91">
        <f t="shared" si="0"/>
        <v>0</v>
      </c>
      <c r="S164" s="91">
        <f>BASE!A168</f>
        <v>153</v>
      </c>
      <c r="T164" s="89">
        <f t="shared" si="1"/>
        <v>0</v>
      </c>
      <c r="U164" s="89">
        <f t="shared" si="2"/>
        <v>0</v>
      </c>
      <c r="V164" s="89">
        <f t="shared" si="3"/>
        <v>0</v>
      </c>
      <c r="W164" s="89">
        <f t="shared" si="4"/>
        <v>0</v>
      </c>
      <c r="X164" s="89">
        <f t="shared" si="5"/>
        <v>0</v>
      </c>
      <c r="Y164" s="28"/>
    </row>
    <row r="165" spans="1:25" ht="20.25" customHeight="1">
      <c r="A165" s="88" t="str">
        <f>+IF(BASE!B169="","",BASE!B169)</f>
        <v>23XXR154</v>
      </c>
      <c r="B165" s="121" t="s">
        <v>40</v>
      </c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89"/>
      <c r="R165" s="91">
        <f t="shared" si="0"/>
        <v>0</v>
      </c>
      <c r="S165" s="91">
        <f>BASE!A169</f>
        <v>154</v>
      </c>
      <c r="T165" s="89">
        <f t="shared" si="1"/>
        <v>0</v>
      </c>
      <c r="U165" s="89">
        <f t="shared" si="2"/>
        <v>0</v>
      </c>
      <c r="V165" s="89">
        <f t="shared" si="3"/>
        <v>0</v>
      </c>
      <c r="W165" s="89">
        <f t="shared" si="4"/>
        <v>0</v>
      </c>
      <c r="X165" s="89">
        <f t="shared" si="5"/>
        <v>0</v>
      </c>
      <c r="Y165" s="28"/>
    </row>
    <row r="166" spans="1:25" ht="20.25" customHeight="1">
      <c r="A166" s="88" t="str">
        <f>+IF(BASE!B170="","",BASE!B170)</f>
        <v>23XXR155</v>
      </c>
      <c r="B166" s="121" t="s">
        <v>40</v>
      </c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89"/>
      <c r="R166" s="91">
        <f t="shared" si="0"/>
        <v>0</v>
      </c>
      <c r="S166" s="91">
        <f>BASE!A170</f>
        <v>155</v>
      </c>
      <c r="T166" s="89">
        <f t="shared" si="1"/>
        <v>0</v>
      </c>
      <c r="U166" s="89">
        <f t="shared" si="2"/>
        <v>0</v>
      </c>
      <c r="V166" s="89">
        <f t="shared" si="3"/>
        <v>0</v>
      </c>
      <c r="W166" s="89">
        <f t="shared" si="4"/>
        <v>0</v>
      </c>
      <c r="X166" s="89">
        <f t="shared" si="5"/>
        <v>0</v>
      </c>
      <c r="Y166" s="28"/>
    </row>
    <row r="167" spans="1:25" ht="20.25" customHeight="1">
      <c r="A167" s="88" t="str">
        <f>+IF(BASE!B171="","",BASE!B171)</f>
        <v>23XXR156</v>
      </c>
      <c r="B167" s="121" t="s">
        <v>40</v>
      </c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89"/>
      <c r="R167" s="91">
        <f t="shared" si="0"/>
        <v>0</v>
      </c>
      <c r="S167" s="91">
        <f>BASE!A171</f>
        <v>156</v>
      </c>
      <c r="T167" s="89">
        <f t="shared" si="1"/>
        <v>0</v>
      </c>
      <c r="U167" s="89">
        <f t="shared" si="2"/>
        <v>0</v>
      </c>
      <c r="V167" s="89">
        <f t="shared" si="3"/>
        <v>0</v>
      </c>
      <c r="W167" s="89">
        <f t="shared" si="4"/>
        <v>0</v>
      </c>
      <c r="X167" s="89">
        <f t="shared" si="5"/>
        <v>0</v>
      </c>
      <c r="Y167" s="28"/>
    </row>
    <row r="168" spans="1:25" ht="20.25" customHeight="1">
      <c r="A168" s="88" t="str">
        <f>+IF(BASE!B172="","",BASE!B172)</f>
        <v>23XXR157</v>
      </c>
      <c r="B168" s="121" t="s">
        <v>40</v>
      </c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89"/>
      <c r="R168" s="91">
        <f t="shared" si="0"/>
        <v>0</v>
      </c>
      <c r="S168" s="91">
        <f>BASE!A172</f>
        <v>157</v>
      </c>
      <c r="T168" s="89">
        <f t="shared" si="1"/>
        <v>0</v>
      </c>
      <c r="U168" s="89">
        <f t="shared" si="2"/>
        <v>0</v>
      </c>
      <c r="V168" s="89">
        <f t="shared" si="3"/>
        <v>0</v>
      </c>
      <c r="W168" s="89">
        <f t="shared" si="4"/>
        <v>0</v>
      </c>
      <c r="X168" s="89">
        <f t="shared" si="5"/>
        <v>0</v>
      </c>
      <c r="Y168" s="28"/>
    </row>
    <row r="169" spans="1:25" ht="20.25" customHeight="1">
      <c r="A169" s="88" t="str">
        <f>+IF(BASE!B173="","",BASE!B173)</f>
        <v>23XXR158</v>
      </c>
      <c r="B169" s="121" t="s">
        <v>40</v>
      </c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89"/>
      <c r="R169" s="91">
        <f t="shared" si="0"/>
        <v>0</v>
      </c>
      <c r="S169" s="91">
        <f>BASE!A173</f>
        <v>158</v>
      </c>
      <c r="T169" s="89">
        <f t="shared" si="1"/>
        <v>0</v>
      </c>
      <c r="U169" s="89">
        <f t="shared" si="2"/>
        <v>0</v>
      </c>
      <c r="V169" s="89">
        <f t="shared" si="3"/>
        <v>0</v>
      </c>
      <c r="W169" s="89">
        <f t="shared" si="4"/>
        <v>0</v>
      </c>
      <c r="X169" s="89">
        <f t="shared" si="5"/>
        <v>0</v>
      </c>
      <c r="Y169" s="28"/>
    </row>
    <row r="170" spans="1:25" ht="20.25" customHeight="1">
      <c r="A170" s="88" t="str">
        <f>+IF(BASE!B174="","",BASE!B174)</f>
        <v>23XXR159</v>
      </c>
      <c r="B170" s="121" t="s">
        <v>40</v>
      </c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89"/>
      <c r="R170" s="91">
        <f t="shared" si="0"/>
        <v>0</v>
      </c>
      <c r="S170" s="91">
        <f>BASE!A174</f>
        <v>159</v>
      </c>
      <c r="T170" s="89">
        <f t="shared" si="1"/>
        <v>0</v>
      </c>
      <c r="U170" s="89">
        <f t="shared" si="2"/>
        <v>0</v>
      </c>
      <c r="V170" s="89">
        <f t="shared" si="3"/>
        <v>0</v>
      </c>
      <c r="W170" s="89">
        <f t="shared" si="4"/>
        <v>0</v>
      </c>
      <c r="X170" s="89">
        <f t="shared" si="5"/>
        <v>0</v>
      </c>
      <c r="Y170" s="28"/>
    </row>
    <row r="171" spans="1:25" ht="20.25" customHeight="1">
      <c r="A171" s="88" t="str">
        <f>+IF(BASE!B175="","",BASE!B175)</f>
        <v>23XXR160</v>
      </c>
      <c r="B171" s="121" t="s">
        <v>40</v>
      </c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89"/>
      <c r="R171" s="91">
        <f t="shared" si="0"/>
        <v>0</v>
      </c>
      <c r="S171" s="91">
        <f>BASE!A175</f>
        <v>160</v>
      </c>
      <c r="T171" s="89">
        <f t="shared" si="1"/>
        <v>0</v>
      </c>
      <c r="U171" s="89">
        <f t="shared" si="2"/>
        <v>0</v>
      </c>
      <c r="V171" s="89">
        <f t="shared" si="3"/>
        <v>0</v>
      </c>
      <c r="W171" s="89">
        <f t="shared" si="4"/>
        <v>0</v>
      </c>
      <c r="X171" s="89">
        <f t="shared" si="5"/>
        <v>0</v>
      </c>
      <c r="Y171" s="28"/>
    </row>
    <row r="172" spans="1:25" ht="20.25" customHeight="1">
      <c r="A172" s="88" t="str">
        <f>+IF(BASE!B176="","",BASE!B176)</f>
        <v>23XXR161</v>
      </c>
      <c r="B172" s="121" t="s">
        <v>40</v>
      </c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89"/>
      <c r="R172" s="91">
        <f t="shared" si="0"/>
        <v>0</v>
      </c>
      <c r="S172" s="91">
        <f>BASE!A176</f>
        <v>161</v>
      </c>
      <c r="T172" s="89">
        <f t="shared" si="1"/>
        <v>0</v>
      </c>
      <c r="U172" s="89">
        <f t="shared" si="2"/>
        <v>0</v>
      </c>
      <c r="V172" s="89">
        <f t="shared" si="3"/>
        <v>0</v>
      </c>
      <c r="W172" s="89">
        <f t="shared" si="4"/>
        <v>0</v>
      </c>
      <c r="X172" s="89">
        <f t="shared" si="5"/>
        <v>0</v>
      </c>
      <c r="Y172" s="28"/>
    </row>
    <row r="173" spans="1:25" ht="20.25" customHeight="1">
      <c r="A173" s="88" t="str">
        <f>+IF(BASE!B177="","",BASE!B177)</f>
        <v>23XXR162</v>
      </c>
      <c r="B173" s="121" t="s">
        <v>40</v>
      </c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89"/>
      <c r="R173" s="91">
        <f t="shared" si="0"/>
        <v>0</v>
      </c>
      <c r="S173" s="91">
        <f>BASE!A177</f>
        <v>162</v>
      </c>
      <c r="T173" s="89">
        <f t="shared" si="1"/>
        <v>0</v>
      </c>
      <c r="U173" s="89">
        <f t="shared" si="2"/>
        <v>0</v>
      </c>
      <c r="V173" s="89">
        <f t="shared" si="3"/>
        <v>0</v>
      </c>
      <c r="W173" s="89">
        <f t="shared" si="4"/>
        <v>0</v>
      </c>
      <c r="X173" s="89">
        <f t="shared" si="5"/>
        <v>0</v>
      </c>
      <c r="Y173" s="28"/>
    </row>
    <row r="174" spans="1:25" ht="20.25" customHeight="1">
      <c r="A174" s="88" t="str">
        <f>+IF(BASE!B178="","",BASE!B178)</f>
        <v>23XXR163</v>
      </c>
      <c r="B174" s="121" t="s">
        <v>40</v>
      </c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89"/>
      <c r="R174" s="91">
        <f t="shared" si="0"/>
        <v>0</v>
      </c>
      <c r="S174" s="91">
        <f>BASE!A178</f>
        <v>163</v>
      </c>
      <c r="T174" s="89">
        <f t="shared" si="1"/>
        <v>0</v>
      </c>
      <c r="U174" s="89">
        <f t="shared" si="2"/>
        <v>0</v>
      </c>
      <c r="V174" s="89">
        <f t="shared" si="3"/>
        <v>0</v>
      </c>
      <c r="W174" s="89">
        <f t="shared" si="4"/>
        <v>0</v>
      </c>
      <c r="X174" s="89">
        <f t="shared" si="5"/>
        <v>0</v>
      </c>
      <c r="Y174" s="28"/>
    </row>
    <row r="175" spans="1:25" ht="20.25" customHeight="1">
      <c r="A175" s="88" t="str">
        <f>+IF(BASE!B179="","",BASE!B179)</f>
        <v>23XXR164</v>
      </c>
      <c r="B175" s="121" t="s">
        <v>40</v>
      </c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89"/>
      <c r="R175" s="91">
        <f t="shared" si="0"/>
        <v>0</v>
      </c>
      <c r="S175" s="91">
        <f>BASE!A179</f>
        <v>164</v>
      </c>
      <c r="T175" s="89">
        <f t="shared" si="1"/>
        <v>0</v>
      </c>
      <c r="U175" s="89">
        <f t="shared" si="2"/>
        <v>0</v>
      </c>
      <c r="V175" s="89">
        <f t="shared" si="3"/>
        <v>0</v>
      </c>
      <c r="W175" s="89">
        <f t="shared" si="4"/>
        <v>0</v>
      </c>
      <c r="X175" s="89">
        <f t="shared" si="5"/>
        <v>0</v>
      </c>
      <c r="Y175" s="28"/>
    </row>
    <row r="176" spans="1:25" ht="20.25" customHeight="1">
      <c r="A176" s="88" t="str">
        <f>+IF(BASE!B180="","",BASE!B180)</f>
        <v>23XXR165</v>
      </c>
      <c r="B176" s="121" t="s">
        <v>40</v>
      </c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89"/>
      <c r="R176" s="91">
        <f t="shared" si="0"/>
        <v>0</v>
      </c>
      <c r="S176" s="91">
        <f>BASE!A180</f>
        <v>165</v>
      </c>
      <c r="T176" s="89">
        <f t="shared" si="1"/>
        <v>0</v>
      </c>
      <c r="U176" s="89">
        <f t="shared" si="2"/>
        <v>0</v>
      </c>
      <c r="V176" s="89">
        <f t="shared" si="3"/>
        <v>0</v>
      </c>
      <c r="W176" s="89">
        <f t="shared" si="4"/>
        <v>0</v>
      </c>
      <c r="X176" s="89">
        <f t="shared" si="5"/>
        <v>0</v>
      </c>
      <c r="Y176" s="28"/>
    </row>
    <row r="177" spans="1:25" ht="20.25" customHeight="1">
      <c r="A177" s="88" t="str">
        <f>+IF(BASE!B181="","",BASE!B181)</f>
        <v>23XXR166</v>
      </c>
      <c r="B177" s="121" t="s">
        <v>40</v>
      </c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89"/>
      <c r="R177" s="91">
        <f t="shared" si="0"/>
        <v>0</v>
      </c>
      <c r="S177" s="91">
        <f>BASE!A181</f>
        <v>166</v>
      </c>
      <c r="T177" s="89">
        <f t="shared" si="1"/>
        <v>0</v>
      </c>
      <c r="U177" s="89">
        <f t="shared" si="2"/>
        <v>0</v>
      </c>
      <c r="V177" s="89">
        <f t="shared" si="3"/>
        <v>0</v>
      </c>
      <c r="W177" s="89">
        <f t="shared" si="4"/>
        <v>0</v>
      </c>
      <c r="X177" s="89">
        <f t="shared" si="5"/>
        <v>0</v>
      </c>
      <c r="Y177" s="28"/>
    </row>
    <row r="178" spans="1:25" ht="20.25" customHeight="1">
      <c r="A178" s="88" t="str">
        <f>+IF(BASE!B182="","",BASE!B182)</f>
        <v>23XXR167</v>
      </c>
      <c r="B178" s="121" t="s">
        <v>40</v>
      </c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89"/>
      <c r="R178" s="91">
        <f t="shared" si="0"/>
        <v>0</v>
      </c>
      <c r="S178" s="91">
        <f>BASE!A182</f>
        <v>167</v>
      </c>
      <c r="T178" s="89">
        <f t="shared" si="1"/>
        <v>0</v>
      </c>
      <c r="U178" s="89">
        <f t="shared" si="2"/>
        <v>0</v>
      </c>
      <c r="V178" s="89">
        <f t="shared" si="3"/>
        <v>0</v>
      </c>
      <c r="W178" s="89">
        <f t="shared" si="4"/>
        <v>0</v>
      </c>
      <c r="X178" s="89">
        <f t="shared" si="5"/>
        <v>0</v>
      </c>
      <c r="Y178" s="28"/>
    </row>
    <row r="179" spans="1:25" ht="20.25" customHeight="1">
      <c r="A179" s="88" t="str">
        <f>+IF(BASE!B183="","",BASE!B183)</f>
        <v>23XXR168</v>
      </c>
      <c r="B179" s="121" t="s">
        <v>40</v>
      </c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89"/>
      <c r="R179" s="91">
        <f t="shared" si="0"/>
        <v>0</v>
      </c>
      <c r="S179" s="91">
        <f>BASE!A183</f>
        <v>168</v>
      </c>
      <c r="T179" s="89">
        <f t="shared" si="1"/>
        <v>0</v>
      </c>
      <c r="U179" s="89">
        <f t="shared" si="2"/>
        <v>0</v>
      </c>
      <c r="V179" s="89">
        <f t="shared" si="3"/>
        <v>0</v>
      </c>
      <c r="W179" s="89">
        <f t="shared" si="4"/>
        <v>0</v>
      </c>
      <c r="X179" s="89">
        <f t="shared" si="5"/>
        <v>0</v>
      </c>
      <c r="Y179" s="28"/>
    </row>
    <row r="180" spans="1:25" ht="20.25" customHeight="1">
      <c r="A180" s="88" t="str">
        <f>+IF(BASE!B184="","",BASE!B184)</f>
        <v>23XXR169</v>
      </c>
      <c r="B180" s="121" t="s">
        <v>40</v>
      </c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89"/>
      <c r="R180" s="91">
        <f t="shared" si="0"/>
        <v>0</v>
      </c>
      <c r="S180" s="91">
        <f>BASE!A184</f>
        <v>169</v>
      </c>
      <c r="T180" s="89">
        <f t="shared" si="1"/>
        <v>0</v>
      </c>
      <c r="U180" s="89">
        <f t="shared" si="2"/>
        <v>0</v>
      </c>
      <c r="V180" s="89">
        <f t="shared" si="3"/>
        <v>0</v>
      </c>
      <c r="W180" s="89">
        <f t="shared" si="4"/>
        <v>0</v>
      </c>
      <c r="X180" s="89">
        <f t="shared" si="5"/>
        <v>0</v>
      </c>
      <c r="Y180" s="28"/>
    </row>
    <row r="181" spans="1:25" ht="20.25" customHeight="1">
      <c r="A181" s="88" t="str">
        <f>+IF(BASE!B185="","",BASE!B185)</f>
        <v>23XXR170</v>
      </c>
      <c r="B181" s="121" t="s">
        <v>40</v>
      </c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89"/>
      <c r="R181" s="91">
        <f t="shared" si="0"/>
        <v>0</v>
      </c>
      <c r="S181" s="91">
        <f>BASE!A185</f>
        <v>170</v>
      </c>
      <c r="T181" s="89">
        <f t="shared" si="1"/>
        <v>0</v>
      </c>
      <c r="U181" s="89">
        <f t="shared" si="2"/>
        <v>0</v>
      </c>
      <c r="V181" s="89">
        <f t="shared" si="3"/>
        <v>0</v>
      </c>
      <c r="W181" s="89">
        <f t="shared" si="4"/>
        <v>0</v>
      </c>
      <c r="X181" s="89">
        <f t="shared" si="5"/>
        <v>0</v>
      </c>
      <c r="Y181" s="28"/>
    </row>
    <row r="182" spans="1:25" ht="20.25" customHeight="1">
      <c r="A182" s="88" t="str">
        <f>+IF(BASE!B186="","",BASE!B186)</f>
        <v>23XXR171</v>
      </c>
      <c r="B182" s="121" t="s">
        <v>40</v>
      </c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89"/>
      <c r="R182" s="91">
        <f t="shared" si="0"/>
        <v>0</v>
      </c>
      <c r="S182" s="91">
        <f>BASE!A186</f>
        <v>171</v>
      </c>
      <c r="T182" s="89">
        <f t="shared" si="1"/>
        <v>0</v>
      </c>
      <c r="U182" s="89">
        <f t="shared" si="2"/>
        <v>0</v>
      </c>
      <c r="V182" s="89">
        <f t="shared" si="3"/>
        <v>0</v>
      </c>
      <c r="W182" s="89">
        <f t="shared" si="4"/>
        <v>0</v>
      </c>
      <c r="X182" s="89">
        <f t="shared" si="5"/>
        <v>0</v>
      </c>
      <c r="Y182" s="28"/>
    </row>
    <row r="183" spans="1:25" ht="20.25" customHeight="1">
      <c r="A183" s="88" t="str">
        <f>+IF(BASE!B187="","",BASE!B187)</f>
        <v>23XXR172</v>
      </c>
      <c r="B183" s="121" t="s">
        <v>40</v>
      </c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89"/>
      <c r="R183" s="91">
        <f t="shared" si="0"/>
        <v>0</v>
      </c>
      <c r="S183" s="91">
        <f>BASE!A187</f>
        <v>172</v>
      </c>
      <c r="T183" s="89">
        <f t="shared" si="1"/>
        <v>0</v>
      </c>
      <c r="U183" s="89">
        <f t="shared" si="2"/>
        <v>0</v>
      </c>
      <c r="V183" s="89">
        <f t="shared" si="3"/>
        <v>0</v>
      </c>
      <c r="W183" s="89">
        <f t="shared" si="4"/>
        <v>0</v>
      </c>
      <c r="X183" s="89">
        <f t="shared" si="5"/>
        <v>0</v>
      </c>
      <c r="Y183" s="28"/>
    </row>
    <row r="184" spans="1:25" ht="20.25" customHeight="1">
      <c r="A184" s="88" t="str">
        <f>+IF(BASE!B188="","",BASE!B188)</f>
        <v>23XXR173</v>
      </c>
      <c r="B184" s="121" t="s">
        <v>40</v>
      </c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89"/>
      <c r="R184" s="91">
        <f t="shared" si="0"/>
        <v>0</v>
      </c>
      <c r="S184" s="91">
        <f>BASE!A188</f>
        <v>173</v>
      </c>
      <c r="T184" s="89">
        <f t="shared" si="1"/>
        <v>0</v>
      </c>
      <c r="U184" s="89">
        <f t="shared" si="2"/>
        <v>0</v>
      </c>
      <c r="V184" s="89">
        <f t="shared" si="3"/>
        <v>0</v>
      </c>
      <c r="W184" s="89">
        <f t="shared" si="4"/>
        <v>0</v>
      </c>
      <c r="X184" s="89">
        <f t="shared" si="5"/>
        <v>0</v>
      </c>
      <c r="Y184" s="28"/>
    </row>
    <row r="185" spans="1:25" ht="20.25" customHeight="1">
      <c r="A185" s="88" t="str">
        <f>+IF(BASE!B189="","",BASE!B189)</f>
        <v>23XXR174</v>
      </c>
      <c r="B185" s="121" t="s">
        <v>40</v>
      </c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89"/>
      <c r="R185" s="91">
        <f t="shared" si="0"/>
        <v>0</v>
      </c>
      <c r="S185" s="91">
        <f>BASE!A189</f>
        <v>174</v>
      </c>
      <c r="T185" s="89">
        <f t="shared" si="1"/>
        <v>0</v>
      </c>
      <c r="U185" s="89">
        <f t="shared" si="2"/>
        <v>0</v>
      </c>
      <c r="V185" s="89">
        <f t="shared" si="3"/>
        <v>0</v>
      </c>
      <c r="W185" s="89">
        <f t="shared" si="4"/>
        <v>0</v>
      </c>
      <c r="X185" s="89">
        <f t="shared" si="5"/>
        <v>0</v>
      </c>
      <c r="Y185" s="28"/>
    </row>
    <row r="186" spans="1:25" ht="20.25" customHeight="1">
      <c r="A186" s="88" t="str">
        <f>+IF(BASE!B190="","",BASE!B190)</f>
        <v>23XXR175</v>
      </c>
      <c r="B186" s="121" t="s">
        <v>40</v>
      </c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89"/>
      <c r="R186" s="91">
        <f t="shared" si="0"/>
        <v>0</v>
      </c>
      <c r="S186" s="91">
        <f>BASE!A190</f>
        <v>175</v>
      </c>
      <c r="T186" s="89">
        <f t="shared" si="1"/>
        <v>0</v>
      </c>
      <c r="U186" s="89">
        <f t="shared" si="2"/>
        <v>0</v>
      </c>
      <c r="V186" s="89">
        <f t="shared" si="3"/>
        <v>0</v>
      </c>
      <c r="W186" s="89">
        <f t="shared" si="4"/>
        <v>0</v>
      </c>
      <c r="X186" s="89">
        <f t="shared" si="5"/>
        <v>0</v>
      </c>
      <c r="Y186" s="28"/>
    </row>
    <row r="187" spans="1:25" ht="20.25" customHeight="1">
      <c r="A187" s="88" t="str">
        <f>+IF(BASE!B191="","",BASE!B191)</f>
        <v>23XXR176</v>
      </c>
      <c r="B187" s="121" t="s">
        <v>40</v>
      </c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89"/>
      <c r="R187" s="91">
        <f t="shared" si="0"/>
        <v>0</v>
      </c>
      <c r="S187" s="91">
        <f>BASE!A191</f>
        <v>176</v>
      </c>
      <c r="T187" s="89">
        <f t="shared" si="1"/>
        <v>0</v>
      </c>
      <c r="U187" s="89">
        <f t="shared" si="2"/>
        <v>0</v>
      </c>
      <c r="V187" s="89">
        <f t="shared" si="3"/>
        <v>0</v>
      </c>
      <c r="W187" s="89">
        <f t="shared" si="4"/>
        <v>0</v>
      </c>
      <c r="X187" s="89">
        <f t="shared" si="5"/>
        <v>0</v>
      </c>
      <c r="Y187" s="28"/>
    </row>
    <row r="188" spans="1:25" ht="20.25" customHeight="1">
      <c r="A188" s="88" t="str">
        <f>+IF(BASE!B192="","",BASE!B192)</f>
        <v>23XXR177</v>
      </c>
      <c r="B188" s="121" t="s">
        <v>40</v>
      </c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89"/>
      <c r="R188" s="91">
        <f t="shared" si="0"/>
        <v>0</v>
      </c>
      <c r="S188" s="91">
        <f>BASE!A192</f>
        <v>177</v>
      </c>
      <c r="T188" s="89">
        <f t="shared" si="1"/>
        <v>0</v>
      </c>
      <c r="U188" s="89">
        <f t="shared" si="2"/>
        <v>0</v>
      </c>
      <c r="V188" s="89">
        <f t="shared" si="3"/>
        <v>0</v>
      </c>
      <c r="W188" s="89">
        <f t="shared" si="4"/>
        <v>0</v>
      </c>
      <c r="X188" s="89">
        <f t="shared" si="5"/>
        <v>0</v>
      </c>
      <c r="Y188" s="28"/>
    </row>
    <row r="189" spans="1:25" ht="20.25" customHeight="1">
      <c r="A189" s="88" t="str">
        <f>+IF(BASE!B193="","",BASE!B193)</f>
        <v>23XXR178</v>
      </c>
      <c r="B189" s="121" t="s">
        <v>40</v>
      </c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89"/>
      <c r="R189" s="91">
        <f t="shared" si="0"/>
        <v>0</v>
      </c>
      <c r="S189" s="91">
        <f>BASE!A193</f>
        <v>178</v>
      </c>
      <c r="T189" s="89">
        <f t="shared" si="1"/>
        <v>0</v>
      </c>
      <c r="U189" s="89">
        <f t="shared" si="2"/>
        <v>0</v>
      </c>
      <c r="V189" s="89">
        <f t="shared" si="3"/>
        <v>0</v>
      </c>
      <c r="W189" s="89">
        <f t="shared" si="4"/>
        <v>0</v>
      </c>
      <c r="X189" s="89">
        <f t="shared" si="5"/>
        <v>0</v>
      </c>
      <c r="Y189" s="28"/>
    </row>
    <row r="190" spans="1:25" ht="20.25" customHeight="1">
      <c r="A190" s="88" t="str">
        <f>+IF(BASE!B194="","",BASE!B194)</f>
        <v>23XXR179</v>
      </c>
      <c r="B190" s="121" t="s">
        <v>40</v>
      </c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89"/>
      <c r="R190" s="91">
        <f t="shared" si="0"/>
        <v>0</v>
      </c>
      <c r="S190" s="91">
        <f>BASE!A194</f>
        <v>179</v>
      </c>
      <c r="T190" s="89">
        <f t="shared" si="1"/>
        <v>0</v>
      </c>
      <c r="U190" s="89">
        <f t="shared" si="2"/>
        <v>0</v>
      </c>
      <c r="V190" s="89">
        <f t="shared" si="3"/>
        <v>0</v>
      </c>
      <c r="W190" s="89">
        <f t="shared" si="4"/>
        <v>0</v>
      </c>
      <c r="X190" s="89">
        <f t="shared" si="5"/>
        <v>0</v>
      </c>
      <c r="Y190" s="28"/>
    </row>
    <row r="191" spans="1:25" ht="20.25" customHeight="1">
      <c r="A191" s="88" t="str">
        <f>+IF(BASE!B195="","",BASE!B195)</f>
        <v>23XXR180</v>
      </c>
      <c r="B191" s="121" t="s">
        <v>40</v>
      </c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89"/>
      <c r="R191" s="91">
        <f t="shared" si="0"/>
        <v>0</v>
      </c>
      <c r="S191" s="91">
        <f>BASE!A195</f>
        <v>180</v>
      </c>
      <c r="T191" s="89">
        <f t="shared" si="1"/>
        <v>0</v>
      </c>
      <c r="U191" s="89">
        <f t="shared" si="2"/>
        <v>0</v>
      </c>
      <c r="V191" s="89">
        <f t="shared" si="3"/>
        <v>0</v>
      </c>
      <c r="W191" s="89">
        <f t="shared" si="4"/>
        <v>0</v>
      </c>
      <c r="X191" s="89">
        <f t="shared" si="5"/>
        <v>0</v>
      </c>
      <c r="Y191" s="28"/>
    </row>
    <row r="192" spans="1:25" ht="20.25" customHeight="1">
      <c r="A192" s="88" t="str">
        <f>+IF(BASE!B196="","",BASE!B196)</f>
        <v>23XXR181</v>
      </c>
      <c r="B192" s="121" t="s">
        <v>40</v>
      </c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89"/>
      <c r="R192" s="91">
        <f t="shared" si="0"/>
        <v>0</v>
      </c>
      <c r="S192" s="91">
        <f>BASE!A196</f>
        <v>181</v>
      </c>
      <c r="T192" s="89">
        <f t="shared" si="1"/>
        <v>0</v>
      </c>
      <c r="U192" s="89">
        <f t="shared" si="2"/>
        <v>0</v>
      </c>
      <c r="V192" s="89">
        <f t="shared" si="3"/>
        <v>0</v>
      </c>
      <c r="W192" s="89">
        <f t="shared" si="4"/>
        <v>0</v>
      </c>
      <c r="X192" s="89">
        <f t="shared" si="5"/>
        <v>0</v>
      </c>
      <c r="Y192" s="28"/>
    </row>
    <row r="193" spans="1:25" ht="20.25" customHeight="1">
      <c r="A193" s="88" t="str">
        <f>+IF(BASE!B197="","",BASE!B197)</f>
        <v>23XXR182</v>
      </c>
      <c r="B193" s="121" t="s">
        <v>40</v>
      </c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89"/>
      <c r="R193" s="91">
        <f t="shared" si="0"/>
        <v>0</v>
      </c>
      <c r="S193" s="91">
        <f>BASE!A197</f>
        <v>182</v>
      </c>
      <c r="T193" s="89">
        <f t="shared" si="1"/>
        <v>0</v>
      </c>
      <c r="U193" s="89">
        <f t="shared" si="2"/>
        <v>0</v>
      </c>
      <c r="V193" s="89">
        <f t="shared" si="3"/>
        <v>0</v>
      </c>
      <c r="W193" s="89">
        <f t="shared" si="4"/>
        <v>0</v>
      </c>
      <c r="X193" s="89">
        <f t="shared" si="5"/>
        <v>0</v>
      </c>
      <c r="Y193" s="28"/>
    </row>
    <row r="194" spans="1:25" ht="20.25" customHeight="1">
      <c r="A194" s="88" t="str">
        <f>+IF(BASE!B198="","",BASE!B198)</f>
        <v>23XXR183</v>
      </c>
      <c r="B194" s="121" t="s">
        <v>40</v>
      </c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89"/>
      <c r="R194" s="91">
        <f t="shared" si="0"/>
        <v>0</v>
      </c>
      <c r="S194" s="91">
        <f>BASE!A198</f>
        <v>183</v>
      </c>
      <c r="T194" s="89">
        <f t="shared" si="1"/>
        <v>0</v>
      </c>
      <c r="U194" s="89">
        <f t="shared" si="2"/>
        <v>0</v>
      </c>
      <c r="V194" s="89">
        <f t="shared" si="3"/>
        <v>0</v>
      </c>
      <c r="W194" s="89">
        <f t="shared" si="4"/>
        <v>0</v>
      </c>
      <c r="X194" s="89">
        <f t="shared" si="5"/>
        <v>0</v>
      </c>
      <c r="Y194" s="28"/>
    </row>
    <row r="195" spans="1:25" ht="20.25" customHeight="1">
      <c r="A195" s="88" t="str">
        <f>+IF(BASE!B199="","",BASE!B199)</f>
        <v>23XXR184</v>
      </c>
      <c r="B195" s="121" t="s">
        <v>40</v>
      </c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89"/>
      <c r="R195" s="91">
        <f t="shared" si="0"/>
        <v>0</v>
      </c>
      <c r="S195" s="91">
        <f>BASE!A199</f>
        <v>184</v>
      </c>
      <c r="T195" s="89">
        <f t="shared" si="1"/>
        <v>0</v>
      </c>
      <c r="U195" s="89">
        <f t="shared" si="2"/>
        <v>0</v>
      </c>
      <c r="V195" s="89">
        <f t="shared" si="3"/>
        <v>0</v>
      </c>
      <c r="W195" s="89">
        <f t="shared" si="4"/>
        <v>0</v>
      </c>
      <c r="X195" s="89">
        <f t="shared" si="5"/>
        <v>0</v>
      </c>
      <c r="Y195" s="28"/>
    </row>
    <row r="196" spans="1:25" ht="20.25" customHeight="1">
      <c r="A196" s="88" t="str">
        <f>+IF(BASE!B200="","",BASE!B200)</f>
        <v>23XXR185</v>
      </c>
      <c r="B196" s="121" t="s">
        <v>40</v>
      </c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89"/>
      <c r="R196" s="91">
        <f t="shared" si="0"/>
        <v>0</v>
      </c>
      <c r="S196" s="91">
        <f>BASE!A200</f>
        <v>185</v>
      </c>
      <c r="T196" s="89">
        <f t="shared" si="1"/>
        <v>0</v>
      </c>
      <c r="U196" s="89">
        <f t="shared" si="2"/>
        <v>0</v>
      </c>
      <c r="V196" s="89">
        <f t="shared" si="3"/>
        <v>0</v>
      </c>
      <c r="W196" s="89">
        <f t="shared" si="4"/>
        <v>0</v>
      </c>
      <c r="X196" s="89">
        <f t="shared" si="5"/>
        <v>0</v>
      </c>
      <c r="Y196" s="28"/>
    </row>
    <row r="197" spans="1:25" ht="20.25" customHeight="1">
      <c r="A197" s="88" t="str">
        <f>+IF(BASE!B201="","",BASE!B201)</f>
        <v>23XXR186</v>
      </c>
      <c r="B197" s="121" t="s">
        <v>40</v>
      </c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89"/>
      <c r="R197" s="91">
        <f t="shared" si="0"/>
        <v>0</v>
      </c>
      <c r="S197" s="91">
        <f>BASE!A201</f>
        <v>186</v>
      </c>
      <c r="T197" s="89">
        <f t="shared" si="1"/>
        <v>0</v>
      </c>
      <c r="U197" s="89">
        <f t="shared" si="2"/>
        <v>0</v>
      </c>
      <c r="V197" s="89">
        <f t="shared" si="3"/>
        <v>0</v>
      </c>
      <c r="W197" s="89">
        <f t="shared" si="4"/>
        <v>0</v>
      </c>
      <c r="X197" s="89">
        <f t="shared" si="5"/>
        <v>0</v>
      </c>
      <c r="Y197" s="28"/>
    </row>
    <row r="198" spans="1:25" ht="20.25" customHeight="1">
      <c r="A198" s="88" t="str">
        <f>+IF(BASE!B202="","",BASE!B202)</f>
        <v>23XXR187</v>
      </c>
      <c r="B198" s="121" t="s">
        <v>40</v>
      </c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89"/>
      <c r="R198" s="91">
        <f t="shared" si="0"/>
        <v>0</v>
      </c>
      <c r="S198" s="91">
        <f>BASE!A202</f>
        <v>187</v>
      </c>
      <c r="T198" s="89">
        <f t="shared" si="1"/>
        <v>0</v>
      </c>
      <c r="U198" s="89">
        <f t="shared" si="2"/>
        <v>0</v>
      </c>
      <c r="V198" s="89">
        <f t="shared" si="3"/>
        <v>0</v>
      </c>
      <c r="W198" s="89">
        <f t="shared" si="4"/>
        <v>0</v>
      </c>
      <c r="X198" s="89">
        <f t="shared" si="5"/>
        <v>0</v>
      </c>
      <c r="Y198" s="28"/>
    </row>
    <row r="199" spans="1:25" ht="20.25" customHeight="1">
      <c r="A199" s="88" t="str">
        <f>+IF(BASE!B203="","",BASE!B203)</f>
        <v>23XXR188</v>
      </c>
      <c r="B199" s="121" t="s">
        <v>40</v>
      </c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89"/>
      <c r="R199" s="91">
        <f t="shared" si="0"/>
        <v>0</v>
      </c>
      <c r="S199" s="91">
        <f>BASE!A203</f>
        <v>188</v>
      </c>
      <c r="T199" s="89">
        <f t="shared" si="1"/>
        <v>0</v>
      </c>
      <c r="U199" s="89">
        <f t="shared" si="2"/>
        <v>0</v>
      </c>
      <c r="V199" s="89">
        <f t="shared" si="3"/>
        <v>0</v>
      </c>
      <c r="W199" s="89">
        <f t="shared" si="4"/>
        <v>0</v>
      </c>
      <c r="X199" s="89">
        <f t="shared" si="5"/>
        <v>0</v>
      </c>
      <c r="Y199" s="28"/>
    </row>
    <row r="200" spans="1:25" ht="20.25" customHeight="1">
      <c r="A200" s="88" t="str">
        <f>+IF(BASE!B204="","",BASE!B204)</f>
        <v>23XXR189</v>
      </c>
      <c r="B200" s="121" t="s">
        <v>40</v>
      </c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89"/>
      <c r="R200" s="91">
        <f t="shared" si="0"/>
        <v>0</v>
      </c>
      <c r="S200" s="91">
        <f>BASE!A204</f>
        <v>189</v>
      </c>
      <c r="T200" s="89">
        <f t="shared" si="1"/>
        <v>0</v>
      </c>
      <c r="U200" s="89">
        <f t="shared" si="2"/>
        <v>0</v>
      </c>
      <c r="V200" s="89">
        <f t="shared" si="3"/>
        <v>0</v>
      </c>
      <c r="W200" s="89">
        <f t="shared" si="4"/>
        <v>0</v>
      </c>
      <c r="X200" s="89">
        <f t="shared" si="5"/>
        <v>0</v>
      </c>
      <c r="Y200" s="28"/>
    </row>
    <row r="201" spans="1:25" ht="20.25" customHeight="1">
      <c r="A201" s="88" t="str">
        <f>+IF(BASE!B205="","",BASE!B205)</f>
        <v>23XXR190</v>
      </c>
      <c r="B201" s="121" t="s">
        <v>40</v>
      </c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89"/>
      <c r="R201" s="91">
        <f t="shared" si="0"/>
        <v>0</v>
      </c>
      <c r="S201" s="91">
        <f>BASE!A205</f>
        <v>190</v>
      </c>
      <c r="T201" s="89">
        <f t="shared" si="1"/>
        <v>0</v>
      </c>
      <c r="U201" s="89">
        <f t="shared" si="2"/>
        <v>0</v>
      </c>
      <c r="V201" s="89">
        <f t="shared" si="3"/>
        <v>0</v>
      </c>
      <c r="W201" s="89">
        <f t="shared" si="4"/>
        <v>0</v>
      </c>
      <c r="X201" s="89">
        <f t="shared" si="5"/>
        <v>0</v>
      </c>
      <c r="Y201" s="28"/>
    </row>
    <row r="202" spans="1:25" ht="20.25" customHeight="1">
      <c r="A202" s="88" t="str">
        <f>+IF(BASE!B206="","",BASE!B206)</f>
        <v>23XXR191</v>
      </c>
      <c r="B202" s="121" t="s">
        <v>40</v>
      </c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89"/>
      <c r="R202" s="91">
        <f t="shared" si="0"/>
        <v>0</v>
      </c>
      <c r="S202" s="91">
        <f>BASE!A206</f>
        <v>191</v>
      </c>
      <c r="T202" s="89">
        <f t="shared" si="1"/>
        <v>0</v>
      </c>
      <c r="U202" s="89">
        <f t="shared" si="2"/>
        <v>0</v>
      </c>
      <c r="V202" s="89">
        <f t="shared" si="3"/>
        <v>0</v>
      </c>
      <c r="W202" s="89">
        <f t="shared" si="4"/>
        <v>0</v>
      </c>
      <c r="X202" s="89">
        <f t="shared" si="5"/>
        <v>0</v>
      </c>
      <c r="Y202" s="28"/>
    </row>
    <row r="203" spans="1:25" ht="20.25" customHeight="1">
      <c r="A203" s="88" t="str">
        <f>+IF(BASE!B207="","",BASE!B207)</f>
        <v>23XXR192</v>
      </c>
      <c r="B203" s="121" t="s">
        <v>40</v>
      </c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89"/>
      <c r="R203" s="91">
        <f t="shared" si="0"/>
        <v>0</v>
      </c>
      <c r="S203" s="91">
        <f>BASE!A207</f>
        <v>192</v>
      </c>
      <c r="T203" s="89">
        <f t="shared" si="1"/>
        <v>0</v>
      </c>
      <c r="U203" s="89">
        <f t="shared" si="2"/>
        <v>0</v>
      </c>
      <c r="V203" s="89">
        <f t="shared" si="3"/>
        <v>0</v>
      </c>
      <c r="W203" s="89">
        <f t="shared" si="4"/>
        <v>0</v>
      </c>
      <c r="X203" s="89">
        <f t="shared" si="5"/>
        <v>0</v>
      </c>
      <c r="Y203" s="28"/>
    </row>
    <row r="204" spans="1:25" ht="20.25" customHeight="1">
      <c r="A204" s="88" t="str">
        <f>+IF(BASE!B208="","",BASE!B208)</f>
        <v>23XXR193</v>
      </c>
      <c r="B204" s="121" t="s">
        <v>40</v>
      </c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89"/>
      <c r="R204" s="91">
        <f t="shared" si="0"/>
        <v>0</v>
      </c>
      <c r="S204" s="91">
        <f>BASE!A208</f>
        <v>193</v>
      </c>
      <c r="T204" s="89">
        <f t="shared" si="1"/>
        <v>0</v>
      </c>
      <c r="U204" s="89">
        <f t="shared" si="2"/>
        <v>0</v>
      </c>
      <c r="V204" s="89">
        <f t="shared" si="3"/>
        <v>0</v>
      </c>
      <c r="W204" s="89">
        <f t="shared" si="4"/>
        <v>0</v>
      </c>
      <c r="X204" s="89">
        <f t="shared" si="5"/>
        <v>0</v>
      </c>
      <c r="Y204" s="28"/>
    </row>
    <row r="205" spans="1:25" ht="20.25" customHeight="1">
      <c r="A205" s="88" t="str">
        <f>+IF(BASE!B209="","",BASE!B209)</f>
        <v>23XXR194</v>
      </c>
      <c r="B205" s="121" t="s">
        <v>40</v>
      </c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89"/>
      <c r="R205" s="91">
        <f t="shared" si="0"/>
        <v>0</v>
      </c>
      <c r="S205" s="91">
        <f>BASE!A209</f>
        <v>194</v>
      </c>
      <c r="T205" s="89">
        <f t="shared" si="1"/>
        <v>0</v>
      </c>
      <c r="U205" s="89">
        <f t="shared" si="2"/>
        <v>0</v>
      </c>
      <c r="V205" s="89">
        <f t="shared" si="3"/>
        <v>0</v>
      </c>
      <c r="W205" s="89">
        <f t="shared" si="4"/>
        <v>0</v>
      </c>
      <c r="X205" s="89">
        <f t="shared" si="5"/>
        <v>0</v>
      </c>
      <c r="Y205" s="28"/>
    </row>
    <row r="206" spans="1:25" ht="20.25" customHeight="1">
      <c r="A206" s="88" t="str">
        <f>+IF(BASE!B210="","",BASE!B210)</f>
        <v>23XXR195</v>
      </c>
      <c r="B206" s="121" t="s">
        <v>40</v>
      </c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89"/>
      <c r="R206" s="91">
        <f t="shared" si="0"/>
        <v>0</v>
      </c>
      <c r="S206" s="91">
        <f>BASE!A210</f>
        <v>195</v>
      </c>
      <c r="T206" s="89">
        <f t="shared" si="1"/>
        <v>0</v>
      </c>
      <c r="U206" s="89">
        <f t="shared" si="2"/>
        <v>0</v>
      </c>
      <c r="V206" s="89">
        <f t="shared" si="3"/>
        <v>0</v>
      </c>
      <c r="W206" s="89">
        <f t="shared" si="4"/>
        <v>0</v>
      </c>
      <c r="X206" s="89">
        <f t="shared" si="5"/>
        <v>0</v>
      </c>
      <c r="Y206" s="28"/>
    </row>
    <row r="207" spans="1:25" ht="20.25" customHeight="1">
      <c r="A207" s="88" t="str">
        <f>+IF(BASE!B211="","",BASE!B211)</f>
        <v>23XXR196</v>
      </c>
      <c r="B207" s="121" t="s">
        <v>40</v>
      </c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89"/>
      <c r="R207" s="91">
        <f t="shared" si="0"/>
        <v>0</v>
      </c>
      <c r="S207" s="91">
        <f>BASE!A211</f>
        <v>196</v>
      </c>
      <c r="T207" s="89">
        <f t="shared" si="1"/>
        <v>0</v>
      </c>
      <c r="U207" s="89">
        <f t="shared" si="2"/>
        <v>0</v>
      </c>
      <c r="V207" s="89">
        <f t="shared" si="3"/>
        <v>0</v>
      </c>
      <c r="W207" s="89">
        <f t="shared" si="4"/>
        <v>0</v>
      </c>
      <c r="X207" s="89">
        <f t="shared" si="5"/>
        <v>0</v>
      </c>
      <c r="Y207" s="28"/>
    </row>
    <row r="208" spans="1:25" ht="20.25" customHeight="1">
      <c r="A208" s="88" t="str">
        <f>+IF(BASE!B212="","",BASE!B212)</f>
        <v>23XXR197</v>
      </c>
      <c r="B208" s="121" t="s">
        <v>40</v>
      </c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89"/>
      <c r="R208" s="91">
        <f t="shared" si="0"/>
        <v>0</v>
      </c>
      <c r="S208" s="91">
        <f>BASE!A212</f>
        <v>197</v>
      </c>
      <c r="T208" s="89">
        <f t="shared" si="1"/>
        <v>0</v>
      </c>
      <c r="U208" s="89">
        <f t="shared" si="2"/>
        <v>0</v>
      </c>
      <c r="V208" s="89">
        <f t="shared" si="3"/>
        <v>0</v>
      </c>
      <c r="W208" s="89">
        <f t="shared" si="4"/>
        <v>0</v>
      </c>
      <c r="X208" s="89">
        <f t="shared" si="5"/>
        <v>0</v>
      </c>
      <c r="Y208" s="28"/>
    </row>
    <row r="209" spans="1:25" ht="20.25" customHeight="1">
      <c r="A209" s="88" t="str">
        <f>+IF(BASE!B213="","",BASE!B213)</f>
        <v>23XXR198</v>
      </c>
      <c r="B209" s="121" t="s">
        <v>40</v>
      </c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89"/>
      <c r="R209" s="91">
        <f t="shared" si="0"/>
        <v>0</v>
      </c>
      <c r="S209" s="91">
        <f>BASE!A213</f>
        <v>198</v>
      </c>
      <c r="T209" s="89">
        <f t="shared" si="1"/>
        <v>0</v>
      </c>
      <c r="U209" s="89">
        <f t="shared" si="2"/>
        <v>0</v>
      </c>
      <c r="V209" s="89">
        <f t="shared" si="3"/>
        <v>0</v>
      </c>
      <c r="W209" s="89">
        <f t="shared" si="4"/>
        <v>0</v>
      </c>
      <c r="X209" s="89">
        <f t="shared" si="5"/>
        <v>0</v>
      </c>
      <c r="Y209" s="28"/>
    </row>
    <row r="210" spans="1:25" ht="20.25" customHeight="1">
      <c r="A210" s="88" t="str">
        <f>+IF(BASE!B214="","",BASE!B214)</f>
        <v>23XXR199</v>
      </c>
      <c r="B210" s="121" t="s">
        <v>40</v>
      </c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89"/>
      <c r="R210" s="91">
        <f t="shared" si="0"/>
        <v>0</v>
      </c>
      <c r="S210" s="91">
        <f>BASE!A214</f>
        <v>199</v>
      </c>
      <c r="T210" s="89">
        <f t="shared" si="1"/>
        <v>0</v>
      </c>
      <c r="U210" s="89">
        <f t="shared" si="2"/>
        <v>0</v>
      </c>
      <c r="V210" s="89">
        <f t="shared" si="3"/>
        <v>0</v>
      </c>
      <c r="W210" s="89">
        <f t="shared" si="4"/>
        <v>0</v>
      </c>
      <c r="X210" s="89">
        <f t="shared" si="5"/>
        <v>0</v>
      </c>
      <c r="Y210" s="28"/>
    </row>
    <row r="211" spans="1:25" ht="20.25" customHeight="1">
      <c r="A211" s="88" t="str">
        <f>+IF(BASE!B215="","",BASE!B215)</f>
        <v>23XXR200</v>
      </c>
      <c r="B211" s="121" t="s">
        <v>40</v>
      </c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89"/>
      <c r="R211" s="91">
        <f t="shared" si="0"/>
        <v>0</v>
      </c>
      <c r="S211" s="91">
        <f>BASE!A215</f>
        <v>200</v>
      </c>
      <c r="T211" s="89">
        <f t="shared" si="1"/>
        <v>0</v>
      </c>
      <c r="U211" s="89">
        <f t="shared" si="2"/>
        <v>0</v>
      </c>
      <c r="V211" s="89">
        <f t="shared" si="3"/>
        <v>0</v>
      </c>
      <c r="W211" s="89">
        <f t="shared" si="4"/>
        <v>0</v>
      </c>
      <c r="X211" s="89">
        <f t="shared" si="5"/>
        <v>0</v>
      </c>
      <c r="Y211" s="28"/>
    </row>
    <row r="212" spans="1:25" ht="20.25" customHeight="1">
      <c r="A212" s="88" t="str">
        <f>+IF(BASE!B216="","",BASE!B216)</f>
        <v>23XXR201</v>
      </c>
      <c r="B212" s="121" t="s">
        <v>40</v>
      </c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89"/>
      <c r="R212" s="91">
        <f t="shared" si="0"/>
        <v>0</v>
      </c>
      <c r="S212" s="91">
        <f>BASE!A216</f>
        <v>201</v>
      </c>
      <c r="T212" s="89">
        <f t="shared" si="1"/>
        <v>0</v>
      </c>
      <c r="U212" s="89">
        <f t="shared" si="2"/>
        <v>0</v>
      </c>
      <c r="V212" s="89">
        <f t="shared" si="3"/>
        <v>0</v>
      </c>
      <c r="W212" s="89">
        <f t="shared" si="4"/>
        <v>0</v>
      </c>
      <c r="X212" s="89">
        <f t="shared" si="5"/>
        <v>0</v>
      </c>
      <c r="Y212" s="28"/>
    </row>
    <row r="213" spans="1:25" ht="20.25" customHeight="1">
      <c r="A213" s="88" t="str">
        <f>+IF(BASE!B217="","",BASE!B217)</f>
        <v>23XXR202</v>
      </c>
      <c r="B213" s="121" t="s">
        <v>40</v>
      </c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89"/>
      <c r="R213" s="91">
        <f t="shared" si="0"/>
        <v>0</v>
      </c>
      <c r="S213" s="91">
        <f>BASE!A217</f>
        <v>202</v>
      </c>
      <c r="T213" s="89">
        <f t="shared" si="1"/>
        <v>0</v>
      </c>
      <c r="U213" s="89">
        <f t="shared" si="2"/>
        <v>0</v>
      </c>
      <c r="V213" s="89">
        <f t="shared" si="3"/>
        <v>0</v>
      </c>
      <c r="W213" s="89">
        <f t="shared" si="4"/>
        <v>0</v>
      </c>
      <c r="X213" s="89">
        <f t="shared" si="5"/>
        <v>0</v>
      </c>
      <c r="Y213" s="28"/>
    </row>
    <row r="214" spans="1:25" ht="20.25" customHeight="1">
      <c r="A214" s="88" t="str">
        <f>+IF(BASE!B218="","",BASE!B218)</f>
        <v>23XXR203</v>
      </c>
      <c r="B214" s="121" t="s">
        <v>40</v>
      </c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89"/>
      <c r="R214" s="91">
        <f t="shared" si="0"/>
        <v>0</v>
      </c>
      <c r="S214" s="91">
        <f>BASE!A218</f>
        <v>203</v>
      </c>
      <c r="T214" s="89">
        <f t="shared" si="1"/>
        <v>0</v>
      </c>
      <c r="U214" s="89">
        <f t="shared" si="2"/>
        <v>0</v>
      </c>
      <c r="V214" s="89">
        <f t="shared" si="3"/>
        <v>0</v>
      </c>
      <c r="W214" s="89">
        <f t="shared" si="4"/>
        <v>0</v>
      </c>
      <c r="X214" s="89">
        <f t="shared" si="5"/>
        <v>0</v>
      </c>
      <c r="Y214" s="28"/>
    </row>
    <row r="215" spans="1:25" ht="20.25" customHeight="1">
      <c r="A215" s="88" t="str">
        <f>+IF(BASE!B219="","",BASE!B219)</f>
        <v>23XXR204</v>
      </c>
      <c r="B215" s="121" t="s">
        <v>40</v>
      </c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89"/>
      <c r="R215" s="91">
        <f t="shared" si="0"/>
        <v>0</v>
      </c>
      <c r="S215" s="91">
        <f>BASE!A219</f>
        <v>204</v>
      </c>
      <c r="T215" s="89">
        <f t="shared" si="1"/>
        <v>0</v>
      </c>
      <c r="U215" s="89">
        <f t="shared" si="2"/>
        <v>0</v>
      </c>
      <c r="V215" s="89">
        <f t="shared" si="3"/>
        <v>0</v>
      </c>
      <c r="W215" s="89">
        <f t="shared" si="4"/>
        <v>0</v>
      </c>
      <c r="X215" s="89">
        <f t="shared" si="5"/>
        <v>0</v>
      </c>
      <c r="Y215" s="28"/>
    </row>
    <row r="216" spans="1:25" ht="20.25" customHeight="1">
      <c r="A216" s="88" t="str">
        <f>+IF(BASE!B220="","",BASE!B220)</f>
        <v>23XXR205</v>
      </c>
      <c r="B216" s="121" t="s">
        <v>40</v>
      </c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89"/>
      <c r="R216" s="91">
        <f t="shared" si="0"/>
        <v>0</v>
      </c>
      <c r="S216" s="91">
        <f>BASE!A220</f>
        <v>205</v>
      </c>
      <c r="T216" s="89">
        <f t="shared" si="1"/>
        <v>0</v>
      </c>
      <c r="U216" s="89">
        <f t="shared" si="2"/>
        <v>0</v>
      </c>
      <c r="V216" s="89">
        <f t="shared" si="3"/>
        <v>0</v>
      </c>
      <c r="W216" s="89">
        <f t="shared" si="4"/>
        <v>0</v>
      </c>
      <c r="X216" s="89">
        <f t="shared" si="5"/>
        <v>0</v>
      </c>
      <c r="Y216" s="28"/>
    </row>
    <row r="217" spans="1:25" ht="20.25" customHeight="1">
      <c r="A217" s="88" t="str">
        <f>+IF(BASE!B221="","",BASE!B221)</f>
        <v>23XXR206</v>
      </c>
      <c r="B217" s="121" t="s">
        <v>40</v>
      </c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89"/>
      <c r="R217" s="91">
        <f t="shared" si="0"/>
        <v>0</v>
      </c>
      <c r="S217" s="91">
        <f>BASE!A221</f>
        <v>206</v>
      </c>
      <c r="T217" s="89">
        <f t="shared" si="1"/>
        <v>0</v>
      </c>
      <c r="U217" s="89">
        <f t="shared" si="2"/>
        <v>0</v>
      </c>
      <c r="V217" s="89">
        <f t="shared" si="3"/>
        <v>0</v>
      </c>
      <c r="W217" s="89">
        <f t="shared" si="4"/>
        <v>0</v>
      </c>
      <c r="X217" s="89">
        <f t="shared" si="5"/>
        <v>0</v>
      </c>
      <c r="Y217" s="28"/>
    </row>
    <row r="218" spans="1:25" ht="20.25" customHeight="1">
      <c r="A218" s="88" t="str">
        <f>+IF(BASE!B222="","",BASE!B222)</f>
        <v>23XXR207</v>
      </c>
      <c r="B218" s="121" t="s">
        <v>40</v>
      </c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89"/>
      <c r="R218" s="91">
        <f t="shared" si="0"/>
        <v>0</v>
      </c>
      <c r="S218" s="91">
        <f>BASE!A222</f>
        <v>207</v>
      </c>
      <c r="T218" s="89">
        <f t="shared" si="1"/>
        <v>0</v>
      </c>
      <c r="U218" s="89">
        <f t="shared" si="2"/>
        <v>0</v>
      </c>
      <c r="V218" s="89">
        <f t="shared" si="3"/>
        <v>0</v>
      </c>
      <c r="W218" s="89">
        <f t="shared" si="4"/>
        <v>0</v>
      </c>
      <c r="X218" s="89">
        <f t="shared" si="5"/>
        <v>0</v>
      </c>
      <c r="Y218" s="28"/>
    </row>
    <row r="219" spans="1:25" ht="20.25" customHeight="1">
      <c r="A219" s="88" t="str">
        <f>+IF(BASE!B223="","",BASE!B223)</f>
        <v>23XXR208</v>
      </c>
      <c r="B219" s="121" t="s">
        <v>40</v>
      </c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89"/>
      <c r="R219" s="91">
        <f t="shared" si="0"/>
        <v>0</v>
      </c>
      <c r="S219" s="91">
        <f>BASE!A223</f>
        <v>208</v>
      </c>
      <c r="T219" s="89">
        <f t="shared" si="1"/>
        <v>0</v>
      </c>
      <c r="U219" s="89">
        <f t="shared" si="2"/>
        <v>0</v>
      </c>
      <c r="V219" s="89">
        <f t="shared" si="3"/>
        <v>0</v>
      </c>
      <c r="W219" s="89">
        <f t="shared" si="4"/>
        <v>0</v>
      </c>
      <c r="X219" s="89">
        <f t="shared" si="5"/>
        <v>0</v>
      </c>
      <c r="Y219" s="28"/>
    </row>
    <row r="220" spans="1:25" ht="20.25" customHeight="1">
      <c r="A220" s="88" t="str">
        <f>+IF(BASE!B224="","",BASE!B224)</f>
        <v>23XXR209</v>
      </c>
      <c r="B220" s="121" t="s">
        <v>40</v>
      </c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89"/>
      <c r="R220" s="91">
        <f t="shared" si="0"/>
        <v>0</v>
      </c>
      <c r="S220" s="91">
        <f>BASE!A224</f>
        <v>209</v>
      </c>
      <c r="T220" s="89">
        <f t="shared" si="1"/>
        <v>0</v>
      </c>
      <c r="U220" s="89">
        <f t="shared" si="2"/>
        <v>0</v>
      </c>
      <c r="V220" s="89">
        <f t="shared" si="3"/>
        <v>0</v>
      </c>
      <c r="W220" s="89">
        <f t="shared" si="4"/>
        <v>0</v>
      </c>
      <c r="X220" s="89">
        <f t="shared" si="5"/>
        <v>0</v>
      </c>
      <c r="Y220" s="28"/>
    </row>
    <row r="221" spans="1:25" ht="20.25" customHeight="1">
      <c r="A221" s="88" t="str">
        <f>+IF(BASE!B225="","",BASE!B225)</f>
        <v>23XXR210</v>
      </c>
      <c r="B221" s="121" t="s">
        <v>40</v>
      </c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89"/>
      <c r="R221" s="91">
        <f t="shared" si="0"/>
        <v>0</v>
      </c>
      <c r="S221" s="91">
        <f>BASE!A225</f>
        <v>210</v>
      </c>
      <c r="T221" s="89">
        <f t="shared" si="1"/>
        <v>0</v>
      </c>
      <c r="U221" s="89">
        <f t="shared" si="2"/>
        <v>0</v>
      </c>
      <c r="V221" s="89">
        <f t="shared" si="3"/>
        <v>0</v>
      </c>
      <c r="W221" s="89">
        <f t="shared" si="4"/>
        <v>0</v>
      </c>
      <c r="X221" s="89">
        <f t="shared" si="5"/>
        <v>0</v>
      </c>
      <c r="Y221" s="28"/>
    </row>
    <row r="222" spans="1:25" ht="20.25" customHeight="1">
      <c r="A222" s="88" t="str">
        <f>+IF(BASE!B226="","",BASE!B226)</f>
        <v>23XXR211</v>
      </c>
      <c r="B222" s="121" t="s">
        <v>40</v>
      </c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89"/>
      <c r="R222" s="91">
        <f t="shared" si="0"/>
        <v>0</v>
      </c>
      <c r="S222" s="91">
        <f>BASE!A226</f>
        <v>211</v>
      </c>
      <c r="T222" s="89">
        <f t="shared" si="1"/>
        <v>0</v>
      </c>
      <c r="U222" s="89">
        <f t="shared" si="2"/>
        <v>0</v>
      </c>
      <c r="V222" s="89">
        <f t="shared" si="3"/>
        <v>0</v>
      </c>
      <c r="W222" s="89">
        <f t="shared" si="4"/>
        <v>0</v>
      </c>
      <c r="X222" s="89">
        <f t="shared" si="5"/>
        <v>0</v>
      </c>
      <c r="Y222" s="28"/>
    </row>
    <row r="223" spans="1:25" ht="20.25" customHeight="1">
      <c r="A223" s="88" t="str">
        <f>+IF(BASE!B227="","",BASE!B227)</f>
        <v>23XXR212</v>
      </c>
      <c r="B223" s="121" t="s">
        <v>40</v>
      </c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89"/>
      <c r="R223" s="91">
        <f t="shared" si="0"/>
        <v>0</v>
      </c>
      <c r="S223" s="91">
        <f>BASE!A227</f>
        <v>212</v>
      </c>
      <c r="T223" s="89">
        <f t="shared" si="1"/>
        <v>0</v>
      </c>
      <c r="U223" s="89">
        <f t="shared" si="2"/>
        <v>0</v>
      </c>
      <c r="V223" s="89">
        <f t="shared" si="3"/>
        <v>0</v>
      </c>
      <c r="W223" s="89">
        <f t="shared" si="4"/>
        <v>0</v>
      </c>
      <c r="X223" s="89">
        <f t="shared" si="5"/>
        <v>0</v>
      </c>
      <c r="Y223" s="28"/>
    </row>
    <row r="224" spans="1:25" ht="20.25" customHeight="1">
      <c r="A224" s="88" t="str">
        <f>+IF(BASE!B228="","",BASE!B228)</f>
        <v>23XXR213</v>
      </c>
      <c r="B224" s="121" t="s">
        <v>40</v>
      </c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89"/>
      <c r="R224" s="91">
        <f t="shared" si="0"/>
        <v>0</v>
      </c>
      <c r="S224" s="91">
        <f>BASE!A228</f>
        <v>213</v>
      </c>
      <c r="T224" s="89">
        <f t="shared" si="1"/>
        <v>0</v>
      </c>
      <c r="U224" s="89">
        <f t="shared" si="2"/>
        <v>0</v>
      </c>
      <c r="V224" s="89">
        <f t="shared" si="3"/>
        <v>0</v>
      </c>
      <c r="W224" s="89">
        <f t="shared" si="4"/>
        <v>0</v>
      </c>
      <c r="X224" s="89">
        <f t="shared" si="5"/>
        <v>0</v>
      </c>
      <c r="Y224" s="28"/>
    </row>
    <row r="225" spans="1:25" ht="20.25" customHeight="1">
      <c r="A225" s="88" t="str">
        <f>+IF(BASE!B229="","",BASE!B229)</f>
        <v>23XXR214</v>
      </c>
      <c r="B225" s="121" t="s">
        <v>40</v>
      </c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89"/>
      <c r="R225" s="91">
        <f t="shared" si="0"/>
        <v>0</v>
      </c>
      <c r="S225" s="91">
        <f>BASE!A229</f>
        <v>214</v>
      </c>
      <c r="T225" s="89">
        <f t="shared" si="1"/>
        <v>0</v>
      </c>
      <c r="U225" s="89">
        <f t="shared" si="2"/>
        <v>0</v>
      </c>
      <c r="V225" s="89">
        <f t="shared" si="3"/>
        <v>0</v>
      </c>
      <c r="W225" s="89">
        <f t="shared" si="4"/>
        <v>0</v>
      </c>
      <c r="X225" s="89">
        <f t="shared" si="5"/>
        <v>0</v>
      </c>
      <c r="Y225" s="28"/>
    </row>
    <row r="226" spans="1:25" ht="20.25" customHeight="1">
      <c r="A226" s="88" t="str">
        <f>+IF(BASE!B230="","",BASE!B230)</f>
        <v>23XXR215</v>
      </c>
      <c r="B226" s="121" t="s">
        <v>40</v>
      </c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89"/>
      <c r="R226" s="91">
        <f t="shared" si="0"/>
        <v>0</v>
      </c>
      <c r="S226" s="91">
        <f>BASE!A230</f>
        <v>215</v>
      </c>
      <c r="T226" s="89">
        <f t="shared" si="1"/>
        <v>0</v>
      </c>
      <c r="U226" s="89">
        <f t="shared" si="2"/>
        <v>0</v>
      </c>
      <c r="V226" s="89">
        <f t="shared" si="3"/>
        <v>0</v>
      </c>
      <c r="W226" s="89">
        <f t="shared" si="4"/>
        <v>0</v>
      </c>
      <c r="X226" s="89">
        <f t="shared" si="5"/>
        <v>0</v>
      </c>
      <c r="Y226" s="28"/>
    </row>
    <row r="227" spans="1:25" ht="20.25" customHeight="1">
      <c r="A227" s="88" t="str">
        <f>+IF(BASE!B231="","",BASE!B231)</f>
        <v>23XXR216</v>
      </c>
      <c r="B227" s="121" t="s">
        <v>40</v>
      </c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89"/>
      <c r="R227" s="91">
        <f t="shared" si="0"/>
        <v>0</v>
      </c>
      <c r="S227" s="91">
        <f>BASE!A231</f>
        <v>216</v>
      </c>
      <c r="T227" s="89">
        <f t="shared" si="1"/>
        <v>0</v>
      </c>
      <c r="U227" s="89">
        <f t="shared" si="2"/>
        <v>0</v>
      </c>
      <c r="V227" s="89">
        <f t="shared" si="3"/>
        <v>0</v>
      </c>
      <c r="W227" s="89">
        <f t="shared" si="4"/>
        <v>0</v>
      </c>
      <c r="X227" s="89">
        <f t="shared" si="5"/>
        <v>0</v>
      </c>
      <c r="Y227" s="28"/>
    </row>
    <row r="228" spans="1:25" ht="20.25" customHeight="1">
      <c r="A228" s="88" t="str">
        <f>+IF(BASE!B232="","",BASE!B232)</f>
        <v>23XXR217</v>
      </c>
      <c r="B228" s="121" t="s">
        <v>40</v>
      </c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89"/>
      <c r="R228" s="91">
        <f t="shared" si="0"/>
        <v>0</v>
      </c>
      <c r="S228" s="91">
        <f>BASE!A232</f>
        <v>217</v>
      </c>
      <c r="T228" s="89">
        <f t="shared" si="1"/>
        <v>0</v>
      </c>
      <c r="U228" s="89">
        <f t="shared" si="2"/>
        <v>0</v>
      </c>
      <c r="V228" s="89">
        <f t="shared" si="3"/>
        <v>0</v>
      </c>
      <c r="W228" s="89">
        <f t="shared" si="4"/>
        <v>0</v>
      </c>
      <c r="X228" s="89">
        <f t="shared" si="5"/>
        <v>0</v>
      </c>
      <c r="Y228" s="28"/>
    </row>
    <row r="229" spans="1:25" ht="17.25" customHeight="1">
      <c r="A229" s="88" t="str">
        <f>+IF(BASE!B233="","",BASE!B233)</f>
        <v>23XXR218</v>
      </c>
      <c r="B229" s="121" t="s">
        <v>40</v>
      </c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89"/>
      <c r="R229" s="91">
        <f t="shared" si="0"/>
        <v>0</v>
      </c>
      <c r="S229" s="91">
        <f>BASE!A233</f>
        <v>218</v>
      </c>
      <c r="T229" s="89">
        <f t="shared" si="1"/>
        <v>0</v>
      </c>
      <c r="U229" s="89">
        <f t="shared" si="2"/>
        <v>0</v>
      </c>
      <c r="V229" s="89">
        <f t="shared" si="3"/>
        <v>0</v>
      </c>
      <c r="W229" s="89">
        <f t="shared" si="4"/>
        <v>0</v>
      </c>
      <c r="X229" s="89">
        <f t="shared" si="5"/>
        <v>0</v>
      </c>
      <c r="Y229" s="28"/>
    </row>
    <row r="230" spans="1:25" ht="17.25" customHeight="1">
      <c r="A230" s="88" t="str">
        <f>+IF(BASE!B234="","",BASE!B234)</f>
        <v>23XXR219</v>
      </c>
      <c r="B230" s="121" t="s">
        <v>40</v>
      </c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89"/>
      <c r="R230" s="91">
        <f t="shared" si="0"/>
        <v>0</v>
      </c>
      <c r="S230" s="91">
        <f>BASE!A234</f>
        <v>219</v>
      </c>
      <c r="T230" s="89">
        <f t="shared" si="1"/>
        <v>0</v>
      </c>
      <c r="U230" s="89">
        <f t="shared" si="2"/>
        <v>0</v>
      </c>
      <c r="V230" s="89">
        <f t="shared" si="3"/>
        <v>0</v>
      </c>
      <c r="W230" s="89">
        <f t="shared" si="4"/>
        <v>0</v>
      </c>
      <c r="X230" s="89">
        <f t="shared" si="5"/>
        <v>0</v>
      </c>
      <c r="Y230" s="28"/>
    </row>
    <row r="231" spans="1:25" ht="17.25" customHeight="1">
      <c r="A231" s="88" t="str">
        <f>+IF(BASE!B235="","",BASE!B235)</f>
        <v>23XXR220</v>
      </c>
      <c r="B231" s="121" t="s">
        <v>40</v>
      </c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89"/>
      <c r="R231" s="91">
        <f t="shared" si="0"/>
        <v>0</v>
      </c>
      <c r="S231" s="91">
        <f>BASE!A235</f>
        <v>220</v>
      </c>
      <c r="T231" s="89">
        <f t="shared" si="1"/>
        <v>0</v>
      </c>
      <c r="U231" s="89">
        <f t="shared" si="2"/>
        <v>0</v>
      </c>
      <c r="V231" s="89">
        <f t="shared" si="3"/>
        <v>0</v>
      </c>
      <c r="W231" s="89">
        <f t="shared" si="4"/>
        <v>0</v>
      </c>
      <c r="X231" s="89">
        <f t="shared" si="5"/>
        <v>0</v>
      </c>
      <c r="Y231" s="28"/>
    </row>
    <row r="232" spans="1:25" ht="17.25" customHeight="1">
      <c r="A232" s="88" t="str">
        <f>+IF(BASE!B236="","",BASE!B236)</f>
        <v>23XXR221</v>
      </c>
      <c r="B232" s="121" t="s">
        <v>40</v>
      </c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89"/>
      <c r="R232" s="91">
        <f t="shared" si="0"/>
        <v>0</v>
      </c>
      <c r="S232" s="91">
        <f>BASE!A236</f>
        <v>221</v>
      </c>
      <c r="T232" s="89">
        <f t="shared" si="1"/>
        <v>0</v>
      </c>
      <c r="U232" s="89">
        <f t="shared" si="2"/>
        <v>0</v>
      </c>
      <c r="V232" s="89">
        <f t="shared" si="3"/>
        <v>0</v>
      </c>
      <c r="W232" s="89">
        <f t="shared" si="4"/>
        <v>0</v>
      </c>
      <c r="X232" s="89">
        <f t="shared" si="5"/>
        <v>0</v>
      </c>
      <c r="Y232" s="28"/>
    </row>
    <row r="233" spans="1:25" ht="17.25" customHeight="1">
      <c r="A233" s="88" t="str">
        <f>+IF(BASE!B237="","",BASE!B237)</f>
        <v>23XXR222</v>
      </c>
      <c r="B233" s="121" t="s">
        <v>40</v>
      </c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89"/>
      <c r="R233" s="91">
        <f t="shared" si="0"/>
        <v>0</v>
      </c>
      <c r="S233" s="91">
        <f>BASE!A237</f>
        <v>222</v>
      </c>
      <c r="T233" s="89">
        <f t="shared" si="1"/>
        <v>0</v>
      </c>
      <c r="U233" s="89">
        <f t="shared" si="2"/>
        <v>0</v>
      </c>
      <c r="V233" s="89">
        <f t="shared" si="3"/>
        <v>0</v>
      </c>
      <c r="W233" s="89">
        <f t="shared" si="4"/>
        <v>0</v>
      </c>
      <c r="X233" s="89">
        <f t="shared" si="5"/>
        <v>0</v>
      </c>
      <c r="Y233" s="28"/>
    </row>
    <row r="234" spans="1:25" ht="17.25" customHeight="1">
      <c r="A234" s="88" t="str">
        <f>+IF(BASE!B238="","",BASE!B238)</f>
        <v>23XXR223</v>
      </c>
      <c r="B234" s="121" t="s">
        <v>40</v>
      </c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89"/>
      <c r="R234" s="91">
        <f t="shared" si="0"/>
        <v>0</v>
      </c>
      <c r="S234" s="91">
        <f>BASE!A238</f>
        <v>223</v>
      </c>
      <c r="T234" s="89">
        <f t="shared" si="1"/>
        <v>0</v>
      </c>
      <c r="U234" s="89">
        <f t="shared" si="2"/>
        <v>0</v>
      </c>
      <c r="V234" s="89">
        <f t="shared" si="3"/>
        <v>0</v>
      </c>
      <c r="W234" s="89">
        <f t="shared" si="4"/>
        <v>0</v>
      </c>
      <c r="X234" s="89">
        <f t="shared" si="5"/>
        <v>0</v>
      </c>
      <c r="Y234" s="28"/>
    </row>
    <row r="235" spans="1:25" ht="17.25" customHeight="1">
      <c r="A235" s="88" t="str">
        <f>+IF(BASE!B239="","",BASE!B239)</f>
        <v>23XXR224</v>
      </c>
      <c r="B235" s="121" t="s">
        <v>40</v>
      </c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89"/>
      <c r="R235" s="91">
        <f t="shared" si="0"/>
        <v>0</v>
      </c>
      <c r="S235" s="91">
        <f>BASE!A239</f>
        <v>224</v>
      </c>
      <c r="T235" s="89">
        <f t="shared" si="1"/>
        <v>0</v>
      </c>
      <c r="U235" s="89">
        <f t="shared" si="2"/>
        <v>0</v>
      </c>
      <c r="V235" s="89">
        <f t="shared" si="3"/>
        <v>0</v>
      </c>
      <c r="W235" s="89">
        <f t="shared" si="4"/>
        <v>0</v>
      </c>
      <c r="X235" s="89">
        <f t="shared" si="5"/>
        <v>0</v>
      </c>
      <c r="Y235" s="28"/>
    </row>
    <row r="236" spans="1:25" ht="17.25" customHeight="1">
      <c r="A236" s="88" t="str">
        <f>+IF(BASE!B240="","",BASE!B240)</f>
        <v>23XXR225</v>
      </c>
      <c r="B236" s="121" t="s">
        <v>40</v>
      </c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89"/>
      <c r="R236" s="91">
        <f t="shared" si="0"/>
        <v>0</v>
      </c>
      <c r="S236" s="91">
        <f>BASE!A240</f>
        <v>225</v>
      </c>
      <c r="T236" s="89">
        <f t="shared" si="1"/>
        <v>0</v>
      </c>
      <c r="U236" s="89">
        <f t="shared" si="2"/>
        <v>0</v>
      </c>
      <c r="V236" s="89">
        <f t="shared" si="3"/>
        <v>0</v>
      </c>
      <c r="W236" s="89">
        <f t="shared" si="4"/>
        <v>0</v>
      </c>
      <c r="X236" s="89">
        <f t="shared" si="5"/>
        <v>0</v>
      </c>
      <c r="Y236" s="28"/>
    </row>
    <row r="237" spans="1:25" ht="17.25" customHeight="1">
      <c r="A237" s="88" t="str">
        <f>+IF(BASE!B241="","",BASE!B241)</f>
        <v>23XXR226</v>
      </c>
      <c r="B237" s="121" t="s">
        <v>40</v>
      </c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89"/>
      <c r="R237" s="91">
        <f t="shared" si="0"/>
        <v>0</v>
      </c>
      <c r="S237" s="91">
        <f>BASE!A241</f>
        <v>226</v>
      </c>
      <c r="T237" s="89">
        <f t="shared" si="1"/>
        <v>0</v>
      </c>
      <c r="U237" s="89">
        <f t="shared" si="2"/>
        <v>0</v>
      </c>
      <c r="V237" s="89">
        <f t="shared" si="3"/>
        <v>0</v>
      </c>
      <c r="W237" s="89">
        <f t="shared" si="4"/>
        <v>0</v>
      </c>
      <c r="X237" s="89">
        <f t="shared" si="5"/>
        <v>0</v>
      </c>
      <c r="Y237" s="28"/>
    </row>
    <row r="238" spans="1:25" ht="17.25" customHeight="1">
      <c r="A238" s="88" t="str">
        <f>+IF(BASE!B242="","",BASE!B242)</f>
        <v>23XXR227</v>
      </c>
      <c r="B238" s="121" t="s">
        <v>40</v>
      </c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89"/>
      <c r="R238" s="91">
        <f t="shared" si="0"/>
        <v>0</v>
      </c>
      <c r="S238" s="91">
        <f>BASE!A242</f>
        <v>227</v>
      </c>
      <c r="T238" s="89">
        <f t="shared" si="1"/>
        <v>0</v>
      </c>
      <c r="U238" s="89">
        <f t="shared" si="2"/>
        <v>0</v>
      </c>
      <c r="V238" s="89">
        <f t="shared" si="3"/>
        <v>0</v>
      </c>
      <c r="W238" s="89">
        <f t="shared" si="4"/>
        <v>0</v>
      </c>
      <c r="X238" s="89">
        <f t="shared" si="5"/>
        <v>0</v>
      </c>
      <c r="Y238" s="28"/>
    </row>
    <row r="239" spans="1:25" ht="17.25" customHeight="1">
      <c r="A239" s="88" t="str">
        <f>+IF(BASE!B243="","",BASE!B243)</f>
        <v>23XXR228</v>
      </c>
      <c r="B239" s="121" t="s">
        <v>40</v>
      </c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89"/>
      <c r="R239" s="91">
        <f t="shared" si="0"/>
        <v>0</v>
      </c>
      <c r="S239" s="91">
        <f>BASE!A243</f>
        <v>228</v>
      </c>
      <c r="T239" s="89">
        <f t="shared" si="1"/>
        <v>0</v>
      </c>
      <c r="U239" s="89">
        <f t="shared" si="2"/>
        <v>0</v>
      </c>
      <c r="V239" s="89">
        <f t="shared" si="3"/>
        <v>0</v>
      </c>
      <c r="W239" s="89">
        <f t="shared" si="4"/>
        <v>0</v>
      </c>
      <c r="X239" s="89">
        <f t="shared" si="5"/>
        <v>0</v>
      </c>
      <c r="Y239" s="28"/>
    </row>
    <row r="240" spans="1:25" ht="17.25" customHeight="1">
      <c r="A240" s="88" t="str">
        <f>+IF(BASE!B244="","",BASE!B244)</f>
        <v>23XXR229</v>
      </c>
      <c r="B240" s="121" t="s">
        <v>40</v>
      </c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89"/>
      <c r="R240" s="91">
        <f t="shared" si="0"/>
        <v>0</v>
      </c>
      <c r="S240" s="91">
        <f>BASE!A244</f>
        <v>229</v>
      </c>
      <c r="T240" s="89">
        <f t="shared" si="1"/>
        <v>0</v>
      </c>
      <c r="U240" s="89">
        <f t="shared" si="2"/>
        <v>0</v>
      </c>
      <c r="V240" s="89">
        <f t="shared" si="3"/>
        <v>0</v>
      </c>
      <c r="W240" s="89">
        <f t="shared" si="4"/>
        <v>0</v>
      </c>
      <c r="X240" s="89">
        <f t="shared" si="5"/>
        <v>0</v>
      </c>
      <c r="Y240" s="28"/>
    </row>
    <row r="241" spans="1:25" ht="17.25" customHeight="1">
      <c r="A241" s="88" t="str">
        <f>+IF(BASE!B245="","",BASE!B245)</f>
        <v>23XXR230</v>
      </c>
      <c r="B241" s="121" t="s">
        <v>40</v>
      </c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89"/>
      <c r="R241" s="91">
        <f t="shared" si="0"/>
        <v>0</v>
      </c>
      <c r="S241" s="91">
        <f>BASE!A245</f>
        <v>230</v>
      </c>
      <c r="T241" s="89">
        <f t="shared" si="1"/>
        <v>0</v>
      </c>
      <c r="U241" s="89">
        <f t="shared" si="2"/>
        <v>0</v>
      </c>
      <c r="V241" s="89">
        <f t="shared" si="3"/>
        <v>0</v>
      </c>
      <c r="W241" s="89">
        <f t="shared" si="4"/>
        <v>0</v>
      </c>
      <c r="X241" s="89">
        <f t="shared" si="5"/>
        <v>0</v>
      </c>
      <c r="Y241" s="28"/>
    </row>
    <row r="242" spans="1:25" ht="17.25" customHeight="1">
      <c r="A242" s="88" t="str">
        <f>+IF(BASE!B246="","",BASE!B246)</f>
        <v>23XXR231</v>
      </c>
      <c r="B242" s="121" t="s">
        <v>40</v>
      </c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89"/>
      <c r="R242" s="91">
        <f t="shared" si="0"/>
        <v>0</v>
      </c>
      <c r="S242" s="91">
        <f>BASE!A246</f>
        <v>231</v>
      </c>
      <c r="T242" s="89">
        <f t="shared" si="1"/>
        <v>0</v>
      </c>
      <c r="U242" s="89">
        <f t="shared" si="2"/>
        <v>0</v>
      </c>
      <c r="V242" s="89">
        <f t="shared" si="3"/>
        <v>0</v>
      </c>
      <c r="W242" s="89">
        <f t="shared" si="4"/>
        <v>0</v>
      </c>
      <c r="X242" s="89">
        <f t="shared" si="5"/>
        <v>0</v>
      </c>
      <c r="Y242" s="28"/>
    </row>
    <row r="243" spans="1:25" ht="17.25" customHeight="1">
      <c r="A243" s="88" t="str">
        <f>+IF(BASE!B247="","",BASE!B247)</f>
        <v>23XXR232</v>
      </c>
      <c r="B243" s="121" t="s">
        <v>40</v>
      </c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89"/>
      <c r="R243" s="91">
        <f t="shared" si="0"/>
        <v>0</v>
      </c>
      <c r="S243" s="91">
        <f>BASE!A247</f>
        <v>232</v>
      </c>
      <c r="T243" s="89">
        <f t="shared" si="1"/>
        <v>0</v>
      </c>
      <c r="U243" s="89">
        <f t="shared" si="2"/>
        <v>0</v>
      </c>
      <c r="V243" s="89">
        <f t="shared" si="3"/>
        <v>0</v>
      </c>
      <c r="W243" s="89">
        <f t="shared" si="4"/>
        <v>0</v>
      </c>
      <c r="X243" s="89">
        <f t="shared" si="5"/>
        <v>0</v>
      </c>
      <c r="Y243" s="28"/>
    </row>
    <row r="244" spans="1:25" ht="17.25" customHeight="1">
      <c r="A244" s="88" t="str">
        <f>+IF(BASE!B248="","",BASE!B248)</f>
        <v>23XXR233</v>
      </c>
      <c r="B244" s="121" t="s">
        <v>40</v>
      </c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89"/>
      <c r="R244" s="91">
        <f t="shared" si="0"/>
        <v>0</v>
      </c>
      <c r="S244" s="91">
        <f>BASE!A248</f>
        <v>233</v>
      </c>
      <c r="T244" s="89">
        <f t="shared" si="1"/>
        <v>0</v>
      </c>
      <c r="U244" s="89">
        <f t="shared" si="2"/>
        <v>0</v>
      </c>
      <c r="V244" s="89">
        <f t="shared" si="3"/>
        <v>0</v>
      </c>
      <c r="W244" s="89">
        <f t="shared" si="4"/>
        <v>0</v>
      </c>
      <c r="X244" s="89">
        <f t="shared" si="5"/>
        <v>0</v>
      </c>
      <c r="Y244" s="28"/>
    </row>
    <row r="245" spans="1:25" ht="17.25" customHeight="1">
      <c r="A245" s="88" t="str">
        <f>+IF(BASE!B249="","",BASE!B249)</f>
        <v>23XXR234</v>
      </c>
      <c r="B245" s="121" t="s">
        <v>40</v>
      </c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89"/>
      <c r="R245" s="91">
        <f t="shared" si="0"/>
        <v>0</v>
      </c>
      <c r="S245" s="91">
        <f>BASE!A249</f>
        <v>234</v>
      </c>
      <c r="T245" s="89">
        <f t="shared" si="1"/>
        <v>0</v>
      </c>
      <c r="U245" s="89">
        <f t="shared" si="2"/>
        <v>0</v>
      </c>
      <c r="V245" s="89">
        <f t="shared" si="3"/>
        <v>0</v>
      </c>
      <c r="W245" s="89">
        <f t="shared" si="4"/>
        <v>0</v>
      </c>
      <c r="X245" s="89">
        <f t="shared" si="5"/>
        <v>0</v>
      </c>
      <c r="Y245" s="28"/>
    </row>
    <row r="246" spans="1:25" ht="17.25" customHeight="1">
      <c r="A246" s="88" t="str">
        <f>+IF(BASE!B250="","",BASE!B250)</f>
        <v>23XXR235</v>
      </c>
      <c r="B246" s="121" t="s">
        <v>40</v>
      </c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89"/>
      <c r="R246" s="91">
        <f t="shared" si="0"/>
        <v>0</v>
      </c>
      <c r="S246" s="91">
        <f>BASE!A250</f>
        <v>235</v>
      </c>
      <c r="T246" s="89">
        <f t="shared" si="1"/>
        <v>0</v>
      </c>
      <c r="U246" s="89">
        <f t="shared" si="2"/>
        <v>0</v>
      </c>
      <c r="V246" s="89">
        <f t="shared" si="3"/>
        <v>0</v>
      </c>
      <c r="W246" s="89">
        <f t="shared" si="4"/>
        <v>0</v>
      </c>
      <c r="X246" s="89">
        <f t="shared" si="5"/>
        <v>0</v>
      </c>
      <c r="Y246" s="28"/>
    </row>
    <row r="247" spans="1:25" ht="17.25" customHeight="1">
      <c r="A247" s="88" t="str">
        <f>+IF(BASE!B251="","",BASE!B251)</f>
        <v>23XXR236</v>
      </c>
      <c r="B247" s="121" t="s">
        <v>40</v>
      </c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89"/>
      <c r="R247" s="91">
        <f t="shared" si="0"/>
        <v>0</v>
      </c>
      <c r="S247" s="91">
        <f>BASE!A251</f>
        <v>236</v>
      </c>
      <c r="T247" s="89">
        <f t="shared" si="1"/>
        <v>0</v>
      </c>
      <c r="U247" s="89">
        <f t="shared" si="2"/>
        <v>0</v>
      </c>
      <c r="V247" s="89">
        <f t="shared" si="3"/>
        <v>0</v>
      </c>
      <c r="W247" s="89">
        <f t="shared" si="4"/>
        <v>0</v>
      </c>
      <c r="X247" s="89">
        <f t="shared" si="5"/>
        <v>0</v>
      </c>
      <c r="Y247" s="28"/>
    </row>
    <row r="248" spans="1:25" ht="17.25" customHeight="1">
      <c r="A248" s="88" t="str">
        <f>+IF(BASE!B252="","",BASE!B252)</f>
        <v>23XXR237</v>
      </c>
      <c r="B248" s="121" t="s">
        <v>40</v>
      </c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89"/>
      <c r="R248" s="91">
        <f t="shared" si="0"/>
        <v>0</v>
      </c>
      <c r="S248" s="91">
        <f>BASE!A252</f>
        <v>237</v>
      </c>
      <c r="T248" s="89">
        <f t="shared" si="1"/>
        <v>0</v>
      </c>
      <c r="U248" s="89">
        <f t="shared" si="2"/>
        <v>0</v>
      </c>
      <c r="V248" s="89">
        <f t="shared" si="3"/>
        <v>0</v>
      </c>
      <c r="W248" s="89">
        <f t="shared" si="4"/>
        <v>0</v>
      </c>
      <c r="X248" s="89">
        <f t="shared" si="5"/>
        <v>0</v>
      </c>
      <c r="Y248" s="28"/>
    </row>
    <row r="249" spans="1:25" ht="17.25" customHeight="1">
      <c r="A249" s="88" t="str">
        <f>+IF(BASE!B253="","",BASE!B253)</f>
        <v>23XXR238</v>
      </c>
      <c r="B249" s="121" t="s">
        <v>40</v>
      </c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89"/>
      <c r="R249" s="91">
        <f t="shared" si="0"/>
        <v>0</v>
      </c>
      <c r="S249" s="91">
        <f>BASE!A253</f>
        <v>238</v>
      </c>
      <c r="T249" s="89">
        <f t="shared" si="1"/>
        <v>0</v>
      </c>
      <c r="U249" s="89">
        <f t="shared" si="2"/>
        <v>0</v>
      </c>
      <c r="V249" s="89">
        <f t="shared" si="3"/>
        <v>0</v>
      </c>
      <c r="W249" s="89">
        <f t="shared" si="4"/>
        <v>0</v>
      </c>
      <c r="X249" s="89">
        <f t="shared" si="5"/>
        <v>0</v>
      </c>
      <c r="Y249" s="28"/>
    </row>
    <row r="250" spans="1:25" ht="17.25" customHeight="1">
      <c r="A250" s="88" t="str">
        <f>+IF(BASE!B254="","",BASE!B254)</f>
        <v>23XXR239</v>
      </c>
      <c r="B250" s="121" t="s">
        <v>40</v>
      </c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89"/>
      <c r="R250" s="91">
        <f t="shared" si="0"/>
        <v>0</v>
      </c>
      <c r="S250" s="91">
        <f>BASE!A254</f>
        <v>239</v>
      </c>
      <c r="T250" s="89">
        <f t="shared" si="1"/>
        <v>0</v>
      </c>
      <c r="U250" s="89">
        <f t="shared" si="2"/>
        <v>0</v>
      </c>
      <c r="V250" s="89">
        <f t="shared" si="3"/>
        <v>0</v>
      </c>
      <c r="W250" s="89">
        <f t="shared" si="4"/>
        <v>0</v>
      </c>
      <c r="X250" s="89">
        <f t="shared" si="5"/>
        <v>0</v>
      </c>
      <c r="Y250" s="28"/>
    </row>
    <row r="251" spans="1:25" ht="17.25" customHeight="1">
      <c r="A251" s="88" t="str">
        <f>+IF(BASE!B255="","",BASE!B255)</f>
        <v>23XXR240</v>
      </c>
      <c r="B251" s="121" t="s">
        <v>40</v>
      </c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89"/>
      <c r="R251" s="91">
        <f t="shared" si="0"/>
        <v>0</v>
      </c>
      <c r="S251" s="91">
        <f>BASE!A255</f>
        <v>240</v>
      </c>
      <c r="T251" s="89">
        <f t="shared" si="1"/>
        <v>0</v>
      </c>
      <c r="U251" s="89">
        <f t="shared" si="2"/>
        <v>0</v>
      </c>
      <c r="V251" s="89">
        <f t="shared" si="3"/>
        <v>0</v>
      </c>
      <c r="W251" s="89">
        <f t="shared" si="4"/>
        <v>0</v>
      </c>
      <c r="X251" s="89">
        <f t="shared" si="5"/>
        <v>0</v>
      </c>
      <c r="Y251" s="28"/>
    </row>
    <row r="252" spans="1:25" ht="17.25" customHeight="1">
      <c r="A252" s="88" t="str">
        <f>+IF(BASE!B256="","",BASE!B256)</f>
        <v>23XXR241</v>
      </c>
      <c r="B252" s="121" t="s">
        <v>40</v>
      </c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93"/>
      <c r="R252" s="91">
        <f t="shared" si="0"/>
        <v>0</v>
      </c>
      <c r="S252" s="91">
        <f>BASE!A256</f>
        <v>241</v>
      </c>
      <c r="T252" s="89">
        <f t="shared" si="1"/>
        <v>0</v>
      </c>
      <c r="U252" s="89">
        <f t="shared" si="2"/>
        <v>0</v>
      </c>
      <c r="V252" s="89">
        <f t="shared" si="3"/>
        <v>0</v>
      </c>
      <c r="W252" s="89">
        <f t="shared" si="4"/>
        <v>0</v>
      </c>
      <c r="X252" s="89">
        <f t="shared" si="5"/>
        <v>0</v>
      </c>
      <c r="Y252" s="28"/>
    </row>
    <row r="253" spans="1:25" ht="17.25" customHeight="1">
      <c r="A253" s="88" t="str">
        <f>+IF(BASE!B257="","",BASE!B257)</f>
        <v>23XXR242</v>
      </c>
      <c r="B253" s="121" t="s">
        <v>40</v>
      </c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93"/>
      <c r="R253" s="91">
        <f t="shared" ref="R253:R316" si="6">SUM(C253:Q253)</f>
        <v>0</v>
      </c>
      <c r="S253" s="91">
        <f>BASE!A257</f>
        <v>242</v>
      </c>
      <c r="T253" s="89">
        <f t="shared" ref="T253:T316" si="7">SUMIF($C$11:$Q$11,1,C253:Q253)</f>
        <v>0</v>
      </c>
      <c r="U253" s="89">
        <f t="shared" ref="U253:U316" si="8">SUMIF($C$11:$Q$11,2,C253:Q253)</f>
        <v>0</v>
      </c>
      <c r="V253" s="89">
        <f t="shared" ref="V253:V316" si="9">SUMIF($C$11:$Q$11,3,C253:Q253)</f>
        <v>0</v>
      </c>
      <c r="W253" s="89">
        <f t="shared" ref="W253:W316" si="10">SUMIF($C$11:$Q$11,4,C253:Q253)</f>
        <v>0</v>
      </c>
      <c r="X253" s="89">
        <f t="shared" ref="X253:X316" si="11">SUMIF($C$11:$Q$11,5,C253:Q253)</f>
        <v>0</v>
      </c>
      <c r="Y253" s="28"/>
    </row>
    <row r="254" spans="1:25" ht="17.25" customHeight="1">
      <c r="A254" s="88" t="str">
        <f>+IF(BASE!B258="","",BASE!B258)</f>
        <v>23XXR243</v>
      </c>
      <c r="B254" s="121" t="s">
        <v>40</v>
      </c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93"/>
      <c r="R254" s="91">
        <f t="shared" si="6"/>
        <v>0</v>
      </c>
      <c r="S254" s="91">
        <f>BASE!A258</f>
        <v>243</v>
      </c>
      <c r="T254" s="89">
        <f t="shared" si="7"/>
        <v>0</v>
      </c>
      <c r="U254" s="89">
        <f t="shared" si="8"/>
        <v>0</v>
      </c>
      <c r="V254" s="89">
        <f t="shared" si="9"/>
        <v>0</v>
      </c>
      <c r="W254" s="89">
        <f t="shared" si="10"/>
        <v>0</v>
      </c>
      <c r="X254" s="89">
        <f t="shared" si="11"/>
        <v>0</v>
      </c>
      <c r="Y254" s="28"/>
    </row>
    <row r="255" spans="1:25" ht="17.25" customHeight="1">
      <c r="A255" s="88" t="str">
        <f>+IF(BASE!B259="","",BASE!B259)</f>
        <v>23XXR244</v>
      </c>
      <c r="B255" s="121" t="s">
        <v>40</v>
      </c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93"/>
      <c r="R255" s="91">
        <f t="shared" si="6"/>
        <v>0</v>
      </c>
      <c r="S255" s="91">
        <f>BASE!A259</f>
        <v>244</v>
      </c>
      <c r="T255" s="89">
        <f t="shared" si="7"/>
        <v>0</v>
      </c>
      <c r="U255" s="89">
        <f t="shared" si="8"/>
        <v>0</v>
      </c>
      <c r="V255" s="89">
        <f t="shared" si="9"/>
        <v>0</v>
      </c>
      <c r="W255" s="89">
        <f t="shared" si="10"/>
        <v>0</v>
      </c>
      <c r="X255" s="89">
        <f t="shared" si="11"/>
        <v>0</v>
      </c>
      <c r="Y255" s="28"/>
    </row>
    <row r="256" spans="1:25" ht="17.25" customHeight="1">
      <c r="A256" s="88" t="str">
        <f>+IF(BASE!B260="","",BASE!B260)</f>
        <v>23XXR245</v>
      </c>
      <c r="B256" s="121" t="s">
        <v>40</v>
      </c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93"/>
      <c r="R256" s="91">
        <f t="shared" si="6"/>
        <v>0</v>
      </c>
      <c r="S256" s="91">
        <f>BASE!A260</f>
        <v>245</v>
      </c>
      <c r="T256" s="89">
        <f t="shared" si="7"/>
        <v>0</v>
      </c>
      <c r="U256" s="89">
        <f t="shared" si="8"/>
        <v>0</v>
      </c>
      <c r="V256" s="89">
        <f t="shared" si="9"/>
        <v>0</v>
      </c>
      <c r="W256" s="89">
        <f t="shared" si="10"/>
        <v>0</v>
      </c>
      <c r="X256" s="89">
        <f t="shared" si="11"/>
        <v>0</v>
      </c>
      <c r="Y256" s="28"/>
    </row>
    <row r="257" spans="1:25" ht="17.25" customHeight="1">
      <c r="A257" s="88" t="str">
        <f>+IF(BASE!B261="","",BASE!B261)</f>
        <v>23XXR246</v>
      </c>
      <c r="B257" s="121" t="s">
        <v>40</v>
      </c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93"/>
      <c r="R257" s="91">
        <f t="shared" si="6"/>
        <v>0</v>
      </c>
      <c r="S257" s="91">
        <f>BASE!A261</f>
        <v>246</v>
      </c>
      <c r="T257" s="89">
        <f t="shared" si="7"/>
        <v>0</v>
      </c>
      <c r="U257" s="89">
        <f t="shared" si="8"/>
        <v>0</v>
      </c>
      <c r="V257" s="89">
        <f t="shared" si="9"/>
        <v>0</v>
      </c>
      <c r="W257" s="89">
        <f t="shared" si="10"/>
        <v>0</v>
      </c>
      <c r="X257" s="89">
        <f t="shared" si="11"/>
        <v>0</v>
      </c>
      <c r="Y257" s="28"/>
    </row>
    <row r="258" spans="1:25" ht="17.25" customHeight="1">
      <c r="A258" s="88" t="str">
        <f>+IF(BASE!B262="","",BASE!B262)</f>
        <v>23XXR247</v>
      </c>
      <c r="B258" s="121" t="s">
        <v>40</v>
      </c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93"/>
      <c r="R258" s="91">
        <f t="shared" si="6"/>
        <v>0</v>
      </c>
      <c r="S258" s="91">
        <f>BASE!A262</f>
        <v>247</v>
      </c>
      <c r="T258" s="89">
        <f t="shared" si="7"/>
        <v>0</v>
      </c>
      <c r="U258" s="89">
        <f t="shared" si="8"/>
        <v>0</v>
      </c>
      <c r="V258" s="89">
        <f t="shared" si="9"/>
        <v>0</v>
      </c>
      <c r="W258" s="89">
        <f t="shared" si="10"/>
        <v>0</v>
      </c>
      <c r="X258" s="89">
        <f t="shared" si="11"/>
        <v>0</v>
      </c>
      <c r="Y258" s="28"/>
    </row>
    <row r="259" spans="1:25" ht="17.25" customHeight="1">
      <c r="A259" s="88" t="str">
        <f>+IF(BASE!B263="","",BASE!B263)</f>
        <v>23XXR248</v>
      </c>
      <c r="B259" s="121" t="s">
        <v>40</v>
      </c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93"/>
      <c r="R259" s="91">
        <f t="shared" si="6"/>
        <v>0</v>
      </c>
      <c r="S259" s="91">
        <f>BASE!A263</f>
        <v>248</v>
      </c>
      <c r="T259" s="89">
        <f t="shared" si="7"/>
        <v>0</v>
      </c>
      <c r="U259" s="89">
        <f t="shared" si="8"/>
        <v>0</v>
      </c>
      <c r="V259" s="89">
        <f t="shared" si="9"/>
        <v>0</v>
      </c>
      <c r="W259" s="89">
        <f t="shared" si="10"/>
        <v>0</v>
      </c>
      <c r="X259" s="89">
        <f t="shared" si="11"/>
        <v>0</v>
      </c>
      <c r="Y259" s="28"/>
    </row>
    <row r="260" spans="1:25" ht="17.25" customHeight="1">
      <c r="A260" s="88" t="str">
        <f>+IF(BASE!B264="","",BASE!B264)</f>
        <v>23XXR249</v>
      </c>
      <c r="B260" s="121" t="s">
        <v>40</v>
      </c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93"/>
      <c r="R260" s="91">
        <f t="shared" si="6"/>
        <v>0</v>
      </c>
      <c r="S260" s="91">
        <f>BASE!A264</f>
        <v>249</v>
      </c>
      <c r="T260" s="89">
        <f t="shared" si="7"/>
        <v>0</v>
      </c>
      <c r="U260" s="89">
        <f t="shared" si="8"/>
        <v>0</v>
      </c>
      <c r="V260" s="89">
        <f t="shared" si="9"/>
        <v>0</v>
      </c>
      <c r="W260" s="89">
        <f t="shared" si="10"/>
        <v>0</v>
      </c>
      <c r="X260" s="89">
        <f t="shared" si="11"/>
        <v>0</v>
      </c>
      <c r="Y260" s="28"/>
    </row>
    <row r="261" spans="1:25" ht="17.25" customHeight="1">
      <c r="A261" s="88" t="str">
        <f>+IF(BASE!B265="","",BASE!B265)</f>
        <v>23XXR250</v>
      </c>
      <c r="B261" s="121" t="s">
        <v>40</v>
      </c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93"/>
      <c r="R261" s="91">
        <f t="shared" si="6"/>
        <v>0</v>
      </c>
      <c r="S261" s="91">
        <f>BASE!A265</f>
        <v>250</v>
      </c>
      <c r="T261" s="89">
        <f t="shared" si="7"/>
        <v>0</v>
      </c>
      <c r="U261" s="89">
        <f t="shared" si="8"/>
        <v>0</v>
      </c>
      <c r="V261" s="89">
        <f t="shared" si="9"/>
        <v>0</v>
      </c>
      <c r="W261" s="89">
        <f t="shared" si="10"/>
        <v>0</v>
      </c>
      <c r="X261" s="89">
        <f t="shared" si="11"/>
        <v>0</v>
      </c>
      <c r="Y261" s="28"/>
    </row>
    <row r="262" spans="1:25" ht="17.25" customHeight="1">
      <c r="A262" s="88" t="str">
        <f>+IF(BASE!B266="","",BASE!B266)</f>
        <v>23XXR251</v>
      </c>
      <c r="B262" s="121" t="s">
        <v>40</v>
      </c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93"/>
      <c r="R262" s="91">
        <f t="shared" si="6"/>
        <v>0</v>
      </c>
      <c r="S262" s="91">
        <f>BASE!A266</f>
        <v>251</v>
      </c>
      <c r="T262" s="89">
        <f t="shared" si="7"/>
        <v>0</v>
      </c>
      <c r="U262" s="89">
        <f t="shared" si="8"/>
        <v>0</v>
      </c>
      <c r="V262" s="89">
        <f t="shared" si="9"/>
        <v>0</v>
      </c>
      <c r="W262" s="89">
        <f t="shared" si="10"/>
        <v>0</v>
      </c>
      <c r="X262" s="89">
        <f t="shared" si="11"/>
        <v>0</v>
      </c>
      <c r="Y262" s="28"/>
    </row>
    <row r="263" spans="1:25" ht="17.25" customHeight="1">
      <c r="A263" s="88" t="str">
        <f>+IF(BASE!B267="","",BASE!B267)</f>
        <v>23XXR252</v>
      </c>
      <c r="B263" s="121" t="s">
        <v>40</v>
      </c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93"/>
      <c r="R263" s="91">
        <f t="shared" si="6"/>
        <v>0</v>
      </c>
      <c r="S263" s="91">
        <f>BASE!A267</f>
        <v>252</v>
      </c>
      <c r="T263" s="89">
        <f t="shared" si="7"/>
        <v>0</v>
      </c>
      <c r="U263" s="89">
        <f t="shared" si="8"/>
        <v>0</v>
      </c>
      <c r="V263" s="89">
        <f t="shared" si="9"/>
        <v>0</v>
      </c>
      <c r="W263" s="89">
        <f t="shared" si="10"/>
        <v>0</v>
      </c>
      <c r="X263" s="89">
        <f t="shared" si="11"/>
        <v>0</v>
      </c>
      <c r="Y263" s="28"/>
    </row>
    <row r="264" spans="1:25" ht="17.25" customHeight="1">
      <c r="A264" s="88" t="str">
        <f>+IF(BASE!B268="","",BASE!B268)</f>
        <v>23XXR253</v>
      </c>
      <c r="B264" s="121" t="s">
        <v>40</v>
      </c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93"/>
      <c r="R264" s="91">
        <f t="shared" si="6"/>
        <v>0</v>
      </c>
      <c r="S264" s="91">
        <f>BASE!A268</f>
        <v>253</v>
      </c>
      <c r="T264" s="89">
        <f t="shared" si="7"/>
        <v>0</v>
      </c>
      <c r="U264" s="89">
        <f t="shared" si="8"/>
        <v>0</v>
      </c>
      <c r="V264" s="89">
        <f t="shared" si="9"/>
        <v>0</v>
      </c>
      <c r="W264" s="89">
        <f t="shared" si="10"/>
        <v>0</v>
      </c>
      <c r="X264" s="89">
        <f t="shared" si="11"/>
        <v>0</v>
      </c>
      <c r="Y264" s="28"/>
    </row>
    <row r="265" spans="1:25" ht="17.25" customHeight="1">
      <c r="A265" s="88" t="str">
        <f>+IF(BASE!B269="","",BASE!B269)</f>
        <v>23XXR254</v>
      </c>
      <c r="B265" s="121" t="s">
        <v>40</v>
      </c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93"/>
      <c r="R265" s="91">
        <f t="shared" si="6"/>
        <v>0</v>
      </c>
      <c r="S265" s="91">
        <f>BASE!A269</f>
        <v>254</v>
      </c>
      <c r="T265" s="89">
        <f t="shared" si="7"/>
        <v>0</v>
      </c>
      <c r="U265" s="89">
        <f t="shared" si="8"/>
        <v>0</v>
      </c>
      <c r="V265" s="89">
        <f t="shared" si="9"/>
        <v>0</v>
      </c>
      <c r="W265" s="89">
        <f t="shared" si="10"/>
        <v>0</v>
      </c>
      <c r="X265" s="89">
        <f t="shared" si="11"/>
        <v>0</v>
      </c>
      <c r="Y265" s="28"/>
    </row>
    <row r="266" spans="1:25" ht="17.25" customHeight="1">
      <c r="A266" s="88" t="str">
        <f>+IF(BASE!B270="","",BASE!B270)</f>
        <v>23XXR255</v>
      </c>
      <c r="B266" s="121" t="s">
        <v>40</v>
      </c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93"/>
      <c r="R266" s="91">
        <f t="shared" si="6"/>
        <v>0</v>
      </c>
      <c r="S266" s="91">
        <f>BASE!A270</f>
        <v>255</v>
      </c>
      <c r="T266" s="89">
        <f t="shared" si="7"/>
        <v>0</v>
      </c>
      <c r="U266" s="89">
        <f t="shared" si="8"/>
        <v>0</v>
      </c>
      <c r="V266" s="89">
        <f t="shared" si="9"/>
        <v>0</v>
      </c>
      <c r="W266" s="89">
        <f t="shared" si="10"/>
        <v>0</v>
      </c>
      <c r="X266" s="89">
        <f t="shared" si="11"/>
        <v>0</v>
      </c>
      <c r="Y266" s="28"/>
    </row>
    <row r="267" spans="1:25" ht="17.25" customHeight="1">
      <c r="A267" s="88" t="str">
        <f>+IF(BASE!B271="","",BASE!B271)</f>
        <v>23XXR256</v>
      </c>
      <c r="B267" s="121" t="s">
        <v>40</v>
      </c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93"/>
      <c r="R267" s="91">
        <f t="shared" si="6"/>
        <v>0</v>
      </c>
      <c r="S267" s="91">
        <f>BASE!A271</f>
        <v>256</v>
      </c>
      <c r="T267" s="89">
        <f t="shared" si="7"/>
        <v>0</v>
      </c>
      <c r="U267" s="89">
        <f t="shared" si="8"/>
        <v>0</v>
      </c>
      <c r="V267" s="89">
        <f t="shared" si="9"/>
        <v>0</v>
      </c>
      <c r="W267" s="89">
        <f t="shared" si="10"/>
        <v>0</v>
      </c>
      <c r="X267" s="89">
        <f t="shared" si="11"/>
        <v>0</v>
      </c>
      <c r="Y267" s="28"/>
    </row>
    <row r="268" spans="1:25" ht="17.25" customHeight="1">
      <c r="A268" s="88" t="str">
        <f>+IF(BASE!B272="","",BASE!B272)</f>
        <v>23XXR257</v>
      </c>
      <c r="B268" s="121" t="s">
        <v>40</v>
      </c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93"/>
      <c r="R268" s="91">
        <f t="shared" si="6"/>
        <v>0</v>
      </c>
      <c r="S268" s="91">
        <f>BASE!A272</f>
        <v>257</v>
      </c>
      <c r="T268" s="89">
        <f t="shared" si="7"/>
        <v>0</v>
      </c>
      <c r="U268" s="89">
        <f t="shared" si="8"/>
        <v>0</v>
      </c>
      <c r="V268" s="89">
        <f t="shared" si="9"/>
        <v>0</v>
      </c>
      <c r="W268" s="89">
        <f t="shared" si="10"/>
        <v>0</v>
      </c>
      <c r="X268" s="89">
        <f t="shared" si="11"/>
        <v>0</v>
      </c>
      <c r="Y268" s="28"/>
    </row>
    <row r="269" spans="1:25" ht="17.25" customHeight="1">
      <c r="A269" s="88" t="str">
        <f>+IF(BASE!B273="","",BASE!B273)</f>
        <v>23XXR258</v>
      </c>
      <c r="B269" s="121" t="s">
        <v>40</v>
      </c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93"/>
      <c r="R269" s="91">
        <f t="shared" si="6"/>
        <v>0</v>
      </c>
      <c r="S269" s="91">
        <f>BASE!A273</f>
        <v>258</v>
      </c>
      <c r="T269" s="89">
        <f t="shared" si="7"/>
        <v>0</v>
      </c>
      <c r="U269" s="89">
        <f t="shared" si="8"/>
        <v>0</v>
      </c>
      <c r="V269" s="89">
        <f t="shared" si="9"/>
        <v>0</v>
      </c>
      <c r="W269" s="89">
        <f t="shared" si="10"/>
        <v>0</v>
      </c>
      <c r="X269" s="89">
        <f t="shared" si="11"/>
        <v>0</v>
      </c>
      <c r="Y269" s="28"/>
    </row>
    <row r="270" spans="1:25" ht="17.25" customHeight="1">
      <c r="A270" s="88" t="str">
        <f>+IF(BASE!B274="","",BASE!B274)</f>
        <v>23XXR259</v>
      </c>
      <c r="B270" s="121" t="s">
        <v>40</v>
      </c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93"/>
      <c r="R270" s="91">
        <f t="shared" si="6"/>
        <v>0</v>
      </c>
      <c r="S270" s="91">
        <f>BASE!A274</f>
        <v>259</v>
      </c>
      <c r="T270" s="89">
        <f t="shared" si="7"/>
        <v>0</v>
      </c>
      <c r="U270" s="89">
        <f t="shared" si="8"/>
        <v>0</v>
      </c>
      <c r="V270" s="89">
        <f t="shared" si="9"/>
        <v>0</v>
      </c>
      <c r="W270" s="89">
        <f t="shared" si="10"/>
        <v>0</v>
      </c>
      <c r="X270" s="89">
        <f t="shared" si="11"/>
        <v>0</v>
      </c>
      <c r="Y270" s="28"/>
    </row>
    <row r="271" spans="1:25" ht="17.25" customHeight="1">
      <c r="A271" s="88" t="str">
        <f>+IF(BASE!B275="","",BASE!B275)</f>
        <v>23XXR260</v>
      </c>
      <c r="B271" s="121" t="s">
        <v>40</v>
      </c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93"/>
      <c r="R271" s="91">
        <f t="shared" si="6"/>
        <v>0</v>
      </c>
      <c r="S271" s="91">
        <f>BASE!A275</f>
        <v>260</v>
      </c>
      <c r="T271" s="89">
        <f t="shared" si="7"/>
        <v>0</v>
      </c>
      <c r="U271" s="89">
        <f t="shared" si="8"/>
        <v>0</v>
      </c>
      <c r="V271" s="89">
        <f t="shared" si="9"/>
        <v>0</v>
      </c>
      <c r="W271" s="89">
        <f t="shared" si="10"/>
        <v>0</v>
      </c>
      <c r="X271" s="89">
        <f t="shared" si="11"/>
        <v>0</v>
      </c>
      <c r="Y271" s="28"/>
    </row>
    <row r="272" spans="1:25" ht="17.25" customHeight="1">
      <c r="A272" s="88" t="str">
        <f>+IF(BASE!B276="","",BASE!B276)</f>
        <v>23XXR261</v>
      </c>
      <c r="B272" s="121" t="s">
        <v>40</v>
      </c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93"/>
      <c r="R272" s="91">
        <f t="shared" si="6"/>
        <v>0</v>
      </c>
      <c r="S272" s="91">
        <f>BASE!A276</f>
        <v>261</v>
      </c>
      <c r="T272" s="89">
        <f t="shared" si="7"/>
        <v>0</v>
      </c>
      <c r="U272" s="89">
        <f t="shared" si="8"/>
        <v>0</v>
      </c>
      <c r="V272" s="89">
        <f t="shared" si="9"/>
        <v>0</v>
      </c>
      <c r="W272" s="89">
        <f t="shared" si="10"/>
        <v>0</v>
      </c>
      <c r="X272" s="89">
        <f t="shared" si="11"/>
        <v>0</v>
      </c>
      <c r="Y272" s="28"/>
    </row>
    <row r="273" spans="1:25" ht="17.25" customHeight="1">
      <c r="A273" s="88" t="str">
        <f>+IF(BASE!B277="","",BASE!B277)</f>
        <v>23XXR262</v>
      </c>
      <c r="B273" s="121" t="s">
        <v>40</v>
      </c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93"/>
      <c r="R273" s="91">
        <f t="shared" si="6"/>
        <v>0</v>
      </c>
      <c r="S273" s="91">
        <f>BASE!A277</f>
        <v>262</v>
      </c>
      <c r="T273" s="89">
        <f t="shared" si="7"/>
        <v>0</v>
      </c>
      <c r="U273" s="89">
        <f t="shared" si="8"/>
        <v>0</v>
      </c>
      <c r="V273" s="89">
        <f t="shared" si="9"/>
        <v>0</v>
      </c>
      <c r="W273" s="89">
        <f t="shared" si="10"/>
        <v>0</v>
      </c>
      <c r="X273" s="89">
        <f t="shared" si="11"/>
        <v>0</v>
      </c>
      <c r="Y273" s="28"/>
    </row>
    <row r="274" spans="1:25" ht="17.25" customHeight="1">
      <c r="A274" s="88" t="str">
        <f>+IF(BASE!B278="","",BASE!B278)</f>
        <v>23XXR263</v>
      </c>
      <c r="B274" s="121" t="s">
        <v>40</v>
      </c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93"/>
      <c r="R274" s="91">
        <f t="shared" si="6"/>
        <v>0</v>
      </c>
      <c r="S274" s="91">
        <f>BASE!A278</f>
        <v>263</v>
      </c>
      <c r="T274" s="89">
        <f t="shared" si="7"/>
        <v>0</v>
      </c>
      <c r="U274" s="89">
        <f t="shared" si="8"/>
        <v>0</v>
      </c>
      <c r="V274" s="89">
        <f t="shared" si="9"/>
        <v>0</v>
      </c>
      <c r="W274" s="89">
        <f t="shared" si="10"/>
        <v>0</v>
      </c>
      <c r="X274" s="89">
        <f t="shared" si="11"/>
        <v>0</v>
      </c>
      <c r="Y274" s="28"/>
    </row>
    <row r="275" spans="1:25" ht="17.25" customHeight="1">
      <c r="A275" s="88" t="str">
        <f>+IF(BASE!B279="","",BASE!B279)</f>
        <v>23XXR264</v>
      </c>
      <c r="B275" s="121" t="s">
        <v>40</v>
      </c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93"/>
      <c r="R275" s="91">
        <f t="shared" si="6"/>
        <v>0</v>
      </c>
      <c r="S275" s="91">
        <f>BASE!A279</f>
        <v>264</v>
      </c>
      <c r="T275" s="89">
        <f t="shared" si="7"/>
        <v>0</v>
      </c>
      <c r="U275" s="89">
        <f t="shared" si="8"/>
        <v>0</v>
      </c>
      <c r="V275" s="89">
        <f t="shared" si="9"/>
        <v>0</v>
      </c>
      <c r="W275" s="89">
        <f t="shared" si="10"/>
        <v>0</v>
      </c>
      <c r="X275" s="89">
        <f t="shared" si="11"/>
        <v>0</v>
      </c>
      <c r="Y275" s="28"/>
    </row>
    <row r="276" spans="1:25" ht="17.25" customHeight="1">
      <c r="A276" s="88" t="str">
        <f>+IF(BASE!B280="","",BASE!B280)</f>
        <v>23XXR265</v>
      </c>
      <c r="B276" s="121" t="s">
        <v>40</v>
      </c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93"/>
      <c r="R276" s="91">
        <f t="shared" si="6"/>
        <v>0</v>
      </c>
      <c r="S276" s="91">
        <f>BASE!A280</f>
        <v>265</v>
      </c>
      <c r="T276" s="89">
        <f t="shared" si="7"/>
        <v>0</v>
      </c>
      <c r="U276" s="89">
        <f t="shared" si="8"/>
        <v>0</v>
      </c>
      <c r="V276" s="89">
        <f t="shared" si="9"/>
        <v>0</v>
      </c>
      <c r="W276" s="89">
        <f t="shared" si="10"/>
        <v>0</v>
      </c>
      <c r="X276" s="89">
        <f t="shared" si="11"/>
        <v>0</v>
      </c>
      <c r="Y276" s="28"/>
    </row>
    <row r="277" spans="1:25" ht="17.25" customHeight="1">
      <c r="A277" s="88" t="str">
        <f>+IF(BASE!B281="","",BASE!B281)</f>
        <v>23XXR266</v>
      </c>
      <c r="B277" s="121" t="s">
        <v>40</v>
      </c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93"/>
      <c r="R277" s="91">
        <f t="shared" si="6"/>
        <v>0</v>
      </c>
      <c r="S277" s="91">
        <f>BASE!A281</f>
        <v>266</v>
      </c>
      <c r="T277" s="89">
        <f t="shared" si="7"/>
        <v>0</v>
      </c>
      <c r="U277" s="89">
        <f t="shared" si="8"/>
        <v>0</v>
      </c>
      <c r="V277" s="89">
        <f t="shared" si="9"/>
        <v>0</v>
      </c>
      <c r="W277" s="89">
        <f t="shared" si="10"/>
        <v>0</v>
      </c>
      <c r="X277" s="89">
        <f t="shared" si="11"/>
        <v>0</v>
      </c>
      <c r="Y277" s="28"/>
    </row>
    <row r="278" spans="1:25" ht="17.25" customHeight="1">
      <c r="A278" s="88" t="str">
        <f>+IF(BASE!B282="","",BASE!B282)</f>
        <v>23XXR267</v>
      </c>
      <c r="B278" s="121" t="s">
        <v>40</v>
      </c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93"/>
      <c r="R278" s="91">
        <f t="shared" si="6"/>
        <v>0</v>
      </c>
      <c r="S278" s="91">
        <f>BASE!A282</f>
        <v>267</v>
      </c>
      <c r="T278" s="89">
        <f t="shared" si="7"/>
        <v>0</v>
      </c>
      <c r="U278" s="89">
        <f t="shared" si="8"/>
        <v>0</v>
      </c>
      <c r="V278" s="89">
        <f t="shared" si="9"/>
        <v>0</v>
      </c>
      <c r="W278" s="89">
        <f t="shared" si="10"/>
        <v>0</v>
      </c>
      <c r="X278" s="89">
        <f t="shared" si="11"/>
        <v>0</v>
      </c>
      <c r="Y278" s="28"/>
    </row>
    <row r="279" spans="1:25" ht="17.25" customHeight="1">
      <c r="A279" s="88" t="str">
        <f>+IF(BASE!B283="","",BASE!B283)</f>
        <v>23XXR268</v>
      </c>
      <c r="B279" s="121" t="s">
        <v>40</v>
      </c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93"/>
      <c r="R279" s="91">
        <f t="shared" si="6"/>
        <v>0</v>
      </c>
      <c r="S279" s="91">
        <f>BASE!A283</f>
        <v>268</v>
      </c>
      <c r="T279" s="89">
        <f t="shared" si="7"/>
        <v>0</v>
      </c>
      <c r="U279" s="89">
        <f t="shared" si="8"/>
        <v>0</v>
      </c>
      <c r="V279" s="89">
        <f t="shared" si="9"/>
        <v>0</v>
      </c>
      <c r="W279" s="89">
        <f t="shared" si="10"/>
        <v>0</v>
      </c>
      <c r="X279" s="89">
        <f t="shared" si="11"/>
        <v>0</v>
      </c>
      <c r="Y279" s="28"/>
    </row>
    <row r="280" spans="1:25" ht="17.25" customHeight="1">
      <c r="A280" s="88" t="str">
        <f>+IF(BASE!B284="","",BASE!B284)</f>
        <v>23XXR269</v>
      </c>
      <c r="B280" s="121" t="s">
        <v>40</v>
      </c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93"/>
      <c r="R280" s="91">
        <f t="shared" si="6"/>
        <v>0</v>
      </c>
      <c r="S280" s="91">
        <f>BASE!A284</f>
        <v>269</v>
      </c>
      <c r="T280" s="89">
        <f t="shared" si="7"/>
        <v>0</v>
      </c>
      <c r="U280" s="89">
        <f t="shared" si="8"/>
        <v>0</v>
      </c>
      <c r="V280" s="89">
        <f t="shared" si="9"/>
        <v>0</v>
      </c>
      <c r="W280" s="89">
        <f t="shared" si="10"/>
        <v>0</v>
      </c>
      <c r="X280" s="89">
        <f t="shared" si="11"/>
        <v>0</v>
      </c>
      <c r="Y280" s="28"/>
    </row>
    <row r="281" spans="1:25" ht="17.25" customHeight="1">
      <c r="A281" s="88" t="str">
        <f>+IF(BASE!B285="","",BASE!B285)</f>
        <v>23XXR270</v>
      </c>
      <c r="B281" s="121" t="s">
        <v>40</v>
      </c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93"/>
      <c r="R281" s="91">
        <f t="shared" si="6"/>
        <v>0</v>
      </c>
      <c r="S281" s="91">
        <f>BASE!A285</f>
        <v>270</v>
      </c>
      <c r="T281" s="89">
        <f t="shared" si="7"/>
        <v>0</v>
      </c>
      <c r="U281" s="89">
        <f t="shared" si="8"/>
        <v>0</v>
      </c>
      <c r="V281" s="89">
        <f t="shared" si="9"/>
        <v>0</v>
      </c>
      <c r="W281" s="89">
        <f t="shared" si="10"/>
        <v>0</v>
      </c>
      <c r="X281" s="89">
        <f t="shared" si="11"/>
        <v>0</v>
      </c>
      <c r="Y281" s="28"/>
    </row>
    <row r="282" spans="1:25" ht="17.25" customHeight="1">
      <c r="A282" s="88" t="str">
        <f>+IF(BASE!B286="","",BASE!B286)</f>
        <v>23XXR271</v>
      </c>
      <c r="B282" s="121" t="s">
        <v>40</v>
      </c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93"/>
      <c r="R282" s="91">
        <f t="shared" si="6"/>
        <v>0</v>
      </c>
      <c r="S282" s="91">
        <f>BASE!A286</f>
        <v>271</v>
      </c>
      <c r="T282" s="89">
        <f t="shared" si="7"/>
        <v>0</v>
      </c>
      <c r="U282" s="89">
        <f t="shared" si="8"/>
        <v>0</v>
      </c>
      <c r="V282" s="89">
        <f t="shared" si="9"/>
        <v>0</v>
      </c>
      <c r="W282" s="89">
        <f t="shared" si="10"/>
        <v>0</v>
      </c>
      <c r="X282" s="89">
        <f t="shared" si="11"/>
        <v>0</v>
      </c>
      <c r="Y282" s="28"/>
    </row>
    <row r="283" spans="1:25" ht="17.25" customHeight="1">
      <c r="A283" s="88" t="str">
        <f>+IF(BASE!B287="","",BASE!B287)</f>
        <v>23XXR272</v>
      </c>
      <c r="B283" s="121" t="s">
        <v>40</v>
      </c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93"/>
      <c r="R283" s="91">
        <f t="shared" si="6"/>
        <v>0</v>
      </c>
      <c r="S283" s="91">
        <f>BASE!A287</f>
        <v>272</v>
      </c>
      <c r="T283" s="89">
        <f t="shared" si="7"/>
        <v>0</v>
      </c>
      <c r="U283" s="89">
        <f t="shared" si="8"/>
        <v>0</v>
      </c>
      <c r="V283" s="89">
        <f t="shared" si="9"/>
        <v>0</v>
      </c>
      <c r="W283" s="89">
        <f t="shared" si="10"/>
        <v>0</v>
      </c>
      <c r="X283" s="89">
        <f t="shared" si="11"/>
        <v>0</v>
      </c>
      <c r="Y283" s="28"/>
    </row>
    <row r="284" spans="1:25" ht="17.25" customHeight="1">
      <c r="A284" s="88" t="str">
        <f>+IF(BASE!B288="","",BASE!B288)</f>
        <v>23XXR273</v>
      </c>
      <c r="B284" s="121" t="s">
        <v>40</v>
      </c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93"/>
      <c r="R284" s="91">
        <f t="shared" si="6"/>
        <v>0</v>
      </c>
      <c r="S284" s="91">
        <f>BASE!A288</f>
        <v>273</v>
      </c>
      <c r="T284" s="89">
        <f t="shared" si="7"/>
        <v>0</v>
      </c>
      <c r="U284" s="89">
        <f t="shared" si="8"/>
        <v>0</v>
      </c>
      <c r="V284" s="89">
        <f t="shared" si="9"/>
        <v>0</v>
      </c>
      <c r="W284" s="89">
        <f t="shared" si="10"/>
        <v>0</v>
      </c>
      <c r="X284" s="89">
        <f t="shared" si="11"/>
        <v>0</v>
      </c>
      <c r="Y284" s="28"/>
    </row>
    <row r="285" spans="1:25" ht="17.25" customHeight="1">
      <c r="A285" s="88" t="str">
        <f>+IF(BASE!B289="","",BASE!B289)</f>
        <v>23XXR274</v>
      </c>
      <c r="B285" s="121" t="s">
        <v>40</v>
      </c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93"/>
      <c r="R285" s="91">
        <f t="shared" si="6"/>
        <v>0</v>
      </c>
      <c r="S285" s="91">
        <f>BASE!A289</f>
        <v>274</v>
      </c>
      <c r="T285" s="89">
        <f t="shared" si="7"/>
        <v>0</v>
      </c>
      <c r="U285" s="89">
        <f t="shared" si="8"/>
        <v>0</v>
      </c>
      <c r="V285" s="89">
        <f t="shared" si="9"/>
        <v>0</v>
      </c>
      <c r="W285" s="89">
        <f t="shared" si="10"/>
        <v>0</v>
      </c>
      <c r="X285" s="89">
        <f t="shared" si="11"/>
        <v>0</v>
      </c>
      <c r="Y285" s="28"/>
    </row>
    <row r="286" spans="1:25" ht="17.25" customHeight="1">
      <c r="A286" s="88" t="str">
        <f>+IF(BASE!B290="","",BASE!B290)</f>
        <v>23XXR275</v>
      </c>
      <c r="B286" s="121" t="s">
        <v>40</v>
      </c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93"/>
      <c r="R286" s="91">
        <f t="shared" si="6"/>
        <v>0</v>
      </c>
      <c r="S286" s="91">
        <f>BASE!A290</f>
        <v>275</v>
      </c>
      <c r="T286" s="89">
        <f t="shared" si="7"/>
        <v>0</v>
      </c>
      <c r="U286" s="89">
        <f t="shared" si="8"/>
        <v>0</v>
      </c>
      <c r="V286" s="89">
        <f t="shared" si="9"/>
        <v>0</v>
      </c>
      <c r="W286" s="89">
        <f t="shared" si="10"/>
        <v>0</v>
      </c>
      <c r="X286" s="89">
        <f t="shared" si="11"/>
        <v>0</v>
      </c>
      <c r="Y286" s="28"/>
    </row>
    <row r="287" spans="1:25" ht="17.25" customHeight="1">
      <c r="A287" s="88" t="str">
        <f>+IF(BASE!B291="","",BASE!B291)</f>
        <v>23XXR276</v>
      </c>
      <c r="B287" s="121" t="s">
        <v>40</v>
      </c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93"/>
      <c r="R287" s="91">
        <f t="shared" si="6"/>
        <v>0</v>
      </c>
      <c r="S287" s="91">
        <f>BASE!A291</f>
        <v>276</v>
      </c>
      <c r="T287" s="89">
        <f t="shared" si="7"/>
        <v>0</v>
      </c>
      <c r="U287" s="89">
        <f t="shared" si="8"/>
        <v>0</v>
      </c>
      <c r="V287" s="89">
        <f t="shared" si="9"/>
        <v>0</v>
      </c>
      <c r="W287" s="89">
        <f t="shared" si="10"/>
        <v>0</v>
      </c>
      <c r="X287" s="89">
        <f t="shared" si="11"/>
        <v>0</v>
      </c>
      <c r="Y287" s="28"/>
    </row>
    <row r="288" spans="1:25" ht="17.25" customHeight="1">
      <c r="A288" s="88" t="str">
        <f>+IF(BASE!B292="","",BASE!B292)</f>
        <v>23XXR277</v>
      </c>
      <c r="B288" s="121" t="s">
        <v>40</v>
      </c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93"/>
      <c r="R288" s="91">
        <f t="shared" si="6"/>
        <v>0</v>
      </c>
      <c r="S288" s="91">
        <f>BASE!A292</f>
        <v>277</v>
      </c>
      <c r="T288" s="89">
        <f t="shared" si="7"/>
        <v>0</v>
      </c>
      <c r="U288" s="89">
        <f t="shared" si="8"/>
        <v>0</v>
      </c>
      <c r="V288" s="89">
        <f t="shared" si="9"/>
        <v>0</v>
      </c>
      <c r="W288" s="89">
        <f t="shared" si="10"/>
        <v>0</v>
      </c>
      <c r="X288" s="89">
        <f t="shared" si="11"/>
        <v>0</v>
      </c>
      <c r="Y288" s="28"/>
    </row>
    <row r="289" spans="1:25" ht="17.25" customHeight="1">
      <c r="A289" s="88" t="str">
        <f>+IF(BASE!B293="","",BASE!B293)</f>
        <v>23XXR278</v>
      </c>
      <c r="B289" s="121" t="s">
        <v>40</v>
      </c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93"/>
      <c r="R289" s="91">
        <f t="shared" si="6"/>
        <v>0</v>
      </c>
      <c r="S289" s="91">
        <f>BASE!A293</f>
        <v>278</v>
      </c>
      <c r="T289" s="89">
        <f t="shared" si="7"/>
        <v>0</v>
      </c>
      <c r="U289" s="89">
        <f t="shared" si="8"/>
        <v>0</v>
      </c>
      <c r="V289" s="89">
        <f t="shared" si="9"/>
        <v>0</v>
      </c>
      <c r="W289" s="89">
        <f t="shared" si="10"/>
        <v>0</v>
      </c>
      <c r="X289" s="89">
        <f t="shared" si="11"/>
        <v>0</v>
      </c>
      <c r="Y289" s="28"/>
    </row>
    <row r="290" spans="1:25" ht="17.25" customHeight="1">
      <c r="A290" s="88" t="str">
        <f>+IF(BASE!B294="","",BASE!B294)</f>
        <v>23XXR279</v>
      </c>
      <c r="B290" s="121" t="s">
        <v>40</v>
      </c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93"/>
      <c r="R290" s="91">
        <f t="shared" si="6"/>
        <v>0</v>
      </c>
      <c r="S290" s="91">
        <f>BASE!A294</f>
        <v>279</v>
      </c>
      <c r="T290" s="89">
        <f t="shared" si="7"/>
        <v>0</v>
      </c>
      <c r="U290" s="89">
        <f t="shared" si="8"/>
        <v>0</v>
      </c>
      <c r="V290" s="89">
        <f t="shared" si="9"/>
        <v>0</v>
      </c>
      <c r="W290" s="89">
        <f t="shared" si="10"/>
        <v>0</v>
      </c>
      <c r="X290" s="89">
        <f t="shared" si="11"/>
        <v>0</v>
      </c>
      <c r="Y290" s="28"/>
    </row>
    <row r="291" spans="1:25" ht="17.25" customHeight="1">
      <c r="A291" s="88" t="str">
        <f>+IF(BASE!B295="","",BASE!B295)</f>
        <v>23XXR280</v>
      </c>
      <c r="B291" s="121" t="s">
        <v>40</v>
      </c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93"/>
      <c r="R291" s="91">
        <f t="shared" si="6"/>
        <v>0</v>
      </c>
      <c r="S291" s="91">
        <f>BASE!A295</f>
        <v>280</v>
      </c>
      <c r="T291" s="89">
        <f t="shared" si="7"/>
        <v>0</v>
      </c>
      <c r="U291" s="89">
        <f t="shared" si="8"/>
        <v>0</v>
      </c>
      <c r="V291" s="89">
        <f t="shared" si="9"/>
        <v>0</v>
      </c>
      <c r="W291" s="89">
        <f t="shared" si="10"/>
        <v>0</v>
      </c>
      <c r="X291" s="89">
        <f t="shared" si="11"/>
        <v>0</v>
      </c>
      <c r="Y291" s="28"/>
    </row>
    <row r="292" spans="1:25" ht="17.25" customHeight="1">
      <c r="A292" s="88" t="str">
        <f>+IF(BASE!B296="","",BASE!B296)</f>
        <v>23XXR281</v>
      </c>
      <c r="B292" s="121" t="s">
        <v>40</v>
      </c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93"/>
      <c r="R292" s="91">
        <f t="shared" si="6"/>
        <v>0</v>
      </c>
      <c r="S292" s="91">
        <f>BASE!A296</f>
        <v>281</v>
      </c>
      <c r="T292" s="89">
        <f t="shared" si="7"/>
        <v>0</v>
      </c>
      <c r="U292" s="89">
        <f t="shared" si="8"/>
        <v>0</v>
      </c>
      <c r="V292" s="89">
        <f t="shared" si="9"/>
        <v>0</v>
      </c>
      <c r="W292" s="89">
        <f t="shared" si="10"/>
        <v>0</v>
      </c>
      <c r="X292" s="89">
        <f t="shared" si="11"/>
        <v>0</v>
      </c>
      <c r="Y292" s="28"/>
    </row>
    <row r="293" spans="1:25" ht="17.25" customHeight="1">
      <c r="A293" s="88" t="str">
        <f>+IF(BASE!B297="","",BASE!B297)</f>
        <v>23XXR282</v>
      </c>
      <c r="B293" s="121" t="s">
        <v>40</v>
      </c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93"/>
      <c r="R293" s="91">
        <f t="shared" si="6"/>
        <v>0</v>
      </c>
      <c r="S293" s="91">
        <f>BASE!A297</f>
        <v>282</v>
      </c>
      <c r="T293" s="89">
        <f t="shared" si="7"/>
        <v>0</v>
      </c>
      <c r="U293" s="89">
        <f t="shared" si="8"/>
        <v>0</v>
      </c>
      <c r="V293" s="89">
        <f t="shared" si="9"/>
        <v>0</v>
      </c>
      <c r="W293" s="89">
        <f t="shared" si="10"/>
        <v>0</v>
      </c>
      <c r="X293" s="89">
        <f t="shared" si="11"/>
        <v>0</v>
      </c>
      <c r="Y293" s="28"/>
    </row>
    <row r="294" spans="1:25" ht="17.25" customHeight="1">
      <c r="A294" s="88" t="str">
        <f>+IF(BASE!B298="","",BASE!B298)</f>
        <v>23XXR283</v>
      </c>
      <c r="B294" s="121" t="s">
        <v>40</v>
      </c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93"/>
      <c r="R294" s="91">
        <f t="shared" si="6"/>
        <v>0</v>
      </c>
      <c r="S294" s="91">
        <f>BASE!A298</f>
        <v>283</v>
      </c>
      <c r="T294" s="89">
        <f t="shared" si="7"/>
        <v>0</v>
      </c>
      <c r="U294" s="89">
        <f t="shared" si="8"/>
        <v>0</v>
      </c>
      <c r="V294" s="89">
        <f t="shared" si="9"/>
        <v>0</v>
      </c>
      <c r="W294" s="89">
        <f t="shared" si="10"/>
        <v>0</v>
      </c>
      <c r="X294" s="89">
        <f t="shared" si="11"/>
        <v>0</v>
      </c>
      <c r="Y294" s="28"/>
    </row>
    <row r="295" spans="1:25" ht="17.25" customHeight="1">
      <c r="A295" s="88" t="str">
        <f>+IF(BASE!B299="","",BASE!B299)</f>
        <v>23XXR284</v>
      </c>
      <c r="B295" s="121" t="s">
        <v>40</v>
      </c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93"/>
      <c r="R295" s="91">
        <f t="shared" si="6"/>
        <v>0</v>
      </c>
      <c r="S295" s="91">
        <f>BASE!A299</f>
        <v>284</v>
      </c>
      <c r="T295" s="89">
        <f t="shared" si="7"/>
        <v>0</v>
      </c>
      <c r="U295" s="89">
        <f t="shared" si="8"/>
        <v>0</v>
      </c>
      <c r="V295" s="89">
        <f t="shared" si="9"/>
        <v>0</v>
      </c>
      <c r="W295" s="89">
        <f t="shared" si="10"/>
        <v>0</v>
      </c>
      <c r="X295" s="89">
        <f t="shared" si="11"/>
        <v>0</v>
      </c>
      <c r="Y295" s="28"/>
    </row>
    <row r="296" spans="1:25" ht="17.25" customHeight="1">
      <c r="A296" s="88" t="str">
        <f>+IF(BASE!B300="","",BASE!B300)</f>
        <v>23XXR285</v>
      </c>
      <c r="B296" s="121" t="s">
        <v>40</v>
      </c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93"/>
      <c r="R296" s="91">
        <f t="shared" si="6"/>
        <v>0</v>
      </c>
      <c r="S296" s="91">
        <f>BASE!A300</f>
        <v>285</v>
      </c>
      <c r="T296" s="89">
        <f t="shared" si="7"/>
        <v>0</v>
      </c>
      <c r="U296" s="89">
        <f t="shared" si="8"/>
        <v>0</v>
      </c>
      <c r="V296" s="89">
        <f t="shared" si="9"/>
        <v>0</v>
      </c>
      <c r="W296" s="89">
        <f t="shared" si="10"/>
        <v>0</v>
      </c>
      <c r="X296" s="89">
        <f t="shared" si="11"/>
        <v>0</v>
      </c>
      <c r="Y296" s="28"/>
    </row>
    <row r="297" spans="1:25" ht="17.25" customHeight="1">
      <c r="A297" s="88" t="str">
        <f>+IF(BASE!B301="","",BASE!B301)</f>
        <v>23XXR286</v>
      </c>
      <c r="B297" s="121" t="s">
        <v>40</v>
      </c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93"/>
      <c r="R297" s="91">
        <f t="shared" si="6"/>
        <v>0</v>
      </c>
      <c r="S297" s="91">
        <f>BASE!A301</f>
        <v>286</v>
      </c>
      <c r="T297" s="89">
        <f t="shared" si="7"/>
        <v>0</v>
      </c>
      <c r="U297" s="89">
        <f t="shared" si="8"/>
        <v>0</v>
      </c>
      <c r="V297" s="89">
        <f t="shared" si="9"/>
        <v>0</v>
      </c>
      <c r="W297" s="89">
        <f t="shared" si="10"/>
        <v>0</v>
      </c>
      <c r="X297" s="89">
        <f t="shared" si="11"/>
        <v>0</v>
      </c>
      <c r="Y297" s="28"/>
    </row>
    <row r="298" spans="1:25" ht="17.25" customHeight="1">
      <c r="A298" s="88" t="str">
        <f>+IF(BASE!B302="","",BASE!B302)</f>
        <v>23XXR287</v>
      </c>
      <c r="B298" s="121" t="s">
        <v>40</v>
      </c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93"/>
      <c r="R298" s="91">
        <f t="shared" si="6"/>
        <v>0</v>
      </c>
      <c r="S298" s="91">
        <f>BASE!A302</f>
        <v>287</v>
      </c>
      <c r="T298" s="89">
        <f t="shared" si="7"/>
        <v>0</v>
      </c>
      <c r="U298" s="89">
        <f t="shared" si="8"/>
        <v>0</v>
      </c>
      <c r="V298" s="89">
        <f t="shared" si="9"/>
        <v>0</v>
      </c>
      <c r="W298" s="89">
        <f t="shared" si="10"/>
        <v>0</v>
      </c>
      <c r="X298" s="89">
        <f t="shared" si="11"/>
        <v>0</v>
      </c>
      <c r="Y298" s="28"/>
    </row>
    <row r="299" spans="1:25" ht="17.25" customHeight="1">
      <c r="A299" s="88" t="str">
        <f>+IF(BASE!B303="","",BASE!B303)</f>
        <v>23XXR288</v>
      </c>
      <c r="B299" s="121" t="s">
        <v>40</v>
      </c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93"/>
      <c r="R299" s="91">
        <f t="shared" si="6"/>
        <v>0</v>
      </c>
      <c r="S299" s="91">
        <f>BASE!A303</f>
        <v>288</v>
      </c>
      <c r="T299" s="89">
        <f t="shared" si="7"/>
        <v>0</v>
      </c>
      <c r="U299" s="89">
        <f t="shared" si="8"/>
        <v>0</v>
      </c>
      <c r="V299" s="89">
        <f t="shared" si="9"/>
        <v>0</v>
      </c>
      <c r="W299" s="89">
        <f t="shared" si="10"/>
        <v>0</v>
      </c>
      <c r="X299" s="89">
        <f t="shared" si="11"/>
        <v>0</v>
      </c>
      <c r="Y299" s="28"/>
    </row>
    <row r="300" spans="1:25" ht="17.25" customHeight="1">
      <c r="A300" s="88" t="str">
        <f>+IF(BASE!B304="","",BASE!B304)</f>
        <v>23XXR289</v>
      </c>
      <c r="B300" s="121" t="s">
        <v>40</v>
      </c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93"/>
      <c r="R300" s="91">
        <f t="shared" si="6"/>
        <v>0</v>
      </c>
      <c r="S300" s="91">
        <f>BASE!A304</f>
        <v>289</v>
      </c>
      <c r="T300" s="89">
        <f t="shared" si="7"/>
        <v>0</v>
      </c>
      <c r="U300" s="89">
        <f t="shared" si="8"/>
        <v>0</v>
      </c>
      <c r="V300" s="89">
        <f t="shared" si="9"/>
        <v>0</v>
      </c>
      <c r="W300" s="89">
        <f t="shared" si="10"/>
        <v>0</v>
      </c>
      <c r="X300" s="89">
        <f t="shared" si="11"/>
        <v>0</v>
      </c>
      <c r="Y300" s="28"/>
    </row>
    <row r="301" spans="1:25" ht="17.25" customHeight="1">
      <c r="A301" s="88" t="str">
        <f>+IF(BASE!B305="","",BASE!B305)</f>
        <v>23XXR290</v>
      </c>
      <c r="B301" s="121" t="s">
        <v>40</v>
      </c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93"/>
      <c r="R301" s="91">
        <f t="shared" si="6"/>
        <v>0</v>
      </c>
      <c r="S301" s="91">
        <f>BASE!A305</f>
        <v>290</v>
      </c>
      <c r="T301" s="89">
        <f t="shared" si="7"/>
        <v>0</v>
      </c>
      <c r="U301" s="89">
        <f t="shared" si="8"/>
        <v>0</v>
      </c>
      <c r="V301" s="89">
        <f t="shared" si="9"/>
        <v>0</v>
      </c>
      <c r="W301" s="89">
        <f t="shared" si="10"/>
        <v>0</v>
      </c>
      <c r="X301" s="89">
        <f t="shared" si="11"/>
        <v>0</v>
      </c>
      <c r="Y301" s="28"/>
    </row>
    <row r="302" spans="1:25" ht="17.25" customHeight="1">
      <c r="A302" s="88" t="str">
        <f>+IF(BASE!B306="","",BASE!B306)</f>
        <v>23XXR291</v>
      </c>
      <c r="B302" s="121" t="s">
        <v>40</v>
      </c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93"/>
      <c r="R302" s="91">
        <f t="shared" si="6"/>
        <v>0</v>
      </c>
      <c r="S302" s="91">
        <f>BASE!A306</f>
        <v>291</v>
      </c>
      <c r="T302" s="89">
        <f t="shared" si="7"/>
        <v>0</v>
      </c>
      <c r="U302" s="89">
        <f t="shared" si="8"/>
        <v>0</v>
      </c>
      <c r="V302" s="89">
        <f t="shared" si="9"/>
        <v>0</v>
      </c>
      <c r="W302" s="89">
        <f t="shared" si="10"/>
        <v>0</v>
      </c>
      <c r="X302" s="89">
        <f t="shared" si="11"/>
        <v>0</v>
      </c>
      <c r="Y302" s="28"/>
    </row>
    <row r="303" spans="1:25" ht="17.25" customHeight="1">
      <c r="A303" s="88" t="str">
        <f>+IF(BASE!B307="","",BASE!B307)</f>
        <v>23XXR292</v>
      </c>
      <c r="B303" s="121" t="s">
        <v>40</v>
      </c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93"/>
      <c r="R303" s="91">
        <f t="shared" si="6"/>
        <v>0</v>
      </c>
      <c r="S303" s="91">
        <f>BASE!A307</f>
        <v>292</v>
      </c>
      <c r="T303" s="89">
        <f t="shared" si="7"/>
        <v>0</v>
      </c>
      <c r="U303" s="89">
        <f t="shared" si="8"/>
        <v>0</v>
      </c>
      <c r="V303" s="89">
        <f t="shared" si="9"/>
        <v>0</v>
      </c>
      <c r="W303" s="89">
        <f t="shared" si="10"/>
        <v>0</v>
      </c>
      <c r="X303" s="89">
        <f t="shared" si="11"/>
        <v>0</v>
      </c>
      <c r="Y303" s="28"/>
    </row>
    <row r="304" spans="1:25" ht="17.25" customHeight="1">
      <c r="A304" s="88" t="str">
        <f>+IF(BASE!B308="","",BASE!B308)</f>
        <v>23XXR293</v>
      </c>
      <c r="B304" s="121" t="s">
        <v>40</v>
      </c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93"/>
      <c r="R304" s="91">
        <f t="shared" si="6"/>
        <v>0</v>
      </c>
      <c r="S304" s="91">
        <f>BASE!A308</f>
        <v>293</v>
      </c>
      <c r="T304" s="89">
        <f t="shared" si="7"/>
        <v>0</v>
      </c>
      <c r="U304" s="89">
        <f t="shared" si="8"/>
        <v>0</v>
      </c>
      <c r="V304" s="89">
        <f t="shared" si="9"/>
        <v>0</v>
      </c>
      <c r="W304" s="89">
        <f t="shared" si="10"/>
        <v>0</v>
      </c>
      <c r="X304" s="89">
        <f t="shared" si="11"/>
        <v>0</v>
      </c>
      <c r="Y304" s="28"/>
    </row>
    <row r="305" spans="1:25" ht="17.25" customHeight="1">
      <c r="A305" s="88" t="str">
        <f>+IF(BASE!B309="","",BASE!B309)</f>
        <v>23XXR294</v>
      </c>
      <c r="B305" s="121" t="s">
        <v>40</v>
      </c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93"/>
      <c r="R305" s="91">
        <f t="shared" si="6"/>
        <v>0</v>
      </c>
      <c r="S305" s="91">
        <f>BASE!A309</f>
        <v>294</v>
      </c>
      <c r="T305" s="89">
        <f t="shared" si="7"/>
        <v>0</v>
      </c>
      <c r="U305" s="89">
        <f t="shared" si="8"/>
        <v>0</v>
      </c>
      <c r="V305" s="89">
        <f t="shared" si="9"/>
        <v>0</v>
      </c>
      <c r="W305" s="89">
        <f t="shared" si="10"/>
        <v>0</v>
      </c>
      <c r="X305" s="89">
        <f t="shared" si="11"/>
        <v>0</v>
      </c>
      <c r="Y305" s="28"/>
    </row>
    <row r="306" spans="1:25" ht="17.25" customHeight="1">
      <c r="A306" s="88" t="str">
        <f>+IF(BASE!B310="","",BASE!B310)</f>
        <v>23XXR295</v>
      </c>
      <c r="B306" s="121" t="s">
        <v>40</v>
      </c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93"/>
      <c r="R306" s="91">
        <f t="shared" si="6"/>
        <v>0</v>
      </c>
      <c r="S306" s="91">
        <f>BASE!A310</f>
        <v>295</v>
      </c>
      <c r="T306" s="89">
        <f t="shared" si="7"/>
        <v>0</v>
      </c>
      <c r="U306" s="89">
        <f t="shared" si="8"/>
        <v>0</v>
      </c>
      <c r="V306" s="89">
        <f t="shared" si="9"/>
        <v>0</v>
      </c>
      <c r="W306" s="89">
        <f t="shared" si="10"/>
        <v>0</v>
      </c>
      <c r="X306" s="89">
        <f t="shared" si="11"/>
        <v>0</v>
      </c>
      <c r="Y306" s="28"/>
    </row>
    <row r="307" spans="1:25" ht="17.25" customHeight="1">
      <c r="A307" s="88" t="str">
        <f>+IF(BASE!B311="","",BASE!B311)</f>
        <v>23XXR296</v>
      </c>
      <c r="B307" s="121" t="s">
        <v>40</v>
      </c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93"/>
      <c r="R307" s="91">
        <f t="shared" si="6"/>
        <v>0</v>
      </c>
      <c r="S307" s="91">
        <f>BASE!A311</f>
        <v>296</v>
      </c>
      <c r="T307" s="89">
        <f t="shared" si="7"/>
        <v>0</v>
      </c>
      <c r="U307" s="89">
        <f t="shared" si="8"/>
        <v>0</v>
      </c>
      <c r="V307" s="89">
        <f t="shared" si="9"/>
        <v>0</v>
      </c>
      <c r="W307" s="89">
        <f t="shared" si="10"/>
        <v>0</v>
      </c>
      <c r="X307" s="89">
        <f t="shared" si="11"/>
        <v>0</v>
      </c>
      <c r="Y307" s="28"/>
    </row>
    <row r="308" spans="1:25" ht="17.25" customHeight="1">
      <c r="A308" s="88" t="str">
        <f>+IF(BASE!B312="","",BASE!B312)</f>
        <v>23XXR297</v>
      </c>
      <c r="B308" s="121" t="s">
        <v>40</v>
      </c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93"/>
      <c r="R308" s="91">
        <f t="shared" si="6"/>
        <v>0</v>
      </c>
      <c r="S308" s="91">
        <f>BASE!A312</f>
        <v>297</v>
      </c>
      <c r="T308" s="89">
        <f t="shared" si="7"/>
        <v>0</v>
      </c>
      <c r="U308" s="89">
        <f t="shared" si="8"/>
        <v>0</v>
      </c>
      <c r="V308" s="89">
        <f t="shared" si="9"/>
        <v>0</v>
      </c>
      <c r="W308" s="89">
        <f t="shared" si="10"/>
        <v>0</v>
      </c>
      <c r="X308" s="89">
        <f t="shared" si="11"/>
        <v>0</v>
      </c>
      <c r="Y308" s="28"/>
    </row>
    <row r="309" spans="1:25" ht="17.25" customHeight="1">
      <c r="A309" s="88" t="str">
        <f>+IF(BASE!B313="","",BASE!B313)</f>
        <v>23XXR298</v>
      </c>
      <c r="B309" s="121" t="s">
        <v>40</v>
      </c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93"/>
      <c r="R309" s="91">
        <f t="shared" si="6"/>
        <v>0</v>
      </c>
      <c r="S309" s="91">
        <f>BASE!A313</f>
        <v>298</v>
      </c>
      <c r="T309" s="89">
        <f t="shared" si="7"/>
        <v>0</v>
      </c>
      <c r="U309" s="89">
        <f t="shared" si="8"/>
        <v>0</v>
      </c>
      <c r="V309" s="89">
        <f t="shared" si="9"/>
        <v>0</v>
      </c>
      <c r="W309" s="89">
        <f t="shared" si="10"/>
        <v>0</v>
      </c>
      <c r="X309" s="89">
        <f t="shared" si="11"/>
        <v>0</v>
      </c>
      <c r="Y309" s="28"/>
    </row>
    <row r="310" spans="1:25" ht="17.25" customHeight="1">
      <c r="A310" s="88" t="str">
        <f>+IF(BASE!B314="","",BASE!B314)</f>
        <v>23XXR299</v>
      </c>
      <c r="B310" s="121" t="s">
        <v>40</v>
      </c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93"/>
      <c r="R310" s="91">
        <f t="shared" si="6"/>
        <v>0</v>
      </c>
      <c r="S310" s="91">
        <f>BASE!A314</f>
        <v>299</v>
      </c>
      <c r="T310" s="89">
        <f t="shared" si="7"/>
        <v>0</v>
      </c>
      <c r="U310" s="89">
        <f t="shared" si="8"/>
        <v>0</v>
      </c>
      <c r="V310" s="89">
        <f t="shared" si="9"/>
        <v>0</v>
      </c>
      <c r="W310" s="89">
        <f t="shared" si="10"/>
        <v>0</v>
      </c>
      <c r="X310" s="89">
        <f t="shared" si="11"/>
        <v>0</v>
      </c>
      <c r="Y310" s="28"/>
    </row>
    <row r="311" spans="1:25" ht="17.25" customHeight="1">
      <c r="A311" s="88" t="str">
        <f>+IF(BASE!B315="","",BASE!B315)</f>
        <v>23XXR300</v>
      </c>
      <c r="B311" s="121" t="s">
        <v>40</v>
      </c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93"/>
      <c r="R311" s="91">
        <f t="shared" si="6"/>
        <v>0</v>
      </c>
      <c r="S311" s="91">
        <f>BASE!A315</f>
        <v>300</v>
      </c>
      <c r="T311" s="89">
        <f t="shared" si="7"/>
        <v>0</v>
      </c>
      <c r="U311" s="89">
        <f t="shared" si="8"/>
        <v>0</v>
      </c>
      <c r="V311" s="89">
        <f t="shared" si="9"/>
        <v>0</v>
      </c>
      <c r="W311" s="89">
        <f t="shared" si="10"/>
        <v>0</v>
      </c>
      <c r="X311" s="89">
        <f t="shared" si="11"/>
        <v>0</v>
      </c>
      <c r="Y311" s="28"/>
    </row>
    <row r="312" spans="1:25" ht="17.25" customHeight="1">
      <c r="A312" s="88" t="str">
        <f>+IF(BASE!B316="","",BASE!B316)</f>
        <v>23XXR301</v>
      </c>
      <c r="B312" s="121" t="s">
        <v>40</v>
      </c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93"/>
      <c r="R312" s="91">
        <f t="shared" si="6"/>
        <v>0</v>
      </c>
      <c r="S312" s="91">
        <f>BASE!A316</f>
        <v>301</v>
      </c>
      <c r="T312" s="89">
        <f t="shared" si="7"/>
        <v>0</v>
      </c>
      <c r="U312" s="89">
        <f t="shared" si="8"/>
        <v>0</v>
      </c>
      <c r="V312" s="89">
        <f t="shared" si="9"/>
        <v>0</v>
      </c>
      <c r="W312" s="89">
        <f t="shared" si="10"/>
        <v>0</v>
      </c>
      <c r="X312" s="89">
        <f t="shared" si="11"/>
        <v>0</v>
      </c>
      <c r="Y312" s="28"/>
    </row>
    <row r="313" spans="1:25" ht="17.25" customHeight="1">
      <c r="A313" s="88" t="str">
        <f>+IF(BASE!B317="","",BASE!B317)</f>
        <v>23XXR302</v>
      </c>
      <c r="B313" s="121" t="s">
        <v>40</v>
      </c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93"/>
      <c r="R313" s="91">
        <f t="shared" si="6"/>
        <v>0</v>
      </c>
      <c r="S313" s="91">
        <f>BASE!A317</f>
        <v>302</v>
      </c>
      <c r="T313" s="89">
        <f t="shared" si="7"/>
        <v>0</v>
      </c>
      <c r="U313" s="89">
        <f t="shared" si="8"/>
        <v>0</v>
      </c>
      <c r="V313" s="89">
        <f t="shared" si="9"/>
        <v>0</v>
      </c>
      <c r="W313" s="89">
        <f t="shared" si="10"/>
        <v>0</v>
      </c>
      <c r="X313" s="89">
        <f t="shared" si="11"/>
        <v>0</v>
      </c>
      <c r="Y313" s="28"/>
    </row>
    <row r="314" spans="1:25" ht="17.25" customHeight="1">
      <c r="A314" s="88" t="str">
        <f>+IF(BASE!B318="","",BASE!B318)</f>
        <v>23XXR303</v>
      </c>
      <c r="B314" s="121" t="s">
        <v>40</v>
      </c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93"/>
      <c r="R314" s="91">
        <f t="shared" si="6"/>
        <v>0</v>
      </c>
      <c r="S314" s="91">
        <f>BASE!A318</f>
        <v>303</v>
      </c>
      <c r="T314" s="89">
        <f t="shared" si="7"/>
        <v>0</v>
      </c>
      <c r="U314" s="89">
        <f t="shared" si="8"/>
        <v>0</v>
      </c>
      <c r="V314" s="89">
        <f t="shared" si="9"/>
        <v>0</v>
      </c>
      <c r="W314" s="89">
        <f t="shared" si="10"/>
        <v>0</v>
      </c>
      <c r="X314" s="89">
        <f t="shared" si="11"/>
        <v>0</v>
      </c>
      <c r="Y314" s="28"/>
    </row>
    <row r="315" spans="1:25" ht="17.25" customHeight="1">
      <c r="A315" s="88" t="str">
        <f>+IF(BASE!B319="","",BASE!B319)</f>
        <v>23XXR304</v>
      </c>
      <c r="B315" s="121" t="s">
        <v>40</v>
      </c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93"/>
      <c r="R315" s="91">
        <f t="shared" si="6"/>
        <v>0</v>
      </c>
      <c r="S315" s="91">
        <f>BASE!A319</f>
        <v>304</v>
      </c>
      <c r="T315" s="89">
        <f t="shared" si="7"/>
        <v>0</v>
      </c>
      <c r="U315" s="89">
        <f t="shared" si="8"/>
        <v>0</v>
      </c>
      <c r="V315" s="89">
        <f t="shared" si="9"/>
        <v>0</v>
      </c>
      <c r="W315" s="89">
        <f t="shared" si="10"/>
        <v>0</v>
      </c>
      <c r="X315" s="89">
        <f t="shared" si="11"/>
        <v>0</v>
      </c>
      <c r="Y315" s="28"/>
    </row>
    <row r="316" spans="1:25" ht="17.25" customHeight="1">
      <c r="A316" s="88" t="str">
        <f>+IF(BASE!B320="","",BASE!B320)</f>
        <v>23XXR305</v>
      </c>
      <c r="B316" s="121" t="s">
        <v>40</v>
      </c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93"/>
      <c r="R316" s="91">
        <f t="shared" si="6"/>
        <v>0</v>
      </c>
      <c r="S316" s="91">
        <f>BASE!A320</f>
        <v>305</v>
      </c>
      <c r="T316" s="89">
        <f t="shared" si="7"/>
        <v>0</v>
      </c>
      <c r="U316" s="89">
        <f t="shared" si="8"/>
        <v>0</v>
      </c>
      <c r="V316" s="89">
        <f t="shared" si="9"/>
        <v>0</v>
      </c>
      <c r="W316" s="89">
        <f t="shared" si="10"/>
        <v>0</v>
      </c>
      <c r="X316" s="89">
        <f t="shared" si="11"/>
        <v>0</v>
      </c>
      <c r="Y316" s="28"/>
    </row>
    <row r="317" spans="1:25" ht="17.25" customHeight="1">
      <c r="A317" s="88" t="str">
        <f>+IF(BASE!B321="","",BASE!B321)</f>
        <v>23XXR306</v>
      </c>
      <c r="B317" s="121" t="s">
        <v>40</v>
      </c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93"/>
      <c r="R317" s="91">
        <f t="shared" ref="R317:R380" si="12">SUM(C317:Q317)</f>
        <v>0</v>
      </c>
      <c r="S317" s="91">
        <f>BASE!A321</f>
        <v>306</v>
      </c>
      <c r="T317" s="89">
        <f t="shared" ref="T317:T380" si="13">SUMIF($C$11:$Q$11,1,C317:Q317)</f>
        <v>0</v>
      </c>
      <c r="U317" s="89">
        <f t="shared" ref="U317:U380" si="14">SUMIF($C$11:$Q$11,2,C317:Q317)</f>
        <v>0</v>
      </c>
      <c r="V317" s="89">
        <f t="shared" ref="V317:V380" si="15">SUMIF($C$11:$Q$11,3,C317:Q317)</f>
        <v>0</v>
      </c>
      <c r="W317" s="89">
        <f t="shared" ref="W317:W380" si="16">SUMIF($C$11:$Q$11,4,C317:Q317)</f>
        <v>0</v>
      </c>
      <c r="X317" s="89">
        <f t="shared" ref="X317:X380" si="17">SUMIF($C$11:$Q$11,5,C317:Q317)</f>
        <v>0</v>
      </c>
      <c r="Y317" s="28"/>
    </row>
    <row r="318" spans="1:25" ht="17.25" customHeight="1">
      <c r="A318" s="88" t="str">
        <f>+IF(BASE!B322="","",BASE!B322)</f>
        <v>23XXR307</v>
      </c>
      <c r="B318" s="121" t="s">
        <v>40</v>
      </c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93"/>
      <c r="R318" s="91">
        <f t="shared" si="12"/>
        <v>0</v>
      </c>
      <c r="S318" s="91">
        <f>BASE!A322</f>
        <v>307</v>
      </c>
      <c r="T318" s="89">
        <f t="shared" si="13"/>
        <v>0</v>
      </c>
      <c r="U318" s="89">
        <f t="shared" si="14"/>
        <v>0</v>
      </c>
      <c r="V318" s="89">
        <f t="shared" si="15"/>
        <v>0</v>
      </c>
      <c r="W318" s="89">
        <f t="shared" si="16"/>
        <v>0</v>
      </c>
      <c r="X318" s="89">
        <f t="shared" si="17"/>
        <v>0</v>
      </c>
      <c r="Y318" s="28"/>
    </row>
    <row r="319" spans="1:25" ht="17.25" customHeight="1">
      <c r="A319" s="88" t="str">
        <f>+IF(BASE!B323="","",BASE!B323)</f>
        <v>23XXR308</v>
      </c>
      <c r="B319" s="121" t="s">
        <v>40</v>
      </c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93"/>
      <c r="R319" s="91">
        <f t="shared" si="12"/>
        <v>0</v>
      </c>
      <c r="S319" s="91">
        <f>BASE!A323</f>
        <v>308</v>
      </c>
      <c r="T319" s="89">
        <f t="shared" si="13"/>
        <v>0</v>
      </c>
      <c r="U319" s="89">
        <f t="shared" si="14"/>
        <v>0</v>
      </c>
      <c r="V319" s="89">
        <f t="shared" si="15"/>
        <v>0</v>
      </c>
      <c r="W319" s="89">
        <f t="shared" si="16"/>
        <v>0</v>
      </c>
      <c r="X319" s="89">
        <f t="shared" si="17"/>
        <v>0</v>
      </c>
      <c r="Y319" s="28"/>
    </row>
    <row r="320" spans="1:25" ht="17.25" customHeight="1">
      <c r="A320" s="88" t="str">
        <f>+IF(BASE!B324="","",BASE!B324)</f>
        <v>23XXR309</v>
      </c>
      <c r="B320" s="121" t="s">
        <v>40</v>
      </c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93"/>
      <c r="R320" s="91">
        <f t="shared" si="12"/>
        <v>0</v>
      </c>
      <c r="S320" s="91">
        <f>BASE!A324</f>
        <v>309</v>
      </c>
      <c r="T320" s="89">
        <f t="shared" si="13"/>
        <v>0</v>
      </c>
      <c r="U320" s="89">
        <f t="shared" si="14"/>
        <v>0</v>
      </c>
      <c r="V320" s="89">
        <f t="shared" si="15"/>
        <v>0</v>
      </c>
      <c r="W320" s="89">
        <f t="shared" si="16"/>
        <v>0</v>
      </c>
      <c r="X320" s="89">
        <f t="shared" si="17"/>
        <v>0</v>
      </c>
      <c r="Y320" s="28"/>
    </row>
    <row r="321" spans="1:25" ht="17.25" customHeight="1">
      <c r="A321" s="88" t="str">
        <f>+IF(BASE!B325="","",BASE!B325)</f>
        <v>23XXR310</v>
      </c>
      <c r="B321" s="121" t="s">
        <v>40</v>
      </c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93"/>
      <c r="R321" s="91">
        <f t="shared" si="12"/>
        <v>0</v>
      </c>
      <c r="S321" s="91">
        <f>BASE!A325</f>
        <v>310</v>
      </c>
      <c r="T321" s="89">
        <f t="shared" si="13"/>
        <v>0</v>
      </c>
      <c r="U321" s="89">
        <f t="shared" si="14"/>
        <v>0</v>
      </c>
      <c r="V321" s="89">
        <f t="shared" si="15"/>
        <v>0</v>
      </c>
      <c r="W321" s="89">
        <f t="shared" si="16"/>
        <v>0</v>
      </c>
      <c r="X321" s="89">
        <f t="shared" si="17"/>
        <v>0</v>
      </c>
      <c r="Y321" s="28"/>
    </row>
    <row r="322" spans="1:25" ht="17.25" customHeight="1">
      <c r="A322" s="88" t="str">
        <f>+IF(BASE!B326="","",BASE!B326)</f>
        <v>23XXR311</v>
      </c>
      <c r="B322" s="121" t="s">
        <v>40</v>
      </c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93"/>
      <c r="R322" s="91">
        <f t="shared" si="12"/>
        <v>0</v>
      </c>
      <c r="S322" s="91">
        <f>BASE!A326</f>
        <v>311</v>
      </c>
      <c r="T322" s="89">
        <f t="shared" si="13"/>
        <v>0</v>
      </c>
      <c r="U322" s="89">
        <f t="shared" si="14"/>
        <v>0</v>
      </c>
      <c r="V322" s="89">
        <f t="shared" si="15"/>
        <v>0</v>
      </c>
      <c r="W322" s="89">
        <f t="shared" si="16"/>
        <v>0</v>
      </c>
      <c r="X322" s="89">
        <f t="shared" si="17"/>
        <v>0</v>
      </c>
      <c r="Y322" s="28"/>
    </row>
    <row r="323" spans="1:25" ht="17.25" customHeight="1">
      <c r="A323" s="88" t="str">
        <f>+IF(BASE!B327="","",BASE!B327)</f>
        <v>23XXR312</v>
      </c>
      <c r="B323" s="121" t="s">
        <v>40</v>
      </c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93"/>
      <c r="R323" s="91">
        <f t="shared" si="12"/>
        <v>0</v>
      </c>
      <c r="S323" s="91">
        <f>BASE!A327</f>
        <v>312</v>
      </c>
      <c r="T323" s="89">
        <f t="shared" si="13"/>
        <v>0</v>
      </c>
      <c r="U323" s="89">
        <f t="shared" si="14"/>
        <v>0</v>
      </c>
      <c r="V323" s="89">
        <f t="shared" si="15"/>
        <v>0</v>
      </c>
      <c r="W323" s="89">
        <f t="shared" si="16"/>
        <v>0</v>
      </c>
      <c r="X323" s="89">
        <f t="shared" si="17"/>
        <v>0</v>
      </c>
      <c r="Y323" s="28"/>
    </row>
    <row r="324" spans="1:25" ht="17.25" customHeight="1">
      <c r="A324" s="88" t="str">
        <f>+IF(BASE!B328="","",BASE!B328)</f>
        <v>23XXR313</v>
      </c>
      <c r="B324" s="121" t="s">
        <v>40</v>
      </c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93"/>
      <c r="R324" s="91">
        <f t="shared" si="12"/>
        <v>0</v>
      </c>
      <c r="S324" s="91">
        <f>BASE!A328</f>
        <v>313</v>
      </c>
      <c r="T324" s="89">
        <f t="shared" si="13"/>
        <v>0</v>
      </c>
      <c r="U324" s="89">
        <f t="shared" si="14"/>
        <v>0</v>
      </c>
      <c r="V324" s="89">
        <f t="shared" si="15"/>
        <v>0</v>
      </c>
      <c r="W324" s="89">
        <f t="shared" si="16"/>
        <v>0</v>
      </c>
      <c r="X324" s="89">
        <f t="shared" si="17"/>
        <v>0</v>
      </c>
      <c r="Y324" s="28"/>
    </row>
    <row r="325" spans="1:25" ht="17.25" customHeight="1">
      <c r="A325" s="88" t="str">
        <f>+IF(BASE!B329="","",BASE!B329)</f>
        <v>23XXR314</v>
      </c>
      <c r="B325" s="121" t="s">
        <v>40</v>
      </c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93"/>
      <c r="R325" s="91">
        <f t="shared" si="12"/>
        <v>0</v>
      </c>
      <c r="S325" s="91">
        <f>BASE!A329</f>
        <v>314</v>
      </c>
      <c r="T325" s="89">
        <f t="shared" si="13"/>
        <v>0</v>
      </c>
      <c r="U325" s="89">
        <f t="shared" si="14"/>
        <v>0</v>
      </c>
      <c r="V325" s="89">
        <f t="shared" si="15"/>
        <v>0</v>
      </c>
      <c r="W325" s="89">
        <f t="shared" si="16"/>
        <v>0</v>
      </c>
      <c r="X325" s="89">
        <f t="shared" si="17"/>
        <v>0</v>
      </c>
      <c r="Y325" s="28"/>
    </row>
    <row r="326" spans="1:25" ht="17.25" customHeight="1">
      <c r="A326" s="88" t="str">
        <f>+IF(BASE!B330="","",BASE!B330)</f>
        <v>23XXR315</v>
      </c>
      <c r="B326" s="121" t="s">
        <v>40</v>
      </c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93"/>
      <c r="R326" s="91">
        <f t="shared" si="12"/>
        <v>0</v>
      </c>
      <c r="S326" s="91">
        <f>BASE!A330</f>
        <v>315</v>
      </c>
      <c r="T326" s="89">
        <f t="shared" si="13"/>
        <v>0</v>
      </c>
      <c r="U326" s="89">
        <f t="shared" si="14"/>
        <v>0</v>
      </c>
      <c r="V326" s="89">
        <f t="shared" si="15"/>
        <v>0</v>
      </c>
      <c r="W326" s="89">
        <f t="shared" si="16"/>
        <v>0</v>
      </c>
      <c r="X326" s="89">
        <f t="shared" si="17"/>
        <v>0</v>
      </c>
      <c r="Y326" s="28"/>
    </row>
    <row r="327" spans="1:25" ht="17.25" customHeight="1">
      <c r="A327" s="88" t="str">
        <f>+IF(BASE!B331="","",BASE!B331)</f>
        <v>23XXR316</v>
      </c>
      <c r="B327" s="121" t="s">
        <v>40</v>
      </c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93"/>
      <c r="R327" s="91">
        <f t="shared" si="12"/>
        <v>0</v>
      </c>
      <c r="S327" s="91">
        <f>BASE!A331</f>
        <v>316</v>
      </c>
      <c r="T327" s="89">
        <f t="shared" si="13"/>
        <v>0</v>
      </c>
      <c r="U327" s="89">
        <f t="shared" si="14"/>
        <v>0</v>
      </c>
      <c r="V327" s="89">
        <f t="shared" si="15"/>
        <v>0</v>
      </c>
      <c r="W327" s="89">
        <f t="shared" si="16"/>
        <v>0</v>
      </c>
      <c r="X327" s="89">
        <f t="shared" si="17"/>
        <v>0</v>
      </c>
      <c r="Y327" s="28"/>
    </row>
    <row r="328" spans="1:25" ht="17.25" customHeight="1">
      <c r="A328" s="88" t="str">
        <f>+IF(BASE!B332="","",BASE!B332)</f>
        <v>23XXR317</v>
      </c>
      <c r="B328" s="121" t="s">
        <v>40</v>
      </c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93"/>
      <c r="R328" s="91">
        <f t="shared" si="12"/>
        <v>0</v>
      </c>
      <c r="S328" s="91">
        <f>BASE!A332</f>
        <v>317</v>
      </c>
      <c r="T328" s="89">
        <f t="shared" si="13"/>
        <v>0</v>
      </c>
      <c r="U328" s="89">
        <f t="shared" si="14"/>
        <v>0</v>
      </c>
      <c r="V328" s="89">
        <f t="shared" si="15"/>
        <v>0</v>
      </c>
      <c r="W328" s="89">
        <f t="shared" si="16"/>
        <v>0</v>
      </c>
      <c r="X328" s="89">
        <f t="shared" si="17"/>
        <v>0</v>
      </c>
      <c r="Y328" s="28"/>
    </row>
    <row r="329" spans="1:25" ht="17.25" customHeight="1">
      <c r="A329" s="88" t="str">
        <f>+IF(BASE!B333="","",BASE!B333)</f>
        <v>23XXR318</v>
      </c>
      <c r="B329" s="121" t="s">
        <v>40</v>
      </c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93"/>
      <c r="R329" s="91">
        <f t="shared" si="12"/>
        <v>0</v>
      </c>
      <c r="S329" s="91">
        <f>BASE!A333</f>
        <v>318</v>
      </c>
      <c r="T329" s="89">
        <f t="shared" si="13"/>
        <v>0</v>
      </c>
      <c r="U329" s="89">
        <f t="shared" si="14"/>
        <v>0</v>
      </c>
      <c r="V329" s="89">
        <f t="shared" si="15"/>
        <v>0</v>
      </c>
      <c r="W329" s="89">
        <f t="shared" si="16"/>
        <v>0</v>
      </c>
      <c r="X329" s="89">
        <f t="shared" si="17"/>
        <v>0</v>
      </c>
      <c r="Y329" s="28"/>
    </row>
    <row r="330" spans="1:25" ht="17.25" customHeight="1">
      <c r="A330" s="88" t="str">
        <f>+IF(BASE!B334="","",BASE!B334)</f>
        <v>23XXR319</v>
      </c>
      <c r="B330" s="121" t="s">
        <v>40</v>
      </c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93"/>
      <c r="R330" s="91">
        <f t="shared" si="12"/>
        <v>0</v>
      </c>
      <c r="S330" s="91">
        <f>BASE!A334</f>
        <v>319</v>
      </c>
      <c r="T330" s="89">
        <f t="shared" si="13"/>
        <v>0</v>
      </c>
      <c r="U330" s="89">
        <f t="shared" si="14"/>
        <v>0</v>
      </c>
      <c r="V330" s="89">
        <f t="shared" si="15"/>
        <v>0</v>
      </c>
      <c r="W330" s="89">
        <f t="shared" si="16"/>
        <v>0</v>
      </c>
      <c r="X330" s="89">
        <f t="shared" si="17"/>
        <v>0</v>
      </c>
      <c r="Y330" s="28"/>
    </row>
    <row r="331" spans="1:25" ht="17.25" customHeight="1">
      <c r="A331" s="88" t="str">
        <f>+IF(BASE!B335="","",BASE!B335)</f>
        <v>23XXR320</v>
      </c>
      <c r="B331" s="121" t="s">
        <v>40</v>
      </c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93"/>
      <c r="R331" s="91">
        <f t="shared" si="12"/>
        <v>0</v>
      </c>
      <c r="S331" s="91">
        <f>BASE!A335</f>
        <v>320</v>
      </c>
      <c r="T331" s="89">
        <f t="shared" si="13"/>
        <v>0</v>
      </c>
      <c r="U331" s="89">
        <f t="shared" si="14"/>
        <v>0</v>
      </c>
      <c r="V331" s="89">
        <f t="shared" si="15"/>
        <v>0</v>
      </c>
      <c r="W331" s="89">
        <f t="shared" si="16"/>
        <v>0</v>
      </c>
      <c r="X331" s="89">
        <f t="shared" si="17"/>
        <v>0</v>
      </c>
      <c r="Y331" s="28"/>
    </row>
    <row r="332" spans="1:25" ht="17.25" customHeight="1">
      <c r="A332" s="88" t="str">
        <f>+IF(BASE!B336="","",BASE!B336)</f>
        <v>23XXR321</v>
      </c>
      <c r="B332" s="121" t="s">
        <v>40</v>
      </c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93"/>
      <c r="R332" s="91">
        <f t="shared" si="12"/>
        <v>0</v>
      </c>
      <c r="S332" s="91">
        <f>BASE!A336</f>
        <v>321</v>
      </c>
      <c r="T332" s="89">
        <f t="shared" si="13"/>
        <v>0</v>
      </c>
      <c r="U332" s="89">
        <f t="shared" si="14"/>
        <v>0</v>
      </c>
      <c r="V332" s="89">
        <f t="shared" si="15"/>
        <v>0</v>
      </c>
      <c r="W332" s="89">
        <f t="shared" si="16"/>
        <v>0</v>
      </c>
      <c r="X332" s="89">
        <f t="shared" si="17"/>
        <v>0</v>
      </c>
      <c r="Y332" s="28"/>
    </row>
    <row r="333" spans="1:25" ht="17.25" customHeight="1">
      <c r="A333" s="88" t="str">
        <f>+IF(BASE!B337="","",BASE!B337)</f>
        <v>23XXR322</v>
      </c>
      <c r="B333" s="121" t="s">
        <v>40</v>
      </c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93"/>
      <c r="R333" s="91">
        <f t="shared" si="12"/>
        <v>0</v>
      </c>
      <c r="S333" s="91">
        <f>BASE!A337</f>
        <v>322</v>
      </c>
      <c r="T333" s="89">
        <f t="shared" si="13"/>
        <v>0</v>
      </c>
      <c r="U333" s="89">
        <f t="shared" si="14"/>
        <v>0</v>
      </c>
      <c r="V333" s="89">
        <f t="shared" si="15"/>
        <v>0</v>
      </c>
      <c r="W333" s="89">
        <f t="shared" si="16"/>
        <v>0</v>
      </c>
      <c r="X333" s="89">
        <f t="shared" si="17"/>
        <v>0</v>
      </c>
      <c r="Y333" s="28"/>
    </row>
    <row r="334" spans="1:25" ht="17.25" customHeight="1">
      <c r="A334" s="88" t="str">
        <f>+IF(BASE!B338="","",BASE!B338)</f>
        <v>23XXR323</v>
      </c>
      <c r="B334" s="121" t="s">
        <v>40</v>
      </c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93"/>
      <c r="R334" s="91">
        <f t="shared" si="12"/>
        <v>0</v>
      </c>
      <c r="S334" s="91">
        <f>BASE!A338</f>
        <v>323</v>
      </c>
      <c r="T334" s="89">
        <f t="shared" si="13"/>
        <v>0</v>
      </c>
      <c r="U334" s="89">
        <f t="shared" si="14"/>
        <v>0</v>
      </c>
      <c r="V334" s="89">
        <f t="shared" si="15"/>
        <v>0</v>
      </c>
      <c r="W334" s="89">
        <f t="shared" si="16"/>
        <v>0</v>
      </c>
      <c r="X334" s="89">
        <f t="shared" si="17"/>
        <v>0</v>
      </c>
      <c r="Y334" s="28"/>
    </row>
    <row r="335" spans="1:25" ht="17.25" customHeight="1">
      <c r="A335" s="88" t="str">
        <f>+IF(BASE!B339="","",BASE!B339)</f>
        <v>23XXR324</v>
      </c>
      <c r="B335" s="121" t="s">
        <v>40</v>
      </c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93"/>
      <c r="R335" s="91">
        <f t="shared" si="12"/>
        <v>0</v>
      </c>
      <c r="S335" s="91">
        <f>BASE!A339</f>
        <v>324</v>
      </c>
      <c r="T335" s="89">
        <f t="shared" si="13"/>
        <v>0</v>
      </c>
      <c r="U335" s="89">
        <f t="shared" si="14"/>
        <v>0</v>
      </c>
      <c r="V335" s="89">
        <f t="shared" si="15"/>
        <v>0</v>
      </c>
      <c r="W335" s="89">
        <f t="shared" si="16"/>
        <v>0</v>
      </c>
      <c r="X335" s="89">
        <f t="shared" si="17"/>
        <v>0</v>
      </c>
      <c r="Y335" s="28"/>
    </row>
    <row r="336" spans="1:25" ht="17.25" customHeight="1">
      <c r="A336" s="88" t="str">
        <f>+IF(BASE!B340="","",BASE!B340)</f>
        <v>23XXR325</v>
      </c>
      <c r="B336" s="121" t="s">
        <v>40</v>
      </c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93"/>
      <c r="R336" s="91">
        <f t="shared" si="12"/>
        <v>0</v>
      </c>
      <c r="S336" s="91">
        <f>BASE!A340</f>
        <v>325</v>
      </c>
      <c r="T336" s="89">
        <f t="shared" si="13"/>
        <v>0</v>
      </c>
      <c r="U336" s="89">
        <f t="shared" si="14"/>
        <v>0</v>
      </c>
      <c r="V336" s="89">
        <f t="shared" si="15"/>
        <v>0</v>
      </c>
      <c r="W336" s="89">
        <f t="shared" si="16"/>
        <v>0</v>
      </c>
      <c r="X336" s="89">
        <f t="shared" si="17"/>
        <v>0</v>
      </c>
      <c r="Y336" s="28"/>
    </row>
    <row r="337" spans="1:25" ht="17.25" customHeight="1">
      <c r="A337" s="88" t="str">
        <f>+IF(BASE!B341="","",BASE!B341)</f>
        <v>23XXR326</v>
      </c>
      <c r="B337" s="121" t="s">
        <v>40</v>
      </c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93"/>
      <c r="R337" s="91">
        <f t="shared" si="12"/>
        <v>0</v>
      </c>
      <c r="S337" s="91">
        <f>BASE!A341</f>
        <v>326</v>
      </c>
      <c r="T337" s="89">
        <f t="shared" si="13"/>
        <v>0</v>
      </c>
      <c r="U337" s="89">
        <f t="shared" si="14"/>
        <v>0</v>
      </c>
      <c r="V337" s="89">
        <f t="shared" si="15"/>
        <v>0</v>
      </c>
      <c r="W337" s="89">
        <f t="shared" si="16"/>
        <v>0</v>
      </c>
      <c r="X337" s="89">
        <f t="shared" si="17"/>
        <v>0</v>
      </c>
      <c r="Y337" s="28"/>
    </row>
    <row r="338" spans="1:25" ht="17.25" customHeight="1">
      <c r="A338" s="88" t="str">
        <f>+IF(BASE!B342="","",BASE!B342)</f>
        <v>23XXR327</v>
      </c>
      <c r="B338" s="121" t="s">
        <v>40</v>
      </c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93"/>
      <c r="R338" s="91">
        <f t="shared" si="12"/>
        <v>0</v>
      </c>
      <c r="S338" s="91">
        <f>BASE!A342</f>
        <v>327</v>
      </c>
      <c r="T338" s="89">
        <f t="shared" si="13"/>
        <v>0</v>
      </c>
      <c r="U338" s="89">
        <f t="shared" si="14"/>
        <v>0</v>
      </c>
      <c r="V338" s="89">
        <f t="shared" si="15"/>
        <v>0</v>
      </c>
      <c r="W338" s="89">
        <f t="shared" si="16"/>
        <v>0</v>
      </c>
      <c r="X338" s="89">
        <f t="shared" si="17"/>
        <v>0</v>
      </c>
      <c r="Y338" s="28"/>
    </row>
    <row r="339" spans="1:25" ht="17.25" customHeight="1">
      <c r="A339" s="88" t="str">
        <f>+IF(BASE!B343="","",BASE!B343)</f>
        <v>23XXR328</v>
      </c>
      <c r="B339" s="121" t="s">
        <v>40</v>
      </c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93"/>
      <c r="R339" s="91">
        <f t="shared" si="12"/>
        <v>0</v>
      </c>
      <c r="S339" s="91">
        <f>BASE!A343</f>
        <v>328</v>
      </c>
      <c r="T339" s="89">
        <f t="shared" si="13"/>
        <v>0</v>
      </c>
      <c r="U339" s="89">
        <f t="shared" si="14"/>
        <v>0</v>
      </c>
      <c r="V339" s="89">
        <f t="shared" si="15"/>
        <v>0</v>
      </c>
      <c r="W339" s="89">
        <f t="shared" si="16"/>
        <v>0</v>
      </c>
      <c r="X339" s="89">
        <f t="shared" si="17"/>
        <v>0</v>
      </c>
      <c r="Y339" s="28"/>
    </row>
    <row r="340" spans="1:25" ht="17.25" customHeight="1">
      <c r="A340" s="88" t="str">
        <f>+IF(BASE!B344="","",BASE!B344)</f>
        <v>23XXR329</v>
      </c>
      <c r="B340" s="121" t="s">
        <v>40</v>
      </c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93"/>
      <c r="R340" s="91">
        <f t="shared" si="12"/>
        <v>0</v>
      </c>
      <c r="S340" s="91">
        <f>BASE!A344</f>
        <v>329</v>
      </c>
      <c r="T340" s="89">
        <f t="shared" si="13"/>
        <v>0</v>
      </c>
      <c r="U340" s="89">
        <f t="shared" si="14"/>
        <v>0</v>
      </c>
      <c r="V340" s="89">
        <f t="shared" si="15"/>
        <v>0</v>
      </c>
      <c r="W340" s="89">
        <f t="shared" si="16"/>
        <v>0</v>
      </c>
      <c r="X340" s="89">
        <f t="shared" si="17"/>
        <v>0</v>
      </c>
      <c r="Y340" s="28"/>
    </row>
    <row r="341" spans="1:25" ht="17.25" customHeight="1">
      <c r="A341" s="88" t="str">
        <f>+IF(BASE!B345="","",BASE!B345)</f>
        <v>23XXR330</v>
      </c>
      <c r="B341" s="121" t="s">
        <v>40</v>
      </c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93"/>
      <c r="R341" s="91">
        <f t="shared" si="12"/>
        <v>0</v>
      </c>
      <c r="S341" s="91">
        <f>BASE!A345</f>
        <v>330</v>
      </c>
      <c r="T341" s="89">
        <f t="shared" si="13"/>
        <v>0</v>
      </c>
      <c r="U341" s="89">
        <f t="shared" si="14"/>
        <v>0</v>
      </c>
      <c r="V341" s="89">
        <f t="shared" si="15"/>
        <v>0</v>
      </c>
      <c r="W341" s="89">
        <f t="shared" si="16"/>
        <v>0</v>
      </c>
      <c r="X341" s="89">
        <f t="shared" si="17"/>
        <v>0</v>
      </c>
      <c r="Y341" s="28"/>
    </row>
    <row r="342" spans="1:25" ht="17.25" customHeight="1">
      <c r="A342" s="88" t="str">
        <f>+IF(BASE!B346="","",BASE!B346)</f>
        <v>23XXR331</v>
      </c>
      <c r="B342" s="121" t="s">
        <v>40</v>
      </c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93"/>
      <c r="R342" s="91">
        <f t="shared" si="12"/>
        <v>0</v>
      </c>
      <c r="S342" s="91">
        <f>BASE!A346</f>
        <v>331</v>
      </c>
      <c r="T342" s="89">
        <f t="shared" si="13"/>
        <v>0</v>
      </c>
      <c r="U342" s="89">
        <f t="shared" si="14"/>
        <v>0</v>
      </c>
      <c r="V342" s="89">
        <f t="shared" si="15"/>
        <v>0</v>
      </c>
      <c r="W342" s="89">
        <f t="shared" si="16"/>
        <v>0</v>
      </c>
      <c r="X342" s="89">
        <f t="shared" si="17"/>
        <v>0</v>
      </c>
      <c r="Y342" s="28"/>
    </row>
    <row r="343" spans="1:25" ht="17.25" customHeight="1">
      <c r="A343" s="88" t="str">
        <f>+IF(BASE!B347="","",BASE!B347)</f>
        <v>23XXR332</v>
      </c>
      <c r="B343" s="121" t="s">
        <v>40</v>
      </c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93"/>
      <c r="R343" s="91">
        <f t="shared" si="12"/>
        <v>0</v>
      </c>
      <c r="S343" s="91">
        <f>BASE!A347</f>
        <v>332</v>
      </c>
      <c r="T343" s="89">
        <f t="shared" si="13"/>
        <v>0</v>
      </c>
      <c r="U343" s="89">
        <f t="shared" si="14"/>
        <v>0</v>
      </c>
      <c r="V343" s="89">
        <f t="shared" si="15"/>
        <v>0</v>
      </c>
      <c r="W343" s="89">
        <f t="shared" si="16"/>
        <v>0</v>
      </c>
      <c r="X343" s="89">
        <f t="shared" si="17"/>
        <v>0</v>
      </c>
      <c r="Y343" s="28"/>
    </row>
    <row r="344" spans="1:25" ht="17.25" customHeight="1">
      <c r="A344" s="88" t="str">
        <f>+IF(BASE!B348="","",BASE!B348)</f>
        <v>23XXR333</v>
      </c>
      <c r="B344" s="121" t="s">
        <v>40</v>
      </c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93"/>
      <c r="R344" s="91">
        <f t="shared" si="12"/>
        <v>0</v>
      </c>
      <c r="S344" s="91">
        <f>BASE!A348</f>
        <v>333</v>
      </c>
      <c r="T344" s="89">
        <f t="shared" si="13"/>
        <v>0</v>
      </c>
      <c r="U344" s="89">
        <f t="shared" si="14"/>
        <v>0</v>
      </c>
      <c r="V344" s="89">
        <f t="shared" si="15"/>
        <v>0</v>
      </c>
      <c r="W344" s="89">
        <f t="shared" si="16"/>
        <v>0</v>
      </c>
      <c r="X344" s="89">
        <f t="shared" si="17"/>
        <v>0</v>
      </c>
      <c r="Y344" s="28"/>
    </row>
    <row r="345" spans="1:25" ht="17.25" customHeight="1">
      <c r="A345" s="88" t="str">
        <f>+IF(BASE!B349="","",BASE!B349)</f>
        <v>23XXR334</v>
      </c>
      <c r="B345" s="121" t="s">
        <v>40</v>
      </c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93"/>
      <c r="R345" s="91">
        <f t="shared" si="12"/>
        <v>0</v>
      </c>
      <c r="S345" s="91">
        <f>BASE!A349</f>
        <v>334</v>
      </c>
      <c r="T345" s="89">
        <f t="shared" si="13"/>
        <v>0</v>
      </c>
      <c r="U345" s="89">
        <f t="shared" si="14"/>
        <v>0</v>
      </c>
      <c r="V345" s="89">
        <f t="shared" si="15"/>
        <v>0</v>
      </c>
      <c r="W345" s="89">
        <f t="shared" si="16"/>
        <v>0</v>
      </c>
      <c r="X345" s="89">
        <f t="shared" si="17"/>
        <v>0</v>
      </c>
      <c r="Y345" s="28"/>
    </row>
    <row r="346" spans="1:25" ht="17.25" customHeight="1">
      <c r="A346" s="88" t="str">
        <f>+IF(BASE!B350="","",BASE!B350)</f>
        <v>23XXR335</v>
      </c>
      <c r="B346" s="121" t="s">
        <v>40</v>
      </c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93"/>
      <c r="R346" s="91">
        <f t="shared" si="12"/>
        <v>0</v>
      </c>
      <c r="S346" s="91">
        <f>BASE!A350</f>
        <v>335</v>
      </c>
      <c r="T346" s="89">
        <f t="shared" si="13"/>
        <v>0</v>
      </c>
      <c r="U346" s="89">
        <f t="shared" si="14"/>
        <v>0</v>
      </c>
      <c r="V346" s="89">
        <f t="shared" si="15"/>
        <v>0</v>
      </c>
      <c r="W346" s="89">
        <f t="shared" si="16"/>
        <v>0</v>
      </c>
      <c r="X346" s="89">
        <f t="shared" si="17"/>
        <v>0</v>
      </c>
      <c r="Y346" s="28"/>
    </row>
    <row r="347" spans="1:25" ht="17.25" customHeight="1">
      <c r="A347" s="88" t="str">
        <f>+IF(BASE!B351="","",BASE!B351)</f>
        <v>23XXR336</v>
      </c>
      <c r="B347" s="121" t="s">
        <v>40</v>
      </c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93"/>
      <c r="R347" s="91">
        <f t="shared" si="12"/>
        <v>0</v>
      </c>
      <c r="S347" s="91">
        <f>BASE!A351</f>
        <v>336</v>
      </c>
      <c r="T347" s="89">
        <f t="shared" si="13"/>
        <v>0</v>
      </c>
      <c r="U347" s="89">
        <f t="shared" si="14"/>
        <v>0</v>
      </c>
      <c r="V347" s="89">
        <f t="shared" si="15"/>
        <v>0</v>
      </c>
      <c r="W347" s="89">
        <f t="shared" si="16"/>
        <v>0</v>
      </c>
      <c r="X347" s="89">
        <f t="shared" si="17"/>
        <v>0</v>
      </c>
      <c r="Y347" s="28"/>
    </row>
    <row r="348" spans="1:25" ht="17.25" customHeight="1">
      <c r="A348" s="88" t="str">
        <f>+IF(BASE!B352="","",BASE!B352)</f>
        <v>23XXR337</v>
      </c>
      <c r="B348" s="121" t="s">
        <v>40</v>
      </c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93"/>
      <c r="R348" s="91">
        <f t="shared" si="12"/>
        <v>0</v>
      </c>
      <c r="S348" s="91">
        <f>BASE!A352</f>
        <v>337</v>
      </c>
      <c r="T348" s="89">
        <f t="shared" si="13"/>
        <v>0</v>
      </c>
      <c r="U348" s="89">
        <f t="shared" si="14"/>
        <v>0</v>
      </c>
      <c r="V348" s="89">
        <f t="shared" si="15"/>
        <v>0</v>
      </c>
      <c r="W348" s="89">
        <f t="shared" si="16"/>
        <v>0</v>
      </c>
      <c r="X348" s="89">
        <f t="shared" si="17"/>
        <v>0</v>
      </c>
      <c r="Y348" s="28"/>
    </row>
    <row r="349" spans="1:25" ht="17.25" customHeight="1">
      <c r="A349" s="88" t="str">
        <f>+IF(BASE!B353="","",BASE!B353)</f>
        <v>23XXR338</v>
      </c>
      <c r="B349" s="121" t="s">
        <v>40</v>
      </c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93"/>
      <c r="R349" s="91">
        <f t="shared" si="12"/>
        <v>0</v>
      </c>
      <c r="S349" s="91">
        <f>BASE!A353</f>
        <v>338</v>
      </c>
      <c r="T349" s="89">
        <f t="shared" si="13"/>
        <v>0</v>
      </c>
      <c r="U349" s="89">
        <f t="shared" si="14"/>
        <v>0</v>
      </c>
      <c r="V349" s="89">
        <f t="shared" si="15"/>
        <v>0</v>
      </c>
      <c r="W349" s="89">
        <f t="shared" si="16"/>
        <v>0</v>
      </c>
      <c r="X349" s="89">
        <f t="shared" si="17"/>
        <v>0</v>
      </c>
      <c r="Y349" s="28"/>
    </row>
    <row r="350" spans="1:25" ht="17.25" customHeight="1">
      <c r="A350" s="88" t="str">
        <f>+IF(BASE!B354="","",BASE!B354)</f>
        <v>23XXR339</v>
      </c>
      <c r="B350" s="121" t="s">
        <v>40</v>
      </c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93"/>
      <c r="R350" s="91">
        <f t="shared" si="12"/>
        <v>0</v>
      </c>
      <c r="S350" s="91">
        <f>BASE!A354</f>
        <v>339</v>
      </c>
      <c r="T350" s="89">
        <f t="shared" si="13"/>
        <v>0</v>
      </c>
      <c r="U350" s="89">
        <f t="shared" si="14"/>
        <v>0</v>
      </c>
      <c r="V350" s="89">
        <f t="shared" si="15"/>
        <v>0</v>
      </c>
      <c r="W350" s="89">
        <f t="shared" si="16"/>
        <v>0</v>
      </c>
      <c r="X350" s="89">
        <f t="shared" si="17"/>
        <v>0</v>
      </c>
      <c r="Y350" s="28"/>
    </row>
    <row r="351" spans="1:25" ht="17.25" customHeight="1">
      <c r="A351" s="88" t="str">
        <f>+IF(BASE!B355="","",BASE!B355)</f>
        <v>23XXR340</v>
      </c>
      <c r="B351" s="121" t="s">
        <v>40</v>
      </c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93"/>
      <c r="R351" s="91">
        <f t="shared" si="12"/>
        <v>0</v>
      </c>
      <c r="S351" s="91">
        <f>BASE!A355</f>
        <v>340</v>
      </c>
      <c r="T351" s="89">
        <f t="shared" si="13"/>
        <v>0</v>
      </c>
      <c r="U351" s="89">
        <f t="shared" si="14"/>
        <v>0</v>
      </c>
      <c r="V351" s="89">
        <f t="shared" si="15"/>
        <v>0</v>
      </c>
      <c r="W351" s="89">
        <f t="shared" si="16"/>
        <v>0</v>
      </c>
      <c r="X351" s="89">
        <f t="shared" si="17"/>
        <v>0</v>
      </c>
      <c r="Y351" s="28"/>
    </row>
    <row r="352" spans="1:25" ht="17.25" customHeight="1">
      <c r="A352" s="88" t="str">
        <f>+IF(BASE!B356="","",BASE!B356)</f>
        <v>23XXR341</v>
      </c>
      <c r="B352" s="121" t="s">
        <v>40</v>
      </c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93"/>
      <c r="R352" s="91">
        <f t="shared" si="12"/>
        <v>0</v>
      </c>
      <c r="S352" s="91">
        <f>BASE!A356</f>
        <v>341</v>
      </c>
      <c r="T352" s="89">
        <f t="shared" si="13"/>
        <v>0</v>
      </c>
      <c r="U352" s="89">
        <f t="shared" si="14"/>
        <v>0</v>
      </c>
      <c r="V352" s="89">
        <f t="shared" si="15"/>
        <v>0</v>
      </c>
      <c r="W352" s="89">
        <f t="shared" si="16"/>
        <v>0</v>
      </c>
      <c r="X352" s="89">
        <f t="shared" si="17"/>
        <v>0</v>
      </c>
      <c r="Y352" s="28"/>
    </row>
    <row r="353" spans="1:25" ht="17.25" customHeight="1">
      <c r="A353" s="88" t="str">
        <f>+IF(BASE!B357="","",BASE!B357)</f>
        <v>23XXR342</v>
      </c>
      <c r="B353" s="121" t="s">
        <v>40</v>
      </c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93"/>
      <c r="R353" s="91">
        <f t="shared" si="12"/>
        <v>0</v>
      </c>
      <c r="S353" s="91">
        <f>BASE!A357</f>
        <v>342</v>
      </c>
      <c r="T353" s="89">
        <f t="shared" si="13"/>
        <v>0</v>
      </c>
      <c r="U353" s="89">
        <f t="shared" si="14"/>
        <v>0</v>
      </c>
      <c r="V353" s="89">
        <f t="shared" si="15"/>
        <v>0</v>
      </c>
      <c r="W353" s="89">
        <f t="shared" si="16"/>
        <v>0</v>
      </c>
      <c r="X353" s="89">
        <f t="shared" si="17"/>
        <v>0</v>
      </c>
      <c r="Y353" s="28"/>
    </row>
    <row r="354" spans="1:25" ht="17.25" customHeight="1">
      <c r="A354" s="88" t="str">
        <f>+IF(BASE!B358="","",BASE!B358)</f>
        <v>23XXR343</v>
      </c>
      <c r="B354" s="121" t="s">
        <v>40</v>
      </c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93"/>
      <c r="R354" s="91">
        <f t="shared" si="12"/>
        <v>0</v>
      </c>
      <c r="S354" s="91">
        <f>BASE!A358</f>
        <v>343</v>
      </c>
      <c r="T354" s="89">
        <f t="shared" si="13"/>
        <v>0</v>
      </c>
      <c r="U354" s="89">
        <f t="shared" si="14"/>
        <v>0</v>
      </c>
      <c r="V354" s="89">
        <f t="shared" si="15"/>
        <v>0</v>
      </c>
      <c r="W354" s="89">
        <f t="shared" si="16"/>
        <v>0</v>
      </c>
      <c r="X354" s="89">
        <f t="shared" si="17"/>
        <v>0</v>
      </c>
      <c r="Y354" s="28"/>
    </row>
    <row r="355" spans="1:25" ht="17.25" customHeight="1">
      <c r="A355" s="88" t="str">
        <f>+IF(BASE!B359="","",BASE!B359)</f>
        <v>23XXR344</v>
      </c>
      <c r="B355" s="121" t="s">
        <v>40</v>
      </c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93"/>
      <c r="R355" s="91">
        <f t="shared" si="12"/>
        <v>0</v>
      </c>
      <c r="S355" s="91">
        <f>BASE!A359</f>
        <v>344</v>
      </c>
      <c r="T355" s="89">
        <f t="shared" si="13"/>
        <v>0</v>
      </c>
      <c r="U355" s="89">
        <f t="shared" si="14"/>
        <v>0</v>
      </c>
      <c r="V355" s="89">
        <f t="shared" si="15"/>
        <v>0</v>
      </c>
      <c r="W355" s="89">
        <f t="shared" si="16"/>
        <v>0</v>
      </c>
      <c r="X355" s="89">
        <f t="shared" si="17"/>
        <v>0</v>
      </c>
      <c r="Y355" s="28"/>
    </row>
    <row r="356" spans="1:25" ht="17.25" customHeight="1">
      <c r="A356" s="88" t="str">
        <f>+IF(BASE!B360="","",BASE!B360)</f>
        <v>23XXR345</v>
      </c>
      <c r="B356" s="121" t="s">
        <v>40</v>
      </c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93"/>
      <c r="R356" s="91">
        <f t="shared" si="12"/>
        <v>0</v>
      </c>
      <c r="S356" s="91">
        <f>BASE!A360</f>
        <v>345</v>
      </c>
      <c r="T356" s="89">
        <f t="shared" si="13"/>
        <v>0</v>
      </c>
      <c r="U356" s="89">
        <f t="shared" si="14"/>
        <v>0</v>
      </c>
      <c r="V356" s="89">
        <f t="shared" si="15"/>
        <v>0</v>
      </c>
      <c r="W356" s="89">
        <f t="shared" si="16"/>
        <v>0</v>
      </c>
      <c r="X356" s="89">
        <f t="shared" si="17"/>
        <v>0</v>
      </c>
      <c r="Y356" s="28"/>
    </row>
    <row r="357" spans="1:25" ht="17.25" customHeight="1">
      <c r="A357" s="88" t="str">
        <f>+IF(BASE!B361="","",BASE!B361)</f>
        <v>23XXR346</v>
      </c>
      <c r="B357" s="121" t="s">
        <v>40</v>
      </c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93"/>
      <c r="R357" s="91">
        <f t="shared" si="12"/>
        <v>0</v>
      </c>
      <c r="S357" s="91">
        <f>BASE!A361</f>
        <v>346</v>
      </c>
      <c r="T357" s="89">
        <f t="shared" si="13"/>
        <v>0</v>
      </c>
      <c r="U357" s="89">
        <f t="shared" si="14"/>
        <v>0</v>
      </c>
      <c r="V357" s="89">
        <f t="shared" si="15"/>
        <v>0</v>
      </c>
      <c r="W357" s="89">
        <f t="shared" si="16"/>
        <v>0</v>
      </c>
      <c r="X357" s="89">
        <f t="shared" si="17"/>
        <v>0</v>
      </c>
      <c r="Y357" s="28"/>
    </row>
    <row r="358" spans="1:25" ht="17.25" customHeight="1">
      <c r="A358" s="88" t="str">
        <f>+IF(BASE!B362="","",BASE!B362)</f>
        <v>23XXR347</v>
      </c>
      <c r="B358" s="121" t="s">
        <v>40</v>
      </c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93"/>
      <c r="R358" s="91">
        <f t="shared" si="12"/>
        <v>0</v>
      </c>
      <c r="S358" s="91">
        <f>BASE!A362</f>
        <v>347</v>
      </c>
      <c r="T358" s="89">
        <f t="shared" si="13"/>
        <v>0</v>
      </c>
      <c r="U358" s="89">
        <f t="shared" si="14"/>
        <v>0</v>
      </c>
      <c r="V358" s="89">
        <f t="shared" si="15"/>
        <v>0</v>
      </c>
      <c r="W358" s="89">
        <f t="shared" si="16"/>
        <v>0</v>
      </c>
      <c r="X358" s="89">
        <f t="shared" si="17"/>
        <v>0</v>
      </c>
      <c r="Y358" s="28"/>
    </row>
    <row r="359" spans="1:25" ht="17.25" customHeight="1">
      <c r="A359" s="88" t="str">
        <f>+IF(BASE!B363="","",BASE!B363)</f>
        <v>23XXR348</v>
      </c>
      <c r="B359" s="121" t="s">
        <v>40</v>
      </c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93"/>
      <c r="R359" s="91">
        <f t="shared" si="12"/>
        <v>0</v>
      </c>
      <c r="S359" s="91">
        <f>BASE!A363</f>
        <v>348</v>
      </c>
      <c r="T359" s="89">
        <f t="shared" si="13"/>
        <v>0</v>
      </c>
      <c r="U359" s="89">
        <f t="shared" si="14"/>
        <v>0</v>
      </c>
      <c r="V359" s="89">
        <f t="shared" si="15"/>
        <v>0</v>
      </c>
      <c r="W359" s="89">
        <f t="shared" si="16"/>
        <v>0</v>
      </c>
      <c r="X359" s="89">
        <f t="shared" si="17"/>
        <v>0</v>
      </c>
      <c r="Y359" s="28"/>
    </row>
    <row r="360" spans="1:25" ht="17.25" customHeight="1">
      <c r="A360" s="88" t="str">
        <f>+IF(BASE!B364="","",BASE!B364)</f>
        <v>23XXR349</v>
      </c>
      <c r="B360" s="121" t="s">
        <v>40</v>
      </c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93"/>
      <c r="R360" s="91">
        <f t="shared" si="12"/>
        <v>0</v>
      </c>
      <c r="S360" s="91">
        <f>BASE!A364</f>
        <v>349</v>
      </c>
      <c r="T360" s="89">
        <f t="shared" si="13"/>
        <v>0</v>
      </c>
      <c r="U360" s="89">
        <f t="shared" si="14"/>
        <v>0</v>
      </c>
      <c r="V360" s="89">
        <f t="shared" si="15"/>
        <v>0</v>
      </c>
      <c r="W360" s="89">
        <f t="shared" si="16"/>
        <v>0</v>
      </c>
      <c r="X360" s="89">
        <f t="shared" si="17"/>
        <v>0</v>
      </c>
      <c r="Y360" s="28"/>
    </row>
    <row r="361" spans="1:25" ht="17.25" customHeight="1">
      <c r="A361" s="88" t="str">
        <f>+IF(BASE!B365="","",BASE!B365)</f>
        <v>23XXR350</v>
      </c>
      <c r="B361" s="121" t="s">
        <v>40</v>
      </c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93"/>
      <c r="R361" s="91">
        <f t="shared" si="12"/>
        <v>0</v>
      </c>
      <c r="S361" s="91">
        <f>BASE!A365</f>
        <v>350</v>
      </c>
      <c r="T361" s="89">
        <f t="shared" si="13"/>
        <v>0</v>
      </c>
      <c r="U361" s="89">
        <f t="shared" si="14"/>
        <v>0</v>
      </c>
      <c r="V361" s="89">
        <f t="shared" si="15"/>
        <v>0</v>
      </c>
      <c r="W361" s="89">
        <f t="shared" si="16"/>
        <v>0</v>
      </c>
      <c r="X361" s="89">
        <f t="shared" si="17"/>
        <v>0</v>
      </c>
      <c r="Y361" s="28"/>
    </row>
    <row r="362" spans="1:25" ht="17.25" customHeight="1">
      <c r="A362" s="88" t="str">
        <f>+IF(BASE!B366="","",BASE!B366)</f>
        <v>23XXR351</v>
      </c>
      <c r="B362" s="121" t="s">
        <v>40</v>
      </c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93"/>
      <c r="R362" s="91">
        <f t="shared" si="12"/>
        <v>0</v>
      </c>
      <c r="S362" s="91">
        <f>BASE!A366</f>
        <v>351</v>
      </c>
      <c r="T362" s="89">
        <f t="shared" si="13"/>
        <v>0</v>
      </c>
      <c r="U362" s="89">
        <f t="shared" si="14"/>
        <v>0</v>
      </c>
      <c r="V362" s="89">
        <f t="shared" si="15"/>
        <v>0</v>
      </c>
      <c r="W362" s="89">
        <f t="shared" si="16"/>
        <v>0</v>
      </c>
      <c r="X362" s="89">
        <f t="shared" si="17"/>
        <v>0</v>
      </c>
      <c r="Y362" s="28"/>
    </row>
    <row r="363" spans="1:25" ht="17.25" customHeight="1">
      <c r="A363" s="88" t="str">
        <f>+IF(BASE!B367="","",BASE!B367)</f>
        <v>23XXR352</v>
      </c>
      <c r="B363" s="121" t="s">
        <v>40</v>
      </c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93"/>
      <c r="R363" s="91">
        <f t="shared" si="12"/>
        <v>0</v>
      </c>
      <c r="S363" s="91">
        <f>BASE!A367</f>
        <v>352</v>
      </c>
      <c r="T363" s="89">
        <f t="shared" si="13"/>
        <v>0</v>
      </c>
      <c r="U363" s="89">
        <f t="shared" si="14"/>
        <v>0</v>
      </c>
      <c r="V363" s="89">
        <f t="shared" si="15"/>
        <v>0</v>
      </c>
      <c r="W363" s="89">
        <f t="shared" si="16"/>
        <v>0</v>
      </c>
      <c r="X363" s="89">
        <f t="shared" si="17"/>
        <v>0</v>
      </c>
      <c r="Y363" s="28"/>
    </row>
    <row r="364" spans="1:25" ht="17.25" customHeight="1">
      <c r="A364" s="88" t="str">
        <f>+IF(BASE!B368="","",BASE!B368)</f>
        <v>23XXR353</v>
      </c>
      <c r="B364" s="121" t="s">
        <v>40</v>
      </c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93"/>
      <c r="R364" s="91">
        <f t="shared" si="12"/>
        <v>0</v>
      </c>
      <c r="S364" s="91">
        <f>BASE!A368</f>
        <v>353</v>
      </c>
      <c r="T364" s="89">
        <f t="shared" si="13"/>
        <v>0</v>
      </c>
      <c r="U364" s="89">
        <f t="shared" si="14"/>
        <v>0</v>
      </c>
      <c r="V364" s="89">
        <f t="shared" si="15"/>
        <v>0</v>
      </c>
      <c r="W364" s="89">
        <f t="shared" si="16"/>
        <v>0</v>
      </c>
      <c r="X364" s="89">
        <f t="shared" si="17"/>
        <v>0</v>
      </c>
      <c r="Y364" s="28"/>
    </row>
    <row r="365" spans="1:25" ht="17.25" customHeight="1">
      <c r="A365" s="88" t="str">
        <f>+IF(BASE!B369="","",BASE!B369)</f>
        <v>23XXR354</v>
      </c>
      <c r="B365" s="121" t="s">
        <v>40</v>
      </c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93"/>
      <c r="R365" s="91">
        <f t="shared" si="12"/>
        <v>0</v>
      </c>
      <c r="S365" s="91">
        <f>BASE!A369</f>
        <v>354</v>
      </c>
      <c r="T365" s="89">
        <f t="shared" si="13"/>
        <v>0</v>
      </c>
      <c r="U365" s="89">
        <f t="shared" si="14"/>
        <v>0</v>
      </c>
      <c r="V365" s="89">
        <f t="shared" si="15"/>
        <v>0</v>
      </c>
      <c r="W365" s="89">
        <f t="shared" si="16"/>
        <v>0</v>
      </c>
      <c r="X365" s="89">
        <f t="shared" si="17"/>
        <v>0</v>
      </c>
      <c r="Y365" s="28"/>
    </row>
    <row r="366" spans="1:25" ht="17.25" customHeight="1">
      <c r="A366" s="88" t="str">
        <f>+IF(BASE!B370="","",BASE!B370)</f>
        <v>23XXR355</v>
      </c>
      <c r="B366" s="121" t="s">
        <v>40</v>
      </c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93"/>
      <c r="R366" s="91">
        <f t="shared" si="12"/>
        <v>0</v>
      </c>
      <c r="S366" s="91">
        <f>BASE!A370</f>
        <v>355</v>
      </c>
      <c r="T366" s="89">
        <f t="shared" si="13"/>
        <v>0</v>
      </c>
      <c r="U366" s="89">
        <f t="shared" si="14"/>
        <v>0</v>
      </c>
      <c r="V366" s="89">
        <f t="shared" si="15"/>
        <v>0</v>
      </c>
      <c r="W366" s="89">
        <f t="shared" si="16"/>
        <v>0</v>
      </c>
      <c r="X366" s="89">
        <f t="shared" si="17"/>
        <v>0</v>
      </c>
      <c r="Y366" s="28"/>
    </row>
    <row r="367" spans="1:25" ht="17.25" customHeight="1">
      <c r="A367" s="88" t="str">
        <f>+IF(BASE!B371="","",BASE!B371)</f>
        <v>23XXR356</v>
      </c>
      <c r="B367" s="121" t="s">
        <v>40</v>
      </c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93"/>
      <c r="R367" s="91">
        <f t="shared" si="12"/>
        <v>0</v>
      </c>
      <c r="S367" s="91">
        <f>BASE!A371</f>
        <v>356</v>
      </c>
      <c r="T367" s="89">
        <f t="shared" si="13"/>
        <v>0</v>
      </c>
      <c r="U367" s="89">
        <f t="shared" si="14"/>
        <v>0</v>
      </c>
      <c r="V367" s="89">
        <f t="shared" si="15"/>
        <v>0</v>
      </c>
      <c r="W367" s="89">
        <f t="shared" si="16"/>
        <v>0</v>
      </c>
      <c r="X367" s="89">
        <f t="shared" si="17"/>
        <v>0</v>
      </c>
      <c r="Y367" s="28"/>
    </row>
    <row r="368" spans="1:25" ht="17.25" customHeight="1">
      <c r="A368" s="88" t="str">
        <f>+IF(BASE!B372="","",BASE!B372)</f>
        <v>23XXR357</v>
      </c>
      <c r="B368" s="121" t="s">
        <v>40</v>
      </c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93"/>
      <c r="R368" s="91">
        <f t="shared" si="12"/>
        <v>0</v>
      </c>
      <c r="S368" s="91">
        <f>BASE!A372</f>
        <v>357</v>
      </c>
      <c r="T368" s="89">
        <f t="shared" si="13"/>
        <v>0</v>
      </c>
      <c r="U368" s="89">
        <f t="shared" si="14"/>
        <v>0</v>
      </c>
      <c r="V368" s="89">
        <f t="shared" si="15"/>
        <v>0</v>
      </c>
      <c r="W368" s="89">
        <f t="shared" si="16"/>
        <v>0</v>
      </c>
      <c r="X368" s="89">
        <f t="shared" si="17"/>
        <v>0</v>
      </c>
      <c r="Y368" s="28"/>
    </row>
    <row r="369" spans="1:25" ht="17.25" customHeight="1">
      <c r="A369" s="88" t="str">
        <f>+IF(BASE!B373="","",BASE!B373)</f>
        <v>23XXR358</v>
      </c>
      <c r="B369" s="121" t="s">
        <v>40</v>
      </c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93"/>
      <c r="R369" s="91">
        <f t="shared" si="12"/>
        <v>0</v>
      </c>
      <c r="S369" s="91">
        <f>BASE!A373</f>
        <v>358</v>
      </c>
      <c r="T369" s="89">
        <f t="shared" si="13"/>
        <v>0</v>
      </c>
      <c r="U369" s="89">
        <f t="shared" si="14"/>
        <v>0</v>
      </c>
      <c r="V369" s="89">
        <f t="shared" si="15"/>
        <v>0</v>
      </c>
      <c r="W369" s="89">
        <f t="shared" si="16"/>
        <v>0</v>
      </c>
      <c r="X369" s="89">
        <f t="shared" si="17"/>
        <v>0</v>
      </c>
      <c r="Y369" s="28"/>
    </row>
    <row r="370" spans="1:25" ht="17.25" customHeight="1">
      <c r="A370" s="88" t="str">
        <f>+IF(BASE!B374="","",BASE!B374)</f>
        <v>23XXR359</v>
      </c>
      <c r="B370" s="121" t="s">
        <v>40</v>
      </c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93"/>
      <c r="R370" s="91">
        <f t="shared" si="12"/>
        <v>0</v>
      </c>
      <c r="S370" s="91">
        <f>BASE!A374</f>
        <v>359</v>
      </c>
      <c r="T370" s="89">
        <f t="shared" si="13"/>
        <v>0</v>
      </c>
      <c r="U370" s="89">
        <f t="shared" si="14"/>
        <v>0</v>
      </c>
      <c r="V370" s="89">
        <f t="shared" si="15"/>
        <v>0</v>
      </c>
      <c r="W370" s="89">
        <f t="shared" si="16"/>
        <v>0</v>
      </c>
      <c r="X370" s="89">
        <f t="shared" si="17"/>
        <v>0</v>
      </c>
      <c r="Y370" s="28"/>
    </row>
    <row r="371" spans="1:25" ht="17.25" customHeight="1">
      <c r="A371" s="88" t="str">
        <f>+IF(BASE!B375="","",BASE!B375)</f>
        <v>23XXR360</v>
      </c>
      <c r="B371" s="121" t="s">
        <v>40</v>
      </c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93"/>
      <c r="R371" s="91">
        <f t="shared" si="12"/>
        <v>0</v>
      </c>
      <c r="S371" s="91">
        <f>BASE!A375</f>
        <v>360</v>
      </c>
      <c r="T371" s="89">
        <f t="shared" si="13"/>
        <v>0</v>
      </c>
      <c r="U371" s="89">
        <f t="shared" si="14"/>
        <v>0</v>
      </c>
      <c r="V371" s="89">
        <f t="shared" si="15"/>
        <v>0</v>
      </c>
      <c r="W371" s="89">
        <f t="shared" si="16"/>
        <v>0</v>
      </c>
      <c r="X371" s="89">
        <f t="shared" si="17"/>
        <v>0</v>
      </c>
      <c r="Y371" s="28"/>
    </row>
    <row r="372" spans="1:25" ht="17.25" customHeight="1">
      <c r="A372" s="88" t="str">
        <f>+IF(BASE!B376="","",BASE!B376)</f>
        <v>23XXR361</v>
      </c>
      <c r="B372" s="121" t="s">
        <v>40</v>
      </c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93"/>
      <c r="R372" s="91">
        <f t="shared" si="12"/>
        <v>0</v>
      </c>
      <c r="S372" s="91">
        <f>BASE!A376</f>
        <v>361</v>
      </c>
      <c r="T372" s="89">
        <f t="shared" si="13"/>
        <v>0</v>
      </c>
      <c r="U372" s="89">
        <f t="shared" si="14"/>
        <v>0</v>
      </c>
      <c r="V372" s="89">
        <f t="shared" si="15"/>
        <v>0</v>
      </c>
      <c r="W372" s="89">
        <f t="shared" si="16"/>
        <v>0</v>
      </c>
      <c r="X372" s="89">
        <f t="shared" si="17"/>
        <v>0</v>
      </c>
      <c r="Y372" s="28"/>
    </row>
    <row r="373" spans="1:25" ht="17.25" customHeight="1">
      <c r="A373" s="88" t="str">
        <f>+IF(BASE!B377="","",BASE!B377)</f>
        <v>23XXR362</v>
      </c>
      <c r="B373" s="121" t="s">
        <v>40</v>
      </c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93"/>
      <c r="R373" s="91">
        <f t="shared" si="12"/>
        <v>0</v>
      </c>
      <c r="S373" s="91">
        <f>BASE!A377</f>
        <v>362</v>
      </c>
      <c r="T373" s="89">
        <f t="shared" si="13"/>
        <v>0</v>
      </c>
      <c r="U373" s="89">
        <f t="shared" si="14"/>
        <v>0</v>
      </c>
      <c r="V373" s="89">
        <f t="shared" si="15"/>
        <v>0</v>
      </c>
      <c r="W373" s="89">
        <f t="shared" si="16"/>
        <v>0</v>
      </c>
      <c r="X373" s="89">
        <f t="shared" si="17"/>
        <v>0</v>
      </c>
      <c r="Y373" s="28"/>
    </row>
    <row r="374" spans="1:25" ht="17.25" customHeight="1">
      <c r="A374" s="88" t="str">
        <f>+IF(BASE!B378="","",BASE!B378)</f>
        <v>23XXR363</v>
      </c>
      <c r="B374" s="121" t="s">
        <v>40</v>
      </c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93"/>
      <c r="R374" s="91">
        <f t="shared" si="12"/>
        <v>0</v>
      </c>
      <c r="S374" s="91">
        <f>BASE!A378</f>
        <v>363</v>
      </c>
      <c r="T374" s="89">
        <f t="shared" si="13"/>
        <v>0</v>
      </c>
      <c r="U374" s="89">
        <f t="shared" si="14"/>
        <v>0</v>
      </c>
      <c r="V374" s="89">
        <f t="shared" si="15"/>
        <v>0</v>
      </c>
      <c r="W374" s="89">
        <f t="shared" si="16"/>
        <v>0</v>
      </c>
      <c r="X374" s="89">
        <f t="shared" si="17"/>
        <v>0</v>
      </c>
      <c r="Y374" s="28"/>
    </row>
    <row r="375" spans="1:25" ht="17.25" customHeight="1">
      <c r="A375" s="88" t="str">
        <f>+IF(BASE!B379="","",BASE!B379)</f>
        <v>23XXR364</v>
      </c>
      <c r="B375" s="121" t="s">
        <v>40</v>
      </c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93"/>
      <c r="R375" s="91">
        <f t="shared" si="12"/>
        <v>0</v>
      </c>
      <c r="S375" s="91">
        <f>BASE!A379</f>
        <v>364</v>
      </c>
      <c r="T375" s="89">
        <f t="shared" si="13"/>
        <v>0</v>
      </c>
      <c r="U375" s="89">
        <f t="shared" si="14"/>
        <v>0</v>
      </c>
      <c r="V375" s="89">
        <f t="shared" si="15"/>
        <v>0</v>
      </c>
      <c r="W375" s="89">
        <f t="shared" si="16"/>
        <v>0</v>
      </c>
      <c r="X375" s="89">
        <f t="shared" si="17"/>
        <v>0</v>
      </c>
      <c r="Y375" s="28"/>
    </row>
    <row r="376" spans="1:25" ht="17.25" customHeight="1">
      <c r="A376" s="88" t="str">
        <f>+IF(BASE!B380="","",BASE!B380)</f>
        <v>23XXR365</v>
      </c>
      <c r="B376" s="121" t="s">
        <v>40</v>
      </c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93"/>
      <c r="R376" s="91">
        <f t="shared" si="12"/>
        <v>0</v>
      </c>
      <c r="S376" s="91">
        <f>BASE!A380</f>
        <v>365</v>
      </c>
      <c r="T376" s="89">
        <f t="shared" si="13"/>
        <v>0</v>
      </c>
      <c r="U376" s="89">
        <f t="shared" si="14"/>
        <v>0</v>
      </c>
      <c r="V376" s="89">
        <f t="shared" si="15"/>
        <v>0</v>
      </c>
      <c r="W376" s="89">
        <f t="shared" si="16"/>
        <v>0</v>
      </c>
      <c r="X376" s="89">
        <f t="shared" si="17"/>
        <v>0</v>
      </c>
      <c r="Y376" s="28"/>
    </row>
    <row r="377" spans="1:25" ht="17.25" customHeight="1">
      <c r="A377" s="88" t="str">
        <f>+IF(BASE!B381="","",BASE!B381)</f>
        <v>23XXR366</v>
      </c>
      <c r="B377" s="121" t="s">
        <v>40</v>
      </c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93"/>
      <c r="R377" s="91">
        <f t="shared" si="12"/>
        <v>0</v>
      </c>
      <c r="S377" s="91">
        <f>BASE!A381</f>
        <v>366</v>
      </c>
      <c r="T377" s="89">
        <f t="shared" si="13"/>
        <v>0</v>
      </c>
      <c r="U377" s="89">
        <f t="shared" si="14"/>
        <v>0</v>
      </c>
      <c r="V377" s="89">
        <f t="shared" si="15"/>
        <v>0</v>
      </c>
      <c r="W377" s="89">
        <f t="shared" si="16"/>
        <v>0</v>
      </c>
      <c r="X377" s="89">
        <f t="shared" si="17"/>
        <v>0</v>
      </c>
      <c r="Y377" s="28"/>
    </row>
    <row r="378" spans="1:25" ht="17.25" customHeight="1">
      <c r="A378" s="88" t="str">
        <f>+IF(BASE!B382="","",BASE!B382)</f>
        <v>23XXR367</v>
      </c>
      <c r="B378" s="121" t="s">
        <v>40</v>
      </c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93"/>
      <c r="R378" s="91">
        <f t="shared" si="12"/>
        <v>0</v>
      </c>
      <c r="S378" s="91">
        <f>BASE!A382</f>
        <v>367</v>
      </c>
      <c r="T378" s="89">
        <f t="shared" si="13"/>
        <v>0</v>
      </c>
      <c r="U378" s="89">
        <f t="shared" si="14"/>
        <v>0</v>
      </c>
      <c r="V378" s="89">
        <f t="shared" si="15"/>
        <v>0</v>
      </c>
      <c r="W378" s="89">
        <f t="shared" si="16"/>
        <v>0</v>
      </c>
      <c r="X378" s="89">
        <f t="shared" si="17"/>
        <v>0</v>
      </c>
      <c r="Y378" s="28"/>
    </row>
    <row r="379" spans="1:25" ht="17.25" customHeight="1">
      <c r="A379" s="88" t="str">
        <f>+IF(BASE!B383="","",BASE!B383)</f>
        <v>23XXR368</v>
      </c>
      <c r="B379" s="121" t="s">
        <v>40</v>
      </c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93"/>
      <c r="R379" s="91">
        <f t="shared" si="12"/>
        <v>0</v>
      </c>
      <c r="S379" s="91">
        <f>BASE!A383</f>
        <v>368</v>
      </c>
      <c r="T379" s="89">
        <f t="shared" si="13"/>
        <v>0</v>
      </c>
      <c r="U379" s="89">
        <f t="shared" si="14"/>
        <v>0</v>
      </c>
      <c r="V379" s="89">
        <f t="shared" si="15"/>
        <v>0</v>
      </c>
      <c r="W379" s="89">
        <f t="shared" si="16"/>
        <v>0</v>
      </c>
      <c r="X379" s="89">
        <f t="shared" si="17"/>
        <v>0</v>
      </c>
      <c r="Y379" s="28"/>
    </row>
    <row r="380" spans="1:25" ht="17.25" customHeight="1">
      <c r="A380" s="88" t="str">
        <f>+IF(BASE!B384="","",BASE!B384)</f>
        <v>23XXR369</v>
      </c>
      <c r="B380" s="121" t="s">
        <v>40</v>
      </c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93"/>
      <c r="R380" s="91">
        <f t="shared" si="12"/>
        <v>0</v>
      </c>
      <c r="S380" s="91">
        <f>BASE!A384</f>
        <v>369</v>
      </c>
      <c r="T380" s="89">
        <f t="shared" si="13"/>
        <v>0</v>
      </c>
      <c r="U380" s="89">
        <f t="shared" si="14"/>
        <v>0</v>
      </c>
      <c r="V380" s="89">
        <f t="shared" si="15"/>
        <v>0</v>
      </c>
      <c r="W380" s="89">
        <f t="shared" si="16"/>
        <v>0</v>
      </c>
      <c r="X380" s="89">
        <f t="shared" si="17"/>
        <v>0</v>
      </c>
      <c r="Y380" s="28"/>
    </row>
    <row r="381" spans="1:25" ht="17.25" customHeight="1">
      <c r="A381" s="88" t="str">
        <f>+IF(BASE!B385="","",BASE!B385)</f>
        <v>23XXR370</v>
      </c>
      <c r="B381" s="121" t="s">
        <v>40</v>
      </c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93"/>
      <c r="R381" s="91">
        <f t="shared" ref="R381:R444" si="18">SUM(C381:Q381)</f>
        <v>0</v>
      </c>
      <c r="S381" s="91">
        <f>BASE!A385</f>
        <v>370</v>
      </c>
      <c r="T381" s="89">
        <f t="shared" ref="T381:T444" si="19">SUMIF($C$11:$Q$11,1,C381:Q381)</f>
        <v>0</v>
      </c>
      <c r="U381" s="89">
        <f t="shared" ref="U381:U444" si="20">SUMIF($C$11:$Q$11,2,C381:Q381)</f>
        <v>0</v>
      </c>
      <c r="V381" s="89">
        <f t="shared" ref="V381:V444" si="21">SUMIF($C$11:$Q$11,3,C381:Q381)</f>
        <v>0</v>
      </c>
      <c r="W381" s="89">
        <f t="shared" ref="W381:W444" si="22">SUMIF($C$11:$Q$11,4,C381:Q381)</f>
        <v>0</v>
      </c>
      <c r="X381" s="89">
        <f t="shared" ref="X381:X444" si="23">SUMIF($C$11:$Q$11,5,C381:Q381)</f>
        <v>0</v>
      </c>
      <c r="Y381" s="28"/>
    </row>
    <row r="382" spans="1:25" ht="17.25" customHeight="1">
      <c r="A382" s="88" t="str">
        <f>+IF(BASE!B386="","",BASE!B386)</f>
        <v>23XXR371</v>
      </c>
      <c r="B382" s="121" t="s">
        <v>40</v>
      </c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93"/>
      <c r="R382" s="91">
        <f t="shared" si="18"/>
        <v>0</v>
      </c>
      <c r="S382" s="91">
        <f>BASE!A386</f>
        <v>371</v>
      </c>
      <c r="T382" s="89">
        <f t="shared" si="19"/>
        <v>0</v>
      </c>
      <c r="U382" s="89">
        <f t="shared" si="20"/>
        <v>0</v>
      </c>
      <c r="V382" s="89">
        <f t="shared" si="21"/>
        <v>0</v>
      </c>
      <c r="W382" s="89">
        <f t="shared" si="22"/>
        <v>0</v>
      </c>
      <c r="X382" s="89">
        <f t="shared" si="23"/>
        <v>0</v>
      </c>
      <c r="Y382" s="28"/>
    </row>
    <row r="383" spans="1:25" ht="17.25" customHeight="1">
      <c r="A383" s="88" t="str">
        <f>+IF(BASE!B387="","",BASE!B387)</f>
        <v>23XXR372</v>
      </c>
      <c r="B383" s="121" t="s">
        <v>40</v>
      </c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93"/>
      <c r="R383" s="91">
        <f t="shared" si="18"/>
        <v>0</v>
      </c>
      <c r="S383" s="91">
        <f>BASE!A387</f>
        <v>372</v>
      </c>
      <c r="T383" s="89">
        <f t="shared" si="19"/>
        <v>0</v>
      </c>
      <c r="U383" s="89">
        <f t="shared" si="20"/>
        <v>0</v>
      </c>
      <c r="V383" s="89">
        <f t="shared" si="21"/>
        <v>0</v>
      </c>
      <c r="W383" s="89">
        <f t="shared" si="22"/>
        <v>0</v>
      </c>
      <c r="X383" s="89">
        <f t="shared" si="23"/>
        <v>0</v>
      </c>
      <c r="Y383" s="28"/>
    </row>
    <row r="384" spans="1:25" ht="17.25" customHeight="1">
      <c r="A384" s="88" t="str">
        <f>+IF(BASE!B388="","",BASE!B388)</f>
        <v>23XXR373</v>
      </c>
      <c r="B384" s="121" t="s">
        <v>40</v>
      </c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93"/>
      <c r="R384" s="91">
        <f t="shared" si="18"/>
        <v>0</v>
      </c>
      <c r="S384" s="91">
        <f>BASE!A388</f>
        <v>373</v>
      </c>
      <c r="T384" s="89">
        <f t="shared" si="19"/>
        <v>0</v>
      </c>
      <c r="U384" s="89">
        <f t="shared" si="20"/>
        <v>0</v>
      </c>
      <c r="V384" s="89">
        <f t="shared" si="21"/>
        <v>0</v>
      </c>
      <c r="W384" s="89">
        <f t="shared" si="22"/>
        <v>0</v>
      </c>
      <c r="X384" s="89">
        <f t="shared" si="23"/>
        <v>0</v>
      </c>
      <c r="Y384" s="28"/>
    </row>
    <row r="385" spans="1:25" ht="17.25" customHeight="1">
      <c r="A385" s="88" t="str">
        <f>+IF(BASE!B389="","",BASE!B389)</f>
        <v>23XXR374</v>
      </c>
      <c r="B385" s="121" t="s">
        <v>40</v>
      </c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93"/>
      <c r="R385" s="91">
        <f t="shared" si="18"/>
        <v>0</v>
      </c>
      <c r="S385" s="91">
        <f>BASE!A389</f>
        <v>374</v>
      </c>
      <c r="T385" s="89">
        <f t="shared" si="19"/>
        <v>0</v>
      </c>
      <c r="U385" s="89">
        <f t="shared" si="20"/>
        <v>0</v>
      </c>
      <c r="V385" s="89">
        <f t="shared" si="21"/>
        <v>0</v>
      </c>
      <c r="W385" s="89">
        <f t="shared" si="22"/>
        <v>0</v>
      </c>
      <c r="X385" s="89">
        <f t="shared" si="23"/>
        <v>0</v>
      </c>
      <c r="Y385" s="28"/>
    </row>
    <row r="386" spans="1:25" ht="17.25" customHeight="1">
      <c r="A386" s="88" t="str">
        <f>+IF(BASE!B390="","",BASE!B390)</f>
        <v>23XXR375</v>
      </c>
      <c r="B386" s="121" t="s">
        <v>40</v>
      </c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93"/>
      <c r="R386" s="91">
        <f t="shared" si="18"/>
        <v>0</v>
      </c>
      <c r="S386" s="91">
        <f>BASE!A390</f>
        <v>375</v>
      </c>
      <c r="T386" s="89">
        <f t="shared" si="19"/>
        <v>0</v>
      </c>
      <c r="U386" s="89">
        <f t="shared" si="20"/>
        <v>0</v>
      </c>
      <c r="V386" s="89">
        <f t="shared" si="21"/>
        <v>0</v>
      </c>
      <c r="W386" s="89">
        <f t="shared" si="22"/>
        <v>0</v>
      </c>
      <c r="X386" s="89">
        <f t="shared" si="23"/>
        <v>0</v>
      </c>
      <c r="Y386" s="28"/>
    </row>
    <row r="387" spans="1:25" ht="17.25" customHeight="1">
      <c r="A387" s="88" t="str">
        <f>+IF(BASE!B391="","",BASE!B391)</f>
        <v>23XXR376</v>
      </c>
      <c r="B387" s="121" t="s">
        <v>40</v>
      </c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93"/>
      <c r="R387" s="91">
        <f t="shared" si="18"/>
        <v>0</v>
      </c>
      <c r="S387" s="91">
        <f>BASE!A391</f>
        <v>376</v>
      </c>
      <c r="T387" s="89">
        <f t="shared" si="19"/>
        <v>0</v>
      </c>
      <c r="U387" s="89">
        <f t="shared" si="20"/>
        <v>0</v>
      </c>
      <c r="V387" s="89">
        <f t="shared" si="21"/>
        <v>0</v>
      </c>
      <c r="W387" s="89">
        <f t="shared" si="22"/>
        <v>0</v>
      </c>
      <c r="X387" s="89">
        <f t="shared" si="23"/>
        <v>0</v>
      </c>
      <c r="Y387" s="28"/>
    </row>
    <row r="388" spans="1:25" ht="17.25" customHeight="1">
      <c r="A388" s="88" t="str">
        <f>+IF(BASE!B392="","",BASE!B392)</f>
        <v>23XXR377</v>
      </c>
      <c r="B388" s="121" t="s">
        <v>40</v>
      </c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93"/>
      <c r="R388" s="91">
        <f t="shared" si="18"/>
        <v>0</v>
      </c>
      <c r="S388" s="91">
        <f>BASE!A392</f>
        <v>377</v>
      </c>
      <c r="T388" s="89">
        <f t="shared" si="19"/>
        <v>0</v>
      </c>
      <c r="U388" s="89">
        <f t="shared" si="20"/>
        <v>0</v>
      </c>
      <c r="V388" s="89">
        <f t="shared" si="21"/>
        <v>0</v>
      </c>
      <c r="W388" s="89">
        <f t="shared" si="22"/>
        <v>0</v>
      </c>
      <c r="X388" s="89">
        <f t="shared" si="23"/>
        <v>0</v>
      </c>
      <c r="Y388" s="28"/>
    </row>
    <row r="389" spans="1:25" ht="17.25" customHeight="1">
      <c r="A389" s="88" t="str">
        <f>+IF(BASE!B393="","",BASE!B393)</f>
        <v>23XXR378</v>
      </c>
      <c r="B389" s="121" t="s">
        <v>40</v>
      </c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93"/>
      <c r="R389" s="91">
        <f t="shared" si="18"/>
        <v>0</v>
      </c>
      <c r="S389" s="91">
        <f>BASE!A393</f>
        <v>378</v>
      </c>
      <c r="T389" s="89">
        <f t="shared" si="19"/>
        <v>0</v>
      </c>
      <c r="U389" s="89">
        <f t="shared" si="20"/>
        <v>0</v>
      </c>
      <c r="V389" s="89">
        <f t="shared" si="21"/>
        <v>0</v>
      </c>
      <c r="W389" s="89">
        <f t="shared" si="22"/>
        <v>0</v>
      </c>
      <c r="X389" s="89">
        <f t="shared" si="23"/>
        <v>0</v>
      </c>
      <c r="Y389" s="28"/>
    </row>
    <row r="390" spans="1:25" ht="17.25" customHeight="1">
      <c r="A390" s="88" t="str">
        <f>+IF(BASE!B394="","",BASE!B394)</f>
        <v>23XXR379</v>
      </c>
      <c r="B390" s="121" t="s">
        <v>40</v>
      </c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93"/>
      <c r="R390" s="91">
        <f t="shared" si="18"/>
        <v>0</v>
      </c>
      <c r="S390" s="91">
        <f>BASE!A394</f>
        <v>379</v>
      </c>
      <c r="T390" s="89">
        <f t="shared" si="19"/>
        <v>0</v>
      </c>
      <c r="U390" s="89">
        <f t="shared" si="20"/>
        <v>0</v>
      </c>
      <c r="V390" s="89">
        <f t="shared" si="21"/>
        <v>0</v>
      </c>
      <c r="W390" s="89">
        <f t="shared" si="22"/>
        <v>0</v>
      </c>
      <c r="X390" s="89">
        <f t="shared" si="23"/>
        <v>0</v>
      </c>
      <c r="Y390" s="28"/>
    </row>
    <row r="391" spans="1:25" ht="17.25" customHeight="1">
      <c r="A391" s="88" t="str">
        <f>+IF(BASE!B395="","",BASE!B395)</f>
        <v>23XXR380</v>
      </c>
      <c r="B391" s="121" t="s">
        <v>40</v>
      </c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93"/>
      <c r="R391" s="91">
        <f t="shared" si="18"/>
        <v>0</v>
      </c>
      <c r="S391" s="91">
        <f>BASE!A395</f>
        <v>380</v>
      </c>
      <c r="T391" s="89">
        <f t="shared" si="19"/>
        <v>0</v>
      </c>
      <c r="U391" s="89">
        <f t="shared" si="20"/>
        <v>0</v>
      </c>
      <c r="V391" s="89">
        <f t="shared" si="21"/>
        <v>0</v>
      </c>
      <c r="W391" s="89">
        <f t="shared" si="22"/>
        <v>0</v>
      </c>
      <c r="X391" s="89">
        <f t="shared" si="23"/>
        <v>0</v>
      </c>
      <c r="Y391" s="28"/>
    </row>
    <row r="392" spans="1:25" ht="17.25" customHeight="1">
      <c r="A392" s="88" t="str">
        <f>+IF(BASE!B396="","",BASE!B396)</f>
        <v>23XXR381</v>
      </c>
      <c r="B392" s="121" t="s">
        <v>40</v>
      </c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93"/>
      <c r="R392" s="91">
        <f t="shared" si="18"/>
        <v>0</v>
      </c>
      <c r="S392" s="91">
        <f>BASE!A396</f>
        <v>381</v>
      </c>
      <c r="T392" s="89">
        <f t="shared" si="19"/>
        <v>0</v>
      </c>
      <c r="U392" s="89">
        <f t="shared" si="20"/>
        <v>0</v>
      </c>
      <c r="V392" s="89">
        <f t="shared" si="21"/>
        <v>0</v>
      </c>
      <c r="W392" s="89">
        <f t="shared" si="22"/>
        <v>0</v>
      </c>
      <c r="X392" s="89">
        <f t="shared" si="23"/>
        <v>0</v>
      </c>
      <c r="Y392" s="28"/>
    </row>
    <row r="393" spans="1:25" ht="17.25" customHeight="1">
      <c r="A393" s="88" t="str">
        <f>+IF(BASE!B397="","",BASE!B397)</f>
        <v>23XXR382</v>
      </c>
      <c r="B393" s="121" t="s">
        <v>40</v>
      </c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93"/>
      <c r="R393" s="91">
        <f t="shared" si="18"/>
        <v>0</v>
      </c>
      <c r="S393" s="91">
        <f>BASE!A397</f>
        <v>382</v>
      </c>
      <c r="T393" s="89">
        <f t="shared" si="19"/>
        <v>0</v>
      </c>
      <c r="U393" s="89">
        <f t="shared" si="20"/>
        <v>0</v>
      </c>
      <c r="V393" s="89">
        <f t="shared" si="21"/>
        <v>0</v>
      </c>
      <c r="W393" s="89">
        <f t="shared" si="22"/>
        <v>0</v>
      </c>
      <c r="X393" s="89">
        <f t="shared" si="23"/>
        <v>0</v>
      </c>
      <c r="Y393" s="28"/>
    </row>
    <row r="394" spans="1:25" ht="17.25" customHeight="1">
      <c r="A394" s="88" t="str">
        <f>+IF(BASE!B398="","",BASE!B398)</f>
        <v>23XXR383</v>
      </c>
      <c r="B394" s="121" t="s">
        <v>40</v>
      </c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93"/>
      <c r="R394" s="91">
        <f t="shared" si="18"/>
        <v>0</v>
      </c>
      <c r="S394" s="91">
        <f>BASE!A398</f>
        <v>383</v>
      </c>
      <c r="T394" s="89">
        <f t="shared" si="19"/>
        <v>0</v>
      </c>
      <c r="U394" s="89">
        <f t="shared" si="20"/>
        <v>0</v>
      </c>
      <c r="V394" s="89">
        <f t="shared" si="21"/>
        <v>0</v>
      </c>
      <c r="W394" s="89">
        <f t="shared" si="22"/>
        <v>0</v>
      </c>
      <c r="X394" s="89">
        <f t="shared" si="23"/>
        <v>0</v>
      </c>
      <c r="Y394" s="28"/>
    </row>
    <row r="395" spans="1:25" ht="17.25" customHeight="1">
      <c r="A395" s="88" t="str">
        <f>+IF(BASE!B399="","",BASE!B399)</f>
        <v>23XXR384</v>
      </c>
      <c r="B395" s="121" t="s">
        <v>40</v>
      </c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93"/>
      <c r="R395" s="91">
        <f t="shared" si="18"/>
        <v>0</v>
      </c>
      <c r="S395" s="91">
        <f>BASE!A399</f>
        <v>384</v>
      </c>
      <c r="T395" s="89">
        <f t="shared" si="19"/>
        <v>0</v>
      </c>
      <c r="U395" s="89">
        <f t="shared" si="20"/>
        <v>0</v>
      </c>
      <c r="V395" s="89">
        <f t="shared" si="21"/>
        <v>0</v>
      </c>
      <c r="W395" s="89">
        <f t="shared" si="22"/>
        <v>0</v>
      </c>
      <c r="X395" s="89">
        <f t="shared" si="23"/>
        <v>0</v>
      </c>
      <c r="Y395" s="28"/>
    </row>
    <row r="396" spans="1:25" ht="17.25" customHeight="1">
      <c r="A396" s="88" t="str">
        <f>+IF(BASE!B400="","",BASE!B400)</f>
        <v>23XXR385</v>
      </c>
      <c r="B396" s="121" t="s">
        <v>40</v>
      </c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93"/>
      <c r="R396" s="91">
        <f t="shared" si="18"/>
        <v>0</v>
      </c>
      <c r="S396" s="91">
        <f>BASE!A400</f>
        <v>385</v>
      </c>
      <c r="T396" s="89">
        <f t="shared" si="19"/>
        <v>0</v>
      </c>
      <c r="U396" s="89">
        <f t="shared" si="20"/>
        <v>0</v>
      </c>
      <c r="V396" s="89">
        <f t="shared" si="21"/>
        <v>0</v>
      </c>
      <c r="W396" s="89">
        <f t="shared" si="22"/>
        <v>0</v>
      </c>
      <c r="X396" s="89">
        <f t="shared" si="23"/>
        <v>0</v>
      </c>
      <c r="Y396" s="28"/>
    </row>
    <row r="397" spans="1:25" ht="17.25" customHeight="1">
      <c r="A397" s="88" t="str">
        <f>+IF(BASE!B401="","",BASE!B401)</f>
        <v>23XXR386</v>
      </c>
      <c r="B397" s="121" t="s">
        <v>40</v>
      </c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93"/>
      <c r="R397" s="91">
        <f t="shared" si="18"/>
        <v>0</v>
      </c>
      <c r="S397" s="91">
        <f>BASE!A401</f>
        <v>386</v>
      </c>
      <c r="T397" s="89">
        <f t="shared" si="19"/>
        <v>0</v>
      </c>
      <c r="U397" s="89">
        <f t="shared" si="20"/>
        <v>0</v>
      </c>
      <c r="V397" s="89">
        <f t="shared" si="21"/>
        <v>0</v>
      </c>
      <c r="W397" s="89">
        <f t="shared" si="22"/>
        <v>0</v>
      </c>
      <c r="X397" s="89">
        <f t="shared" si="23"/>
        <v>0</v>
      </c>
      <c r="Y397" s="28"/>
    </row>
    <row r="398" spans="1:25" ht="17.25" customHeight="1">
      <c r="A398" s="88" t="str">
        <f>+IF(BASE!B402="","",BASE!B402)</f>
        <v>23XXR387</v>
      </c>
      <c r="B398" s="121" t="s">
        <v>40</v>
      </c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93"/>
      <c r="R398" s="91">
        <f t="shared" si="18"/>
        <v>0</v>
      </c>
      <c r="S398" s="91">
        <f>BASE!A402</f>
        <v>387</v>
      </c>
      <c r="T398" s="89">
        <f t="shared" si="19"/>
        <v>0</v>
      </c>
      <c r="U398" s="89">
        <f t="shared" si="20"/>
        <v>0</v>
      </c>
      <c r="V398" s="89">
        <f t="shared" si="21"/>
        <v>0</v>
      </c>
      <c r="W398" s="89">
        <f t="shared" si="22"/>
        <v>0</v>
      </c>
      <c r="X398" s="89">
        <f t="shared" si="23"/>
        <v>0</v>
      </c>
      <c r="Y398" s="28"/>
    </row>
    <row r="399" spans="1:25" ht="17.25" customHeight="1">
      <c r="A399" s="88" t="str">
        <f>+IF(BASE!B403="","",BASE!B403)</f>
        <v>23XXR388</v>
      </c>
      <c r="B399" s="121" t="s">
        <v>40</v>
      </c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93"/>
      <c r="R399" s="91">
        <f t="shared" si="18"/>
        <v>0</v>
      </c>
      <c r="S399" s="91">
        <f>BASE!A403</f>
        <v>388</v>
      </c>
      <c r="T399" s="89">
        <f t="shared" si="19"/>
        <v>0</v>
      </c>
      <c r="U399" s="89">
        <f t="shared" si="20"/>
        <v>0</v>
      </c>
      <c r="V399" s="89">
        <f t="shared" si="21"/>
        <v>0</v>
      </c>
      <c r="W399" s="89">
        <f t="shared" si="22"/>
        <v>0</v>
      </c>
      <c r="X399" s="89">
        <f t="shared" si="23"/>
        <v>0</v>
      </c>
      <c r="Y399" s="28"/>
    </row>
    <row r="400" spans="1:25" ht="17.25" customHeight="1">
      <c r="A400" s="88" t="str">
        <f>+IF(BASE!B404="","",BASE!B404)</f>
        <v>23XXR389</v>
      </c>
      <c r="B400" s="121" t="s">
        <v>40</v>
      </c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93"/>
      <c r="R400" s="91">
        <f t="shared" si="18"/>
        <v>0</v>
      </c>
      <c r="S400" s="91">
        <f>BASE!A404</f>
        <v>389</v>
      </c>
      <c r="T400" s="89">
        <f t="shared" si="19"/>
        <v>0</v>
      </c>
      <c r="U400" s="89">
        <f t="shared" si="20"/>
        <v>0</v>
      </c>
      <c r="V400" s="89">
        <f t="shared" si="21"/>
        <v>0</v>
      </c>
      <c r="W400" s="89">
        <f t="shared" si="22"/>
        <v>0</v>
      </c>
      <c r="X400" s="89">
        <f t="shared" si="23"/>
        <v>0</v>
      </c>
      <c r="Y400" s="28"/>
    </row>
    <row r="401" spans="1:25" ht="17.25" customHeight="1">
      <c r="A401" s="88" t="str">
        <f>+IF(BASE!B405="","",BASE!B405)</f>
        <v>23XXR390</v>
      </c>
      <c r="B401" s="121" t="s">
        <v>40</v>
      </c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93"/>
      <c r="R401" s="91">
        <f t="shared" si="18"/>
        <v>0</v>
      </c>
      <c r="S401" s="91">
        <f>BASE!A405</f>
        <v>390</v>
      </c>
      <c r="T401" s="89">
        <f t="shared" si="19"/>
        <v>0</v>
      </c>
      <c r="U401" s="89">
        <f t="shared" si="20"/>
        <v>0</v>
      </c>
      <c r="V401" s="89">
        <f t="shared" si="21"/>
        <v>0</v>
      </c>
      <c r="W401" s="89">
        <f t="shared" si="22"/>
        <v>0</v>
      </c>
      <c r="X401" s="89">
        <f t="shared" si="23"/>
        <v>0</v>
      </c>
      <c r="Y401" s="28"/>
    </row>
    <row r="402" spans="1:25" ht="17.25" customHeight="1">
      <c r="A402" s="88" t="str">
        <f>+IF(BASE!B406="","",BASE!B406)</f>
        <v>23XXR391</v>
      </c>
      <c r="B402" s="121" t="s">
        <v>40</v>
      </c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93"/>
      <c r="R402" s="91">
        <f t="shared" si="18"/>
        <v>0</v>
      </c>
      <c r="S402" s="91">
        <f>BASE!A406</f>
        <v>391</v>
      </c>
      <c r="T402" s="89">
        <f t="shared" si="19"/>
        <v>0</v>
      </c>
      <c r="U402" s="89">
        <f t="shared" si="20"/>
        <v>0</v>
      </c>
      <c r="V402" s="89">
        <f t="shared" si="21"/>
        <v>0</v>
      </c>
      <c r="W402" s="89">
        <f t="shared" si="22"/>
        <v>0</v>
      </c>
      <c r="X402" s="89">
        <f t="shared" si="23"/>
        <v>0</v>
      </c>
      <c r="Y402" s="28"/>
    </row>
    <row r="403" spans="1:25" ht="17.25" customHeight="1">
      <c r="A403" s="88" t="str">
        <f>+IF(BASE!B407="","",BASE!B407)</f>
        <v>23XXR392</v>
      </c>
      <c r="B403" s="121" t="s">
        <v>40</v>
      </c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93"/>
      <c r="R403" s="91">
        <f t="shared" si="18"/>
        <v>0</v>
      </c>
      <c r="S403" s="91">
        <f>BASE!A407</f>
        <v>392</v>
      </c>
      <c r="T403" s="89">
        <f t="shared" si="19"/>
        <v>0</v>
      </c>
      <c r="U403" s="89">
        <f t="shared" si="20"/>
        <v>0</v>
      </c>
      <c r="V403" s="89">
        <f t="shared" si="21"/>
        <v>0</v>
      </c>
      <c r="W403" s="89">
        <f t="shared" si="22"/>
        <v>0</v>
      </c>
      <c r="X403" s="89">
        <f t="shared" si="23"/>
        <v>0</v>
      </c>
      <c r="Y403" s="28"/>
    </row>
    <row r="404" spans="1:25" ht="17.25" customHeight="1">
      <c r="A404" s="88" t="str">
        <f>+IF(BASE!B408="","",BASE!B408)</f>
        <v>23XXR393</v>
      </c>
      <c r="B404" s="121" t="s">
        <v>40</v>
      </c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93"/>
      <c r="R404" s="91">
        <f t="shared" si="18"/>
        <v>0</v>
      </c>
      <c r="S404" s="91">
        <f>BASE!A408</f>
        <v>393</v>
      </c>
      <c r="T404" s="89">
        <f t="shared" si="19"/>
        <v>0</v>
      </c>
      <c r="U404" s="89">
        <f t="shared" si="20"/>
        <v>0</v>
      </c>
      <c r="V404" s="89">
        <f t="shared" si="21"/>
        <v>0</v>
      </c>
      <c r="W404" s="89">
        <f t="shared" si="22"/>
        <v>0</v>
      </c>
      <c r="X404" s="89">
        <f t="shared" si="23"/>
        <v>0</v>
      </c>
      <c r="Y404" s="28"/>
    </row>
    <row r="405" spans="1:25" ht="17.25" customHeight="1">
      <c r="A405" s="88" t="str">
        <f>+IF(BASE!B409="","",BASE!B409)</f>
        <v>23XXR394</v>
      </c>
      <c r="B405" s="121" t="s">
        <v>40</v>
      </c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93"/>
      <c r="R405" s="91">
        <f t="shared" si="18"/>
        <v>0</v>
      </c>
      <c r="S405" s="91">
        <f>BASE!A409</f>
        <v>394</v>
      </c>
      <c r="T405" s="89">
        <f t="shared" si="19"/>
        <v>0</v>
      </c>
      <c r="U405" s="89">
        <f t="shared" si="20"/>
        <v>0</v>
      </c>
      <c r="V405" s="89">
        <f t="shared" si="21"/>
        <v>0</v>
      </c>
      <c r="W405" s="89">
        <f t="shared" si="22"/>
        <v>0</v>
      </c>
      <c r="X405" s="89">
        <f t="shared" si="23"/>
        <v>0</v>
      </c>
      <c r="Y405" s="28"/>
    </row>
    <row r="406" spans="1:25" ht="17.25" customHeight="1">
      <c r="A406" s="88" t="str">
        <f>+IF(BASE!B410="","",BASE!B410)</f>
        <v>23XXR395</v>
      </c>
      <c r="B406" s="121" t="s">
        <v>40</v>
      </c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93"/>
      <c r="R406" s="91">
        <f t="shared" si="18"/>
        <v>0</v>
      </c>
      <c r="S406" s="91">
        <f>BASE!A410</f>
        <v>395</v>
      </c>
      <c r="T406" s="89">
        <f t="shared" si="19"/>
        <v>0</v>
      </c>
      <c r="U406" s="89">
        <f t="shared" si="20"/>
        <v>0</v>
      </c>
      <c r="V406" s="89">
        <f t="shared" si="21"/>
        <v>0</v>
      </c>
      <c r="W406" s="89">
        <f t="shared" si="22"/>
        <v>0</v>
      </c>
      <c r="X406" s="89">
        <f t="shared" si="23"/>
        <v>0</v>
      </c>
      <c r="Y406" s="28"/>
    </row>
    <row r="407" spans="1:25" ht="17.25" customHeight="1">
      <c r="A407" s="88" t="str">
        <f>+IF(BASE!B411="","",BASE!B411)</f>
        <v>23XXR396</v>
      </c>
      <c r="B407" s="121" t="s">
        <v>40</v>
      </c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93"/>
      <c r="R407" s="91">
        <f t="shared" si="18"/>
        <v>0</v>
      </c>
      <c r="S407" s="91">
        <f>BASE!A411</f>
        <v>396</v>
      </c>
      <c r="T407" s="89">
        <f t="shared" si="19"/>
        <v>0</v>
      </c>
      <c r="U407" s="89">
        <f t="shared" si="20"/>
        <v>0</v>
      </c>
      <c r="V407" s="89">
        <f t="shared" si="21"/>
        <v>0</v>
      </c>
      <c r="W407" s="89">
        <f t="shared" si="22"/>
        <v>0</v>
      </c>
      <c r="X407" s="89">
        <f t="shared" si="23"/>
        <v>0</v>
      </c>
      <c r="Y407" s="28"/>
    </row>
    <row r="408" spans="1:25" ht="17.25" customHeight="1">
      <c r="A408" s="88" t="str">
        <f>+IF(BASE!B412="","",BASE!B412)</f>
        <v>23XXR397</v>
      </c>
      <c r="B408" s="121" t="s">
        <v>40</v>
      </c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93"/>
      <c r="R408" s="91">
        <f t="shared" si="18"/>
        <v>0</v>
      </c>
      <c r="S408" s="91">
        <f>BASE!A412</f>
        <v>397</v>
      </c>
      <c r="T408" s="89">
        <f t="shared" si="19"/>
        <v>0</v>
      </c>
      <c r="U408" s="89">
        <f t="shared" si="20"/>
        <v>0</v>
      </c>
      <c r="V408" s="89">
        <f t="shared" si="21"/>
        <v>0</v>
      </c>
      <c r="W408" s="89">
        <f t="shared" si="22"/>
        <v>0</v>
      </c>
      <c r="X408" s="89">
        <f t="shared" si="23"/>
        <v>0</v>
      </c>
      <c r="Y408" s="28"/>
    </row>
    <row r="409" spans="1:25" ht="17.25" customHeight="1">
      <c r="A409" s="88" t="str">
        <f>+IF(BASE!B413="","",BASE!B413)</f>
        <v>23XXR398</v>
      </c>
      <c r="B409" s="121" t="s">
        <v>40</v>
      </c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93"/>
      <c r="R409" s="91">
        <f t="shared" si="18"/>
        <v>0</v>
      </c>
      <c r="S409" s="91">
        <f>BASE!A413</f>
        <v>398</v>
      </c>
      <c r="T409" s="89">
        <f t="shared" si="19"/>
        <v>0</v>
      </c>
      <c r="U409" s="89">
        <f t="shared" si="20"/>
        <v>0</v>
      </c>
      <c r="V409" s="89">
        <f t="shared" si="21"/>
        <v>0</v>
      </c>
      <c r="W409" s="89">
        <f t="shared" si="22"/>
        <v>0</v>
      </c>
      <c r="X409" s="89">
        <f t="shared" si="23"/>
        <v>0</v>
      </c>
      <c r="Y409" s="28"/>
    </row>
    <row r="410" spans="1:25" ht="17.25" customHeight="1">
      <c r="A410" s="88" t="str">
        <f>+IF(BASE!B414="","",BASE!B414)</f>
        <v>23XXR399</v>
      </c>
      <c r="B410" s="121" t="s">
        <v>40</v>
      </c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93"/>
      <c r="R410" s="91">
        <f t="shared" si="18"/>
        <v>0</v>
      </c>
      <c r="S410" s="91">
        <f>BASE!A414</f>
        <v>399</v>
      </c>
      <c r="T410" s="89">
        <f t="shared" si="19"/>
        <v>0</v>
      </c>
      <c r="U410" s="89">
        <f t="shared" si="20"/>
        <v>0</v>
      </c>
      <c r="V410" s="89">
        <f t="shared" si="21"/>
        <v>0</v>
      </c>
      <c r="W410" s="89">
        <f t="shared" si="22"/>
        <v>0</v>
      </c>
      <c r="X410" s="89">
        <f t="shared" si="23"/>
        <v>0</v>
      </c>
      <c r="Y410" s="28"/>
    </row>
    <row r="411" spans="1:25" ht="17.25" customHeight="1">
      <c r="A411" s="88" t="str">
        <f>+IF(BASE!B415="","",BASE!B415)</f>
        <v>23XXR400</v>
      </c>
      <c r="B411" s="121" t="s">
        <v>40</v>
      </c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93"/>
      <c r="R411" s="91">
        <f t="shared" si="18"/>
        <v>0</v>
      </c>
      <c r="S411" s="91">
        <f>BASE!A415</f>
        <v>400</v>
      </c>
      <c r="T411" s="89">
        <f t="shared" si="19"/>
        <v>0</v>
      </c>
      <c r="U411" s="89">
        <f t="shared" si="20"/>
        <v>0</v>
      </c>
      <c r="V411" s="89">
        <f t="shared" si="21"/>
        <v>0</v>
      </c>
      <c r="W411" s="89">
        <f t="shared" si="22"/>
        <v>0</v>
      </c>
      <c r="X411" s="89">
        <f t="shared" si="23"/>
        <v>0</v>
      </c>
      <c r="Y411" s="28"/>
    </row>
    <row r="412" spans="1:25" ht="17.25" customHeight="1">
      <c r="A412" s="88" t="str">
        <f>+IF(BASE!B416="","",BASE!B416)</f>
        <v>23XXR401</v>
      </c>
      <c r="B412" s="121" t="s">
        <v>40</v>
      </c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93"/>
      <c r="R412" s="91">
        <f t="shared" si="18"/>
        <v>0</v>
      </c>
      <c r="S412" s="91">
        <f>BASE!A416</f>
        <v>401</v>
      </c>
      <c r="T412" s="89">
        <f t="shared" si="19"/>
        <v>0</v>
      </c>
      <c r="U412" s="89">
        <f t="shared" si="20"/>
        <v>0</v>
      </c>
      <c r="V412" s="89">
        <f t="shared" si="21"/>
        <v>0</v>
      </c>
      <c r="W412" s="89">
        <f t="shared" si="22"/>
        <v>0</v>
      </c>
      <c r="X412" s="89">
        <f t="shared" si="23"/>
        <v>0</v>
      </c>
      <c r="Y412" s="28"/>
    </row>
    <row r="413" spans="1:25" ht="17.25" customHeight="1">
      <c r="A413" s="88" t="str">
        <f>+IF(BASE!B417="","",BASE!B417)</f>
        <v>23XXR402</v>
      </c>
      <c r="B413" s="121" t="s">
        <v>40</v>
      </c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93"/>
      <c r="R413" s="91">
        <f t="shared" si="18"/>
        <v>0</v>
      </c>
      <c r="S413" s="91">
        <f>BASE!A417</f>
        <v>402</v>
      </c>
      <c r="T413" s="89">
        <f t="shared" si="19"/>
        <v>0</v>
      </c>
      <c r="U413" s="89">
        <f t="shared" si="20"/>
        <v>0</v>
      </c>
      <c r="V413" s="89">
        <f t="shared" si="21"/>
        <v>0</v>
      </c>
      <c r="W413" s="89">
        <f t="shared" si="22"/>
        <v>0</v>
      </c>
      <c r="X413" s="89">
        <f t="shared" si="23"/>
        <v>0</v>
      </c>
      <c r="Y413" s="28"/>
    </row>
    <row r="414" spans="1:25" ht="17.25" customHeight="1">
      <c r="A414" s="88" t="str">
        <f>+IF(BASE!B418="","",BASE!B418)</f>
        <v>23XXR403</v>
      </c>
      <c r="B414" s="121" t="s">
        <v>40</v>
      </c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93"/>
      <c r="R414" s="91">
        <f t="shared" si="18"/>
        <v>0</v>
      </c>
      <c r="S414" s="91">
        <f>BASE!A418</f>
        <v>403</v>
      </c>
      <c r="T414" s="89">
        <f t="shared" si="19"/>
        <v>0</v>
      </c>
      <c r="U414" s="89">
        <f t="shared" si="20"/>
        <v>0</v>
      </c>
      <c r="V414" s="89">
        <f t="shared" si="21"/>
        <v>0</v>
      </c>
      <c r="W414" s="89">
        <f t="shared" si="22"/>
        <v>0</v>
      </c>
      <c r="X414" s="89">
        <f t="shared" si="23"/>
        <v>0</v>
      </c>
      <c r="Y414" s="28"/>
    </row>
    <row r="415" spans="1:25" ht="17.25" customHeight="1">
      <c r="A415" s="88" t="str">
        <f>+IF(BASE!B419="","",BASE!B419)</f>
        <v>23XXR404</v>
      </c>
      <c r="B415" s="121" t="s">
        <v>40</v>
      </c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93"/>
      <c r="R415" s="91">
        <f t="shared" si="18"/>
        <v>0</v>
      </c>
      <c r="S415" s="91">
        <f>BASE!A419</f>
        <v>404</v>
      </c>
      <c r="T415" s="89">
        <f t="shared" si="19"/>
        <v>0</v>
      </c>
      <c r="U415" s="89">
        <f t="shared" si="20"/>
        <v>0</v>
      </c>
      <c r="V415" s="89">
        <f t="shared" si="21"/>
        <v>0</v>
      </c>
      <c r="W415" s="89">
        <f t="shared" si="22"/>
        <v>0</v>
      </c>
      <c r="X415" s="89">
        <f t="shared" si="23"/>
        <v>0</v>
      </c>
      <c r="Y415" s="28"/>
    </row>
    <row r="416" spans="1:25" ht="17.25" customHeight="1">
      <c r="A416" s="88" t="str">
        <f>+IF(BASE!B420="","",BASE!B420)</f>
        <v>23XXR405</v>
      </c>
      <c r="B416" s="121" t="s">
        <v>40</v>
      </c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93"/>
      <c r="R416" s="91">
        <f t="shared" si="18"/>
        <v>0</v>
      </c>
      <c r="S416" s="91">
        <f>BASE!A420</f>
        <v>405</v>
      </c>
      <c r="T416" s="89">
        <f t="shared" si="19"/>
        <v>0</v>
      </c>
      <c r="U416" s="89">
        <f t="shared" si="20"/>
        <v>0</v>
      </c>
      <c r="V416" s="89">
        <f t="shared" si="21"/>
        <v>0</v>
      </c>
      <c r="W416" s="89">
        <f t="shared" si="22"/>
        <v>0</v>
      </c>
      <c r="X416" s="89">
        <f t="shared" si="23"/>
        <v>0</v>
      </c>
      <c r="Y416" s="28"/>
    </row>
    <row r="417" spans="1:25" ht="17.25" customHeight="1">
      <c r="A417" s="88" t="str">
        <f>+IF(BASE!B421="","",BASE!B421)</f>
        <v>23XXR406</v>
      </c>
      <c r="B417" s="121" t="s">
        <v>40</v>
      </c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93"/>
      <c r="R417" s="91">
        <f t="shared" si="18"/>
        <v>0</v>
      </c>
      <c r="S417" s="91">
        <f>BASE!A421</f>
        <v>406</v>
      </c>
      <c r="T417" s="89">
        <f t="shared" si="19"/>
        <v>0</v>
      </c>
      <c r="U417" s="89">
        <f t="shared" si="20"/>
        <v>0</v>
      </c>
      <c r="V417" s="89">
        <f t="shared" si="21"/>
        <v>0</v>
      </c>
      <c r="W417" s="89">
        <f t="shared" si="22"/>
        <v>0</v>
      </c>
      <c r="X417" s="89">
        <f t="shared" si="23"/>
        <v>0</v>
      </c>
      <c r="Y417" s="28"/>
    </row>
    <row r="418" spans="1:25" ht="17.25" customHeight="1">
      <c r="A418" s="88" t="str">
        <f>+IF(BASE!B422="","",BASE!B422)</f>
        <v>23XXR407</v>
      </c>
      <c r="B418" s="121" t="s">
        <v>40</v>
      </c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93"/>
      <c r="R418" s="91">
        <f t="shared" si="18"/>
        <v>0</v>
      </c>
      <c r="S418" s="91">
        <f>BASE!A422</f>
        <v>407</v>
      </c>
      <c r="T418" s="89">
        <f t="shared" si="19"/>
        <v>0</v>
      </c>
      <c r="U418" s="89">
        <f t="shared" si="20"/>
        <v>0</v>
      </c>
      <c r="V418" s="89">
        <f t="shared" si="21"/>
        <v>0</v>
      </c>
      <c r="W418" s="89">
        <f t="shared" si="22"/>
        <v>0</v>
      </c>
      <c r="X418" s="89">
        <f t="shared" si="23"/>
        <v>0</v>
      </c>
      <c r="Y418" s="28"/>
    </row>
    <row r="419" spans="1:25" ht="17.25" customHeight="1">
      <c r="A419" s="88" t="str">
        <f>+IF(BASE!B423="","",BASE!B423)</f>
        <v>23XXR408</v>
      </c>
      <c r="B419" s="121" t="s">
        <v>40</v>
      </c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93"/>
      <c r="R419" s="91">
        <f t="shared" si="18"/>
        <v>0</v>
      </c>
      <c r="S419" s="91">
        <f>BASE!A423</f>
        <v>408</v>
      </c>
      <c r="T419" s="89">
        <f t="shared" si="19"/>
        <v>0</v>
      </c>
      <c r="U419" s="89">
        <f t="shared" si="20"/>
        <v>0</v>
      </c>
      <c r="V419" s="89">
        <f t="shared" si="21"/>
        <v>0</v>
      </c>
      <c r="W419" s="89">
        <f t="shared" si="22"/>
        <v>0</v>
      </c>
      <c r="X419" s="89">
        <f t="shared" si="23"/>
        <v>0</v>
      </c>
      <c r="Y419" s="28"/>
    </row>
    <row r="420" spans="1:25" ht="17.25" customHeight="1">
      <c r="A420" s="88" t="str">
        <f>+IF(BASE!B424="","",BASE!B424)</f>
        <v>23XXR409</v>
      </c>
      <c r="B420" s="121" t="s">
        <v>40</v>
      </c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93"/>
      <c r="R420" s="91">
        <f t="shared" si="18"/>
        <v>0</v>
      </c>
      <c r="S420" s="91">
        <f>BASE!A424</f>
        <v>409</v>
      </c>
      <c r="T420" s="89">
        <f t="shared" si="19"/>
        <v>0</v>
      </c>
      <c r="U420" s="89">
        <f t="shared" si="20"/>
        <v>0</v>
      </c>
      <c r="V420" s="89">
        <f t="shared" si="21"/>
        <v>0</v>
      </c>
      <c r="W420" s="89">
        <f t="shared" si="22"/>
        <v>0</v>
      </c>
      <c r="X420" s="89">
        <f t="shared" si="23"/>
        <v>0</v>
      </c>
      <c r="Y420" s="28"/>
    </row>
    <row r="421" spans="1:25" ht="17.25" customHeight="1">
      <c r="A421" s="88" t="str">
        <f>+IF(BASE!B425="","",BASE!B425)</f>
        <v>23XXR410</v>
      </c>
      <c r="B421" s="121" t="s">
        <v>40</v>
      </c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93"/>
      <c r="R421" s="91">
        <f t="shared" si="18"/>
        <v>0</v>
      </c>
      <c r="S421" s="91">
        <f>BASE!A425</f>
        <v>410</v>
      </c>
      <c r="T421" s="89">
        <f t="shared" si="19"/>
        <v>0</v>
      </c>
      <c r="U421" s="89">
        <f t="shared" si="20"/>
        <v>0</v>
      </c>
      <c r="V421" s="89">
        <f t="shared" si="21"/>
        <v>0</v>
      </c>
      <c r="W421" s="89">
        <f t="shared" si="22"/>
        <v>0</v>
      </c>
      <c r="X421" s="89">
        <f t="shared" si="23"/>
        <v>0</v>
      </c>
      <c r="Y421" s="28"/>
    </row>
    <row r="422" spans="1:25" ht="17.25" customHeight="1">
      <c r="A422" s="88" t="str">
        <f>+IF(BASE!B426="","",BASE!B426)</f>
        <v>23XXR411</v>
      </c>
      <c r="B422" s="121" t="s">
        <v>40</v>
      </c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93"/>
      <c r="R422" s="91">
        <f t="shared" si="18"/>
        <v>0</v>
      </c>
      <c r="S422" s="91">
        <f>BASE!A426</f>
        <v>411</v>
      </c>
      <c r="T422" s="89">
        <f t="shared" si="19"/>
        <v>0</v>
      </c>
      <c r="U422" s="89">
        <f t="shared" si="20"/>
        <v>0</v>
      </c>
      <c r="V422" s="89">
        <f t="shared" si="21"/>
        <v>0</v>
      </c>
      <c r="W422" s="89">
        <f t="shared" si="22"/>
        <v>0</v>
      </c>
      <c r="X422" s="89">
        <f t="shared" si="23"/>
        <v>0</v>
      </c>
      <c r="Y422" s="28"/>
    </row>
    <row r="423" spans="1:25" ht="17.25" customHeight="1">
      <c r="A423" s="88" t="str">
        <f>+IF(BASE!B427="","",BASE!B427)</f>
        <v>23XXR412</v>
      </c>
      <c r="B423" s="121" t="s">
        <v>40</v>
      </c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93"/>
      <c r="R423" s="91">
        <f t="shared" si="18"/>
        <v>0</v>
      </c>
      <c r="S423" s="91">
        <f>BASE!A427</f>
        <v>412</v>
      </c>
      <c r="T423" s="89">
        <f t="shared" si="19"/>
        <v>0</v>
      </c>
      <c r="U423" s="89">
        <f t="shared" si="20"/>
        <v>0</v>
      </c>
      <c r="V423" s="89">
        <f t="shared" si="21"/>
        <v>0</v>
      </c>
      <c r="W423" s="89">
        <f t="shared" si="22"/>
        <v>0</v>
      </c>
      <c r="X423" s="89">
        <f t="shared" si="23"/>
        <v>0</v>
      </c>
      <c r="Y423" s="28"/>
    </row>
    <row r="424" spans="1:25" ht="17.25" customHeight="1">
      <c r="A424" s="88" t="str">
        <f>+IF(BASE!B428="","",BASE!B428)</f>
        <v>23XXR413</v>
      </c>
      <c r="B424" s="121" t="s">
        <v>40</v>
      </c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93"/>
      <c r="R424" s="91">
        <f t="shared" si="18"/>
        <v>0</v>
      </c>
      <c r="S424" s="91">
        <f>BASE!A428</f>
        <v>413</v>
      </c>
      <c r="T424" s="89">
        <f t="shared" si="19"/>
        <v>0</v>
      </c>
      <c r="U424" s="89">
        <f t="shared" si="20"/>
        <v>0</v>
      </c>
      <c r="V424" s="89">
        <f t="shared" si="21"/>
        <v>0</v>
      </c>
      <c r="W424" s="89">
        <f t="shared" si="22"/>
        <v>0</v>
      </c>
      <c r="X424" s="89">
        <f t="shared" si="23"/>
        <v>0</v>
      </c>
      <c r="Y424" s="28"/>
    </row>
    <row r="425" spans="1:25" ht="17.25" customHeight="1">
      <c r="A425" s="88" t="str">
        <f>+IF(BASE!B429="","",BASE!B429)</f>
        <v>23XXR414</v>
      </c>
      <c r="B425" s="121" t="s">
        <v>40</v>
      </c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93"/>
      <c r="R425" s="91">
        <f t="shared" si="18"/>
        <v>0</v>
      </c>
      <c r="S425" s="91">
        <f>BASE!A429</f>
        <v>414</v>
      </c>
      <c r="T425" s="89">
        <f t="shared" si="19"/>
        <v>0</v>
      </c>
      <c r="U425" s="89">
        <f t="shared" si="20"/>
        <v>0</v>
      </c>
      <c r="V425" s="89">
        <f t="shared" si="21"/>
        <v>0</v>
      </c>
      <c r="W425" s="89">
        <f t="shared" si="22"/>
        <v>0</v>
      </c>
      <c r="X425" s="89">
        <f t="shared" si="23"/>
        <v>0</v>
      </c>
      <c r="Y425" s="28"/>
    </row>
    <row r="426" spans="1:25" ht="17.25" customHeight="1">
      <c r="A426" s="88" t="str">
        <f>+IF(BASE!B430="","",BASE!B430)</f>
        <v>23XXR415</v>
      </c>
      <c r="B426" s="121" t="s">
        <v>40</v>
      </c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93"/>
      <c r="R426" s="91">
        <f t="shared" si="18"/>
        <v>0</v>
      </c>
      <c r="S426" s="91">
        <f>BASE!A430</f>
        <v>415</v>
      </c>
      <c r="T426" s="89">
        <f t="shared" si="19"/>
        <v>0</v>
      </c>
      <c r="U426" s="89">
        <f t="shared" si="20"/>
        <v>0</v>
      </c>
      <c r="V426" s="89">
        <f t="shared" si="21"/>
        <v>0</v>
      </c>
      <c r="W426" s="89">
        <f t="shared" si="22"/>
        <v>0</v>
      </c>
      <c r="X426" s="89">
        <f t="shared" si="23"/>
        <v>0</v>
      </c>
      <c r="Y426" s="28"/>
    </row>
    <row r="427" spans="1:25" ht="17.25" customHeight="1">
      <c r="A427" s="88" t="str">
        <f>+IF(BASE!B431="","",BASE!B431)</f>
        <v>23XXR416</v>
      </c>
      <c r="B427" s="121" t="s">
        <v>40</v>
      </c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93"/>
      <c r="R427" s="91">
        <f t="shared" si="18"/>
        <v>0</v>
      </c>
      <c r="S427" s="91">
        <f>BASE!A431</f>
        <v>416</v>
      </c>
      <c r="T427" s="89">
        <f t="shared" si="19"/>
        <v>0</v>
      </c>
      <c r="U427" s="89">
        <f t="shared" si="20"/>
        <v>0</v>
      </c>
      <c r="V427" s="89">
        <f t="shared" si="21"/>
        <v>0</v>
      </c>
      <c r="W427" s="89">
        <f t="shared" si="22"/>
        <v>0</v>
      </c>
      <c r="X427" s="89">
        <f t="shared" si="23"/>
        <v>0</v>
      </c>
      <c r="Y427" s="28"/>
    </row>
    <row r="428" spans="1:25" ht="17.25" customHeight="1">
      <c r="A428" s="88" t="str">
        <f>+IF(BASE!B432="","",BASE!B432)</f>
        <v>23XXR417</v>
      </c>
      <c r="B428" s="121" t="s">
        <v>40</v>
      </c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93"/>
      <c r="R428" s="91">
        <f t="shared" si="18"/>
        <v>0</v>
      </c>
      <c r="S428" s="91">
        <f>BASE!A432</f>
        <v>417</v>
      </c>
      <c r="T428" s="89">
        <f t="shared" si="19"/>
        <v>0</v>
      </c>
      <c r="U428" s="89">
        <f t="shared" si="20"/>
        <v>0</v>
      </c>
      <c r="V428" s="89">
        <f t="shared" si="21"/>
        <v>0</v>
      </c>
      <c r="W428" s="89">
        <f t="shared" si="22"/>
        <v>0</v>
      </c>
      <c r="X428" s="89">
        <f t="shared" si="23"/>
        <v>0</v>
      </c>
      <c r="Y428" s="28"/>
    </row>
    <row r="429" spans="1:25" ht="17.25" customHeight="1">
      <c r="A429" s="88" t="str">
        <f>+IF(BASE!B433="","",BASE!B433)</f>
        <v>23XXR418</v>
      </c>
      <c r="B429" s="121" t="s">
        <v>40</v>
      </c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93"/>
      <c r="R429" s="91">
        <f t="shared" si="18"/>
        <v>0</v>
      </c>
      <c r="S429" s="91">
        <f>BASE!A433</f>
        <v>418</v>
      </c>
      <c r="T429" s="89">
        <f t="shared" si="19"/>
        <v>0</v>
      </c>
      <c r="U429" s="89">
        <f t="shared" si="20"/>
        <v>0</v>
      </c>
      <c r="V429" s="89">
        <f t="shared" si="21"/>
        <v>0</v>
      </c>
      <c r="W429" s="89">
        <f t="shared" si="22"/>
        <v>0</v>
      </c>
      <c r="X429" s="89">
        <f t="shared" si="23"/>
        <v>0</v>
      </c>
      <c r="Y429" s="28"/>
    </row>
    <row r="430" spans="1:25" ht="17.25" customHeight="1">
      <c r="A430" s="88" t="str">
        <f>+IF(BASE!B434="","",BASE!B434)</f>
        <v>23XXR419</v>
      </c>
      <c r="B430" s="121" t="s">
        <v>40</v>
      </c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93"/>
      <c r="R430" s="91">
        <f t="shared" si="18"/>
        <v>0</v>
      </c>
      <c r="S430" s="91">
        <f>BASE!A434</f>
        <v>419</v>
      </c>
      <c r="T430" s="89">
        <f t="shared" si="19"/>
        <v>0</v>
      </c>
      <c r="U430" s="89">
        <f t="shared" si="20"/>
        <v>0</v>
      </c>
      <c r="V430" s="89">
        <f t="shared" si="21"/>
        <v>0</v>
      </c>
      <c r="W430" s="89">
        <f t="shared" si="22"/>
        <v>0</v>
      </c>
      <c r="X430" s="89">
        <f t="shared" si="23"/>
        <v>0</v>
      </c>
      <c r="Y430" s="28"/>
    </row>
    <row r="431" spans="1:25" ht="17.25" customHeight="1">
      <c r="A431" s="88" t="str">
        <f>+IF(BASE!B435="","",BASE!B435)</f>
        <v>23XXR420</v>
      </c>
      <c r="B431" s="121" t="s">
        <v>40</v>
      </c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93"/>
      <c r="R431" s="91">
        <f t="shared" si="18"/>
        <v>0</v>
      </c>
      <c r="S431" s="91">
        <f>BASE!A435</f>
        <v>420</v>
      </c>
      <c r="T431" s="89">
        <f t="shared" si="19"/>
        <v>0</v>
      </c>
      <c r="U431" s="89">
        <f t="shared" si="20"/>
        <v>0</v>
      </c>
      <c r="V431" s="89">
        <f t="shared" si="21"/>
        <v>0</v>
      </c>
      <c r="W431" s="89">
        <f t="shared" si="22"/>
        <v>0</v>
      </c>
      <c r="X431" s="89">
        <f t="shared" si="23"/>
        <v>0</v>
      </c>
      <c r="Y431" s="28"/>
    </row>
    <row r="432" spans="1:25" ht="17.25" customHeight="1">
      <c r="A432" s="88" t="str">
        <f>+IF(BASE!B436="","",BASE!B436)</f>
        <v>23XXR421</v>
      </c>
      <c r="B432" s="121" t="s">
        <v>40</v>
      </c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93"/>
      <c r="R432" s="91">
        <f t="shared" si="18"/>
        <v>0</v>
      </c>
      <c r="S432" s="91">
        <f>BASE!A436</f>
        <v>421</v>
      </c>
      <c r="T432" s="89">
        <f t="shared" si="19"/>
        <v>0</v>
      </c>
      <c r="U432" s="89">
        <f t="shared" si="20"/>
        <v>0</v>
      </c>
      <c r="V432" s="89">
        <f t="shared" si="21"/>
        <v>0</v>
      </c>
      <c r="W432" s="89">
        <f t="shared" si="22"/>
        <v>0</v>
      </c>
      <c r="X432" s="89">
        <f t="shared" si="23"/>
        <v>0</v>
      </c>
      <c r="Y432" s="28"/>
    </row>
    <row r="433" spans="1:25" ht="17.25" customHeight="1">
      <c r="A433" s="88" t="str">
        <f>+IF(BASE!B437="","",BASE!B437)</f>
        <v/>
      </c>
      <c r="B433" s="121" t="s">
        <v>40</v>
      </c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93"/>
      <c r="R433" s="91">
        <f t="shared" si="18"/>
        <v>0</v>
      </c>
      <c r="S433" s="91">
        <f>BASE!A437</f>
        <v>422</v>
      </c>
      <c r="T433" s="89">
        <f t="shared" si="19"/>
        <v>0</v>
      </c>
      <c r="U433" s="89">
        <f t="shared" si="20"/>
        <v>0</v>
      </c>
      <c r="V433" s="89">
        <f t="shared" si="21"/>
        <v>0</v>
      </c>
      <c r="W433" s="89">
        <f t="shared" si="22"/>
        <v>0</v>
      </c>
      <c r="X433" s="89">
        <f t="shared" si="23"/>
        <v>0</v>
      </c>
      <c r="Y433" s="28"/>
    </row>
    <row r="434" spans="1:25" ht="17.25" customHeight="1">
      <c r="A434" s="88" t="str">
        <f>+IF(BASE!B438="","",BASE!B438)</f>
        <v/>
      </c>
      <c r="B434" s="121" t="s">
        <v>40</v>
      </c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93"/>
      <c r="R434" s="91">
        <f t="shared" si="18"/>
        <v>0</v>
      </c>
      <c r="S434" s="91">
        <f>BASE!A438</f>
        <v>423</v>
      </c>
      <c r="T434" s="89">
        <f t="shared" si="19"/>
        <v>0</v>
      </c>
      <c r="U434" s="89">
        <f t="shared" si="20"/>
        <v>0</v>
      </c>
      <c r="V434" s="89">
        <f t="shared" si="21"/>
        <v>0</v>
      </c>
      <c r="W434" s="89">
        <f t="shared" si="22"/>
        <v>0</v>
      </c>
      <c r="X434" s="89">
        <f t="shared" si="23"/>
        <v>0</v>
      </c>
      <c r="Y434" s="28"/>
    </row>
    <row r="435" spans="1:25" ht="17.25" customHeight="1">
      <c r="A435" s="88" t="str">
        <f>+IF(BASE!B439="","",BASE!B439)</f>
        <v/>
      </c>
      <c r="B435" s="121" t="s">
        <v>40</v>
      </c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93"/>
      <c r="R435" s="91">
        <f t="shared" si="18"/>
        <v>0</v>
      </c>
      <c r="S435" s="91">
        <f>BASE!A439</f>
        <v>424</v>
      </c>
      <c r="T435" s="89">
        <f t="shared" si="19"/>
        <v>0</v>
      </c>
      <c r="U435" s="89">
        <f t="shared" si="20"/>
        <v>0</v>
      </c>
      <c r="V435" s="89">
        <f t="shared" si="21"/>
        <v>0</v>
      </c>
      <c r="W435" s="89">
        <f t="shared" si="22"/>
        <v>0</v>
      </c>
      <c r="X435" s="89">
        <f t="shared" si="23"/>
        <v>0</v>
      </c>
      <c r="Y435" s="28"/>
    </row>
    <row r="436" spans="1:25" ht="17.25" customHeight="1">
      <c r="A436" s="88" t="str">
        <f>+IF(BASE!B440="","",BASE!B440)</f>
        <v/>
      </c>
      <c r="B436" s="121" t="s">
        <v>40</v>
      </c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93"/>
      <c r="R436" s="91">
        <f t="shared" si="18"/>
        <v>0</v>
      </c>
      <c r="S436" s="91">
        <f>BASE!A440</f>
        <v>425</v>
      </c>
      <c r="T436" s="89">
        <f t="shared" si="19"/>
        <v>0</v>
      </c>
      <c r="U436" s="89">
        <f t="shared" si="20"/>
        <v>0</v>
      </c>
      <c r="V436" s="89">
        <f t="shared" si="21"/>
        <v>0</v>
      </c>
      <c r="W436" s="89">
        <f t="shared" si="22"/>
        <v>0</v>
      </c>
      <c r="X436" s="89">
        <f t="shared" si="23"/>
        <v>0</v>
      </c>
      <c r="Y436" s="28"/>
    </row>
    <row r="437" spans="1:25" ht="17.25" customHeight="1">
      <c r="A437" s="88" t="str">
        <f>+IF(BASE!B441="","",BASE!B441)</f>
        <v/>
      </c>
      <c r="B437" s="121" t="s">
        <v>40</v>
      </c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93"/>
      <c r="R437" s="91">
        <f t="shared" si="18"/>
        <v>0</v>
      </c>
      <c r="S437" s="91">
        <f>BASE!A441</f>
        <v>426</v>
      </c>
      <c r="T437" s="89">
        <f t="shared" si="19"/>
        <v>0</v>
      </c>
      <c r="U437" s="89">
        <f t="shared" si="20"/>
        <v>0</v>
      </c>
      <c r="V437" s="89">
        <f t="shared" si="21"/>
        <v>0</v>
      </c>
      <c r="W437" s="89">
        <f t="shared" si="22"/>
        <v>0</v>
      </c>
      <c r="X437" s="89">
        <f t="shared" si="23"/>
        <v>0</v>
      </c>
      <c r="Y437" s="28"/>
    </row>
    <row r="438" spans="1:25" ht="17.25" customHeight="1">
      <c r="A438" s="88" t="str">
        <f>+IF(BASE!B442="","",BASE!B442)</f>
        <v/>
      </c>
      <c r="B438" s="121" t="s">
        <v>40</v>
      </c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93"/>
      <c r="R438" s="91">
        <f t="shared" si="18"/>
        <v>0</v>
      </c>
      <c r="S438" s="91">
        <f>BASE!A442</f>
        <v>427</v>
      </c>
      <c r="T438" s="89">
        <f t="shared" si="19"/>
        <v>0</v>
      </c>
      <c r="U438" s="89">
        <f t="shared" si="20"/>
        <v>0</v>
      </c>
      <c r="V438" s="89">
        <f t="shared" si="21"/>
        <v>0</v>
      </c>
      <c r="W438" s="89">
        <f t="shared" si="22"/>
        <v>0</v>
      </c>
      <c r="X438" s="89">
        <f t="shared" si="23"/>
        <v>0</v>
      </c>
      <c r="Y438" s="28"/>
    </row>
    <row r="439" spans="1:25" ht="17.25" customHeight="1">
      <c r="A439" s="88" t="str">
        <f>+IF(BASE!B443="","",BASE!B443)</f>
        <v/>
      </c>
      <c r="B439" s="121" t="s">
        <v>40</v>
      </c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93"/>
      <c r="R439" s="91">
        <f t="shared" si="18"/>
        <v>0</v>
      </c>
      <c r="S439" s="91">
        <f>BASE!A443</f>
        <v>428</v>
      </c>
      <c r="T439" s="89">
        <f t="shared" si="19"/>
        <v>0</v>
      </c>
      <c r="U439" s="89">
        <f t="shared" si="20"/>
        <v>0</v>
      </c>
      <c r="V439" s="89">
        <f t="shared" si="21"/>
        <v>0</v>
      </c>
      <c r="W439" s="89">
        <f t="shared" si="22"/>
        <v>0</v>
      </c>
      <c r="X439" s="89">
        <f t="shared" si="23"/>
        <v>0</v>
      </c>
      <c r="Y439" s="28"/>
    </row>
    <row r="440" spans="1:25" ht="17.25" customHeight="1">
      <c r="A440" s="88" t="str">
        <f>+IF(BASE!B444="","",BASE!B444)</f>
        <v/>
      </c>
      <c r="B440" s="121" t="s">
        <v>40</v>
      </c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93"/>
      <c r="R440" s="91">
        <f t="shared" si="18"/>
        <v>0</v>
      </c>
      <c r="S440" s="91">
        <f>BASE!A444</f>
        <v>429</v>
      </c>
      <c r="T440" s="89">
        <f t="shared" si="19"/>
        <v>0</v>
      </c>
      <c r="U440" s="89">
        <f t="shared" si="20"/>
        <v>0</v>
      </c>
      <c r="V440" s="89">
        <f t="shared" si="21"/>
        <v>0</v>
      </c>
      <c r="W440" s="89">
        <f t="shared" si="22"/>
        <v>0</v>
      </c>
      <c r="X440" s="89">
        <f t="shared" si="23"/>
        <v>0</v>
      </c>
      <c r="Y440" s="28"/>
    </row>
    <row r="441" spans="1:25" ht="17.25" customHeight="1">
      <c r="A441" s="88" t="str">
        <f>+IF(BASE!B445="","",BASE!B445)</f>
        <v/>
      </c>
      <c r="B441" s="121" t="s">
        <v>40</v>
      </c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93"/>
      <c r="R441" s="91">
        <f t="shared" si="18"/>
        <v>0</v>
      </c>
      <c r="S441" s="91">
        <f>BASE!A445</f>
        <v>430</v>
      </c>
      <c r="T441" s="89">
        <f t="shared" si="19"/>
        <v>0</v>
      </c>
      <c r="U441" s="89">
        <f t="shared" si="20"/>
        <v>0</v>
      </c>
      <c r="V441" s="89">
        <f t="shared" si="21"/>
        <v>0</v>
      </c>
      <c r="W441" s="89">
        <f t="shared" si="22"/>
        <v>0</v>
      </c>
      <c r="X441" s="89">
        <f t="shared" si="23"/>
        <v>0</v>
      </c>
      <c r="Y441" s="28"/>
    </row>
    <row r="442" spans="1:25" ht="17.25" customHeight="1">
      <c r="A442" s="88" t="str">
        <f>+IF(BASE!B446="","",BASE!B446)</f>
        <v/>
      </c>
      <c r="B442" s="121" t="s">
        <v>40</v>
      </c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93"/>
      <c r="R442" s="91">
        <f t="shared" si="18"/>
        <v>0</v>
      </c>
      <c r="S442" s="91">
        <f>BASE!A446</f>
        <v>431</v>
      </c>
      <c r="T442" s="89">
        <f t="shared" si="19"/>
        <v>0</v>
      </c>
      <c r="U442" s="89">
        <f t="shared" si="20"/>
        <v>0</v>
      </c>
      <c r="V442" s="89">
        <f t="shared" si="21"/>
        <v>0</v>
      </c>
      <c r="W442" s="89">
        <f t="shared" si="22"/>
        <v>0</v>
      </c>
      <c r="X442" s="89">
        <f t="shared" si="23"/>
        <v>0</v>
      </c>
      <c r="Y442" s="28"/>
    </row>
    <row r="443" spans="1:25" ht="17.25" customHeight="1">
      <c r="A443" s="88" t="str">
        <f>+IF(BASE!B447="","",BASE!B447)</f>
        <v/>
      </c>
      <c r="B443" s="121" t="s">
        <v>40</v>
      </c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93"/>
      <c r="R443" s="91">
        <f t="shared" si="18"/>
        <v>0</v>
      </c>
      <c r="S443" s="91">
        <f>BASE!A447</f>
        <v>432</v>
      </c>
      <c r="T443" s="89">
        <f t="shared" si="19"/>
        <v>0</v>
      </c>
      <c r="U443" s="89">
        <f t="shared" si="20"/>
        <v>0</v>
      </c>
      <c r="V443" s="89">
        <f t="shared" si="21"/>
        <v>0</v>
      </c>
      <c r="W443" s="89">
        <f t="shared" si="22"/>
        <v>0</v>
      </c>
      <c r="X443" s="89">
        <f t="shared" si="23"/>
        <v>0</v>
      </c>
      <c r="Y443" s="28"/>
    </row>
    <row r="444" spans="1:25" ht="17.25" customHeight="1">
      <c r="A444" s="88" t="str">
        <f>+IF(BASE!B448="","",BASE!B448)</f>
        <v/>
      </c>
      <c r="B444" s="121" t="s">
        <v>40</v>
      </c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93"/>
      <c r="R444" s="91">
        <f t="shared" si="18"/>
        <v>0</v>
      </c>
      <c r="S444" s="91">
        <f>BASE!A448</f>
        <v>433</v>
      </c>
      <c r="T444" s="89">
        <f t="shared" si="19"/>
        <v>0</v>
      </c>
      <c r="U444" s="89">
        <f t="shared" si="20"/>
        <v>0</v>
      </c>
      <c r="V444" s="89">
        <f t="shared" si="21"/>
        <v>0</v>
      </c>
      <c r="W444" s="89">
        <f t="shared" si="22"/>
        <v>0</v>
      </c>
      <c r="X444" s="89">
        <f t="shared" si="23"/>
        <v>0</v>
      </c>
      <c r="Y444" s="28"/>
    </row>
    <row r="445" spans="1:25" ht="17.25" customHeight="1">
      <c r="A445" s="88" t="str">
        <f>+IF(BASE!B449="","",BASE!B449)</f>
        <v/>
      </c>
      <c r="B445" s="121" t="s">
        <v>40</v>
      </c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93"/>
      <c r="R445" s="91">
        <f t="shared" ref="R445:R461" si="24">SUM(C445:Q445)</f>
        <v>0</v>
      </c>
      <c r="S445" s="91">
        <f>BASE!A449</f>
        <v>434</v>
      </c>
      <c r="T445" s="89">
        <f t="shared" ref="T445:T461" si="25">SUMIF($C$11:$Q$11,1,C445:Q445)</f>
        <v>0</v>
      </c>
      <c r="U445" s="89">
        <f t="shared" ref="U445:U461" si="26">SUMIF($C$11:$Q$11,2,C445:Q445)</f>
        <v>0</v>
      </c>
      <c r="V445" s="89">
        <f t="shared" ref="V445:V461" si="27">SUMIF($C$11:$Q$11,3,C445:Q445)</f>
        <v>0</v>
      </c>
      <c r="W445" s="89">
        <f t="shared" ref="W445:W461" si="28">SUMIF($C$11:$Q$11,4,C445:Q445)</f>
        <v>0</v>
      </c>
      <c r="X445" s="89">
        <f t="shared" ref="X445:X461" si="29">SUMIF($C$11:$Q$11,5,C445:Q445)</f>
        <v>0</v>
      </c>
      <c r="Y445" s="28"/>
    </row>
    <row r="446" spans="1:25" ht="17.25" customHeight="1">
      <c r="A446" s="88" t="str">
        <f>+IF(BASE!B450="","",BASE!B450)</f>
        <v/>
      </c>
      <c r="B446" s="121" t="s">
        <v>40</v>
      </c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93"/>
      <c r="R446" s="91">
        <f t="shared" si="24"/>
        <v>0</v>
      </c>
      <c r="S446" s="91">
        <f>BASE!A450</f>
        <v>435</v>
      </c>
      <c r="T446" s="89">
        <f t="shared" si="25"/>
        <v>0</v>
      </c>
      <c r="U446" s="89">
        <f t="shared" si="26"/>
        <v>0</v>
      </c>
      <c r="V446" s="89">
        <f t="shared" si="27"/>
        <v>0</v>
      </c>
      <c r="W446" s="89">
        <f t="shared" si="28"/>
        <v>0</v>
      </c>
      <c r="X446" s="89">
        <f t="shared" si="29"/>
        <v>0</v>
      </c>
      <c r="Y446" s="28"/>
    </row>
    <row r="447" spans="1:25" ht="17.25" customHeight="1">
      <c r="A447" s="88" t="str">
        <f>+IF(BASE!B451="","",BASE!B451)</f>
        <v/>
      </c>
      <c r="B447" s="121" t="s">
        <v>40</v>
      </c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93"/>
      <c r="R447" s="91">
        <f t="shared" si="24"/>
        <v>0</v>
      </c>
      <c r="S447" s="91">
        <f>BASE!A451</f>
        <v>436</v>
      </c>
      <c r="T447" s="89">
        <f t="shared" si="25"/>
        <v>0</v>
      </c>
      <c r="U447" s="89">
        <f t="shared" si="26"/>
        <v>0</v>
      </c>
      <c r="V447" s="89">
        <f t="shared" si="27"/>
        <v>0</v>
      </c>
      <c r="W447" s="89">
        <f t="shared" si="28"/>
        <v>0</v>
      </c>
      <c r="X447" s="89">
        <f t="shared" si="29"/>
        <v>0</v>
      </c>
      <c r="Y447" s="28"/>
    </row>
    <row r="448" spans="1:25" ht="17.25" customHeight="1">
      <c r="A448" s="88" t="str">
        <f>+IF(BASE!B452="","",BASE!B452)</f>
        <v/>
      </c>
      <c r="B448" s="121" t="s">
        <v>40</v>
      </c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93"/>
      <c r="R448" s="91">
        <f t="shared" si="24"/>
        <v>0</v>
      </c>
      <c r="S448" s="91">
        <f>BASE!A452</f>
        <v>437</v>
      </c>
      <c r="T448" s="89">
        <f t="shared" si="25"/>
        <v>0</v>
      </c>
      <c r="U448" s="89">
        <f t="shared" si="26"/>
        <v>0</v>
      </c>
      <c r="V448" s="89">
        <f t="shared" si="27"/>
        <v>0</v>
      </c>
      <c r="W448" s="89">
        <f t="shared" si="28"/>
        <v>0</v>
      </c>
      <c r="X448" s="89">
        <f t="shared" si="29"/>
        <v>0</v>
      </c>
      <c r="Y448" s="28"/>
    </row>
    <row r="449" spans="1:25" ht="17.25" customHeight="1">
      <c r="A449" s="88" t="str">
        <f>+IF(BASE!B453="","",BASE!B453)</f>
        <v/>
      </c>
      <c r="B449" s="121" t="s">
        <v>40</v>
      </c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93"/>
      <c r="R449" s="91">
        <f t="shared" si="24"/>
        <v>0</v>
      </c>
      <c r="S449" s="91">
        <f>BASE!A453</f>
        <v>438</v>
      </c>
      <c r="T449" s="89">
        <f t="shared" si="25"/>
        <v>0</v>
      </c>
      <c r="U449" s="89">
        <f t="shared" si="26"/>
        <v>0</v>
      </c>
      <c r="V449" s="89">
        <f t="shared" si="27"/>
        <v>0</v>
      </c>
      <c r="W449" s="89">
        <f t="shared" si="28"/>
        <v>0</v>
      </c>
      <c r="X449" s="89">
        <f t="shared" si="29"/>
        <v>0</v>
      </c>
      <c r="Y449" s="28"/>
    </row>
    <row r="450" spans="1:25" ht="17.25" customHeight="1">
      <c r="A450" s="88" t="str">
        <f>+IF(BASE!B454="","",BASE!B454)</f>
        <v/>
      </c>
      <c r="B450" s="121" t="s">
        <v>40</v>
      </c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93"/>
      <c r="R450" s="91">
        <f t="shared" si="24"/>
        <v>0</v>
      </c>
      <c r="S450" s="91">
        <f>BASE!A454</f>
        <v>439</v>
      </c>
      <c r="T450" s="89">
        <f t="shared" si="25"/>
        <v>0</v>
      </c>
      <c r="U450" s="89">
        <f t="shared" si="26"/>
        <v>0</v>
      </c>
      <c r="V450" s="89">
        <f t="shared" si="27"/>
        <v>0</v>
      </c>
      <c r="W450" s="89">
        <f t="shared" si="28"/>
        <v>0</v>
      </c>
      <c r="X450" s="89">
        <f t="shared" si="29"/>
        <v>0</v>
      </c>
      <c r="Y450" s="28"/>
    </row>
    <row r="451" spans="1:25" ht="17.25" customHeight="1">
      <c r="A451" s="88" t="str">
        <f>+IF(BASE!B455="","",BASE!B455)</f>
        <v/>
      </c>
      <c r="B451" s="121" t="s">
        <v>40</v>
      </c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93"/>
      <c r="R451" s="91">
        <f t="shared" si="24"/>
        <v>0</v>
      </c>
      <c r="S451" s="91">
        <f>BASE!A455</f>
        <v>440</v>
      </c>
      <c r="T451" s="89">
        <f t="shared" si="25"/>
        <v>0</v>
      </c>
      <c r="U451" s="89">
        <f t="shared" si="26"/>
        <v>0</v>
      </c>
      <c r="V451" s="89">
        <f t="shared" si="27"/>
        <v>0</v>
      </c>
      <c r="W451" s="89">
        <f t="shared" si="28"/>
        <v>0</v>
      </c>
      <c r="X451" s="89">
        <f t="shared" si="29"/>
        <v>0</v>
      </c>
      <c r="Y451" s="28"/>
    </row>
    <row r="452" spans="1:25" ht="15.75" customHeight="1">
      <c r="A452" s="88" t="str">
        <f>+IF(BASE!B456="","",BASE!B456)</f>
        <v/>
      </c>
      <c r="B452" s="121" t="s">
        <v>40</v>
      </c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90"/>
      <c r="R452" s="91">
        <f t="shared" si="24"/>
        <v>0</v>
      </c>
      <c r="S452" s="91">
        <f>BASE!A456</f>
        <v>441</v>
      </c>
      <c r="T452" s="89">
        <f t="shared" si="25"/>
        <v>0</v>
      </c>
      <c r="U452" s="89">
        <f t="shared" si="26"/>
        <v>0</v>
      </c>
      <c r="V452" s="89">
        <f t="shared" si="27"/>
        <v>0</v>
      </c>
      <c r="W452" s="89">
        <f t="shared" si="28"/>
        <v>0</v>
      </c>
      <c r="X452" s="89">
        <f t="shared" si="29"/>
        <v>0</v>
      </c>
    </row>
    <row r="453" spans="1:25" ht="15.75" customHeight="1">
      <c r="A453" s="88" t="str">
        <f>+IF(BASE!B457="","",BASE!B457)</f>
        <v/>
      </c>
      <c r="B453" s="121" t="s">
        <v>40</v>
      </c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90"/>
      <c r="R453" s="91">
        <f t="shared" si="24"/>
        <v>0</v>
      </c>
      <c r="S453" s="91">
        <f>BASE!A457</f>
        <v>442</v>
      </c>
      <c r="T453" s="89">
        <f t="shared" si="25"/>
        <v>0</v>
      </c>
      <c r="U453" s="89">
        <f t="shared" si="26"/>
        <v>0</v>
      </c>
      <c r="V453" s="89">
        <f t="shared" si="27"/>
        <v>0</v>
      </c>
      <c r="W453" s="89">
        <f t="shared" si="28"/>
        <v>0</v>
      </c>
      <c r="X453" s="89">
        <f t="shared" si="29"/>
        <v>0</v>
      </c>
    </row>
    <row r="454" spans="1:25" ht="15.75" customHeight="1">
      <c r="A454" s="88" t="str">
        <f>+IF(BASE!B458="","",BASE!B458)</f>
        <v/>
      </c>
      <c r="B454" s="121" t="s">
        <v>40</v>
      </c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90"/>
      <c r="R454" s="91">
        <f t="shared" si="24"/>
        <v>0</v>
      </c>
      <c r="S454" s="91">
        <f>BASE!A458</f>
        <v>443</v>
      </c>
      <c r="T454" s="89">
        <f t="shared" si="25"/>
        <v>0</v>
      </c>
      <c r="U454" s="89">
        <f t="shared" si="26"/>
        <v>0</v>
      </c>
      <c r="V454" s="89">
        <f t="shared" si="27"/>
        <v>0</v>
      </c>
      <c r="W454" s="89">
        <f t="shared" si="28"/>
        <v>0</v>
      </c>
      <c r="X454" s="89">
        <f t="shared" si="29"/>
        <v>0</v>
      </c>
    </row>
    <row r="455" spans="1:25" ht="15.75" customHeight="1">
      <c r="A455" s="88" t="str">
        <f>+IF(BASE!B459="","",BASE!B459)</f>
        <v/>
      </c>
      <c r="B455" s="121" t="s">
        <v>40</v>
      </c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90"/>
      <c r="R455" s="91">
        <f t="shared" si="24"/>
        <v>0</v>
      </c>
      <c r="S455" s="91">
        <f>BASE!A459</f>
        <v>444</v>
      </c>
      <c r="T455" s="89">
        <f t="shared" si="25"/>
        <v>0</v>
      </c>
      <c r="U455" s="89">
        <f t="shared" si="26"/>
        <v>0</v>
      </c>
      <c r="V455" s="89">
        <f t="shared" si="27"/>
        <v>0</v>
      </c>
      <c r="W455" s="89">
        <f t="shared" si="28"/>
        <v>0</v>
      </c>
      <c r="X455" s="89">
        <f t="shared" si="29"/>
        <v>0</v>
      </c>
    </row>
    <row r="456" spans="1:25" ht="15.75" customHeight="1">
      <c r="A456" s="88" t="str">
        <f>+IF(BASE!B460="","",BASE!B460)</f>
        <v/>
      </c>
      <c r="B456" s="121" t="s">
        <v>40</v>
      </c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90"/>
      <c r="R456" s="91">
        <f t="shared" si="24"/>
        <v>0</v>
      </c>
      <c r="S456" s="91">
        <f>BASE!A460</f>
        <v>445</v>
      </c>
      <c r="T456" s="89">
        <f t="shared" si="25"/>
        <v>0</v>
      </c>
      <c r="U456" s="89">
        <f t="shared" si="26"/>
        <v>0</v>
      </c>
      <c r="V456" s="89">
        <f t="shared" si="27"/>
        <v>0</v>
      </c>
      <c r="W456" s="89">
        <f t="shared" si="28"/>
        <v>0</v>
      </c>
      <c r="X456" s="89">
        <f t="shared" si="29"/>
        <v>0</v>
      </c>
    </row>
    <row r="457" spans="1:25" ht="15.75" customHeight="1">
      <c r="A457" s="88" t="str">
        <f>+IF(BASE!B461="","",BASE!B461)</f>
        <v/>
      </c>
      <c r="B457" s="121" t="s">
        <v>40</v>
      </c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90"/>
      <c r="R457" s="91">
        <f t="shared" si="24"/>
        <v>0</v>
      </c>
      <c r="S457" s="91">
        <f>BASE!A461</f>
        <v>446</v>
      </c>
      <c r="T457" s="89">
        <f t="shared" si="25"/>
        <v>0</v>
      </c>
      <c r="U457" s="89">
        <f t="shared" si="26"/>
        <v>0</v>
      </c>
      <c r="V457" s="89">
        <f t="shared" si="27"/>
        <v>0</v>
      </c>
      <c r="W457" s="89">
        <f t="shared" si="28"/>
        <v>0</v>
      </c>
      <c r="X457" s="89">
        <f t="shared" si="29"/>
        <v>0</v>
      </c>
    </row>
    <row r="458" spans="1:25" ht="15.75" customHeight="1">
      <c r="A458" s="88" t="str">
        <f>+IF(BASE!B462="","",BASE!B462)</f>
        <v/>
      </c>
      <c r="B458" s="121" t="s">
        <v>40</v>
      </c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90"/>
      <c r="R458" s="91">
        <f t="shared" si="24"/>
        <v>0</v>
      </c>
      <c r="S458" s="91">
        <f>BASE!A462</f>
        <v>447</v>
      </c>
      <c r="T458" s="89">
        <f t="shared" si="25"/>
        <v>0</v>
      </c>
      <c r="U458" s="89">
        <f t="shared" si="26"/>
        <v>0</v>
      </c>
      <c r="V458" s="89">
        <f t="shared" si="27"/>
        <v>0</v>
      </c>
      <c r="W458" s="89">
        <f t="shared" si="28"/>
        <v>0</v>
      </c>
      <c r="X458" s="89">
        <f t="shared" si="29"/>
        <v>0</v>
      </c>
    </row>
    <row r="459" spans="1:25" ht="15.75" customHeight="1">
      <c r="A459" s="88" t="str">
        <f>+IF(BASE!B463="","",BASE!B463)</f>
        <v/>
      </c>
      <c r="B459" s="121" t="s">
        <v>40</v>
      </c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90"/>
      <c r="R459" s="91">
        <f t="shared" si="24"/>
        <v>0</v>
      </c>
      <c r="S459" s="91">
        <f>BASE!A463</f>
        <v>448</v>
      </c>
      <c r="T459" s="89">
        <f t="shared" si="25"/>
        <v>0</v>
      </c>
      <c r="U459" s="89">
        <f t="shared" si="26"/>
        <v>0</v>
      </c>
      <c r="V459" s="89">
        <f t="shared" si="27"/>
        <v>0</v>
      </c>
      <c r="W459" s="89">
        <f t="shared" si="28"/>
        <v>0</v>
      </c>
      <c r="X459" s="89">
        <f t="shared" si="29"/>
        <v>0</v>
      </c>
    </row>
    <row r="460" spans="1:25" ht="15.75" customHeight="1">
      <c r="A460" s="88" t="str">
        <f>+IF(BASE!B464="","",BASE!B464)</f>
        <v/>
      </c>
      <c r="B460" s="121" t="s">
        <v>40</v>
      </c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90"/>
      <c r="R460" s="91">
        <f t="shared" si="24"/>
        <v>0</v>
      </c>
      <c r="S460" s="91">
        <f>BASE!A464</f>
        <v>449</v>
      </c>
      <c r="T460" s="89">
        <f t="shared" si="25"/>
        <v>0</v>
      </c>
      <c r="U460" s="89">
        <f t="shared" si="26"/>
        <v>0</v>
      </c>
      <c r="V460" s="89">
        <f t="shared" si="27"/>
        <v>0</v>
      </c>
      <c r="W460" s="89">
        <f t="shared" si="28"/>
        <v>0</v>
      </c>
      <c r="X460" s="89">
        <f t="shared" si="29"/>
        <v>0</v>
      </c>
    </row>
    <row r="461" spans="1:25" ht="15.75" customHeight="1">
      <c r="A461" s="88" t="str">
        <f>+IF(BASE!B465="","",BASE!B465)</f>
        <v/>
      </c>
      <c r="B461" s="121" t="s">
        <v>40</v>
      </c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90"/>
      <c r="R461" s="91">
        <f t="shared" si="24"/>
        <v>0</v>
      </c>
      <c r="S461" s="91">
        <f>BASE!A465</f>
        <v>450</v>
      </c>
      <c r="T461" s="89">
        <f t="shared" si="25"/>
        <v>0</v>
      </c>
      <c r="U461" s="89">
        <f t="shared" si="26"/>
        <v>0</v>
      </c>
      <c r="V461" s="89">
        <f t="shared" si="27"/>
        <v>0</v>
      </c>
      <c r="W461" s="89">
        <f t="shared" si="28"/>
        <v>0</v>
      </c>
      <c r="X461" s="89">
        <f t="shared" si="29"/>
        <v>0</v>
      </c>
    </row>
    <row r="462" spans="1:25" ht="15.75" customHeight="1">
      <c r="A462" s="88" t="str">
        <f>+IF(BASE!B466="","",BASE!B466)</f>
        <v/>
      </c>
    </row>
    <row r="463" spans="1:25" ht="15.75" customHeight="1">
      <c r="A463" s="88" t="str">
        <f>+IF(BASE!B467="","",BASE!B467)</f>
        <v/>
      </c>
    </row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sheetProtection password="CC28" sheet="1" objects="1" scenarios="1" deleteColumns="0" deleteRows="0"/>
  <mergeCells count="33">
    <mergeCell ref="U7:X7"/>
    <mergeCell ref="R9:R11"/>
    <mergeCell ref="S9:S11"/>
    <mergeCell ref="T11:X11"/>
    <mergeCell ref="C5:F5"/>
    <mergeCell ref="G5:R5"/>
    <mergeCell ref="S5:T5"/>
    <mergeCell ref="U5:X5"/>
    <mergeCell ref="C6:F6"/>
    <mergeCell ref="U6:V6"/>
    <mergeCell ref="K6:M6"/>
    <mergeCell ref="O6:R6"/>
    <mergeCell ref="C7:F7"/>
    <mergeCell ref="G7:J7"/>
    <mergeCell ref="A9:A11"/>
    <mergeCell ref="O4:R4"/>
    <mergeCell ref="S4:T4"/>
    <mergeCell ref="C4:F4"/>
    <mergeCell ref="L7:N7"/>
    <mergeCell ref="O7:P7"/>
    <mergeCell ref="S6:T6"/>
    <mergeCell ref="G6:H6"/>
    <mergeCell ref="I6:J6"/>
    <mergeCell ref="S7:T7"/>
    <mergeCell ref="U4:X4"/>
    <mergeCell ref="G4:J4"/>
    <mergeCell ref="K4:N4"/>
    <mergeCell ref="A1:R1"/>
    <mergeCell ref="S1:X1"/>
    <mergeCell ref="A2:R2"/>
    <mergeCell ref="S2:X2"/>
    <mergeCell ref="A3:R3"/>
    <mergeCell ref="S3:X3"/>
  </mergeCells>
  <dataValidations count="2">
    <dataValidation type="decimal" allowBlank="1" showErrorMessage="1" sqref="C12:L461">
      <formula1>0</formula1>
      <formula2>2</formula2>
    </dataValidation>
    <dataValidation type="decimal" allowBlank="1" showErrorMessage="1" sqref="M12:P461">
      <formula1>0</formula1>
      <formula2>10</formula2>
    </dataValidation>
  </dataValidations>
  <printOptions horizontalCentered="1"/>
  <pageMargins left="0" right="0" top="0.5" bottom="0.5" header="0" footer="0"/>
  <pageSetup paperSize="9" orientation="portrait"/>
  <rowBreaks count="4" manualBreakCount="4">
    <brk id="75" man="1"/>
    <brk id="43" man="1"/>
    <brk id="206" man="1"/>
    <brk id="174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AA945"/>
  <sheetViews>
    <sheetView topLeftCell="G2" workbookViewId="0">
      <selection activeCell="Y13" sqref="Y13"/>
    </sheetView>
  </sheetViews>
  <sheetFormatPr defaultColWidth="14.42578125" defaultRowHeight="15" customHeight="1"/>
  <cols>
    <col min="1" max="1" width="15" customWidth="1"/>
    <col min="2" max="2" width="7.7109375" customWidth="1"/>
    <col min="3" max="17" width="6.42578125" customWidth="1"/>
    <col min="18" max="18" width="10.5703125" customWidth="1"/>
    <col min="19" max="24" width="11.5703125" customWidth="1"/>
    <col min="25" max="25" width="19.5703125" customWidth="1"/>
  </cols>
  <sheetData>
    <row r="1" spans="1:27" ht="23.25" customHeight="1">
      <c r="A1" s="276">
        <f>BASE!A7</f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8"/>
      <c r="S1" s="279">
        <f>BASE!A7</f>
        <v>0</v>
      </c>
      <c r="T1" s="280"/>
      <c r="U1" s="280"/>
      <c r="V1" s="280"/>
      <c r="W1" s="280"/>
      <c r="X1" s="280"/>
    </row>
    <row r="2" spans="1:27" ht="23.25" customHeight="1">
      <c r="A2" s="281" t="str">
        <f>+BASE!A8</f>
        <v>DEPARTMENT OF __________________________________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280"/>
      <c r="S2" s="279" t="str">
        <f>BASE!A8</f>
        <v>DEPARTMENT OF __________________________________</v>
      </c>
      <c r="T2" s="280"/>
      <c r="U2" s="280"/>
      <c r="V2" s="280"/>
      <c r="W2" s="280"/>
      <c r="X2" s="280"/>
    </row>
    <row r="3" spans="1:27" ht="23.25" customHeight="1">
      <c r="A3" s="281" t="str">
        <f>+BASE!A9</f>
        <v>THEORY CUM PRACTICAL COURSE OUTCOME ANALYSIS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280"/>
      <c r="S3" s="279" t="str">
        <f>BASE!A9</f>
        <v>THEORY CUM PRACTICAL COURSE OUTCOME ANALYSIS</v>
      </c>
      <c r="T3" s="280"/>
      <c r="U3" s="280"/>
      <c r="V3" s="280"/>
      <c r="W3" s="280"/>
      <c r="X3" s="280"/>
    </row>
    <row r="4" spans="1:27" ht="36.75" customHeight="1">
      <c r="A4" s="35" t="str">
        <f>BASE!A11</f>
        <v>Name of Faculty(s)</v>
      </c>
      <c r="B4" s="36" t="s">
        <v>40</v>
      </c>
      <c r="C4" s="188">
        <f>BASE!D11</f>
        <v>1</v>
      </c>
      <c r="D4" s="189"/>
      <c r="E4" s="189"/>
      <c r="F4" s="190"/>
      <c r="G4" s="188">
        <f>BASE!G11</f>
        <v>1</v>
      </c>
      <c r="H4" s="189"/>
      <c r="I4" s="189"/>
      <c r="J4" s="190"/>
      <c r="K4" s="188">
        <f>BASE!J11</f>
        <v>1</v>
      </c>
      <c r="L4" s="189"/>
      <c r="M4" s="189"/>
      <c r="N4" s="190"/>
      <c r="O4" s="262">
        <f>BASE!M11</f>
        <v>1</v>
      </c>
      <c r="P4" s="189"/>
      <c r="Q4" s="189"/>
      <c r="R4" s="286"/>
      <c r="S4" s="260" t="s">
        <v>41</v>
      </c>
      <c r="T4" s="261"/>
      <c r="U4" s="304" t="str">
        <f>BASE!D12</f>
        <v>22ABXCXX</v>
      </c>
      <c r="V4" s="261"/>
      <c r="W4" s="261"/>
      <c r="X4" s="261"/>
    </row>
    <row r="5" spans="1:27" ht="39" customHeight="1">
      <c r="A5" s="35"/>
      <c r="B5" s="36" t="s">
        <v>40</v>
      </c>
      <c r="C5" s="285" t="str">
        <f>BASE!D12</f>
        <v>22ABXCXX</v>
      </c>
      <c r="D5" s="189"/>
      <c r="E5" s="189"/>
      <c r="F5" s="190"/>
      <c r="G5" s="285" t="str">
        <f>BASE!G12</f>
        <v>XXXXXXXX XXXXX XXXXXXXX</v>
      </c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286"/>
      <c r="S5" s="184" t="s">
        <v>42</v>
      </c>
      <c r="T5" s="261"/>
      <c r="U5" s="300" t="str">
        <f>BASE!G12</f>
        <v>XXXXXXXX XXXXX XXXXXXXX</v>
      </c>
      <c r="V5" s="261"/>
      <c r="W5" s="261"/>
      <c r="X5" s="261"/>
    </row>
    <row r="6" spans="1:27" ht="51" customHeight="1">
      <c r="A6" s="35" t="str">
        <f>BASE!A13</f>
        <v>Branch / Year / Semester</v>
      </c>
      <c r="B6" s="36" t="s">
        <v>40</v>
      </c>
      <c r="C6" s="287" t="str">
        <f>+BASE!D13</f>
        <v>abcd</v>
      </c>
      <c r="D6" s="273"/>
      <c r="E6" s="273"/>
      <c r="F6" s="274"/>
      <c r="G6" s="292">
        <f>BASE!H13</f>
        <v>1</v>
      </c>
      <c r="H6" s="273"/>
      <c r="I6" s="274"/>
      <c r="J6" s="292" t="str">
        <f>BASE!L13</f>
        <v>IV</v>
      </c>
      <c r="K6" s="273"/>
      <c r="L6" s="288" t="s">
        <v>59</v>
      </c>
      <c r="M6" s="273"/>
      <c r="N6" s="273"/>
      <c r="O6" s="273"/>
      <c r="P6" s="274"/>
      <c r="Q6" s="298"/>
      <c r="R6" s="299"/>
      <c r="S6" s="300" t="str">
        <f>BASE!A13</f>
        <v>Branch / Year / Semester</v>
      </c>
      <c r="T6" s="261"/>
      <c r="U6" s="184" t="str">
        <f>BASE!D13</f>
        <v>abcd</v>
      </c>
      <c r="V6" s="261"/>
      <c r="W6" s="122">
        <f>BASE!H13</f>
        <v>1</v>
      </c>
      <c r="X6" s="122" t="str">
        <f>BASE!L13</f>
        <v>IV</v>
      </c>
      <c r="Z6" s="9"/>
    </row>
    <row r="7" spans="1:27" ht="27.75" customHeight="1">
      <c r="A7" s="35" t="s">
        <v>61</v>
      </c>
      <c r="B7" s="45" t="s">
        <v>62</v>
      </c>
      <c r="C7" s="294" t="s">
        <v>63</v>
      </c>
      <c r="D7" s="295"/>
      <c r="E7" s="295"/>
      <c r="F7" s="295"/>
      <c r="G7" s="295"/>
      <c r="H7" s="296"/>
      <c r="I7" s="293" t="s">
        <v>64</v>
      </c>
      <c r="J7" s="261"/>
      <c r="K7" s="261"/>
      <c r="L7" s="261"/>
      <c r="M7" s="261"/>
      <c r="N7" s="301" t="str">
        <f>BASE!Q12</f>
        <v>3T+1P</v>
      </c>
      <c r="O7" s="302"/>
      <c r="P7" s="302"/>
      <c r="Q7" s="302"/>
      <c r="R7" s="303"/>
      <c r="S7" s="300" t="str">
        <f>A7</f>
        <v>Asssesment</v>
      </c>
      <c r="T7" s="261"/>
      <c r="U7" s="184" t="str">
        <f>CONCATENATE(C7,I7)</f>
        <v>Tutorials / AssignmentsCredit Distribution</v>
      </c>
      <c r="V7" s="261"/>
      <c r="W7" s="261"/>
      <c r="X7" s="261"/>
      <c r="Z7" s="9"/>
    </row>
    <row r="8" spans="1:27" ht="18">
      <c r="A8" s="37"/>
      <c r="B8" s="38"/>
      <c r="C8" s="100"/>
      <c r="D8" s="100"/>
      <c r="E8" s="100"/>
      <c r="F8" s="100"/>
      <c r="G8" s="100"/>
      <c r="H8" s="100"/>
      <c r="I8" s="100"/>
      <c r="J8" s="101"/>
      <c r="K8" s="101"/>
      <c r="L8" s="101"/>
      <c r="M8" s="101"/>
      <c r="N8" s="101"/>
      <c r="O8" s="101"/>
      <c r="P8" s="101"/>
      <c r="Q8" s="101"/>
      <c r="R8" s="102"/>
      <c r="S8" s="100"/>
      <c r="T8" s="103"/>
      <c r="U8" s="103"/>
      <c r="V8" s="103"/>
      <c r="W8" s="103"/>
      <c r="X8" s="103"/>
      <c r="Y8" s="101"/>
      <c r="AA8" s="9"/>
    </row>
    <row r="9" spans="1:27" ht="22.5" customHeight="1">
      <c r="A9" s="282" t="s">
        <v>47</v>
      </c>
      <c r="B9" s="42" t="s">
        <v>48</v>
      </c>
      <c r="C9" s="65">
        <v>1</v>
      </c>
      <c r="D9" s="65">
        <v>2</v>
      </c>
      <c r="E9" s="65">
        <v>3</v>
      </c>
      <c r="F9" s="65">
        <v>4</v>
      </c>
      <c r="G9" s="65">
        <v>5</v>
      </c>
      <c r="H9" s="65"/>
      <c r="I9" s="65"/>
      <c r="J9" s="65"/>
      <c r="K9" s="65"/>
      <c r="L9" s="65"/>
      <c r="M9" s="65"/>
      <c r="N9" s="65"/>
      <c r="O9" s="65"/>
      <c r="P9" s="65"/>
      <c r="Q9" s="104"/>
      <c r="R9" s="289" t="s">
        <v>49</v>
      </c>
      <c r="S9" s="289" t="s">
        <v>50</v>
      </c>
      <c r="T9" s="55" t="s">
        <v>51</v>
      </c>
      <c r="U9" s="55" t="s">
        <v>52</v>
      </c>
      <c r="V9" s="55" t="s">
        <v>53</v>
      </c>
      <c r="W9" s="55" t="s">
        <v>54</v>
      </c>
      <c r="X9" s="55" t="s">
        <v>55</v>
      </c>
      <c r="Y9" s="55" t="s">
        <v>67</v>
      </c>
    </row>
    <row r="10" spans="1:27" ht="40.5" customHeight="1">
      <c r="A10" s="283"/>
      <c r="B10" s="44" t="s">
        <v>56</v>
      </c>
      <c r="C10" s="55">
        <f t="shared" ref="C10:G10" si="0">IF($N$7="2T+1P", 2, IF($N$7="3T+1P", 2, IF($N$7="3.5T+0.5P", 3, " ")))</f>
        <v>2</v>
      </c>
      <c r="D10" s="55">
        <f t="shared" si="0"/>
        <v>2</v>
      </c>
      <c r="E10" s="55">
        <f t="shared" si="0"/>
        <v>2</v>
      </c>
      <c r="F10" s="55">
        <f t="shared" si="0"/>
        <v>2</v>
      </c>
      <c r="G10" s="55">
        <f t="shared" si="0"/>
        <v>2</v>
      </c>
      <c r="H10" s="55"/>
      <c r="I10" s="55"/>
      <c r="J10" s="55"/>
      <c r="K10" s="55"/>
      <c r="L10" s="55"/>
      <c r="M10" s="55"/>
      <c r="N10" s="55"/>
      <c r="O10" s="55"/>
      <c r="P10" s="55"/>
      <c r="Q10" s="99"/>
      <c r="R10" s="290"/>
      <c r="S10" s="290"/>
      <c r="T10" s="65">
        <f>SUMIF($C$11:$Q$11,1,C10:Q10)</f>
        <v>2</v>
      </c>
      <c r="U10" s="65">
        <f>SUMIF($C$11:$Q$11,2,C10:Q10)</f>
        <v>2</v>
      </c>
      <c r="V10" s="65">
        <f>SUMIF($C$11:$Q$11,3,C10:Q10)</f>
        <v>2</v>
      </c>
      <c r="W10" s="65">
        <f>SUMIF($C$11:$Q$11,4,C10:Q10)</f>
        <v>2</v>
      </c>
      <c r="X10" s="65">
        <f>SUMIF($C$11:$Q$11,5,C10:Q10)</f>
        <v>2</v>
      </c>
      <c r="Y10" s="55" t="str">
        <f>IF($N$7="2T+1P","Out of 10 Marks", IF($N$7="3T+1P", "Out of 10 Marks", IF($N$7="3.5T+0.5P", "Out of 15 Marks", " ")))</f>
        <v>Out of 10 Marks</v>
      </c>
    </row>
    <row r="11" spans="1:27" ht="22.5" customHeight="1">
      <c r="A11" s="284"/>
      <c r="B11" s="36" t="s">
        <v>57</v>
      </c>
      <c r="C11" s="55">
        <v>1</v>
      </c>
      <c r="D11" s="55">
        <v>2</v>
      </c>
      <c r="E11" s="55">
        <v>3</v>
      </c>
      <c r="F11" s="55">
        <v>4</v>
      </c>
      <c r="G11" s="55">
        <v>5</v>
      </c>
      <c r="H11" s="55"/>
      <c r="I11" s="55"/>
      <c r="J11" s="55"/>
      <c r="K11" s="55"/>
      <c r="L11" s="55"/>
      <c r="M11" s="55"/>
      <c r="N11" s="55"/>
      <c r="O11" s="55"/>
      <c r="P11" s="55"/>
      <c r="Q11" s="99"/>
      <c r="R11" s="291"/>
      <c r="S11" s="291"/>
      <c r="T11" s="297"/>
      <c r="U11" s="189"/>
      <c r="V11" s="189"/>
      <c r="W11" s="189"/>
      <c r="X11" s="190"/>
      <c r="Y11" s="105"/>
    </row>
    <row r="12" spans="1:27" ht="18.75" customHeight="1">
      <c r="A12" s="47" t="str">
        <f>+BASE!B16</f>
        <v>23XXR001</v>
      </c>
      <c r="B12" s="36" t="s">
        <v>40</v>
      </c>
      <c r="C12" s="46">
        <f t="shared" ref="C12:C252" si="1">IF($N$7="2T+1P", Y12/5, IF($N$7="3T+1P",Y12/5, IF($N$7="3.5T+0.5P",Y12/5, " ")))</f>
        <v>0</v>
      </c>
      <c r="D12" s="46">
        <f t="shared" ref="D12:D252" si="2">IF($N$7="2T+1P", Y12/5, IF($N$7="3T+1P",Y12/5, IF($N$7="3.5T+0.5P",Y12/5, " ")))</f>
        <v>0</v>
      </c>
      <c r="E12" s="46">
        <f t="shared" ref="E12:E252" si="3">IF($N$7="2T+1P", Y12/5, IF($N$7="3T+1P",Y12/5, IF($N$7="3.5T+0.5P",Y12/5, " ")))</f>
        <v>0</v>
      </c>
      <c r="F12" s="46">
        <f t="shared" ref="F12:F252" si="4">IF($N$7="2T+1P", Y12/5, IF($N$7="3T+1P",Y12/5, IF($N$7="3.5T+0.5P",Y12/5, " ")))</f>
        <v>0</v>
      </c>
      <c r="G12" s="46">
        <f t="shared" ref="G12:G252" si="5">IF($N$7="2T+1P", Y12/5, IF($N$7="3T+1P",Y12/5, IF($N$7="3.5T+0.5P",Y12/5, " ")))</f>
        <v>0</v>
      </c>
      <c r="H12" s="46"/>
      <c r="I12" s="46"/>
      <c r="J12" s="46"/>
      <c r="K12" s="46"/>
      <c r="L12" s="46"/>
      <c r="M12" s="46"/>
      <c r="N12" s="46"/>
      <c r="O12" s="46"/>
      <c r="P12" s="46"/>
      <c r="Q12" s="43"/>
      <c r="R12" s="36">
        <f t="shared" ref="R12:R252" si="6">SUM(C12:Q12)</f>
        <v>0</v>
      </c>
      <c r="S12" s="36">
        <f>BASE!A16</f>
        <v>1</v>
      </c>
      <c r="T12" s="46">
        <f t="shared" ref="T12:T252" si="7">SUMIF($C$11:$Q$11,1,C12:Q12)</f>
        <v>0</v>
      </c>
      <c r="U12" s="46">
        <f t="shared" ref="U12:U252" si="8">SUMIF($C$11:$Q$11,2,C12:Q12)</f>
        <v>0</v>
      </c>
      <c r="V12" s="46">
        <f t="shared" ref="V12:V252" si="9">SUMIF($C$11:$Q$11,3,C12:Q12)</f>
        <v>0</v>
      </c>
      <c r="W12" s="46">
        <f t="shared" ref="W12:W252" si="10">SUMIF($C$11:$Q$11,4,C12:Q12)</f>
        <v>0</v>
      </c>
      <c r="X12" s="46">
        <f t="shared" ref="X12:X252" si="11">SUMIF($C$11:$Q$11,5,C12:Q12)</f>
        <v>0</v>
      </c>
      <c r="Y12" s="159"/>
    </row>
    <row r="13" spans="1:27" ht="18.75" customHeight="1">
      <c r="A13" s="47" t="str">
        <f>+BASE!B17</f>
        <v>23XXR002</v>
      </c>
      <c r="B13" s="36" t="s">
        <v>40</v>
      </c>
      <c r="C13" s="46">
        <f>IF($N$7="2T+1P", Y13/5, IF($N$7="3T+1P",Y13/5, IF($N$7="3.5T+0.5P",Y13/5, " ")))</f>
        <v>0</v>
      </c>
      <c r="D13" s="46">
        <f>IF($N$7="2T+1P", Y13/5, IF($N$7="3T+1P",Y13/5, IF($N$7="3.5T+0.5P",Y13/5, " ")))</f>
        <v>0</v>
      </c>
      <c r="E13" s="46">
        <f>IF($N$7="2T+1P", Y13/5, IF($N$7="3T+1P",Y13/5, IF($N$7="3.5T+0.5P",Y13/5, " ")))</f>
        <v>0</v>
      </c>
      <c r="F13" s="46">
        <f>IF($N$7="2T+1P", Y13/5, IF($N$7="3T+1P",Y13/5, IF($N$7="3.5T+0.5P",Y13/5, " ")))</f>
        <v>0</v>
      </c>
      <c r="G13" s="46">
        <f>IF($N$7="2T+1P", Y13/5, IF($N$7="3T+1P",Y13/5, IF($N$7="3.5T+0.5P",Y13/5, " ")))</f>
        <v>0</v>
      </c>
      <c r="H13" s="46"/>
      <c r="I13" s="46"/>
      <c r="J13" s="46"/>
      <c r="K13" s="46"/>
      <c r="L13" s="46"/>
      <c r="M13" s="46"/>
      <c r="N13" s="46"/>
      <c r="O13" s="46"/>
      <c r="P13" s="46"/>
      <c r="Q13" s="43"/>
      <c r="R13" s="36">
        <f t="shared" si="6"/>
        <v>0</v>
      </c>
      <c r="S13" s="36">
        <f>BASE!A17</f>
        <v>2</v>
      </c>
      <c r="T13" s="46">
        <f t="shared" si="7"/>
        <v>0</v>
      </c>
      <c r="U13" s="46">
        <f t="shared" si="8"/>
        <v>0</v>
      </c>
      <c r="V13" s="46">
        <f t="shared" si="9"/>
        <v>0</v>
      </c>
      <c r="W13" s="46">
        <f t="shared" si="10"/>
        <v>0</v>
      </c>
      <c r="X13" s="46">
        <f t="shared" si="11"/>
        <v>0</v>
      </c>
      <c r="Y13" s="159"/>
    </row>
    <row r="14" spans="1:27" ht="18.75" customHeight="1">
      <c r="A14" s="47" t="str">
        <f>+BASE!B18</f>
        <v>23XXR003</v>
      </c>
      <c r="B14" s="36" t="s">
        <v>40</v>
      </c>
      <c r="C14" s="46">
        <f>IF($N$7="2T+1P", Y14/5, IF($N$7="3T+1P",Y14/5, IF($N$7="3.5T+0.5P",Y14/5, " ")))</f>
        <v>0</v>
      </c>
      <c r="D14" s="46">
        <f>IF($N$7="2T+1P", Y14/5, IF($N$7="3T+1P",Y14/5, IF($N$7="3.5T+0.5P",Y14/5, " ")))</f>
        <v>0</v>
      </c>
      <c r="E14" s="46">
        <f>IF($N$7="2T+1P", Y14/5, IF($N$7="3T+1P",Y14/5, IF($N$7="3.5T+0.5P",Y14/5, " ")))</f>
        <v>0</v>
      </c>
      <c r="F14" s="46">
        <f>IF($N$7="2T+1P", Y14/5, IF($N$7="3T+1P",Y14/5, IF($N$7="3.5T+0.5P",Y14/5, " ")))</f>
        <v>0</v>
      </c>
      <c r="G14" s="46">
        <f>IF($N$7="2T+1P", Y14/5, IF($N$7="3T+1P",Y14/5, IF($N$7="3.5T+0.5P",Y14/5, " ")))</f>
        <v>0</v>
      </c>
      <c r="H14" s="46"/>
      <c r="I14" s="46"/>
      <c r="J14" s="46"/>
      <c r="K14" s="46"/>
      <c r="L14" s="46"/>
      <c r="M14" s="46"/>
      <c r="N14" s="46"/>
      <c r="O14" s="46"/>
      <c r="P14" s="46"/>
      <c r="Q14" s="43"/>
      <c r="R14" s="36">
        <f t="shared" si="6"/>
        <v>0</v>
      </c>
      <c r="S14" s="36">
        <f>BASE!A18</f>
        <v>3</v>
      </c>
      <c r="T14" s="46">
        <f t="shared" si="7"/>
        <v>0</v>
      </c>
      <c r="U14" s="46">
        <f t="shared" si="8"/>
        <v>0</v>
      </c>
      <c r="V14" s="46">
        <f t="shared" si="9"/>
        <v>0</v>
      </c>
      <c r="W14" s="46">
        <f t="shared" si="10"/>
        <v>0</v>
      </c>
      <c r="X14" s="46">
        <f t="shared" si="11"/>
        <v>0</v>
      </c>
      <c r="Y14" s="159"/>
    </row>
    <row r="15" spans="1:27" ht="18.75" customHeight="1">
      <c r="A15" s="47" t="str">
        <f>+BASE!B19</f>
        <v>23XXR004</v>
      </c>
      <c r="B15" s="36" t="s">
        <v>40</v>
      </c>
      <c r="C15" s="46">
        <f>IF($N$7="2T+1P", Y15/5, IF($N$7="3T+1P",Y15/5, IF($N$7="3.5T+0.5P",Y15/5, " ")))</f>
        <v>0</v>
      </c>
      <c r="D15" s="46">
        <f>IF($N$7="2T+1P", Y15/5, IF($N$7="3T+1P",Y15/5, IF($N$7="3.5T+0.5P",Y15/5, " ")))</f>
        <v>0</v>
      </c>
      <c r="E15" s="46">
        <f>IF($N$7="2T+1P", Y15/5, IF($N$7="3T+1P",Y15/5, IF($N$7="3.5T+0.5P",Y15/5, " ")))</f>
        <v>0</v>
      </c>
      <c r="F15" s="46">
        <f>IF($N$7="2T+1P", Y15/5, IF($N$7="3T+1P",Y15/5, IF($N$7="3.5T+0.5P",Y15/5, " ")))</f>
        <v>0</v>
      </c>
      <c r="G15" s="46">
        <f>IF($N$7="2T+1P", Y15/5, IF($N$7="3T+1P",Y15/5, IF($N$7="3.5T+0.5P",Y15/5, " ")))</f>
        <v>0</v>
      </c>
      <c r="H15" s="46"/>
      <c r="I15" s="46"/>
      <c r="J15" s="46"/>
      <c r="K15" s="46"/>
      <c r="L15" s="46"/>
      <c r="M15" s="46"/>
      <c r="N15" s="46"/>
      <c r="O15" s="46"/>
      <c r="P15" s="46"/>
      <c r="Q15" s="43"/>
      <c r="R15" s="36">
        <f t="shared" si="6"/>
        <v>0</v>
      </c>
      <c r="S15" s="36">
        <f>BASE!A19</f>
        <v>4</v>
      </c>
      <c r="T15" s="46">
        <f t="shared" si="7"/>
        <v>0</v>
      </c>
      <c r="U15" s="46">
        <f t="shared" si="8"/>
        <v>0</v>
      </c>
      <c r="V15" s="46">
        <f t="shared" si="9"/>
        <v>0</v>
      </c>
      <c r="W15" s="46">
        <f t="shared" si="10"/>
        <v>0</v>
      </c>
      <c r="X15" s="46">
        <f t="shared" si="11"/>
        <v>0</v>
      </c>
      <c r="Y15" s="159"/>
    </row>
    <row r="16" spans="1:27" ht="18.75" customHeight="1">
      <c r="A16" s="47" t="str">
        <f>+BASE!B20</f>
        <v>23XXR005</v>
      </c>
      <c r="B16" s="36" t="s">
        <v>40</v>
      </c>
      <c r="C16" s="46">
        <f t="shared" si="1"/>
        <v>0</v>
      </c>
      <c r="D16" s="46">
        <f t="shared" si="2"/>
        <v>0</v>
      </c>
      <c r="E16" s="46">
        <f t="shared" si="3"/>
        <v>0</v>
      </c>
      <c r="F16" s="46">
        <f t="shared" si="4"/>
        <v>0</v>
      </c>
      <c r="G16" s="46">
        <f t="shared" si="5"/>
        <v>0</v>
      </c>
      <c r="H16" s="46"/>
      <c r="I16" s="46"/>
      <c r="J16" s="46"/>
      <c r="K16" s="46"/>
      <c r="L16" s="46"/>
      <c r="M16" s="46"/>
      <c r="N16" s="46"/>
      <c r="O16" s="46"/>
      <c r="P16" s="46"/>
      <c r="Q16" s="43"/>
      <c r="R16" s="36">
        <f t="shared" si="6"/>
        <v>0</v>
      </c>
      <c r="S16" s="36">
        <f>BASE!A20</f>
        <v>5</v>
      </c>
      <c r="T16" s="46">
        <f t="shared" si="7"/>
        <v>0</v>
      </c>
      <c r="U16" s="46">
        <f t="shared" si="8"/>
        <v>0</v>
      </c>
      <c r="V16" s="46">
        <f t="shared" si="9"/>
        <v>0</v>
      </c>
      <c r="W16" s="46">
        <f t="shared" si="10"/>
        <v>0</v>
      </c>
      <c r="X16" s="46">
        <f t="shared" si="11"/>
        <v>0</v>
      </c>
      <c r="Y16" s="159"/>
    </row>
    <row r="17" spans="1:25" ht="18.75" customHeight="1">
      <c r="A17" s="47" t="str">
        <f>+BASE!B21</f>
        <v>23XXR006</v>
      </c>
      <c r="B17" s="36" t="s">
        <v>40</v>
      </c>
      <c r="C17" s="46">
        <f t="shared" si="1"/>
        <v>0</v>
      </c>
      <c r="D17" s="46">
        <f t="shared" si="2"/>
        <v>0</v>
      </c>
      <c r="E17" s="46">
        <f t="shared" si="3"/>
        <v>0</v>
      </c>
      <c r="F17" s="46">
        <f t="shared" si="4"/>
        <v>0</v>
      </c>
      <c r="G17" s="46">
        <f t="shared" si="5"/>
        <v>0</v>
      </c>
      <c r="H17" s="46"/>
      <c r="I17" s="46"/>
      <c r="J17" s="46"/>
      <c r="K17" s="46"/>
      <c r="L17" s="46"/>
      <c r="M17" s="46"/>
      <c r="N17" s="46"/>
      <c r="O17" s="46"/>
      <c r="P17" s="46"/>
      <c r="Q17" s="43"/>
      <c r="R17" s="36">
        <f t="shared" si="6"/>
        <v>0</v>
      </c>
      <c r="S17" s="36">
        <f>BASE!A21</f>
        <v>6</v>
      </c>
      <c r="T17" s="46">
        <f t="shared" si="7"/>
        <v>0</v>
      </c>
      <c r="U17" s="46">
        <f t="shared" si="8"/>
        <v>0</v>
      </c>
      <c r="V17" s="46">
        <f t="shared" si="9"/>
        <v>0</v>
      </c>
      <c r="W17" s="46">
        <f t="shared" si="10"/>
        <v>0</v>
      </c>
      <c r="X17" s="46">
        <f t="shared" si="11"/>
        <v>0</v>
      </c>
      <c r="Y17" s="159"/>
    </row>
    <row r="18" spans="1:25" ht="18.75" customHeight="1">
      <c r="A18" s="47" t="str">
        <f>+BASE!B22</f>
        <v>23XXR007</v>
      </c>
      <c r="B18" s="36" t="s">
        <v>40</v>
      </c>
      <c r="C18" s="46">
        <f t="shared" si="1"/>
        <v>0</v>
      </c>
      <c r="D18" s="46">
        <f t="shared" si="2"/>
        <v>0</v>
      </c>
      <c r="E18" s="46">
        <f t="shared" si="3"/>
        <v>0</v>
      </c>
      <c r="F18" s="46">
        <f t="shared" si="4"/>
        <v>0</v>
      </c>
      <c r="G18" s="46">
        <f t="shared" si="5"/>
        <v>0</v>
      </c>
      <c r="H18" s="46"/>
      <c r="I18" s="46"/>
      <c r="J18" s="46"/>
      <c r="K18" s="46"/>
      <c r="L18" s="46"/>
      <c r="M18" s="46"/>
      <c r="N18" s="46"/>
      <c r="O18" s="46"/>
      <c r="P18" s="46"/>
      <c r="Q18" s="43"/>
      <c r="R18" s="36">
        <f t="shared" si="6"/>
        <v>0</v>
      </c>
      <c r="S18" s="36">
        <f>BASE!A22</f>
        <v>7</v>
      </c>
      <c r="T18" s="46">
        <f t="shared" si="7"/>
        <v>0</v>
      </c>
      <c r="U18" s="46">
        <f t="shared" si="8"/>
        <v>0</v>
      </c>
      <c r="V18" s="46">
        <f t="shared" si="9"/>
        <v>0</v>
      </c>
      <c r="W18" s="46">
        <f t="shared" si="10"/>
        <v>0</v>
      </c>
      <c r="X18" s="46">
        <f t="shared" si="11"/>
        <v>0</v>
      </c>
      <c r="Y18" s="159"/>
    </row>
    <row r="19" spans="1:25" ht="18.75" customHeight="1">
      <c r="A19" s="47" t="str">
        <f>+BASE!B23</f>
        <v>23XXR008</v>
      </c>
      <c r="B19" s="36" t="s">
        <v>40</v>
      </c>
      <c r="C19" s="46">
        <f t="shared" si="1"/>
        <v>0</v>
      </c>
      <c r="D19" s="46">
        <f t="shared" si="2"/>
        <v>0</v>
      </c>
      <c r="E19" s="46">
        <f t="shared" si="3"/>
        <v>0</v>
      </c>
      <c r="F19" s="46">
        <f t="shared" si="4"/>
        <v>0</v>
      </c>
      <c r="G19" s="46">
        <f t="shared" si="5"/>
        <v>0</v>
      </c>
      <c r="H19" s="46"/>
      <c r="I19" s="46"/>
      <c r="J19" s="46"/>
      <c r="K19" s="46"/>
      <c r="L19" s="46"/>
      <c r="M19" s="46"/>
      <c r="N19" s="46"/>
      <c r="O19" s="46"/>
      <c r="P19" s="46"/>
      <c r="Q19" s="43"/>
      <c r="R19" s="36">
        <f t="shared" si="6"/>
        <v>0</v>
      </c>
      <c r="S19" s="36">
        <f>BASE!A23</f>
        <v>8</v>
      </c>
      <c r="T19" s="46">
        <f t="shared" si="7"/>
        <v>0</v>
      </c>
      <c r="U19" s="46">
        <f t="shared" si="8"/>
        <v>0</v>
      </c>
      <c r="V19" s="46">
        <f t="shared" si="9"/>
        <v>0</v>
      </c>
      <c r="W19" s="46">
        <f t="shared" si="10"/>
        <v>0</v>
      </c>
      <c r="X19" s="46">
        <f t="shared" si="11"/>
        <v>0</v>
      </c>
      <c r="Y19" s="159"/>
    </row>
    <row r="20" spans="1:25" ht="18.75" customHeight="1">
      <c r="A20" s="47" t="str">
        <f>+BASE!B24</f>
        <v>23XXR009</v>
      </c>
      <c r="B20" s="36" t="s">
        <v>40</v>
      </c>
      <c r="C20" s="46">
        <f t="shared" si="1"/>
        <v>0</v>
      </c>
      <c r="D20" s="46">
        <f t="shared" si="2"/>
        <v>0</v>
      </c>
      <c r="E20" s="46">
        <f t="shared" si="3"/>
        <v>0</v>
      </c>
      <c r="F20" s="46">
        <f t="shared" si="4"/>
        <v>0</v>
      </c>
      <c r="G20" s="46">
        <f t="shared" si="5"/>
        <v>0</v>
      </c>
      <c r="H20" s="46"/>
      <c r="I20" s="46"/>
      <c r="J20" s="46"/>
      <c r="K20" s="46"/>
      <c r="L20" s="46"/>
      <c r="M20" s="46"/>
      <c r="N20" s="46"/>
      <c r="O20" s="46"/>
      <c r="P20" s="46"/>
      <c r="Q20" s="43"/>
      <c r="R20" s="36">
        <f t="shared" si="6"/>
        <v>0</v>
      </c>
      <c r="S20" s="36">
        <f>BASE!A24</f>
        <v>9</v>
      </c>
      <c r="T20" s="46">
        <f t="shared" si="7"/>
        <v>0</v>
      </c>
      <c r="U20" s="46">
        <f t="shared" si="8"/>
        <v>0</v>
      </c>
      <c r="V20" s="46">
        <f t="shared" si="9"/>
        <v>0</v>
      </c>
      <c r="W20" s="46">
        <f t="shared" si="10"/>
        <v>0</v>
      </c>
      <c r="X20" s="46">
        <f t="shared" si="11"/>
        <v>0</v>
      </c>
      <c r="Y20" s="159"/>
    </row>
    <row r="21" spans="1:25" ht="18.75" customHeight="1">
      <c r="A21" s="47" t="str">
        <f>+BASE!B25</f>
        <v>23XXR010</v>
      </c>
      <c r="B21" s="36" t="s">
        <v>40</v>
      </c>
      <c r="C21" s="46">
        <f t="shared" si="1"/>
        <v>0</v>
      </c>
      <c r="D21" s="46">
        <f t="shared" si="2"/>
        <v>0</v>
      </c>
      <c r="E21" s="46">
        <f t="shared" si="3"/>
        <v>0</v>
      </c>
      <c r="F21" s="46">
        <f t="shared" si="4"/>
        <v>0</v>
      </c>
      <c r="G21" s="46">
        <f t="shared" si="5"/>
        <v>0</v>
      </c>
      <c r="H21" s="46"/>
      <c r="I21" s="46"/>
      <c r="J21" s="46"/>
      <c r="K21" s="46"/>
      <c r="L21" s="46"/>
      <c r="M21" s="46"/>
      <c r="N21" s="46"/>
      <c r="O21" s="46"/>
      <c r="P21" s="46"/>
      <c r="Q21" s="43"/>
      <c r="R21" s="36">
        <f t="shared" si="6"/>
        <v>0</v>
      </c>
      <c r="S21" s="36">
        <f>BASE!A25</f>
        <v>10</v>
      </c>
      <c r="T21" s="46">
        <f t="shared" si="7"/>
        <v>0</v>
      </c>
      <c r="U21" s="46">
        <f t="shared" si="8"/>
        <v>0</v>
      </c>
      <c r="V21" s="46">
        <f t="shared" si="9"/>
        <v>0</v>
      </c>
      <c r="W21" s="46">
        <f t="shared" si="10"/>
        <v>0</v>
      </c>
      <c r="X21" s="46">
        <f t="shared" si="11"/>
        <v>0</v>
      </c>
      <c r="Y21" s="159"/>
    </row>
    <row r="22" spans="1:25" ht="18.75" customHeight="1">
      <c r="A22" s="47" t="str">
        <f>+BASE!B26</f>
        <v>23XXR011</v>
      </c>
      <c r="B22" s="36" t="s">
        <v>40</v>
      </c>
      <c r="C22" s="46">
        <f t="shared" si="1"/>
        <v>0</v>
      </c>
      <c r="D22" s="46">
        <f t="shared" si="2"/>
        <v>0</v>
      </c>
      <c r="E22" s="46">
        <f t="shared" si="3"/>
        <v>0</v>
      </c>
      <c r="F22" s="46">
        <f t="shared" si="4"/>
        <v>0</v>
      </c>
      <c r="G22" s="46">
        <f t="shared" si="5"/>
        <v>0</v>
      </c>
      <c r="H22" s="46"/>
      <c r="I22" s="46"/>
      <c r="J22" s="46"/>
      <c r="K22" s="46"/>
      <c r="L22" s="46"/>
      <c r="M22" s="46"/>
      <c r="N22" s="46"/>
      <c r="O22" s="46"/>
      <c r="P22" s="46"/>
      <c r="Q22" s="43"/>
      <c r="R22" s="36">
        <f t="shared" si="6"/>
        <v>0</v>
      </c>
      <c r="S22" s="36">
        <f>BASE!A26</f>
        <v>11</v>
      </c>
      <c r="T22" s="46">
        <f t="shared" si="7"/>
        <v>0</v>
      </c>
      <c r="U22" s="46">
        <f t="shared" si="8"/>
        <v>0</v>
      </c>
      <c r="V22" s="46">
        <f t="shared" si="9"/>
        <v>0</v>
      </c>
      <c r="W22" s="46">
        <f t="shared" si="10"/>
        <v>0</v>
      </c>
      <c r="X22" s="46">
        <f t="shared" si="11"/>
        <v>0</v>
      </c>
      <c r="Y22" s="159"/>
    </row>
    <row r="23" spans="1:25" ht="18.75" customHeight="1">
      <c r="A23" s="47" t="str">
        <f>+BASE!B27</f>
        <v>23XXR012</v>
      </c>
      <c r="B23" s="36" t="s">
        <v>40</v>
      </c>
      <c r="C23" s="46">
        <f>IF($N$7="2T+1P", Y23/5, IF($N$7="3T+1P",Y23/5, IF($N$7="3.5T+0.5P",Y23/5, " ")))</f>
        <v>0</v>
      </c>
      <c r="D23" s="46">
        <f>IF($N$7="2T+1P", Y23/5, IF($N$7="3T+1P",Y23/5, IF($N$7="3.5T+0.5P",Y23/5, " ")))</f>
        <v>0</v>
      </c>
      <c r="E23" s="46">
        <f>IF($N$7="2T+1P", Y23/5, IF($N$7="3T+1P",Y23/5, IF($N$7="3.5T+0.5P",Y23/5, " ")))</f>
        <v>0</v>
      </c>
      <c r="F23" s="46">
        <f>IF($N$7="2T+1P", Y23/5, IF($N$7="3T+1P",Y23/5, IF($N$7="3.5T+0.5P",Y23/5, " ")))</f>
        <v>0</v>
      </c>
      <c r="G23" s="46">
        <f>IF($N$7="2T+1P", Y23/5, IF($N$7="3T+1P",Y23/5, IF($N$7="3.5T+0.5P",Y23/5, " ")))</f>
        <v>0</v>
      </c>
      <c r="H23" s="46"/>
      <c r="I23" s="46"/>
      <c r="J23" s="46"/>
      <c r="K23" s="46"/>
      <c r="L23" s="46"/>
      <c r="M23" s="46"/>
      <c r="N23" s="46"/>
      <c r="O23" s="46"/>
      <c r="P23" s="46"/>
      <c r="Q23" s="43"/>
      <c r="R23" s="36">
        <f t="shared" si="6"/>
        <v>0</v>
      </c>
      <c r="S23" s="36">
        <f>BASE!A27</f>
        <v>12</v>
      </c>
      <c r="T23" s="46">
        <f t="shared" si="7"/>
        <v>0</v>
      </c>
      <c r="U23" s="46">
        <f t="shared" si="8"/>
        <v>0</v>
      </c>
      <c r="V23" s="46">
        <f t="shared" si="9"/>
        <v>0</v>
      </c>
      <c r="W23" s="46">
        <f t="shared" si="10"/>
        <v>0</v>
      </c>
      <c r="X23" s="46">
        <f t="shared" si="11"/>
        <v>0</v>
      </c>
      <c r="Y23" s="159"/>
    </row>
    <row r="24" spans="1:25" ht="18.75" customHeight="1">
      <c r="A24" s="47" t="str">
        <f>+BASE!B28</f>
        <v>23XXR013</v>
      </c>
      <c r="B24" s="36" t="s">
        <v>40</v>
      </c>
      <c r="C24" s="46">
        <f>IF($N$7="2T+1P", Y24/5, IF($N$7="3T+1P",Y24/5, IF($N$7="3.5T+0.5P",Y24/5, " ")))</f>
        <v>0</v>
      </c>
      <c r="D24" s="46">
        <f>IF($N$7="2T+1P", Y24/5, IF($N$7="3T+1P",Y24/5, IF($N$7="3.5T+0.5P",Y24/5, " ")))</f>
        <v>0</v>
      </c>
      <c r="E24" s="46">
        <f>IF($N$7="2T+1P", Y24/5, IF($N$7="3T+1P",Y24/5, IF($N$7="3.5T+0.5P",Y24/5, " ")))</f>
        <v>0</v>
      </c>
      <c r="F24" s="46">
        <f>IF($N$7="2T+1P", Y24/5, IF($N$7="3T+1P",Y24/5, IF($N$7="3.5T+0.5P",Y24/5, " ")))</f>
        <v>0</v>
      </c>
      <c r="G24" s="46">
        <f>IF($N$7="2T+1P", Y24/5, IF($N$7="3T+1P",Y24/5, IF($N$7="3.5T+0.5P",Y24/5, " ")))</f>
        <v>0</v>
      </c>
      <c r="H24" s="46"/>
      <c r="I24" s="46"/>
      <c r="J24" s="46"/>
      <c r="K24" s="46"/>
      <c r="L24" s="46"/>
      <c r="M24" s="46"/>
      <c r="N24" s="46"/>
      <c r="O24" s="46"/>
      <c r="P24" s="46"/>
      <c r="Q24" s="43"/>
      <c r="R24" s="36">
        <f t="shared" si="6"/>
        <v>0</v>
      </c>
      <c r="S24" s="36">
        <f>BASE!A28</f>
        <v>13</v>
      </c>
      <c r="T24" s="46">
        <f t="shared" si="7"/>
        <v>0</v>
      </c>
      <c r="U24" s="46">
        <f t="shared" si="8"/>
        <v>0</v>
      </c>
      <c r="V24" s="46">
        <f t="shared" si="9"/>
        <v>0</v>
      </c>
      <c r="W24" s="46">
        <f t="shared" si="10"/>
        <v>0</v>
      </c>
      <c r="X24" s="46">
        <f t="shared" si="11"/>
        <v>0</v>
      </c>
      <c r="Y24" s="159"/>
    </row>
    <row r="25" spans="1:25" ht="18.75" customHeight="1">
      <c r="A25" s="47" t="str">
        <f>+BASE!B29</f>
        <v>23XXR014</v>
      </c>
      <c r="B25" s="36" t="s">
        <v>40</v>
      </c>
      <c r="C25" s="46">
        <f>IF($N$7="2T+1P", Y25/5, IF($N$7="3T+1P",Y25/5, IF($N$7="3.5T+0.5P",Y25/5, " ")))</f>
        <v>0</v>
      </c>
      <c r="D25" s="46">
        <f>IF($N$7="2T+1P", Y25/5, IF($N$7="3T+1P",Y25/5, IF($N$7="3.5T+0.5P",Y25/5, " ")))</f>
        <v>0</v>
      </c>
      <c r="E25" s="46">
        <f>IF($N$7="2T+1P", Y25/5, IF($N$7="3T+1P",Y25/5, IF($N$7="3.5T+0.5P",Y25/5, " ")))</f>
        <v>0</v>
      </c>
      <c r="F25" s="46">
        <f>IF($N$7="2T+1P", Y25/5, IF($N$7="3T+1P",Y25/5, IF($N$7="3.5T+0.5P",Y25/5, " ")))</f>
        <v>0</v>
      </c>
      <c r="G25" s="46">
        <f>IF($N$7="2T+1P", Y25/5, IF($N$7="3T+1P",Y25/5, IF($N$7="3.5T+0.5P",Y25/5, " ")))</f>
        <v>0</v>
      </c>
      <c r="H25" s="46"/>
      <c r="I25" s="46"/>
      <c r="J25" s="46"/>
      <c r="K25" s="46"/>
      <c r="L25" s="46"/>
      <c r="M25" s="46"/>
      <c r="N25" s="46"/>
      <c r="O25" s="46"/>
      <c r="P25" s="46"/>
      <c r="Q25" s="43"/>
      <c r="R25" s="36">
        <f t="shared" si="6"/>
        <v>0</v>
      </c>
      <c r="S25" s="36">
        <f>BASE!A29</f>
        <v>14</v>
      </c>
      <c r="T25" s="46">
        <f t="shared" si="7"/>
        <v>0</v>
      </c>
      <c r="U25" s="46">
        <f t="shared" si="8"/>
        <v>0</v>
      </c>
      <c r="V25" s="46">
        <f t="shared" si="9"/>
        <v>0</v>
      </c>
      <c r="W25" s="46">
        <f t="shared" si="10"/>
        <v>0</v>
      </c>
      <c r="X25" s="46">
        <f t="shared" si="11"/>
        <v>0</v>
      </c>
      <c r="Y25" s="159"/>
    </row>
    <row r="26" spans="1:25" ht="18.75" customHeight="1">
      <c r="A26" s="47" t="str">
        <f>+BASE!B30</f>
        <v>23XXR015</v>
      </c>
      <c r="B26" s="36" t="s">
        <v>40</v>
      </c>
      <c r="C26" s="46">
        <f t="shared" si="1"/>
        <v>0</v>
      </c>
      <c r="D26" s="46">
        <f t="shared" si="2"/>
        <v>0</v>
      </c>
      <c r="E26" s="46">
        <f t="shared" si="3"/>
        <v>0</v>
      </c>
      <c r="F26" s="46">
        <f t="shared" si="4"/>
        <v>0</v>
      </c>
      <c r="G26" s="46">
        <f t="shared" si="5"/>
        <v>0</v>
      </c>
      <c r="H26" s="46"/>
      <c r="I26" s="46"/>
      <c r="J26" s="46"/>
      <c r="K26" s="46"/>
      <c r="L26" s="46"/>
      <c r="M26" s="46"/>
      <c r="N26" s="46"/>
      <c r="O26" s="46"/>
      <c r="P26" s="46"/>
      <c r="Q26" s="43"/>
      <c r="R26" s="36">
        <f t="shared" si="6"/>
        <v>0</v>
      </c>
      <c r="S26" s="36">
        <f>BASE!A30</f>
        <v>15</v>
      </c>
      <c r="T26" s="46">
        <f t="shared" si="7"/>
        <v>0</v>
      </c>
      <c r="U26" s="46">
        <f t="shared" si="8"/>
        <v>0</v>
      </c>
      <c r="V26" s="46">
        <f t="shared" si="9"/>
        <v>0</v>
      </c>
      <c r="W26" s="46">
        <f t="shared" si="10"/>
        <v>0</v>
      </c>
      <c r="X26" s="46">
        <f t="shared" si="11"/>
        <v>0</v>
      </c>
      <c r="Y26" s="159"/>
    </row>
    <row r="27" spans="1:25" ht="18.75" customHeight="1">
      <c r="A27" s="47" t="str">
        <f>+BASE!B31</f>
        <v>23XXR016</v>
      </c>
      <c r="B27" s="36" t="s">
        <v>40</v>
      </c>
      <c r="C27" s="46">
        <f t="shared" si="1"/>
        <v>0</v>
      </c>
      <c r="D27" s="46">
        <f t="shared" si="2"/>
        <v>0</v>
      </c>
      <c r="E27" s="46">
        <f t="shared" si="3"/>
        <v>0</v>
      </c>
      <c r="F27" s="46">
        <f t="shared" si="4"/>
        <v>0</v>
      </c>
      <c r="G27" s="46">
        <f t="shared" si="5"/>
        <v>0</v>
      </c>
      <c r="H27" s="46"/>
      <c r="I27" s="46"/>
      <c r="J27" s="46"/>
      <c r="K27" s="46"/>
      <c r="L27" s="46"/>
      <c r="M27" s="46"/>
      <c r="N27" s="46"/>
      <c r="O27" s="46"/>
      <c r="P27" s="46"/>
      <c r="Q27" s="43"/>
      <c r="R27" s="36">
        <f t="shared" si="6"/>
        <v>0</v>
      </c>
      <c r="S27" s="36">
        <f>BASE!A31</f>
        <v>16</v>
      </c>
      <c r="T27" s="46">
        <f t="shared" si="7"/>
        <v>0</v>
      </c>
      <c r="U27" s="46">
        <f t="shared" si="8"/>
        <v>0</v>
      </c>
      <c r="V27" s="46">
        <f t="shared" si="9"/>
        <v>0</v>
      </c>
      <c r="W27" s="46">
        <f t="shared" si="10"/>
        <v>0</v>
      </c>
      <c r="X27" s="46">
        <f t="shared" si="11"/>
        <v>0</v>
      </c>
      <c r="Y27" s="159"/>
    </row>
    <row r="28" spans="1:25" ht="18.75" customHeight="1">
      <c r="A28" s="47" t="str">
        <f>+BASE!B32</f>
        <v>23XXR017</v>
      </c>
      <c r="B28" s="36" t="s">
        <v>40</v>
      </c>
      <c r="C28" s="46">
        <f t="shared" si="1"/>
        <v>0</v>
      </c>
      <c r="D28" s="46">
        <f t="shared" si="2"/>
        <v>0</v>
      </c>
      <c r="E28" s="46">
        <f t="shared" si="3"/>
        <v>0</v>
      </c>
      <c r="F28" s="46">
        <f t="shared" si="4"/>
        <v>0</v>
      </c>
      <c r="G28" s="46">
        <f t="shared" si="5"/>
        <v>0</v>
      </c>
      <c r="H28" s="46"/>
      <c r="I28" s="46"/>
      <c r="J28" s="46"/>
      <c r="K28" s="46"/>
      <c r="L28" s="46"/>
      <c r="M28" s="46"/>
      <c r="N28" s="46"/>
      <c r="O28" s="46"/>
      <c r="P28" s="46"/>
      <c r="Q28" s="43"/>
      <c r="R28" s="36">
        <f t="shared" si="6"/>
        <v>0</v>
      </c>
      <c r="S28" s="36">
        <f>BASE!A32</f>
        <v>17</v>
      </c>
      <c r="T28" s="46">
        <f t="shared" si="7"/>
        <v>0</v>
      </c>
      <c r="U28" s="46">
        <f t="shared" si="8"/>
        <v>0</v>
      </c>
      <c r="V28" s="46">
        <f t="shared" si="9"/>
        <v>0</v>
      </c>
      <c r="W28" s="46">
        <f t="shared" si="10"/>
        <v>0</v>
      </c>
      <c r="X28" s="46">
        <f t="shared" si="11"/>
        <v>0</v>
      </c>
      <c r="Y28" s="159"/>
    </row>
    <row r="29" spans="1:25" ht="18.75" customHeight="1">
      <c r="A29" s="47" t="str">
        <f>+BASE!B33</f>
        <v>23XXR018</v>
      </c>
      <c r="B29" s="36" t="s">
        <v>40</v>
      </c>
      <c r="C29" s="46">
        <f t="shared" si="1"/>
        <v>0</v>
      </c>
      <c r="D29" s="46">
        <f t="shared" si="2"/>
        <v>0</v>
      </c>
      <c r="E29" s="46">
        <f t="shared" si="3"/>
        <v>0</v>
      </c>
      <c r="F29" s="46">
        <f t="shared" si="4"/>
        <v>0</v>
      </c>
      <c r="G29" s="46">
        <f t="shared" si="5"/>
        <v>0</v>
      </c>
      <c r="H29" s="46"/>
      <c r="I29" s="46"/>
      <c r="J29" s="46"/>
      <c r="K29" s="46"/>
      <c r="L29" s="46"/>
      <c r="M29" s="46"/>
      <c r="N29" s="46"/>
      <c r="O29" s="46"/>
      <c r="P29" s="46"/>
      <c r="Q29" s="43"/>
      <c r="R29" s="36">
        <f t="shared" si="6"/>
        <v>0</v>
      </c>
      <c r="S29" s="36">
        <f>BASE!A33</f>
        <v>18</v>
      </c>
      <c r="T29" s="46">
        <f t="shared" si="7"/>
        <v>0</v>
      </c>
      <c r="U29" s="46">
        <f t="shared" si="8"/>
        <v>0</v>
      </c>
      <c r="V29" s="46">
        <f t="shared" si="9"/>
        <v>0</v>
      </c>
      <c r="W29" s="46">
        <f t="shared" si="10"/>
        <v>0</v>
      </c>
      <c r="X29" s="46">
        <f t="shared" si="11"/>
        <v>0</v>
      </c>
      <c r="Y29" s="159"/>
    </row>
    <row r="30" spans="1:25" ht="18.75" customHeight="1">
      <c r="A30" s="47" t="str">
        <f>+BASE!B34</f>
        <v>23XXR019</v>
      </c>
      <c r="B30" s="36" t="s">
        <v>40</v>
      </c>
      <c r="C30" s="46">
        <f t="shared" si="1"/>
        <v>0</v>
      </c>
      <c r="D30" s="46">
        <f t="shared" si="2"/>
        <v>0</v>
      </c>
      <c r="E30" s="46">
        <f t="shared" si="3"/>
        <v>0</v>
      </c>
      <c r="F30" s="46">
        <f t="shared" si="4"/>
        <v>0</v>
      </c>
      <c r="G30" s="46">
        <f t="shared" si="5"/>
        <v>0</v>
      </c>
      <c r="H30" s="46"/>
      <c r="I30" s="46"/>
      <c r="J30" s="46"/>
      <c r="K30" s="46"/>
      <c r="L30" s="46"/>
      <c r="M30" s="46"/>
      <c r="N30" s="46"/>
      <c r="O30" s="46"/>
      <c r="P30" s="46"/>
      <c r="Q30" s="43"/>
      <c r="R30" s="36">
        <f t="shared" si="6"/>
        <v>0</v>
      </c>
      <c r="S30" s="36">
        <f>BASE!A34</f>
        <v>19</v>
      </c>
      <c r="T30" s="46">
        <f t="shared" si="7"/>
        <v>0</v>
      </c>
      <c r="U30" s="46">
        <f t="shared" si="8"/>
        <v>0</v>
      </c>
      <c r="V30" s="46">
        <f t="shared" si="9"/>
        <v>0</v>
      </c>
      <c r="W30" s="46">
        <f t="shared" si="10"/>
        <v>0</v>
      </c>
      <c r="X30" s="46">
        <f t="shared" si="11"/>
        <v>0</v>
      </c>
      <c r="Y30" s="159"/>
    </row>
    <row r="31" spans="1:25" ht="18.75" customHeight="1">
      <c r="A31" s="47" t="str">
        <f>+BASE!B35</f>
        <v>23XXR020</v>
      </c>
      <c r="B31" s="36" t="s">
        <v>40</v>
      </c>
      <c r="C31" s="46">
        <f t="shared" si="1"/>
        <v>0</v>
      </c>
      <c r="D31" s="46">
        <f t="shared" si="2"/>
        <v>0</v>
      </c>
      <c r="E31" s="46">
        <f t="shared" si="3"/>
        <v>0</v>
      </c>
      <c r="F31" s="46">
        <f t="shared" si="4"/>
        <v>0</v>
      </c>
      <c r="G31" s="46">
        <f t="shared" si="5"/>
        <v>0</v>
      </c>
      <c r="H31" s="46"/>
      <c r="I31" s="46"/>
      <c r="J31" s="46"/>
      <c r="K31" s="46"/>
      <c r="L31" s="46"/>
      <c r="M31" s="46"/>
      <c r="N31" s="46"/>
      <c r="O31" s="46"/>
      <c r="P31" s="46"/>
      <c r="Q31" s="43"/>
      <c r="R31" s="36">
        <f t="shared" si="6"/>
        <v>0</v>
      </c>
      <c r="S31" s="36">
        <f>BASE!A35</f>
        <v>20</v>
      </c>
      <c r="T31" s="46">
        <f t="shared" si="7"/>
        <v>0</v>
      </c>
      <c r="U31" s="46">
        <f t="shared" si="8"/>
        <v>0</v>
      </c>
      <c r="V31" s="46">
        <f t="shared" si="9"/>
        <v>0</v>
      </c>
      <c r="W31" s="46">
        <f t="shared" si="10"/>
        <v>0</v>
      </c>
      <c r="X31" s="46">
        <f t="shared" si="11"/>
        <v>0</v>
      </c>
      <c r="Y31" s="159"/>
    </row>
    <row r="32" spans="1:25" ht="18.75" customHeight="1">
      <c r="A32" s="47" t="str">
        <f>+BASE!B36</f>
        <v>23XXR021</v>
      </c>
      <c r="B32" s="36" t="s">
        <v>40</v>
      </c>
      <c r="C32" s="46">
        <f t="shared" si="1"/>
        <v>0</v>
      </c>
      <c r="D32" s="46">
        <f t="shared" si="2"/>
        <v>0</v>
      </c>
      <c r="E32" s="46">
        <f t="shared" si="3"/>
        <v>0</v>
      </c>
      <c r="F32" s="46">
        <f t="shared" si="4"/>
        <v>0</v>
      </c>
      <c r="G32" s="46">
        <f t="shared" si="5"/>
        <v>0</v>
      </c>
      <c r="H32" s="46"/>
      <c r="I32" s="46"/>
      <c r="J32" s="46"/>
      <c r="K32" s="46"/>
      <c r="L32" s="46"/>
      <c r="M32" s="46"/>
      <c r="N32" s="46"/>
      <c r="O32" s="46"/>
      <c r="P32" s="46"/>
      <c r="Q32" s="43"/>
      <c r="R32" s="36">
        <f t="shared" si="6"/>
        <v>0</v>
      </c>
      <c r="S32" s="36">
        <f>BASE!A36</f>
        <v>21</v>
      </c>
      <c r="T32" s="46">
        <f t="shared" si="7"/>
        <v>0</v>
      </c>
      <c r="U32" s="46">
        <f t="shared" si="8"/>
        <v>0</v>
      </c>
      <c r="V32" s="46">
        <f t="shared" si="9"/>
        <v>0</v>
      </c>
      <c r="W32" s="46">
        <f t="shared" si="10"/>
        <v>0</v>
      </c>
      <c r="X32" s="46">
        <f t="shared" si="11"/>
        <v>0</v>
      </c>
      <c r="Y32" s="159"/>
    </row>
    <row r="33" spans="1:25" ht="18.75" customHeight="1">
      <c r="A33" s="47" t="str">
        <f>+BASE!B37</f>
        <v>23XXR022</v>
      </c>
      <c r="B33" s="36" t="s">
        <v>40</v>
      </c>
      <c r="C33" s="46">
        <f t="shared" si="1"/>
        <v>0</v>
      </c>
      <c r="D33" s="46">
        <f t="shared" si="2"/>
        <v>0</v>
      </c>
      <c r="E33" s="46">
        <f t="shared" si="3"/>
        <v>0</v>
      </c>
      <c r="F33" s="46">
        <f t="shared" si="4"/>
        <v>0</v>
      </c>
      <c r="G33" s="46">
        <f t="shared" si="5"/>
        <v>0</v>
      </c>
      <c r="H33" s="46"/>
      <c r="I33" s="46"/>
      <c r="J33" s="46"/>
      <c r="K33" s="46"/>
      <c r="L33" s="46"/>
      <c r="M33" s="46"/>
      <c r="N33" s="46"/>
      <c r="O33" s="46"/>
      <c r="P33" s="46"/>
      <c r="Q33" s="43"/>
      <c r="R33" s="36">
        <f t="shared" si="6"/>
        <v>0</v>
      </c>
      <c r="S33" s="36">
        <f>BASE!A37</f>
        <v>22</v>
      </c>
      <c r="T33" s="46">
        <f t="shared" si="7"/>
        <v>0</v>
      </c>
      <c r="U33" s="46">
        <f t="shared" si="8"/>
        <v>0</v>
      </c>
      <c r="V33" s="46">
        <f t="shared" si="9"/>
        <v>0</v>
      </c>
      <c r="W33" s="46">
        <f t="shared" si="10"/>
        <v>0</v>
      </c>
      <c r="X33" s="46">
        <f t="shared" si="11"/>
        <v>0</v>
      </c>
      <c r="Y33" s="159"/>
    </row>
    <row r="34" spans="1:25" ht="18.75" customHeight="1">
      <c r="A34" s="47" t="str">
        <f>+BASE!B38</f>
        <v>23XXR023</v>
      </c>
      <c r="B34" s="36" t="s">
        <v>40</v>
      </c>
      <c r="C34" s="46">
        <f t="shared" si="1"/>
        <v>0</v>
      </c>
      <c r="D34" s="46">
        <f t="shared" si="2"/>
        <v>0</v>
      </c>
      <c r="E34" s="46">
        <f t="shared" si="3"/>
        <v>0</v>
      </c>
      <c r="F34" s="46">
        <f t="shared" si="4"/>
        <v>0</v>
      </c>
      <c r="G34" s="46">
        <f t="shared" si="5"/>
        <v>0</v>
      </c>
      <c r="H34" s="46"/>
      <c r="I34" s="46"/>
      <c r="J34" s="46"/>
      <c r="K34" s="46"/>
      <c r="L34" s="46"/>
      <c r="M34" s="46"/>
      <c r="N34" s="46"/>
      <c r="O34" s="46"/>
      <c r="P34" s="46"/>
      <c r="Q34" s="43"/>
      <c r="R34" s="36">
        <f t="shared" si="6"/>
        <v>0</v>
      </c>
      <c r="S34" s="36">
        <f>BASE!A38</f>
        <v>23</v>
      </c>
      <c r="T34" s="46">
        <f t="shared" si="7"/>
        <v>0</v>
      </c>
      <c r="U34" s="46">
        <f t="shared" si="8"/>
        <v>0</v>
      </c>
      <c r="V34" s="46">
        <f t="shared" si="9"/>
        <v>0</v>
      </c>
      <c r="W34" s="46">
        <f t="shared" si="10"/>
        <v>0</v>
      </c>
      <c r="X34" s="46">
        <f t="shared" si="11"/>
        <v>0</v>
      </c>
      <c r="Y34" s="159"/>
    </row>
    <row r="35" spans="1:25" ht="18.75" customHeight="1">
      <c r="A35" s="47" t="str">
        <f>+BASE!B39</f>
        <v>23XXR024</v>
      </c>
      <c r="B35" s="36" t="s">
        <v>40</v>
      </c>
      <c r="C35" s="46">
        <f t="shared" si="1"/>
        <v>0</v>
      </c>
      <c r="D35" s="46">
        <f t="shared" si="2"/>
        <v>0</v>
      </c>
      <c r="E35" s="46">
        <f t="shared" si="3"/>
        <v>0</v>
      </c>
      <c r="F35" s="46">
        <f t="shared" si="4"/>
        <v>0</v>
      </c>
      <c r="G35" s="46">
        <f t="shared" si="5"/>
        <v>0</v>
      </c>
      <c r="H35" s="46"/>
      <c r="I35" s="46"/>
      <c r="J35" s="46"/>
      <c r="K35" s="46"/>
      <c r="L35" s="46"/>
      <c r="M35" s="46"/>
      <c r="N35" s="46"/>
      <c r="O35" s="46"/>
      <c r="P35" s="46"/>
      <c r="Q35" s="43"/>
      <c r="R35" s="36">
        <f t="shared" si="6"/>
        <v>0</v>
      </c>
      <c r="S35" s="36">
        <f>BASE!A39</f>
        <v>24</v>
      </c>
      <c r="T35" s="46">
        <f t="shared" si="7"/>
        <v>0</v>
      </c>
      <c r="U35" s="46">
        <f t="shared" si="8"/>
        <v>0</v>
      </c>
      <c r="V35" s="46">
        <f t="shared" si="9"/>
        <v>0</v>
      </c>
      <c r="W35" s="46">
        <f t="shared" si="10"/>
        <v>0</v>
      </c>
      <c r="X35" s="46">
        <f t="shared" si="11"/>
        <v>0</v>
      </c>
      <c r="Y35" s="159"/>
    </row>
    <row r="36" spans="1:25" ht="18.75" customHeight="1">
      <c r="A36" s="47" t="str">
        <f>+BASE!B40</f>
        <v>23XXR025</v>
      </c>
      <c r="B36" s="36" t="s">
        <v>40</v>
      </c>
      <c r="C36" s="46">
        <f t="shared" si="1"/>
        <v>0</v>
      </c>
      <c r="D36" s="46">
        <f t="shared" si="2"/>
        <v>0</v>
      </c>
      <c r="E36" s="46">
        <f t="shared" si="3"/>
        <v>0</v>
      </c>
      <c r="F36" s="46">
        <f t="shared" si="4"/>
        <v>0</v>
      </c>
      <c r="G36" s="46">
        <f t="shared" si="5"/>
        <v>0</v>
      </c>
      <c r="H36" s="46"/>
      <c r="I36" s="46"/>
      <c r="J36" s="46"/>
      <c r="K36" s="46"/>
      <c r="L36" s="46"/>
      <c r="M36" s="46"/>
      <c r="N36" s="46"/>
      <c r="O36" s="46"/>
      <c r="P36" s="46"/>
      <c r="Q36" s="43"/>
      <c r="R36" s="36">
        <f t="shared" si="6"/>
        <v>0</v>
      </c>
      <c r="S36" s="36">
        <f>BASE!A40</f>
        <v>25</v>
      </c>
      <c r="T36" s="46">
        <f t="shared" si="7"/>
        <v>0</v>
      </c>
      <c r="U36" s="46">
        <f t="shared" si="8"/>
        <v>0</v>
      </c>
      <c r="V36" s="46">
        <f t="shared" si="9"/>
        <v>0</v>
      </c>
      <c r="W36" s="46">
        <f t="shared" si="10"/>
        <v>0</v>
      </c>
      <c r="X36" s="46">
        <f t="shared" si="11"/>
        <v>0</v>
      </c>
      <c r="Y36" s="159"/>
    </row>
    <row r="37" spans="1:25" ht="18.75" customHeight="1">
      <c r="A37" s="47" t="str">
        <f>+BASE!B41</f>
        <v>23XXR026</v>
      </c>
      <c r="B37" s="36" t="s">
        <v>40</v>
      </c>
      <c r="C37" s="46">
        <f t="shared" si="1"/>
        <v>0</v>
      </c>
      <c r="D37" s="46">
        <f t="shared" si="2"/>
        <v>0</v>
      </c>
      <c r="E37" s="46">
        <f t="shared" si="3"/>
        <v>0</v>
      </c>
      <c r="F37" s="46">
        <f t="shared" si="4"/>
        <v>0</v>
      </c>
      <c r="G37" s="46">
        <f t="shared" si="5"/>
        <v>0</v>
      </c>
      <c r="H37" s="46"/>
      <c r="I37" s="46"/>
      <c r="J37" s="46"/>
      <c r="K37" s="46"/>
      <c r="L37" s="46"/>
      <c r="M37" s="46"/>
      <c r="N37" s="46"/>
      <c r="O37" s="46"/>
      <c r="P37" s="46"/>
      <c r="Q37" s="43"/>
      <c r="R37" s="36">
        <f t="shared" si="6"/>
        <v>0</v>
      </c>
      <c r="S37" s="36">
        <f>BASE!A41</f>
        <v>26</v>
      </c>
      <c r="T37" s="46">
        <f t="shared" si="7"/>
        <v>0</v>
      </c>
      <c r="U37" s="46">
        <f t="shared" si="8"/>
        <v>0</v>
      </c>
      <c r="V37" s="46">
        <f t="shared" si="9"/>
        <v>0</v>
      </c>
      <c r="W37" s="46">
        <f t="shared" si="10"/>
        <v>0</v>
      </c>
      <c r="X37" s="46">
        <f t="shared" si="11"/>
        <v>0</v>
      </c>
      <c r="Y37" s="159"/>
    </row>
    <row r="38" spans="1:25" ht="18.75" customHeight="1">
      <c r="A38" s="47" t="str">
        <f>+BASE!B42</f>
        <v>23XXR027</v>
      </c>
      <c r="B38" s="36" t="s">
        <v>40</v>
      </c>
      <c r="C38" s="46">
        <f t="shared" si="1"/>
        <v>0</v>
      </c>
      <c r="D38" s="46">
        <f t="shared" si="2"/>
        <v>0</v>
      </c>
      <c r="E38" s="46">
        <f t="shared" si="3"/>
        <v>0</v>
      </c>
      <c r="F38" s="46">
        <f t="shared" si="4"/>
        <v>0</v>
      </c>
      <c r="G38" s="46">
        <f t="shared" si="5"/>
        <v>0</v>
      </c>
      <c r="H38" s="46"/>
      <c r="I38" s="46"/>
      <c r="J38" s="46"/>
      <c r="K38" s="46"/>
      <c r="L38" s="46"/>
      <c r="M38" s="46"/>
      <c r="N38" s="46"/>
      <c r="O38" s="46"/>
      <c r="P38" s="46"/>
      <c r="Q38" s="43"/>
      <c r="R38" s="36">
        <f t="shared" si="6"/>
        <v>0</v>
      </c>
      <c r="S38" s="36">
        <f>BASE!A42</f>
        <v>27</v>
      </c>
      <c r="T38" s="46">
        <f t="shared" si="7"/>
        <v>0</v>
      </c>
      <c r="U38" s="46">
        <f t="shared" si="8"/>
        <v>0</v>
      </c>
      <c r="V38" s="46">
        <f t="shared" si="9"/>
        <v>0</v>
      </c>
      <c r="W38" s="46">
        <f t="shared" si="10"/>
        <v>0</v>
      </c>
      <c r="X38" s="46">
        <f t="shared" si="11"/>
        <v>0</v>
      </c>
      <c r="Y38" s="159"/>
    </row>
    <row r="39" spans="1:25" ht="18.75" customHeight="1">
      <c r="A39" s="47" t="str">
        <f>+BASE!B43</f>
        <v>23XXR028</v>
      </c>
      <c r="B39" s="36" t="s">
        <v>40</v>
      </c>
      <c r="C39" s="46">
        <f t="shared" si="1"/>
        <v>0</v>
      </c>
      <c r="D39" s="46">
        <f t="shared" si="2"/>
        <v>0</v>
      </c>
      <c r="E39" s="46">
        <f t="shared" si="3"/>
        <v>0</v>
      </c>
      <c r="F39" s="46">
        <f t="shared" si="4"/>
        <v>0</v>
      </c>
      <c r="G39" s="46">
        <f t="shared" si="5"/>
        <v>0</v>
      </c>
      <c r="H39" s="46"/>
      <c r="I39" s="46"/>
      <c r="J39" s="46"/>
      <c r="K39" s="46"/>
      <c r="L39" s="46"/>
      <c r="M39" s="46"/>
      <c r="N39" s="46"/>
      <c r="O39" s="46"/>
      <c r="P39" s="46"/>
      <c r="Q39" s="43"/>
      <c r="R39" s="36">
        <f t="shared" si="6"/>
        <v>0</v>
      </c>
      <c r="S39" s="36">
        <f>BASE!A43</f>
        <v>28</v>
      </c>
      <c r="T39" s="46">
        <f t="shared" si="7"/>
        <v>0</v>
      </c>
      <c r="U39" s="46">
        <f t="shared" si="8"/>
        <v>0</v>
      </c>
      <c r="V39" s="46">
        <f t="shared" si="9"/>
        <v>0</v>
      </c>
      <c r="W39" s="46">
        <f t="shared" si="10"/>
        <v>0</v>
      </c>
      <c r="X39" s="46">
        <f t="shared" si="11"/>
        <v>0</v>
      </c>
      <c r="Y39" s="159"/>
    </row>
    <row r="40" spans="1:25" ht="18.75" customHeight="1">
      <c r="A40" s="47" t="str">
        <f>+BASE!B44</f>
        <v>23XXR029</v>
      </c>
      <c r="B40" s="36" t="s">
        <v>40</v>
      </c>
      <c r="C40" s="46">
        <f t="shared" si="1"/>
        <v>0</v>
      </c>
      <c r="D40" s="46">
        <f t="shared" si="2"/>
        <v>0</v>
      </c>
      <c r="E40" s="46">
        <f t="shared" si="3"/>
        <v>0</v>
      </c>
      <c r="F40" s="46">
        <f t="shared" si="4"/>
        <v>0</v>
      </c>
      <c r="G40" s="46">
        <f t="shared" si="5"/>
        <v>0</v>
      </c>
      <c r="H40" s="46"/>
      <c r="I40" s="46"/>
      <c r="J40" s="46"/>
      <c r="K40" s="46"/>
      <c r="L40" s="46"/>
      <c r="M40" s="46"/>
      <c r="N40" s="46"/>
      <c r="O40" s="46"/>
      <c r="P40" s="46"/>
      <c r="Q40" s="43"/>
      <c r="R40" s="36">
        <f t="shared" si="6"/>
        <v>0</v>
      </c>
      <c r="S40" s="36">
        <f>BASE!A44</f>
        <v>29</v>
      </c>
      <c r="T40" s="46">
        <f t="shared" si="7"/>
        <v>0</v>
      </c>
      <c r="U40" s="46">
        <f t="shared" si="8"/>
        <v>0</v>
      </c>
      <c r="V40" s="46">
        <f t="shared" si="9"/>
        <v>0</v>
      </c>
      <c r="W40" s="46">
        <f t="shared" si="10"/>
        <v>0</v>
      </c>
      <c r="X40" s="46">
        <f t="shared" si="11"/>
        <v>0</v>
      </c>
      <c r="Y40" s="159"/>
    </row>
    <row r="41" spans="1:25" ht="18.75" customHeight="1">
      <c r="A41" s="47" t="str">
        <f>+BASE!B45</f>
        <v>23XXR030</v>
      </c>
      <c r="B41" s="36" t="s">
        <v>40</v>
      </c>
      <c r="C41" s="46">
        <f t="shared" si="1"/>
        <v>0</v>
      </c>
      <c r="D41" s="46">
        <f t="shared" si="2"/>
        <v>0</v>
      </c>
      <c r="E41" s="46">
        <f t="shared" si="3"/>
        <v>0</v>
      </c>
      <c r="F41" s="46">
        <f t="shared" si="4"/>
        <v>0</v>
      </c>
      <c r="G41" s="46">
        <f t="shared" si="5"/>
        <v>0</v>
      </c>
      <c r="H41" s="46"/>
      <c r="I41" s="46"/>
      <c r="J41" s="46"/>
      <c r="K41" s="46"/>
      <c r="L41" s="46"/>
      <c r="M41" s="46"/>
      <c r="N41" s="46"/>
      <c r="O41" s="46"/>
      <c r="P41" s="46"/>
      <c r="Q41" s="43"/>
      <c r="R41" s="36">
        <f t="shared" si="6"/>
        <v>0</v>
      </c>
      <c r="S41" s="36">
        <f>BASE!A45</f>
        <v>30</v>
      </c>
      <c r="T41" s="46">
        <f t="shared" si="7"/>
        <v>0</v>
      </c>
      <c r="U41" s="46">
        <f t="shared" si="8"/>
        <v>0</v>
      </c>
      <c r="V41" s="46">
        <f t="shared" si="9"/>
        <v>0</v>
      </c>
      <c r="W41" s="46">
        <f t="shared" si="10"/>
        <v>0</v>
      </c>
      <c r="X41" s="46">
        <f t="shared" si="11"/>
        <v>0</v>
      </c>
      <c r="Y41" s="159"/>
    </row>
    <row r="42" spans="1:25" ht="18.75" customHeight="1">
      <c r="A42" s="47" t="str">
        <f>+BASE!B46</f>
        <v>23XXR031</v>
      </c>
      <c r="B42" s="36" t="s">
        <v>40</v>
      </c>
      <c r="C42" s="46">
        <f t="shared" si="1"/>
        <v>0</v>
      </c>
      <c r="D42" s="46">
        <f t="shared" si="2"/>
        <v>0</v>
      </c>
      <c r="E42" s="46">
        <f t="shared" si="3"/>
        <v>0</v>
      </c>
      <c r="F42" s="46">
        <f t="shared" si="4"/>
        <v>0</v>
      </c>
      <c r="G42" s="46">
        <f t="shared" si="5"/>
        <v>0</v>
      </c>
      <c r="H42" s="46"/>
      <c r="I42" s="46"/>
      <c r="J42" s="46"/>
      <c r="K42" s="46"/>
      <c r="L42" s="46"/>
      <c r="M42" s="46"/>
      <c r="N42" s="46"/>
      <c r="O42" s="46"/>
      <c r="P42" s="46"/>
      <c r="Q42" s="43"/>
      <c r="R42" s="36">
        <f t="shared" si="6"/>
        <v>0</v>
      </c>
      <c r="S42" s="36">
        <f>BASE!A46</f>
        <v>31</v>
      </c>
      <c r="T42" s="46">
        <f t="shared" si="7"/>
        <v>0</v>
      </c>
      <c r="U42" s="46">
        <f t="shared" si="8"/>
        <v>0</v>
      </c>
      <c r="V42" s="46">
        <f t="shared" si="9"/>
        <v>0</v>
      </c>
      <c r="W42" s="46">
        <f t="shared" si="10"/>
        <v>0</v>
      </c>
      <c r="X42" s="46">
        <f t="shared" si="11"/>
        <v>0</v>
      </c>
      <c r="Y42" s="159"/>
    </row>
    <row r="43" spans="1:25" ht="18.75" customHeight="1">
      <c r="A43" s="47" t="str">
        <f>+BASE!B47</f>
        <v>23XXR032</v>
      </c>
      <c r="B43" s="36" t="s">
        <v>40</v>
      </c>
      <c r="C43" s="46">
        <f t="shared" si="1"/>
        <v>0</v>
      </c>
      <c r="D43" s="46">
        <f t="shared" si="2"/>
        <v>0</v>
      </c>
      <c r="E43" s="46">
        <f t="shared" si="3"/>
        <v>0</v>
      </c>
      <c r="F43" s="46">
        <f t="shared" si="4"/>
        <v>0</v>
      </c>
      <c r="G43" s="46">
        <f t="shared" si="5"/>
        <v>0</v>
      </c>
      <c r="H43" s="46"/>
      <c r="I43" s="46"/>
      <c r="J43" s="46"/>
      <c r="K43" s="46"/>
      <c r="L43" s="46"/>
      <c r="M43" s="46"/>
      <c r="N43" s="46"/>
      <c r="O43" s="46"/>
      <c r="P43" s="46"/>
      <c r="Q43" s="43"/>
      <c r="R43" s="36">
        <f t="shared" si="6"/>
        <v>0</v>
      </c>
      <c r="S43" s="36">
        <f>BASE!A47</f>
        <v>32</v>
      </c>
      <c r="T43" s="46">
        <f t="shared" si="7"/>
        <v>0</v>
      </c>
      <c r="U43" s="46">
        <f t="shared" si="8"/>
        <v>0</v>
      </c>
      <c r="V43" s="46">
        <f t="shared" si="9"/>
        <v>0</v>
      </c>
      <c r="W43" s="46">
        <f t="shared" si="10"/>
        <v>0</v>
      </c>
      <c r="X43" s="46">
        <f t="shared" si="11"/>
        <v>0</v>
      </c>
      <c r="Y43" s="159"/>
    </row>
    <row r="44" spans="1:25" ht="18.75" customHeight="1">
      <c r="A44" s="47" t="str">
        <f>+BASE!B48</f>
        <v>23XXR033</v>
      </c>
      <c r="B44" s="36" t="s">
        <v>40</v>
      </c>
      <c r="C44" s="46">
        <f t="shared" si="1"/>
        <v>0</v>
      </c>
      <c r="D44" s="46">
        <f t="shared" si="2"/>
        <v>0</v>
      </c>
      <c r="E44" s="46">
        <f t="shared" si="3"/>
        <v>0</v>
      </c>
      <c r="F44" s="46">
        <f t="shared" si="4"/>
        <v>0</v>
      </c>
      <c r="G44" s="46">
        <f t="shared" si="5"/>
        <v>0</v>
      </c>
      <c r="H44" s="46"/>
      <c r="I44" s="46"/>
      <c r="J44" s="46"/>
      <c r="K44" s="46"/>
      <c r="L44" s="46"/>
      <c r="M44" s="46"/>
      <c r="N44" s="46"/>
      <c r="O44" s="46"/>
      <c r="P44" s="46"/>
      <c r="Q44" s="43"/>
      <c r="R44" s="36">
        <f t="shared" si="6"/>
        <v>0</v>
      </c>
      <c r="S44" s="36">
        <f>BASE!A48</f>
        <v>33</v>
      </c>
      <c r="T44" s="46">
        <f t="shared" si="7"/>
        <v>0</v>
      </c>
      <c r="U44" s="46">
        <f t="shared" si="8"/>
        <v>0</v>
      </c>
      <c r="V44" s="46">
        <f t="shared" si="9"/>
        <v>0</v>
      </c>
      <c r="W44" s="46">
        <f t="shared" si="10"/>
        <v>0</v>
      </c>
      <c r="X44" s="46">
        <f t="shared" si="11"/>
        <v>0</v>
      </c>
      <c r="Y44" s="159"/>
    </row>
    <row r="45" spans="1:25" ht="18.75" customHeight="1">
      <c r="A45" s="47" t="str">
        <f>+BASE!B49</f>
        <v>23XXR034</v>
      </c>
      <c r="B45" s="36" t="s">
        <v>40</v>
      </c>
      <c r="C45" s="46">
        <f t="shared" si="1"/>
        <v>0</v>
      </c>
      <c r="D45" s="46">
        <f t="shared" si="2"/>
        <v>0</v>
      </c>
      <c r="E45" s="46">
        <f t="shared" si="3"/>
        <v>0</v>
      </c>
      <c r="F45" s="46">
        <f t="shared" si="4"/>
        <v>0</v>
      </c>
      <c r="G45" s="46">
        <f t="shared" si="5"/>
        <v>0</v>
      </c>
      <c r="H45" s="46"/>
      <c r="I45" s="46"/>
      <c r="J45" s="46"/>
      <c r="K45" s="46"/>
      <c r="L45" s="46"/>
      <c r="M45" s="46"/>
      <c r="N45" s="46"/>
      <c r="O45" s="46"/>
      <c r="P45" s="46"/>
      <c r="Q45" s="43"/>
      <c r="R45" s="36">
        <f t="shared" si="6"/>
        <v>0</v>
      </c>
      <c r="S45" s="36">
        <f>BASE!A49</f>
        <v>34</v>
      </c>
      <c r="T45" s="46">
        <f t="shared" si="7"/>
        <v>0</v>
      </c>
      <c r="U45" s="46">
        <f t="shared" si="8"/>
        <v>0</v>
      </c>
      <c r="V45" s="46">
        <f t="shared" si="9"/>
        <v>0</v>
      </c>
      <c r="W45" s="46">
        <f t="shared" si="10"/>
        <v>0</v>
      </c>
      <c r="X45" s="46">
        <f t="shared" si="11"/>
        <v>0</v>
      </c>
      <c r="Y45" s="159"/>
    </row>
    <row r="46" spans="1:25" ht="18.75" customHeight="1">
      <c r="A46" s="47" t="str">
        <f>+BASE!B50</f>
        <v>23XXR035</v>
      </c>
      <c r="B46" s="36" t="s">
        <v>40</v>
      </c>
      <c r="C46" s="46">
        <f t="shared" si="1"/>
        <v>0</v>
      </c>
      <c r="D46" s="46">
        <f t="shared" si="2"/>
        <v>0</v>
      </c>
      <c r="E46" s="46">
        <f t="shared" si="3"/>
        <v>0</v>
      </c>
      <c r="F46" s="46">
        <f t="shared" si="4"/>
        <v>0</v>
      </c>
      <c r="G46" s="46">
        <f t="shared" si="5"/>
        <v>0</v>
      </c>
      <c r="H46" s="46"/>
      <c r="I46" s="46"/>
      <c r="J46" s="46"/>
      <c r="K46" s="46"/>
      <c r="L46" s="46"/>
      <c r="M46" s="46"/>
      <c r="N46" s="46"/>
      <c r="O46" s="46"/>
      <c r="P46" s="46"/>
      <c r="Q46" s="43"/>
      <c r="R46" s="36">
        <f t="shared" si="6"/>
        <v>0</v>
      </c>
      <c r="S46" s="36">
        <f>BASE!A50</f>
        <v>35</v>
      </c>
      <c r="T46" s="46">
        <f t="shared" si="7"/>
        <v>0</v>
      </c>
      <c r="U46" s="46">
        <f t="shared" si="8"/>
        <v>0</v>
      </c>
      <c r="V46" s="46">
        <f t="shared" si="9"/>
        <v>0</v>
      </c>
      <c r="W46" s="46">
        <f t="shared" si="10"/>
        <v>0</v>
      </c>
      <c r="X46" s="46">
        <f t="shared" si="11"/>
        <v>0</v>
      </c>
      <c r="Y46" s="159"/>
    </row>
    <row r="47" spans="1:25" ht="18.75" customHeight="1">
      <c r="A47" s="47" t="str">
        <f>+BASE!B51</f>
        <v>23XXR036</v>
      </c>
      <c r="B47" s="36" t="s">
        <v>40</v>
      </c>
      <c r="C47" s="46">
        <f t="shared" si="1"/>
        <v>0</v>
      </c>
      <c r="D47" s="46">
        <f t="shared" si="2"/>
        <v>0</v>
      </c>
      <c r="E47" s="46">
        <f t="shared" si="3"/>
        <v>0</v>
      </c>
      <c r="F47" s="46">
        <f t="shared" si="4"/>
        <v>0</v>
      </c>
      <c r="G47" s="46">
        <f t="shared" si="5"/>
        <v>0</v>
      </c>
      <c r="H47" s="46"/>
      <c r="I47" s="46"/>
      <c r="J47" s="46"/>
      <c r="K47" s="46"/>
      <c r="L47" s="46"/>
      <c r="M47" s="46"/>
      <c r="N47" s="46"/>
      <c r="O47" s="46"/>
      <c r="P47" s="46"/>
      <c r="Q47" s="43"/>
      <c r="R47" s="36">
        <f t="shared" si="6"/>
        <v>0</v>
      </c>
      <c r="S47" s="36">
        <f>BASE!A51</f>
        <v>36</v>
      </c>
      <c r="T47" s="46">
        <f t="shared" si="7"/>
        <v>0</v>
      </c>
      <c r="U47" s="46">
        <f t="shared" si="8"/>
        <v>0</v>
      </c>
      <c r="V47" s="46">
        <f t="shared" si="9"/>
        <v>0</v>
      </c>
      <c r="W47" s="46">
        <f t="shared" si="10"/>
        <v>0</v>
      </c>
      <c r="X47" s="46">
        <f t="shared" si="11"/>
        <v>0</v>
      </c>
      <c r="Y47" s="159"/>
    </row>
    <row r="48" spans="1:25" ht="18.75" customHeight="1">
      <c r="A48" s="47" t="str">
        <f>+BASE!B52</f>
        <v>23XXR037</v>
      </c>
      <c r="B48" s="36" t="s">
        <v>40</v>
      </c>
      <c r="C48" s="46">
        <f t="shared" si="1"/>
        <v>0</v>
      </c>
      <c r="D48" s="46">
        <f t="shared" si="2"/>
        <v>0</v>
      </c>
      <c r="E48" s="46">
        <f t="shared" si="3"/>
        <v>0</v>
      </c>
      <c r="F48" s="46">
        <f t="shared" si="4"/>
        <v>0</v>
      </c>
      <c r="G48" s="46">
        <f t="shared" si="5"/>
        <v>0</v>
      </c>
      <c r="H48" s="46"/>
      <c r="I48" s="46"/>
      <c r="J48" s="46"/>
      <c r="K48" s="46"/>
      <c r="L48" s="46"/>
      <c r="M48" s="46"/>
      <c r="N48" s="46"/>
      <c r="O48" s="46"/>
      <c r="P48" s="46"/>
      <c r="Q48" s="43"/>
      <c r="R48" s="36">
        <f t="shared" si="6"/>
        <v>0</v>
      </c>
      <c r="S48" s="36">
        <f>BASE!A52</f>
        <v>37</v>
      </c>
      <c r="T48" s="46">
        <f t="shared" si="7"/>
        <v>0</v>
      </c>
      <c r="U48" s="46">
        <f t="shared" si="8"/>
        <v>0</v>
      </c>
      <c r="V48" s="46">
        <f t="shared" si="9"/>
        <v>0</v>
      </c>
      <c r="W48" s="46">
        <f t="shared" si="10"/>
        <v>0</v>
      </c>
      <c r="X48" s="46">
        <f t="shared" si="11"/>
        <v>0</v>
      </c>
      <c r="Y48" s="159"/>
    </row>
    <row r="49" spans="1:25" ht="18.75" customHeight="1">
      <c r="A49" s="47" t="str">
        <f>+BASE!B53</f>
        <v>23XXR038</v>
      </c>
      <c r="B49" s="36" t="s">
        <v>40</v>
      </c>
      <c r="C49" s="46">
        <f t="shared" si="1"/>
        <v>0</v>
      </c>
      <c r="D49" s="46">
        <f t="shared" si="2"/>
        <v>0</v>
      </c>
      <c r="E49" s="46">
        <f t="shared" si="3"/>
        <v>0</v>
      </c>
      <c r="F49" s="46">
        <f t="shared" si="4"/>
        <v>0</v>
      </c>
      <c r="G49" s="46">
        <f t="shared" si="5"/>
        <v>0</v>
      </c>
      <c r="H49" s="46"/>
      <c r="I49" s="46"/>
      <c r="J49" s="46"/>
      <c r="K49" s="46"/>
      <c r="L49" s="46"/>
      <c r="M49" s="46"/>
      <c r="N49" s="46"/>
      <c r="O49" s="46"/>
      <c r="P49" s="46"/>
      <c r="Q49" s="43"/>
      <c r="R49" s="36">
        <f t="shared" si="6"/>
        <v>0</v>
      </c>
      <c r="S49" s="36">
        <f>BASE!A53</f>
        <v>38</v>
      </c>
      <c r="T49" s="46">
        <f t="shared" si="7"/>
        <v>0</v>
      </c>
      <c r="U49" s="46">
        <f t="shared" si="8"/>
        <v>0</v>
      </c>
      <c r="V49" s="46">
        <f t="shared" si="9"/>
        <v>0</v>
      </c>
      <c r="W49" s="46">
        <f t="shared" si="10"/>
        <v>0</v>
      </c>
      <c r="X49" s="46">
        <f t="shared" si="11"/>
        <v>0</v>
      </c>
      <c r="Y49" s="159"/>
    </row>
    <row r="50" spans="1:25" ht="18.75" customHeight="1">
      <c r="A50" s="47" t="str">
        <f>+BASE!B54</f>
        <v>23XXR039</v>
      </c>
      <c r="B50" s="36" t="s">
        <v>40</v>
      </c>
      <c r="C50" s="46">
        <f t="shared" si="1"/>
        <v>0</v>
      </c>
      <c r="D50" s="46">
        <f t="shared" si="2"/>
        <v>0</v>
      </c>
      <c r="E50" s="46">
        <f t="shared" si="3"/>
        <v>0</v>
      </c>
      <c r="F50" s="46">
        <f t="shared" si="4"/>
        <v>0</v>
      </c>
      <c r="G50" s="46">
        <f t="shared" si="5"/>
        <v>0</v>
      </c>
      <c r="H50" s="46"/>
      <c r="I50" s="46"/>
      <c r="J50" s="46"/>
      <c r="K50" s="46"/>
      <c r="L50" s="46"/>
      <c r="M50" s="46"/>
      <c r="N50" s="46"/>
      <c r="O50" s="46"/>
      <c r="P50" s="46"/>
      <c r="Q50" s="43"/>
      <c r="R50" s="36">
        <f t="shared" si="6"/>
        <v>0</v>
      </c>
      <c r="S50" s="36">
        <f>BASE!A54</f>
        <v>39</v>
      </c>
      <c r="T50" s="46">
        <f t="shared" si="7"/>
        <v>0</v>
      </c>
      <c r="U50" s="46">
        <f t="shared" si="8"/>
        <v>0</v>
      </c>
      <c r="V50" s="46">
        <f t="shared" si="9"/>
        <v>0</v>
      </c>
      <c r="W50" s="46">
        <f t="shared" si="10"/>
        <v>0</v>
      </c>
      <c r="X50" s="46">
        <f t="shared" si="11"/>
        <v>0</v>
      </c>
      <c r="Y50" s="159"/>
    </row>
    <row r="51" spans="1:25" ht="18.75" customHeight="1">
      <c r="A51" s="47" t="str">
        <f>+BASE!B55</f>
        <v>23XXR040</v>
      </c>
      <c r="B51" s="36" t="s">
        <v>40</v>
      </c>
      <c r="C51" s="46">
        <f t="shared" si="1"/>
        <v>0</v>
      </c>
      <c r="D51" s="46">
        <f t="shared" si="2"/>
        <v>0</v>
      </c>
      <c r="E51" s="46">
        <f t="shared" si="3"/>
        <v>0</v>
      </c>
      <c r="F51" s="46">
        <f t="shared" si="4"/>
        <v>0</v>
      </c>
      <c r="G51" s="46">
        <f t="shared" si="5"/>
        <v>0</v>
      </c>
      <c r="H51" s="46"/>
      <c r="I51" s="46"/>
      <c r="J51" s="46"/>
      <c r="K51" s="46"/>
      <c r="L51" s="46"/>
      <c r="M51" s="46"/>
      <c r="N51" s="46"/>
      <c r="O51" s="46"/>
      <c r="P51" s="46"/>
      <c r="Q51" s="43"/>
      <c r="R51" s="36">
        <f t="shared" si="6"/>
        <v>0</v>
      </c>
      <c r="S51" s="36">
        <f>BASE!A55</f>
        <v>40</v>
      </c>
      <c r="T51" s="46">
        <f t="shared" si="7"/>
        <v>0</v>
      </c>
      <c r="U51" s="46">
        <f t="shared" si="8"/>
        <v>0</v>
      </c>
      <c r="V51" s="46">
        <f t="shared" si="9"/>
        <v>0</v>
      </c>
      <c r="W51" s="46">
        <f t="shared" si="10"/>
        <v>0</v>
      </c>
      <c r="X51" s="46">
        <f t="shared" si="11"/>
        <v>0</v>
      </c>
      <c r="Y51" s="159"/>
    </row>
    <row r="52" spans="1:25" ht="18.75" customHeight="1">
      <c r="A52" s="47" t="str">
        <f>+BASE!B56</f>
        <v>23XXR041</v>
      </c>
      <c r="B52" s="36" t="s">
        <v>40</v>
      </c>
      <c r="C52" s="46">
        <f t="shared" si="1"/>
        <v>0</v>
      </c>
      <c r="D52" s="46">
        <f t="shared" si="2"/>
        <v>0</v>
      </c>
      <c r="E52" s="46">
        <f t="shared" si="3"/>
        <v>0</v>
      </c>
      <c r="F52" s="46">
        <f t="shared" si="4"/>
        <v>0</v>
      </c>
      <c r="G52" s="46">
        <f t="shared" si="5"/>
        <v>0</v>
      </c>
      <c r="H52" s="46"/>
      <c r="I52" s="46"/>
      <c r="J52" s="46"/>
      <c r="K52" s="46"/>
      <c r="L52" s="46"/>
      <c r="M52" s="46"/>
      <c r="N52" s="46"/>
      <c r="O52" s="46"/>
      <c r="P52" s="46"/>
      <c r="Q52" s="43"/>
      <c r="R52" s="36">
        <f t="shared" si="6"/>
        <v>0</v>
      </c>
      <c r="S52" s="36">
        <f>BASE!A56</f>
        <v>41</v>
      </c>
      <c r="T52" s="46">
        <f t="shared" si="7"/>
        <v>0</v>
      </c>
      <c r="U52" s="46">
        <f t="shared" si="8"/>
        <v>0</v>
      </c>
      <c r="V52" s="46">
        <f t="shared" si="9"/>
        <v>0</v>
      </c>
      <c r="W52" s="46">
        <f t="shared" si="10"/>
        <v>0</v>
      </c>
      <c r="X52" s="46">
        <f t="shared" si="11"/>
        <v>0</v>
      </c>
      <c r="Y52" s="159"/>
    </row>
    <row r="53" spans="1:25" ht="18.75" customHeight="1">
      <c r="A53" s="47" t="str">
        <f>+BASE!B57</f>
        <v>23XXR042</v>
      </c>
      <c r="B53" s="36" t="s">
        <v>40</v>
      </c>
      <c r="C53" s="46">
        <f t="shared" si="1"/>
        <v>0</v>
      </c>
      <c r="D53" s="46">
        <f t="shared" si="2"/>
        <v>0</v>
      </c>
      <c r="E53" s="46">
        <f t="shared" si="3"/>
        <v>0</v>
      </c>
      <c r="F53" s="46">
        <f t="shared" si="4"/>
        <v>0</v>
      </c>
      <c r="G53" s="46">
        <f t="shared" si="5"/>
        <v>0</v>
      </c>
      <c r="H53" s="46"/>
      <c r="I53" s="46"/>
      <c r="J53" s="46"/>
      <c r="K53" s="46"/>
      <c r="L53" s="46"/>
      <c r="M53" s="46"/>
      <c r="N53" s="46"/>
      <c r="O53" s="46"/>
      <c r="P53" s="46"/>
      <c r="Q53" s="43"/>
      <c r="R53" s="36">
        <f t="shared" si="6"/>
        <v>0</v>
      </c>
      <c r="S53" s="36">
        <f>BASE!A57</f>
        <v>42</v>
      </c>
      <c r="T53" s="46">
        <f t="shared" si="7"/>
        <v>0</v>
      </c>
      <c r="U53" s="46">
        <f t="shared" si="8"/>
        <v>0</v>
      </c>
      <c r="V53" s="46">
        <f t="shared" si="9"/>
        <v>0</v>
      </c>
      <c r="W53" s="46">
        <f t="shared" si="10"/>
        <v>0</v>
      </c>
      <c r="X53" s="46">
        <f t="shared" si="11"/>
        <v>0</v>
      </c>
      <c r="Y53" s="159"/>
    </row>
    <row r="54" spans="1:25" ht="18.75" customHeight="1">
      <c r="A54" s="47" t="str">
        <f>+BASE!B58</f>
        <v>23XXR043</v>
      </c>
      <c r="B54" s="36" t="s">
        <v>40</v>
      </c>
      <c r="C54" s="46">
        <f t="shared" si="1"/>
        <v>0</v>
      </c>
      <c r="D54" s="46">
        <f t="shared" si="2"/>
        <v>0</v>
      </c>
      <c r="E54" s="46">
        <f t="shared" si="3"/>
        <v>0</v>
      </c>
      <c r="F54" s="46">
        <f t="shared" si="4"/>
        <v>0</v>
      </c>
      <c r="G54" s="46">
        <f t="shared" si="5"/>
        <v>0</v>
      </c>
      <c r="H54" s="46"/>
      <c r="I54" s="46"/>
      <c r="J54" s="46"/>
      <c r="K54" s="46"/>
      <c r="L54" s="46"/>
      <c r="M54" s="46"/>
      <c r="N54" s="46"/>
      <c r="O54" s="46"/>
      <c r="P54" s="46"/>
      <c r="Q54" s="43"/>
      <c r="R54" s="36">
        <f t="shared" si="6"/>
        <v>0</v>
      </c>
      <c r="S54" s="36">
        <f>BASE!A58</f>
        <v>43</v>
      </c>
      <c r="T54" s="46">
        <f t="shared" si="7"/>
        <v>0</v>
      </c>
      <c r="U54" s="46">
        <f t="shared" si="8"/>
        <v>0</v>
      </c>
      <c r="V54" s="46">
        <f t="shared" si="9"/>
        <v>0</v>
      </c>
      <c r="W54" s="46">
        <f t="shared" si="10"/>
        <v>0</v>
      </c>
      <c r="X54" s="46">
        <f t="shared" si="11"/>
        <v>0</v>
      </c>
      <c r="Y54" s="159"/>
    </row>
    <row r="55" spans="1:25" ht="18.75" customHeight="1">
      <c r="A55" s="47" t="str">
        <f>+BASE!B59</f>
        <v>23XXR044</v>
      </c>
      <c r="B55" s="36" t="s">
        <v>40</v>
      </c>
      <c r="C55" s="46">
        <f t="shared" si="1"/>
        <v>0</v>
      </c>
      <c r="D55" s="46">
        <f t="shared" si="2"/>
        <v>0</v>
      </c>
      <c r="E55" s="46">
        <f t="shared" si="3"/>
        <v>0</v>
      </c>
      <c r="F55" s="46">
        <f t="shared" si="4"/>
        <v>0</v>
      </c>
      <c r="G55" s="46">
        <f t="shared" si="5"/>
        <v>0</v>
      </c>
      <c r="H55" s="46"/>
      <c r="I55" s="46"/>
      <c r="J55" s="46"/>
      <c r="K55" s="46"/>
      <c r="L55" s="46"/>
      <c r="M55" s="46"/>
      <c r="N55" s="46"/>
      <c r="O55" s="46"/>
      <c r="P55" s="46"/>
      <c r="Q55" s="43"/>
      <c r="R55" s="36">
        <f t="shared" si="6"/>
        <v>0</v>
      </c>
      <c r="S55" s="36">
        <f>BASE!A59</f>
        <v>44</v>
      </c>
      <c r="T55" s="46">
        <f t="shared" si="7"/>
        <v>0</v>
      </c>
      <c r="U55" s="46">
        <f t="shared" si="8"/>
        <v>0</v>
      </c>
      <c r="V55" s="46">
        <f t="shared" si="9"/>
        <v>0</v>
      </c>
      <c r="W55" s="46">
        <f t="shared" si="10"/>
        <v>0</v>
      </c>
      <c r="X55" s="46">
        <f t="shared" si="11"/>
        <v>0</v>
      </c>
      <c r="Y55" s="159"/>
    </row>
    <row r="56" spans="1:25" ht="18.75" customHeight="1">
      <c r="A56" s="47" t="str">
        <f>+BASE!B60</f>
        <v>23XXR045</v>
      </c>
      <c r="B56" s="36" t="s">
        <v>40</v>
      </c>
      <c r="C56" s="46">
        <f t="shared" si="1"/>
        <v>0</v>
      </c>
      <c r="D56" s="46">
        <f t="shared" si="2"/>
        <v>0</v>
      </c>
      <c r="E56" s="46">
        <f t="shared" si="3"/>
        <v>0</v>
      </c>
      <c r="F56" s="46">
        <f t="shared" si="4"/>
        <v>0</v>
      </c>
      <c r="G56" s="46">
        <f t="shared" si="5"/>
        <v>0</v>
      </c>
      <c r="H56" s="46"/>
      <c r="I56" s="46"/>
      <c r="J56" s="46"/>
      <c r="K56" s="46"/>
      <c r="L56" s="46"/>
      <c r="M56" s="46"/>
      <c r="N56" s="46"/>
      <c r="O56" s="46"/>
      <c r="P56" s="46"/>
      <c r="Q56" s="43"/>
      <c r="R56" s="36">
        <f t="shared" si="6"/>
        <v>0</v>
      </c>
      <c r="S56" s="36">
        <f>BASE!A60</f>
        <v>45</v>
      </c>
      <c r="T56" s="46">
        <f t="shared" si="7"/>
        <v>0</v>
      </c>
      <c r="U56" s="46">
        <f t="shared" si="8"/>
        <v>0</v>
      </c>
      <c r="V56" s="46">
        <f t="shared" si="9"/>
        <v>0</v>
      </c>
      <c r="W56" s="46">
        <f t="shared" si="10"/>
        <v>0</v>
      </c>
      <c r="X56" s="46">
        <f t="shared" si="11"/>
        <v>0</v>
      </c>
      <c r="Y56" s="159"/>
    </row>
    <row r="57" spans="1:25" ht="18.75" customHeight="1">
      <c r="A57" s="47" t="str">
        <f>+BASE!B61</f>
        <v>23XXR046</v>
      </c>
      <c r="B57" s="36" t="s">
        <v>40</v>
      </c>
      <c r="C57" s="46">
        <f t="shared" si="1"/>
        <v>0</v>
      </c>
      <c r="D57" s="46">
        <f t="shared" si="2"/>
        <v>0</v>
      </c>
      <c r="E57" s="46">
        <f t="shared" si="3"/>
        <v>0</v>
      </c>
      <c r="F57" s="46">
        <f t="shared" si="4"/>
        <v>0</v>
      </c>
      <c r="G57" s="46">
        <f t="shared" si="5"/>
        <v>0</v>
      </c>
      <c r="H57" s="46"/>
      <c r="I57" s="46"/>
      <c r="J57" s="46"/>
      <c r="K57" s="46"/>
      <c r="L57" s="46"/>
      <c r="M57" s="46"/>
      <c r="N57" s="46"/>
      <c r="O57" s="46"/>
      <c r="P57" s="46"/>
      <c r="Q57" s="43"/>
      <c r="R57" s="36">
        <f t="shared" si="6"/>
        <v>0</v>
      </c>
      <c r="S57" s="36">
        <f>BASE!A61</f>
        <v>46</v>
      </c>
      <c r="T57" s="46">
        <f t="shared" si="7"/>
        <v>0</v>
      </c>
      <c r="U57" s="46">
        <f t="shared" si="8"/>
        <v>0</v>
      </c>
      <c r="V57" s="46">
        <f t="shared" si="9"/>
        <v>0</v>
      </c>
      <c r="W57" s="46">
        <f t="shared" si="10"/>
        <v>0</v>
      </c>
      <c r="X57" s="46">
        <f t="shared" si="11"/>
        <v>0</v>
      </c>
      <c r="Y57" s="159"/>
    </row>
    <row r="58" spans="1:25" ht="18.75" customHeight="1">
      <c r="A58" s="47" t="str">
        <f>+BASE!B62</f>
        <v>23XXR047</v>
      </c>
      <c r="B58" s="36" t="s">
        <v>40</v>
      </c>
      <c r="C58" s="46">
        <f t="shared" si="1"/>
        <v>0</v>
      </c>
      <c r="D58" s="46">
        <f t="shared" si="2"/>
        <v>0</v>
      </c>
      <c r="E58" s="46">
        <f t="shared" si="3"/>
        <v>0</v>
      </c>
      <c r="F58" s="46">
        <f t="shared" si="4"/>
        <v>0</v>
      </c>
      <c r="G58" s="46">
        <f t="shared" si="5"/>
        <v>0</v>
      </c>
      <c r="H58" s="46"/>
      <c r="I58" s="46"/>
      <c r="J58" s="46"/>
      <c r="K58" s="46"/>
      <c r="L58" s="46"/>
      <c r="M58" s="46"/>
      <c r="N58" s="46"/>
      <c r="O58" s="46"/>
      <c r="P58" s="46"/>
      <c r="Q58" s="43"/>
      <c r="R58" s="36">
        <f t="shared" si="6"/>
        <v>0</v>
      </c>
      <c r="S58" s="36">
        <f>BASE!A62</f>
        <v>47</v>
      </c>
      <c r="T58" s="46">
        <f t="shared" si="7"/>
        <v>0</v>
      </c>
      <c r="U58" s="46">
        <f t="shared" si="8"/>
        <v>0</v>
      </c>
      <c r="V58" s="46">
        <f t="shared" si="9"/>
        <v>0</v>
      </c>
      <c r="W58" s="46">
        <f t="shared" si="10"/>
        <v>0</v>
      </c>
      <c r="X58" s="46">
        <f t="shared" si="11"/>
        <v>0</v>
      </c>
      <c r="Y58" s="159"/>
    </row>
    <row r="59" spans="1:25" ht="18.75" customHeight="1">
      <c r="A59" s="47" t="str">
        <f>+BASE!B63</f>
        <v>23XXR048</v>
      </c>
      <c r="B59" s="36" t="s">
        <v>40</v>
      </c>
      <c r="C59" s="46">
        <f t="shared" si="1"/>
        <v>0</v>
      </c>
      <c r="D59" s="46">
        <f t="shared" si="2"/>
        <v>0</v>
      </c>
      <c r="E59" s="46">
        <f t="shared" si="3"/>
        <v>0</v>
      </c>
      <c r="F59" s="46">
        <f t="shared" si="4"/>
        <v>0</v>
      </c>
      <c r="G59" s="46">
        <f t="shared" si="5"/>
        <v>0</v>
      </c>
      <c r="H59" s="46"/>
      <c r="I59" s="46"/>
      <c r="J59" s="46"/>
      <c r="K59" s="46"/>
      <c r="L59" s="46"/>
      <c r="M59" s="46"/>
      <c r="N59" s="46"/>
      <c r="O59" s="46"/>
      <c r="P59" s="46"/>
      <c r="Q59" s="43"/>
      <c r="R59" s="36">
        <f t="shared" si="6"/>
        <v>0</v>
      </c>
      <c r="S59" s="36">
        <f>BASE!A63</f>
        <v>48</v>
      </c>
      <c r="T59" s="46">
        <f t="shared" si="7"/>
        <v>0</v>
      </c>
      <c r="U59" s="46">
        <f t="shared" si="8"/>
        <v>0</v>
      </c>
      <c r="V59" s="46">
        <f t="shared" si="9"/>
        <v>0</v>
      </c>
      <c r="W59" s="46">
        <f t="shared" si="10"/>
        <v>0</v>
      </c>
      <c r="X59" s="46">
        <f t="shared" si="11"/>
        <v>0</v>
      </c>
      <c r="Y59" s="159"/>
    </row>
    <row r="60" spans="1:25" ht="18.75" customHeight="1">
      <c r="A60" s="47" t="str">
        <f>+BASE!B64</f>
        <v>23XXR049</v>
      </c>
      <c r="B60" s="36" t="s">
        <v>40</v>
      </c>
      <c r="C60" s="46">
        <f t="shared" si="1"/>
        <v>0</v>
      </c>
      <c r="D60" s="46">
        <f t="shared" si="2"/>
        <v>0</v>
      </c>
      <c r="E60" s="46">
        <f t="shared" si="3"/>
        <v>0</v>
      </c>
      <c r="F60" s="46">
        <f t="shared" si="4"/>
        <v>0</v>
      </c>
      <c r="G60" s="46">
        <f t="shared" si="5"/>
        <v>0</v>
      </c>
      <c r="H60" s="46"/>
      <c r="I60" s="46"/>
      <c r="J60" s="46"/>
      <c r="K60" s="46"/>
      <c r="L60" s="46"/>
      <c r="M60" s="46"/>
      <c r="N60" s="46"/>
      <c r="O60" s="46"/>
      <c r="P60" s="46"/>
      <c r="Q60" s="43"/>
      <c r="R60" s="36">
        <f t="shared" si="6"/>
        <v>0</v>
      </c>
      <c r="S60" s="36">
        <f>BASE!A64</f>
        <v>49</v>
      </c>
      <c r="T60" s="46">
        <f t="shared" si="7"/>
        <v>0</v>
      </c>
      <c r="U60" s="46">
        <f t="shared" si="8"/>
        <v>0</v>
      </c>
      <c r="V60" s="46">
        <f t="shared" si="9"/>
        <v>0</v>
      </c>
      <c r="W60" s="46">
        <f t="shared" si="10"/>
        <v>0</v>
      </c>
      <c r="X60" s="46">
        <f t="shared" si="11"/>
        <v>0</v>
      </c>
      <c r="Y60" s="159"/>
    </row>
    <row r="61" spans="1:25" ht="18.75" customHeight="1">
      <c r="A61" s="47" t="str">
        <f>+BASE!B65</f>
        <v>23XXR050</v>
      </c>
      <c r="B61" s="36" t="s">
        <v>40</v>
      </c>
      <c r="C61" s="46">
        <f t="shared" si="1"/>
        <v>0</v>
      </c>
      <c r="D61" s="46">
        <f t="shared" si="2"/>
        <v>0</v>
      </c>
      <c r="E61" s="46">
        <f t="shared" si="3"/>
        <v>0</v>
      </c>
      <c r="F61" s="46">
        <f t="shared" si="4"/>
        <v>0</v>
      </c>
      <c r="G61" s="46">
        <f t="shared" si="5"/>
        <v>0</v>
      </c>
      <c r="H61" s="46"/>
      <c r="I61" s="46"/>
      <c r="J61" s="46"/>
      <c r="K61" s="46"/>
      <c r="L61" s="46"/>
      <c r="M61" s="46"/>
      <c r="N61" s="46"/>
      <c r="O61" s="46"/>
      <c r="P61" s="46"/>
      <c r="Q61" s="43"/>
      <c r="R61" s="36">
        <f t="shared" si="6"/>
        <v>0</v>
      </c>
      <c r="S61" s="36">
        <f>BASE!A65</f>
        <v>50</v>
      </c>
      <c r="T61" s="46">
        <f t="shared" si="7"/>
        <v>0</v>
      </c>
      <c r="U61" s="46">
        <f t="shared" si="8"/>
        <v>0</v>
      </c>
      <c r="V61" s="46">
        <f t="shared" si="9"/>
        <v>0</v>
      </c>
      <c r="W61" s="46">
        <f t="shared" si="10"/>
        <v>0</v>
      </c>
      <c r="X61" s="46">
        <f t="shared" si="11"/>
        <v>0</v>
      </c>
      <c r="Y61" s="159"/>
    </row>
    <row r="62" spans="1:25" ht="18.75" customHeight="1">
      <c r="A62" s="47" t="str">
        <f>+BASE!B66</f>
        <v>23XXR051</v>
      </c>
      <c r="B62" s="36" t="s">
        <v>40</v>
      </c>
      <c r="C62" s="46">
        <f t="shared" si="1"/>
        <v>0</v>
      </c>
      <c r="D62" s="46">
        <f t="shared" si="2"/>
        <v>0</v>
      </c>
      <c r="E62" s="46">
        <f t="shared" si="3"/>
        <v>0</v>
      </c>
      <c r="F62" s="46">
        <f t="shared" si="4"/>
        <v>0</v>
      </c>
      <c r="G62" s="46">
        <f t="shared" si="5"/>
        <v>0</v>
      </c>
      <c r="H62" s="46"/>
      <c r="I62" s="46"/>
      <c r="J62" s="46"/>
      <c r="K62" s="46"/>
      <c r="L62" s="46"/>
      <c r="M62" s="46"/>
      <c r="N62" s="46"/>
      <c r="O62" s="46"/>
      <c r="P62" s="46"/>
      <c r="Q62" s="43"/>
      <c r="R62" s="36">
        <f t="shared" si="6"/>
        <v>0</v>
      </c>
      <c r="S62" s="36">
        <f>BASE!A66</f>
        <v>51</v>
      </c>
      <c r="T62" s="46">
        <f t="shared" si="7"/>
        <v>0</v>
      </c>
      <c r="U62" s="46">
        <f t="shared" si="8"/>
        <v>0</v>
      </c>
      <c r="V62" s="46">
        <f t="shared" si="9"/>
        <v>0</v>
      </c>
      <c r="W62" s="46">
        <f t="shared" si="10"/>
        <v>0</v>
      </c>
      <c r="X62" s="46">
        <f t="shared" si="11"/>
        <v>0</v>
      </c>
      <c r="Y62" s="159"/>
    </row>
    <row r="63" spans="1:25" ht="18.75" customHeight="1">
      <c r="A63" s="47" t="str">
        <f>+BASE!B67</f>
        <v>23XXR052</v>
      </c>
      <c r="B63" s="36" t="s">
        <v>40</v>
      </c>
      <c r="C63" s="46">
        <f t="shared" si="1"/>
        <v>0</v>
      </c>
      <c r="D63" s="46">
        <f t="shared" si="2"/>
        <v>0</v>
      </c>
      <c r="E63" s="46">
        <f t="shared" si="3"/>
        <v>0</v>
      </c>
      <c r="F63" s="46">
        <f t="shared" si="4"/>
        <v>0</v>
      </c>
      <c r="G63" s="46">
        <f t="shared" si="5"/>
        <v>0</v>
      </c>
      <c r="H63" s="46"/>
      <c r="I63" s="46"/>
      <c r="J63" s="46"/>
      <c r="K63" s="46"/>
      <c r="L63" s="46"/>
      <c r="M63" s="46"/>
      <c r="N63" s="46"/>
      <c r="O63" s="46"/>
      <c r="P63" s="46"/>
      <c r="Q63" s="43"/>
      <c r="R63" s="36">
        <f t="shared" si="6"/>
        <v>0</v>
      </c>
      <c r="S63" s="36">
        <f>BASE!A67</f>
        <v>52</v>
      </c>
      <c r="T63" s="46">
        <f t="shared" si="7"/>
        <v>0</v>
      </c>
      <c r="U63" s="46">
        <f t="shared" si="8"/>
        <v>0</v>
      </c>
      <c r="V63" s="46">
        <f t="shared" si="9"/>
        <v>0</v>
      </c>
      <c r="W63" s="46">
        <f t="shared" si="10"/>
        <v>0</v>
      </c>
      <c r="X63" s="46">
        <f t="shared" si="11"/>
        <v>0</v>
      </c>
      <c r="Y63" s="159"/>
    </row>
    <row r="64" spans="1:25" ht="18.75" customHeight="1">
      <c r="A64" s="47" t="str">
        <f>+BASE!B68</f>
        <v>23XXR053</v>
      </c>
      <c r="B64" s="36" t="s">
        <v>40</v>
      </c>
      <c r="C64" s="46">
        <f t="shared" si="1"/>
        <v>0</v>
      </c>
      <c r="D64" s="46">
        <f t="shared" si="2"/>
        <v>0</v>
      </c>
      <c r="E64" s="46">
        <f t="shared" si="3"/>
        <v>0</v>
      </c>
      <c r="F64" s="46">
        <f t="shared" si="4"/>
        <v>0</v>
      </c>
      <c r="G64" s="46">
        <f t="shared" si="5"/>
        <v>0</v>
      </c>
      <c r="H64" s="46"/>
      <c r="I64" s="46"/>
      <c r="J64" s="46"/>
      <c r="K64" s="46"/>
      <c r="L64" s="46"/>
      <c r="M64" s="46"/>
      <c r="N64" s="46"/>
      <c r="O64" s="46"/>
      <c r="P64" s="46"/>
      <c r="Q64" s="43"/>
      <c r="R64" s="36">
        <f t="shared" si="6"/>
        <v>0</v>
      </c>
      <c r="S64" s="36">
        <f>BASE!A68</f>
        <v>53</v>
      </c>
      <c r="T64" s="46">
        <f t="shared" si="7"/>
        <v>0</v>
      </c>
      <c r="U64" s="46">
        <f t="shared" si="8"/>
        <v>0</v>
      </c>
      <c r="V64" s="46">
        <f t="shared" si="9"/>
        <v>0</v>
      </c>
      <c r="W64" s="46">
        <f t="shared" si="10"/>
        <v>0</v>
      </c>
      <c r="X64" s="46">
        <f t="shared" si="11"/>
        <v>0</v>
      </c>
      <c r="Y64" s="159"/>
    </row>
    <row r="65" spans="1:25" ht="18.75" customHeight="1">
      <c r="A65" s="47" t="str">
        <f>+BASE!B69</f>
        <v>23XXR054</v>
      </c>
      <c r="B65" s="36" t="s">
        <v>40</v>
      </c>
      <c r="C65" s="46">
        <f t="shared" si="1"/>
        <v>0</v>
      </c>
      <c r="D65" s="46">
        <f t="shared" si="2"/>
        <v>0</v>
      </c>
      <c r="E65" s="46">
        <f t="shared" si="3"/>
        <v>0</v>
      </c>
      <c r="F65" s="46">
        <f t="shared" si="4"/>
        <v>0</v>
      </c>
      <c r="G65" s="46">
        <f t="shared" si="5"/>
        <v>0</v>
      </c>
      <c r="H65" s="46"/>
      <c r="I65" s="46"/>
      <c r="J65" s="46"/>
      <c r="K65" s="46"/>
      <c r="L65" s="46"/>
      <c r="M65" s="46"/>
      <c r="N65" s="46"/>
      <c r="O65" s="46"/>
      <c r="P65" s="46"/>
      <c r="Q65" s="43"/>
      <c r="R65" s="36">
        <f t="shared" si="6"/>
        <v>0</v>
      </c>
      <c r="S65" s="36">
        <f>BASE!A69</f>
        <v>54</v>
      </c>
      <c r="T65" s="46">
        <f t="shared" si="7"/>
        <v>0</v>
      </c>
      <c r="U65" s="46">
        <f t="shared" si="8"/>
        <v>0</v>
      </c>
      <c r="V65" s="46">
        <f t="shared" si="9"/>
        <v>0</v>
      </c>
      <c r="W65" s="46">
        <f t="shared" si="10"/>
        <v>0</v>
      </c>
      <c r="X65" s="46">
        <f t="shared" si="11"/>
        <v>0</v>
      </c>
      <c r="Y65" s="159"/>
    </row>
    <row r="66" spans="1:25" ht="18.75" customHeight="1">
      <c r="A66" s="47" t="str">
        <f>+BASE!B70</f>
        <v>23XXR055</v>
      </c>
      <c r="B66" s="36" t="s">
        <v>40</v>
      </c>
      <c r="C66" s="46">
        <f t="shared" si="1"/>
        <v>0</v>
      </c>
      <c r="D66" s="46">
        <f t="shared" si="2"/>
        <v>0</v>
      </c>
      <c r="E66" s="46">
        <f t="shared" si="3"/>
        <v>0</v>
      </c>
      <c r="F66" s="46">
        <f t="shared" si="4"/>
        <v>0</v>
      </c>
      <c r="G66" s="46">
        <f t="shared" si="5"/>
        <v>0</v>
      </c>
      <c r="H66" s="46"/>
      <c r="I66" s="46"/>
      <c r="J66" s="46"/>
      <c r="K66" s="46"/>
      <c r="L66" s="46"/>
      <c r="M66" s="46"/>
      <c r="N66" s="46"/>
      <c r="O66" s="46"/>
      <c r="P66" s="46"/>
      <c r="Q66" s="43"/>
      <c r="R66" s="36">
        <f t="shared" si="6"/>
        <v>0</v>
      </c>
      <c r="S66" s="36">
        <f>BASE!A70</f>
        <v>55</v>
      </c>
      <c r="T66" s="46">
        <f t="shared" si="7"/>
        <v>0</v>
      </c>
      <c r="U66" s="46">
        <f t="shared" si="8"/>
        <v>0</v>
      </c>
      <c r="V66" s="46">
        <f t="shared" si="9"/>
        <v>0</v>
      </c>
      <c r="W66" s="46">
        <f t="shared" si="10"/>
        <v>0</v>
      </c>
      <c r="X66" s="46">
        <f t="shared" si="11"/>
        <v>0</v>
      </c>
      <c r="Y66" s="159"/>
    </row>
    <row r="67" spans="1:25" ht="18.75" customHeight="1">
      <c r="A67" s="47" t="str">
        <f>+BASE!B71</f>
        <v>23XXR056</v>
      </c>
      <c r="B67" s="36" t="s">
        <v>40</v>
      </c>
      <c r="C67" s="46">
        <f t="shared" si="1"/>
        <v>0</v>
      </c>
      <c r="D67" s="46">
        <f t="shared" si="2"/>
        <v>0</v>
      </c>
      <c r="E67" s="46">
        <f t="shared" si="3"/>
        <v>0</v>
      </c>
      <c r="F67" s="46">
        <f t="shared" si="4"/>
        <v>0</v>
      </c>
      <c r="G67" s="46">
        <f t="shared" si="5"/>
        <v>0</v>
      </c>
      <c r="H67" s="46"/>
      <c r="I67" s="46"/>
      <c r="J67" s="46"/>
      <c r="K67" s="46"/>
      <c r="L67" s="46"/>
      <c r="M67" s="46"/>
      <c r="N67" s="46"/>
      <c r="O67" s="46"/>
      <c r="P67" s="46"/>
      <c r="Q67" s="43"/>
      <c r="R67" s="36">
        <f t="shared" si="6"/>
        <v>0</v>
      </c>
      <c r="S67" s="36">
        <f>BASE!A71</f>
        <v>56</v>
      </c>
      <c r="T67" s="46">
        <f t="shared" si="7"/>
        <v>0</v>
      </c>
      <c r="U67" s="46">
        <f t="shared" si="8"/>
        <v>0</v>
      </c>
      <c r="V67" s="46">
        <f t="shared" si="9"/>
        <v>0</v>
      </c>
      <c r="W67" s="46">
        <f t="shared" si="10"/>
        <v>0</v>
      </c>
      <c r="X67" s="46">
        <f t="shared" si="11"/>
        <v>0</v>
      </c>
      <c r="Y67" s="159"/>
    </row>
    <row r="68" spans="1:25" ht="18.75" customHeight="1">
      <c r="A68" s="47" t="str">
        <f>+BASE!B72</f>
        <v>23XXR057</v>
      </c>
      <c r="B68" s="36" t="s">
        <v>40</v>
      </c>
      <c r="C68" s="46">
        <f t="shared" si="1"/>
        <v>0</v>
      </c>
      <c r="D68" s="46">
        <f t="shared" si="2"/>
        <v>0</v>
      </c>
      <c r="E68" s="46">
        <f t="shared" si="3"/>
        <v>0</v>
      </c>
      <c r="F68" s="46">
        <f t="shared" si="4"/>
        <v>0</v>
      </c>
      <c r="G68" s="46">
        <f t="shared" si="5"/>
        <v>0</v>
      </c>
      <c r="H68" s="46"/>
      <c r="I68" s="46"/>
      <c r="J68" s="46"/>
      <c r="K68" s="46"/>
      <c r="L68" s="46"/>
      <c r="M68" s="46"/>
      <c r="N68" s="46"/>
      <c r="O68" s="46"/>
      <c r="P68" s="46"/>
      <c r="Q68" s="43"/>
      <c r="R68" s="36">
        <f t="shared" si="6"/>
        <v>0</v>
      </c>
      <c r="S68" s="36">
        <f>BASE!A72</f>
        <v>57</v>
      </c>
      <c r="T68" s="46">
        <f t="shared" si="7"/>
        <v>0</v>
      </c>
      <c r="U68" s="46">
        <f t="shared" si="8"/>
        <v>0</v>
      </c>
      <c r="V68" s="46">
        <f t="shared" si="9"/>
        <v>0</v>
      </c>
      <c r="W68" s="46">
        <f t="shared" si="10"/>
        <v>0</v>
      </c>
      <c r="X68" s="46">
        <f t="shared" si="11"/>
        <v>0</v>
      </c>
      <c r="Y68" s="159"/>
    </row>
    <row r="69" spans="1:25" ht="18.75" customHeight="1">
      <c r="A69" s="47" t="str">
        <f>+BASE!B73</f>
        <v>23XXR058</v>
      </c>
      <c r="B69" s="36" t="s">
        <v>40</v>
      </c>
      <c r="C69" s="46">
        <f t="shared" si="1"/>
        <v>0</v>
      </c>
      <c r="D69" s="46">
        <f t="shared" si="2"/>
        <v>0</v>
      </c>
      <c r="E69" s="46">
        <f t="shared" si="3"/>
        <v>0</v>
      </c>
      <c r="F69" s="46">
        <f t="shared" si="4"/>
        <v>0</v>
      </c>
      <c r="G69" s="46">
        <f t="shared" si="5"/>
        <v>0</v>
      </c>
      <c r="H69" s="46"/>
      <c r="I69" s="46"/>
      <c r="J69" s="46"/>
      <c r="K69" s="46"/>
      <c r="L69" s="46"/>
      <c r="M69" s="46"/>
      <c r="N69" s="46"/>
      <c r="O69" s="46"/>
      <c r="P69" s="46"/>
      <c r="Q69" s="43"/>
      <c r="R69" s="36">
        <f t="shared" si="6"/>
        <v>0</v>
      </c>
      <c r="S69" s="36">
        <f>BASE!A73</f>
        <v>58</v>
      </c>
      <c r="T69" s="46">
        <f t="shared" si="7"/>
        <v>0</v>
      </c>
      <c r="U69" s="46">
        <f t="shared" si="8"/>
        <v>0</v>
      </c>
      <c r="V69" s="46">
        <f t="shared" si="9"/>
        <v>0</v>
      </c>
      <c r="W69" s="46">
        <f t="shared" si="10"/>
        <v>0</v>
      </c>
      <c r="X69" s="46">
        <f t="shared" si="11"/>
        <v>0</v>
      </c>
      <c r="Y69" s="159"/>
    </row>
    <row r="70" spans="1:25" ht="18.75" customHeight="1">
      <c r="A70" s="47" t="str">
        <f>+BASE!B74</f>
        <v>23XXR059</v>
      </c>
      <c r="B70" s="36" t="s">
        <v>40</v>
      </c>
      <c r="C70" s="46">
        <f t="shared" si="1"/>
        <v>0</v>
      </c>
      <c r="D70" s="46">
        <f t="shared" si="2"/>
        <v>0</v>
      </c>
      <c r="E70" s="46">
        <f t="shared" si="3"/>
        <v>0</v>
      </c>
      <c r="F70" s="46">
        <f t="shared" si="4"/>
        <v>0</v>
      </c>
      <c r="G70" s="46">
        <f t="shared" si="5"/>
        <v>0</v>
      </c>
      <c r="H70" s="46"/>
      <c r="I70" s="46"/>
      <c r="J70" s="46"/>
      <c r="K70" s="46"/>
      <c r="L70" s="46"/>
      <c r="M70" s="46"/>
      <c r="N70" s="46"/>
      <c r="O70" s="46"/>
      <c r="P70" s="46"/>
      <c r="Q70" s="43"/>
      <c r="R70" s="36">
        <f t="shared" si="6"/>
        <v>0</v>
      </c>
      <c r="S70" s="36">
        <f>BASE!A74</f>
        <v>59</v>
      </c>
      <c r="T70" s="46">
        <f t="shared" si="7"/>
        <v>0</v>
      </c>
      <c r="U70" s="46">
        <f t="shared" si="8"/>
        <v>0</v>
      </c>
      <c r="V70" s="46">
        <f t="shared" si="9"/>
        <v>0</v>
      </c>
      <c r="W70" s="46">
        <f t="shared" si="10"/>
        <v>0</v>
      </c>
      <c r="X70" s="46">
        <f t="shared" si="11"/>
        <v>0</v>
      </c>
      <c r="Y70" s="159"/>
    </row>
    <row r="71" spans="1:25" ht="18.75" customHeight="1">
      <c r="A71" s="47" t="str">
        <f>+BASE!B75</f>
        <v>23XXR060</v>
      </c>
      <c r="B71" s="36" t="s">
        <v>40</v>
      </c>
      <c r="C71" s="46">
        <f t="shared" si="1"/>
        <v>0</v>
      </c>
      <c r="D71" s="46">
        <f t="shared" si="2"/>
        <v>0</v>
      </c>
      <c r="E71" s="46">
        <f t="shared" si="3"/>
        <v>0</v>
      </c>
      <c r="F71" s="46">
        <f t="shared" si="4"/>
        <v>0</v>
      </c>
      <c r="G71" s="46">
        <f t="shared" si="5"/>
        <v>0</v>
      </c>
      <c r="H71" s="46"/>
      <c r="I71" s="46"/>
      <c r="J71" s="46"/>
      <c r="K71" s="46"/>
      <c r="L71" s="46"/>
      <c r="M71" s="46"/>
      <c r="N71" s="46"/>
      <c r="O71" s="46"/>
      <c r="P71" s="46"/>
      <c r="Q71" s="43"/>
      <c r="R71" s="36">
        <f t="shared" si="6"/>
        <v>0</v>
      </c>
      <c r="S71" s="36">
        <f>BASE!A75</f>
        <v>60</v>
      </c>
      <c r="T71" s="46">
        <f t="shared" si="7"/>
        <v>0</v>
      </c>
      <c r="U71" s="46">
        <f t="shared" si="8"/>
        <v>0</v>
      </c>
      <c r="V71" s="46">
        <f t="shared" si="9"/>
        <v>0</v>
      </c>
      <c r="W71" s="46">
        <f t="shared" si="10"/>
        <v>0</v>
      </c>
      <c r="X71" s="46">
        <f t="shared" si="11"/>
        <v>0</v>
      </c>
      <c r="Y71" s="159"/>
    </row>
    <row r="72" spans="1:25" ht="18.75" customHeight="1">
      <c r="A72" s="47" t="str">
        <f>+BASE!B76</f>
        <v>23XXR061</v>
      </c>
      <c r="B72" s="36" t="s">
        <v>40</v>
      </c>
      <c r="C72" s="46">
        <f t="shared" si="1"/>
        <v>0</v>
      </c>
      <c r="D72" s="46">
        <f t="shared" si="2"/>
        <v>0</v>
      </c>
      <c r="E72" s="46">
        <f t="shared" si="3"/>
        <v>0</v>
      </c>
      <c r="F72" s="46">
        <f t="shared" si="4"/>
        <v>0</v>
      </c>
      <c r="G72" s="46">
        <f t="shared" si="5"/>
        <v>0</v>
      </c>
      <c r="H72" s="46"/>
      <c r="I72" s="46"/>
      <c r="J72" s="46"/>
      <c r="K72" s="46"/>
      <c r="L72" s="46"/>
      <c r="M72" s="46"/>
      <c r="N72" s="46"/>
      <c r="O72" s="46"/>
      <c r="P72" s="46"/>
      <c r="Q72" s="43"/>
      <c r="R72" s="36">
        <f t="shared" si="6"/>
        <v>0</v>
      </c>
      <c r="S72" s="36">
        <f>BASE!A76</f>
        <v>61</v>
      </c>
      <c r="T72" s="46">
        <f t="shared" si="7"/>
        <v>0</v>
      </c>
      <c r="U72" s="46">
        <f t="shared" si="8"/>
        <v>0</v>
      </c>
      <c r="V72" s="46">
        <f t="shared" si="9"/>
        <v>0</v>
      </c>
      <c r="W72" s="46">
        <f t="shared" si="10"/>
        <v>0</v>
      </c>
      <c r="X72" s="46">
        <f t="shared" si="11"/>
        <v>0</v>
      </c>
      <c r="Y72" s="159"/>
    </row>
    <row r="73" spans="1:25" ht="18.75" customHeight="1">
      <c r="A73" s="47" t="str">
        <f>+BASE!B77</f>
        <v>23XXR062</v>
      </c>
      <c r="B73" s="36" t="s">
        <v>40</v>
      </c>
      <c r="C73" s="46">
        <f t="shared" si="1"/>
        <v>0</v>
      </c>
      <c r="D73" s="46">
        <f t="shared" si="2"/>
        <v>0</v>
      </c>
      <c r="E73" s="46">
        <f t="shared" si="3"/>
        <v>0</v>
      </c>
      <c r="F73" s="46">
        <f t="shared" si="4"/>
        <v>0</v>
      </c>
      <c r="G73" s="46">
        <f t="shared" si="5"/>
        <v>0</v>
      </c>
      <c r="H73" s="46"/>
      <c r="I73" s="46"/>
      <c r="J73" s="46"/>
      <c r="K73" s="46"/>
      <c r="L73" s="46"/>
      <c r="M73" s="46"/>
      <c r="N73" s="46"/>
      <c r="O73" s="46"/>
      <c r="P73" s="46"/>
      <c r="Q73" s="43"/>
      <c r="R73" s="36">
        <f t="shared" si="6"/>
        <v>0</v>
      </c>
      <c r="S73" s="36">
        <f>BASE!A77</f>
        <v>62</v>
      </c>
      <c r="T73" s="46">
        <f t="shared" si="7"/>
        <v>0</v>
      </c>
      <c r="U73" s="46">
        <f t="shared" si="8"/>
        <v>0</v>
      </c>
      <c r="V73" s="46">
        <f t="shared" si="9"/>
        <v>0</v>
      </c>
      <c r="W73" s="46">
        <f t="shared" si="10"/>
        <v>0</v>
      </c>
      <c r="X73" s="46">
        <f t="shared" si="11"/>
        <v>0</v>
      </c>
      <c r="Y73" s="159"/>
    </row>
    <row r="74" spans="1:25" ht="18.75" customHeight="1">
      <c r="A74" s="47" t="str">
        <f>+BASE!B78</f>
        <v>23XXR063</v>
      </c>
      <c r="B74" s="36" t="s">
        <v>40</v>
      </c>
      <c r="C74" s="46">
        <f t="shared" si="1"/>
        <v>0</v>
      </c>
      <c r="D74" s="46">
        <f t="shared" si="2"/>
        <v>0</v>
      </c>
      <c r="E74" s="46">
        <f t="shared" si="3"/>
        <v>0</v>
      </c>
      <c r="F74" s="46">
        <f t="shared" si="4"/>
        <v>0</v>
      </c>
      <c r="G74" s="46">
        <f t="shared" si="5"/>
        <v>0</v>
      </c>
      <c r="H74" s="46"/>
      <c r="I74" s="46"/>
      <c r="J74" s="46"/>
      <c r="K74" s="46"/>
      <c r="L74" s="46"/>
      <c r="M74" s="46"/>
      <c r="N74" s="46"/>
      <c r="O74" s="46"/>
      <c r="P74" s="46"/>
      <c r="Q74" s="43"/>
      <c r="R74" s="36">
        <f t="shared" si="6"/>
        <v>0</v>
      </c>
      <c r="S74" s="36">
        <f>BASE!A78</f>
        <v>63</v>
      </c>
      <c r="T74" s="46">
        <f t="shared" si="7"/>
        <v>0</v>
      </c>
      <c r="U74" s="46">
        <f t="shared" si="8"/>
        <v>0</v>
      </c>
      <c r="V74" s="46">
        <f t="shared" si="9"/>
        <v>0</v>
      </c>
      <c r="W74" s="46">
        <f t="shared" si="10"/>
        <v>0</v>
      </c>
      <c r="X74" s="46">
        <f t="shared" si="11"/>
        <v>0</v>
      </c>
      <c r="Y74" s="159"/>
    </row>
    <row r="75" spans="1:25" ht="18.75" customHeight="1">
      <c r="A75" s="47" t="str">
        <f>+BASE!B79</f>
        <v>23XXR064</v>
      </c>
      <c r="B75" s="36" t="s">
        <v>40</v>
      </c>
      <c r="C75" s="46">
        <f t="shared" si="1"/>
        <v>0</v>
      </c>
      <c r="D75" s="46">
        <f t="shared" si="2"/>
        <v>0</v>
      </c>
      <c r="E75" s="46">
        <f t="shared" si="3"/>
        <v>0</v>
      </c>
      <c r="F75" s="46">
        <f t="shared" si="4"/>
        <v>0</v>
      </c>
      <c r="G75" s="46">
        <f t="shared" si="5"/>
        <v>0</v>
      </c>
      <c r="H75" s="46"/>
      <c r="I75" s="46"/>
      <c r="J75" s="46"/>
      <c r="K75" s="46"/>
      <c r="L75" s="46"/>
      <c r="M75" s="46"/>
      <c r="N75" s="46"/>
      <c r="O75" s="46"/>
      <c r="P75" s="46"/>
      <c r="Q75" s="43"/>
      <c r="R75" s="36">
        <f t="shared" si="6"/>
        <v>0</v>
      </c>
      <c r="S75" s="36">
        <f>BASE!A79</f>
        <v>64</v>
      </c>
      <c r="T75" s="46">
        <f t="shared" si="7"/>
        <v>0</v>
      </c>
      <c r="U75" s="46">
        <f t="shared" si="8"/>
        <v>0</v>
      </c>
      <c r="V75" s="46">
        <f t="shared" si="9"/>
        <v>0</v>
      </c>
      <c r="W75" s="46">
        <f t="shared" si="10"/>
        <v>0</v>
      </c>
      <c r="X75" s="46">
        <f t="shared" si="11"/>
        <v>0</v>
      </c>
      <c r="Y75" s="159"/>
    </row>
    <row r="76" spans="1:25" ht="18.75" customHeight="1">
      <c r="A76" s="47" t="str">
        <f>+BASE!B80</f>
        <v>23XXR065</v>
      </c>
      <c r="B76" s="36" t="s">
        <v>40</v>
      </c>
      <c r="C76" s="46">
        <f t="shared" si="1"/>
        <v>0</v>
      </c>
      <c r="D76" s="46">
        <f t="shared" si="2"/>
        <v>0</v>
      </c>
      <c r="E76" s="46">
        <f t="shared" si="3"/>
        <v>0</v>
      </c>
      <c r="F76" s="46">
        <f t="shared" si="4"/>
        <v>0</v>
      </c>
      <c r="G76" s="46">
        <f t="shared" si="5"/>
        <v>0</v>
      </c>
      <c r="H76" s="46"/>
      <c r="I76" s="46"/>
      <c r="J76" s="46"/>
      <c r="K76" s="46"/>
      <c r="L76" s="46"/>
      <c r="M76" s="46"/>
      <c r="N76" s="46"/>
      <c r="O76" s="46"/>
      <c r="P76" s="46"/>
      <c r="Q76" s="43"/>
      <c r="R76" s="36">
        <f t="shared" si="6"/>
        <v>0</v>
      </c>
      <c r="S76" s="36">
        <f>BASE!A80</f>
        <v>65</v>
      </c>
      <c r="T76" s="46">
        <f t="shared" si="7"/>
        <v>0</v>
      </c>
      <c r="U76" s="46">
        <f t="shared" si="8"/>
        <v>0</v>
      </c>
      <c r="V76" s="46">
        <f t="shared" si="9"/>
        <v>0</v>
      </c>
      <c r="W76" s="46">
        <f t="shared" si="10"/>
        <v>0</v>
      </c>
      <c r="X76" s="46">
        <f t="shared" si="11"/>
        <v>0</v>
      </c>
      <c r="Y76" s="159"/>
    </row>
    <row r="77" spans="1:25" ht="18.75" customHeight="1">
      <c r="A77" s="47" t="str">
        <f>+BASE!B81</f>
        <v>23XXR066</v>
      </c>
      <c r="B77" s="36" t="s">
        <v>40</v>
      </c>
      <c r="C77" s="46">
        <f t="shared" si="1"/>
        <v>0</v>
      </c>
      <c r="D77" s="46">
        <f t="shared" si="2"/>
        <v>0</v>
      </c>
      <c r="E77" s="46">
        <f t="shared" si="3"/>
        <v>0</v>
      </c>
      <c r="F77" s="46">
        <f t="shared" si="4"/>
        <v>0</v>
      </c>
      <c r="G77" s="46">
        <f t="shared" si="5"/>
        <v>0</v>
      </c>
      <c r="H77" s="46"/>
      <c r="I77" s="46"/>
      <c r="J77" s="46"/>
      <c r="K77" s="46"/>
      <c r="L77" s="46"/>
      <c r="M77" s="46"/>
      <c r="N77" s="46"/>
      <c r="O77" s="46"/>
      <c r="P77" s="46"/>
      <c r="Q77" s="43"/>
      <c r="R77" s="36">
        <f t="shared" si="6"/>
        <v>0</v>
      </c>
      <c r="S77" s="36">
        <f>BASE!A81</f>
        <v>66</v>
      </c>
      <c r="T77" s="46">
        <f t="shared" si="7"/>
        <v>0</v>
      </c>
      <c r="U77" s="46">
        <f t="shared" si="8"/>
        <v>0</v>
      </c>
      <c r="V77" s="46">
        <f t="shared" si="9"/>
        <v>0</v>
      </c>
      <c r="W77" s="46">
        <f t="shared" si="10"/>
        <v>0</v>
      </c>
      <c r="X77" s="46">
        <f t="shared" si="11"/>
        <v>0</v>
      </c>
      <c r="Y77" s="159"/>
    </row>
    <row r="78" spans="1:25" ht="18.75" customHeight="1">
      <c r="A78" s="47" t="str">
        <f>+BASE!B82</f>
        <v>23XXR067</v>
      </c>
      <c r="B78" s="36" t="s">
        <v>40</v>
      </c>
      <c r="C78" s="46">
        <f t="shared" si="1"/>
        <v>0</v>
      </c>
      <c r="D78" s="46">
        <f t="shared" si="2"/>
        <v>0</v>
      </c>
      <c r="E78" s="46">
        <f t="shared" si="3"/>
        <v>0</v>
      </c>
      <c r="F78" s="46">
        <f t="shared" si="4"/>
        <v>0</v>
      </c>
      <c r="G78" s="46">
        <f t="shared" si="5"/>
        <v>0</v>
      </c>
      <c r="H78" s="46"/>
      <c r="I78" s="46"/>
      <c r="J78" s="46"/>
      <c r="K78" s="46"/>
      <c r="L78" s="46"/>
      <c r="M78" s="46"/>
      <c r="N78" s="46"/>
      <c r="O78" s="46"/>
      <c r="P78" s="46"/>
      <c r="Q78" s="43"/>
      <c r="R78" s="36">
        <f t="shared" si="6"/>
        <v>0</v>
      </c>
      <c r="S78" s="36">
        <f>BASE!A82</f>
        <v>67</v>
      </c>
      <c r="T78" s="46">
        <f t="shared" si="7"/>
        <v>0</v>
      </c>
      <c r="U78" s="46">
        <f t="shared" si="8"/>
        <v>0</v>
      </c>
      <c r="V78" s="46">
        <f t="shared" si="9"/>
        <v>0</v>
      </c>
      <c r="W78" s="46">
        <f t="shared" si="10"/>
        <v>0</v>
      </c>
      <c r="X78" s="46">
        <f t="shared" si="11"/>
        <v>0</v>
      </c>
      <c r="Y78" s="159"/>
    </row>
    <row r="79" spans="1:25" ht="20.25" customHeight="1">
      <c r="A79" s="47" t="str">
        <f>+BASE!B83</f>
        <v>23XXR068</v>
      </c>
      <c r="B79" s="36" t="s">
        <v>40</v>
      </c>
      <c r="C79" s="46">
        <f t="shared" si="1"/>
        <v>0</v>
      </c>
      <c r="D79" s="46">
        <f t="shared" si="2"/>
        <v>0</v>
      </c>
      <c r="E79" s="46">
        <f t="shared" si="3"/>
        <v>0</v>
      </c>
      <c r="F79" s="46">
        <f t="shared" si="4"/>
        <v>0</v>
      </c>
      <c r="G79" s="46">
        <f t="shared" si="5"/>
        <v>0</v>
      </c>
      <c r="H79" s="46"/>
      <c r="I79" s="46"/>
      <c r="J79" s="46"/>
      <c r="K79" s="46"/>
      <c r="L79" s="46"/>
      <c r="M79" s="46"/>
      <c r="N79" s="46"/>
      <c r="O79" s="46"/>
      <c r="P79" s="46"/>
      <c r="Q79" s="43"/>
      <c r="R79" s="36">
        <f t="shared" si="6"/>
        <v>0</v>
      </c>
      <c r="S79" s="36">
        <f>BASE!A83</f>
        <v>68</v>
      </c>
      <c r="T79" s="46">
        <f t="shared" si="7"/>
        <v>0</v>
      </c>
      <c r="U79" s="46">
        <f t="shared" si="8"/>
        <v>0</v>
      </c>
      <c r="V79" s="46">
        <f t="shared" si="9"/>
        <v>0</v>
      </c>
      <c r="W79" s="46">
        <f t="shared" si="10"/>
        <v>0</v>
      </c>
      <c r="X79" s="46">
        <f t="shared" si="11"/>
        <v>0</v>
      </c>
      <c r="Y79" s="159"/>
    </row>
    <row r="80" spans="1:25" ht="20.25" customHeight="1">
      <c r="A80" s="47" t="str">
        <f>+BASE!B84</f>
        <v>23XXR069</v>
      </c>
      <c r="B80" s="36" t="s">
        <v>40</v>
      </c>
      <c r="C80" s="46">
        <f t="shared" si="1"/>
        <v>0</v>
      </c>
      <c r="D80" s="46">
        <f t="shared" si="2"/>
        <v>0</v>
      </c>
      <c r="E80" s="46">
        <f t="shared" si="3"/>
        <v>0</v>
      </c>
      <c r="F80" s="46">
        <f t="shared" si="4"/>
        <v>0</v>
      </c>
      <c r="G80" s="46">
        <f t="shared" si="5"/>
        <v>0</v>
      </c>
      <c r="H80" s="46"/>
      <c r="I80" s="46"/>
      <c r="J80" s="46"/>
      <c r="K80" s="46"/>
      <c r="L80" s="46"/>
      <c r="M80" s="46"/>
      <c r="N80" s="46"/>
      <c r="O80" s="46"/>
      <c r="P80" s="46"/>
      <c r="Q80" s="43"/>
      <c r="R80" s="36">
        <f t="shared" si="6"/>
        <v>0</v>
      </c>
      <c r="S80" s="36">
        <f>BASE!A84</f>
        <v>69</v>
      </c>
      <c r="T80" s="46">
        <f t="shared" si="7"/>
        <v>0</v>
      </c>
      <c r="U80" s="46">
        <f t="shared" si="8"/>
        <v>0</v>
      </c>
      <c r="V80" s="46">
        <f t="shared" si="9"/>
        <v>0</v>
      </c>
      <c r="W80" s="46">
        <f t="shared" si="10"/>
        <v>0</v>
      </c>
      <c r="X80" s="46">
        <f t="shared" si="11"/>
        <v>0</v>
      </c>
      <c r="Y80" s="159"/>
    </row>
    <row r="81" spans="1:25" ht="20.25" customHeight="1">
      <c r="A81" s="47" t="str">
        <f>+BASE!B85</f>
        <v>23XXR070</v>
      </c>
      <c r="B81" s="36" t="s">
        <v>40</v>
      </c>
      <c r="C81" s="46">
        <f t="shared" si="1"/>
        <v>0</v>
      </c>
      <c r="D81" s="46">
        <f t="shared" si="2"/>
        <v>0</v>
      </c>
      <c r="E81" s="46">
        <f t="shared" si="3"/>
        <v>0</v>
      </c>
      <c r="F81" s="46">
        <f t="shared" si="4"/>
        <v>0</v>
      </c>
      <c r="G81" s="46">
        <f t="shared" si="5"/>
        <v>0</v>
      </c>
      <c r="H81" s="46"/>
      <c r="I81" s="46"/>
      <c r="J81" s="46"/>
      <c r="K81" s="46"/>
      <c r="L81" s="46"/>
      <c r="M81" s="46"/>
      <c r="N81" s="46"/>
      <c r="O81" s="46"/>
      <c r="P81" s="46"/>
      <c r="Q81" s="43"/>
      <c r="R81" s="36">
        <f t="shared" si="6"/>
        <v>0</v>
      </c>
      <c r="S81" s="36">
        <f>BASE!A85</f>
        <v>70</v>
      </c>
      <c r="T81" s="46">
        <f t="shared" si="7"/>
        <v>0</v>
      </c>
      <c r="U81" s="46">
        <f t="shared" si="8"/>
        <v>0</v>
      </c>
      <c r="V81" s="46">
        <f t="shared" si="9"/>
        <v>0</v>
      </c>
      <c r="W81" s="46">
        <f t="shared" si="10"/>
        <v>0</v>
      </c>
      <c r="X81" s="46">
        <f t="shared" si="11"/>
        <v>0</v>
      </c>
      <c r="Y81" s="159"/>
    </row>
    <row r="82" spans="1:25" ht="20.25" customHeight="1">
      <c r="A82" s="47" t="str">
        <f>+BASE!B86</f>
        <v>23XXR071</v>
      </c>
      <c r="B82" s="36" t="s">
        <v>40</v>
      </c>
      <c r="C82" s="46">
        <f t="shared" si="1"/>
        <v>0</v>
      </c>
      <c r="D82" s="46">
        <f t="shared" si="2"/>
        <v>0</v>
      </c>
      <c r="E82" s="46">
        <f t="shared" si="3"/>
        <v>0</v>
      </c>
      <c r="F82" s="46">
        <f t="shared" si="4"/>
        <v>0</v>
      </c>
      <c r="G82" s="46">
        <f t="shared" si="5"/>
        <v>0</v>
      </c>
      <c r="H82" s="46"/>
      <c r="I82" s="46"/>
      <c r="J82" s="46"/>
      <c r="K82" s="46"/>
      <c r="L82" s="46"/>
      <c r="M82" s="46"/>
      <c r="N82" s="46"/>
      <c r="O82" s="46"/>
      <c r="P82" s="46"/>
      <c r="Q82" s="43"/>
      <c r="R82" s="36">
        <f t="shared" si="6"/>
        <v>0</v>
      </c>
      <c r="S82" s="36">
        <f>BASE!A86</f>
        <v>71</v>
      </c>
      <c r="T82" s="46">
        <f t="shared" si="7"/>
        <v>0</v>
      </c>
      <c r="U82" s="46">
        <f t="shared" si="8"/>
        <v>0</v>
      </c>
      <c r="V82" s="46">
        <f t="shared" si="9"/>
        <v>0</v>
      </c>
      <c r="W82" s="46">
        <f t="shared" si="10"/>
        <v>0</v>
      </c>
      <c r="X82" s="46">
        <f t="shared" si="11"/>
        <v>0</v>
      </c>
      <c r="Y82" s="159"/>
    </row>
    <row r="83" spans="1:25" ht="20.25" customHeight="1">
      <c r="A83" s="47" t="str">
        <f>+BASE!B87</f>
        <v>23XXR072</v>
      </c>
      <c r="B83" s="36" t="s">
        <v>40</v>
      </c>
      <c r="C83" s="46">
        <f t="shared" si="1"/>
        <v>0</v>
      </c>
      <c r="D83" s="46">
        <f t="shared" si="2"/>
        <v>0</v>
      </c>
      <c r="E83" s="46">
        <f t="shared" si="3"/>
        <v>0</v>
      </c>
      <c r="F83" s="46">
        <f t="shared" si="4"/>
        <v>0</v>
      </c>
      <c r="G83" s="46">
        <f t="shared" si="5"/>
        <v>0</v>
      </c>
      <c r="H83" s="46"/>
      <c r="I83" s="46"/>
      <c r="J83" s="46"/>
      <c r="K83" s="46"/>
      <c r="L83" s="46"/>
      <c r="M83" s="46"/>
      <c r="N83" s="46"/>
      <c r="O83" s="46"/>
      <c r="P83" s="46"/>
      <c r="Q83" s="43"/>
      <c r="R83" s="36">
        <f t="shared" si="6"/>
        <v>0</v>
      </c>
      <c r="S83" s="36">
        <f>BASE!A87</f>
        <v>72</v>
      </c>
      <c r="T83" s="46">
        <f t="shared" si="7"/>
        <v>0</v>
      </c>
      <c r="U83" s="46">
        <f t="shared" si="8"/>
        <v>0</v>
      </c>
      <c r="V83" s="46">
        <f t="shared" si="9"/>
        <v>0</v>
      </c>
      <c r="W83" s="46">
        <f t="shared" si="10"/>
        <v>0</v>
      </c>
      <c r="X83" s="46">
        <f t="shared" si="11"/>
        <v>0</v>
      </c>
      <c r="Y83" s="159"/>
    </row>
    <row r="84" spans="1:25" ht="20.25" customHeight="1">
      <c r="A84" s="47" t="str">
        <f>+BASE!B88</f>
        <v>23XXR073</v>
      </c>
      <c r="B84" s="36" t="s">
        <v>40</v>
      </c>
      <c r="C84" s="46">
        <f t="shared" si="1"/>
        <v>0</v>
      </c>
      <c r="D84" s="46">
        <f t="shared" si="2"/>
        <v>0</v>
      </c>
      <c r="E84" s="46">
        <f t="shared" si="3"/>
        <v>0</v>
      </c>
      <c r="F84" s="46">
        <f t="shared" si="4"/>
        <v>0</v>
      </c>
      <c r="G84" s="46">
        <f t="shared" si="5"/>
        <v>0</v>
      </c>
      <c r="H84" s="46"/>
      <c r="I84" s="46"/>
      <c r="J84" s="46"/>
      <c r="K84" s="46"/>
      <c r="L84" s="46"/>
      <c r="M84" s="46"/>
      <c r="N84" s="46"/>
      <c r="O84" s="46"/>
      <c r="P84" s="46"/>
      <c r="Q84" s="43"/>
      <c r="R84" s="36">
        <f t="shared" si="6"/>
        <v>0</v>
      </c>
      <c r="S84" s="36">
        <f>BASE!A88</f>
        <v>73</v>
      </c>
      <c r="T84" s="46">
        <f t="shared" si="7"/>
        <v>0</v>
      </c>
      <c r="U84" s="46">
        <f t="shared" si="8"/>
        <v>0</v>
      </c>
      <c r="V84" s="46">
        <f t="shared" si="9"/>
        <v>0</v>
      </c>
      <c r="W84" s="46">
        <f t="shared" si="10"/>
        <v>0</v>
      </c>
      <c r="X84" s="46">
        <f t="shared" si="11"/>
        <v>0</v>
      </c>
      <c r="Y84" s="159"/>
    </row>
    <row r="85" spans="1:25" ht="20.25" customHeight="1">
      <c r="A85" s="47" t="str">
        <f>+BASE!B89</f>
        <v>23XXR074</v>
      </c>
      <c r="B85" s="36" t="s">
        <v>40</v>
      </c>
      <c r="C85" s="46">
        <f t="shared" si="1"/>
        <v>0</v>
      </c>
      <c r="D85" s="46">
        <f t="shared" si="2"/>
        <v>0</v>
      </c>
      <c r="E85" s="46">
        <f t="shared" si="3"/>
        <v>0</v>
      </c>
      <c r="F85" s="46">
        <f t="shared" si="4"/>
        <v>0</v>
      </c>
      <c r="G85" s="46">
        <f t="shared" si="5"/>
        <v>0</v>
      </c>
      <c r="H85" s="46"/>
      <c r="I85" s="46"/>
      <c r="J85" s="46"/>
      <c r="K85" s="46"/>
      <c r="L85" s="46"/>
      <c r="M85" s="46"/>
      <c r="N85" s="46"/>
      <c r="O85" s="46"/>
      <c r="P85" s="46"/>
      <c r="Q85" s="43"/>
      <c r="R85" s="36">
        <f t="shared" si="6"/>
        <v>0</v>
      </c>
      <c r="S85" s="36">
        <f>BASE!A89</f>
        <v>74</v>
      </c>
      <c r="T85" s="46">
        <f t="shared" si="7"/>
        <v>0</v>
      </c>
      <c r="U85" s="46">
        <f t="shared" si="8"/>
        <v>0</v>
      </c>
      <c r="V85" s="46">
        <f t="shared" si="9"/>
        <v>0</v>
      </c>
      <c r="W85" s="46">
        <f t="shared" si="10"/>
        <v>0</v>
      </c>
      <c r="X85" s="46">
        <f t="shared" si="11"/>
        <v>0</v>
      </c>
      <c r="Y85" s="159"/>
    </row>
    <row r="86" spans="1:25" ht="20.25" customHeight="1">
      <c r="A86" s="47" t="str">
        <f>+BASE!B90</f>
        <v>23XXR075</v>
      </c>
      <c r="B86" s="36" t="s">
        <v>40</v>
      </c>
      <c r="C86" s="46">
        <f t="shared" si="1"/>
        <v>0</v>
      </c>
      <c r="D86" s="46">
        <f t="shared" si="2"/>
        <v>0</v>
      </c>
      <c r="E86" s="46">
        <f t="shared" si="3"/>
        <v>0</v>
      </c>
      <c r="F86" s="46">
        <f t="shared" si="4"/>
        <v>0</v>
      </c>
      <c r="G86" s="46">
        <f t="shared" si="5"/>
        <v>0</v>
      </c>
      <c r="H86" s="46"/>
      <c r="I86" s="46"/>
      <c r="J86" s="46"/>
      <c r="K86" s="46"/>
      <c r="L86" s="46"/>
      <c r="M86" s="46"/>
      <c r="N86" s="46"/>
      <c r="O86" s="46"/>
      <c r="P86" s="46"/>
      <c r="Q86" s="43"/>
      <c r="R86" s="36">
        <f t="shared" si="6"/>
        <v>0</v>
      </c>
      <c r="S86" s="36">
        <f>BASE!A90</f>
        <v>75</v>
      </c>
      <c r="T86" s="46">
        <f t="shared" si="7"/>
        <v>0</v>
      </c>
      <c r="U86" s="46">
        <f t="shared" si="8"/>
        <v>0</v>
      </c>
      <c r="V86" s="46">
        <f t="shared" si="9"/>
        <v>0</v>
      </c>
      <c r="W86" s="46">
        <f t="shared" si="10"/>
        <v>0</v>
      </c>
      <c r="X86" s="46">
        <f t="shared" si="11"/>
        <v>0</v>
      </c>
      <c r="Y86" s="159"/>
    </row>
    <row r="87" spans="1:25" ht="20.25" customHeight="1">
      <c r="A87" s="47" t="str">
        <f>+BASE!B91</f>
        <v>23XXR076</v>
      </c>
      <c r="B87" s="36" t="s">
        <v>40</v>
      </c>
      <c r="C87" s="46">
        <f t="shared" si="1"/>
        <v>0</v>
      </c>
      <c r="D87" s="46">
        <f t="shared" si="2"/>
        <v>0</v>
      </c>
      <c r="E87" s="46">
        <f t="shared" si="3"/>
        <v>0</v>
      </c>
      <c r="F87" s="46">
        <f t="shared" si="4"/>
        <v>0</v>
      </c>
      <c r="G87" s="46">
        <f t="shared" si="5"/>
        <v>0</v>
      </c>
      <c r="H87" s="46"/>
      <c r="I87" s="46"/>
      <c r="J87" s="46"/>
      <c r="K87" s="46"/>
      <c r="L87" s="46"/>
      <c r="M87" s="46"/>
      <c r="N87" s="46"/>
      <c r="O87" s="46"/>
      <c r="P87" s="46"/>
      <c r="Q87" s="43"/>
      <c r="R87" s="36">
        <f t="shared" si="6"/>
        <v>0</v>
      </c>
      <c r="S87" s="36">
        <f>BASE!A91</f>
        <v>76</v>
      </c>
      <c r="T87" s="46">
        <f t="shared" si="7"/>
        <v>0</v>
      </c>
      <c r="U87" s="46">
        <f t="shared" si="8"/>
        <v>0</v>
      </c>
      <c r="V87" s="46">
        <f t="shared" si="9"/>
        <v>0</v>
      </c>
      <c r="W87" s="46">
        <f t="shared" si="10"/>
        <v>0</v>
      </c>
      <c r="X87" s="46">
        <f t="shared" si="11"/>
        <v>0</v>
      </c>
      <c r="Y87" s="159"/>
    </row>
    <row r="88" spans="1:25" ht="20.25" customHeight="1">
      <c r="A88" s="47" t="str">
        <f>+BASE!B92</f>
        <v>23XXR077</v>
      </c>
      <c r="B88" s="36" t="s">
        <v>40</v>
      </c>
      <c r="C88" s="46">
        <f t="shared" si="1"/>
        <v>0</v>
      </c>
      <c r="D88" s="46">
        <f t="shared" si="2"/>
        <v>0</v>
      </c>
      <c r="E88" s="46">
        <f t="shared" si="3"/>
        <v>0</v>
      </c>
      <c r="F88" s="46">
        <f t="shared" si="4"/>
        <v>0</v>
      </c>
      <c r="G88" s="46">
        <f t="shared" si="5"/>
        <v>0</v>
      </c>
      <c r="H88" s="46"/>
      <c r="I88" s="46"/>
      <c r="J88" s="46"/>
      <c r="K88" s="46"/>
      <c r="L88" s="46"/>
      <c r="M88" s="46"/>
      <c r="N88" s="46"/>
      <c r="O88" s="46"/>
      <c r="P88" s="46"/>
      <c r="Q88" s="43"/>
      <c r="R88" s="36">
        <f t="shared" si="6"/>
        <v>0</v>
      </c>
      <c r="S88" s="36">
        <f>BASE!A92</f>
        <v>77</v>
      </c>
      <c r="T88" s="46">
        <f t="shared" si="7"/>
        <v>0</v>
      </c>
      <c r="U88" s="46">
        <f t="shared" si="8"/>
        <v>0</v>
      </c>
      <c r="V88" s="46">
        <f t="shared" si="9"/>
        <v>0</v>
      </c>
      <c r="W88" s="46">
        <f t="shared" si="10"/>
        <v>0</v>
      </c>
      <c r="X88" s="46">
        <f t="shared" si="11"/>
        <v>0</v>
      </c>
      <c r="Y88" s="159"/>
    </row>
    <row r="89" spans="1:25" ht="20.25" customHeight="1">
      <c r="A89" s="47" t="str">
        <f>+BASE!B93</f>
        <v>23XXR078</v>
      </c>
      <c r="B89" s="36" t="s">
        <v>40</v>
      </c>
      <c r="C89" s="46">
        <f t="shared" si="1"/>
        <v>0</v>
      </c>
      <c r="D89" s="46">
        <f t="shared" si="2"/>
        <v>0</v>
      </c>
      <c r="E89" s="46">
        <f t="shared" si="3"/>
        <v>0</v>
      </c>
      <c r="F89" s="46">
        <f t="shared" si="4"/>
        <v>0</v>
      </c>
      <c r="G89" s="46">
        <f t="shared" si="5"/>
        <v>0</v>
      </c>
      <c r="H89" s="46"/>
      <c r="I89" s="46"/>
      <c r="J89" s="46"/>
      <c r="K89" s="46"/>
      <c r="L89" s="46"/>
      <c r="M89" s="46"/>
      <c r="N89" s="46"/>
      <c r="O89" s="46"/>
      <c r="P89" s="46"/>
      <c r="Q89" s="43"/>
      <c r="R89" s="36">
        <f t="shared" si="6"/>
        <v>0</v>
      </c>
      <c r="S89" s="36">
        <f>BASE!A93</f>
        <v>78</v>
      </c>
      <c r="T89" s="46">
        <f t="shared" si="7"/>
        <v>0</v>
      </c>
      <c r="U89" s="46">
        <f t="shared" si="8"/>
        <v>0</v>
      </c>
      <c r="V89" s="46">
        <f t="shared" si="9"/>
        <v>0</v>
      </c>
      <c r="W89" s="46">
        <f t="shared" si="10"/>
        <v>0</v>
      </c>
      <c r="X89" s="46">
        <f t="shared" si="11"/>
        <v>0</v>
      </c>
      <c r="Y89" s="159"/>
    </row>
    <row r="90" spans="1:25" ht="20.25" customHeight="1">
      <c r="A90" s="47" t="str">
        <f>+BASE!B94</f>
        <v>23XXR079</v>
      </c>
      <c r="B90" s="36" t="s">
        <v>40</v>
      </c>
      <c r="C90" s="46">
        <f t="shared" si="1"/>
        <v>0</v>
      </c>
      <c r="D90" s="46">
        <f t="shared" si="2"/>
        <v>0</v>
      </c>
      <c r="E90" s="46">
        <f t="shared" si="3"/>
        <v>0</v>
      </c>
      <c r="F90" s="46">
        <f t="shared" si="4"/>
        <v>0</v>
      </c>
      <c r="G90" s="46">
        <f t="shared" si="5"/>
        <v>0</v>
      </c>
      <c r="H90" s="46"/>
      <c r="I90" s="46"/>
      <c r="J90" s="46"/>
      <c r="K90" s="46"/>
      <c r="L90" s="46"/>
      <c r="M90" s="46"/>
      <c r="N90" s="46"/>
      <c r="O90" s="46"/>
      <c r="P90" s="46"/>
      <c r="Q90" s="43"/>
      <c r="R90" s="36">
        <f t="shared" si="6"/>
        <v>0</v>
      </c>
      <c r="S90" s="36">
        <f>BASE!A94</f>
        <v>79</v>
      </c>
      <c r="T90" s="46">
        <f t="shared" si="7"/>
        <v>0</v>
      </c>
      <c r="U90" s="46">
        <f t="shared" si="8"/>
        <v>0</v>
      </c>
      <c r="V90" s="46">
        <f t="shared" si="9"/>
        <v>0</v>
      </c>
      <c r="W90" s="46">
        <f t="shared" si="10"/>
        <v>0</v>
      </c>
      <c r="X90" s="46">
        <f t="shared" si="11"/>
        <v>0</v>
      </c>
      <c r="Y90" s="159"/>
    </row>
    <row r="91" spans="1:25" ht="20.25" customHeight="1">
      <c r="A91" s="47" t="str">
        <f>+BASE!B95</f>
        <v>23XXR080</v>
      </c>
      <c r="B91" s="36" t="s">
        <v>40</v>
      </c>
      <c r="C91" s="46">
        <f t="shared" si="1"/>
        <v>0</v>
      </c>
      <c r="D91" s="46">
        <f t="shared" si="2"/>
        <v>0</v>
      </c>
      <c r="E91" s="46">
        <f t="shared" si="3"/>
        <v>0</v>
      </c>
      <c r="F91" s="46">
        <f t="shared" si="4"/>
        <v>0</v>
      </c>
      <c r="G91" s="46">
        <f t="shared" si="5"/>
        <v>0</v>
      </c>
      <c r="H91" s="46"/>
      <c r="I91" s="46"/>
      <c r="J91" s="46"/>
      <c r="K91" s="46"/>
      <c r="L91" s="46"/>
      <c r="M91" s="46"/>
      <c r="N91" s="46"/>
      <c r="O91" s="46"/>
      <c r="P91" s="46"/>
      <c r="Q91" s="43"/>
      <c r="R91" s="36">
        <f t="shared" si="6"/>
        <v>0</v>
      </c>
      <c r="S91" s="36">
        <f>BASE!A95</f>
        <v>80</v>
      </c>
      <c r="T91" s="46">
        <f t="shared" si="7"/>
        <v>0</v>
      </c>
      <c r="U91" s="46">
        <f t="shared" si="8"/>
        <v>0</v>
      </c>
      <c r="V91" s="46">
        <f t="shared" si="9"/>
        <v>0</v>
      </c>
      <c r="W91" s="46">
        <f t="shared" si="10"/>
        <v>0</v>
      </c>
      <c r="X91" s="46">
        <f t="shared" si="11"/>
        <v>0</v>
      </c>
      <c r="Y91" s="159"/>
    </row>
    <row r="92" spans="1:25" ht="20.25" customHeight="1">
      <c r="A92" s="47" t="str">
        <f>+BASE!B96</f>
        <v>23XXR081</v>
      </c>
      <c r="B92" s="36" t="s">
        <v>40</v>
      </c>
      <c r="C92" s="46">
        <f t="shared" si="1"/>
        <v>0</v>
      </c>
      <c r="D92" s="46">
        <f t="shared" si="2"/>
        <v>0</v>
      </c>
      <c r="E92" s="46">
        <f t="shared" si="3"/>
        <v>0</v>
      </c>
      <c r="F92" s="46">
        <f t="shared" si="4"/>
        <v>0</v>
      </c>
      <c r="G92" s="46">
        <f t="shared" si="5"/>
        <v>0</v>
      </c>
      <c r="H92" s="46"/>
      <c r="I92" s="46"/>
      <c r="J92" s="46"/>
      <c r="K92" s="46"/>
      <c r="L92" s="46"/>
      <c r="M92" s="46"/>
      <c r="N92" s="46"/>
      <c r="O92" s="46"/>
      <c r="P92" s="46"/>
      <c r="Q92" s="43"/>
      <c r="R92" s="36">
        <f t="shared" si="6"/>
        <v>0</v>
      </c>
      <c r="S92" s="36">
        <f>BASE!A96</f>
        <v>81</v>
      </c>
      <c r="T92" s="46">
        <f t="shared" si="7"/>
        <v>0</v>
      </c>
      <c r="U92" s="46">
        <f t="shared" si="8"/>
        <v>0</v>
      </c>
      <c r="V92" s="46">
        <f t="shared" si="9"/>
        <v>0</v>
      </c>
      <c r="W92" s="46">
        <f t="shared" si="10"/>
        <v>0</v>
      </c>
      <c r="X92" s="46">
        <f t="shared" si="11"/>
        <v>0</v>
      </c>
      <c r="Y92" s="159"/>
    </row>
    <row r="93" spans="1:25" ht="20.25" customHeight="1">
      <c r="A93" s="47" t="str">
        <f>+BASE!B97</f>
        <v>23XXR082</v>
      </c>
      <c r="B93" s="36" t="s">
        <v>40</v>
      </c>
      <c r="C93" s="46">
        <f t="shared" si="1"/>
        <v>0</v>
      </c>
      <c r="D93" s="46">
        <f t="shared" si="2"/>
        <v>0</v>
      </c>
      <c r="E93" s="46">
        <f t="shared" si="3"/>
        <v>0</v>
      </c>
      <c r="F93" s="46">
        <f t="shared" si="4"/>
        <v>0</v>
      </c>
      <c r="G93" s="46">
        <f t="shared" si="5"/>
        <v>0</v>
      </c>
      <c r="H93" s="46"/>
      <c r="I93" s="46"/>
      <c r="J93" s="46"/>
      <c r="K93" s="46"/>
      <c r="L93" s="46"/>
      <c r="M93" s="46"/>
      <c r="N93" s="46"/>
      <c r="O93" s="46"/>
      <c r="P93" s="46"/>
      <c r="Q93" s="43"/>
      <c r="R93" s="36">
        <f t="shared" si="6"/>
        <v>0</v>
      </c>
      <c r="S93" s="36">
        <f>BASE!A97</f>
        <v>82</v>
      </c>
      <c r="T93" s="46">
        <f t="shared" si="7"/>
        <v>0</v>
      </c>
      <c r="U93" s="46">
        <f t="shared" si="8"/>
        <v>0</v>
      </c>
      <c r="V93" s="46">
        <f t="shared" si="9"/>
        <v>0</v>
      </c>
      <c r="W93" s="46">
        <f t="shared" si="10"/>
        <v>0</v>
      </c>
      <c r="X93" s="46">
        <f t="shared" si="11"/>
        <v>0</v>
      </c>
      <c r="Y93" s="159"/>
    </row>
    <row r="94" spans="1:25" ht="20.25" customHeight="1">
      <c r="A94" s="47" t="str">
        <f>+BASE!B98</f>
        <v>23XXR083</v>
      </c>
      <c r="B94" s="36" t="s">
        <v>40</v>
      </c>
      <c r="C94" s="46">
        <f t="shared" si="1"/>
        <v>0</v>
      </c>
      <c r="D94" s="46">
        <f t="shared" si="2"/>
        <v>0</v>
      </c>
      <c r="E94" s="46">
        <f t="shared" si="3"/>
        <v>0</v>
      </c>
      <c r="F94" s="46">
        <f t="shared" si="4"/>
        <v>0</v>
      </c>
      <c r="G94" s="46">
        <f t="shared" si="5"/>
        <v>0</v>
      </c>
      <c r="H94" s="46"/>
      <c r="I94" s="46"/>
      <c r="J94" s="46"/>
      <c r="K94" s="46"/>
      <c r="L94" s="46"/>
      <c r="M94" s="46"/>
      <c r="N94" s="46"/>
      <c r="O94" s="46"/>
      <c r="P94" s="46"/>
      <c r="Q94" s="43"/>
      <c r="R94" s="36">
        <f t="shared" si="6"/>
        <v>0</v>
      </c>
      <c r="S94" s="36">
        <f>BASE!A98</f>
        <v>83</v>
      </c>
      <c r="T94" s="46">
        <f t="shared" si="7"/>
        <v>0</v>
      </c>
      <c r="U94" s="46">
        <f t="shared" si="8"/>
        <v>0</v>
      </c>
      <c r="V94" s="46">
        <f t="shared" si="9"/>
        <v>0</v>
      </c>
      <c r="W94" s="46">
        <f t="shared" si="10"/>
        <v>0</v>
      </c>
      <c r="X94" s="46">
        <f t="shared" si="11"/>
        <v>0</v>
      </c>
      <c r="Y94" s="159"/>
    </row>
    <row r="95" spans="1:25" ht="20.25" customHeight="1">
      <c r="A95" s="47" t="str">
        <f>+BASE!B99</f>
        <v>23XXR084</v>
      </c>
      <c r="B95" s="36" t="s">
        <v>40</v>
      </c>
      <c r="C95" s="46">
        <f t="shared" si="1"/>
        <v>0</v>
      </c>
      <c r="D95" s="46">
        <f t="shared" si="2"/>
        <v>0</v>
      </c>
      <c r="E95" s="46">
        <f t="shared" si="3"/>
        <v>0</v>
      </c>
      <c r="F95" s="46">
        <f t="shared" si="4"/>
        <v>0</v>
      </c>
      <c r="G95" s="46">
        <f t="shared" si="5"/>
        <v>0</v>
      </c>
      <c r="H95" s="46"/>
      <c r="I95" s="46"/>
      <c r="J95" s="46"/>
      <c r="K95" s="46"/>
      <c r="L95" s="46"/>
      <c r="M95" s="46"/>
      <c r="N95" s="46"/>
      <c r="O95" s="46"/>
      <c r="P95" s="46"/>
      <c r="Q95" s="43"/>
      <c r="R95" s="36">
        <f t="shared" si="6"/>
        <v>0</v>
      </c>
      <c r="S95" s="36">
        <f>BASE!A99</f>
        <v>84</v>
      </c>
      <c r="T95" s="46">
        <f t="shared" si="7"/>
        <v>0</v>
      </c>
      <c r="U95" s="46">
        <f t="shared" si="8"/>
        <v>0</v>
      </c>
      <c r="V95" s="46">
        <f t="shared" si="9"/>
        <v>0</v>
      </c>
      <c r="W95" s="46">
        <f t="shared" si="10"/>
        <v>0</v>
      </c>
      <c r="X95" s="46">
        <f t="shared" si="11"/>
        <v>0</v>
      </c>
      <c r="Y95" s="159"/>
    </row>
    <row r="96" spans="1:25" ht="20.25" customHeight="1">
      <c r="A96" s="47" t="str">
        <f>+BASE!B100</f>
        <v>23XXR085</v>
      </c>
      <c r="B96" s="36" t="s">
        <v>40</v>
      </c>
      <c r="C96" s="46">
        <f t="shared" si="1"/>
        <v>0</v>
      </c>
      <c r="D96" s="46">
        <f t="shared" si="2"/>
        <v>0</v>
      </c>
      <c r="E96" s="46">
        <f t="shared" si="3"/>
        <v>0</v>
      </c>
      <c r="F96" s="46">
        <f t="shared" si="4"/>
        <v>0</v>
      </c>
      <c r="G96" s="46">
        <f t="shared" si="5"/>
        <v>0</v>
      </c>
      <c r="H96" s="46"/>
      <c r="I96" s="46"/>
      <c r="J96" s="46"/>
      <c r="K96" s="46"/>
      <c r="L96" s="46"/>
      <c r="M96" s="46"/>
      <c r="N96" s="46"/>
      <c r="O96" s="46"/>
      <c r="P96" s="46"/>
      <c r="Q96" s="43"/>
      <c r="R96" s="36">
        <f t="shared" si="6"/>
        <v>0</v>
      </c>
      <c r="S96" s="36">
        <f>BASE!A100</f>
        <v>85</v>
      </c>
      <c r="T96" s="46">
        <f t="shared" si="7"/>
        <v>0</v>
      </c>
      <c r="U96" s="46">
        <f t="shared" si="8"/>
        <v>0</v>
      </c>
      <c r="V96" s="46">
        <f t="shared" si="9"/>
        <v>0</v>
      </c>
      <c r="W96" s="46">
        <f t="shared" si="10"/>
        <v>0</v>
      </c>
      <c r="X96" s="46">
        <f t="shared" si="11"/>
        <v>0</v>
      </c>
      <c r="Y96" s="159"/>
    </row>
    <row r="97" spans="1:25" ht="20.25" customHeight="1">
      <c r="A97" s="47" t="str">
        <f>+BASE!B101</f>
        <v>23XXR086</v>
      </c>
      <c r="B97" s="36" t="s">
        <v>40</v>
      </c>
      <c r="C97" s="46">
        <f t="shared" si="1"/>
        <v>0</v>
      </c>
      <c r="D97" s="46">
        <f t="shared" si="2"/>
        <v>0</v>
      </c>
      <c r="E97" s="46">
        <f t="shared" si="3"/>
        <v>0</v>
      </c>
      <c r="F97" s="46">
        <f t="shared" si="4"/>
        <v>0</v>
      </c>
      <c r="G97" s="46">
        <f t="shared" si="5"/>
        <v>0</v>
      </c>
      <c r="H97" s="46"/>
      <c r="I97" s="46"/>
      <c r="J97" s="46"/>
      <c r="K97" s="46"/>
      <c r="L97" s="46"/>
      <c r="M97" s="46"/>
      <c r="N97" s="46"/>
      <c r="O97" s="46"/>
      <c r="P97" s="46"/>
      <c r="Q97" s="43"/>
      <c r="R97" s="36">
        <f t="shared" si="6"/>
        <v>0</v>
      </c>
      <c r="S97" s="36">
        <f>BASE!A101</f>
        <v>86</v>
      </c>
      <c r="T97" s="46">
        <f t="shared" si="7"/>
        <v>0</v>
      </c>
      <c r="U97" s="46">
        <f t="shared" si="8"/>
        <v>0</v>
      </c>
      <c r="V97" s="46">
        <f t="shared" si="9"/>
        <v>0</v>
      </c>
      <c r="W97" s="46">
        <f t="shared" si="10"/>
        <v>0</v>
      </c>
      <c r="X97" s="46">
        <f t="shared" si="11"/>
        <v>0</v>
      </c>
      <c r="Y97" s="159"/>
    </row>
    <row r="98" spans="1:25" ht="20.25" customHeight="1">
      <c r="A98" s="47" t="str">
        <f>+BASE!B102</f>
        <v>23XXR087</v>
      </c>
      <c r="B98" s="36" t="s">
        <v>40</v>
      </c>
      <c r="C98" s="46">
        <f t="shared" si="1"/>
        <v>0</v>
      </c>
      <c r="D98" s="46">
        <f t="shared" si="2"/>
        <v>0</v>
      </c>
      <c r="E98" s="46">
        <f t="shared" si="3"/>
        <v>0</v>
      </c>
      <c r="F98" s="46">
        <f t="shared" si="4"/>
        <v>0</v>
      </c>
      <c r="G98" s="46">
        <f t="shared" si="5"/>
        <v>0</v>
      </c>
      <c r="H98" s="46"/>
      <c r="I98" s="46"/>
      <c r="J98" s="46"/>
      <c r="K98" s="46"/>
      <c r="L98" s="46"/>
      <c r="M98" s="46"/>
      <c r="N98" s="46"/>
      <c r="O98" s="46"/>
      <c r="P98" s="46"/>
      <c r="Q98" s="43"/>
      <c r="R98" s="36">
        <f t="shared" si="6"/>
        <v>0</v>
      </c>
      <c r="S98" s="36">
        <f>BASE!A102</f>
        <v>87</v>
      </c>
      <c r="T98" s="46">
        <f t="shared" si="7"/>
        <v>0</v>
      </c>
      <c r="U98" s="46">
        <f t="shared" si="8"/>
        <v>0</v>
      </c>
      <c r="V98" s="46">
        <f t="shared" si="9"/>
        <v>0</v>
      </c>
      <c r="W98" s="46">
        <f t="shared" si="10"/>
        <v>0</v>
      </c>
      <c r="X98" s="46">
        <f t="shared" si="11"/>
        <v>0</v>
      </c>
      <c r="Y98" s="159"/>
    </row>
    <row r="99" spans="1:25" ht="20.25" customHeight="1">
      <c r="A99" s="47" t="str">
        <f>+BASE!B103</f>
        <v>23XXR088</v>
      </c>
      <c r="B99" s="36" t="s">
        <v>40</v>
      </c>
      <c r="C99" s="46">
        <f t="shared" si="1"/>
        <v>0</v>
      </c>
      <c r="D99" s="46">
        <f t="shared" si="2"/>
        <v>0</v>
      </c>
      <c r="E99" s="46">
        <f t="shared" si="3"/>
        <v>0</v>
      </c>
      <c r="F99" s="46">
        <f t="shared" si="4"/>
        <v>0</v>
      </c>
      <c r="G99" s="46">
        <f t="shared" si="5"/>
        <v>0</v>
      </c>
      <c r="H99" s="46"/>
      <c r="I99" s="46"/>
      <c r="J99" s="46"/>
      <c r="K99" s="46"/>
      <c r="L99" s="46"/>
      <c r="M99" s="46"/>
      <c r="N99" s="46"/>
      <c r="O99" s="46"/>
      <c r="P99" s="46"/>
      <c r="Q99" s="43"/>
      <c r="R99" s="36">
        <f t="shared" si="6"/>
        <v>0</v>
      </c>
      <c r="S99" s="36">
        <f>BASE!A103</f>
        <v>88</v>
      </c>
      <c r="T99" s="46">
        <f t="shared" si="7"/>
        <v>0</v>
      </c>
      <c r="U99" s="46">
        <f t="shared" si="8"/>
        <v>0</v>
      </c>
      <c r="V99" s="46">
        <f t="shared" si="9"/>
        <v>0</v>
      </c>
      <c r="W99" s="46">
        <f t="shared" si="10"/>
        <v>0</v>
      </c>
      <c r="X99" s="46">
        <f t="shared" si="11"/>
        <v>0</v>
      </c>
      <c r="Y99" s="159"/>
    </row>
    <row r="100" spans="1:25" ht="20.25" customHeight="1">
      <c r="A100" s="47" t="str">
        <f>+BASE!B104</f>
        <v>23XXR089</v>
      </c>
      <c r="B100" s="36" t="s">
        <v>40</v>
      </c>
      <c r="C100" s="46">
        <f t="shared" si="1"/>
        <v>0</v>
      </c>
      <c r="D100" s="46">
        <f t="shared" si="2"/>
        <v>0</v>
      </c>
      <c r="E100" s="46">
        <f t="shared" si="3"/>
        <v>0</v>
      </c>
      <c r="F100" s="46">
        <f t="shared" si="4"/>
        <v>0</v>
      </c>
      <c r="G100" s="46">
        <f t="shared" si="5"/>
        <v>0</v>
      </c>
      <c r="H100" s="46"/>
      <c r="I100" s="46"/>
      <c r="J100" s="46"/>
      <c r="K100" s="46"/>
      <c r="L100" s="46"/>
      <c r="M100" s="46"/>
      <c r="N100" s="46"/>
      <c r="O100" s="46"/>
      <c r="P100" s="46"/>
      <c r="Q100" s="43"/>
      <c r="R100" s="36">
        <f t="shared" si="6"/>
        <v>0</v>
      </c>
      <c r="S100" s="36">
        <f>BASE!A104</f>
        <v>89</v>
      </c>
      <c r="T100" s="46">
        <f t="shared" si="7"/>
        <v>0</v>
      </c>
      <c r="U100" s="46">
        <f t="shared" si="8"/>
        <v>0</v>
      </c>
      <c r="V100" s="46">
        <f t="shared" si="9"/>
        <v>0</v>
      </c>
      <c r="W100" s="46">
        <f t="shared" si="10"/>
        <v>0</v>
      </c>
      <c r="X100" s="46">
        <f t="shared" si="11"/>
        <v>0</v>
      </c>
      <c r="Y100" s="159"/>
    </row>
    <row r="101" spans="1:25" ht="20.25" customHeight="1">
      <c r="A101" s="47" t="str">
        <f>+BASE!B105</f>
        <v>23XXR090</v>
      </c>
      <c r="B101" s="36" t="s">
        <v>40</v>
      </c>
      <c r="C101" s="46">
        <f t="shared" si="1"/>
        <v>0</v>
      </c>
      <c r="D101" s="46">
        <f t="shared" si="2"/>
        <v>0</v>
      </c>
      <c r="E101" s="46">
        <f t="shared" si="3"/>
        <v>0</v>
      </c>
      <c r="F101" s="46">
        <f t="shared" si="4"/>
        <v>0</v>
      </c>
      <c r="G101" s="46">
        <f t="shared" si="5"/>
        <v>0</v>
      </c>
      <c r="H101" s="46"/>
      <c r="I101" s="46"/>
      <c r="J101" s="46"/>
      <c r="K101" s="46"/>
      <c r="L101" s="46"/>
      <c r="M101" s="46"/>
      <c r="N101" s="46"/>
      <c r="O101" s="46"/>
      <c r="P101" s="46"/>
      <c r="Q101" s="43"/>
      <c r="R101" s="36">
        <f t="shared" si="6"/>
        <v>0</v>
      </c>
      <c r="S101" s="36">
        <f>BASE!A105</f>
        <v>90</v>
      </c>
      <c r="T101" s="46">
        <f t="shared" si="7"/>
        <v>0</v>
      </c>
      <c r="U101" s="46">
        <f t="shared" si="8"/>
        <v>0</v>
      </c>
      <c r="V101" s="46">
        <f t="shared" si="9"/>
        <v>0</v>
      </c>
      <c r="W101" s="46">
        <f t="shared" si="10"/>
        <v>0</v>
      </c>
      <c r="X101" s="46">
        <f t="shared" si="11"/>
        <v>0</v>
      </c>
      <c r="Y101" s="159"/>
    </row>
    <row r="102" spans="1:25" ht="20.25" customHeight="1">
      <c r="A102" s="47" t="str">
        <f>+BASE!B106</f>
        <v>23XXR091</v>
      </c>
      <c r="B102" s="36" t="s">
        <v>40</v>
      </c>
      <c r="C102" s="46">
        <f t="shared" si="1"/>
        <v>0</v>
      </c>
      <c r="D102" s="46">
        <f t="shared" si="2"/>
        <v>0</v>
      </c>
      <c r="E102" s="46">
        <f t="shared" si="3"/>
        <v>0</v>
      </c>
      <c r="F102" s="46">
        <f t="shared" si="4"/>
        <v>0</v>
      </c>
      <c r="G102" s="46">
        <f t="shared" si="5"/>
        <v>0</v>
      </c>
      <c r="H102" s="46"/>
      <c r="I102" s="46"/>
      <c r="J102" s="46"/>
      <c r="K102" s="46"/>
      <c r="L102" s="46"/>
      <c r="M102" s="46"/>
      <c r="N102" s="46"/>
      <c r="O102" s="46"/>
      <c r="P102" s="46"/>
      <c r="Q102" s="43"/>
      <c r="R102" s="36">
        <f t="shared" si="6"/>
        <v>0</v>
      </c>
      <c r="S102" s="36">
        <f>BASE!A106</f>
        <v>91</v>
      </c>
      <c r="T102" s="46">
        <f t="shared" si="7"/>
        <v>0</v>
      </c>
      <c r="U102" s="46">
        <f t="shared" si="8"/>
        <v>0</v>
      </c>
      <c r="V102" s="46">
        <f t="shared" si="9"/>
        <v>0</v>
      </c>
      <c r="W102" s="46">
        <f t="shared" si="10"/>
        <v>0</v>
      </c>
      <c r="X102" s="46">
        <f t="shared" si="11"/>
        <v>0</v>
      </c>
      <c r="Y102" s="159"/>
    </row>
    <row r="103" spans="1:25" ht="20.25" customHeight="1">
      <c r="A103" s="47" t="str">
        <f>+BASE!B107</f>
        <v>23XXR092</v>
      </c>
      <c r="B103" s="36" t="s">
        <v>40</v>
      </c>
      <c r="C103" s="46">
        <f t="shared" si="1"/>
        <v>0</v>
      </c>
      <c r="D103" s="46">
        <f t="shared" si="2"/>
        <v>0</v>
      </c>
      <c r="E103" s="46">
        <f t="shared" si="3"/>
        <v>0</v>
      </c>
      <c r="F103" s="46">
        <f t="shared" si="4"/>
        <v>0</v>
      </c>
      <c r="G103" s="46">
        <f t="shared" si="5"/>
        <v>0</v>
      </c>
      <c r="H103" s="46"/>
      <c r="I103" s="46"/>
      <c r="J103" s="46"/>
      <c r="K103" s="46"/>
      <c r="L103" s="46"/>
      <c r="M103" s="46"/>
      <c r="N103" s="46"/>
      <c r="O103" s="46"/>
      <c r="P103" s="46"/>
      <c r="Q103" s="43"/>
      <c r="R103" s="36">
        <f t="shared" si="6"/>
        <v>0</v>
      </c>
      <c r="S103" s="36">
        <f>BASE!A107</f>
        <v>92</v>
      </c>
      <c r="T103" s="46">
        <f t="shared" si="7"/>
        <v>0</v>
      </c>
      <c r="U103" s="46">
        <f t="shared" si="8"/>
        <v>0</v>
      </c>
      <c r="V103" s="46">
        <f t="shared" si="9"/>
        <v>0</v>
      </c>
      <c r="W103" s="46">
        <f t="shared" si="10"/>
        <v>0</v>
      </c>
      <c r="X103" s="46">
        <f t="shared" si="11"/>
        <v>0</v>
      </c>
      <c r="Y103" s="159"/>
    </row>
    <row r="104" spans="1:25" ht="20.25" customHeight="1">
      <c r="A104" s="47" t="str">
        <f>+BASE!B108</f>
        <v>23XXR093</v>
      </c>
      <c r="B104" s="36" t="s">
        <v>40</v>
      </c>
      <c r="C104" s="46">
        <f t="shared" si="1"/>
        <v>0</v>
      </c>
      <c r="D104" s="46">
        <f t="shared" si="2"/>
        <v>0</v>
      </c>
      <c r="E104" s="46">
        <f t="shared" si="3"/>
        <v>0</v>
      </c>
      <c r="F104" s="46">
        <f t="shared" si="4"/>
        <v>0</v>
      </c>
      <c r="G104" s="46">
        <f t="shared" si="5"/>
        <v>0</v>
      </c>
      <c r="H104" s="46"/>
      <c r="I104" s="46"/>
      <c r="J104" s="46"/>
      <c r="K104" s="46"/>
      <c r="L104" s="46"/>
      <c r="M104" s="46"/>
      <c r="N104" s="46"/>
      <c r="O104" s="46"/>
      <c r="P104" s="46"/>
      <c r="Q104" s="43"/>
      <c r="R104" s="36">
        <f t="shared" si="6"/>
        <v>0</v>
      </c>
      <c r="S104" s="36">
        <f>BASE!A108</f>
        <v>93</v>
      </c>
      <c r="T104" s="46">
        <f t="shared" si="7"/>
        <v>0</v>
      </c>
      <c r="U104" s="46">
        <f t="shared" si="8"/>
        <v>0</v>
      </c>
      <c r="V104" s="46">
        <f t="shared" si="9"/>
        <v>0</v>
      </c>
      <c r="W104" s="46">
        <f t="shared" si="10"/>
        <v>0</v>
      </c>
      <c r="X104" s="46">
        <f t="shared" si="11"/>
        <v>0</v>
      </c>
      <c r="Y104" s="159"/>
    </row>
    <row r="105" spans="1:25" ht="20.25" customHeight="1">
      <c r="A105" s="47" t="str">
        <f>+BASE!B109</f>
        <v>23XXR094</v>
      </c>
      <c r="B105" s="36" t="s">
        <v>40</v>
      </c>
      <c r="C105" s="46">
        <f t="shared" si="1"/>
        <v>0</v>
      </c>
      <c r="D105" s="46">
        <f t="shared" si="2"/>
        <v>0</v>
      </c>
      <c r="E105" s="46">
        <f t="shared" si="3"/>
        <v>0</v>
      </c>
      <c r="F105" s="46">
        <f t="shared" si="4"/>
        <v>0</v>
      </c>
      <c r="G105" s="46">
        <f t="shared" si="5"/>
        <v>0</v>
      </c>
      <c r="H105" s="46"/>
      <c r="I105" s="46"/>
      <c r="J105" s="46"/>
      <c r="K105" s="46"/>
      <c r="L105" s="46"/>
      <c r="M105" s="46"/>
      <c r="N105" s="46"/>
      <c r="O105" s="46"/>
      <c r="P105" s="46"/>
      <c r="Q105" s="43"/>
      <c r="R105" s="36">
        <f t="shared" si="6"/>
        <v>0</v>
      </c>
      <c r="S105" s="36">
        <f>BASE!A109</f>
        <v>94</v>
      </c>
      <c r="T105" s="46">
        <f t="shared" si="7"/>
        <v>0</v>
      </c>
      <c r="U105" s="46">
        <f t="shared" si="8"/>
        <v>0</v>
      </c>
      <c r="V105" s="46">
        <f t="shared" si="9"/>
        <v>0</v>
      </c>
      <c r="W105" s="46">
        <f t="shared" si="10"/>
        <v>0</v>
      </c>
      <c r="X105" s="46">
        <f t="shared" si="11"/>
        <v>0</v>
      </c>
      <c r="Y105" s="159"/>
    </row>
    <row r="106" spans="1:25" ht="20.25" customHeight="1">
      <c r="A106" s="47" t="str">
        <f>+BASE!B110</f>
        <v>23XXR095</v>
      </c>
      <c r="B106" s="36" t="s">
        <v>40</v>
      </c>
      <c r="C106" s="46">
        <f t="shared" si="1"/>
        <v>0</v>
      </c>
      <c r="D106" s="46">
        <f t="shared" si="2"/>
        <v>0</v>
      </c>
      <c r="E106" s="46">
        <f t="shared" si="3"/>
        <v>0</v>
      </c>
      <c r="F106" s="46">
        <f t="shared" si="4"/>
        <v>0</v>
      </c>
      <c r="G106" s="46">
        <f t="shared" si="5"/>
        <v>0</v>
      </c>
      <c r="H106" s="46"/>
      <c r="I106" s="46"/>
      <c r="J106" s="46"/>
      <c r="K106" s="46"/>
      <c r="L106" s="46"/>
      <c r="M106" s="46"/>
      <c r="N106" s="46"/>
      <c r="O106" s="46"/>
      <c r="P106" s="46"/>
      <c r="Q106" s="43"/>
      <c r="R106" s="36">
        <f t="shared" si="6"/>
        <v>0</v>
      </c>
      <c r="S106" s="36">
        <f>BASE!A110</f>
        <v>95</v>
      </c>
      <c r="T106" s="46">
        <f t="shared" si="7"/>
        <v>0</v>
      </c>
      <c r="U106" s="46">
        <f t="shared" si="8"/>
        <v>0</v>
      </c>
      <c r="V106" s="46">
        <f t="shared" si="9"/>
        <v>0</v>
      </c>
      <c r="W106" s="46">
        <f t="shared" si="10"/>
        <v>0</v>
      </c>
      <c r="X106" s="46">
        <f t="shared" si="11"/>
        <v>0</v>
      </c>
      <c r="Y106" s="159"/>
    </row>
    <row r="107" spans="1:25" ht="20.25" customHeight="1">
      <c r="A107" s="47" t="str">
        <f>+BASE!B111</f>
        <v>23XXR096</v>
      </c>
      <c r="B107" s="36" t="s">
        <v>40</v>
      </c>
      <c r="C107" s="46">
        <f t="shared" si="1"/>
        <v>0</v>
      </c>
      <c r="D107" s="46">
        <f t="shared" si="2"/>
        <v>0</v>
      </c>
      <c r="E107" s="46">
        <f t="shared" si="3"/>
        <v>0</v>
      </c>
      <c r="F107" s="46">
        <f t="shared" si="4"/>
        <v>0</v>
      </c>
      <c r="G107" s="46">
        <f t="shared" si="5"/>
        <v>0</v>
      </c>
      <c r="H107" s="46"/>
      <c r="I107" s="46"/>
      <c r="J107" s="46"/>
      <c r="K107" s="46"/>
      <c r="L107" s="46"/>
      <c r="M107" s="46"/>
      <c r="N107" s="46"/>
      <c r="O107" s="46"/>
      <c r="P107" s="46"/>
      <c r="Q107" s="43"/>
      <c r="R107" s="36">
        <f t="shared" si="6"/>
        <v>0</v>
      </c>
      <c r="S107" s="36">
        <f>BASE!A111</f>
        <v>96</v>
      </c>
      <c r="T107" s="46">
        <f t="shared" si="7"/>
        <v>0</v>
      </c>
      <c r="U107" s="46">
        <f t="shared" si="8"/>
        <v>0</v>
      </c>
      <c r="V107" s="46">
        <f t="shared" si="9"/>
        <v>0</v>
      </c>
      <c r="W107" s="46">
        <f t="shared" si="10"/>
        <v>0</v>
      </c>
      <c r="X107" s="46">
        <f t="shared" si="11"/>
        <v>0</v>
      </c>
      <c r="Y107" s="159"/>
    </row>
    <row r="108" spans="1:25" ht="20.25" customHeight="1">
      <c r="A108" s="47" t="str">
        <f>+BASE!B112</f>
        <v>23XXR097</v>
      </c>
      <c r="B108" s="36" t="s">
        <v>40</v>
      </c>
      <c r="C108" s="46">
        <f t="shared" si="1"/>
        <v>0</v>
      </c>
      <c r="D108" s="46">
        <f t="shared" si="2"/>
        <v>0</v>
      </c>
      <c r="E108" s="46">
        <f t="shared" si="3"/>
        <v>0</v>
      </c>
      <c r="F108" s="46">
        <f t="shared" si="4"/>
        <v>0</v>
      </c>
      <c r="G108" s="46">
        <f t="shared" si="5"/>
        <v>0</v>
      </c>
      <c r="H108" s="46"/>
      <c r="I108" s="46"/>
      <c r="J108" s="46"/>
      <c r="K108" s="46"/>
      <c r="L108" s="46"/>
      <c r="M108" s="46"/>
      <c r="N108" s="46"/>
      <c r="O108" s="46"/>
      <c r="P108" s="46"/>
      <c r="Q108" s="43"/>
      <c r="R108" s="36">
        <f t="shared" si="6"/>
        <v>0</v>
      </c>
      <c r="S108" s="36">
        <f>BASE!A112</f>
        <v>97</v>
      </c>
      <c r="T108" s="46">
        <f t="shared" si="7"/>
        <v>0</v>
      </c>
      <c r="U108" s="46">
        <f t="shared" si="8"/>
        <v>0</v>
      </c>
      <c r="V108" s="46">
        <f t="shared" si="9"/>
        <v>0</v>
      </c>
      <c r="W108" s="46">
        <f t="shared" si="10"/>
        <v>0</v>
      </c>
      <c r="X108" s="46">
        <f t="shared" si="11"/>
        <v>0</v>
      </c>
      <c r="Y108" s="159"/>
    </row>
    <row r="109" spans="1:25" ht="20.25" customHeight="1">
      <c r="A109" s="47" t="str">
        <f>+BASE!B113</f>
        <v>23XXR098</v>
      </c>
      <c r="B109" s="36" t="s">
        <v>40</v>
      </c>
      <c r="C109" s="46">
        <f t="shared" si="1"/>
        <v>0</v>
      </c>
      <c r="D109" s="46">
        <f t="shared" si="2"/>
        <v>0</v>
      </c>
      <c r="E109" s="46">
        <f t="shared" si="3"/>
        <v>0</v>
      </c>
      <c r="F109" s="46">
        <f t="shared" si="4"/>
        <v>0</v>
      </c>
      <c r="G109" s="46">
        <f t="shared" si="5"/>
        <v>0</v>
      </c>
      <c r="H109" s="46"/>
      <c r="I109" s="46"/>
      <c r="J109" s="46"/>
      <c r="K109" s="46"/>
      <c r="L109" s="46"/>
      <c r="M109" s="46"/>
      <c r="N109" s="46"/>
      <c r="O109" s="46"/>
      <c r="P109" s="46"/>
      <c r="Q109" s="43"/>
      <c r="R109" s="36">
        <f t="shared" si="6"/>
        <v>0</v>
      </c>
      <c r="S109" s="36">
        <f>BASE!A113</f>
        <v>98</v>
      </c>
      <c r="T109" s="46">
        <f t="shared" si="7"/>
        <v>0</v>
      </c>
      <c r="U109" s="46">
        <f t="shared" si="8"/>
        <v>0</v>
      </c>
      <c r="V109" s="46">
        <f t="shared" si="9"/>
        <v>0</v>
      </c>
      <c r="W109" s="46">
        <f t="shared" si="10"/>
        <v>0</v>
      </c>
      <c r="X109" s="46">
        <f t="shared" si="11"/>
        <v>0</v>
      </c>
      <c r="Y109" s="159"/>
    </row>
    <row r="110" spans="1:25" ht="20.25" customHeight="1">
      <c r="A110" s="47" t="str">
        <f>+BASE!B114</f>
        <v>23XXR099</v>
      </c>
      <c r="B110" s="36" t="s">
        <v>40</v>
      </c>
      <c r="C110" s="46">
        <f t="shared" si="1"/>
        <v>0</v>
      </c>
      <c r="D110" s="46">
        <f t="shared" si="2"/>
        <v>0</v>
      </c>
      <c r="E110" s="46">
        <f t="shared" si="3"/>
        <v>0</v>
      </c>
      <c r="F110" s="46">
        <f t="shared" si="4"/>
        <v>0</v>
      </c>
      <c r="G110" s="46">
        <f t="shared" si="5"/>
        <v>0</v>
      </c>
      <c r="H110" s="46"/>
      <c r="I110" s="46"/>
      <c r="J110" s="46"/>
      <c r="K110" s="46"/>
      <c r="L110" s="46"/>
      <c r="M110" s="46"/>
      <c r="N110" s="46"/>
      <c r="O110" s="46"/>
      <c r="P110" s="46"/>
      <c r="Q110" s="43"/>
      <c r="R110" s="36">
        <f t="shared" si="6"/>
        <v>0</v>
      </c>
      <c r="S110" s="36">
        <f>BASE!A114</f>
        <v>99</v>
      </c>
      <c r="T110" s="46">
        <f t="shared" si="7"/>
        <v>0</v>
      </c>
      <c r="U110" s="46">
        <f t="shared" si="8"/>
        <v>0</v>
      </c>
      <c r="V110" s="46">
        <f t="shared" si="9"/>
        <v>0</v>
      </c>
      <c r="W110" s="46">
        <f t="shared" si="10"/>
        <v>0</v>
      </c>
      <c r="X110" s="46">
        <f t="shared" si="11"/>
        <v>0</v>
      </c>
      <c r="Y110" s="159"/>
    </row>
    <row r="111" spans="1:25" ht="20.25" customHeight="1">
      <c r="A111" s="47" t="str">
        <f>+BASE!B115</f>
        <v>23XXR100</v>
      </c>
      <c r="B111" s="36" t="s">
        <v>40</v>
      </c>
      <c r="C111" s="46">
        <f t="shared" si="1"/>
        <v>0</v>
      </c>
      <c r="D111" s="46">
        <f t="shared" si="2"/>
        <v>0</v>
      </c>
      <c r="E111" s="46">
        <f t="shared" si="3"/>
        <v>0</v>
      </c>
      <c r="F111" s="46">
        <f t="shared" si="4"/>
        <v>0</v>
      </c>
      <c r="G111" s="46">
        <f t="shared" si="5"/>
        <v>0</v>
      </c>
      <c r="H111" s="46"/>
      <c r="I111" s="46"/>
      <c r="J111" s="46"/>
      <c r="K111" s="46"/>
      <c r="L111" s="46"/>
      <c r="M111" s="46"/>
      <c r="N111" s="46"/>
      <c r="O111" s="46"/>
      <c r="P111" s="46"/>
      <c r="Q111" s="43"/>
      <c r="R111" s="36">
        <f t="shared" si="6"/>
        <v>0</v>
      </c>
      <c r="S111" s="36">
        <f>BASE!A115</f>
        <v>100</v>
      </c>
      <c r="T111" s="46">
        <f t="shared" si="7"/>
        <v>0</v>
      </c>
      <c r="U111" s="46">
        <f t="shared" si="8"/>
        <v>0</v>
      </c>
      <c r="V111" s="46">
        <f t="shared" si="9"/>
        <v>0</v>
      </c>
      <c r="W111" s="46">
        <f t="shared" si="10"/>
        <v>0</v>
      </c>
      <c r="X111" s="46">
        <f t="shared" si="11"/>
        <v>0</v>
      </c>
      <c r="Y111" s="159"/>
    </row>
    <row r="112" spans="1:25" ht="20.25" customHeight="1">
      <c r="A112" s="47" t="str">
        <f>+BASE!B116</f>
        <v>23XXR101</v>
      </c>
      <c r="B112" s="36" t="s">
        <v>40</v>
      </c>
      <c r="C112" s="46">
        <f t="shared" si="1"/>
        <v>0</v>
      </c>
      <c r="D112" s="46">
        <f t="shared" si="2"/>
        <v>0</v>
      </c>
      <c r="E112" s="46">
        <f t="shared" si="3"/>
        <v>0</v>
      </c>
      <c r="F112" s="46">
        <f t="shared" si="4"/>
        <v>0</v>
      </c>
      <c r="G112" s="46">
        <f t="shared" si="5"/>
        <v>0</v>
      </c>
      <c r="H112" s="46"/>
      <c r="I112" s="46"/>
      <c r="J112" s="46"/>
      <c r="K112" s="46"/>
      <c r="L112" s="46"/>
      <c r="M112" s="46"/>
      <c r="N112" s="46"/>
      <c r="O112" s="46"/>
      <c r="P112" s="46"/>
      <c r="Q112" s="43"/>
      <c r="R112" s="36">
        <f t="shared" si="6"/>
        <v>0</v>
      </c>
      <c r="S112" s="36">
        <f>BASE!A116</f>
        <v>101</v>
      </c>
      <c r="T112" s="46">
        <f t="shared" si="7"/>
        <v>0</v>
      </c>
      <c r="U112" s="46">
        <f t="shared" si="8"/>
        <v>0</v>
      </c>
      <c r="V112" s="46">
        <f t="shared" si="9"/>
        <v>0</v>
      </c>
      <c r="W112" s="46">
        <f t="shared" si="10"/>
        <v>0</v>
      </c>
      <c r="X112" s="46">
        <f t="shared" si="11"/>
        <v>0</v>
      </c>
      <c r="Y112" s="159"/>
    </row>
    <row r="113" spans="1:25" ht="20.25" customHeight="1">
      <c r="A113" s="47" t="str">
        <f>+BASE!B117</f>
        <v>23XXR102</v>
      </c>
      <c r="B113" s="36" t="s">
        <v>40</v>
      </c>
      <c r="C113" s="46">
        <f t="shared" si="1"/>
        <v>0</v>
      </c>
      <c r="D113" s="46">
        <f t="shared" si="2"/>
        <v>0</v>
      </c>
      <c r="E113" s="46">
        <f t="shared" si="3"/>
        <v>0</v>
      </c>
      <c r="F113" s="46">
        <f t="shared" si="4"/>
        <v>0</v>
      </c>
      <c r="G113" s="46">
        <f t="shared" si="5"/>
        <v>0</v>
      </c>
      <c r="H113" s="46"/>
      <c r="I113" s="46"/>
      <c r="J113" s="46"/>
      <c r="K113" s="46"/>
      <c r="L113" s="46"/>
      <c r="M113" s="46"/>
      <c r="N113" s="46"/>
      <c r="O113" s="46"/>
      <c r="P113" s="46"/>
      <c r="Q113" s="43"/>
      <c r="R113" s="36">
        <f t="shared" si="6"/>
        <v>0</v>
      </c>
      <c r="S113" s="36">
        <f>BASE!A117</f>
        <v>102</v>
      </c>
      <c r="T113" s="46">
        <f t="shared" si="7"/>
        <v>0</v>
      </c>
      <c r="U113" s="46">
        <f t="shared" si="8"/>
        <v>0</v>
      </c>
      <c r="V113" s="46">
        <f t="shared" si="9"/>
        <v>0</v>
      </c>
      <c r="W113" s="46">
        <f t="shared" si="10"/>
        <v>0</v>
      </c>
      <c r="X113" s="46">
        <f t="shared" si="11"/>
        <v>0</v>
      </c>
      <c r="Y113" s="159"/>
    </row>
    <row r="114" spans="1:25" ht="20.25" customHeight="1">
      <c r="A114" s="47" t="str">
        <f>+BASE!B118</f>
        <v>23XXR103</v>
      </c>
      <c r="B114" s="36" t="s">
        <v>40</v>
      </c>
      <c r="C114" s="46">
        <f t="shared" si="1"/>
        <v>0</v>
      </c>
      <c r="D114" s="46">
        <f t="shared" si="2"/>
        <v>0</v>
      </c>
      <c r="E114" s="46">
        <f t="shared" si="3"/>
        <v>0</v>
      </c>
      <c r="F114" s="46">
        <f t="shared" si="4"/>
        <v>0</v>
      </c>
      <c r="G114" s="46">
        <f t="shared" si="5"/>
        <v>0</v>
      </c>
      <c r="H114" s="46"/>
      <c r="I114" s="46"/>
      <c r="J114" s="46"/>
      <c r="K114" s="46"/>
      <c r="L114" s="46"/>
      <c r="M114" s="46"/>
      <c r="N114" s="46"/>
      <c r="O114" s="46"/>
      <c r="P114" s="46"/>
      <c r="Q114" s="43"/>
      <c r="R114" s="36">
        <f t="shared" si="6"/>
        <v>0</v>
      </c>
      <c r="S114" s="36">
        <f>BASE!A118</f>
        <v>103</v>
      </c>
      <c r="T114" s="46">
        <f t="shared" si="7"/>
        <v>0</v>
      </c>
      <c r="U114" s="46">
        <f t="shared" si="8"/>
        <v>0</v>
      </c>
      <c r="V114" s="46">
        <f t="shared" si="9"/>
        <v>0</v>
      </c>
      <c r="W114" s="46">
        <f t="shared" si="10"/>
        <v>0</v>
      </c>
      <c r="X114" s="46">
        <f t="shared" si="11"/>
        <v>0</v>
      </c>
      <c r="Y114" s="159"/>
    </row>
    <row r="115" spans="1:25" ht="20.25" customHeight="1">
      <c r="A115" s="47" t="str">
        <f>+BASE!B119</f>
        <v>23XXR104</v>
      </c>
      <c r="B115" s="36" t="s">
        <v>40</v>
      </c>
      <c r="C115" s="46">
        <f t="shared" si="1"/>
        <v>0</v>
      </c>
      <c r="D115" s="46">
        <f t="shared" si="2"/>
        <v>0</v>
      </c>
      <c r="E115" s="46">
        <f t="shared" si="3"/>
        <v>0</v>
      </c>
      <c r="F115" s="46">
        <f t="shared" si="4"/>
        <v>0</v>
      </c>
      <c r="G115" s="46">
        <f t="shared" si="5"/>
        <v>0</v>
      </c>
      <c r="H115" s="46"/>
      <c r="I115" s="46"/>
      <c r="J115" s="46"/>
      <c r="K115" s="46"/>
      <c r="L115" s="46"/>
      <c r="M115" s="46"/>
      <c r="N115" s="46"/>
      <c r="O115" s="46"/>
      <c r="P115" s="46"/>
      <c r="Q115" s="43"/>
      <c r="R115" s="36">
        <f t="shared" si="6"/>
        <v>0</v>
      </c>
      <c r="S115" s="36">
        <f>BASE!A119</f>
        <v>104</v>
      </c>
      <c r="T115" s="46">
        <f t="shared" si="7"/>
        <v>0</v>
      </c>
      <c r="U115" s="46">
        <f t="shared" si="8"/>
        <v>0</v>
      </c>
      <c r="V115" s="46">
        <f t="shared" si="9"/>
        <v>0</v>
      </c>
      <c r="W115" s="46">
        <f t="shared" si="10"/>
        <v>0</v>
      </c>
      <c r="X115" s="46">
        <f t="shared" si="11"/>
        <v>0</v>
      </c>
      <c r="Y115" s="159"/>
    </row>
    <row r="116" spans="1:25" ht="20.25" customHeight="1">
      <c r="A116" s="47" t="str">
        <f>+BASE!B120</f>
        <v>23XXR105</v>
      </c>
      <c r="B116" s="36" t="s">
        <v>40</v>
      </c>
      <c r="C116" s="46">
        <f t="shared" si="1"/>
        <v>0</v>
      </c>
      <c r="D116" s="46">
        <f t="shared" si="2"/>
        <v>0</v>
      </c>
      <c r="E116" s="46">
        <f t="shared" si="3"/>
        <v>0</v>
      </c>
      <c r="F116" s="46">
        <f t="shared" si="4"/>
        <v>0</v>
      </c>
      <c r="G116" s="46">
        <f t="shared" si="5"/>
        <v>0</v>
      </c>
      <c r="H116" s="46"/>
      <c r="I116" s="46"/>
      <c r="J116" s="46"/>
      <c r="K116" s="46"/>
      <c r="L116" s="46"/>
      <c r="M116" s="46"/>
      <c r="N116" s="46"/>
      <c r="O116" s="46"/>
      <c r="P116" s="46"/>
      <c r="Q116" s="43"/>
      <c r="R116" s="36">
        <f t="shared" si="6"/>
        <v>0</v>
      </c>
      <c r="S116" s="36">
        <f>BASE!A120</f>
        <v>105</v>
      </c>
      <c r="T116" s="46">
        <f t="shared" si="7"/>
        <v>0</v>
      </c>
      <c r="U116" s="46">
        <f t="shared" si="8"/>
        <v>0</v>
      </c>
      <c r="V116" s="46">
        <f t="shared" si="9"/>
        <v>0</v>
      </c>
      <c r="W116" s="46">
        <f t="shared" si="10"/>
        <v>0</v>
      </c>
      <c r="X116" s="46">
        <f t="shared" si="11"/>
        <v>0</v>
      </c>
      <c r="Y116" s="159"/>
    </row>
    <row r="117" spans="1:25" ht="20.25" customHeight="1">
      <c r="A117" s="47" t="str">
        <f>+BASE!B121</f>
        <v>23XXR106</v>
      </c>
      <c r="B117" s="36" t="s">
        <v>40</v>
      </c>
      <c r="C117" s="46">
        <f t="shared" si="1"/>
        <v>0</v>
      </c>
      <c r="D117" s="46">
        <f t="shared" si="2"/>
        <v>0</v>
      </c>
      <c r="E117" s="46">
        <f t="shared" si="3"/>
        <v>0</v>
      </c>
      <c r="F117" s="46">
        <f t="shared" si="4"/>
        <v>0</v>
      </c>
      <c r="G117" s="46">
        <f t="shared" si="5"/>
        <v>0</v>
      </c>
      <c r="H117" s="46"/>
      <c r="I117" s="46"/>
      <c r="J117" s="46"/>
      <c r="K117" s="46"/>
      <c r="L117" s="46"/>
      <c r="M117" s="46"/>
      <c r="N117" s="46"/>
      <c r="O117" s="46"/>
      <c r="P117" s="46"/>
      <c r="Q117" s="43"/>
      <c r="R117" s="36">
        <f t="shared" si="6"/>
        <v>0</v>
      </c>
      <c r="S117" s="36">
        <f>BASE!A121</f>
        <v>106</v>
      </c>
      <c r="T117" s="46">
        <f t="shared" si="7"/>
        <v>0</v>
      </c>
      <c r="U117" s="46">
        <f t="shared" si="8"/>
        <v>0</v>
      </c>
      <c r="V117" s="46">
        <f t="shared" si="9"/>
        <v>0</v>
      </c>
      <c r="W117" s="46">
        <f t="shared" si="10"/>
        <v>0</v>
      </c>
      <c r="X117" s="46">
        <f t="shared" si="11"/>
        <v>0</v>
      </c>
      <c r="Y117" s="159"/>
    </row>
    <row r="118" spans="1:25" ht="20.25" customHeight="1">
      <c r="A118" s="47" t="str">
        <f>+BASE!B122</f>
        <v>23XXR107</v>
      </c>
      <c r="B118" s="36" t="s">
        <v>40</v>
      </c>
      <c r="C118" s="46">
        <f t="shared" si="1"/>
        <v>0</v>
      </c>
      <c r="D118" s="46">
        <f t="shared" si="2"/>
        <v>0</v>
      </c>
      <c r="E118" s="46">
        <f t="shared" si="3"/>
        <v>0</v>
      </c>
      <c r="F118" s="46">
        <f t="shared" si="4"/>
        <v>0</v>
      </c>
      <c r="G118" s="46">
        <f t="shared" si="5"/>
        <v>0</v>
      </c>
      <c r="H118" s="46"/>
      <c r="I118" s="46"/>
      <c r="J118" s="46"/>
      <c r="K118" s="46"/>
      <c r="L118" s="46"/>
      <c r="M118" s="46"/>
      <c r="N118" s="46"/>
      <c r="O118" s="46"/>
      <c r="P118" s="46"/>
      <c r="Q118" s="43"/>
      <c r="R118" s="36">
        <f t="shared" si="6"/>
        <v>0</v>
      </c>
      <c r="S118" s="36">
        <f>BASE!A122</f>
        <v>107</v>
      </c>
      <c r="T118" s="46">
        <f t="shared" si="7"/>
        <v>0</v>
      </c>
      <c r="U118" s="46">
        <f t="shared" si="8"/>
        <v>0</v>
      </c>
      <c r="V118" s="46">
        <f t="shared" si="9"/>
        <v>0</v>
      </c>
      <c r="W118" s="46">
        <f t="shared" si="10"/>
        <v>0</v>
      </c>
      <c r="X118" s="46">
        <f t="shared" si="11"/>
        <v>0</v>
      </c>
      <c r="Y118" s="159"/>
    </row>
    <row r="119" spans="1:25" ht="20.25" customHeight="1">
      <c r="A119" s="47" t="str">
        <f>+BASE!B123</f>
        <v>23XXR108</v>
      </c>
      <c r="B119" s="36" t="s">
        <v>40</v>
      </c>
      <c r="C119" s="46">
        <f t="shared" si="1"/>
        <v>0</v>
      </c>
      <c r="D119" s="46">
        <f t="shared" si="2"/>
        <v>0</v>
      </c>
      <c r="E119" s="46">
        <f t="shared" si="3"/>
        <v>0</v>
      </c>
      <c r="F119" s="46">
        <f t="shared" si="4"/>
        <v>0</v>
      </c>
      <c r="G119" s="46">
        <f t="shared" si="5"/>
        <v>0</v>
      </c>
      <c r="H119" s="46"/>
      <c r="I119" s="46"/>
      <c r="J119" s="46"/>
      <c r="K119" s="46"/>
      <c r="L119" s="46"/>
      <c r="M119" s="46"/>
      <c r="N119" s="46"/>
      <c r="O119" s="46"/>
      <c r="P119" s="46"/>
      <c r="Q119" s="43"/>
      <c r="R119" s="36">
        <f t="shared" si="6"/>
        <v>0</v>
      </c>
      <c r="S119" s="36">
        <f>BASE!A123</f>
        <v>108</v>
      </c>
      <c r="T119" s="46">
        <f t="shared" si="7"/>
        <v>0</v>
      </c>
      <c r="U119" s="46">
        <f t="shared" si="8"/>
        <v>0</v>
      </c>
      <c r="V119" s="46">
        <f t="shared" si="9"/>
        <v>0</v>
      </c>
      <c r="W119" s="46">
        <f t="shared" si="10"/>
        <v>0</v>
      </c>
      <c r="X119" s="46">
        <f t="shared" si="11"/>
        <v>0</v>
      </c>
      <c r="Y119" s="159"/>
    </row>
    <row r="120" spans="1:25" ht="20.25" customHeight="1">
      <c r="A120" s="47" t="str">
        <f>+BASE!B124</f>
        <v>23XXR109</v>
      </c>
      <c r="B120" s="36" t="s">
        <v>40</v>
      </c>
      <c r="C120" s="46">
        <f t="shared" si="1"/>
        <v>0</v>
      </c>
      <c r="D120" s="46">
        <f t="shared" si="2"/>
        <v>0</v>
      </c>
      <c r="E120" s="46">
        <f t="shared" si="3"/>
        <v>0</v>
      </c>
      <c r="F120" s="46">
        <f t="shared" si="4"/>
        <v>0</v>
      </c>
      <c r="G120" s="46">
        <f t="shared" si="5"/>
        <v>0</v>
      </c>
      <c r="H120" s="46"/>
      <c r="I120" s="46"/>
      <c r="J120" s="46"/>
      <c r="K120" s="46"/>
      <c r="L120" s="46"/>
      <c r="M120" s="46"/>
      <c r="N120" s="46"/>
      <c r="O120" s="46"/>
      <c r="P120" s="46"/>
      <c r="Q120" s="43"/>
      <c r="R120" s="36">
        <f t="shared" si="6"/>
        <v>0</v>
      </c>
      <c r="S120" s="36">
        <f>BASE!A124</f>
        <v>109</v>
      </c>
      <c r="T120" s="46">
        <f t="shared" si="7"/>
        <v>0</v>
      </c>
      <c r="U120" s="46">
        <f t="shared" si="8"/>
        <v>0</v>
      </c>
      <c r="V120" s="46">
        <f t="shared" si="9"/>
        <v>0</v>
      </c>
      <c r="W120" s="46">
        <f t="shared" si="10"/>
        <v>0</v>
      </c>
      <c r="X120" s="46">
        <f t="shared" si="11"/>
        <v>0</v>
      </c>
      <c r="Y120" s="159"/>
    </row>
    <row r="121" spans="1:25" ht="20.25" customHeight="1">
      <c r="A121" s="47" t="str">
        <f>+BASE!B125</f>
        <v>23XXR110</v>
      </c>
      <c r="B121" s="36" t="s">
        <v>40</v>
      </c>
      <c r="C121" s="46">
        <f t="shared" si="1"/>
        <v>0</v>
      </c>
      <c r="D121" s="46">
        <f t="shared" si="2"/>
        <v>0</v>
      </c>
      <c r="E121" s="46">
        <f t="shared" si="3"/>
        <v>0</v>
      </c>
      <c r="F121" s="46">
        <f t="shared" si="4"/>
        <v>0</v>
      </c>
      <c r="G121" s="46">
        <f t="shared" si="5"/>
        <v>0</v>
      </c>
      <c r="H121" s="46"/>
      <c r="I121" s="46"/>
      <c r="J121" s="46"/>
      <c r="K121" s="46"/>
      <c r="L121" s="46"/>
      <c r="M121" s="46"/>
      <c r="N121" s="46"/>
      <c r="O121" s="46"/>
      <c r="P121" s="46"/>
      <c r="Q121" s="43"/>
      <c r="R121" s="36">
        <f t="shared" si="6"/>
        <v>0</v>
      </c>
      <c r="S121" s="36">
        <f>BASE!A125</f>
        <v>110</v>
      </c>
      <c r="T121" s="46">
        <f t="shared" si="7"/>
        <v>0</v>
      </c>
      <c r="U121" s="46">
        <f t="shared" si="8"/>
        <v>0</v>
      </c>
      <c r="V121" s="46">
        <f t="shared" si="9"/>
        <v>0</v>
      </c>
      <c r="W121" s="46">
        <f t="shared" si="10"/>
        <v>0</v>
      </c>
      <c r="X121" s="46">
        <f t="shared" si="11"/>
        <v>0</v>
      </c>
      <c r="Y121" s="159"/>
    </row>
    <row r="122" spans="1:25" ht="20.25" customHeight="1">
      <c r="A122" s="47" t="str">
        <f>+BASE!B126</f>
        <v>23XXR111</v>
      </c>
      <c r="B122" s="36" t="s">
        <v>40</v>
      </c>
      <c r="C122" s="46">
        <f t="shared" si="1"/>
        <v>0</v>
      </c>
      <c r="D122" s="46">
        <f t="shared" si="2"/>
        <v>0</v>
      </c>
      <c r="E122" s="46">
        <f t="shared" si="3"/>
        <v>0</v>
      </c>
      <c r="F122" s="46">
        <f t="shared" si="4"/>
        <v>0</v>
      </c>
      <c r="G122" s="46">
        <f t="shared" si="5"/>
        <v>0</v>
      </c>
      <c r="H122" s="46"/>
      <c r="I122" s="46"/>
      <c r="J122" s="46"/>
      <c r="K122" s="46"/>
      <c r="L122" s="46"/>
      <c r="M122" s="46"/>
      <c r="N122" s="46"/>
      <c r="O122" s="46"/>
      <c r="P122" s="46"/>
      <c r="Q122" s="43"/>
      <c r="R122" s="36">
        <f t="shared" si="6"/>
        <v>0</v>
      </c>
      <c r="S122" s="36">
        <f>BASE!A126</f>
        <v>111</v>
      </c>
      <c r="T122" s="46">
        <f t="shared" si="7"/>
        <v>0</v>
      </c>
      <c r="U122" s="46">
        <f t="shared" si="8"/>
        <v>0</v>
      </c>
      <c r="V122" s="46">
        <f t="shared" si="9"/>
        <v>0</v>
      </c>
      <c r="W122" s="46">
        <f t="shared" si="10"/>
        <v>0</v>
      </c>
      <c r="X122" s="46">
        <f t="shared" si="11"/>
        <v>0</v>
      </c>
      <c r="Y122" s="159"/>
    </row>
    <row r="123" spans="1:25" ht="20.25" customHeight="1">
      <c r="A123" s="47" t="str">
        <f>+BASE!B127</f>
        <v>23XXR112</v>
      </c>
      <c r="B123" s="36" t="s">
        <v>40</v>
      </c>
      <c r="C123" s="46">
        <f t="shared" si="1"/>
        <v>0</v>
      </c>
      <c r="D123" s="46">
        <f t="shared" si="2"/>
        <v>0</v>
      </c>
      <c r="E123" s="46">
        <f t="shared" si="3"/>
        <v>0</v>
      </c>
      <c r="F123" s="46">
        <f t="shared" si="4"/>
        <v>0</v>
      </c>
      <c r="G123" s="46">
        <f t="shared" si="5"/>
        <v>0</v>
      </c>
      <c r="H123" s="46"/>
      <c r="I123" s="46"/>
      <c r="J123" s="46"/>
      <c r="K123" s="46"/>
      <c r="L123" s="46"/>
      <c r="M123" s="46"/>
      <c r="N123" s="46"/>
      <c r="O123" s="46"/>
      <c r="P123" s="46"/>
      <c r="Q123" s="43"/>
      <c r="R123" s="36">
        <f t="shared" si="6"/>
        <v>0</v>
      </c>
      <c r="S123" s="36">
        <f>BASE!A127</f>
        <v>112</v>
      </c>
      <c r="T123" s="46">
        <f t="shared" si="7"/>
        <v>0</v>
      </c>
      <c r="U123" s="46">
        <f t="shared" si="8"/>
        <v>0</v>
      </c>
      <c r="V123" s="46">
        <f t="shared" si="9"/>
        <v>0</v>
      </c>
      <c r="W123" s="46">
        <f t="shared" si="10"/>
        <v>0</v>
      </c>
      <c r="X123" s="46">
        <f t="shared" si="11"/>
        <v>0</v>
      </c>
      <c r="Y123" s="159"/>
    </row>
    <row r="124" spans="1:25" ht="20.25" customHeight="1">
      <c r="A124" s="47" t="str">
        <f>+BASE!B128</f>
        <v>23XXR113</v>
      </c>
      <c r="B124" s="36" t="s">
        <v>40</v>
      </c>
      <c r="C124" s="46">
        <f t="shared" si="1"/>
        <v>0</v>
      </c>
      <c r="D124" s="46">
        <f t="shared" si="2"/>
        <v>0</v>
      </c>
      <c r="E124" s="46">
        <f t="shared" si="3"/>
        <v>0</v>
      </c>
      <c r="F124" s="46">
        <f t="shared" si="4"/>
        <v>0</v>
      </c>
      <c r="G124" s="46">
        <f t="shared" si="5"/>
        <v>0</v>
      </c>
      <c r="H124" s="46"/>
      <c r="I124" s="46"/>
      <c r="J124" s="46"/>
      <c r="K124" s="46"/>
      <c r="L124" s="46"/>
      <c r="M124" s="46"/>
      <c r="N124" s="46"/>
      <c r="O124" s="46"/>
      <c r="P124" s="46"/>
      <c r="Q124" s="43"/>
      <c r="R124" s="36">
        <f t="shared" si="6"/>
        <v>0</v>
      </c>
      <c r="S124" s="36">
        <f>BASE!A128</f>
        <v>113</v>
      </c>
      <c r="T124" s="46">
        <f t="shared" si="7"/>
        <v>0</v>
      </c>
      <c r="U124" s="46">
        <f t="shared" si="8"/>
        <v>0</v>
      </c>
      <c r="V124" s="46">
        <f t="shared" si="9"/>
        <v>0</v>
      </c>
      <c r="W124" s="46">
        <f t="shared" si="10"/>
        <v>0</v>
      </c>
      <c r="X124" s="46">
        <f t="shared" si="11"/>
        <v>0</v>
      </c>
      <c r="Y124" s="159"/>
    </row>
    <row r="125" spans="1:25" ht="20.25" customHeight="1">
      <c r="A125" s="47" t="str">
        <f>+BASE!B129</f>
        <v>23XXR114</v>
      </c>
      <c r="B125" s="36" t="s">
        <v>40</v>
      </c>
      <c r="C125" s="46">
        <f t="shared" si="1"/>
        <v>0</v>
      </c>
      <c r="D125" s="46">
        <f t="shared" si="2"/>
        <v>0</v>
      </c>
      <c r="E125" s="46">
        <f t="shared" si="3"/>
        <v>0</v>
      </c>
      <c r="F125" s="46">
        <f t="shared" si="4"/>
        <v>0</v>
      </c>
      <c r="G125" s="46">
        <f t="shared" si="5"/>
        <v>0</v>
      </c>
      <c r="H125" s="46"/>
      <c r="I125" s="46"/>
      <c r="J125" s="46"/>
      <c r="K125" s="46"/>
      <c r="L125" s="46"/>
      <c r="M125" s="46"/>
      <c r="N125" s="46"/>
      <c r="O125" s="46"/>
      <c r="P125" s="46"/>
      <c r="Q125" s="43"/>
      <c r="R125" s="36">
        <f t="shared" si="6"/>
        <v>0</v>
      </c>
      <c r="S125" s="36">
        <f>BASE!A129</f>
        <v>114</v>
      </c>
      <c r="T125" s="46">
        <f t="shared" si="7"/>
        <v>0</v>
      </c>
      <c r="U125" s="46">
        <f t="shared" si="8"/>
        <v>0</v>
      </c>
      <c r="V125" s="46">
        <f t="shared" si="9"/>
        <v>0</v>
      </c>
      <c r="W125" s="46">
        <f t="shared" si="10"/>
        <v>0</v>
      </c>
      <c r="X125" s="46">
        <f t="shared" si="11"/>
        <v>0</v>
      </c>
      <c r="Y125" s="159"/>
    </row>
    <row r="126" spans="1:25" ht="20.25" customHeight="1">
      <c r="A126" s="47" t="str">
        <f>+BASE!B130</f>
        <v>23XXR115</v>
      </c>
      <c r="B126" s="36" t="s">
        <v>40</v>
      </c>
      <c r="C126" s="46">
        <f t="shared" si="1"/>
        <v>0</v>
      </c>
      <c r="D126" s="46">
        <f t="shared" si="2"/>
        <v>0</v>
      </c>
      <c r="E126" s="46">
        <f t="shared" si="3"/>
        <v>0</v>
      </c>
      <c r="F126" s="46">
        <f t="shared" si="4"/>
        <v>0</v>
      </c>
      <c r="G126" s="46">
        <f t="shared" si="5"/>
        <v>0</v>
      </c>
      <c r="H126" s="46"/>
      <c r="I126" s="46"/>
      <c r="J126" s="46"/>
      <c r="K126" s="46"/>
      <c r="L126" s="46"/>
      <c r="M126" s="46"/>
      <c r="N126" s="46"/>
      <c r="O126" s="46"/>
      <c r="P126" s="46"/>
      <c r="Q126" s="43"/>
      <c r="R126" s="36">
        <f t="shared" si="6"/>
        <v>0</v>
      </c>
      <c r="S126" s="36">
        <f>BASE!A130</f>
        <v>115</v>
      </c>
      <c r="T126" s="46">
        <f t="shared" si="7"/>
        <v>0</v>
      </c>
      <c r="U126" s="46">
        <f t="shared" si="8"/>
        <v>0</v>
      </c>
      <c r="V126" s="46">
        <f t="shared" si="9"/>
        <v>0</v>
      </c>
      <c r="W126" s="46">
        <f t="shared" si="10"/>
        <v>0</v>
      </c>
      <c r="X126" s="46">
        <f t="shared" si="11"/>
        <v>0</v>
      </c>
      <c r="Y126" s="159"/>
    </row>
    <row r="127" spans="1:25" ht="20.25" customHeight="1">
      <c r="A127" s="47" t="str">
        <f>+BASE!B131</f>
        <v>23XXR116</v>
      </c>
      <c r="B127" s="36" t="s">
        <v>40</v>
      </c>
      <c r="C127" s="46">
        <f t="shared" si="1"/>
        <v>0</v>
      </c>
      <c r="D127" s="46">
        <f t="shared" si="2"/>
        <v>0</v>
      </c>
      <c r="E127" s="46">
        <f t="shared" si="3"/>
        <v>0</v>
      </c>
      <c r="F127" s="46">
        <f t="shared" si="4"/>
        <v>0</v>
      </c>
      <c r="G127" s="46">
        <f t="shared" si="5"/>
        <v>0</v>
      </c>
      <c r="H127" s="46"/>
      <c r="I127" s="46"/>
      <c r="J127" s="46"/>
      <c r="K127" s="46"/>
      <c r="L127" s="46"/>
      <c r="M127" s="46"/>
      <c r="N127" s="46"/>
      <c r="O127" s="46"/>
      <c r="P127" s="46"/>
      <c r="Q127" s="43"/>
      <c r="R127" s="36">
        <f t="shared" si="6"/>
        <v>0</v>
      </c>
      <c r="S127" s="36">
        <f>BASE!A131</f>
        <v>116</v>
      </c>
      <c r="T127" s="46">
        <f t="shared" si="7"/>
        <v>0</v>
      </c>
      <c r="U127" s="46">
        <f t="shared" si="8"/>
        <v>0</v>
      </c>
      <c r="V127" s="46">
        <f t="shared" si="9"/>
        <v>0</v>
      </c>
      <c r="W127" s="46">
        <f t="shared" si="10"/>
        <v>0</v>
      </c>
      <c r="X127" s="46">
        <f t="shared" si="11"/>
        <v>0</v>
      </c>
      <c r="Y127" s="159"/>
    </row>
    <row r="128" spans="1:25" ht="20.25" customHeight="1">
      <c r="A128" s="47" t="str">
        <f>+BASE!B132</f>
        <v>23XXR117</v>
      </c>
      <c r="B128" s="36" t="s">
        <v>40</v>
      </c>
      <c r="C128" s="46">
        <f t="shared" si="1"/>
        <v>0</v>
      </c>
      <c r="D128" s="46">
        <f t="shared" si="2"/>
        <v>0</v>
      </c>
      <c r="E128" s="46">
        <f t="shared" si="3"/>
        <v>0</v>
      </c>
      <c r="F128" s="46">
        <f t="shared" si="4"/>
        <v>0</v>
      </c>
      <c r="G128" s="46">
        <f t="shared" si="5"/>
        <v>0</v>
      </c>
      <c r="H128" s="46"/>
      <c r="I128" s="46"/>
      <c r="J128" s="46"/>
      <c r="K128" s="46"/>
      <c r="L128" s="46"/>
      <c r="M128" s="46"/>
      <c r="N128" s="46"/>
      <c r="O128" s="46"/>
      <c r="P128" s="46"/>
      <c r="Q128" s="43"/>
      <c r="R128" s="36">
        <f t="shared" si="6"/>
        <v>0</v>
      </c>
      <c r="S128" s="36">
        <f>BASE!A132</f>
        <v>117</v>
      </c>
      <c r="T128" s="46">
        <f t="shared" si="7"/>
        <v>0</v>
      </c>
      <c r="U128" s="46">
        <f t="shared" si="8"/>
        <v>0</v>
      </c>
      <c r="V128" s="46">
        <f t="shared" si="9"/>
        <v>0</v>
      </c>
      <c r="W128" s="46">
        <f t="shared" si="10"/>
        <v>0</v>
      </c>
      <c r="X128" s="46">
        <f t="shared" si="11"/>
        <v>0</v>
      </c>
      <c r="Y128" s="159"/>
    </row>
    <row r="129" spans="1:25" ht="20.25" customHeight="1">
      <c r="A129" s="47" t="str">
        <f>+BASE!B133</f>
        <v>23XXR118</v>
      </c>
      <c r="B129" s="36" t="s">
        <v>40</v>
      </c>
      <c r="C129" s="46">
        <f t="shared" si="1"/>
        <v>0</v>
      </c>
      <c r="D129" s="46">
        <f t="shared" si="2"/>
        <v>0</v>
      </c>
      <c r="E129" s="46">
        <f t="shared" si="3"/>
        <v>0</v>
      </c>
      <c r="F129" s="46">
        <f t="shared" si="4"/>
        <v>0</v>
      </c>
      <c r="G129" s="46">
        <f t="shared" si="5"/>
        <v>0</v>
      </c>
      <c r="H129" s="46"/>
      <c r="I129" s="46"/>
      <c r="J129" s="46"/>
      <c r="K129" s="46"/>
      <c r="L129" s="46"/>
      <c r="M129" s="46"/>
      <c r="N129" s="46"/>
      <c r="O129" s="46"/>
      <c r="P129" s="46"/>
      <c r="Q129" s="43"/>
      <c r="R129" s="36">
        <f t="shared" si="6"/>
        <v>0</v>
      </c>
      <c r="S129" s="36">
        <f>BASE!A133</f>
        <v>118</v>
      </c>
      <c r="T129" s="46">
        <f t="shared" si="7"/>
        <v>0</v>
      </c>
      <c r="U129" s="46">
        <f t="shared" si="8"/>
        <v>0</v>
      </c>
      <c r="V129" s="46">
        <f t="shared" si="9"/>
        <v>0</v>
      </c>
      <c r="W129" s="46">
        <f t="shared" si="10"/>
        <v>0</v>
      </c>
      <c r="X129" s="46">
        <f t="shared" si="11"/>
        <v>0</v>
      </c>
      <c r="Y129" s="159"/>
    </row>
    <row r="130" spans="1:25" ht="20.25" customHeight="1">
      <c r="A130" s="47" t="str">
        <f>+BASE!B134</f>
        <v>23XXR119</v>
      </c>
      <c r="B130" s="36" t="s">
        <v>40</v>
      </c>
      <c r="C130" s="46">
        <f t="shared" si="1"/>
        <v>0</v>
      </c>
      <c r="D130" s="46">
        <f t="shared" si="2"/>
        <v>0</v>
      </c>
      <c r="E130" s="46">
        <f t="shared" si="3"/>
        <v>0</v>
      </c>
      <c r="F130" s="46">
        <f t="shared" si="4"/>
        <v>0</v>
      </c>
      <c r="G130" s="46">
        <f t="shared" si="5"/>
        <v>0</v>
      </c>
      <c r="H130" s="46"/>
      <c r="I130" s="46"/>
      <c r="J130" s="46"/>
      <c r="K130" s="46"/>
      <c r="L130" s="46"/>
      <c r="M130" s="46"/>
      <c r="N130" s="46"/>
      <c r="O130" s="46"/>
      <c r="P130" s="46"/>
      <c r="Q130" s="43"/>
      <c r="R130" s="36">
        <f t="shared" si="6"/>
        <v>0</v>
      </c>
      <c r="S130" s="36">
        <f>BASE!A134</f>
        <v>119</v>
      </c>
      <c r="T130" s="46">
        <f t="shared" si="7"/>
        <v>0</v>
      </c>
      <c r="U130" s="46">
        <f t="shared" si="8"/>
        <v>0</v>
      </c>
      <c r="V130" s="46">
        <f t="shared" si="9"/>
        <v>0</v>
      </c>
      <c r="W130" s="46">
        <f t="shared" si="10"/>
        <v>0</v>
      </c>
      <c r="X130" s="46">
        <f t="shared" si="11"/>
        <v>0</v>
      </c>
      <c r="Y130" s="159"/>
    </row>
    <row r="131" spans="1:25" ht="20.25" customHeight="1">
      <c r="A131" s="47" t="str">
        <f>+BASE!B135</f>
        <v>23XXR120</v>
      </c>
      <c r="B131" s="36" t="s">
        <v>40</v>
      </c>
      <c r="C131" s="46">
        <f t="shared" si="1"/>
        <v>0</v>
      </c>
      <c r="D131" s="46">
        <f t="shared" si="2"/>
        <v>0</v>
      </c>
      <c r="E131" s="46">
        <f t="shared" si="3"/>
        <v>0</v>
      </c>
      <c r="F131" s="46">
        <f t="shared" si="4"/>
        <v>0</v>
      </c>
      <c r="G131" s="46">
        <f t="shared" si="5"/>
        <v>0</v>
      </c>
      <c r="H131" s="46"/>
      <c r="I131" s="46"/>
      <c r="J131" s="46"/>
      <c r="K131" s="46"/>
      <c r="L131" s="46"/>
      <c r="M131" s="46"/>
      <c r="N131" s="46"/>
      <c r="O131" s="46"/>
      <c r="P131" s="46"/>
      <c r="Q131" s="43"/>
      <c r="R131" s="36">
        <f t="shared" si="6"/>
        <v>0</v>
      </c>
      <c r="S131" s="36">
        <f>BASE!A135</f>
        <v>120</v>
      </c>
      <c r="T131" s="46">
        <f t="shared" si="7"/>
        <v>0</v>
      </c>
      <c r="U131" s="46">
        <f t="shared" si="8"/>
        <v>0</v>
      </c>
      <c r="V131" s="46">
        <f t="shared" si="9"/>
        <v>0</v>
      </c>
      <c r="W131" s="46">
        <f t="shared" si="10"/>
        <v>0</v>
      </c>
      <c r="X131" s="46">
        <f t="shared" si="11"/>
        <v>0</v>
      </c>
      <c r="Y131" s="159"/>
    </row>
    <row r="132" spans="1:25" ht="20.25" customHeight="1">
      <c r="A132" s="47" t="str">
        <f>+BASE!B136</f>
        <v>23XXR121</v>
      </c>
      <c r="B132" s="36" t="s">
        <v>40</v>
      </c>
      <c r="C132" s="46">
        <f t="shared" si="1"/>
        <v>0</v>
      </c>
      <c r="D132" s="46">
        <f t="shared" si="2"/>
        <v>0</v>
      </c>
      <c r="E132" s="46">
        <f t="shared" si="3"/>
        <v>0</v>
      </c>
      <c r="F132" s="46">
        <f t="shared" si="4"/>
        <v>0</v>
      </c>
      <c r="G132" s="46">
        <f t="shared" si="5"/>
        <v>0</v>
      </c>
      <c r="H132" s="46"/>
      <c r="I132" s="46"/>
      <c r="J132" s="46"/>
      <c r="K132" s="46"/>
      <c r="L132" s="46"/>
      <c r="M132" s="46"/>
      <c r="N132" s="46"/>
      <c r="O132" s="46"/>
      <c r="P132" s="46"/>
      <c r="Q132" s="43"/>
      <c r="R132" s="36">
        <f t="shared" si="6"/>
        <v>0</v>
      </c>
      <c r="S132" s="36">
        <f>BASE!A136</f>
        <v>121</v>
      </c>
      <c r="T132" s="46">
        <f t="shared" si="7"/>
        <v>0</v>
      </c>
      <c r="U132" s="46">
        <f t="shared" si="8"/>
        <v>0</v>
      </c>
      <c r="V132" s="46">
        <f t="shared" si="9"/>
        <v>0</v>
      </c>
      <c r="W132" s="46">
        <f t="shared" si="10"/>
        <v>0</v>
      </c>
      <c r="X132" s="46">
        <f t="shared" si="11"/>
        <v>0</v>
      </c>
      <c r="Y132" s="159"/>
    </row>
    <row r="133" spans="1:25" ht="20.25" customHeight="1">
      <c r="A133" s="47" t="str">
        <f>+BASE!B137</f>
        <v>23XXR122</v>
      </c>
      <c r="B133" s="36" t="s">
        <v>40</v>
      </c>
      <c r="C133" s="46">
        <f t="shared" si="1"/>
        <v>0</v>
      </c>
      <c r="D133" s="46">
        <f t="shared" si="2"/>
        <v>0</v>
      </c>
      <c r="E133" s="46">
        <f t="shared" si="3"/>
        <v>0</v>
      </c>
      <c r="F133" s="46">
        <f t="shared" si="4"/>
        <v>0</v>
      </c>
      <c r="G133" s="46">
        <f t="shared" si="5"/>
        <v>0</v>
      </c>
      <c r="H133" s="46"/>
      <c r="I133" s="46"/>
      <c r="J133" s="46"/>
      <c r="K133" s="46"/>
      <c r="L133" s="46"/>
      <c r="M133" s="46"/>
      <c r="N133" s="46"/>
      <c r="O133" s="46"/>
      <c r="P133" s="46"/>
      <c r="Q133" s="43"/>
      <c r="R133" s="36">
        <f t="shared" si="6"/>
        <v>0</v>
      </c>
      <c r="S133" s="36">
        <f>BASE!A137</f>
        <v>122</v>
      </c>
      <c r="T133" s="46">
        <f t="shared" si="7"/>
        <v>0</v>
      </c>
      <c r="U133" s="46">
        <f t="shared" si="8"/>
        <v>0</v>
      </c>
      <c r="V133" s="46">
        <f t="shared" si="9"/>
        <v>0</v>
      </c>
      <c r="W133" s="46">
        <f t="shared" si="10"/>
        <v>0</v>
      </c>
      <c r="X133" s="46">
        <f t="shared" si="11"/>
        <v>0</v>
      </c>
      <c r="Y133" s="159"/>
    </row>
    <row r="134" spans="1:25" ht="20.25" customHeight="1">
      <c r="A134" s="47" t="str">
        <f>+BASE!B138</f>
        <v>23XXR123</v>
      </c>
      <c r="B134" s="36" t="s">
        <v>40</v>
      </c>
      <c r="C134" s="46">
        <f t="shared" si="1"/>
        <v>0</v>
      </c>
      <c r="D134" s="46">
        <f t="shared" si="2"/>
        <v>0</v>
      </c>
      <c r="E134" s="46">
        <f t="shared" si="3"/>
        <v>0</v>
      </c>
      <c r="F134" s="46">
        <f t="shared" si="4"/>
        <v>0</v>
      </c>
      <c r="G134" s="46">
        <f t="shared" si="5"/>
        <v>0</v>
      </c>
      <c r="H134" s="46"/>
      <c r="I134" s="46"/>
      <c r="J134" s="46"/>
      <c r="K134" s="46"/>
      <c r="L134" s="46"/>
      <c r="M134" s="46"/>
      <c r="N134" s="46"/>
      <c r="O134" s="46"/>
      <c r="P134" s="46"/>
      <c r="Q134" s="43"/>
      <c r="R134" s="36">
        <f t="shared" si="6"/>
        <v>0</v>
      </c>
      <c r="S134" s="36">
        <f>BASE!A138</f>
        <v>123</v>
      </c>
      <c r="T134" s="46">
        <f t="shared" si="7"/>
        <v>0</v>
      </c>
      <c r="U134" s="46">
        <f t="shared" si="8"/>
        <v>0</v>
      </c>
      <c r="V134" s="46">
        <f t="shared" si="9"/>
        <v>0</v>
      </c>
      <c r="W134" s="46">
        <f t="shared" si="10"/>
        <v>0</v>
      </c>
      <c r="X134" s="46">
        <f t="shared" si="11"/>
        <v>0</v>
      </c>
      <c r="Y134" s="159"/>
    </row>
    <row r="135" spans="1:25" ht="20.25" customHeight="1">
      <c r="A135" s="47" t="str">
        <f>+BASE!B139</f>
        <v>23XXR124</v>
      </c>
      <c r="B135" s="36" t="s">
        <v>40</v>
      </c>
      <c r="C135" s="46">
        <f t="shared" si="1"/>
        <v>0</v>
      </c>
      <c r="D135" s="46">
        <f t="shared" si="2"/>
        <v>0</v>
      </c>
      <c r="E135" s="46">
        <f t="shared" si="3"/>
        <v>0</v>
      </c>
      <c r="F135" s="46">
        <f t="shared" si="4"/>
        <v>0</v>
      </c>
      <c r="G135" s="46">
        <f t="shared" si="5"/>
        <v>0</v>
      </c>
      <c r="H135" s="46"/>
      <c r="I135" s="46"/>
      <c r="J135" s="46"/>
      <c r="K135" s="46"/>
      <c r="L135" s="46"/>
      <c r="M135" s="46"/>
      <c r="N135" s="46"/>
      <c r="O135" s="46"/>
      <c r="P135" s="46"/>
      <c r="Q135" s="43"/>
      <c r="R135" s="36">
        <f t="shared" si="6"/>
        <v>0</v>
      </c>
      <c r="S135" s="36">
        <f>BASE!A139</f>
        <v>124</v>
      </c>
      <c r="T135" s="46">
        <f t="shared" si="7"/>
        <v>0</v>
      </c>
      <c r="U135" s="46">
        <f t="shared" si="8"/>
        <v>0</v>
      </c>
      <c r="V135" s="46">
        <f t="shared" si="9"/>
        <v>0</v>
      </c>
      <c r="W135" s="46">
        <f t="shared" si="10"/>
        <v>0</v>
      </c>
      <c r="X135" s="46">
        <f t="shared" si="11"/>
        <v>0</v>
      </c>
      <c r="Y135" s="159"/>
    </row>
    <row r="136" spans="1:25" ht="20.25" customHeight="1">
      <c r="A136" s="47" t="str">
        <f>+BASE!B140</f>
        <v>23XXR125</v>
      </c>
      <c r="B136" s="36" t="s">
        <v>40</v>
      </c>
      <c r="C136" s="46">
        <f t="shared" si="1"/>
        <v>0</v>
      </c>
      <c r="D136" s="46">
        <f t="shared" si="2"/>
        <v>0</v>
      </c>
      <c r="E136" s="46">
        <f t="shared" si="3"/>
        <v>0</v>
      </c>
      <c r="F136" s="46">
        <f t="shared" si="4"/>
        <v>0</v>
      </c>
      <c r="G136" s="46">
        <f t="shared" si="5"/>
        <v>0</v>
      </c>
      <c r="H136" s="46"/>
      <c r="I136" s="46"/>
      <c r="J136" s="46"/>
      <c r="K136" s="46"/>
      <c r="L136" s="46"/>
      <c r="M136" s="46"/>
      <c r="N136" s="46"/>
      <c r="O136" s="46"/>
      <c r="P136" s="46"/>
      <c r="Q136" s="43"/>
      <c r="R136" s="36">
        <f t="shared" si="6"/>
        <v>0</v>
      </c>
      <c r="S136" s="36">
        <f>BASE!A140</f>
        <v>125</v>
      </c>
      <c r="T136" s="46">
        <f t="shared" si="7"/>
        <v>0</v>
      </c>
      <c r="U136" s="46">
        <f t="shared" si="8"/>
        <v>0</v>
      </c>
      <c r="V136" s="46">
        <f t="shared" si="9"/>
        <v>0</v>
      </c>
      <c r="W136" s="46">
        <f t="shared" si="10"/>
        <v>0</v>
      </c>
      <c r="X136" s="46">
        <f t="shared" si="11"/>
        <v>0</v>
      </c>
      <c r="Y136" s="159"/>
    </row>
    <row r="137" spans="1:25" ht="20.25" customHeight="1">
      <c r="A137" s="47" t="str">
        <f>+BASE!B141</f>
        <v>23XXR126</v>
      </c>
      <c r="B137" s="36" t="s">
        <v>40</v>
      </c>
      <c r="C137" s="46">
        <f t="shared" si="1"/>
        <v>0</v>
      </c>
      <c r="D137" s="46">
        <f t="shared" si="2"/>
        <v>0</v>
      </c>
      <c r="E137" s="46">
        <f t="shared" si="3"/>
        <v>0</v>
      </c>
      <c r="F137" s="46">
        <f t="shared" si="4"/>
        <v>0</v>
      </c>
      <c r="G137" s="46">
        <f t="shared" si="5"/>
        <v>0</v>
      </c>
      <c r="H137" s="46"/>
      <c r="I137" s="46"/>
      <c r="J137" s="46"/>
      <c r="K137" s="46"/>
      <c r="L137" s="46"/>
      <c r="M137" s="46"/>
      <c r="N137" s="46"/>
      <c r="O137" s="46"/>
      <c r="P137" s="46"/>
      <c r="Q137" s="43"/>
      <c r="R137" s="36">
        <f t="shared" si="6"/>
        <v>0</v>
      </c>
      <c r="S137" s="36">
        <f>BASE!A141</f>
        <v>126</v>
      </c>
      <c r="T137" s="46">
        <f t="shared" si="7"/>
        <v>0</v>
      </c>
      <c r="U137" s="46">
        <f t="shared" si="8"/>
        <v>0</v>
      </c>
      <c r="V137" s="46">
        <f t="shared" si="9"/>
        <v>0</v>
      </c>
      <c r="W137" s="46">
        <f t="shared" si="10"/>
        <v>0</v>
      </c>
      <c r="X137" s="46">
        <f t="shared" si="11"/>
        <v>0</v>
      </c>
      <c r="Y137" s="159"/>
    </row>
    <row r="138" spans="1:25" ht="20.25" customHeight="1">
      <c r="A138" s="47" t="str">
        <f>+BASE!B142</f>
        <v>23XXR127</v>
      </c>
      <c r="B138" s="36" t="s">
        <v>40</v>
      </c>
      <c r="C138" s="46">
        <f t="shared" si="1"/>
        <v>0</v>
      </c>
      <c r="D138" s="46">
        <f t="shared" si="2"/>
        <v>0</v>
      </c>
      <c r="E138" s="46">
        <f t="shared" si="3"/>
        <v>0</v>
      </c>
      <c r="F138" s="46">
        <f t="shared" si="4"/>
        <v>0</v>
      </c>
      <c r="G138" s="46">
        <f t="shared" si="5"/>
        <v>0</v>
      </c>
      <c r="H138" s="46"/>
      <c r="I138" s="46"/>
      <c r="J138" s="46"/>
      <c r="K138" s="46"/>
      <c r="L138" s="46"/>
      <c r="M138" s="46"/>
      <c r="N138" s="46"/>
      <c r="O138" s="46"/>
      <c r="P138" s="46"/>
      <c r="Q138" s="43"/>
      <c r="R138" s="36">
        <f t="shared" si="6"/>
        <v>0</v>
      </c>
      <c r="S138" s="36">
        <f>BASE!A142</f>
        <v>127</v>
      </c>
      <c r="T138" s="46">
        <f t="shared" si="7"/>
        <v>0</v>
      </c>
      <c r="U138" s="46">
        <f t="shared" si="8"/>
        <v>0</v>
      </c>
      <c r="V138" s="46">
        <f t="shared" si="9"/>
        <v>0</v>
      </c>
      <c r="W138" s="46">
        <f t="shared" si="10"/>
        <v>0</v>
      </c>
      <c r="X138" s="46">
        <f t="shared" si="11"/>
        <v>0</v>
      </c>
      <c r="Y138" s="159"/>
    </row>
    <row r="139" spans="1:25" ht="20.25" customHeight="1">
      <c r="A139" s="47" t="str">
        <f>+BASE!B143</f>
        <v>23XXR128</v>
      </c>
      <c r="B139" s="36" t="s">
        <v>40</v>
      </c>
      <c r="C139" s="46">
        <f t="shared" si="1"/>
        <v>0</v>
      </c>
      <c r="D139" s="46">
        <f t="shared" si="2"/>
        <v>0</v>
      </c>
      <c r="E139" s="46">
        <f t="shared" si="3"/>
        <v>0</v>
      </c>
      <c r="F139" s="46">
        <f t="shared" si="4"/>
        <v>0</v>
      </c>
      <c r="G139" s="46">
        <f t="shared" si="5"/>
        <v>0</v>
      </c>
      <c r="H139" s="46"/>
      <c r="I139" s="46"/>
      <c r="J139" s="46"/>
      <c r="K139" s="46"/>
      <c r="L139" s="46"/>
      <c r="M139" s="46"/>
      <c r="N139" s="46"/>
      <c r="O139" s="46"/>
      <c r="P139" s="46"/>
      <c r="Q139" s="43"/>
      <c r="R139" s="36">
        <f t="shared" si="6"/>
        <v>0</v>
      </c>
      <c r="S139" s="36">
        <f>BASE!A143</f>
        <v>128</v>
      </c>
      <c r="T139" s="46">
        <f t="shared" si="7"/>
        <v>0</v>
      </c>
      <c r="U139" s="46">
        <f t="shared" si="8"/>
        <v>0</v>
      </c>
      <c r="V139" s="46">
        <f t="shared" si="9"/>
        <v>0</v>
      </c>
      <c r="W139" s="46">
        <f t="shared" si="10"/>
        <v>0</v>
      </c>
      <c r="X139" s="46">
        <f t="shared" si="11"/>
        <v>0</v>
      </c>
      <c r="Y139" s="159"/>
    </row>
    <row r="140" spans="1:25" ht="20.25" customHeight="1">
      <c r="A140" s="47" t="str">
        <f>+BASE!B144</f>
        <v>23XXR129</v>
      </c>
      <c r="B140" s="36" t="s">
        <v>40</v>
      </c>
      <c r="C140" s="46">
        <f t="shared" si="1"/>
        <v>0</v>
      </c>
      <c r="D140" s="46">
        <f t="shared" si="2"/>
        <v>0</v>
      </c>
      <c r="E140" s="46">
        <f t="shared" si="3"/>
        <v>0</v>
      </c>
      <c r="F140" s="46">
        <f t="shared" si="4"/>
        <v>0</v>
      </c>
      <c r="G140" s="46">
        <f t="shared" si="5"/>
        <v>0</v>
      </c>
      <c r="H140" s="46"/>
      <c r="I140" s="46"/>
      <c r="J140" s="46"/>
      <c r="K140" s="46"/>
      <c r="L140" s="46"/>
      <c r="M140" s="46"/>
      <c r="N140" s="46"/>
      <c r="O140" s="46"/>
      <c r="P140" s="46"/>
      <c r="Q140" s="43"/>
      <c r="R140" s="36">
        <f t="shared" si="6"/>
        <v>0</v>
      </c>
      <c r="S140" s="36">
        <f>BASE!A144</f>
        <v>129</v>
      </c>
      <c r="T140" s="46">
        <f t="shared" si="7"/>
        <v>0</v>
      </c>
      <c r="U140" s="46">
        <f t="shared" si="8"/>
        <v>0</v>
      </c>
      <c r="V140" s="46">
        <f t="shared" si="9"/>
        <v>0</v>
      </c>
      <c r="W140" s="46">
        <f t="shared" si="10"/>
        <v>0</v>
      </c>
      <c r="X140" s="46">
        <f t="shared" si="11"/>
        <v>0</v>
      </c>
      <c r="Y140" s="159"/>
    </row>
    <row r="141" spans="1:25" ht="20.25" customHeight="1">
      <c r="A141" s="47" t="str">
        <f>+BASE!B145</f>
        <v>23XXR130</v>
      </c>
      <c r="B141" s="36" t="s">
        <v>40</v>
      </c>
      <c r="C141" s="46">
        <f t="shared" si="1"/>
        <v>0</v>
      </c>
      <c r="D141" s="46">
        <f t="shared" si="2"/>
        <v>0</v>
      </c>
      <c r="E141" s="46">
        <f t="shared" si="3"/>
        <v>0</v>
      </c>
      <c r="F141" s="46">
        <f t="shared" si="4"/>
        <v>0</v>
      </c>
      <c r="G141" s="46">
        <f t="shared" si="5"/>
        <v>0</v>
      </c>
      <c r="H141" s="46"/>
      <c r="I141" s="46"/>
      <c r="J141" s="46"/>
      <c r="K141" s="46"/>
      <c r="L141" s="46"/>
      <c r="M141" s="46"/>
      <c r="N141" s="46"/>
      <c r="O141" s="46"/>
      <c r="P141" s="46"/>
      <c r="Q141" s="43"/>
      <c r="R141" s="36">
        <f t="shared" si="6"/>
        <v>0</v>
      </c>
      <c r="S141" s="36">
        <f>BASE!A145</f>
        <v>130</v>
      </c>
      <c r="T141" s="46">
        <f t="shared" si="7"/>
        <v>0</v>
      </c>
      <c r="U141" s="46">
        <f t="shared" si="8"/>
        <v>0</v>
      </c>
      <c r="V141" s="46">
        <f t="shared" si="9"/>
        <v>0</v>
      </c>
      <c r="W141" s="46">
        <f t="shared" si="10"/>
        <v>0</v>
      </c>
      <c r="X141" s="46">
        <f t="shared" si="11"/>
        <v>0</v>
      </c>
      <c r="Y141" s="159"/>
    </row>
    <row r="142" spans="1:25" ht="20.25" customHeight="1">
      <c r="A142" s="47" t="str">
        <f>+BASE!B146</f>
        <v>23XXR131</v>
      </c>
      <c r="B142" s="36" t="s">
        <v>40</v>
      </c>
      <c r="C142" s="46">
        <f t="shared" si="1"/>
        <v>0</v>
      </c>
      <c r="D142" s="46">
        <f t="shared" si="2"/>
        <v>0</v>
      </c>
      <c r="E142" s="46">
        <f t="shared" si="3"/>
        <v>0</v>
      </c>
      <c r="F142" s="46">
        <f t="shared" si="4"/>
        <v>0</v>
      </c>
      <c r="G142" s="46">
        <f t="shared" si="5"/>
        <v>0</v>
      </c>
      <c r="H142" s="46"/>
      <c r="I142" s="46"/>
      <c r="J142" s="46"/>
      <c r="K142" s="46"/>
      <c r="L142" s="46"/>
      <c r="M142" s="46"/>
      <c r="N142" s="46"/>
      <c r="O142" s="46"/>
      <c r="P142" s="46"/>
      <c r="Q142" s="43"/>
      <c r="R142" s="36">
        <f t="shared" si="6"/>
        <v>0</v>
      </c>
      <c r="S142" s="36">
        <f>BASE!A146</f>
        <v>131</v>
      </c>
      <c r="T142" s="46">
        <f t="shared" si="7"/>
        <v>0</v>
      </c>
      <c r="U142" s="46">
        <f t="shared" si="8"/>
        <v>0</v>
      </c>
      <c r="V142" s="46">
        <f t="shared" si="9"/>
        <v>0</v>
      </c>
      <c r="W142" s="46">
        <f t="shared" si="10"/>
        <v>0</v>
      </c>
      <c r="X142" s="46">
        <f t="shared" si="11"/>
        <v>0</v>
      </c>
      <c r="Y142" s="159"/>
    </row>
    <row r="143" spans="1:25" ht="20.25" customHeight="1">
      <c r="A143" s="47" t="str">
        <f>+BASE!B147</f>
        <v>23XXR132</v>
      </c>
      <c r="B143" s="36" t="s">
        <v>40</v>
      </c>
      <c r="C143" s="46">
        <f t="shared" si="1"/>
        <v>0</v>
      </c>
      <c r="D143" s="46">
        <f t="shared" si="2"/>
        <v>0</v>
      </c>
      <c r="E143" s="46">
        <f t="shared" si="3"/>
        <v>0</v>
      </c>
      <c r="F143" s="46">
        <f t="shared" si="4"/>
        <v>0</v>
      </c>
      <c r="G143" s="46">
        <f t="shared" si="5"/>
        <v>0</v>
      </c>
      <c r="H143" s="46"/>
      <c r="I143" s="46"/>
      <c r="J143" s="46"/>
      <c r="K143" s="46"/>
      <c r="L143" s="46"/>
      <c r="M143" s="46"/>
      <c r="N143" s="46"/>
      <c r="O143" s="46"/>
      <c r="P143" s="46"/>
      <c r="Q143" s="43"/>
      <c r="R143" s="36">
        <f t="shared" si="6"/>
        <v>0</v>
      </c>
      <c r="S143" s="36">
        <f>BASE!A147</f>
        <v>132</v>
      </c>
      <c r="T143" s="46">
        <f t="shared" si="7"/>
        <v>0</v>
      </c>
      <c r="U143" s="46">
        <f t="shared" si="8"/>
        <v>0</v>
      </c>
      <c r="V143" s="46">
        <f t="shared" si="9"/>
        <v>0</v>
      </c>
      <c r="W143" s="46">
        <f t="shared" si="10"/>
        <v>0</v>
      </c>
      <c r="X143" s="46">
        <f t="shared" si="11"/>
        <v>0</v>
      </c>
      <c r="Y143" s="159"/>
    </row>
    <row r="144" spans="1:25" ht="20.25" customHeight="1">
      <c r="A144" s="47" t="str">
        <f>+BASE!B148</f>
        <v>23XXR133</v>
      </c>
      <c r="B144" s="36" t="s">
        <v>40</v>
      </c>
      <c r="C144" s="46">
        <f t="shared" si="1"/>
        <v>0</v>
      </c>
      <c r="D144" s="46">
        <f t="shared" si="2"/>
        <v>0</v>
      </c>
      <c r="E144" s="46">
        <f t="shared" si="3"/>
        <v>0</v>
      </c>
      <c r="F144" s="46">
        <f t="shared" si="4"/>
        <v>0</v>
      </c>
      <c r="G144" s="46">
        <f t="shared" si="5"/>
        <v>0</v>
      </c>
      <c r="H144" s="46"/>
      <c r="I144" s="46"/>
      <c r="J144" s="46"/>
      <c r="K144" s="46"/>
      <c r="L144" s="46"/>
      <c r="M144" s="46"/>
      <c r="N144" s="46"/>
      <c r="O144" s="46"/>
      <c r="P144" s="46"/>
      <c r="Q144" s="43"/>
      <c r="R144" s="36">
        <f t="shared" si="6"/>
        <v>0</v>
      </c>
      <c r="S144" s="36">
        <f>BASE!A148</f>
        <v>133</v>
      </c>
      <c r="T144" s="46">
        <f t="shared" si="7"/>
        <v>0</v>
      </c>
      <c r="U144" s="46">
        <f t="shared" si="8"/>
        <v>0</v>
      </c>
      <c r="V144" s="46">
        <f t="shared" si="9"/>
        <v>0</v>
      </c>
      <c r="W144" s="46">
        <f t="shared" si="10"/>
        <v>0</v>
      </c>
      <c r="X144" s="46">
        <f t="shared" si="11"/>
        <v>0</v>
      </c>
      <c r="Y144" s="159"/>
    </row>
    <row r="145" spans="1:25" ht="20.25" customHeight="1">
      <c r="A145" s="47" t="str">
        <f>+BASE!B149</f>
        <v>23XXR134</v>
      </c>
      <c r="B145" s="36" t="s">
        <v>40</v>
      </c>
      <c r="C145" s="46">
        <f t="shared" si="1"/>
        <v>0</v>
      </c>
      <c r="D145" s="46">
        <f t="shared" si="2"/>
        <v>0</v>
      </c>
      <c r="E145" s="46">
        <f t="shared" si="3"/>
        <v>0</v>
      </c>
      <c r="F145" s="46">
        <f t="shared" si="4"/>
        <v>0</v>
      </c>
      <c r="G145" s="46">
        <f t="shared" si="5"/>
        <v>0</v>
      </c>
      <c r="H145" s="46"/>
      <c r="I145" s="46"/>
      <c r="J145" s="46"/>
      <c r="K145" s="46"/>
      <c r="L145" s="46"/>
      <c r="M145" s="46"/>
      <c r="N145" s="46"/>
      <c r="O145" s="46"/>
      <c r="P145" s="46"/>
      <c r="Q145" s="43"/>
      <c r="R145" s="36">
        <f t="shared" si="6"/>
        <v>0</v>
      </c>
      <c r="S145" s="36">
        <f>BASE!A149</f>
        <v>134</v>
      </c>
      <c r="T145" s="46">
        <f t="shared" si="7"/>
        <v>0</v>
      </c>
      <c r="U145" s="46">
        <f t="shared" si="8"/>
        <v>0</v>
      </c>
      <c r="V145" s="46">
        <f t="shared" si="9"/>
        <v>0</v>
      </c>
      <c r="W145" s="46">
        <f t="shared" si="10"/>
        <v>0</v>
      </c>
      <c r="X145" s="46">
        <f t="shared" si="11"/>
        <v>0</v>
      </c>
      <c r="Y145" s="159"/>
    </row>
    <row r="146" spans="1:25" ht="20.25" customHeight="1">
      <c r="A146" s="47" t="str">
        <f>+BASE!B150</f>
        <v>23XXR135</v>
      </c>
      <c r="B146" s="36" t="s">
        <v>40</v>
      </c>
      <c r="C146" s="46">
        <f t="shared" si="1"/>
        <v>0</v>
      </c>
      <c r="D146" s="46">
        <f t="shared" si="2"/>
        <v>0</v>
      </c>
      <c r="E146" s="46">
        <f t="shared" si="3"/>
        <v>0</v>
      </c>
      <c r="F146" s="46">
        <f t="shared" si="4"/>
        <v>0</v>
      </c>
      <c r="G146" s="46">
        <f t="shared" si="5"/>
        <v>0</v>
      </c>
      <c r="H146" s="46"/>
      <c r="I146" s="46"/>
      <c r="J146" s="46"/>
      <c r="K146" s="46"/>
      <c r="L146" s="46"/>
      <c r="M146" s="46"/>
      <c r="N146" s="46"/>
      <c r="O146" s="46"/>
      <c r="P146" s="46"/>
      <c r="Q146" s="43"/>
      <c r="R146" s="36">
        <f t="shared" si="6"/>
        <v>0</v>
      </c>
      <c r="S146" s="36">
        <f>BASE!A150</f>
        <v>135</v>
      </c>
      <c r="T146" s="46">
        <f t="shared" si="7"/>
        <v>0</v>
      </c>
      <c r="U146" s="46">
        <f t="shared" si="8"/>
        <v>0</v>
      </c>
      <c r="V146" s="46">
        <f t="shared" si="9"/>
        <v>0</v>
      </c>
      <c r="W146" s="46">
        <f t="shared" si="10"/>
        <v>0</v>
      </c>
      <c r="X146" s="46">
        <f t="shared" si="11"/>
        <v>0</v>
      </c>
      <c r="Y146" s="159"/>
    </row>
    <row r="147" spans="1:25" ht="20.25" customHeight="1">
      <c r="A147" s="47" t="str">
        <f>+BASE!B151</f>
        <v>23XXR136</v>
      </c>
      <c r="B147" s="36" t="s">
        <v>40</v>
      </c>
      <c r="C147" s="46">
        <f t="shared" si="1"/>
        <v>0</v>
      </c>
      <c r="D147" s="46">
        <f t="shared" si="2"/>
        <v>0</v>
      </c>
      <c r="E147" s="46">
        <f t="shared" si="3"/>
        <v>0</v>
      </c>
      <c r="F147" s="46">
        <f t="shared" si="4"/>
        <v>0</v>
      </c>
      <c r="G147" s="46">
        <f t="shared" si="5"/>
        <v>0</v>
      </c>
      <c r="H147" s="46"/>
      <c r="I147" s="46"/>
      <c r="J147" s="46"/>
      <c r="K147" s="46"/>
      <c r="L147" s="46"/>
      <c r="M147" s="46"/>
      <c r="N147" s="46"/>
      <c r="O147" s="46"/>
      <c r="P147" s="46"/>
      <c r="Q147" s="43"/>
      <c r="R147" s="36">
        <f t="shared" si="6"/>
        <v>0</v>
      </c>
      <c r="S147" s="36">
        <f>BASE!A151</f>
        <v>136</v>
      </c>
      <c r="T147" s="46">
        <f t="shared" si="7"/>
        <v>0</v>
      </c>
      <c r="U147" s="46">
        <f t="shared" si="8"/>
        <v>0</v>
      </c>
      <c r="V147" s="46">
        <f t="shared" si="9"/>
        <v>0</v>
      </c>
      <c r="W147" s="46">
        <f t="shared" si="10"/>
        <v>0</v>
      </c>
      <c r="X147" s="46">
        <f t="shared" si="11"/>
        <v>0</v>
      </c>
      <c r="Y147" s="159"/>
    </row>
    <row r="148" spans="1:25" ht="20.25" customHeight="1">
      <c r="A148" s="47" t="str">
        <f>+BASE!B152</f>
        <v>23XXR137</v>
      </c>
      <c r="B148" s="36" t="s">
        <v>40</v>
      </c>
      <c r="C148" s="46">
        <f t="shared" si="1"/>
        <v>0</v>
      </c>
      <c r="D148" s="46">
        <f t="shared" si="2"/>
        <v>0</v>
      </c>
      <c r="E148" s="46">
        <f t="shared" si="3"/>
        <v>0</v>
      </c>
      <c r="F148" s="46">
        <f t="shared" si="4"/>
        <v>0</v>
      </c>
      <c r="G148" s="46">
        <f t="shared" si="5"/>
        <v>0</v>
      </c>
      <c r="H148" s="46"/>
      <c r="I148" s="46"/>
      <c r="J148" s="46"/>
      <c r="K148" s="46"/>
      <c r="L148" s="46"/>
      <c r="M148" s="46"/>
      <c r="N148" s="46"/>
      <c r="O148" s="46"/>
      <c r="P148" s="46"/>
      <c r="Q148" s="43"/>
      <c r="R148" s="36">
        <f t="shared" si="6"/>
        <v>0</v>
      </c>
      <c r="S148" s="36">
        <f>BASE!A152</f>
        <v>137</v>
      </c>
      <c r="T148" s="46">
        <f t="shared" si="7"/>
        <v>0</v>
      </c>
      <c r="U148" s="46">
        <f t="shared" si="8"/>
        <v>0</v>
      </c>
      <c r="V148" s="46">
        <f t="shared" si="9"/>
        <v>0</v>
      </c>
      <c r="W148" s="46">
        <f t="shared" si="10"/>
        <v>0</v>
      </c>
      <c r="X148" s="46">
        <f t="shared" si="11"/>
        <v>0</v>
      </c>
      <c r="Y148" s="159"/>
    </row>
    <row r="149" spans="1:25" ht="20.25" customHeight="1">
      <c r="A149" s="47" t="str">
        <f>+BASE!B153</f>
        <v>23XXR138</v>
      </c>
      <c r="B149" s="36" t="s">
        <v>40</v>
      </c>
      <c r="C149" s="46">
        <f t="shared" si="1"/>
        <v>0</v>
      </c>
      <c r="D149" s="46">
        <f t="shared" si="2"/>
        <v>0</v>
      </c>
      <c r="E149" s="46">
        <f t="shared" si="3"/>
        <v>0</v>
      </c>
      <c r="F149" s="46">
        <f t="shared" si="4"/>
        <v>0</v>
      </c>
      <c r="G149" s="46">
        <f t="shared" si="5"/>
        <v>0</v>
      </c>
      <c r="H149" s="46"/>
      <c r="I149" s="46"/>
      <c r="J149" s="46"/>
      <c r="K149" s="46"/>
      <c r="L149" s="46"/>
      <c r="M149" s="46"/>
      <c r="N149" s="46"/>
      <c r="O149" s="46"/>
      <c r="P149" s="46"/>
      <c r="Q149" s="43"/>
      <c r="R149" s="36">
        <f t="shared" si="6"/>
        <v>0</v>
      </c>
      <c r="S149" s="36">
        <f>BASE!A153</f>
        <v>138</v>
      </c>
      <c r="T149" s="46">
        <f t="shared" si="7"/>
        <v>0</v>
      </c>
      <c r="U149" s="46">
        <f t="shared" si="8"/>
        <v>0</v>
      </c>
      <c r="V149" s="46">
        <f t="shared" si="9"/>
        <v>0</v>
      </c>
      <c r="W149" s="46">
        <f t="shared" si="10"/>
        <v>0</v>
      </c>
      <c r="X149" s="46">
        <f t="shared" si="11"/>
        <v>0</v>
      </c>
      <c r="Y149" s="159"/>
    </row>
    <row r="150" spans="1:25" ht="20.25" customHeight="1">
      <c r="A150" s="47" t="str">
        <f>+BASE!B154</f>
        <v>23XXR139</v>
      </c>
      <c r="B150" s="36" t="s">
        <v>40</v>
      </c>
      <c r="C150" s="46">
        <f t="shared" si="1"/>
        <v>0</v>
      </c>
      <c r="D150" s="46">
        <f t="shared" si="2"/>
        <v>0</v>
      </c>
      <c r="E150" s="46">
        <f t="shared" si="3"/>
        <v>0</v>
      </c>
      <c r="F150" s="46">
        <f t="shared" si="4"/>
        <v>0</v>
      </c>
      <c r="G150" s="46">
        <f t="shared" si="5"/>
        <v>0</v>
      </c>
      <c r="H150" s="46"/>
      <c r="I150" s="46"/>
      <c r="J150" s="46"/>
      <c r="K150" s="46"/>
      <c r="L150" s="46"/>
      <c r="M150" s="46"/>
      <c r="N150" s="46"/>
      <c r="O150" s="46"/>
      <c r="P150" s="46"/>
      <c r="Q150" s="43"/>
      <c r="R150" s="36">
        <f t="shared" si="6"/>
        <v>0</v>
      </c>
      <c r="S150" s="36">
        <f>BASE!A154</f>
        <v>139</v>
      </c>
      <c r="T150" s="46">
        <f t="shared" si="7"/>
        <v>0</v>
      </c>
      <c r="U150" s="46">
        <f t="shared" si="8"/>
        <v>0</v>
      </c>
      <c r="V150" s="46">
        <f t="shared" si="9"/>
        <v>0</v>
      </c>
      <c r="W150" s="46">
        <f t="shared" si="10"/>
        <v>0</v>
      </c>
      <c r="X150" s="46">
        <f t="shared" si="11"/>
        <v>0</v>
      </c>
      <c r="Y150" s="159"/>
    </row>
    <row r="151" spans="1:25" ht="20.25" customHeight="1">
      <c r="A151" s="47" t="str">
        <f>+BASE!B155</f>
        <v>23XXR140</v>
      </c>
      <c r="B151" s="36" t="s">
        <v>40</v>
      </c>
      <c r="C151" s="46">
        <f t="shared" si="1"/>
        <v>0</v>
      </c>
      <c r="D151" s="46">
        <f t="shared" si="2"/>
        <v>0</v>
      </c>
      <c r="E151" s="46">
        <f t="shared" si="3"/>
        <v>0</v>
      </c>
      <c r="F151" s="46">
        <f t="shared" si="4"/>
        <v>0</v>
      </c>
      <c r="G151" s="46">
        <f t="shared" si="5"/>
        <v>0</v>
      </c>
      <c r="H151" s="46"/>
      <c r="I151" s="46"/>
      <c r="J151" s="46"/>
      <c r="K151" s="46"/>
      <c r="L151" s="46"/>
      <c r="M151" s="46"/>
      <c r="N151" s="46"/>
      <c r="O151" s="46"/>
      <c r="P151" s="46"/>
      <c r="Q151" s="43"/>
      <c r="R151" s="36">
        <f t="shared" si="6"/>
        <v>0</v>
      </c>
      <c r="S151" s="36">
        <f>BASE!A155</f>
        <v>140</v>
      </c>
      <c r="T151" s="46">
        <f t="shared" si="7"/>
        <v>0</v>
      </c>
      <c r="U151" s="46">
        <f t="shared" si="8"/>
        <v>0</v>
      </c>
      <c r="V151" s="46">
        <f t="shared" si="9"/>
        <v>0</v>
      </c>
      <c r="W151" s="46">
        <f t="shared" si="10"/>
        <v>0</v>
      </c>
      <c r="X151" s="46">
        <f t="shared" si="11"/>
        <v>0</v>
      </c>
      <c r="Y151" s="159"/>
    </row>
    <row r="152" spans="1:25" ht="20.25" customHeight="1">
      <c r="A152" s="47" t="str">
        <f>+BASE!B156</f>
        <v>23XXR141</v>
      </c>
      <c r="B152" s="36" t="s">
        <v>40</v>
      </c>
      <c r="C152" s="46">
        <f t="shared" si="1"/>
        <v>0</v>
      </c>
      <c r="D152" s="46">
        <f t="shared" si="2"/>
        <v>0</v>
      </c>
      <c r="E152" s="46">
        <f t="shared" si="3"/>
        <v>0</v>
      </c>
      <c r="F152" s="46">
        <f t="shared" si="4"/>
        <v>0</v>
      </c>
      <c r="G152" s="46">
        <f t="shared" si="5"/>
        <v>0</v>
      </c>
      <c r="H152" s="46"/>
      <c r="I152" s="46"/>
      <c r="J152" s="46"/>
      <c r="K152" s="46"/>
      <c r="L152" s="46"/>
      <c r="M152" s="46"/>
      <c r="N152" s="46"/>
      <c r="O152" s="46"/>
      <c r="P152" s="46"/>
      <c r="Q152" s="43"/>
      <c r="R152" s="36">
        <f t="shared" si="6"/>
        <v>0</v>
      </c>
      <c r="S152" s="36">
        <f>BASE!A156</f>
        <v>141</v>
      </c>
      <c r="T152" s="46">
        <f t="shared" si="7"/>
        <v>0</v>
      </c>
      <c r="U152" s="46">
        <f t="shared" si="8"/>
        <v>0</v>
      </c>
      <c r="V152" s="46">
        <f t="shared" si="9"/>
        <v>0</v>
      </c>
      <c r="W152" s="46">
        <f t="shared" si="10"/>
        <v>0</v>
      </c>
      <c r="X152" s="46">
        <f t="shared" si="11"/>
        <v>0</v>
      </c>
      <c r="Y152" s="159"/>
    </row>
    <row r="153" spans="1:25" ht="20.25" customHeight="1">
      <c r="A153" s="47" t="str">
        <f>+BASE!B157</f>
        <v>23XXR142</v>
      </c>
      <c r="B153" s="36" t="s">
        <v>40</v>
      </c>
      <c r="C153" s="46">
        <f t="shared" si="1"/>
        <v>0</v>
      </c>
      <c r="D153" s="46">
        <f t="shared" si="2"/>
        <v>0</v>
      </c>
      <c r="E153" s="46">
        <f t="shared" si="3"/>
        <v>0</v>
      </c>
      <c r="F153" s="46">
        <f t="shared" si="4"/>
        <v>0</v>
      </c>
      <c r="G153" s="46">
        <f t="shared" si="5"/>
        <v>0</v>
      </c>
      <c r="H153" s="46"/>
      <c r="I153" s="46"/>
      <c r="J153" s="46"/>
      <c r="K153" s="46"/>
      <c r="L153" s="46"/>
      <c r="M153" s="46"/>
      <c r="N153" s="46"/>
      <c r="O153" s="46"/>
      <c r="P153" s="46"/>
      <c r="Q153" s="43"/>
      <c r="R153" s="36">
        <f t="shared" si="6"/>
        <v>0</v>
      </c>
      <c r="S153" s="36">
        <f>BASE!A157</f>
        <v>142</v>
      </c>
      <c r="T153" s="46">
        <f t="shared" si="7"/>
        <v>0</v>
      </c>
      <c r="U153" s="46">
        <f t="shared" si="8"/>
        <v>0</v>
      </c>
      <c r="V153" s="46">
        <f t="shared" si="9"/>
        <v>0</v>
      </c>
      <c r="W153" s="46">
        <f t="shared" si="10"/>
        <v>0</v>
      </c>
      <c r="X153" s="46">
        <f t="shared" si="11"/>
        <v>0</v>
      </c>
      <c r="Y153" s="159"/>
    </row>
    <row r="154" spans="1:25" ht="20.25" customHeight="1">
      <c r="A154" s="47" t="str">
        <f>+BASE!B158</f>
        <v>23XXR143</v>
      </c>
      <c r="B154" s="36" t="s">
        <v>40</v>
      </c>
      <c r="C154" s="46">
        <f t="shared" si="1"/>
        <v>0</v>
      </c>
      <c r="D154" s="46">
        <f t="shared" si="2"/>
        <v>0</v>
      </c>
      <c r="E154" s="46">
        <f t="shared" si="3"/>
        <v>0</v>
      </c>
      <c r="F154" s="46">
        <f t="shared" si="4"/>
        <v>0</v>
      </c>
      <c r="G154" s="46">
        <f t="shared" si="5"/>
        <v>0</v>
      </c>
      <c r="H154" s="46"/>
      <c r="I154" s="46"/>
      <c r="J154" s="46"/>
      <c r="K154" s="46"/>
      <c r="L154" s="46"/>
      <c r="M154" s="46"/>
      <c r="N154" s="46"/>
      <c r="O154" s="46"/>
      <c r="P154" s="46"/>
      <c r="Q154" s="43"/>
      <c r="R154" s="36">
        <f t="shared" si="6"/>
        <v>0</v>
      </c>
      <c r="S154" s="36">
        <f>BASE!A158</f>
        <v>143</v>
      </c>
      <c r="T154" s="46">
        <f t="shared" si="7"/>
        <v>0</v>
      </c>
      <c r="U154" s="46">
        <f t="shared" si="8"/>
        <v>0</v>
      </c>
      <c r="V154" s="46">
        <f t="shared" si="9"/>
        <v>0</v>
      </c>
      <c r="W154" s="46">
        <f t="shared" si="10"/>
        <v>0</v>
      </c>
      <c r="X154" s="46">
        <f t="shared" si="11"/>
        <v>0</v>
      </c>
      <c r="Y154" s="159"/>
    </row>
    <row r="155" spans="1:25" ht="20.25" customHeight="1">
      <c r="A155" s="47" t="str">
        <f>+BASE!B159</f>
        <v>23XXR144</v>
      </c>
      <c r="B155" s="36" t="s">
        <v>40</v>
      </c>
      <c r="C155" s="46">
        <f t="shared" si="1"/>
        <v>0</v>
      </c>
      <c r="D155" s="46">
        <f t="shared" si="2"/>
        <v>0</v>
      </c>
      <c r="E155" s="46">
        <f t="shared" si="3"/>
        <v>0</v>
      </c>
      <c r="F155" s="46">
        <f t="shared" si="4"/>
        <v>0</v>
      </c>
      <c r="G155" s="46">
        <f t="shared" si="5"/>
        <v>0</v>
      </c>
      <c r="H155" s="46"/>
      <c r="I155" s="46"/>
      <c r="J155" s="46"/>
      <c r="K155" s="46"/>
      <c r="L155" s="46"/>
      <c r="M155" s="46"/>
      <c r="N155" s="46"/>
      <c r="O155" s="46"/>
      <c r="P155" s="46"/>
      <c r="Q155" s="43"/>
      <c r="R155" s="36">
        <f t="shared" si="6"/>
        <v>0</v>
      </c>
      <c r="S155" s="36">
        <f>BASE!A159</f>
        <v>144</v>
      </c>
      <c r="T155" s="46">
        <f t="shared" si="7"/>
        <v>0</v>
      </c>
      <c r="U155" s="46">
        <f t="shared" si="8"/>
        <v>0</v>
      </c>
      <c r="V155" s="46">
        <f t="shared" si="9"/>
        <v>0</v>
      </c>
      <c r="W155" s="46">
        <f t="shared" si="10"/>
        <v>0</v>
      </c>
      <c r="X155" s="46">
        <f t="shared" si="11"/>
        <v>0</v>
      </c>
      <c r="Y155" s="159"/>
    </row>
    <row r="156" spans="1:25" ht="20.25" customHeight="1">
      <c r="A156" s="47" t="str">
        <f>+BASE!B160</f>
        <v>23XXR145</v>
      </c>
      <c r="B156" s="36" t="s">
        <v>40</v>
      </c>
      <c r="C156" s="46">
        <f t="shared" si="1"/>
        <v>0</v>
      </c>
      <c r="D156" s="46">
        <f t="shared" si="2"/>
        <v>0</v>
      </c>
      <c r="E156" s="46">
        <f t="shared" si="3"/>
        <v>0</v>
      </c>
      <c r="F156" s="46">
        <f t="shared" si="4"/>
        <v>0</v>
      </c>
      <c r="G156" s="46">
        <f t="shared" si="5"/>
        <v>0</v>
      </c>
      <c r="H156" s="46"/>
      <c r="I156" s="46"/>
      <c r="J156" s="46"/>
      <c r="K156" s="46"/>
      <c r="L156" s="46"/>
      <c r="M156" s="46"/>
      <c r="N156" s="46"/>
      <c r="O156" s="46"/>
      <c r="P156" s="46"/>
      <c r="Q156" s="43"/>
      <c r="R156" s="36">
        <f t="shared" si="6"/>
        <v>0</v>
      </c>
      <c r="S156" s="36">
        <f>BASE!A160</f>
        <v>145</v>
      </c>
      <c r="T156" s="46">
        <f t="shared" si="7"/>
        <v>0</v>
      </c>
      <c r="U156" s="46">
        <f t="shared" si="8"/>
        <v>0</v>
      </c>
      <c r="V156" s="46">
        <f t="shared" si="9"/>
        <v>0</v>
      </c>
      <c r="W156" s="46">
        <f t="shared" si="10"/>
        <v>0</v>
      </c>
      <c r="X156" s="46">
        <f t="shared" si="11"/>
        <v>0</v>
      </c>
      <c r="Y156" s="159"/>
    </row>
    <row r="157" spans="1:25" ht="20.25" customHeight="1">
      <c r="A157" s="47" t="str">
        <f>+BASE!B161</f>
        <v>23XXR146</v>
      </c>
      <c r="B157" s="36" t="s">
        <v>40</v>
      </c>
      <c r="C157" s="46">
        <f t="shared" si="1"/>
        <v>0</v>
      </c>
      <c r="D157" s="46">
        <f t="shared" si="2"/>
        <v>0</v>
      </c>
      <c r="E157" s="46">
        <f t="shared" si="3"/>
        <v>0</v>
      </c>
      <c r="F157" s="46">
        <f t="shared" si="4"/>
        <v>0</v>
      </c>
      <c r="G157" s="46">
        <f t="shared" si="5"/>
        <v>0</v>
      </c>
      <c r="H157" s="46"/>
      <c r="I157" s="46"/>
      <c r="J157" s="46"/>
      <c r="K157" s="46"/>
      <c r="L157" s="46"/>
      <c r="M157" s="46"/>
      <c r="N157" s="46"/>
      <c r="O157" s="46"/>
      <c r="P157" s="46"/>
      <c r="Q157" s="43"/>
      <c r="R157" s="36">
        <f t="shared" si="6"/>
        <v>0</v>
      </c>
      <c r="S157" s="36">
        <f>BASE!A161</f>
        <v>146</v>
      </c>
      <c r="T157" s="46">
        <f t="shared" si="7"/>
        <v>0</v>
      </c>
      <c r="U157" s="46">
        <f t="shared" si="8"/>
        <v>0</v>
      </c>
      <c r="V157" s="46">
        <f t="shared" si="9"/>
        <v>0</v>
      </c>
      <c r="W157" s="46">
        <f t="shared" si="10"/>
        <v>0</v>
      </c>
      <c r="X157" s="46">
        <f t="shared" si="11"/>
        <v>0</v>
      </c>
      <c r="Y157" s="159"/>
    </row>
    <row r="158" spans="1:25" ht="20.25" customHeight="1">
      <c r="A158" s="47" t="str">
        <f>+BASE!B162</f>
        <v>23XXR147</v>
      </c>
      <c r="B158" s="36" t="s">
        <v>40</v>
      </c>
      <c r="C158" s="46">
        <f t="shared" si="1"/>
        <v>0</v>
      </c>
      <c r="D158" s="46">
        <f t="shared" si="2"/>
        <v>0</v>
      </c>
      <c r="E158" s="46">
        <f t="shared" si="3"/>
        <v>0</v>
      </c>
      <c r="F158" s="46">
        <f t="shared" si="4"/>
        <v>0</v>
      </c>
      <c r="G158" s="46">
        <f t="shared" si="5"/>
        <v>0</v>
      </c>
      <c r="H158" s="46"/>
      <c r="I158" s="46"/>
      <c r="J158" s="46"/>
      <c r="K158" s="46"/>
      <c r="L158" s="46"/>
      <c r="M158" s="46"/>
      <c r="N158" s="46"/>
      <c r="O158" s="46"/>
      <c r="P158" s="46"/>
      <c r="Q158" s="43"/>
      <c r="R158" s="36">
        <f t="shared" si="6"/>
        <v>0</v>
      </c>
      <c r="S158" s="36">
        <f>BASE!A162</f>
        <v>147</v>
      </c>
      <c r="T158" s="46">
        <f t="shared" si="7"/>
        <v>0</v>
      </c>
      <c r="U158" s="46">
        <f t="shared" si="8"/>
        <v>0</v>
      </c>
      <c r="V158" s="46">
        <f t="shared" si="9"/>
        <v>0</v>
      </c>
      <c r="W158" s="46">
        <f t="shared" si="10"/>
        <v>0</v>
      </c>
      <c r="X158" s="46">
        <f t="shared" si="11"/>
        <v>0</v>
      </c>
      <c r="Y158" s="159"/>
    </row>
    <row r="159" spans="1:25" ht="20.25" customHeight="1">
      <c r="A159" s="47" t="str">
        <f>+BASE!B163</f>
        <v>23XXR148</v>
      </c>
      <c r="B159" s="36" t="s">
        <v>40</v>
      </c>
      <c r="C159" s="46">
        <f t="shared" si="1"/>
        <v>0</v>
      </c>
      <c r="D159" s="46">
        <f t="shared" si="2"/>
        <v>0</v>
      </c>
      <c r="E159" s="46">
        <f t="shared" si="3"/>
        <v>0</v>
      </c>
      <c r="F159" s="46">
        <f t="shared" si="4"/>
        <v>0</v>
      </c>
      <c r="G159" s="46">
        <f t="shared" si="5"/>
        <v>0</v>
      </c>
      <c r="H159" s="46"/>
      <c r="I159" s="46"/>
      <c r="J159" s="46"/>
      <c r="K159" s="46"/>
      <c r="L159" s="46"/>
      <c r="M159" s="46"/>
      <c r="N159" s="46"/>
      <c r="O159" s="46"/>
      <c r="P159" s="46"/>
      <c r="Q159" s="43"/>
      <c r="R159" s="36">
        <f t="shared" si="6"/>
        <v>0</v>
      </c>
      <c r="S159" s="36">
        <f>BASE!A163</f>
        <v>148</v>
      </c>
      <c r="T159" s="46">
        <f t="shared" si="7"/>
        <v>0</v>
      </c>
      <c r="U159" s="46">
        <f t="shared" si="8"/>
        <v>0</v>
      </c>
      <c r="V159" s="46">
        <f t="shared" si="9"/>
        <v>0</v>
      </c>
      <c r="W159" s="46">
        <f t="shared" si="10"/>
        <v>0</v>
      </c>
      <c r="X159" s="46">
        <f t="shared" si="11"/>
        <v>0</v>
      </c>
      <c r="Y159" s="159"/>
    </row>
    <row r="160" spans="1:25" ht="20.25" customHeight="1">
      <c r="A160" s="47" t="str">
        <f>+BASE!B164</f>
        <v>23XXR149</v>
      </c>
      <c r="B160" s="36" t="s">
        <v>40</v>
      </c>
      <c r="C160" s="46">
        <f t="shared" si="1"/>
        <v>0</v>
      </c>
      <c r="D160" s="46">
        <f t="shared" si="2"/>
        <v>0</v>
      </c>
      <c r="E160" s="46">
        <f t="shared" si="3"/>
        <v>0</v>
      </c>
      <c r="F160" s="46">
        <f t="shared" si="4"/>
        <v>0</v>
      </c>
      <c r="G160" s="46">
        <f t="shared" si="5"/>
        <v>0</v>
      </c>
      <c r="H160" s="46"/>
      <c r="I160" s="46"/>
      <c r="J160" s="46"/>
      <c r="K160" s="46"/>
      <c r="L160" s="46"/>
      <c r="M160" s="46"/>
      <c r="N160" s="46"/>
      <c r="O160" s="46"/>
      <c r="P160" s="46"/>
      <c r="Q160" s="43"/>
      <c r="R160" s="36">
        <f t="shared" si="6"/>
        <v>0</v>
      </c>
      <c r="S160" s="36">
        <f>BASE!A164</f>
        <v>149</v>
      </c>
      <c r="T160" s="46">
        <f t="shared" si="7"/>
        <v>0</v>
      </c>
      <c r="U160" s="46">
        <f t="shared" si="8"/>
        <v>0</v>
      </c>
      <c r="V160" s="46">
        <f t="shared" si="9"/>
        <v>0</v>
      </c>
      <c r="W160" s="46">
        <f t="shared" si="10"/>
        <v>0</v>
      </c>
      <c r="X160" s="46">
        <f t="shared" si="11"/>
        <v>0</v>
      </c>
      <c r="Y160" s="159"/>
    </row>
    <row r="161" spans="1:25" ht="20.25" customHeight="1">
      <c r="A161" s="47" t="str">
        <f>+BASE!B165</f>
        <v>23XXR150</v>
      </c>
      <c r="B161" s="48" t="s">
        <v>40</v>
      </c>
      <c r="C161" s="46">
        <f t="shared" si="1"/>
        <v>0</v>
      </c>
      <c r="D161" s="46">
        <f t="shared" si="2"/>
        <v>0</v>
      </c>
      <c r="E161" s="46">
        <f t="shared" si="3"/>
        <v>0</v>
      </c>
      <c r="F161" s="46">
        <f t="shared" si="4"/>
        <v>0</v>
      </c>
      <c r="G161" s="46">
        <f t="shared" si="5"/>
        <v>0</v>
      </c>
      <c r="H161" s="46"/>
      <c r="I161" s="46"/>
      <c r="J161" s="46"/>
      <c r="K161" s="46"/>
      <c r="L161" s="46"/>
      <c r="M161" s="46"/>
      <c r="N161" s="49"/>
      <c r="O161" s="49"/>
      <c r="P161" s="49"/>
      <c r="Q161" s="50"/>
      <c r="R161" s="36">
        <f t="shared" si="6"/>
        <v>0</v>
      </c>
      <c r="S161" s="36">
        <f>BASE!A165</f>
        <v>150</v>
      </c>
      <c r="T161" s="46">
        <f t="shared" si="7"/>
        <v>0</v>
      </c>
      <c r="U161" s="46">
        <f t="shared" si="8"/>
        <v>0</v>
      </c>
      <c r="V161" s="46">
        <f t="shared" si="9"/>
        <v>0</v>
      </c>
      <c r="W161" s="46">
        <f t="shared" si="10"/>
        <v>0</v>
      </c>
      <c r="X161" s="46">
        <f t="shared" si="11"/>
        <v>0</v>
      </c>
      <c r="Y161" s="159"/>
    </row>
    <row r="162" spans="1:25" ht="17.25" customHeight="1">
      <c r="A162" s="47" t="str">
        <f>+BASE!B166</f>
        <v>23XXR151</v>
      </c>
      <c r="B162" s="51" t="s">
        <v>40</v>
      </c>
      <c r="C162" s="46">
        <f t="shared" si="1"/>
        <v>0</v>
      </c>
      <c r="D162" s="46">
        <f t="shared" si="2"/>
        <v>0</v>
      </c>
      <c r="E162" s="46">
        <f t="shared" si="3"/>
        <v>0</v>
      </c>
      <c r="F162" s="46">
        <f t="shared" si="4"/>
        <v>0</v>
      </c>
      <c r="G162" s="46">
        <f t="shared" si="5"/>
        <v>0</v>
      </c>
      <c r="H162" s="46"/>
      <c r="I162" s="46"/>
      <c r="J162" s="46"/>
      <c r="K162" s="46"/>
      <c r="L162" s="46"/>
      <c r="M162" s="46"/>
      <c r="N162" s="52"/>
      <c r="O162" s="52"/>
      <c r="P162" s="52"/>
      <c r="Q162" s="53"/>
      <c r="R162" s="36">
        <f t="shared" si="6"/>
        <v>0</v>
      </c>
      <c r="S162" s="36">
        <f>BASE!A166</f>
        <v>151</v>
      </c>
      <c r="T162" s="46">
        <f t="shared" si="7"/>
        <v>0</v>
      </c>
      <c r="U162" s="46">
        <f t="shared" si="8"/>
        <v>0</v>
      </c>
      <c r="V162" s="46">
        <f t="shared" si="9"/>
        <v>0</v>
      </c>
      <c r="W162" s="46">
        <f t="shared" si="10"/>
        <v>0</v>
      </c>
      <c r="X162" s="46">
        <f t="shared" si="11"/>
        <v>0</v>
      </c>
      <c r="Y162" s="159"/>
    </row>
    <row r="163" spans="1:25" ht="17.25" customHeight="1">
      <c r="A163" s="47" t="str">
        <f>+BASE!B167</f>
        <v>23XXR152</v>
      </c>
      <c r="B163" s="36" t="s">
        <v>40</v>
      </c>
      <c r="C163" s="46">
        <f t="shared" si="1"/>
        <v>0</v>
      </c>
      <c r="D163" s="46">
        <f t="shared" si="2"/>
        <v>0</v>
      </c>
      <c r="E163" s="46">
        <f t="shared" si="3"/>
        <v>0</v>
      </c>
      <c r="F163" s="46">
        <f t="shared" si="4"/>
        <v>0</v>
      </c>
      <c r="G163" s="46">
        <f t="shared" si="5"/>
        <v>0</v>
      </c>
      <c r="H163" s="46"/>
      <c r="I163" s="46"/>
      <c r="J163" s="46"/>
      <c r="K163" s="46"/>
      <c r="L163" s="46"/>
      <c r="M163" s="46"/>
      <c r="N163" s="46"/>
      <c r="O163" s="46"/>
      <c r="P163" s="46"/>
      <c r="Q163" s="43"/>
      <c r="R163" s="36">
        <f t="shared" si="6"/>
        <v>0</v>
      </c>
      <c r="S163" s="36">
        <f>BASE!A167</f>
        <v>152</v>
      </c>
      <c r="T163" s="46">
        <f t="shared" si="7"/>
        <v>0</v>
      </c>
      <c r="U163" s="46">
        <f t="shared" si="8"/>
        <v>0</v>
      </c>
      <c r="V163" s="46">
        <f t="shared" si="9"/>
        <v>0</v>
      </c>
      <c r="W163" s="46">
        <f t="shared" si="10"/>
        <v>0</v>
      </c>
      <c r="X163" s="46">
        <f t="shared" si="11"/>
        <v>0</v>
      </c>
      <c r="Y163" s="159"/>
    </row>
    <row r="164" spans="1:25" ht="17.25" customHeight="1">
      <c r="A164" s="47" t="str">
        <f>+BASE!B168</f>
        <v>23XXR153</v>
      </c>
      <c r="B164" s="36" t="s">
        <v>40</v>
      </c>
      <c r="C164" s="46">
        <f t="shared" si="1"/>
        <v>0</v>
      </c>
      <c r="D164" s="46">
        <f t="shared" si="2"/>
        <v>0</v>
      </c>
      <c r="E164" s="46">
        <f t="shared" si="3"/>
        <v>0</v>
      </c>
      <c r="F164" s="46">
        <f t="shared" si="4"/>
        <v>0</v>
      </c>
      <c r="G164" s="46">
        <f t="shared" si="5"/>
        <v>0</v>
      </c>
      <c r="H164" s="46"/>
      <c r="I164" s="46"/>
      <c r="J164" s="46"/>
      <c r="K164" s="46"/>
      <c r="L164" s="46"/>
      <c r="M164" s="46"/>
      <c r="N164" s="46"/>
      <c r="O164" s="46"/>
      <c r="P164" s="46"/>
      <c r="Q164" s="43"/>
      <c r="R164" s="36">
        <f t="shared" si="6"/>
        <v>0</v>
      </c>
      <c r="S164" s="36">
        <f>BASE!A168</f>
        <v>153</v>
      </c>
      <c r="T164" s="46">
        <f t="shared" si="7"/>
        <v>0</v>
      </c>
      <c r="U164" s="46">
        <f t="shared" si="8"/>
        <v>0</v>
      </c>
      <c r="V164" s="46">
        <f t="shared" si="9"/>
        <v>0</v>
      </c>
      <c r="W164" s="46">
        <f t="shared" si="10"/>
        <v>0</v>
      </c>
      <c r="X164" s="46">
        <f t="shared" si="11"/>
        <v>0</v>
      </c>
      <c r="Y164" s="159"/>
    </row>
    <row r="165" spans="1:25" ht="17.25" customHeight="1">
      <c r="A165" s="47" t="str">
        <f>+BASE!B169</f>
        <v>23XXR154</v>
      </c>
      <c r="B165" s="36" t="s">
        <v>40</v>
      </c>
      <c r="C165" s="46">
        <f t="shared" si="1"/>
        <v>0</v>
      </c>
      <c r="D165" s="46">
        <f t="shared" si="2"/>
        <v>0</v>
      </c>
      <c r="E165" s="46">
        <f t="shared" si="3"/>
        <v>0</v>
      </c>
      <c r="F165" s="46">
        <f t="shared" si="4"/>
        <v>0</v>
      </c>
      <c r="G165" s="46">
        <f t="shared" si="5"/>
        <v>0</v>
      </c>
      <c r="H165" s="46"/>
      <c r="I165" s="46"/>
      <c r="J165" s="46"/>
      <c r="K165" s="46"/>
      <c r="L165" s="46"/>
      <c r="M165" s="46"/>
      <c r="N165" s="46"/>
      <c r="O165" s="46"/>
      <c r="P165" s="46"/>
      <c r="Q165" s="43"/>
      <c r="R165" s="36">
        <f t="shared" si="6"/>
        <v>0</v>
      </c>
      <c r="S165" s="36">
        <f>BASE!A169</f>
        <v>154</v>
      </c>
      <c r="T165" s="46">
        <f t="shared" si="7"/>
        <v>0</v>
      </c>
      <c r="U165" s="46">
        <f t="shared" si="8"/>
        <v>0</v>
      </c>
      <c r="V165" s="46">
        <f t="shared" si="9"/>
        <v>0</v>
      </c>
      <c r="W165" s="46">
        <f t="shared" si="10"/>
        <v>0</v>
      </c>
      <c r="X165" s="46">
        <f t="shared" si="11"/>
        <v>0</v>
      </c>
      <c r="Y165" s="159"/>
    </row>
    <row r="166" spans="1:25" ht="17.25" customHeight="1">
      <c r="A166" s="47" t="str">
        <f>+BASE!B170</f>
        <v>23XXR155</v>
      </c>
      <c r="B166" s="36" t="s">
        <v>40</v>
      </c>
      <c r="C166" s="46">
        <f t="shared" si="1"/>
        <v>0</v>
      </c>
      <c r="D166" s="46">
        <f t="shared" si="2"/>
        <v>0</v>
      </c>
      <c r="E166" s="46">
        <f t="shared" si="3"/>
        <v>0</v>
      </c>
      <c r="F166" s="46">
        <f t="shared" si="4"/>
        <v>0</v>
      </c>
      <c r="G166" s="46">
        <f t="shared" si="5"/>
        <v>0</v>
      </c>
      <c r="H166" s="46"/>
      <c r="I166" s="46"/>
      <c r="J166" s="46"/>
      <c r="K166" s="46"/>
      <c r="L166" s="46"/>
      <c r="M166" s="46"/>
      <c r="N166" s="46"/>
      <c r="O166" s="46"/>
      <c r="P166" s="46"/>
      <c r="Q166" s="43"/>
      <c r="R166" s="36">
        <f t="shared" si="6"/>
        <v>0</v>
      </c>
      <c r="S166" s="36">
        <f>BASE!A170</f>
        <v>155</v>
      </c>
      <c r="T166" s="46">
        <f t="shared" si="7"/>
        <v>0</v>
      </c>
      <c r="U166" s="46">
        <f t="shared" si="8"/>
        <v>0</v>
      </c>
      <c r="V166" s="46">
        <f t="shared" si="9"/>
        <v>0</v>
      </c>
      <c r="W166" s="46">
        <f t="shared" si="10"/>
        <v>0</v>
      </c>
      <c r="X166" s="46">
        <f t="shared" si="11"/>
        <v>0</v>
      </c>
      <c r="Y166" s="159"/>
    </row>
    <row r="167" spans="1:25" ht="17.25" customHeight="1">
      <c r="A167" s="47" t="str">
        <f>+BASE!B171</f>
        <v>23XXR156</v>
      </c>
      <c r="B167" s="36" t="s">
        <v>40</v>
      </c>
      <c r="C167" s="46">
        <f t="shared" si="1"/>
        <v>0</v>
      </c>
      <c r="D167" s="46">
        <f t="shared" si="2"/>
        <v>0</v>
      </c>
      <c r="E167" s="46">
        <f t="shared" si="3"/>
        <v>0</v>
      </c>
      <c r="F167" s="46">
        <f t="shared" si="4"/>
        <v>0</v>
      </c>
      <c r="G167" s="46">
        <f t="shared" si="5"/>
        <v>0</v>
      </c>
      <c r="H167" s="46"/>
      <c r="I167" s="46"/>
      <c r="J167" s="46"/>
      <c r="K167" s="46"/>
      <c r="L167" s="46"/>
      <c r="M167" s="46"/>
      <c r="N167" s="46"/>
      <c r="O167" s="46"/>
      <c r="P167" s="46"/>
      <c r="Q167" s="43"/>
      <c r="R167" s="36">
        <f t="shared" si="6"/>
        <v>0</v>
      </c>
      <c r="S167" s="36">
        <f>BASE!A171</f>
        <v>156</v>
      </c>
      <c r="T167" s="46">
        <f t="shared" si="7"/>
        <v>0</v>
      </c>
      <c r="U167" s="46">
        <f t="shared" si="8"/>
        <v>0</v>
      </c>
      <c r="V167" s="46">
        <f t="shared" si="9"/>
        <v>0</v>
      </c>
      <c r="W167" s="46">
        <f t="shared" si="10"/>
        <v>0</v>
      </c>
      <c r="X167" s="46">
        <f t="shared" si="11"/>
        <v>0</v>
      </c>
      <c r="Y167" s="159"/>
    </row>
    <row r="168" spans="1:25" ht="17.25" customHeight="1">
      <c r="A168" s="47" t="str">
        <f>+BASE!B172</f>
        <v>23XXR157</v>
      </c>
      <c r="B168" s="36" t="s">
        <v>40</v>
      </c>
      <c r="C168" s="46">
        <f t="shared" si="1"/>
        <v>0</v>
      </c>
      <c r="D168" s="46">
        <f t="shared" si="2"/>
        <v>0</v>
      </c>
      <c r="E168" s="46">
        <f t="shared" si="3"/>
        <v>0</v>
      </c>
      <c r="F168" s="46">
        <f t="shared" si="4"/>
        <v>0</v>
      </c>
      <c r="G168" s="46">
        <f t="shared" si="5"/>
        <v>0</v>
      </c>
      <c r="H168" s="46"/>
      <c r="I168" s="46"/>
      <c r="J168" s="46"/>
      <c r="K168" s="46"/>
      <c r="L168" s="46"/>
      <c r="M168" s="46"/>
      <c r="N168" s="46"/>
      <c r="O168" s="46"/>
      <c r="P168" s="46"/>
      <c r="Q168" s="43"/>
      <c r="R168" s="36">
        <f t="shared" si="6"/>
        <v>0</v>
      </c>
      <c r="S168" s="36">
        <f>BASE!A172</f>
        <v>157</v>
      </c>
      <c r="T168" s="46">
        <f t="shared" si="7"/>
        <v>0</v>
      </c>
      <c r="U168" s="46">
        <f t="shared" si="8"/>
        <v>0</v>
      </c>
      <c r="V168" s="46">
        <f t="shared" si="9"/>
        <v>0</v>
      </c>
      <c r="W168" s="46">
        <f t="shared" si="10"/>
        <v>0</v>
      </c>
      <c r="X168" s="46">
        <f t="shared" si="11"/>
        <v>0</v>
      </c>
      <c r="Y168" s="159"/>
    </row>
    <row r="169" spans="1:25" ht="17.25" customHeight="1">
      <c r="A169" s="47" t="str">
        <f>+BASE!B173</f>
        <v>23XXR158</v>
      </c>
      <c r="B169" s="36" t="s">
        <v>40</v>
      </c>
      <c r="C169" s="46">
        <f t="shared" si="1"/>
        <v>0</v>
      </c>
      <c r="D169" s="46">
        <f t="shared" si="2"/>
        <v>0</v>
      </c>
      <c r="E169" s="46">
        <f t="shared" si="3"/>
        <v>0</v>
      </c>
      <c r="F169" s="46">
        <f t="shared" si="4"/>
        <v>0</v>
      </c>
      <c r="G169" s="46">
        <f t="shared" si="5"/>
        <v>0</v>
      </c>
      <c r="H169" s="46"/>
      <c r="I169" s="46"/>
      <c r="J169" s="46"/>
      <c r="K169" s="46"/>
      <c r="L169" s="46"/>
      <c r="M169" s="46"/>
      <c r="N169" s="46"/>
      <c r="O169" s="46"/>
      <c r="P169" s="46"/>
      <c r="Q169" s="43"/>
      <c r="R169" s="36">
        <f t="shared" si="6"/>
        <v>0</v>
      </c>
      <c r="S169" s="36">
        <f>BASE!A173</f>
        <v>158</v>
      </c>
      <c r="T169" s="46">
        <f t="shared" si="7"/>
        <v>0</v>
      </c>
      <c r="U169" s="46">
        <f t="shared" si="8"/>
        <v>0</v>
      </c>
      <c r="V169" s="46">
        <f t="shared" si="9"/>
        <v>0</v>
      </c>
      <c r="W169" s="46">
        <f t="shared" si="10"/>
        <v>0</v>
      </c>
      <c r="X169" s="46">
        <f t="shared" si="11"/>
        <v>0</v>
      </c>
      <c r="Y169" s="159"/>
    </row>
    <row r="170" spans="1:25" ht="17.25" customHeight="1">
      <c r="A170" s="47" t="str">
        <f>+BASE!B174</f>
        <v>23XXR159</v>
      </c>
      <c r="B170" s="36" t="s">
        <v>40</v>
      </c>
      <c r="C170" s="46">
        <f t="shared" si="1"/>
        <v>0</v>
      </c>
      <c r="D170" s="46">
        <f t="shared" si="2"/>
        <v>0</v>
      </c>
      <c r="E170" s="46">
        <f t="shared" si="3"/>
        <v>0</v>
      </c>
      <c r="F170" s="46">
        <f t="shared" si="4"/>
        <v>0</v>
      </c>
      <c r="G170" s="46">
        <f t="shared" si="5"/>
        <v>0</v>
      </c>
      <c r="H170" s="46"/>
      <c r="I170" s="46"/>
      <c r="J170" s="46"/>
      <c r="K170" s="46"/>
      <c r="L170" s="46"/>
      <c r="M170" s="46"/>
      <c r="N170" s="46"/>
      <c r="O170" s="46"/>
      <c r="P170" s="46"/>
      <c r="Q170" s="43"/>
      <c r="R170" s="36">
        <f t="shared" si="6"/>
        <v>0</v>
      </c>
      <c r="S170" s="36">
        <f>BASE!A174</f>
        <v>159</v>
      </c>
      <c r="T170" s="46">
        <f t="shared" si="7"/>
        <v>0</v>
      </c>
      <c r="U170" s="46">
        <f t="shared" si="8"/>
        <v>0</v>
      </c>
      <c r="V170" s="46">
        <f t="shared" si="9"/>
        <v>0</v>
      </c>
      <c r="W170" s="46">
        <f t="shared" si="10"/>
        <v>0</v>
      </c>
      <c r="X170" s="46">
        <f t="shared" si="11"/>
        <v>0</v>
      </c>
      <c r="Y170" s="159"/>
    </row>
    <row r="171" spans="1:25" ht="17.25" customHeight="1">
      <c r="A171" s="47" t="str">
        <f>+BASE!B175</f>
        <v>23XXR160</v>
      </c>
      <c r="B171" s="36" t="s">
        <v>40</v>
      </c>
      <c r="C171" s="46">
        <f t="shared" si="1"/>
        <v>0</v>
      </c>
      <c r="D171" s="46">
        <f t="shared" si="2"/>
        <v>0</v>
      </c>
      <c r="E171" s="46">
        <f t="shared" si="3"/>
        <v>0</v>
      </c>
      <c r="F171" s="46">
        <f t="shared" si="4"/>
        <v>0</v>
      </c>
      <c r="G171" s="46">
        <f t="shared" si="5"/>
        <v>0</v>
      </c>
      <c r="H171" s="46"/>
      <c r="I171" s="46"/>
      <c r="J171" s="46"/>
      <c r="K171" s="46"/>
      <c r="L171" s="46"/>
      <c r="M171" s="46"/>
      <c r="N171" s="46"/>
      <c r="O171" s="46"/>
      <c r="P171" s="46"/>
      <c r="Q171" s="43"/>
      <c r="R171" s="36">
        <f t="shared" si="6"/>
        <v>0</v>
      </c>
      <c r="S171" s="36">
        <f>BASE!A175</f>
        <v>160</v>
      </c>
      <c r="T171" s="46">
        <f t="shared" si="7"/>
        <v>0</v>
      </c>
      <c r="U171" s="46">
        <f t="shared" si="8"/>
        <v>0</v>
      </c>
      <c r="V171" s="46">
        <f t="shared" si="9"/>
        <v>0</v>
      </c>
      <c r="W171" s="46">
        <f t="shared" si="10"/>
        <v>0</v>
      </c>
      <c r="X171" s="46">
        <f t="shared" si="11"/>
        <v>0</v>
      </c>
      <c r="Y171" s="159"/>
    </row>
    <row r="172" spans="1:25" ht="17.25" customHeight="1">
      <c r="A172" s="47" t="str">
        <f>+BASE!B176</f>
        <v>23XXR161</v>
      </c>
      <c r="B172" s="36" t="s">
        <v>40</v>
      </c>
      <c r="C172" s="46">
        <f t="shared" si="1"/>
        <v>0</v>
      </c>
      <c r="D172" s="46">
        <f t="shared" si="2"/>
        <v>0</v>
      </c>
      <c r="E172" s="46">
        <f t="shared" si="3"/>
        <v>0</v>
      </c>
      <c r="F172" s="46">
        <f t="shared" si="4"/>
        <v>0</v>
      </c>
      <c r="G172" s="46">
        <f t="shared" si="5"/>
        <v>0</v>
      </c>
      <c r="H172" s="46"/>
      <c r="I172" s="46"/>
      <c r="J172" s="46"/>
      <c r="K172" s="46"/>
      <c r="L172" s="46"/>
      <c r="M172" s="46"/>
      <c r="N172" s="46"/>
      <c r="O172" s="46"/>
      <c r="P172" s="46"/>
      <c r="Q172" s="43"/>
      <c r="R172" s="36">
        <f t="shared" si="6"/>
        <v>0</v>
      </c>
      <c r="S172" s="36">
        <f>BASE!A176</f>
        <v>161</v>
      </c>
      <c r="T172" s="46">
        <f t="shared" si="7"/>
        <v>0</v>
      </c>
      <c r="U172" s="46">
        <f t="shared" si="8"/>
        <v>0</v>
      </c>
      <c r="V172" s="46">
        <f t="shared" si="9"/>
        <v>0</v>
      </c>
      <c r="W172" s="46">
        <f t="shared" si="10"/>
        <v>0</v>
      </c>
      <c r="X172" s="46">
        <f t="shared" si="11"/>
        <v>0</v>
      </c>
      <c r="Y172" s="159"/>
    </row>
    <row r="173" spans="1:25" ht="17.25" customHeight="1">
      <c r="A173" s="47" t="str">
        <f>+BASE!B177</f>
        <v>23XXR162</v>
      </c>
      <c r="B173" s="36" t="s">
        <v>40</v>
      </c>
      <c r="C173" s="46">
        <f t="shared" si="1"/>
        <v>0</v>
      </c>
      <c r="D173" s="46">
        <f t="shared" si="2"/>
        <v>0</v>
      </c>
      <c r="E173" s="46">
        <f t="shared" si="3"/>
        <v>0</v>
      </c>
      <c r="F173" s="46">
        <f t="shared" si="4"/>
        <v>0</v>
      </c>
      <c r="G173" s="46">
        <f t="shared" si="5"/>
        <v>0</v>
      </c>
      <c r="H173" s="46"/>
      <c r="I173" s="46"/>
      <c r="J173" s="46"/>
      <c r="K173" s="46"/>
      <c r="L173" s="46"/>
      <c r="M173" s="46"/>
      <c r="N173" s="46"/>
      <c r="O173" s="46"/>
      <c r="P173" s="46"/>
      <c r="Q173" s="43"/>
      <c r="R173" s="36">
        <f t="shared" si="6"/>
        <v>0</v>
      </c>
      <c r="S173" s="36">
        <f>BASE!A177</f>
        <v>162</v>
      </c>
      <c r="T173" s="46">
        <f t="shared" si="7"/>
        <v>0</v>
      </c>
      <c r="U173" s="46">
        <f t="shared" si="8"/>
        <v>0</v>
      </c>
      <c r="V173" s="46">
        <f t="shared" si="9"/>
        <v>0</v>
      </c>
      <c r="W173" s="46">
        <f t="shared" si="10"/>
        <v>0</v>
      </c>
      <c r="X173" s="46">
        <f t="shared" si="11"/>
        <v>0</v>
      </c>
      <c r="Y173" s="159"/>
    </row>
    <row r="174" spans="1:25" ht="17.25" customHeight="1">
      <c r="A174" s="47" t="str">
        <f>+BASE!B178</f>
        <v>23XXR163</v>
      </c>
      <c r="B174" s="36" t="s">
        <v>40</v>
      </c>
      <c r="C174" s="46">
        <f t="shared" si="1"/>
        <v>0</v>
      </c>
      <c r="D174" s="46">
        <f t="shared" si="2"/>
        <v>0</v>
      </c>
      <c r="E174" s="46">
        <f t="shared" si="3"/>
        <v>0</v>
      </c>
      <c r="F174" s="46">
        <f t="shared" si="4"/>
        <v>0</v>
      </c>
      <c r="G174" s="46">
        <f t="shared" si="5"/>
        <v>0</v>
      </c>
      <c r="H174" s="46"/>
      <c r="I174" s="46"/>
      <c r="J174" s="46"/>
      <c r="K174" s="46"/>
      <c r="L174" s="46"/>
      <c r="M174" s="46"/>
      <c r="N174" s="46"/>
      <c r="O174" s="46"/>
      <c r="P174" s="46"/>
      <c r="Q174" s="43"/>
      <c r="R174" s="36">
        <f t="shared" si="6"/>
        <v>0</v>
      </c>
      <c r="S174" s="36">
        <f>BASE!A178</f>
        <v>163</v>
      </c>
      <c r="T174" s="46">
        <f t="shared" si="7"/>
        <v>0</v>
      </c>
      <c r="U174" s="46">
        <f t="shared" si="8"/>
        <v>0</v>
      </c>
      <c r="V174" s="46">
        <f t="shared" si="9"/>
        <v>0</v>
      </c>
      <c r="W174" s="46">
        <f t="shared" si="10"/>
        <v>0</v>
      </c>
      <c r="X174" s="46">
        <f t="shared" si="11"/>
        <v>0</v>
      </c>
      <c r="Y174" s="159"/>
    </row>
    <row r="175" spans="1:25" ht="17.25" customHeight="1">
      <c r="A175" s="47" t="str">
        <f>+BASE!B179</f>
        <v>23XXR164</v>
      </c>
      <c r="B175" s="36" t="s">
        <v>40</v>
      </c>
      <c r="C175" s="46">
        <f t="shared" si="1"/>
        <v>0</v>
      </c>
      <c r="D175" s="46">
        <f t="shared" si="2"/>
        <v>0</v>
      </c>
      <c r="E175" s="46">
        <f t="shared" si="3"/>
        <v>0</v>
      </c>
      <c r="F175" s="46">
        <f t="shared" si="4"/>
        <v>0</v>
      </c>
      <c r="G175" s="46">
        <f t="shared" si="5"/>
        <v>0</v>
      </c>
      <c r="H175" s="46"/>
      <c r="I175" s="46"/>
      <c r="J175" s="46"/>
      <c r="K175" s="46"/>
      <c r="L175" s="46"/>
      <c r="M175" s="46"/>
      <c r="N175" s="46"/>
      <c r="O175" s="46"/>
      <c r="P175" s="46"/>
      <c r="Q175" s="43"/>
      <c r="R175" s="36">
        <f t="shared" si="6"/>
        <v>0</v>
      </c>
      <c r="S175" s="36">
        <f>BASE!A179</f>
        <v>164</v>
      </c>
      <c r="T175" s="46">
        <f t="shared" si="7"/>
        <v>0</v>
      </c>
      <c r="U175" s="46">
        <f t="shared" si="8"/>
        <v>0</v>
      </c>
      <c r="V175" s="46">
        <f t="shared" si="9"/>
        <v>0</v>
      </c>
      <c r="W175" s="46">
        <f t="shared" si="10"/>
        <v>0</v>
      </c>
      <c r="X175" s="46">
        <f t="shared" si="11"/>
        <v>0</v>
      </c>
      <c r="Y175" s="159"/>
    </row>
    <row r="176" spans="1:25" ht="17.25" customHeight="1">
      <c r="A176" s="47" t="str">
        <f>+BASE!B180</f>
        <v>23XXR165</v>
      </c>
      <c r="B176" s="36" t="s">
        <v>40</v>
      </c>
      <c r="C176" s="46">
        <f t="shared" si="1"/>
        <v>0</v>
      </c>
      <c r="D176" s="46">
        <f t="shared" si="2"/>
        <v>0</v>
      </c>
      <c r="E176" s="46">
        <f t="shared" si="3"/>
        <v>0</v>
      </c>
      <c r="F176" s="46">
        <f t="shared" si="4"/>
        <v>0</v>
      </c>
      <c r="G176" s="46">
        <f t="shared" si="5"/>
        <v>0</v>
      </c>
      <c r="H176" s="46"/>
      <c r="I176" s="46"/>
      <c r="J176" s="46"/>
      <c r="K176" s="46"/>
      <c r="L176" s="46"/>
      <c r="M176" s="46"/>
      <c r="N176" s="46"/>
      <c r="O176" s="46"/>
      <c r="P176" s="46"/>
      <c r="Q176" s="43"/>
      <c r="R176" s="36">
        <f t="shared" si="6"/>
        <v>0</v>
      </c>
      <c r="S176" s="36">
        <f>BASE!A180</f>
        <v>165</v>
      </c>
      <c r="T176" s="46">
        <f t="shared" si="7"/>
        <v>0</v>
      </c>
      <c r="U176" s="46">
        <f t="shared" si="8"/>
        <v>0</v>
      </c>
      <c r="V176" s="46">
        <f t="shared" si="9"/>
        <v>0</v>
      </c>
      <c r="W176" s="46">
        <f t="shared" si="10"/>
        <v>0</v>
      </c>
      <c r="X176" s="46">
        <f t="shared" si="11"/>
        <v>0</v>
      </c>
      <c r="Y176" s="159"/>
    </row>
    <row r="177" spans="1:25" ht="17.25" customHeight="1">
      <c r="A177" s="47" t="str">
        <f>+BASE!B181</f>
        <v>23XXR166</v>
      </c>
      <c r="B177" s="36" t="s">
        <v>40</v>
      </c>
      <c r="C177" s="46">
        <f t="shared" si="1"/>
        <v>0</v>
      </c>
      <c r="D177" s="46">
        <f t="shared" si="2"/>
        <v>0</v>
      </c>
      <c r="E177" s="46">
        <f t="shared" si="3"/>
        <v>0</v>
      </c>
      <c r="F177" s="46">
        <f t="shared" si="4"/>
        <v>0</v>
      </c>
      <c r="G177" s="46">
        <f t="shared" si="5"/>
        <v>0</v>
      </c>
      <c r="H177" s="46"/>
      <c r="I177" s="46"/>
      <c r="J177" s="46"/>
      <c r="K177" s="46"/>
      <c r="L177" s="46"/>
      <c r="M177" s="46"/>
      <c r="N177" s="46"/>
      <c r="O177" s="46"/>
      <c r="P177" s="46"/>
      <c r="Q177" s="43"/>
      <c r="R177" s="36">
        <f t="shared" si="6"/>
        <v>0</v>
      </c>
      <c r="S177" s="36">
        <f>BASE!A181</f>
        <v>166</v>
      </c>
      <c r="T177" s="46">
        <f t="shared" si="7"/>
        <v>0</v>
      </c>
      <c r="U177" s="46">
        <f t="shared" si="8"/>
        <v>0</v>
      </c>
      <c r="V177" s="46">
        <f t="shared" si="9"/>
        <v>0</v>
      </c>
      <c r="W177" s="46">
        <f t="shared" si="10"/>
        <v>0</v>
      </c>
      <c r="X177" s="46">
        <f t="shared" si="11"/>
        <v>0</v>
      </c>
      <c r="Y177" s="159"/>
    </row>
    <row r="178" spans="1:25" ht="17.25" customHeight="1">
      <c r="A178" s="47" t="str">
        <f>+BASE!B182</f>
        <v>23XXR167</v>
      </c>
      <c r="B178" s="36" t="s">
        <v>40</v>
      </c>
      <c r="C178" s="46">
        <f t="shared" si="1"/>
        <v>0</v>
      </c>
      <c r="D178" s="46">
        <f t="shared" si="2"/>
        <v>0</v>
      </c>
      <c r="E178" s="46">
        <f t="shared" si="3"/>
        <v>0</v>
      </c>
      <c r="F178" s="46">
        <f t="shared" si="4"/>
        <v>0</v>
      </c>
      <c r="G178" s="46">
        <f t="shared" si="5"/>
        <v>0</v>
      </c>
      <c r="H178" s="46"/>
      <c r="I178" s="46"/>
      <c r="J178" s="46"/>
      <c r="K178" s="46"/>
      <c r="L178" s="46"/>
      <c r="M178" s="46"/>
      <c r="N178" s="46"/>
      <c r="O178" s="46"/>
      <c r="P178" s="46"/>
      <c r="Q178" s="43"/>
      <c r="R178" s="36">
        <f t="shared" si="6"/>
        <v>0</v>
      </c>
      <c r="S178" s="36">
        <f>BASE!A182</f>
        <v>167</v>
      </c>
      <c r="T178" s="46">
        <f t="shared" si="7"/>
        <v>0</v>
      </c>
      <c r="U178" s="46">
        <f t="shared" si="8"/>
        <v>0</v>
      </c>
      <c r="V178" s="46">
        <f t="shared" si="9"/>
        <v>0</v>
      </c>
      <c r="W178" s="46">
        <f t="shared" si="10"/>
        <v>0</v>
      </c>
      <c r="X178" s="46">
        <f t="shared" si="11"/>
        <v>0</v>
      </c>
      <c r="Y178" s="159"/>
    </row>
    <row r="179" spans="1:25" ht="17.25" customHeight="1">
      <c r="A179" s="47" t="str">
        <f>+BASE!B183</f>
        <v>23XXR168</v>
      </c>
      <c r="B179" s="36" t="s">
        <v>40</v>
      </c>
      <c r="C179" s="46">
        <f t="shared" si="1"/>
        <v>0</v>
      </c>
      <c r="D179" s="46">
        <f t="shared" si="2"/>
        <v>0</v>
      </c>
      <c r="E179" s="46">
        <f t="shared" si="3"/>
        <v>0</v>
      </c>
      <c r="F179" s="46">
        <f t="shared" si="4"/>
        <v>0</v>
      </c>
      <c r="G179" s="46">
        <f t="shared" si="5"/>
        <v>0</v>
      </c>
      <c r="H179" s="46"/>
      <c r="I179" s="46"/>
      <c r="J179" s="46"/>
      <c r="K179" s="46"/>
      <c r="L179" s="46"/>
      <c r="M179" s="46"/>
      <c r="N179" s="46"/>
      <c r="O179" s="46"/>
      <c r="P179" s="46"/>
      <c r="Q179" s="43"/>
      <c r="R179" s="36">
        <f t="shared" si="6"/>
        <v>0</v>
      </c>
      <c r="S179" s="36">
        <f>BASE!A183</f>
        <v>168</v>
      </c>
      <c r="T179" s="46">
        <f t="shared" si="7"/>
        <v>0</v>
      </c>
      <c r="U179" s="46">
        <f t="shared" si="8"/>
        <v>0</v>
      </c>
      <c r="V179" s="46">
        <f t="shared" si="9"/>
        <v>0</v>
      </c>
      <c r="W179" s="46">
        <f t="shared" si="10"/>
        <v>0</v>
      </c>
      <c r="X179" s="46">
        <f t="shared" si="11"/>
        <v>0</v>
      </c>
      <c r="Y179" s="159"/>
    </row>
    <row r="180" spans="1:25" ht="17.25" customHeight="1">
      <c r="A180" s="47" t="str">
        <f>+BASE!B184</f>
        <v>23XXR169</v>
      </c>
      <c r="B180" s="36" t="s">
        <v>40</v>
      </c>
      <c r="C180" s="46">
        <f t="shared" si="1"/>
        <v>0</v>
      </c>
      <c r="D180" s="46">
        <f t="shared" si="2"/>
        <v>0</v>
      </c>
      <c r="E180" s="46">
        <f t="shared" si="3"/>
        <v>0</v>
      </c>
      <c r="F180" s="46">
        <f t="shared" si="4"/>
        <v>0</v>
      </c>
      <c r="G180" s="46">
        <f t="shared" si="5"/>
        <v>0</v>
      </c>
      <c r="H180" s="46"/>
      <c r="I180" s="46"/>
      <c r="J180" s="46"/>
      <c r="K180" s="46"/>
      <c r="L180" s="46"/>
      <c r="M180" s="46"/>
      <c r="N180" s="46"/>
      <c r="O180" s="46"/>
      <c r="P180" s="46"/>
      <c r="Q180" s="43"/>
      <c r="R180" s="36">
        <f t="shared" si="6"/>
        <v>0</v>
      </c>
      <c r="S180" s="36">
        <f>BASE!A184</f>
        <v>169</v>
      </c>
      <c r="T180" s="46">
        <f t="shared" si="7"/>
        <v>0</v>
      </c>
      <c r="U180" s="46">
        <f t="shared" si="8"/>
        <v>0</v>
      </c>
      <c r="V180" s="46">
        <f t="shared" si="9"/>
        <v>0</v>
      </c>
      <c r="W180" s="46">
        <f t="shared" si="10"/>
        <v>0</v>
      </c>
      <c r="X180" s="46">
        <f t="shared" si="11"/>
        <v>0</v>
      </c>
      <c r="Y180" s="159"/>
    </row>
    <row r="181" spans="1:25" ht="17.25" customHeight="1">
      <c r="A181" s="47" t="str">
        <f>+BASE!B185</f>
        <v>23XXR170</v>
      </c>
      <c r="B181" s="36" t="s">
        <v>40</v>
      </c>
      <c r="C181" s="46">
        <f t="shared" si="1"/>
        <v>0</v>
      </c>
      <c r="D181" s="46">
        <f t="shared" si="2"/>
        <v>0</v>
      </c>
      <c r="E181" s="46">
        <f t="shared" si="3"/>
        <v>0</v>
      </c>
      <c r="F181" s="46">
        <f t="shared" si="4"/>
        <v>0</v>
      </c>
      <c r="G181" s="46">
        <f t="shared" si="5"/>
        <v>0</v>
      </c>
      <c r="H181" s="46"/>
      <c r="I181" s="46"/>
      <c r="J181" s="46"/>
      <c r="K181" s="46"/>
      <c r="L181" s="46"/>
      <c r="M181" s="46"/>
      <c r="N181" s="46"/>
      <c r="O181" s="46"/>
      <c r="P181" s="46"/>
      <c r="Q181" s="43"/>
      <c r="R181" s="36">
        <f t="shared" si="6"/>
        <v>0</v>
      </c>
      <c r="S181" s="36">
        <f>BASE!A185</f>
        <v>170</v>
      </c>
      <c r="T181" s="46">
        <f t="shared" si="7"/>
        <v>0</v>
      </c>
      <c r="U181" s="46">
        <f t="shared" si="8"/>
        <v>0</v>
      </c>
      <c r="V181" s="46">
        <f t="shared" si="9"/>
        <v>0</v>
      </c>
      <c r="W181" s="46">
        <f t="shared" si="10"/>
        <v>0</v>
      </c>
      <c r="X181" s="46">
        <f t="shared" si="11"/>
        <v>0</v>
      </c>
      <c r="Y181" s="159"/>
    </row>
    <row r="182" spans="1:25" ht="17.25" customHeight="1">
      <c r="A182" s="47" t="str">
        <f>+BASE!B186</f>
        <v>23XXR171</v>
      </c>
      <c r="B182" s="36" t="s">
        <v>40</v>
      </c>
      <c r="C182" s="46">
        <f t="shared" si="1"/>
        <v>0</v>
      </c>
      <c r="D182" s="46">
        <f t="shared" si="2"/>
        <v>0</v>
      </c>
      <c r="E182" s="46">
        <f t="shared" si="3"/>
        <v>0</v>
      </c>
      <c r="F182" s="46">
        <f t="shared" si="4"/>
        <v>0</v>
      </c>
      <c r="G182" s="46">
        <f t="shared" si="5"/>
        <v>0</v>
      </c>
      <c r="H182" s="46"/>
      <c r="I182" s="46"/>
      <c r="J182" s="46"/>
      <c r="K182" s="46"/>
      <c r="L182" s="46"/>
      <c r="M182" s="46"/>
      <c r="N182" s="46"/>
      <c r="O182" s="46"/>
      <c r="P182" s="46"/>
      <c r="Q182" s="43"/>
      <c r="R182" s="36">
        <f t="shared" si="6"/>
        <v>0</v>
      </c>
      <c r="S182" s="36">
        <f>BASE!A186</f>
        <v>171</v>
      </c>
      <c r="T182" s="46">
        <f t="shared" si="7"/>
        <v>0</v>
      </c>
      <c r="U182" s="46">
        <f t="shared" si="8"/>
        <v>0</v>
      </c>
      <c r="V182" s="46">
        <f t="shared" si="9"/>
        <v>0</v>
      </c>
      <c r="W182" s="46">
        <f t="shared" si="10"/>
        <v>0</v>
      </c>
      <c r="X182" s="46">
        <f t="shared" si="11"/>
        <v>0</v>
      </c>
      <c r="Y182" s="159"/>
    </row>
    <row r="183" spans="1:25" ht="17.25" customHeight="1">
      <c r="A183" s="47" t="str">
        <f>+BASE!B187</f>
        <v>23XXR172</v>
      </c>
      <c r="B183" s="36" t="s">
        <v>40</v>
      </c>
      <c r="C183" s="46">
        <f t="shared" si="1"/>
        <v>0</v>
      </c>
      <c r="D183" s="46">
        <f t="shared" si="2"/>
        <v>0</v>
      </c>
      <c r="E183" s="46">
        <f t="shared" si="3"/>
        <v>0</v>
      </c>
      <c r="F183" s="46">
        <f t="shared" si="4"/>
        <v>0</v>
      </c>
      <c r="G183" s="46">
        <f t="shared" si="5"/>
        <v>0</v>
      </c>
      <c r="H183" s="46"/>
      <c r="I183" s="46"/>
      <c r="J183" s="46"/>
      <c r="K183" s="46"/>
      <c r="L183" s="46"/>
      <c r="M183" s="46"/>
      <c r="N183" s="46"/>
      <c r="O183" s="46"/>
      <c r="P183" s="46"/>
      <c r="Q183" s="43"/>
      <c r="R183" s="36">
        <f t="shared" si="6"/>
        <v>0</v>
      </c>
      <c r="S183" s="36">
        <f>BASE!A187</f>
        <v>172</v>
      </c>
      <c r="T183" s="46">
        <f t="shared" si="7"/>
        <v>0</v>
      </c>
      <c r="U183" s="46">
        <f t="shared" si="8"/>
        <v>0</v>
      </c>
      <c r="V183" s="46">
        <f t="shared" si="9"/>
        <v>0</v>
      </c>
      <c r="W183" s="46">
        <f t="shared" si="10"/>
        <v>0</v>
      </c>
      <c r="X183" s="46">
        <f t="shared" si="11"/>
        <v>0</v>
      </c>
      <c r="Y183" s="159"/>
    </row>
    <row r="184" spans="1:25" ht="17.25" customHeight="1">
      <c r="A184" s="47" t="str">
        <f>+BASE!B188</f>
        <v>23XXR173</v>
      </c>
      <c r="B184" s="36" t="s">
        <v>40</v>
      </c>
      <c r="C184" s="46">
        <f t="shared" si="1"/>
        <v>0</v>
      </c>
      <c r="D184" s="46">
        <f t="shared" si="2"/>
        <v>0</v>
      </c>
      <c r="E184" s="46">
        <f t="shared" si="3"/>
        <v>0</v>
      </c>
      <c r="F184" s="46">
        <f t="shared" si="4"/>
        <v>0</v>
      </c>
      <c r="G184" s="46">
        <f t="shared" si="5"/>
        <v>0</v>
      </c>
      <c r="H184" s="46"/>
      <c r="I184" s="46"/>
      <c r="J184" s="46"/>
      <c r="K184" s="46"/>
      <c r="L184" s="46"/>
      <c r="M184" s="46"/>
      <c r="N184" s="46"/>
      <c r="O184" s="46"/>
      <c r="P184" s="46"/>
      <c r="Q184" s="43"/>
      <c r="R184" s="36">
        <f t="shared" si="6"/>
        <v>0</v>
      </c>
      <c r="S184" s="36">
        <f>BASE!A188</f>
        <v>173</v>
      </c>
      <c r="T184" s="46">
        <f t="shared" si="7"/>
        <v>0</v>
      </c>
      <c r="U184" s="46">
        <f t="shared" si="8"/>
        <v>0</v>
      </c>
      <c r="V184" s="46">
        <f t="shared" si="9"/>
        <v>0</v>
      </c>
      <c r="W184" s="46">
        <f t="shared" si="10"/>
        <v>0</v>
      </c>
      <c r="X184" s="46">
        <f t="shared" si="11"/>
        <v>0</v>
      </c>
      <c r="Y184" s="159"/>
    </row>
    <row r="185" spans="1:25" ht="17.25" customHeight="1">
      <c r="A185" s="47" t="str">
        <f>+BASE!B189</f>
        <v>23XXR174</v>
      </c>
      <c r="B185" s="36" t="s">
        <v>40</v>
      </c>
      <c r="C185" s="46">
        <f t="shared" si="1"/>
        <v>0</v>
      </c>
      <c r="D185" s="46">
        <f t="shared" si="2"/>
        <v>0</v>
      </c>
      <c r="E185" s="46">
        <f t="shared" si="3"/>
        <v>0</v>
      </c>
      <c r="F185" s="46">
        <f t="shared" si="4"/>
        <v>0</v>
      </c>
      <c r="G185" s="46">
        <f t="shared" si="5"/>
        <v>0</v>
      </c>
      <c r="H185" s="46"/>
      <c r="I185" s="46"/>
      <c r="J185" s="46"/>
      <c r="K185" s="46"/>
      <c r="L185" s="46"/>
      <c r="M185" s="46"/>
      <c r="N185" s="46"/>
      <c r="O185" s="46"/>
      <c r="P185" s="46"/>
      <c r="Q185" s="43"/>
      <c r="R185" s="36">
        <f t="shared" si="6"/>
        <v>0</v>
      </c>
      <c r="S185" s="36">
        <f>BASE!A189</f>
        <v>174</v>
      </c>
      <c r="T185" s="46">
        <f t="shared" si="7"/>
        <v>0</v>
      </c>
      <c r="U185" s="46">
        <f t="shared" si="8"/>
        <v>0</v>
      </c>
      <c r="V185" s="46">
        <f t="shared" si="9"/>
        <v>0</v>
      </c>
      <c r="W185" s="46">
        <f t="shared" si="10"/>
        <v>0</v>
      </c>
      <c r="X185" s="46">
        <f t="shared" si="11"/>
        <v>0</v>
      </c>
      <c r="Y185" s="159"/>
    </row>
    <row r="186" spans="1:25" ht="17.25" customHeight="1">
      <c r="A186" s="47" t="str">
        <f>+BASE!B190</f>
        <v>23XXR175</v>
      </c>
      <c r="B186" s="36" t="s">
        <v>40</v>
      </c>
      <c r="C186" s="46">
        <f t="shared" si="1"/>
        <v>0</v>
      </c>
      <c r="D186" s="46">
        <f t="shared" si="2"/>
        <v>0</v>
      </c>
      <c r="E186" s="46">
        <f t="shared" si="3"/>
        <v>0</v>
      </c>
      <c r="F186" s="46">
        <f t="shared" si="4"/>
        <v>0</v>
      </c>
      <c r="G186" s="46">
        <f t="shared" si="5"/>
        <v>0</v>
      </c>
      <c r="H186" s="46"/>
      <c r="I186" s="46"/>
      <c r="J186" s="46"/>
      <c r="K186" s="46"/>
      <c r="L186" s="46"/>
      <c r="M186" s="46"/>
      <c r="N186" s="46"/>
      <c r="O186" s="46"/>
      <c r="P186" s="46"/>
      <c r="Q186" s="43"/>
      <c r="R186" s="36">
        <f t="shared" si="6"/>
        <v>0</v>
      </c>
      <c r="S186" s="36">
        <f>BASE!A190</f>
        <v>175</v>
      </c>
      <c r="T186" s="46">
        <f t="shared" si="7"/>
        <v>0</v>
      </c>
      <c r="U186" s="46">
        <f t="shared" si="8"/>
        <v>0</v>
      </c>
      <c r="V186" s="46">
        <f t="shared" si="9"/>
        <v>0</v>
      </c>
      <c r="W186" s="46">
        <f t="shared" si="10"/>
        <v>0</v>
      </c>
      <c r="X186" s="46">
        <f t="shared" si="11"/>
        <v>0</v>
      </c>
      <c r="Y186" s="159"/>
    </row>
    <row r="187" spans="1:25" ht="17.25" customHeight="1">
      <c r="A187" s="47" t="str">
        <f>+BASE!B191</f>
        <v>23XXR176</v>
      </c>
      <c r="B187" s="36" t="s">
        <v>40</v>
      </c>
      <c r="C187" s="46">
        <f t="shared" si="1"/>
        <v>0</v>
      </c>
      <c r="D187" s="46">
        <f t="shared" si="2"/>
        <v>0</v>
      </c>
      <c r="E187" s="46">
        <f t="shared" si="3"/>
        <v>0</v>
      </c>
      <c r="F187" s="46">
        <f t="shared" si="4"/>
        <v>0</v>
      </c>
      <c r="G187" s="46">
        <f t="shared" si="5"/>
        <v>0</v>
      </c>
      <c r="H187" s="46"/>
      <c r="I187" s="46"/>
      <c r="J187" s="46"/>
      <c r="K187" s="46"/>
      <c r="L187" s="46"/>
      <c r="M187" s="46"/>
      <c r="N187" s="46"/>
      <c r="O187" s="46"/>
      <c r="P187" s="46"/>
      <c r="Q187" s="43"/>
      <c r="R187" s="36">
        <f t="shared" si="6"/>
        <v>0</v>
      </c>
      <c r="S187" s="36">
        <f>BASE!A191</f>
        <v>176</v>
      </c>
      <c r="T187" s="46">
        <f t="shared" si="7"/>
        <v>0</v>
      </c>
      <c r="U187" s="46">
        <f t="shared" si="8"/>
        <v>0</v>
      </c>
      <c r="V187" s="46">
        <f t="shared" si="9"/>
        <v>0</v>
      </c>
      <c r="W187" s="46">
        <f t="shared" si="10"/>
        <v>0</v>
      </c>
      <c r="X187" s="46">
        <f t="shared" si="11"/>
        <v>0</v>
      </c>
      <c r="Y187" s="159"/>
    </row>
    <row r="188" spans="1:25" ht="17.25" customHeight="1">
      <c r="A188" s="47" t="str">
        <f>+BASE!B192</f>
        <v>23XXR177</v>
      </c>
      <c r="B188" s="36" t="s">
        <v>40</v>
      </c>
      <c r="C188" s="46">
        <f t="shared" si="1"/>
        <v>0</v>
      </c>
      <c r="D188" s="46">
        <f t="shared" si="2"/>
        <v>0</v>
      </c>
      <c r="E188" s="46">
        <f t="shared" si="3"/>
        <v>0</v>
      </c>
      <c r="F188" s="46">
        <f t="shared" si="4"/>
        <v>0</v>
      </c>
      <c r="G188" s="46">
        <f t="shared" si="5"/>
        <v>0</v>
      </c>
      <c r="H188" s="46"/>
      <c r="I188" s="46"/>
      <c r="J188" s="46"/>
      <c r="K188" s="46"/>
      <c r="L188" s="46"/>
      <c r="M188" s="46"/>
      <c r="N188" s="46"/>
      <c r="O188" s="46"/>
      <c r="P188" s="46"/>
      <c r="Q188" s="43"/>
      <c r="R188" s="36">
        <f t="shared" si="6"/>
        <v>0</v>
      </c>
      <c r="S188" s="36">
        <f>BASE!A192</f>
        <v>177</v>
      </c>
      <c r="T188" s="46">
        <f t="shared" si="7"/>
        <v>0</v>
      </c>
      <c r="U188" s="46">
        <f t="shared" si="8"/>
        <v>0</v>
      </c>
      <c r="V188" s="46">
        <f t="shared" si="9"/>
        <v>0</v>
      </c>
      <c r="W188" s="46">
        <f t="shared" si="10"/>
        <v>0</v>
      </c>
      <c r="X188" s="46">
        <f t="shared" si="11"/>
        <v>0</v>
      </c>
      <c r="Y188" s="159"/>
    </row>
    <row r="189" spans="1:25" ht="17.25" customHeight="1">
      <c r="A189" s="47" t="str">
        <f>+BASE!B193</f>
        <v>23XXR178</v>
      </c>
      <c r="B189" s="36" t="s">
        <v>40</v>
      </c>
      <c r="C189" s="46">
        <f t="shared" si="1"/>
        <v>0</v>
      </c>
      <c r="D189" s="46">
        <f t="shared" si="2"/>
        <v>0</v>
      </c>
      <c r="E189" s="46">
        <f t="shared" si="3"/>
        <v>0</v>
      </c>
      <c r="F189" s="46">
        <f t="shared" si="4"/>
        <v>0</v>
      </c>
      <c r="G189" s="46">
        <f t="shared" si="5"/>
        <v>0</v>
      </c>
      <c r="H189" s="46"/>
      <c r="I189" s="46"/>
      <c r="J189" s="46"/>
      <c r="K189" s="46"/>
      <c r="L189" s="46"/>
      <c r="M189" s="46"/>
      <c r="N189" s="46"/>
      <c r="O189" s="46"/>
      <c r="P189" s="46"/>
      <c r="Q189" s="43"/>
      <c r="R189" s="36">
        <f t="shared" si="6"/>
        <v>0</v>
      </c>
      <c r="S189" s="36">
        <f>BASE!A193</f>
        <v>178</v>
      </c>
      <c r="T189" s="46">
        <f t="shared" si="7"/>
        <v>0</v>
      </c>
      <c r="U189" s="46">
        <f t="shared" si="8"/>
        <v>0</v>
      </c>
      <c r="V189" s="46">
        <f t="shared" si="9"/>
        <v>0</v>
      </c>
      <c r="W189" s="46">
        <f t="shared" si="10"/>
        <v>0</v>
      </c>
      <c r="X189" s="46">
        <f t="shared" si="11"/>
        <v>0</v>
      </c>
      <c r="Y189" s="159"/>
    </row>
    <row r="190" spans="1:25" ht="17.25" customHeight="1">
      <c r="A190" s="47" t="str">
        <f>+BASE!B194</f>
        <v>23XXR179</v>
      </c>
      <c r="B190" s="36" t="s">
        <v>40</v>
      </c>
      <c r="C190" s="46">
        <f t="shared" si="1"/>
        <v>0</v>
      </c>
      <c r="D190" s="46">
        <f t="shared" si="2"/>
        <v>0</v>
      </c>
      <c r="E190" s="46">
        <f t="shared" si="3"/>
        <v>0</v>
      </c>
      <c r="F190" s="46">
        <f t="shared" si="4"/>
        <v>0</v>
      </c>
      <c r="G190" s="46">
        <f t="shared" si="5"/>
        <v>0</v>
      </c>
      <c r="H190" s="46"/>
      <c r="I190" s="46"/>
      <c r="J190" s="46"/>
      <c r="K190" s="46"/>
      <c r="L190" s="46"/>
      <c r="M190" s="46"/>
      <c r="N190" s="46"/>
      <c r="O190" s="46"/>
      <c r="P190" s="46"/>
      <c r="Q190" s="43"/>
      <c r="R190" s="36">
        <f t="shared" si="6"/>
        <v>0</v>
      </c>
      <c r="S190" s="36">
        <f>BASE!A194</f>
        <v>179</v>
      </c>
      <c r="T190" s="46">
        <f t="shared" si="7"/>
        <v>0</v>
      </c>
      <c r="U190" s="46">
        <f t="shared" si="8"/>
        <v>0</v>
      </c>
      <c r="V190" s="46">
        <f t="shared" si="9"/>
        <v>0</v>
      </c>
      <c r="W190" s="46">
        <f t="shared" si="10"/>
        <v>0</v>
      </c>
      <c r="X190" s="46">
        <f t="shared" si="11"/>
        <v>0</v>
      </c>
      <c r="Y190" s="159"/>
    </row>
    <row r="191" spans="1:25" ht="17.25" customHeight="1">
      <c r="A191" s="47" t="str">
        <f>+BASE!B195</f>
        <v>23XXR180</v>
      </c>
      <c r="B191" s="36" t="s">
        <v>40</v>
      </c>
      <c r="C191" s="46">
        <f t="shared" si="1"/>
        <v>0</v>
      </c>
      <c r="D191" s="46">
        <f t="shared" si="2"/>
        <v>0</v>
      </c>
      <c r="E191" s="46">
        <f t="shared" si="3"/>
        <v>0</v>
      </c>
      <c r="F191" s="46">
        <f t="shared" si="4"/>
        <v>0</v>
      </c>
      <c r="G191" s="46">
        <f t="shared" si="5"/>
        <v>0</v>
      </c>
      <c r="H191" s="46"/>
      <c r="I191" s="46"/>
      <c r="J191" s="46"/>
      <c r="K191" s="46"/>
      <c r="L191" s="46"/>
      <c r="M191" s="46"/>
      <c r="N191" s="46"/>
      <c r="O191" s="46"/>
      <c r="P191" s="46"/>
      <c r="Q191" s="43"/>
      <c r="R191" s="36">
        <f t="shared" si="6"/>
        <v>0</v>
      </c>
      <c r="S191" s="36">
        <f>BASE!A195</f>
        <v>180</v>
      </c>
      <c r="T191" s="46">
        <f t="shared" si="7"/>
        <v>0</v>
      </c>
      <c r="U191" s="46">
        <f t="shared" si="8"/>
        <v>0</v>
      </c>
      <c r="V191" s="46">
        <f t="shared" si="9"/>
        <v>0</v>
      </c>
      <c r="W191" s="46">
        <f t="shared" si="10"/>
        <v>0</v>
      </c>
      <c r="X191" s="46">
        <f t="shared" si="11"/>
        <v>0</v>
      </c>
      <c r="Y191" s="159"/>
    </row>
    <row r="192" spans="1:25" ht="17.25" customHeight="1">
      <c r="A192" s="47" t="str">
        <f>+BASE!B196</f>
        <v>23XXR181</v>
      </c>
      <c r="B192" s="36" t="s">
        <v>40</v>
      </c>
      <c r="C192" s="46">
        <f t="shared" si="1"/>
        <v>0</v>
      </c>
      <c r="D192" s="46">
        <f t="shared" si="2"/>
        <v>0</v>
      </c>
      <c r="E192" s="46">
        <f t="shared" si="3"/>
        <v>0</v>
      </c>
      <c r="F192" s="46">
        <f t="shared" si="4"/>
        <v>0</v>
      </c>
      <c r="G192" s="46">
        <f t="shared" si="5"/>
        <v>0</v>
      </c>
      <c r="H192" s="46"/>
      <c r="I192" s="46"/>
      <c r="J192" s="46"/>
      <c r="K192" s="46"/>
      <c r="L192" s="46"/>
      <c r="M192" s="46"/>
      <c r="N192" s="46"/>
      <c r="O192" s="46"/>
      <c r="P192" s="46"/>
      <c r="Q192" s="43"/>
      <c r="R192" s="36">
        <f t="shared" si="6"/>
        <v>0</v>
      </c>
      <c r="S192" s="36">
        <f>BASE!A196</f>
        <v>181</v>
      </c>
      <c r="T192" s="46">
        <f t="shared" si="7"/>
        <v>0</v>
      </c>
      <c r="U192" s="46">
        <f t="shared" si="8"/>
        <v>0</v>
      </c>
      <c r="V192" s="46">
        <f t="shared" si="9"/>
        <v>0</v>
      </c>
      <c r="W192" s="46">
        <f t="shared" si="10"/>
        <v>0</v>
      </c>
      <c r="X192" s="46">
        <f t="shared" si="11"/>
        <v>0</v>
      </c>
      <c r="Y192" s="159"/>
    </row>
    <row r="193" spans="1:25" ht="17.25" customHeight="1">
      <c r="A193" s="47" t="str">
        <f>+BASE!B197</f>
        <v>23XXR182</v>
      </c>
      <c r="B193" s="36" t="s">
        <v>40</v>
      </c>
      <c r="C193" s="46">
        <f t="shared" si="1"/>
        <v>0</v>
      </c>
      <c r="D193" s="46">
        <f t="shared" si="2"/>
        <v>0</v>
      </c>
      <c r="E193" s="46">
        <f t="shared" si="3"/>
        <v>0</v>
      </c>
      <c r="F193" s="46">
        <f t="shared" si="4"/>
        <v>0</v>
      </c>
      <c r="G193" s="46">
        <f t="shared" si="5"/>
        <v>0</v>
      </c>
      <c r="H193" s="46"/>
      <c r="I193" s="46"/>
      <c r="J193" s="46"/>
      <c r="K193" s="46"/>
      <c r="L193" s="46"/>
      <c r="M193" s="46"/>
      <c r="N193" s="46"/>
      <c r="O193" s="46"/>
      <c r="P193" s="46"/>
      <c r="Q193" s="43"/>
      <c r="R193" s="36">
        <f t="shared" si="6"/>
        <v>0</v>
      </c>
      <c r="S193" s="36">
        <f>BASE!A197</f>
        <v>182</v>
      </c>
      <c r="T193" s="46">
        <f t="shared" si="7"/>
        <v>0</v>
      </c>
      <c r="U193" s="46">
        <f t="shared" si="8"/>
        <v>0</v>
      </c>
      <c r="V193" s="46">
        <f t="shared" si="9"/>
        <v>0</v>
      </c>
      <c r="W193" s="46">
        <f t="shared" si="10"/>
        <v>0</v>
      </c>
      <c r="X193" s="46">
        <f t="shared" si="11"/>
        <v>0</v>
      </c>
      <c r="Y193" s="159"/>
    </row>
    <row r="194" spans="1:25" ht="17.25" customHeight="1">
      <c r="A194" s="47" t="str">
        <f>+BASE!B198</f>
        <v>23XXR183</v>
      </c>
      <c r="B194" s="36" t="s">
        <v>40</v>
      </c>
      <c r="C194" s="46">
        <f t="shared" si="1"/>
        <v>0</v>
      </c>
      <c r="D194" s="46">
        <f t="shared" si="2"/>
        <v>0</v>
      </c>
      <c r="E194" s="46">
        <f t="shared" si="3"/>
        <v>0</v>
      </c>
      <c r="F194" s="46">
        <f t="shared" si="4"/>
        <v>0</v>
      </c>
      <c r="G194" s="46">
        <f t="shared" si="5"/>
        <v>0</v>
      </c>
      <c r="H194" s="46"/>
      <c r="I194" s="46"/>
      <c r="J194" s="46"/>
      <c r="K194" s="46"/>
      <c r="L194" s="46"/>
      <c r="M194" s="46"/>
      <c r="N194" s="46"/>
      <c r="O194" s="46"/>
      <c r="P194" s="46"/>
      <c r="Q194" s="43"/>
      <c r="R194" s="36">
        <f t="shared" si="6"/>
        <v>0</v>
      </c>
      <c r="S194" s="36">
        <f>BASE!A198</f>
        <v>183</v>
      </c>
      <c r="T194" s="46">
        <f t="shared" si="7"/>
        <v>0</v>
      </c>
      <c r="U194" s="46">
        <f t="shared" si="8"/>
        <v>0</v>
      </c>
      <c r="V194" s="46">
        <f t="shared" si="9"/>
        <v>0</v>
      </c>
      <c r="W194" s="46">
        <f t="shared" si="10"/>
        <v>0</v>
      </c>
      <c r="X194" s="46">
        <f t="shared" si="11"/>
        <v>0</v>
      </c>
      <c r="Y194" s="159"/>
    </row>
    <row r="195" spans="1:25" ht="17.25" customHeight="1">
      <c r="A195" s="47" t="str">
        <f>+BASE!B199</f>
        <v>23XXR184</v>
      </c>
      <c r="B195" s="36" t="s">
        <v>40</v>
      </c>
      <c r="C195" s="46">
        <f t="shared" si="1"/>
        <v>0</v>
      </c>
      <c r="D195" s="46">
        <f t="shared" si="2"/>
        <v>0</v>
      </c>
      <c r="E195" s="46">
        <f t="shared" si="3"/>
        <v>0</v>
      </c>
      <c r="F195" s="46">
        <f t="shared" si="4"/>
        <v>0</v>
      </c>
      <c r="G195" s="46">
        <f t="shared" si="5"/>
        <v>0</v>
      </c>
      <c r="H195" s="46"/>
      <c r="I195" s="46"/>
      <c r="J195" s="46"/>
      <c r="K195" s="46"/>
      <c r="L195" s="46"/>
      <c r="M195" s="46"/>
      <c r="N195" s="46"/>
      <c r="O195" s="46"/>
      <c r="P195" s="46"/>
      <c r="Q195" s="43"/>
      <c r="R195" s="36">
        <f t="shared" si="6"/>
        <v>0</v>
      </c>
      <c r="S195" s="36">
        <f>BASE!A199</f>
        <v>184</v>
      </c>
      <c r="T195" s="46">
        <f t="shared" si="7"/>
        <v>0</v>
      </c>
      <c r="U195" s="46">
        <f t="shared" si="8"/>
        <v>0</v>
      </c>
      <c r="V195" s="46">
        <f t="shared" si="9"/>
        <v>0</v>
      </c>
      <c r="W195" s="46">
        <f t="shared" si="10"/>
        <v>0</v>
      </c>
      <c r="X195" s="46">
        <f t="shared" si="11"/>
        <v>0</v>
      </c>
      <c r="Y195" s="159"/>
    </row>
    <row r="196" spans="1:25" ht="17.25" customHeight="1">
      <c r="A196" s="47" t="str">
        <f>+BASE!B200</f>
        <v>23XXR185</v>
      </c>
      <c r="B196" s="36" t="s">
        <v>40</v>
      </c>
      <c r="C196" s="46">
        <f t="shared" si="1"/>
        <v>0</v>
      </c>
      <c r="D196" s="46">
        <f t="shared" si="2"/>
        <v>0</v>
      </c>
      <c r="E196" s="46">
        <f t="shared" si="3"/>
        <v>0</v>
      </c>
      <c r="F196" s="46">
        <f t="shared" si="4"/>
        <v>0</v>
      </c>
      <c r="G196" s="46">
        <f t="shared" si="5"/>
        <v>0</v>
      </c>
      <c r="H196" s="46"/>
      <c r="I196" s="46"/>
      <c r="J196" s="46"/>
      <c r="K196" s="46"/>
      <c r="L196" s="46"/>
      <c r="M196" s="46"/>
      <c r="N196" s="46"/>
      <c r="O196" s="46"/>
      <c r="P196" s="46"/>
      <c r="Q196" s="43"/>
      <c r="R196" s="36">
        <f t="shared" si="6"/>
        <v>0</v>
      </c>
      <c r="S196" s="36">
        <f>BASE!A200</f>
        <v>185</v>
      </c>
      <c r="T196" s="46">
        <f t="shared" si="7"/>
        <v>0</v>
      </c>
      <c r="U196" s="46">
        <f t="shared" si="8"/>
        <v>0</v>
      </c>
      <c r="V196" s="46">
        <f t="shared" si="9"/>
        <v>0</v>
      </c>
      <c r="W196" s="46">
        <f t="shared" si="10"/>
        <v>0</v>
      </c>
      <c r="X196" s="46">
        <f t="shared" si="11"/>
        <v>0</v>
      </c>
      <c r="Y196" s="159"/>
    </row>
    <row r="197" spans="1:25" ht="17.25" customHeight="1">
      <c r="A197" s="47" t="str">
        <f>+BASE!B201</f>
        <v>23XXR186</v>
      </c>
      <c r="B197" s="36" t="s">
        <v>40</v>
      </c>
      <c r="C197" s="46">
        <f t="shared" si="1"/>
        <v>0</v>
      </c>
      <c r="D197" s="46">
        <f t="shared" si="2"/>
        <v>0</v>
      </c>
      <c r="E197" s="46">
        <f t="shared" si="3"/>
        <v>0</v>
      </c>
      <c r="F197" s="46">
        <f t="shared" si="4"/>
        <v>0</v>
      </c>
      <c r="G197" s="46">
        <f t="shared" si="5"/>
        <v>0</v>
      </c>
      <c r="H197" s="46"/>
      <c r="I197" s="46"/>
      <c r="J197" s="46"/>
      <c r="K197" s="46"/>
      <c r="L197" s="46"/>
      <c r="M197" s="46"/>
      <c r="N197" s="46"/>
      <c r="O197" s="46"/>
      <c r="P197" s="46"/>
      <c r="Q197" s="43"/>
      <c r="R197" s="36">
        <f t="shared" si="6"/>
        <v>0</v>
      </c>
      <c r="S197" s="36">
        <f>BASE!A201</f>
        <v>186</v>
      </c>
      <c r="T197" s="46">
        <f t="shared" si="7"/>
        <v>0</v>
      </c>
      <c r="U197" s="46">
        <f t="shared" si="8"/>
        <v>0</v>
      </c>
      <c r="V197" s="46">
        <f t="shared" si="9"/>
        <v>0</v>
      </c>
      <c r="W197" s="46">
        <f t="shared" si="10"/>
        <v>0</v>
      </c>
      <c r="X197" s="46">
        <f t="shared" si="11"/>
        <v>0</v>
      </c>
      <c r="Y197" s="159"/>
    </row>
    <row r="198" spans="1:25" ht="17.25" customHeight="1">
      <c r="A198" s="47" t="str">
        <f>+BASE!B202</f>
        <v>23XXR187</v>
      </c>
      <c r="B198" s="36" t="s">
        <v>40</v>
      </c>
      <c r="C198" s="46">
        <f t="shared" si="1"/>
        <v>0</v>
      </c>
      <c r="D198" s="46">
        <f t="shared" si="2"/>
        <v>0</v>
      </c>
      <c r="E198" s="46">
        <f t="shared" si="3"/>
        <v>0</v>
      </c>
      <c r="F198" s="46">
        <f t="shared" si="4"/>
        <v>0</v>
      </c>
      <c r="G198" s="46">
        <f t="shared" si="5"/>
        <v>0</v>
      </c>
      <c r="H198" s="46"/>
      <c r="I198" s="46"/>
      <c r="J198" s="46"/>
      <c r="K198" s="46"/>
      <c r="L198" s="46"/>
      <c r="M198" s="46"/>
      <c r="N198" s="46"/>
      <c r="O198" s="46"/>
      <c r="P198" s="46"/>
      <c r="Q198" s="43"/>
      <c r="R198" s="36">
        <f t="shared" si="6"/>
        <v>0</v>
      </c>
      <c r="S198" s="36">
        <f>BASE!A202</f>
        <v>187</v>
      </c>
      <c r="T198" s="46">
        <f t="shared" si="7"/>
        <v>0</v>
      </c>
      <c r="U198" s="46">
        <f t="shared" si="8"/>
        <v>0</v>
      </c>
      <c r="V198" s="46">
        <f t="shared" si="9"/>
        <v>0</v>
      </c>
      <c r="W198" s="46">
        <f t="shared" si="10"/>
        <v>0</v>
      </c>
      <c r="X198" s="46">
        <f t="shared" si="11"/>
        <v>0</v>
      </c>
      <c r="Y198" s="159"/>
    </row>
    <row r="199" spans="1:25" ht="17.25" customHeight="1">
      <c r="A199" s="47" t="str">
        <f>+BASE!B203</f>
        <v>23XXR188</v>
      </c>
      <c r="B199" s="36" t="s">
        <v>40</v>
      </c>
      <c r="C199" s="46">
        <f t="shared" si="1"/>
        <v>0</v>
      </c>
      <c r="D199" s="46">
        <f t="shared" si="2"/>
        <v>0</v>
      </c>
      <c r="E199" s="46">
        <f t="shared" si="3"/>
        <v>0</v>
      </c>
      <c r="F199" s="46">
        <f t="shared" si="4"/>
        <v>0</v>
      </c>
      <c r="G199" s="46">
        <f t="shared" si="5"/>
        <v>0</v>
      </c>
      <c r="H199" s="46"/>
      <c r="I199" s="46"/>
      <c r="J199" s="46"/>
      <c r="K199" s="46"/>
      <c r="L199" s="46"/>
      <c r="M199" s="46"/>
      <c r="N199" s="46"/>
      <c r="O199" s="46"/>
      <c r="P199" s="46"/>
      <c r="Q199" s="43"/>
      <c r="R199" s="36">
        <f t="shared" si="6"/>
        <v>0</v>
      </c>
      <c r="S199" s="36">
        <f>BASE!A203</f>
        <v>188</v>
      </c>
      <c r="T199" s="46">
        <f t="shared" si="7"/>
        <v>0</v>
      </c>
      <c r="U199" s="46">
        <f t="shared" si="8"/>
        <v>0</v>
      </c>
      <c r="V199" s="46">
        <f t="shared" si="9"/>
        <v>0</v>
      </c>
      <c r="W199" s="46">
        <f t="shared" si="10"/>
        <v>0</v>
      </c>
      <c r="X199" s="46">
        <f t="shared" si="11"/>
        <v>0</v>
      </c>
      <c r="Y199" s="159"/>
    </row>
    <row r="200" spans="1:25" ht="17.25" customHeight="1">
      <c r="A200" s="47" t="str">
        <f>+BASE!B204</f>
        <v>23XXR189</v>
      </c>
      <c r="B200" s="36" t="s">
        <v>40</v>
      </c>
      <c r="C200" s="46">
        <f t="shared" si="1"/>
        <v>0</v>
      </c>
      <c r="D200" s="46">
        <f t="shared" si="2"/>
        <v>0</v>
      </c>
      <c r="E200" s="46">
        <f t="shared" si="3"/>
        <v>0</v>
      </c>
      <c r="F200" s="46">
        <f t="shared" si="4"/>
        <v>0</v>
      </c>
      <c r="G200" s="46">
        <f t="shared" si="5"/>
        <v>0</v>
      </c>
      <c r="H200" s="46"/>
      <c r="I200" s="46"/>
      <c r="J200" s="46"/>
      <c r="K200" s="46"/>
      <c r="L200" s="46"/>
      <c r="M200" s="46"/>
      <c r="N200" s="46"/>
      <c r="O200" s="46"/>
      <c r="P200" s="46"/>
      <c r="Q200" s="43"/>
      <c r="R200" s="36">
        <f t="shared" si="6"/>
        <v>0</v>
      </c>
      <c r="S200" s="36">
        <f>BASE!A204</f>
        <v>189</v>
      </c>
      <c r="T200" s="46">
        <f t="shared" si="7"/>
        <v>0</v>
      </c>
      <c r="U200" s="46">
        <f t="shared" si="8"/>
        <v>0</v>
      </c>
      <c r="V200" s="46">
        <f t="shared" si="9"/>
        <v>0</v>
      </c>
      <c r="W200" s="46">
        <f t="shared" si="10"/>
        <v>0</v>
      </c>
      <c r="X200" s="46">
        <f t="shared" si="11"/>
        <v>0</v>
      </c>
      <c r="Y200" s="159"/>
    </row>
    <row r="201" spans="1:25" ht="17.25" customHeight="1">
      <c r="A201" s="47" t="str">
        <f>+BASE!B205</f>
        <v>23XXR190</v>
      </c>
      <c r="B201" s="36" t="s">
        <v>40</v>
      </c>
      <c r="C201" s="46">
        <f t="shared" si="1"/>
        <v>0</v>
      </c>
      <c r="D201" s="46">
        <f t="shared" si="2"/>
        <v>0</v>
      </c>
      <c r="E201" s="46">
        <f t="shared" si="3"/>
        <v>0</v>
      </c>
      <c r="F201" s="46">
        <f t="shared" si="4"/>
        <v>0</v>
      </c>
      <c r="G201" s="46">
        <f t="shared" si="5"/>
        <v>0</v>
      </c>
      <c r="H201" s="46"/>
      <c r="I201" s="46"/>
      <c r="J201" s="46"/>
      <c r="K201" s="46"/>
      <c r="L201" s="46"/>
      <c r="M201" s="46"/>
      <c r="N201" s="46"/>
      <c r="O201" s="46"/>
      <c r="P201" s="46"/>
      <c r="Q201" s="43"/>
      <c r="R201" s="36">
        <f t="shared" si="6"/>
        <v>0</v>
      </c>
      <c r="S201" s="36">
        <f>BASE!A205</f>
        <v>190</v>
      </c>
      <c r="T201" s="46">
        <f t="shared" si="7"/>
        <v>0</v>
      </c>
      <c r="U201" s="46">
        <f t="shared" si="8"/>
        <v>0</v>
      </c>
      <c r="V201" s="46">
        <f t="shared" si="9"/>
        <v>0</v>
      </c>
      <c r="W201" s="46">
        <f t="shared" si="10"/>
        <v>0</v>
      </c>
      <c r="X201" s="46">
        <f t="shared" si="11"/>
        <v>0</v>
      </c>
      <c r="Y201" s="159"/>
    </row>
    <row r="202" spans="1:25" ht="17.25" customHeight="1">
      <c r="A202" s="47" t="str">
        <f>+BASE!B206</f>
        <v>23XXR191</v>
      </c>
      <c r="B202" s="36" t="s">
        <v>40</v>
      </c>
      <c r="C202" s="46">
        <f t="shared" si="1"/>
        <v>0</v>
      </c>
      <c r="D202" s="46">
        <f t="shared" si="2"/>
        <v>0</v>
      </c>
      <c r="E202" s="46">
        <f t="shared" si="3"/>
        <v>0</v>
      </c>
      <c r="F202" s="46">
        <f t="shared" si="4"/>
        <v>0</v>
      </c>
      <c r="G202" s="46">
        <f t="shared" si="5"/>
        <v>0</v>
      </c>
      <c r="H202" s="46"/>
      <c r="I202" s="46"/>
      <c r="J202" s="46"/>
      <c r="K202" s="46"/>
      <c r="L202" s="46"/>
      <c r="M202" s="46"/>
      <c r="N202" s="46"/>
      <c r="O202" s="46"/>
      <c r="P202" s="46"/>
      <c r="Q202" s="43"/>
      <c r="R202" s="36">
        <f t="shared" si="6"/>
        <v>0</v>
      </c>
      <c r="S202" s="36">
        <f>BASE!A206</f>
        <v>191</v>
      </c>
      <c r="T202" s="46">
        <f t="shared" si="7"/>
        <v>0</v>
      </c>
      <c r="U202" s="46">
        <f t="shared" si="8"/>
        <v>0</v>
      </c>
      <c r="V202" s="46">
        <f t="shared" si="9"/>
        <v>0</v>
      </c>
      <c r="W202" s="46">
        <f t="shared" si="10"/>
        <v>0</v>
      </c>
      <c r="X202" s="46">
        <f t="shared" si="11"/>
        <v>0</v>
      </c>
      <c r="Y202" s="159"/>
    </row>
    <row r="203" spans="1:25" ht="17.25" customHeight="1">
      <c r="A203" s="47" t="str">
        <f>+BASE!B207</f>
        <v>23XXR192</v>
      </c>
      <c r="B203" s="36" t="s">
        <v>40</v>
      </c>
      <c r="C203" s="46">
        <f t="shared" si="1"/>
        <v>0</v>
      </c>
      <c r="D203" s="46">
        <f t="shared" si="2"/>
        <v>0</v>
      </c>
      <c r="E203" s="46">
        <f t="shared" si="3"/>
        <v>0</v>
      </c>
      <c r="F203" s="46">
        <f t="shared" si="4"/>
        <v>0</v>
      </c>
      <c r="G203" s="46">
        <f t="shared" si="5"/>
        <v>0</v>
      </c>
      <c r="H203" s="46"/>
      <c r="I203" s="46"/>
      <c r="J203" s="46"/>
      <c r="K203" s="46"/>
      <c r="L203" s="46"/>
      <c r="M203" s="46"/>
      <c r="N203" s="46"/>
      <c r="O203" s="46"/>
      <c r="P203" s="46"/>
      <c r="Q203" s="43"/>
      <c r="R203" s="36">
        <f t="shared" si="6"/>
        <v>0</v>
      </c>
      <c r="S203" s="36">
        <f>BASE!A207</f>
        <v>192</v>
      </c>
      <c r="T203" s="46">
        <f t="shared" si="7"/>
        <v>0</v>
      </c>
      <c r="U203" s="46">
        <f t="shared" si="8"/>
        <v>0</v>
      </c>
      <c r="V203" s="46">
        <f t="shared" si="9"/>
        <v>0</v>
      </c>
      <c r="W203" s="46">
        <f t="shared" si="10"/>
        <v>0</v>
      </c>
      <c r="X203" s="46">
        <f t="shared" si="11"/>
        <v>0</v>
      </c>
      <c r="Y203" s="159"/>
    </row>
    <row r="204" spans="1:25" ht="17.25" customHeight="1">
      <c r="A204" s="47" t="str">
        <f>+BASE!B208</f>
        <v>23XXR193</v>
      </c>
      <c r="B204" s="36" t="s">
        <v>40</v>
      </c>
      <c r="C204" s="46">
        <f t="shared" si="1"/>
        <v>0</v>
      </c>
      <c r="D204" s="46">
        <f t="shared" si="2"/>
        <v>0</v>
      </c>
      <c r="E204" s="46">
        <f t="shared" si="3"/>
        <v>0</v>
      </c>
      <c r="F204" s="46">
        <f t="shared" si="4"/>
        <v>0</v>
      </c>
      <c r="G204" s="46">
        <f t="shared" si="5"/>
        <v>0</v>
      </c>
      <c r="H204" s="46"/>
      <c r="I204" s="46"/>
      <c r="J204" s="46"/>
      <c r="K204" s="46"/>
      <c r="L204" s="46"/>
      <c r="M204" s="46"/>
      <c r="N204" s="46"/>
      <c r="O204" s="46"/>
      <c r="P204" s="46"/>
      <c r="Q204" s="43"/>
      <c r="R204" s="36">
        <f t="shared" si="6"/>
        <v>0</v>
      </c>
      <c r="S204" s="36">
        <f>BASE!A208</f>
        <v>193</v>
      </c>
      <c r="T204" s="46">
        <f t="shared" si="7"/>
        <v>0</v>
      </c>
      <c r="U204" s="46">
        <f t="shared" si="8"/>
        <v>0</v>
      </c>
      <c r="V204" s="46">
        <f t="shared" si="9"/>
        <v>0</v>
      </c>
      <c r="W204" s="46">
        <f t="shared" si="10"/>
        <v>0</v>
      </c>
      <c r="X204" s="46">
        <f t="shared" si="11"/>
        <v>0</v>
      </c>
      <c r="Y204" s="159"/>
    </row>
    <row r="205" spans="1:25" ht="17.25" customHeight="1">
      <c r="A205" s="47" t="str">
        <f>+BASE!B209</f>
        <v>23XXR194</v>
      </c>
      <c r="B205" s="36" t="s">
        <v>40</v>
      </c>
      <c r="C205" s="46">
        <f t="shared" si="1"/>
        <v>0</v>
      </c>
      <c r="D205" s="46">
        <f t="shared" si="2"/>
        <v>0</v>
      </c>
      <c r="E205" s="46">
        <f t="shared" si="3"/>
        <v>0</v>
      </c>
      <c r="F205" s="46">
        <f t="shared" si="4"/>
        <v>0</v>
      </c>
      <c r="G205" s="46">
        <f t="shared" si="5"/>
        <v>0</v>
      </c>
      <c r="H205" s="46"/>
      <c r="I205" s="46"/>
      <c r="J205" s="46"/>
      <c r="K205" s="46"/>
      <c r="L205" s="46"/>
      <c r="M205" s="46"/>
      <c r="N205" s="46"/>
      <c r="O205" s="46"/>
      <c r="P205" s="46"/>
      <c r="Q205" s="43"/>
      <c r="R205" s="36">
        <f t="shared" si="6"/>
        <v>0</v>
      </c>
      <c r="S205" s="36">
        <f>BASE!A209</f>
        <v>194</v>
      </c>
      <c r="T205" s="46">
        <f t="shared" si="7"/>
        <v>0</v>
      </c>
      <c r="U205" s="46">
        <f t="shared" si="8"/>
        <v>0</v>
      </c>
      <c r="V205" s="46">
        <f t="shared" si="9"/>
        <v>0</v>
      </c>
      <c r="W205" s="46">
        <f t="shared" si="10"/>
        <v>0</v>
      </c>
      <c r="X205" s="46">
        <f t="shared" si="11"/>
        <v>0</v>
      </c>
      <c r="Y205" s="159"/>
    </row>
    <row r="206" spans="1:25" ht="17.25" customHeight="1">
      <c r="A206" s="47" t="str">
        <f>+BASE!B210</f>
        <v>23XXR195</v>
      </c>
      <c r="B206" s="36" t="s">
        <v>40</v>
      </c>
      <c r="C206" s="46">
        <f t="shared" si="1"/>
        <v>0</v>
      </c>
      <c r="D206" s="46">
        <f t="shared" si="2"/>
        <v>0</v>
      </c>
      <c r="E206" s="46">
        <f t="shared" si="3"/>
        <v>0</v>
      </c>
      <c r="F206" s="46">
        <f t="shared" si="4"/>
        <v>0</v>
      </c>
      <c r="G206" s="46">
        <f t="shared" si="5"/>
        <v>0</v>
      </c>
      <c r="H206" s="46"/>
      <c r="I206" s="46"/>
      <c r="J206" s="46"/>
      <c r="K206" s="46"/>
      <c r="L206" s="46"/>
      <c r="M206" s="46"/>
      <c r="N206" s="46"/>
      <c r="O206" s="46"/>
      <c r="P206" s="46"/>
      <c r="Q206" s="43"/>
      <c r="R206" s="36">
        <f t="shared" si="6"/>
        <v>0</v>
      </c>
      <c r="S206" s="36">
        <f>BASE!A210</f>
        <v>195</v>
      </c>
      <c r="T206" s="46">
        <f t="shared" si="7"/>
        <v>0</v>
      </c>
      <c r="U206" s="46">
        <f t="shared" si="8"/>
        <v>0</v>
      </c>
      <c r="V206" s="46">
        <f t="shared" si="9"/>
        <v>0</v>
      </c>
      <c r="W206" s="46">
        <f t="shared" si="10"/>
        <v>0</v>
      </c>
      <c r="X206" s="46">
        <f t="shared" si="11"/>
        <v>0</v>
      </c>
      <c r="Y206" s="159"/>
    </row>
    <row r="207" spans="1:25" ht="17.25" customHeight="1">
      <c r="A207" s="47" t="str">
        <f>+BASE!B211</f>
        <v>23XXR196</v>
      </c>
      <c r="B207" s="36" t="s">
        <v>40</v>
      </c>
      <c r="C207" s="46">
        <f t="shared" si="1"/>
        <v>0</v>
      </c>
      <c r="D207" s="46">
        <f t="shared" si="2"/>
        <v>0</v>
      </c>
      <c r="E207" s="46">
        <f t="shared" si="3"/>
        <v>0</v>
      </c>
      <c r="F207" s="46">
        <f t="shared" si="4"/>
        <v>0</v>
      </c>
      <c r="G207" s="46">
        <f t="shared" si="5"/>
        <v>0</v>
      </c>
      <c r="H207" s="46"/>
      <c r="I207" s="46"/>
      <c r="J207" s="46"/>
      <c r="K207" s="46"/>
      <c r="L207" s="46"/>
      <c r="M207" s="46"/>
      <c r="N207" s="46"/>
      <c r="O207" s="46"/>
      <c r="P207" s="46"/>
      <c r="Q207" s="43"/>
      <c r="R207" s="36">
        <f t="shared" si="6"/>
        <v>0</v>
      </c>
      <c r="S207" s="36">
        <f>BASE!A211</f>
        <v>196</v>
      </c>
      <c r="T207" s="46">
        <f t="shared" si="7"/>
        <v>0</v>
      </c>
      <c r="U207" s="46">
        <f t="shared" si="8"/>
        <v>0</v>
      </c>
      <c r="V207" s="46">
        <f t="shared" si="9"/>
        <v>0</v>
      </c>
      <c r="W207" s="46">
        <f t="shared" si="10"/>
        <v>0</v>
      </c>
      <c r="X207" s="46">
        <f t="shared" si="11"/>
        <v>0</v>
      </c>
      <c r="Y207" s="159"/>
    </row>
    <row r="208" spans="1:25" ht="17.25" customHeight="1">
      <c r="A208" s="47" t="str">
        <f>+BASE!B212</f>
        <v>23XXR197</v>
      </c>
      <c r="B208" s="36" t="s">
        <v>40</v>
      </c>
      <c r="C208" s="46">
        <f t="shared" si="1"/>
        <v>0</v>
      </c>
      <c r="D208" s="46">
        <f t="shared" si="2"/>
        <v>0</v>
      </c>
      <c r="E208" s="46">
        <f t="shared" si="3"/>
        <v>0</v>
      </c>
      <c r="F208" s="46">
        <f t="shared" si="4"/>
        <v>0</v>
      </c>
      <c r="G208" s="46">
        <f t="shared" si="5"/>
        <v>0</v>
      </c>
      <c r="H208" s="46"/>
      <c r="I208" s="46"/>
      <c r="J208" s="46"/>
      <c r="K208" s="46"/>
      <c r="L208" s="46"/>
      <c r="M208" s="46"/>
      <c r="N208" s="46"/>
      <c r="O208" s="46"/>
      <c r="P208" s="46"/>
      <c r="Q208" s="43"/>
      <c r="R208" s="36">
        <f t="shared" si="6"/>
        <v>0</v>
      </c>
      <c r="S208" s="36">
        <f>BASE!A212</f>
        <v>197</v>
      </c>
      <c r="T208" s="46">
        <f t="shared" si="7"/>
        <v>0</v>
      </c>
      <c r="U208" s="46">
        <f t="shared" si="8"/>
        <v>0</v>
      </c>
      <c r="V208" s="46">
        <f t="shared" si="9"/>
        <v>0</v>
      </c>
      <c r="W208" s="46">
        <f t="shared" si="10"/>
        <v>0</v>
      </c>
      <c r="X208" s="46">
        <f t="shared" si="11"/>
        <v>0</v>
      </c>
      <c r="Y208" s="159"/>
    </row>
    <row r="209" spans="1:25" ht="17.25" customHeight="1">
      <c r="A209" s="47" t="str">
        <f>+BASE!B213</f>
        <v>23XXR198</v>
      </c>
      <c r="B209" s="36" t="s">
        <v>40</v>
      </c>
      <c r="C209" s="46">
        <f t="shared" si="1"/>
        <v>0</v>
      </c>
      <c r="D209" s="46">
        <f t="shared" si="2"/>
        <v>0</v>
      </c>
      <c r="E209" s="46">
        <f t="shared" si="3"/>
        <v>0</v>
      </c>
      <c r="F209" s="46">
        <f t="shared" si="4"/>
        <v>0</v>
      </c>
      <c r="G209" s="46">
        <f t="shared" si="5"/>
        <v>0</v>
      </c>
      <c r="H209" s="46"/>
      <c r="I209" s="46"/>
      <c r="J209" s="46"/>
      <c r="K209" s="46"/>
      <c r="L209" s="46"/>
      <c r="M209" s="46"/>
      <c r="N209" s="46"/>
      <c r="O209" s="46"/>
      <c r="P209" s="46"/>
      <c r="Q209" s="43"/>
      <c r="R209" s="36">
        <f t="shared" si="6"/>
        <v>0</v>
      </c>
      <c r="S209" s="36">
        <f>BASE!A213</f>
        <v>198</v>
      </c>
      <c r="T209" s="46">
        <f t="shared" si="7"/>
        <v>0</v>
      </c>
      <c r="U209" s="46">
        <f t="shared" si="8"/>
        <v>0</v>
      </c>
      <c r="V209" s="46">
        <f t="shared" si="9"/>
        <v>0</v>
      </c>
      <c r="W209" s="46">
        <f t="shared" si="10"/>
        <v>0</v>
      </c>
      <c r="X209" s="46">
        <f t="shared" si="11"/>
        <v>0</v>
      </c>
      <c r="Y209" s="159"/>
    </row>
    <row r="210" spans="1:25" ht="17.25" customHeight="1">
      <c r="A210" s="47" t="str">
        <f>+BASE!B214</f>
        <v>23XXR199</v>
      </c>
      <c r="B210" s="36" t="s">
        <v>40</v>
      </c>
      <c r="C210" s="46">
        <f t="shared" si="1"/>
        <v>0</v>
      </c>
      <c r="D210" s="46">
        <f t="shared" si="2"/>
        <v>0</v>
      </c>
      <c r="E210" s="46">
        <f t="shared" si="3"/>
        <v>0</v>
      </c>
      <c r="F210" s="46">
        <f t="shared" si="4"/>
        <v>0</v>
      </c>
      <c r="G210" s="46">
        <f t="shared" si="5"/>
        <v>0</v>
      </c>
      <c r="H210" s="46"/>
      <c r="I210" s="46"/>
      <c r="J210" s="46"/>
      <c r="K210" s="46"/>
      <c r="L210" s="46"/>
      <c r="M210" s="46"/>
      <c r="N210" s="46"/>
      <c r="O210" s="46"/>
      <c r="P210" s="46"/>
      <c r="Q210" s="43"/>
      <c r="R210" s="36">
        <f t="shared" si="6"/>
        <v>0</v>
      </c>
      <c r="S210" s="36">
        <f>BASE!A214</f>
        <v>199</v>
      </c>
      <c r="T210" s="46">
        <f t="shared" si="7"/>
        <v>0</v>
      </c>
      <c r="U210" s="46">
        <f t="shared" si="8"/>
        <v>0</v>
      </c>
      <c r="V210" s="46">
        <f t="shared" si="9"/>
        <v>0</v>
      </c>
      <c r="W210" s="46">
        <f t="shared" si="10"/>
        <v>0</v>
      </c>
      <c r="X210" s="46">
        <f t="shared" si="11"/>
        <v>0</v>
      </c>
      <c r="Y210" s="159"/>
    </row>
    <row r="211" spans="1:25" ht="17.25" customHeight="1">
      <c r="A211" s="47" t="str">
        <f>+BASE!B215</f>
        <v>23XXR200</v>
      </c>
      <c r="B211" s="36" t="s">
        <v>40</v>
      </c>
      <c r="C211" s="46">
        <f t="shared" si="1"/>
        <v>0</v>
      </c>
      <c r="D211" s="46">
        <f t="shared" si="2"/>
        <v>0</v>
      </c>
      <c r="E211" s="46">
        <f t="shared" si="3"/>
        <v>0</v>
      </c>
      <c r="F211" s="46">
        <f t="shared" si="4"/>
        <v>0</v>
      </c>
      <c r="G211" s="46">
        <f t="shared" si="5"/>
        <v>0</v>
      </c>
      <c r="H211" s="46"/>
      <c r="I211" s="46"/>
      <c r="J211" s="46"/>
      <c r="K211" s="46"/>
      <c r="L211" s="46"/>
      <c r="M211" s="46"/>
      <c r="N211" s="46"/>
      <c r="O211" s="46"/>
      <c r="P211" s="46"/>
      <c r="Q211" s="43"/>
      <c r="R211" s="36">
        <f t="shared" si="6"/>
        <v>0</v>
      </c>
      <c r="S211" s="36">
        <f>BASE!A215</f>
        <v>200</v>
      </c>
      <c r="T211" s="46">
        <f t="shared" si="7"/>
        <v>0</v>
      </c>
      <c r="U211" s="46">
        <f t="shared" si="8"/>
        <v>0</v>
      </c>
      <c r="V211" s="46">
        <f t="shared" si="9"/>
        <v>0</v>
      </c>
      <c r="W211" s="46">
        <f t="shared" si="10"/>
        <v>0</v>
      </c>
      <c r="X211" s="46">
        <f t="shared" si="11"/>
        <v>0</v>
      </c>
      <c r="Y211" s="159"/>
    </row>
    <row r="212" spans="1:25" ht="17.25" customHeight="1">
      <c r="A212" s="47" t="str">
        <f>+BASE!B216</f>
        <v>23XXR201</v>
      </c>
      <c r="B212" s="36" t="s">
        <v>40</v>
      </c>
      <c r="C212" s="46">
        <f t="shared" si="1"/>
        <v>0</v>
      </c>
      <c r="D212" s="46">
        <f t="shared" si="2"/>
        <v>0</v>
      </c>
      <c r="E212" s="46">
        <f t="shared" si="3"/>
        <v>0</v>
      </c>
      <c r="F212" s="46">
        <f t="shared" si="4"/>
        <v>0</v>
      </c>
      <c r="G212" s="46">
        <f t="shared" si="5"/>
        <v>0</v>
      </c>
      <c r="H212" s="46"/>
      <c r="I212" s="46"/>
      <c r="J212" s="46"/>
      <c r="K212" s="46"/>
      <c r="L212" s="46"/>
      <c r="M212" s="46"/>
      <c r="N212" s="46"/>
      <c r="O212" s="46"/>
      <c r="P212" s="46"/>
      <c r="Q212" s="43"/>
      <c r="R212" s="36">
        <f t="shared" si="6"/>
        <v>0</v>
      </c>
      <c r="S212" s="36">
        <f>BASE!A216</f>
        <v>201</v>
      </c>
      <c r="T212" s="46">
        <f t="shared" si="7"/>
        <v>0</v>
      </c>
      <c r="U212" s="46">
        <f t="shared" si="8"/>
        <v>0</v>
      </c>
      <c r="V212" s="46">
        <f t="shared" si="9"/>
        <v>0</v>
      </c>
      <c r="W212" s="46">
        <f t="shared" si="10"/>
        <v>0</v>
      </c>
      <c r="X212" s="46">
        <f t="shared" si="11"/>
        <v>0</v>
      </c>
      <c r="Y212" s="159"/>
    </row>
    <row r="213" spans="1:25" ht="17.25" customHeight="1">
      <c r="A213" s="47" t="str">
        <f>+BASE!B217</f>
        <v>23XXR202</v>
      </c>
      <c r="B213" s="36" t="s">
        <v>40</v>
      </c>
      <c r="C213" s="46">
        <f t="shared" si="1"/>
        <v>0</v>
      </c>
      <c r="D213" s="46">
        <f t="shared" si="2"/>
        <v>0</v>
      </c>
      <c r="E213" s="46">
        <f t="shared" si="3"/>
        <v>0</v>
      </c>
      <c r="F213" s="46">
        <f t="shared" si="4"/>
        <v>0</v>
      </c>
      <c r="G213" s="46">
        <f t="shared" si="5"/>
        <v>0</v>
      </c>
      <c r="H213" s="46"/>
      <c r="I213" s="46"/>
      <c r="J213" s="46"/>
      <c r="K213" s="46"/>
      <c r="L213" s="46"/>
      <c r="M213" s="46"/>
      <c r="N213" s="46"/>
      <c r="O213" s="46"/>
      <c r="P213" s="46"/>
      <c r="Q213" s="43"/>
      <c r="R213" s="36">
        <f t="shared" si="6"/>
        <v>0</v>
      </c>
      <c r="S213" s="36">
        <f>BASE!A217</f>
        <v>202</v>
      </c>
      <c r="T213" s="46">
        <f t="shared" si="7"/>
        <v>0</v>
      </c>
      <c r="U213" s="46">
        <f t="shared" si="8"/>
        <v>0</v>
      </c>
      <c r="V213" s="46">
        <f t="shared" si="9"/>
        <v>0</v>
      </c>
      <c r="W213" s="46">
        <f t="shared" si="10"/>
        <v>0</v>
      </c>
      <c r="X213" s="46">
        <f t="shared" si="11"/>
        <v>0</v>
      </c>
      <c r="Y213" s="159"/>
    </row>
    <row r="214" spans="1:25" ht="17.25" customHeight="1">
      <c r="A214" s="47" t="str">
        <f>+BASE!B218</f>
        <v>23XXR203</v>
      </c>
      <c r="B214" s="36" t="s">
        <v>40</v>
      </c>
      <c r="C214" s="46">
        <f t="shared" si="1"/>
        <v>0</v>
      </c>
      <c r="D214" s="46">
        <f t="shared" si="2"/>
        <v>0</v>
      </c>
      <c r="E214" s="46">
        <f t="shared" si="3"/>
        <v>0</v>
      </c>
      <c r="F214" s="46">
        <f t="shared" si="4"/>
        <v>0</v>
      </c>
      <c r="G214" s="46">
        <f t="shared" si="5"/>
        <v>0</v>
      </c>
      <c r="H214" s="46"/>
      <c r="I214" s="46"/>
      <c r="J214" s="46"/>
      <c r="K214" s="46"/>
      <c r="L214" s="46"/>
      <c r="M214" s="46"/>
      <c r="N214" s="46"/>
      <c r="O214" s="46"/>
      <c r="P214" s="46"/>
      <c r="Q214" s="43"/>
      <c r="R214" s="36">
        <f t="shared" si="6"/>
        <v>0</v>
      </c>
      <c r="S214" s="36">
        <f>BASE!A218</f>
        <v>203</v>
      </c>
      <c r="T214" s="46">
        <f t="shared" si="7"/>
        <v>0</v>
      </c>
      <c r="U214" s="46">
        <f t="shared" si="8"/>
        <v>0</v>
      </c>
      <c r="V214" s="46">
        <f t="shared" si="9"/>
        <v>0</v>
      </c>
      <c r="W214" s="46">
        <f t="shared" si="10"/>
        <v>0</v>
      </c>
      <c r="X214" s="46">
        <f t="shared" si="11"/>
        <v>0</v>
      </c>
      <c r="Y214" s="159"/>
    </row>
    <row r="215" spans="1:25" ht="17.25" customHeight="1">
      <c r="A215" s="47" t="str">
        <f>+BASE!B219</f>
        <v>23XXR204</v>
      </c>
      <c r="B215" s="36" t="s">
        <v>40</v>
      </c>
      <c r="C215" s="46">
        <f t="shared" si="1"/>
        <v>0</v>
      </c>
      <c r="D215" s="46">
        <f t="shared" si="2"/>
        <v>0</v>
      </c>
      <c r="E215" s="46">
        <f t="shared" si="3"/>
        <v>0</v>
      </c>
      <c r="F215" s="46">
        <f t="shared" si="4"/>
        <v>0</v>
      </c>
      <c r="G215" s="46">
        <f t="shared" si="5"/>
        <v>0</v>
      </c>
      <c r="H215" s="46"/>
      <c r="I215" s="46"/>
      <c r="J215" s="46"/>
      <c r="K215" s="46"/>
      <c r="L215" s="46"/>
      <c r="M215" s="46"/>
      <c r="N215" s="46"/>
      <c r="O215" s="46"/>
      <c r="P215" s="46"/>
      <c r="Q215" s="43"/>
      <c r="R215" s="36">
        <f t="shared" si="6"/>
        <v>0</v>
      </c>
      <c r="S215" s="36">
        <f>BASE!A219</f>
        <v>204</v>
      </c>
      <c r="T215" s="46">
        <f t="shared" si="7"/>
        <v>0</v>
      </c>
      <c r="U215" s="46">
        <f t="shared" si="8"/>
        <v>0</v>
      </c>
      <c r="V215" s="46">
        <f t="shared" si="9"/>
        <v>0</v>
      </c>
      <c r="W215" s="46">
        <f t="shared" si="10"/>
        <v>0</v>
      </c>
      <c r="X215" s="46">
        <f t="shared" si="11"/>
        <v>0</v>
      </c>
      <c r="Y215" s="159"/>
    </row>
    <row r="216" spans="1:25" ht="17.25" customHeight="1">
      <c r="A216" s="47" t="str">
        <f>+BASE!B220</f>
        <v>23XXR205</v>
      </c>
      <c r="B216" s="36" t="s">
        <v>40</v>
      </c>
      <c r="C216" s="46">
        <f t="shared" si="1"/>
        <v>0</v>
      </c>
      <c r="D216" s="46">
        <f t="shared" si="2"/>
        <v>0</v>
      </c>
      <c r="E216" s="46">
        <f t="shared" si="3"/>
        <v>0</v>
      </c>
      <c r="F216" s="46">
        <f t="shared" si="4"/>
        <v>0</v>
      </c>
      <c r="G216" s="46">
        <f t="shared" si="5"/>
        <v>0</v>
      </c>
      <c r="H216" s="46"/>
      <c r="I216" s="46"/>
      <c r="J216" s="46"/>
      <c r="K216" s="46"/>
      <c r="L216" s="46"/>
      <c r="M216" s="46"/>
      <c r="N216" s="46"/>
      <c r="O216" s="46"/>
      <c r="P216" s="46"/>
      <c r="Q216" s="43"/>
      <c r="R216" s="36">
        <f t="shared" si="6"/>
        <v>0</v>
      </c>
      <c r="S216" s="36">
        <f>BASE!A220</f>
        <v>205</v>
      </c>
      <c r="T216" s="46">
        <f t="shared" si="7"/>
        <v>0</v>
      </c>
      <c r="U216" s="46">
        <f t="shared" si="8"/>
        <v>0</v>
      </c>
      <c r="V216" s="46">
        <f t="shared" si="9"/>
        <v>0</v>
      </c>
      <c r="W216" s="46">
        <f t="shared" si="10"/>
        <v>0</v>
      </c>
      <c r="X216" s="46">
        <f t="shared" si="11"/>
        <v>0</v>
      </c>
      <c r="Y216" s="159"/>
    </row>
    <row r="217" spans="1:25" ht="17.25" customHeight="1">
      <c r="A217" s="47" t="str">
        <f>+BASE!B221</f>
        <v>23XXR206</v>
      </c>
      <c r="B217" s="36" t="s">
        <v>40</v>
      </c>
      <c r="C217" s="46">
        <f t="shared" si="1"/>
        <v>0</v>
      </c>
      <c r="D217" s="46">
        <f t="shared" si="2"/>
        <v>0</v>
      </c>
      <c r="E217" s="46">
        <f t="shared" si="3"/>
        <v>0</v>
      </c>
      <c r="F217" s="46">
        <f t="shared" si="4"/>
        <v>0</v>
      </c>
      <c r="G217" s="46">
        <f t="shared" si="5"/>
        <v>0</v>
      </c>
      <c r="H217" s="46"/>
      <c r="I217" s="46"/>
      <c r="J217" s="46"/>
      <c r="K217" s="46"/>
      <c r="L217" s="46"/>
      <c r="M217" s="46"/>
      <c r="N217" s="46"/>
      <c r="O217" s="46"/>
      <c r="P217" s="46"/>
      <c r="Q217" s="43"/>
      <c r="R217" s="36">
        <f t="shared" si="6"/>
        <v>0</v>
      </c>
      <c r="S217" s="36">
        <f>BASE!A221</f>
        <v>206</v>
      </c>
      <c r="T217" s="46">
        <f t="shared" si="7"/>
        <v>0</v>
      </c>
      <c r="U217" s="46">
        <f t="shared" si="8"/>
        <v>0</v>
      </c>
      <c r="V217" s="46">
        <f t="shared" si="9"/>
        <v>0</v>
      </c>
      <c r="W217" s="46">
        <f t="shared" si="10"/>
        <v>0</v>
      </c>
      <c r="X217" s="46">
        <f t="shared" si="11"/>
        <v>0</v>
      </c>
      <c r="Y217" s="159"/>
    </row>
    <row r="218" spans="1:25" ht="17.25" customHeight="1">
      <c r="A218" s="47" t="str">
        <f>+BASE!B222</f>
        <v>23XXR207</v>
      </c>
      <c r="B218" s="36" t="s">
        <v>40</v>
      </c>
      <c r="C218" s="46">
        <f t="shared" si="1"/>
        <v>0</v>
      </c>
      <c r="D218" s="46">
        <f t="shared" si="2"/>
        <v>0</v>
      </c>
      <c r="E218" s="46">
        <f t="shared" si="3"/>
        <v>0</v>
      </c>
      <c r="F218" s="46">
        <f t="shared" si="4"/>
        <v>0</v>
      </c>
      <c r="G218" s="46">
        <f t="shared" si="5"/>
        <v>0</v>
      </c>
      <c r="H218" s="46"/>
      <c r="I218" s="46"/>
      <c r="J218" s="46"/>
      <c r="K218" s="46"/>
      <c r="L218" s="46"/>
      <c r="M218" s="46"/>
      <c r="N218" s="46"/>
      <c r="O218" s="46"/>
      <c r="P218" s="46"/>
      <c r="Q218" s="43"/>
      <c r="R218" s="36">
        <f t="shared" si="6"/>
        <v>0</v>
      </c>
      <c r="S218" s="36">
        <f>BASE!A222</f>
        <v>207</v>
      </c>
      <c r="T218" s="46">
        <f t="shared" si="7"/>
        <v>0</v>
      </c>
      <c r="U218" s="46">
        <f t="shared" si="8"/>
        <v>0</v>
      </c>
      <c r="V218" s="46">
        <f t="shared" si="9"/>
        <v>0</v>
      </c>
      <c r="W218" s="46">
        <f t="shared" si="10"/>
        <v>0</v>
      </c>
      <c r="X218" s="46">
        <f t="shared" si="11"/>
        <v>0</v>
      </c>
      <c r="Y218" s="159"/>
    </row>
    <row r="219" spans="1:25" ht="17.25" customHeight="1">
      <c r="A219" s="47" t="str">
        <f>+BASE!B223</f>
        <v>23XXR208</v>
      </c>
      <c r="B219" s="36" t="s">
        <v>40</v>
      </c>
      <c r="C219" s="46">
        <f t="shared" si="1"/>
        <v>0</v>
      </c>
      <c r="D219" s="46">
        <f t="shared" si="2"/>
        <v>0</v>
      </c>
      <c r="E219" s="46">
        <f t="shared" si="3"/>
        <v>0</v>
      </c>
      <c r="F219" s="46">
        <f t="shared" si="4"/>
        <v>0</v>
      </c>
      <c r="G219" s="46">
        <f t="shared" si="5"/>
        <v>0</v>
      </c>
      <c r="H219" s="46"/>
      <c r="I219" s="46"/>
      <c r="J219" s="46"/>
      <c r="K219" s="46"/>
      <c r="L219" s="46"/>
      <c r="M219" s="46"/>
      <c r="N219" s="46"/>
      <c r="O219" s="46"/>
      <c r="P219" s="46"/>
      <c r="Q219" s="43"/>
      <c r="R219" s="36">
        <f t="shared" si="6"/>
        <v>0</v>
      </c>
      <c r="S219" s="36">
        <f>BASE!A223</f>
        <v>208</v>
      </c>
      <c r="T219" s="46">
        <f t="shared" si="7"/>
        <v>0</v>
      </c>
      <c r="U219" s="46">
        <f t="shared" si="8"/>
        <v>0</v>
      </c>
      <c r="V219" s="46">
        <f t="shared" si="9"/>
        <v>0</v>
      </c>
      <c r="W219" s="46">
        <f t="shared" si="10"/>
        <v>0</v>
      </c>
      <c r="X219" s="46">
        <f t="shared" si="11"/>
        <v>0</v>
      </c>
      <c r="Y219" s="159"/>
    </row>
    <row r="220" spans="1:25" ht="17.25" customHeight="1">
      <c r="A220" s="47" t="str">
        <f>+BASE!B224</f>
        <v>23XXR209</v>
      </c>
      <c r="B220" s="36" t="s">
        <v>40</v>
      </c>
      <c r="C220" s="46">
        <f t="shared" si="1"/>
        <v>0</v>
      </c>
      <c r="D220" s="46">
        <f t="shared" si="2"/>
        <v>0</v>
      </c>
      <c r="E220" s="46">
        <f t="shared" si="3"/>
        <v>0</v>
      </c>
      <c r="F220" s="46">
        <f t="shared" si="4"/>
        <v>0</v>
      </c>
      <c r="G220" s="46">
        <f t="shared" si="5"/>
        <v>0</v>
      </c>
      <c r="H220" s="46"/>
      <c r="I220" s="46"/>
      <c r="J220" s="46"/>
      <c r="K220" s="46"/>
      <c r="L220" s="46"/>
      <c r="M220" s="46"/>
      <c r="N220" s="46"/>
      <c r="O220" s="46"/>
      <c r="P220" s="46"/>
      <c r="Q220" s="43"/>
      <c r="R220" s="36">
        <f t="shared" si="6"/>
        <v>0</v>
      </c>
      <c r="S220" s="36">
        <f>BASE!A224</f>
        <v>209</v>
      </c>
      <c r="T220" s="46">
        <f t="shared" si="7"/>
        <v>0</v>
      </c>
      <c r="U220" s="46">
        <f t="shared" si="8"/>
        <v>0</v>
      </c>
      <c r="V220" s="46">
        <f t="shared" si="9"/>
        <v>0</v>
      </c>
      <c r="W220" s="46">
        <f t="shared" si="10"/>
        <v>0</v>
      </c>
      <c r="X220" s="46">
        <f t="shared" si="11"/>
        <v>0</v>
      </c>
      <c r="Y220" s="159"/>
    </row>
    <row r="221" spans="1:25" ht="17.25" customHeight="1">
      <c r="A221" s="47" t="str">
        <f>+BASE!B225</f>
        <v>23XXR210</v>
      </c>
      <c r="B221" s="36" t="s">
        <v>40</v>
      </c>
      <c r="C221" s="46">
        <f t="shared" si="1"/>
        <v>0</v>
      </c>
      <c r="D221" s="46">
        <f t="shared" si="2"/>
        <v>0</v>
      </c>
      <c r="E221" s="46">
        <f t="shared" si="3"/>
        <v>0</v>
      </c>
      <c r="F221" s="46">
        <f t="shared" si="4"/>
        <v>0</v>
      </c>
      <c r="G221" s="46">
        <f t="shared" si="5"/>
        <v>0</v>
      </c>
      <c r="H221" s="46"/>
      <c r="I221" s="46"/>
      <c r="J221" s="46"/>
      <c r="K221" s="46"/>
      <c r="L221" s="46"/>
      <c r="M221" s="46"/>
      <c r="N221" s="46"/>
      <c r="O221" s="46"/>
      <c r="P221" s="46"/>
      <c r="Q221" s="43"/>
      <c r="R221" s="36">
        <f t="shared" si="6"/>
        <v>0</v>
      </c>
      <c r="S221" s="36">
        <f>BASE!A225</f>
        <v>210</v>
      </c>
      <c r="T221" s="46">
        <f t="shared" si="7"/>
        <v>0</v>
      </c>
      <c r="U221" s="46">
        <f t="shared" si="8"/>
        <v>0</v>
      </c>
      <c r="V221" s="46">
        <f t="shared" si="9"/>
        <v>0</v>
      </c>
      <c r="W221" s="46">
        <f t="shared" si="10"/>
        <v>0</v>
      </c>
      <c r="X221" s="46">
        <f t="shared" si="11"/>
        <v>0</v>
      </c>
      <c r="Y221" s="159"/>
    </row>
    <row r="222" spans="1:25" ht="17.25" customHeight="1">
      <c r="A222" s="47" t="str">
        <f>+BASE!B226</f>
        <v>23XXR211</v>
      </c>
      <c r="B222" s="36" t="s">
        <v>40</v>
      </c>
      <c r="C222" s="46">
        <f t="shared" si="1"/>
        <v>0</v>
      </c>
      <c r="D222" s="46">
        <f t="shared" si="2"/>
        <v>0</v>
      </c>
      <c r="E222" s="46">
        <f t="shared" si="3"/>
        <v>0</v>
      </c>
      <c r="F222" s="46">
        <f t="shared" si="4"/>
        <v>0</v>
      </c>
      <c r="G222" s="46">
        <f t="shared" si="5"/>
        <v>0</v>
      </c>
      <c r="H222" s="46"/>
      <c r="I222" s="46"/>
      <c r="J222" s="46"/>
      <c r="K222" s="46"/>
      <c r="L222" s="46"/>
      <c r="M222" s="46"/>
      <c r="N222" s="46"/>
      <c r="O222" s="46"/>
      <c r="P222" s="46"/>
      <c r="Q222" s="43"/>
      <c r="R222" s="36">
        <f t="shared" si="6"/>
        <v>0</v>
      </c>
      <c r="S222" s="36">
        <f>BASE!A226</f>
        <v>211</v>
      </c>
      <c r="T222" s="46">
        <f t="shared" si="7"/>
        <v>0</v>
      </c>
      <c r="U222" s="46">
        <f t="shared" si="8"/>
        <v>0</v>
      </c>
      <c r="V222" s="46">
        <f t="shared" si="9"/>
        <v>0</v>
      </c>
      <c r="W222" s="46">
        <f t="shared" si="10"/>
        <v>0</v>
      </c>
      <c r="X222" s="46">
        <f t="shared" si="11"/>
        <v>0</v>
      </c>
      <c r="Y222" s="159"/>
    </row>
    <row r="223" spans="1:25" ht="17.25" customHeight="1">
      <c r="A223" s="47" t="str">
        <f>+BASE!B227</f>
        <v>23XXR212</v>
      </c>
      <c r="B223" s="36" t="s">
        <v>40</v>
      </c>
      <c r="C223" s="46">
        <f t="shared" si="1"/>
        <v>0</v>
      </c>
      <c r="D223" s="46">
        <f t="shared" si="2"/>
        <v>0</v>
      </c>
      <c r="E223" s="46">
        <f t="shared" si="3"/>
        <v>0</v>
      </c>
      <c r="F223" s="46">
        <f t="shared" si="4"/>
        <v>0</v>
      </c>
      <c r="G223" s="46">
        <f t="shared" si="5"/>
        <v>0</v>
      </c>
      <c r="H223" s="46"/>
      <c r="I223" s="46"/>
      <c r="J223" s="46"/>
      <c r="K223" s="46"/>
      <c r="L223" s="46"/>
      <c r="M223" s="46"/>
      <c r="N223" s="46"/>
      <c r="O223" s="46"/>
      <c r="P223" s="46"/>
      <c r="Q223" s="43"/>
      <c r="R223" s="36">
        <f t="shared" si="6"/>
        <v>0</v>
      </c>
      <c r="S223" s="36">
        <f>BASE!A227</f>
        <v>212</v>
      </c>
      <c r="T223" s="46">
        <f t="shared" si="7"/>
        <v>0</v>
      </c>
      <c r="U223" s="46">
        <f t="shared" si="8"/>
        <v>0</v>
      </c>
      <c r="V223" s="46">
        <f t="shared" si="9"/>
        <v>0</v>
      </c>
      <c r="W223" s="46">
        <f t="shared" si="10"/>
        <v>0</v>
      </c>
      <c r="X223" s="46">
        <f t="shared" si="11"/>
        <v>0</v>
      </c>
      <c r="Y223" s="159"/>
    </row>
    <row r="224" spans="1:25" ht="17.25" customHeight="1">
      <c r="A224" s="47" t="str">
        <f>+BASE!B228</f>
        <v>23XXR213</v>
      </c>
      <c r="B224" s="36" t="s">
        <v>40</v>
      </c>
      <c r="C224" s="46">
        <f t="shared" si="1"/>
        <v>0</v>
      </c>
      <c r="D224" s="46">
        <f t="shared" si="2"/>
        <v>0</v>
      </c>
      <c r="E224" s="46">
        <f t="shared" si="3"/>
        <v>0</v>
      </c>
      <c r="F224" s="46">
        <f t="shared" si="4"/>
        <v>0</v>
      </c>
      <c r="G224" s="46">
        <f t="shared" si="5"/>
        <v>0</v>
      </c>
      <c r="H224" s="46"/>
      <c r="I224" s="46"/>
      <c r="J224" s="46"/>
      <c r="K224" s="46"/>
      <c r="L224" s="46"/>
      <c r="M224" s="46"/>
      <c r="N224" s="46"/>
      <c r="O224" s="46"/>
      <c r="P224" s="46"/>
      <c r="Q224" s="43"/>
      <c r="R224" s="36">
        <f t="shared" si="6"/>
        <v>0</v>
      </c>
      <c r="S224" s="36">
        <f>BASE!A228</f>
        <v>213</v>
      </c>
      <c r="T224" s="46">
        <f t="shared" si="7"/>
        <v>0</v>
      </c>
      <c r="U224" s="46">
        <f t="shared" si="8"/>
        <v>0</v>
      </c>
      <c r="V224" s="46">
        <f t="shared" si="9"/>
        <v>0</v>
      </c>
      <c r="W224" s="46">
        <f t="shared" si="10"/>
        <v>0</v>
      </c>
      <c r="X224" s="46">
        <f t="shared" si="11"/>
        <v>0</v>
      </c>
      <c r="Y224" s="159"/>
    </row>
    <row r="225" spans="1:25" ht="17.25" customHeight="1">
      <c r="A225" s="47" t="str">
        <f>+BASE!B229</f>
        <v>23XXR214</v>
      </c>
      <c r="B225" s="36" t="s">
        <v>40</v>
      </c>
      <c r="C225" s="46">
        <f t="shared" si="1"/>
        <v>0</v>
      </c>
      <c r="D225" s="46">
        <f t="shared" si="2"/>
        <v>0</v>
      </c>
      <c r="E225" s="46">
        <f t="shared" si="3"/>
        <v>0</v>
      </c>
      <c r="F225" s="46">
        <f t="shared" si="4"/>
        <v>0</v>
      </c>
      <c r="G225" s="46">
        <f t="shared" si="5"/>
        <v>0</v>
      </c>
      <c r="H225" s="46"/>
      <c r="I225" s="46"/>
      <c r="J225" s="46"/>
      <c r="K225" s="46"/>
      <c r="L225" s="46"/>
      <c r="M225" s="46"/>
      <c r="N225" s="46"/>
      <c r="O225" s="46"/>
      <c r="P225" s="46"/>
      <c r="Q225" s="43"/>
      <c r="R225" s="36">
        <f t="shared" si="6"/>
        <v>0</v>
      </c>
      <c r="S225" s="36">
        <f>BASE!A229</f>
        <v>214</v>
      </c>
      <c r="T225" s="46">
        <f t="shared" si="7"/>
        <v>0</v>
      </c>
      <c r="U225" s="46">
        <f t="shared" si="8"/>
        <v>0</v>
      </c>
      <c r="V225" s="46">
        <f t="shared" si="9"/>
        <v>0</v>
      </c>
      <c r="W225" s="46">
        <f t="shared" si="10"/>
        <v>0</v>
      </c>
      <c r="X225" s="46">
        <f t="shared" si="11"/>
        <v>0</v>
      </c>
      <c r="Y225" s="159"/>
    </row>
    <row r="226" spans="1:25" ht="17.25" customHeight="1">
      <c r="A226" s="47" t="str">
        <f>+BASE!B230</f>
        <v>23XXR215</v>
      </c>
      <c r="B226" s="36" t="s">
        <v>40</v>
      </c>
      <c r="C226" s="46">
        <f t="shared" si="1"/>
        <v>0</v>
      </c>
      <c r="D226" s="46">
        <f t="shared" si="2"/>
        <v>0</v>
      </c>
      <c r="E226" s="46">
        <f t="shared" si="3"/>
        <v>0</v>
      </c>
      <c r="F226" s="46">
        <f t="shared" si="4"/>
        <v>0</v>
      </c>
      <c r="G226" s="46">
        <f t="shared" si="5"/>
        <v>0</v>
      </c>
      <c r="H226" s="46"/>
      <c r="I226" s="46"/>
      <c r="J226" s="46"/>
      <c r="K226" s="46"/>
      <c r="L226" s="46"/>
      <c r="M226" s="46"/>
      <c r="N226" s="46"/>
      <c r="O226" s="46"/>
      <c r="P226" s="46"/>
      <c r="Q226" s="43"/>
      <c r="R226" s="36">
        <f t="shared" si="6"/>
        <v>0</v>
      </c>
      <c r="S226" s="36">
        <f>BASE!A230</f>
        <v>215</v>
      </c>
      <c r="T226" s="46">
        <f t="shared" si="7"/>
        <v>0</v>
      </c>
      <c r="U226" s="46">
        <f t="shared" si="8"/>
        <v>0</v>
      </c>
      <c r="V226" s="46">
        <f t="shared" si="9"/>
        <v>0</v>
      </c>
      <c r="W226" s="46">
        <f t="shared" si="10"/>
        <v>0</v>
      </c>
      <c r="X226" s="46">
        <f t="shared" si="11"/>
        <v>0</v>
      </c>
      <c r="Y226" s="159"/>
    </row>
    <row r="227" spans="1:25" ht="17.25" customHeight="1">
      <c r="A227" s="47" t="str">
        <f>+BASE!B231</f>
        <v>23XXR216</v>
      </c>
      <c r="B227" s="36" t="s">
        <v>40</v>
      </c>
      <c r="C227" s="46">
        <f t="shared" si="1"/>
        <v>0</v>
      </c>
      <c r="D227" s="46">
        <f t="shared" si="2"/>
        <v>0</v>
      </c>
      <c r="E227" s="46">
        <f t="shared" si="3"/>
        <v>0</v>
      </c>
      <c r="F227" s="46">
        <f t="shared" si="4"/>
        <v>0</v>
      </c>
      <c r="G227" s="46">
        <f t="shared" si="5"/>
        <v>0</v>
      </c>
      <c r="H227" s="46"/>
      <c r="I227" s="46"/>
      <c r="J227" s="46"/>
      <c r="K227" s="46"/>
      <c r="L227" s="46"/>
      <c r="M227" s="46"/>
      <c r="N227" s="46"/>
      <c r="O227" s="46"/>
      <c r="P227" s="46"/>
      <c r="Q227" s="43"/>
      <c r="R227" s="36">
        <f t="shared" si="6"/>
        <v>0</v>
      </c>
      <c r="S227" s="36">
        <f>BASE!A231</f>
        <v>216</v>
      </c>
      <c r="T227" s="46">
        <f t="shared" si="7"/>
        <v>0</v>
      </c>
      <c r="U227" s="46">
        <f t="shared" si="8"/>
        <v>0</v>
      </c>
      <c r="V227" s="46">
        <f t="shared" si="9"/>
        <v>0</v>
      </c>
      <c r="W227" s="46">
        <f t="shared" si="10"/>
        <v>0</v>
      </c>
      <c r="X227" s="46">
        <f t="shared" si="11"/>
        <v>0</v>
      </c>
      <c r="Y227" s="159"/>
    </row>
    <row r="228" spans="1:25" ht="17.25" customHeight="1">
      <c r="A228" s="47" t="str">
        <f>+BASE!B232</f>
        <v>23XXR217</v>
      </c>
      <c r="B228" s="36" t="s">
        <v>40</v>
      </c>
      <c r="C228" s="46">
        <f t="shared" si="1"/>
        <v>0</v>
      </c>
      <c r="D228" s="46">
        <f t="shared" si="2"/>
        <v>0</v>
      </c>
      <c r="E228" s="46">
        <f t="shared" si="3"/>
        <v>0</v>
      </c>
      <c r="F228" s="46">
        <f t="shared" si="4"/>
        <v>0</v>
      </c>
      <c r="G228" s="46">
        <f t="shared" si="5"/>
        <v>0</v>
      </c>
      <c r="H228" s="46"/>
      <c r="I228" s="46"/>
      <c r="J228" s="46"/>
      <c r="K228" s="46"/>
      <c r="L228" s="46"/>
      <c r="M228" s="46"/>
      <c r="N228" s="46"/>
      <c r="O228" s="46"/>
      <c r="P228" s="46"/>
      <c r="Q228" s="43"/>
      <c r="R228" s="36">
        <f t="shared" si="6"/>
        <v>0</v>
      </c>
      <c r="S228" s="36">
        <f>BASE!A232</f>
        <v>217</v>
      </c>
      <c r="T228" s="46">
        <f t="shared" si="7"/>
        <v>0</v>
      </c>
      <c r="U228" s="46">
        <f t="shared" si="8"/>
        <v>0</v>
      </c>
      <c r="V228" s="46">
        <f t="shared" si="9"/>
        <v>0</v>
      </c>
      <c r="W228" s="46">
        <f t="shared" si="10"/>
        <v>0</v>
      </c>
      <c r="X228" s="46">
        <f t="shared" si="11"/>
        <v>0</v>
      </c>
      <c r="Y228" s="159"/>
    </row>
    <row r="229" spans="1:25" ht="17.25" customHeight="1">
      <c r="A229" s="47" t="str">
        <f>+BASE!B233</f>
        <v>23XXR218</v>
      </c>
      <c r="B229" s="36" t="s">
        <v>40</v>
      </c>
      <c r="C229" s="46">
        <f t="shared" si="1"/>
        <v>0</v>
      </c>
      <c r="D229" s="46">
        <f t="shared" si="2"/>
        <v>0</v>
      </c>
      <c r="E229" s="46">
        <f t="shared" si="3"/>
        <v>0</v>
      </c>
      <c r="F229" s="46">
        <f t="shared" si="4"/>
        <v>0</v>
      </c>
      <c r="G229" s="46">
        <f t="shared" si="5"/>
        <v>0</v>
      </c>
      <c r="H229" s="46"/>
      <c r="I229" s="46"/>
      <c r="J229" s="46"/>
      <c r="K229" s="46"/>
      <c r="L229" s="46"/>
      <c r="M229" s="46"/>
      <c r="N229" s="46"/>
      <c r="O229" s="46"/>
      <c r="P229" s="46"/>
      <c r="Q229" s="43"/>
      <c r="R229" s="36">
        <f t="shared" si="6"/>
        <v>0</v>
      </c>
      <c r="S229" s="36">
        <f>BASE!A233</f>
        <v>218</v>
      </c>
      <c r="T229" s="46">
        <f t="shared" si="7"/>
        <v>0</v>
      </c>
      <c r="U229" s="46">
        <f t="shared" si="8"/>
        <v>0</v>
      </c>
      <c r="V229" s="46">
        <f t="shared" si="9"/>
        <v>0</v>
      </c>
      <c r="W229" s="46">
        <f t="shared" si="10"/>
        <v>0</v>
      </c>
      <c r="X229" s="46">
        <f t="shared" si="11"/>
        <v>0</v>
      </c>
      <c r="Y229" s="159"/>
    </row>
    <row r="230" spans="1:25" ht="17.25" customHeight="1">
      <c r="A230" s="47" t="str">
        <f>+BASE!B234</f>
        <v>23XXR219</v>
      </c>
      <c r="B230" s="36" t="s">
        <v>40</v>
      </c>
      <c r="C230" s="46">
        <f t="shared" si="1"/>
        <v>0</v>
      </c>
      <c r="D230" s="46">
        <f t="shared" si="2"/>
        <v>0</v>
      </c>
      <c r="E230" s="46">
        <f t="shared" si="3"/>
        <v>0</v>
      </c>
      <c r="F230" s="46">
        <f t="shared" si="4"/>
        <v>0</v>
      </c>
      <c r="G230" s="46">
        <f t="shared" si="5"/>
        <v>0</v>
      </c>
      <c r="H230" s="46"/>
      <c r="I230" s="46"/>
      <c r="J230" s="46"/>
      <c r="K230" s="46"/>
      <c r="L230" s="46"/>
      <c r="M230" s="46"/>
      <c r="N230" s="46"/>
      <c r="O230" s="46"/>
      <c r="P230" s="46"/>
      <c r="Q230" s="43"/>
      <c r="R230" s="36">
        <f t="shared" si="6"/>
        <v>0</v>
      </c>
      <c r="S230" s="36">
        <f>BASE!A234</f>
        <v>219</v>
      </c>
      <c r="T230" s="46">
        <f t="shared" si="7"/>
        <v>0</v>
      </c>
      <c r="U230" s="46">
        <f t="shared" si="8"/>
        <v>0</v>
      </c>
      <c r="V230" s="46">
        <f t="shared" si="9"/>
        <v>0</v>
      </c>
      <c r="W230" s="46">
        <f t="shared" si="10"/>
        <v>0</v>
      </c>
      <c r="X230" s="46">
        <f t="shared" si="11"/>
        <v>0</v>
      </c>
      <c r="Y230" s="159"/>
    </row>
    <row r="231" spans="1:25" ht="17.25" customHeight="1">
      <c r="A231" s="47" t="str">
        <f>+BASE!B235</f>
        <v>23XXR220</v>
      </c>
      <c r="B231" s="36" t="s">
        <v>40</v>
      </c>
      <c r="C231" s="46">
        <f t="shared" si="1"/>
        <v>0</v>
      </c>
      <c r="D231" s="46">
        <f t="shared" si="2"/>
        <v>0</v>
      </c>
      <c r="E231" s="46">
        <f t="shared" si="3"/>
        <v>0</v>
      </c>
      <c r="F231" s="46">
        <f t="shared" si="4"/>
        <v>0</v>
      </c>
      <c r="G231" s="46">
        <f t="shared" si="5"/>
        <v>0</v>
      </c>
      <c r="H231" s="46"/>
      <c r="I231" s="46"/>
      <c r="J231" s="46"/>
      <c r="K231" s="46"/>
      <c r="L231" s="46"/>
      <c r="M231" s="46"/>
      <c r="N231" s="46"/>
      <c r="O231" s="46"/>
      <c r="P231" s="46"/>
      <c r="Q231" s="43"/>
      <c r="R231" s="36">
        <f t="shared" si="6"/>
        <v>0</v>
      </c>
      <c r="S231" s="36">
        <f>BASE!A235</f>
        <v>220</v>
      </c>
      <c r="T231" s="46">
        <f t="shared" si="7"/>
        <v>0</v>
      </c>
      <c r="U231" s="46">
        <f t="shared" si="8"/>
        <v>0</v>
      </c>
      <c r="V231" s="46">
        <f t="shared" si="9"/>
        <v>0</v>
      </c>
      <c r="W231" s="46">
        <f t="shared" si="10"/>
        <v>0</v>
      </c>
      <c r="X231" s="46">
        <f t="shared" si="11"/>
        <v>0</v>
      </c>
      <c r="Y231" s="159"/>
    </row>
    <row r="232" spans="1:25" ht="17.25" customHeight="1">
      <c r="A232" s="47" t="str">
        <f>+BASE!B236</f>
        <v>23XXR221</v>
      </c>
      <c r="B232" s="36" t="s">
        <v>40</v>
      </c>
      <c r="C232" s="46">
        <f t="shared" si="1"/>
        <v>0</v>
      </c>
      <c r="D232" s="46">
        <f t="shared" si="2"/>
        <v>0</v>
      </c>
      <c r="E232" s="46">
        <f t="shared" si="3"/>
        <v>0</v>
      </c>
      <c r="F232" s="46">
        <f t="shared" si="4"/>
        <v>0</v>
      </c>
      <c r="G232" s="46">
        <f t="shared" si="5"/>
        <v>0</v>
      </c>
      <c r="H232" s="46"/>
      <c r="I232" s="46"/>
      <c r="J232" s="46"/>
      <c r="K232" s="46"/>
      <c r="L232" s="46"/>
      <c r="M232" s="46"/>
      <c r="N232" s="46"/>
      <c r="O232" s="46"/>
      <c r="P232" s="46"/>
      <c r="Q232" s="43"/>
      <c r="R232" s="36">
        <f t="shared" si="6"/>
        <v>0</v>
      </c>
      <c r="S232" s="36">
        <f>BASE!A236</f>
        <v>221</v>
      </c>
      <c r="T232" s="46">
        <f t="shared" si="7"/>
        <v>0</v>
      </c>
      <c r="U232" s="46">
        <f t="shared" si="8"/>
        <v>0</v>
      </c>
      <c r="V232" s="46">
        <f t="shared" si="9"/>
        <v>0</v>
      </c>
      <c r="W232" s="46">
        <f t="shared" si="10"/>
        <v>0</v>
      </c>
      <c r="X232" s="46">
        <f t="shared" si="11"/>
        <v>0</v>
      </c>
      <c r="Y232" s="159"/>
    </row>
    <row r="233" spans="1:25" ht="17.25" customHeight="1">
      <c r="A233" s="47" t="str">
        <f>+BASE!B237</f>
        <v>23XXR222</v>
      </c>
      <c r="B233" s="36" t="s">
        <v>40</v>
      </c>
      <c r="C233" s="46">
        <f t="shared" si="1"/>
        <v>0</v>
      </c>
      <c r="D233" s="46">
        <f t="shared" si="2"/>
        <v>0</v>
      </c>
      <c r="E233" s="46">
        <f t="shared" si="3"/>
        <v>0</v>
      </c>
      <c r="F233" s="46">
        <f t="shared" si="4"/>
        <v>0</v>
      </c>
      <c r="G233" s="46">
        <f t="shared" si="5"/>
        <v>0</v>
      </c>
      <c r="H233" s="46"/>
      <c r="I233" s="46"/>
      <c r="J233" s="46"/>
      <c r="K233" s="46"/>
      <c r="L233" s="46"/>
      <c r="M233" s="46"/>
      <c r="N233" s="46"/>
      <c r="O233" s="46"/>
      <c r="P233" s="46"/>
      <c r="Q233" s="43"/>
      <c r="R233" s="36">
        <f t="shared" si="6"/>
        <v>0</v>
      </c>
      <c r="S233" s="36">
        <f>BASE!A237</f>
        <v>222</v>
      </c>
      <c r="T233" s="46">
        <f t="shared" si="7"/>
        <v>0</v>
      </c>
      <c r="U233" s="46">
        <f t="shared" si="8"/>
        <v>0</v>
      </c>
      <c r="V233" s="46">
        <f t="shared" si="9"/>
        <v>0</v>
      </c>
      <c r="W233" s="46">
        <f t="shared" si="10"/>
        <v>0</v>
      </c>
      <c r="X233" s="46">
        <f t="shared" si="11"/>
        <v>0</v>
      </c>
      <c r="Y233" s="159"/>
    </row>
    <row r="234" spans="1:25" ht="17.25" customHeight="1">
      <c r="A234" s="47" t="str">
        <f>+BASE!B238</f>
        <v>23XXR223</v>
      </c>
      <c r="B234" s="36" t="s">
        <v>40</v>
      </c>
      <c r="C234" s="46">
        <f t="shared" si="1"/>
        <v>0</v>
      </c>
      <c r="D234" s="46">
        <f t="shared" si="2"/>
        <v>0</v>
      </c>
      <c r="E234" s="46">
        <f t="shared" si="3"/>
        <v>0</v>
      </c>
      <c r="F234" s="46">
        <f t="shared" si="4"/>
        <v>0</v>
      </c>
      <c r="G234" s="46">
        <f t="shared" si="5"/>
        <v>0</v>
      </c>
      <c r="H234" s="46"/>
      <c r="I234" s="46"/>
      <c r="J234" s="46"/>
      <c r="K234" s="46"/>
      <c r="L234" s="46"/>
      <c r="M234" s="46"/>
      <c r="N234" s="46"/>
      <c r="O234" s="46"/>
      <c r="P234" s="46"/>
      <c r="Q234" s="43"/>
      <c r="R234" s="36">
        <f t="shared" si="6"/>
        <v>0</v>
      </c>
      <c r="S234" s="36">
        <f>BASE!A238</f>
        <v>223</v>
      </c>
      <c r="T234" s="46">
        <f t="shared" si="7"/>
        <v>0</v>
      </c>
      <c r="U234" s="46">
        <f t="shared" si="8"/>
        <v>0</v>
      </c>
      <c r="V234" s="46">
        <f t="shared" si="9"/>
        <v>0</v>
      </c>
      <c r="W234" s="46">
        <f t="shared" si="10"/>
        <v>0</v>
      </c>
      <c r="X234" s="46">
        <f t="shared" si="11"/>
        <v>0</v>
      </c>
      <c r="Y234" s="159"/>
    </row>
    <row r="235" spans="1:25" ht="17.25" customHeight="1">
      <c r="A235" s="47" t="str">
        <f>+BASE!B239</f>
        <v>23XXR224</v>
      </c>
      <c r="B235" s="36" t="s">
        <v>40</v>
      </c>
      <c r="C235" s="46">
        <f t="shared" si="1"/>
        <v>0</v>
      </c>
      <c r="D235" s="46">
        <f t="shared" si="2"/>
        <v>0</v>
      </c>
      <c r="E235" s="46">
        <f t="shared" si="3"/>
        <v>0</v>
      </c>
      <c r="F235" s="46">
        <f t="shared" si="4"/>
        <v>0</v>
      </c>
      <c r="G235" s="46">
        <f t="shared" si="5"/>
        <v>0</v>
      </c>
      <c r="H235" s="46"/>
      <c r="I235" s="46"/>
      <c r="J235" s="46"/>
      <c r="K235" s="46"/>
      <c r="L235" s="46"/>
      <c r="M235" s="46"/>
      <c r="N235" s="46"/>
      <c r="O235" s="46"/>
      <c r="P235" s="46"/>
      <c r="Q235" s="43"/>
      <c r="R235" s="36">
        <f t="shared" si="6"/>
        <v>0</v>
      </c>
      <c r="S235" s="36">
        <f>BASE!A239</f>
        <v>224</v>
      </c>
      <c r="T235" s="46">
        <f t="shared" si="7"/>
        <v>0</v>
      </c>
      <c r="U235" s="46">
        <f t="shared" si="8"/>
        <v>0</v>
      </c>
      <c r="V235" s="46">
        <f t="shared" si="9"/>
        <v>0</v>
      </c>
      <c r="W235" s="46">
        <f t="shared" si="10"/>
        <v>0</v>
      </c>
      <c r="X235" s="46">
        <f t="shared" si="11"/>
        <v>0</v>
      </c>
      <c r="Y235" s="159"/>
    </row>
    <row r="236" spans="1:25" ht="17.25" customHeight="1">
      <c r="A236" s="47" t="str">
        <f>+BASE!B240</f>
        <v>23XXR225</v>
      </c>
      <c r="B236" s="36" t="s">
        <v>40</v>
      </c>
      <c r="C236" s="46">
        <f t="shared" si="1"/>
        <v>0</v>
      </c>
      <c r="D236" s="46">
        <f t="shared" si="2"/>
        <v>0</v>
      </c>
      <c r="E236" s="46">
        <f t="shared" si="3"/>
        <v>0</v>
      </c>
      <c r="F236" s="46">
        <f t="shared" si="4"/>
        <v>0</v>
      </c>
      <c r="G236" s="46">
        <f t="shared" si="5"/>
        <v>0</v>
      </c>
      <c r="H236" s="46"/>
      <c r="I236" s="46"/>
      <c r="J236" s="46"/>
      <c r="K236" s="46"/>
      <c r="L236" s="46"/>
      <c r="M236" s="46"/>
      <c r="N236" s="46"/>
      <c r="O236" s="46"/>
      <c r="P236" s="46"/>
      <c r="Q236" s="43"/>
      <c r="R236" s="36">
        <f t="shared" si="6"/>
        <v>0</v>
      </c>
      <c r="S236" s="36">
        <f>BASE!A240</f>
        <v>225</v>
      </c>
      <c r="T236" s="46">
        <f t="shared" si="7"/>
        <v>0</v>
      </c>
      <c r="U236" s="46">
        <f t="shared" si="8"/>
        <v>0</v>
      </c>
      <c r="V236" s="46">
        <f t="shared" si="9"/>
        <v>0</v>
      </c>
      <c r="W236" s="46">
        <f t="shared" si="10"/>
        <v>0</v>
      </c>
      <c r="X236" s="46">
        <f t="shared" si="11"/>
        <v>0</v>
      </c>
      <c r="Y236" s="159"/>
    </row>
    <row r="237" spans="1:25" ht="17.25" customHeight="1">
      <c r="A237" s="47" t="str">
        <f>+BASE!B241</f>
        <v>23XXR226</v>
      </c>
      <c r="B237" s="36" t="s">
        <v>40</v>
      </c>
      <c r="C237" s="46">
        <f t="shared" si="1"/>
        <v>0</v>
      </c>
      <c r="D237" s="46">
        <f t="shared" si="2"/>
        <v>0</v>
      </c>
      <c r="E237" s="46">
        <f t="shared" si="3"/>
        <v>0</v>
      </c>
      <c r="F237" s="46">
        <f t="shared" si="4"/>
        <v>0</v>
      </c>
      <c r="G237" s="46">
        <f t="shared" si="5"/>
        <v>0</v>
      </c>
      <c r="H237" s="46"/>
      <c r="I237" s="46"/>
      <c r="J237" s="46"/>
      <c r="K237" s="46"/>
      <c r="L237" s="46"/>
      <c r="M237" s="46"/>
      <c r="N237" s="46"/>
      <c r="O237" s="46"/>
      <c r="P237" s="46"/>
      <c r="Q237" s="43"/>
      <c r="R237" s="36">
        <f t="shared" si="6"/>
        <v>0</v>
      </c>
      <c r="S237" s="36">
        <f>BASE!A241</f>
        <v>226</v>
      </c>
      <c r="T237" s="46">
        <f t="shared" si="7"/>
        <v>0</v>
      </c>
      <c r="U237" s="46">
        <f t="shared" si="8"/>
        <v>0</v>
      </c>
      <c r="V237" s="46">
        <f t="shared" si="9"/>
        <v>0</v>
      </c>
      <c r="W237" s="46">
        <f t="shared" si="10"/>
        <v>0</v>
      </c>
      <c r="X237" s="46">
        <f t="shared" si="11"/>
        <v>0</v>
      </c>
      <c r="Y237" s="159"/>
    </row>
    <row r="238" spans="1:25" ht="17.25" customHeight="1">
      <c r="A238" s="47" t="str">
        <f>+BASE!B242</f>
        <v>23XXR227</v>
      </c>
      <c r="B238" s="36" t="s">
        <v>40</v>
      </c>
      <c r="C238" s="46">
        <f t="shared" si="1"/>
        <v>0</v>
      </c>
      <c r="D238" s="46">
        <f t="shared" si="2"/>
        <v>0</v>
      </c>
      <c r="E238" s="46">
        <f t="shared" si="3"/>
        <v>0</v>
      </c>
      <c r="F238" s="46">
        <f t="shared" si="4"/>
        <v>0</v>
      </c>
      <c r="G238" s="46">
        <f t="shared" si="5"/>
        <v>0</v>
      </c>
      <c r="H238" s="46"/>
      <c r="I238" s="46"/>
      <c r="J238" s="46"/>
      <c r="K238" s="46"/>
      <c r="L238" s="46"/>
      <c r="M238" s="46"/>
      <c r="N238" s="46"/>
      <c r="O238" s="46"/>
      <c r="P238" s="46"/>
      <c r="Q238" s="43"/>
      <c r="R238" s="36">
        <f t="shared" si="6"/>
        <v>0</v>
      </c>
      <c r="S238" s="36">
        <f>BASE!A242</f>
        <v>227</v>
      </c>
      <c r="T238" s="46">
        <f t="shared" si="7"/>
        <v>0</v>
      </c>
      <c r="U238" s="46">
        <f t="shared" si="8"/>
        <v>0</v>
      </c>
      <c r="V238" s="46">
        <f t="shared" si="9"/>
        <v>0</v>
      </c>
      <c r="W238" s="46">
        <f t="shared" si="10"/>
        <v>0</v>
      </c>
      <c r="X238" s="46">
        <f t="shared" si="11"/>
        <v>0</v>
      </c>
      <c r="Y238" s="159"/>
    </row>
    <row r="239" spans="1:25" ht="17.25" customHeight="1">
      <c r="A239" s="47" t="str">
        <f>+BASE!B243</f>
        <v>23XXR228</v>
      </c>
      <c r="B239" s="36" t="s">
        <v>40</v>
      </c>
      <c r="C239" s="46">
        <f t="shared" si="1"/>
        <v>0</v>
      </c>
      <c r="D239" s="46">
        <f t="shared" si="2"/>
        <v>0</v>
      </c>
      <c r="E239" s="46">
        <f t="shared" si="3"/>
        <v>0</v>
      </c>
      <c r="F239" s="46">
        <f t="shared" si="4"/>
        <v>0</v>
      </c>
      <c r="G239" s="46">
        <f t="shared" si="5"/>
        <v>0</v>
      </c>
      <c r="H239" s="46"/>
      <c r="I239" s="46"/>
      <c r="J239" s="46"/>
      <c r="K239" s="46"/>
      <c r="L239" s="46"/>
      <c r="M239" s="46"/>
      <c r="N239" s="46"/>
      <c r="O239" s="46"/>
      <c r="P239" s="46"/>
      <c r="Q239" s="43"/>
      <c r="R239" s="36">
        <f t="shared" si="6"/>
        <v>0</v>
      </c>
      <c r="S239" s="36">
        <f>BASE!A243</f>
        <v>228</v>
      </c>
      <c r="T239" s="46">
        <f t="shared" si="7"/>
        <v>0</v>
      </c>
      <c r="U239" s="46">
        <f t="shared" si="8"/>
        <v>0</v>
      </c>
      <c r="V239" s="46">
        <f t="shared" si="9"/>
        <v>0</v>
      </c>
      <c r="W239" s="46">
        <f t="shared" si="10"/>
        <v>0</v>
      </c>
      <c r="X239" s="46">
        <f t="shared" si="11"/>
        <v>0</v>
      </c>
      <c r="Y239" s="159"/>
    </row>
    <row r="240" spans="1:25" ht="17.25" customHeight="1">
      <c r="A240" s="47" t="str">
        <f>+BASE!B244</f>
        <v>23XXR229</v>
      </c>
      <c r="B240" s="36" t="s">
        <v>40</v>
      </c>
      <c r="C240" s="46">
        <f t="shared" si="1"/>
        <v>0</v>
      </c>
      <c r="D240" s="46">
        <f t="shared" si="2"/>
        <v>0</v>
      </c>
      <c r="E240" s="46">
        <f t="shared" si="3"/>
        <v>0</v>
      </c>
      <c r="F240" s="46">
        <f t="shared" si="4"/>
        <v>0</v>
      </c>
      <c r="G240" s="46">
        <f t="shared" si="5"/>
        <v>0</v>
      </c>
      <c r="H240" s="46"/>
      <c r="I240" s="46"/>
      <c r="J240" s="46"/>
      <c r="K240" s="46"/>
      <c r="L240" s="46"/>
      <c r="M240" s="46"/>
      <c r="N240" s="46"/>
      <c r="O240" s="46"/>
      <c r="P240" s="46"/>
      <c r="Q240" s="43"/>
      <c r="R240" s="36">
        <f t="shared" si="6"/>
        <v>0</v>
      </c>
      <c r="S240" s="36">
        <f>BASE!A244</f>
        <v>229</v>
      </c>
      <c r="T240" s="46">
        <f t="shared" si="7"/>
        <v>0</v>
      </c>
      <c r="U240" s="46">
        <f t="shared" si="8"/>
        <v>0</v>
      </c>
      <c r="V240" s="46">
        <f t="shared" si="9"/>
        <v>0</v>
      </c>
      <c r="W240" s="46">
        <f t="shared" si="10"/>
        <v>0</v>
      </c>
      <c r="X240" s="46">
        <f t="shared" si="11"/>
        <v>0</v>
      </c>
      <c r="Y240" s="159"/>
    </row>
    <row r="241" spans="1:25" ht="17.25" customHeight="1">
      <c r="A241" s="47" t="str">
        <f>+BASE!B245</f>
        <v>23XXR230</v>
      </c>
      <c r="B241" s="36" t="s">
        <v>40</v>
      </c>
      <c r="C241" s="46">
        <f t="shared" si="1"/>
        <v>0</v>
      </c>
      <c r="D241" s="46">
        <f t="shared" si="2"/>
        <v>0</v>
      </c>
      <c r="E241" s="46">
        <f t="shared" si="3"/>
        <v>0</v>
      </c>
      <c r="F241" s="46">
        <f t="shared" si="4"/>
        <v>0</v>
      </c>
      <c r="G241" s="46">
        <f t="shared" si="5"/>
        <v>0</v>
      </c>
      <c r="H241" s="46"/>
      <c r="I241" s="46"/>
      <c r="J241" s="46"/>
      <c r="K241" s="46"/>
      <c r="L241" s="46"/>
      <c r="M241" s="46"/>
      <c r="N241" s="46"/>
      <c r="O241" s="46"/>
      <c r="P241" s="46"/>
      <c r="Q241" s="43"/>
      <c r="R241" s="36">
        <f t="shared" si="6"/>
        <v>0</v>
      </c>
      <c r="S241" s="36">
        <f>BASE!A245</f>
        <v>230</v>
      </c>
      <c r="T241" s="46">
        <f t="shared" si="7"/>
        <v>0</v>
      </c>
      <c r="U241" s="46">
        <f t="shared" si="8"/>
        <v>0</v>
      </c>
      <c r="V241" s="46">
        <f t="shared" si="9"/>
        <v>0</v>
      </c>
      <c r="W241" s="46">
        <f t="shared" si="10"/>
        <v>0</v>
      </c>
      <c r="X241" s="46">
        <f t="shared" si="11"/>
        <v>0</v>
      </c>
      <c r="Y241" s="159"/>
    </row>
    <row r="242" spans="1:25" ht="17.25" customHeight="1">
      <c r="A242" s="47" t="str">
        <f>+BASE!B246</f>
        <v>23XXR231</v>
      </c>
      <c r="B242" s="36" t="s">
        <v>40</v>
      </c>
      <c r="C242" s="46">
        <f t="shared" si="1"/>
        <v>0</v>
      </c>
      <c r="D242" s="46">
        <f t="shared" si="2"/>
        <v>0</v>
      </c>
      <c r="E242" s="46">
        <f t="shared" si="3"/>
        <v>0</v>
      </c>
      <c r="F242" s="46">
        <f t="shared" si="4"/>
        <v>0</v>
      </c>
      <c r="G242" s="46">
        <f t="shared" si="5"/>
        <v>0</v>
      </c>
      <c r="H242" s="46"/>
      <c r="I242" s="46"/>
      <c r="J242" s="46"/>
      <c r="K242" s="46"/>
      <c r="L242" s="46"/>
      <c r="M242" s="46"/>
      <c r="N242" s="46"/>
      <c r="O242" s="46"/>
      <c r="P242" s="46"/>
      <c r="Q242" s="43"/>
      <c r="R242" s="36">
        <f t="shared" si="6"/>
        <v>0</v>
      </c>
      <c r="S242" s="36">
        <f>BASE!A246</f>
        <v>231</v>
      </c>
      <c r="T242" s="46">
        <f t="shared" si="7"/>
        <v>0</v>
      </c>
      <c r="U242" s="46">
        <f t="shared" si="8"/>
        <v>0</v>
      </c>
      <c r="V242" s="46">
        <f t="shared" si="9"/>
        <v>0</v>
      </c>
      <c r="W242" s="46">
        <f t="shared" si="10"/>
        <v>0</v>
      </c>
      <c r="X242" s="46">
        <f t="shared" si="11"/>
        <v>0</v>
      </c>
      <c r="Y242" s="159"/>
    </row>
    <row r="243" spans="1:25" ht="17.25" customHeight="1">
      <c r="A243" s="47" t="str">
        <f>+BASE!B247</f>
        <v>23XXR232</v>
      </c>
      <c r="B243" s="36" t="s">
        <v>40</v>
      </c>
      <c r="C243" s="46">
        <f t="shared" si="1"/>
        <v>0</v>
      </c>
      <c r="D243" s="46">
        <f t="shared" si="2"/>
        <v>0</v>
      </c>
      <c r="E243" s="46">
        <f t="shared" si="3"/>
        <v>0</v>
      </c>
      <c r="F243" s="46">
        <f t="shared" si="4"/>
        <v>0</v>
      </c>
      <c r="G243" s="46">
        <f t="shared" si="5"/>
        <v>0</v>
      </c>
      <c r="H243" s="46"/>
      <c r="I243" s="46"/>
      <c r="J243" s="46"/>
      <c r="K243" s="46"/>
      <c r="L243" s="46"/>
      <c r="M243" s="46"/>
      <c r="N243" s="46"/>
      <c r="O243" s="46"/>
      <c r="P243" s="46"/>
      <c r="Q243" s="43"/>
      <c r="R243" s="36">
        <f t="shared" si="6"/>
        <v>0</v>
      </c>
      <c r="S243" s="36">
        <f>BASE!A247</f>
        <v>232</v>
      </c>
      <c r="T243" s="46">
        <f t="shared" si="7"/>
        <v>0</v>
      </c>
      <c r="U243" s="46">
        <f t="shared" si="8"/>
        <v>0</v>
      </c>
      <c r="V243" s="46">
        <f t="shared" si="9"/>
        <v>0</v>
      </c>
      <c r="W243" s="46">
        <f t="shared" si="10"/>
        <v>0</v>
      </c>
      <c r="X243" s="46">
        <f t="shared" si="11"/>
        <v>0</v>
      </c>
      <c r="Y243" s="159"/>
    </row>
    <row r="244" spans="1:25" ht="17.25" customHeight="1">
      <c r="A244" s="47" t="str">
        <f>+BASE!B248</f>
        <v>23XXR233</v>
      </c>
      <c r="B244" s="36" t="s">
        <v>40</v>
      </c>
      <c r="C244" s="46">
        <f t="shared" si="1"/>
        <v>0</v>
      </c>
      <c r="D244" s="46">
        <f t="shared" si="2"/>
        <v>0</v>
      </c>
      <c r="E244" s="46">
        <f t="shared" si="3"/>
        <v>0</v>
      </c>
      <c r="F244" s="46">
        <f t="shared" si="4"/>
        <v>0</v>
      </c>
      <c r="G244" s="46">
        <f t="shared" si="5"/>
        <v>0</v>
      </c>
      <c r="H244" s="46"/>
      <c r="I244" s="46"/>
      <c r="J244" s="46"/>
      <c r="K244" s="46"/>
      <c r="L244" s="46"/>
      <c r="M244" s="46"/>
      <c r="N244" s="46"/>
      <c r="O244" s="46"/>
      <c r="P244" s="46"/>
      <c r="Q244" s="43"/>
      <c r="R244" s="36">
        <f t="shared" si="6"/>
        <v>0</v>
      </c>
      <c r="S244" s="36">
        <f>BASE!A248</f>
        <v>233</v>
      </c>
      <c r="T244" s="46">
        <f t="shared" si="7"/>
        <v>0</v>
      </c>
      <c r="U244" s="46">
        <f t="shared" si="8"/>
        <v>0</v>
      </c>
      <c r="V244" s="46">
        <f t="shared" si="9"/>
        <v>0</v>
      </c>
      <c r="W244" s="46">
        <f t="shared" si="10"/>
        <v>0</v>
      </c>
      <c r="X244" s="46">
        <f t="shared" si="11"/>
        <v>0</v>
      </c>
      <c r="Y244" s="159"/>
    </row>
    <row r="245" spans="1:25" ht="17.25" customHeight="1">
      <c r="A245" s="47" t="str">
        <f>+BASE!B249</f>
        <v>23XXR234</v>
      </c>
      <c r="B245" s="36" t="s">
        <v>40</v>
      </c>
      <c r="C245" s="46">
        <f t="shared" si="1"/>
        <v>0</v>
      </c>
      <c r="D245" s="46">
        <f t="shared" si="2"/>
        <v>0</v>
      </c>
      <c r="E245" s="46">
        <f t="shared" si="3"/>
        <v>0</v>
      </c>
      <c r="F245" s="46">
        <f t="shared" si="4"/>
        <v>0</v>
      </c>
      <c r="G245" s="46">
        <f t="shared" si="5"/>
        <v>0</v>
      </c>
      <c r="H245" s="46"/>
      <c r="I245" s="46"/>
      <c r="J245" s="46"/>
      <c r="K245" s="46"/>
      <c r="L245" s="46"/>
      <c r="M245" s="46"/>
      <c r="N245" s="46"/>
      <c r="O245" s="46"/>
      <c r="P245" s="46"/>
      <c r="Q245" s="43"/>
      <c r="R245" s="36">
        <f t="shared" si="6"/>
        <v>0</v>
      </c>
      <c r="S245" s="36">
        <f>BASE!A249</f>
        <v>234</v>
      </c>
      <c r="T245" s="46">
        <f t="shared" si="7"/>
        <v>0</v>
      </c>
      <c r="U245" s="46">
        <f t="shared" si="8"/>
        <v>0</v>
      </c>
      <c r="V245" s="46">
        <f t="shared" si="9"/>
        <v>0</v>
      </c>
      <c r="W245" s="46">
        <f t="shared" si="10"/>
        <v>0</v>
      </c>
      <c r="X245" s="46">
        <f t="shared" si="11"/>
        <v>0</v>
      </c>
      <c r="Y245" s="159"/>
    </row>
    <row r="246" spans="1:25" ht="17.25" customHeight="1">
      <c r="A246" s="47" t="str">
        <f>+BASE!B250</f>
        <v>23XXR235</v>
      </c>
      <c r="B246" s="36" t="s">
        <v>40</v>
      </c>
      <c r="C246" s="46">
        <f t="shared" si="1"/>
        <v>0</v>
      </c>
      <c r="D246" s="46">
        <f t="shared" si="2"/>
        <v>0</v>
      </c>
      <c r="E246" s="46">
        <f t="shared" si="3"/>
        <v>0</v>
      </c>
      <c r="F246" s="46">
        <f t="shared" si="4"/>
        <v>0</v>
      </c>
      <c r="G246" s="46">
        <f t="shared" si="5"/>
        <v>0</v>
      </c>
      <c r="H246" s="46"/>
      <c r="I246" s="46"/>
      <c r="J246" s="46"/>
      <c r="K246" s="46"/>
      <c r="L246" s="46"/>
      <c r="M246" s="46"/>
      <c r="N246" s="46"/>
      <c r="O246" s="46"/>
      <c r="P246" s="46"/>
      <c r="Q246" s="43"/>
      <c r="R246" s="36">
        <f t="shared" si="6"/>
        <v>0</v>
      </c>
      <c r="S246" s="36">
        <f>BASE!A250</f>
        <v>235</v>
      </c>
      <c r="T246" s="46">
        <f t="shared" si="7"/>
        <v>0</v>
      </c>
      <c r="U246" s="46">
        <f t="shared" si="8"/>
        <v>0</v>
      </c>
      <c r="V246" s="46">
        <f t="shared" si="9"/>
        <v>0</v>
      </c>
      <c r="W246" s="46">
        <f t="shared" si="10"/>
        <v>0</v>
      </c>
      <c r="X246" s="46">
        <f t="shared" si="11"/>
        <v>0</v>
      </c>
      <c r="Y246" s="159"/>
    </row>
    <row r="247" spans="1:25" ht="17.25" customHeight="1">
      <c r="A247" s="47" t="str">
        <f>+BASE!B251</f>
        <v>23XXR236</v>
      </c>
      <c r="B247" s="36" t="s">
        <v>40</v>
      </c>
      <c r="C247" s="46">
        <f t="shared" si="1"/>
        <v>0</v>
      </c>
      <c r="D247" s="46">
        <f t="shared" si="2"/>
        <v>0</v>
      </c>
      <c r="E247" s="46">
        <f t="shared" si="3"/>
        <v>0</v>
      </c>
      <c r="F247" s="46">
        <f t="shared" si="4"/>
        <v>0</v>
      </c>
      <c r="G247" s="46">
        <f t="shared" si="5"/>
        <v>0</v>
      </c>
      <c r="H247" s="46"/>
      <c r="I247" s="46"/>
      <c r="J247" s="46"/>
      <c r="K247" s="46"/>
      <c r="L247" s="46"/>
      <c r="M247" s="46"/>
      <c r="N247" s="46"/>
      <c r="O247" s="46"/>
      <c r="P247" s="46"/>
      <c r="Q247" s="43"/>
      <c r="R247" s="36">
        <f t="shared" si="6"/>
        <v>0</v>
      </c>
      <c r="S247" s="36">
        <f>BASE!A251</f>
        <v>236</v>
      </c>
      <c r="T247" s="46">
        <f t="shared" si="7"/>
        <v>0</v>
      </c>
      <c r="U247" s="46">
        <f t="shared" si="8"/>
        <v>0</v>
      </c>
      <c r="V247" s="46">
        <f t="shared" si="9"/>
        <v>0</v>
      </c>
      <c r="W247" s="46">
        <f t="shared" si="10"/>
        <v>0</v>
      </c>
      <c r="X247" s="46">
        <f t="shared" si="11"/>
        <v>0</v>
      </c>
      <c r="Y247" s="159"/>
    </row>
    <row r="248" spans="1:25" ht="17.25" customHeight="1">
      <c r="A248" s="47" t="str">
        <f>+BASE!B252</f>
        <v>23XXR237</v>
      </c>
      <c r="B248" s="36" t="s">
        <v>40</v>
      </c>
      <c r="C248" s="46">
        <f t="shared" si="1"/>
        <v>0</v>
      </c>
      <c r="D248" s="46">
        <f t="shared" si="2"/>
        <v>0</v>
      </c>
      <c r="E248" s="46">
        <f t="shared" si="3"/>
        <v>0</v>
      </c>
      <c r="F248" s="46">
        <f t="shared" si="4"/>
        <v>0</v>
      </c>
      <c r="G248" s="46">
        <f t="shared" si="5"/>
        <v>0</v>
      </c>
      <c r="H248" s="46"/>
      <c r="I248" s="46"/>
      <c r="J248" s="46"/>
      <c r="K248" s="46"/>
      <c r="L248" s="46"/>
      <c r="M248" s="46"/>
      <c r="N248" s="46"/>
      <c r="O248" s="46"/>
      <c r="P248" s="46"/>
      <c r="Q248" s="43"/>
      <c r="R248" s="36">
        <f t="shared" si="6"/>
        <v>0</v>
      </c>
      <c r="S248" s="36">
        <f>BASE!A252</f>
        <v>237</v>
      </c>
      <c r="T248" s="46">
        <f t="shared" si="7"/>
        <v>0</v>
      </c>
      <c r="U248" s="46">
        <f t="shared" si="8"/>
        <v>0</v>
      </c>
      <c r="V248" s="46">
        <f t="shared" si="9"/>
        <v>0</v>
      </c>
      <c r="W248" s="46">
        <f t="shared" si="10"/>
        <v>0</v>
      </c>
      <c r="X248" s="46">
        <f t="shared" si="11"/>
        <v>0</v>
      </c>
      <c r="Y248" s="159"/>
    </row>
    <row r="249" spans="1:25" ht="17.25" customHeight="1">
      <c r="A249" s="47" t="str">
        <f>+BASE!B253</f>
        <v>23XXR238</v>
      </c>
      <c r="B249" s="36" t="s">
        <v>40</v>
      </c>
      <c r="C249" s="46">
        <f t="shared" si="1"/>
        <v>0</v>
      </c>
      <c r="D249" s="46">
        <f t="shared" si="2"/>
        <v>0</v>
      </c>
      <c r="E249" s="46">
        <f t="shared" si="3"/>
        <v>0</v>
      </c>
      <c r="F249" s="46">
        <f t="shared" si="4"/>
        <v>0</v>
      </c>
      <c r="G249" s="46">
        <f t="shared" si="5"/>
        <v>0</v>
      </c>
      <c r="H249" s="46"/>
      <c r="I249" s="46"/>
      <c r="J249" s="46"/>
      <c r="K249" s="46"/>
      <c r="L249" s="46"/>
      <c r="M249" s="46"/>
      <c r="N249" s="46"/>
      <c r="O249" s="46"/>
      <c r="P249" s="46"/>
      <c r="Q249" s="43"/>
      <c r="R249" s="36">
        <f t="shared" si="6"/>
        <v>0</v>
      </c>
      <c r="S249" s="36">
        <f>BASE!A253</f>
        <v>238</v>
      </c>
      <c r="T249" s="46">
        <f t="shared" si="7"/>
        <v>0</v>
      </c>
      <c r="U249" s="46">
        <f t="shared" si="8"/>
        <v>0</v>
      </c>
      <c r="V249" s="46">
        <f t="shared" si="9"/>
        <v>0</v>
      </c>
      <c r="W249" s="46">
        <f t="shared" si="10"/>
        <v>0</v>
      </c>
      <c r="X249" s="46">
        <f t="shared" si="11"/>
        <v>0</v>
      </c>
      <c r="Y249" s="159"/>
    </row>
    <row r="250" spans="1:25" ht="17.25" customHeight="1">
      <c r="A250" s="47" t="str">
        <f>+BASE!B254</f>
        <v>23XXR239</v>
      </c>
      <c r="B250" s="36" t="s">
        <v>40</v>
      </c>
      <c r="C250" s="46">
        <f t="shared" si="1"/>
        <v>0</v>
      </c>
      <c r="D250" s="46">
        <f t="shared" si="2"/>
        <v>0</v>
      </c>
      <c r="E250" s="46">
        <f t="shared" si="3"/>
        <v>0</v>
      </c>
      <c r="F250" s="46">
        <f t="shared" si="4"/>
        <v>0</v>
      </c>
      <c r="G250" s="46">
        <f t="shared" si="5"/>
        <v>0</v>
      </c>
      <c r="H250" s="46"/>
      <c r="I250" s="46"/>
      <c r="J250" s="46"/>
      <c r="K250" s="46"/>
      <c r="L250" s="46"/>
      <c r="M250" s="46"/>
      <c r="N250" s="46"/>
      <c r="O250" s="46"/>
      <c r="P250" s="46"/>
      <c r="Q250" s="43"/>
      <c r="R250" s="36">
        <f t="shared" si="6"/>
        <v>0</v>
      </c>
      <c r="S250" s="36">
        <f>BASE!A254</f>
        <v>239</v>
      </c>
      <c r="T250" s="46">
        <f t="shared" si="7"/>
        <v>0</v>
      </c>
      <c r="U250" s="46">
        <f t="shared" si="8"/>
        <v>0</v>
      </c>
      <c r="V250" s="46">
        <f t="shared" si="9"/>
        <v>0</v>
      </c>
      <c r="W250" s="46">
        <f t="shared" si="10"/>
        <v>0</v>
      </c>
      <c r="X250" s="46">
        <f t="shared" si="11"/>
        <v>0</v>
      </c>
      <c r="Y250" s="159"/>
    </row>
    <row r="251" spans="1:25" ht="17.25" customHeight="1">
      <c r="A251" s="47" t="str">
        <f>+BASE!B255</f>
        <v>23XXR240</v>
      </c>
      <c r="B251" s="36" t="s">
        <v>40</v>
      </c>
      <c r="C251" s="46">
        <f t="shared" si="1"/>
        <v>0</v>
      </c>
      <c r="D251" s="46">
        <f t="shared" si="2"/>
        <v>0</v>
      </c>
      <c r="E251" s="46">
        <f t="shared" si="3"/>
        <v>0</v>
      </c>
      <c r="F251" s="46">
        <f t="shared" si="4"/>
        <v>0</v>
      </c>
      <c r="G251" s="46">
        <f t="shared" si="5"/>
        <v>0</v>
      </c>
      <c r="H251" s="95"/>
      <c r="I251" s="95"/>
      <c r="J251" s="95"/>
      <c r="K251" s="95"/>
      <c r="L251" s="95"/>
      <c r="M251" s="95"/>
      <c r="N251" s="95"/>
      <c r="O251" s="95"/>
      <c r="P251" s="95"/>
      <c r="Q251" s="96"/>
      <c r="R251" s="36">
        <f t="shared" si="6"/>
        <v>0</v>
      </c>
      <c r="S251" s="36">
        <f>BASE!A255</f>
        <v>240</v>
      </c>
      <c r="T251" s="46">
        <f t="shared" si="7"/>
        <v>0</v>
      </c>
      <c r="U251" s="46">
        <f t="shared" si="8"/>
        <v>0</v>
      </c>
      <c r="V251" s="46">
        <f t="shared" si="9"/>
        <v>0</v>
      </c>
      <c r="W251" s="46">
        <f t="shared" si="10"/>
        <v>0</v>
      </c>
      <c r="X251" s="46">
        <f t="shared" si="11"/>
        <v>0</v>
      </c>
      <c r="Y251" s="159"/>
    </row>
    <row r="252" spans="1:25" ht="17.25" customHeight="1">
      <c r="A252" s="47" t="str">
        <f>+BASE!B256</f>
        <v>23XXR241</v>
      </c>
      <c r="B252" s="36" t="s">
        <v>40</v>
      </c>
      <c r="C252" s="46">
        <f t="shared" si="1"/>
        <v>0</v>
      </c>
      <c r="D252" s="46">
        <f t="shared" si="2"/>
        <v>0</v>
      </c>
      <c r="E252" s="46">
        <f t="shared" si="3"/>
        <v>0</v>
      </c>
      <c r="F252" s="46">
        <f t="shared" si="4"/>
        <v>0</v>
      </c>
      <c r="G252" s="43">
        <f t="shared" si="5"/>
        <v>0</v>
      </c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4">
        <f t="shared" si="6"/>
        <v>0</v>
      </c>
      <c r="S252" s="36">
        <f>BASE!A256</f>
        <v>241</v>
      </c>
      <c r="T252" s="46">
        <f t="shared" si="7"/>
        <v>0</v>
      </c>
      <c r="U252" s="46">
        <f t="shared" si="8"/>
        <v>0</v>
      </c>
      <c r="V252" s="46">
        <f t="shared" si="9"/>
        <v>0</v>
      </c>
      <c r="W252" s="46">
        <f t="shared" si="10"/>
        <v>0</v>
      </c>
      <c r="X252" s="46">
        <f t="shared" si="11"/>
        <v>0</v>
      </c>
      <c r="Y252" s="159"/>
    </row>
    <row r="253" spans="1:25" ht="17.25" customHeight="1">
      <c r="A253" s="47" t="str">
        <f>+BASE!B257</f>
        <v>23XXR242</v>
      </c>
      <c r="B253" s="36" t="s">
        <v>40</v>
      </c>
      <c r="C253" s="46">
        <f t="shared" ref="C253:C316" si="12">IF($N$7="2T+1P", Y253/5, IF($N$7="3T+1P",Y253/5, IF($N$7="3.5T+0.5P",Y253/5, " ")))</f>
        <v>0</v>
      </c>
      <c r="D253" s="46">
        <f t="shared" ref="D253:D316" si="13">IF($N$7="2T+1P", Y253/5, IF($N$7="3T+1P",Y253/5, IF($N$7="3.5T+0.5P",Y253/5, " ")))</f>
        <v>0</v>
      </c>
      <c r="E253" s="46">
        <f t="shared" ref="E253:E316" si="14">IF($N$7="2T+1P", Y253/5, IF($N$7="3T+1P",Y253/5, IF($N$7="3.5T+0.5P",Y253/5, " ")))</f>
        <v>0</v>
      </c>
      <c r="F253" s="46">
        <f t="shared" ref="F253:F316" si="15">IF($N$7="2T+1P", Y253/5, IF($N$7="3T+1P",Y253/5, IF($N$7="3.5T+0.5P",Y253/5, " ")))</f>
        <v>0</v>
      </c>
      <c r="G253" s="43">
        <f t="shared" ref="G253:G316" si="16">IF($N$7="2T+1P", Y253/5, IF($N$7="3T+1P",Y253/5, IF($N$7="3.5T+0.5P",Y253/5, " ")))</f>
        <v>0</v>
      </c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4">
        <f t="shared" ref="R253:R316" si="17">SUM(C253:Q253)</f>
        <v>0</v>
      </c>
      <c r="S253" s="36">
        <f>BASE!A257</f>
        <v>242</v>
      </c>
      <c r="T253" s="46">
        <f t="shared" ref="T253:T316" si="18">SUMIF($C$11:$Q$11,1,C253:Q253)</f>
        <v>0</v>
      </c>
      <c r="U253" s="46">
        <f t="shared" ref="U253:U316" si="19">SUMIF($C$11:$Q$11,2,C253:Q253)</f>
        <v>0</v>
      </c>
      <c r="V253" s="46">
        <f t="shared" ref="V253:V316" si="20">SUMIF($C$11:$Q$11,3,C253:Q253)</f>
        <v>0</v>
      </c>
      <c r="W253" s="46">
        <f t="shared" ref="W253:W316" si="21">SUMIF($C$11:$Q$11,4,C253:Q253)</f>
        <v>0</v>
      </c>
      <c r="X253" s="46">
        <f t="shared" ref="X253:X316" si="22">SUMIF($C$11:$Q$11,5,C253:Q253)</f>
        <v>0</v>
      </c>
      <c r="Y253" s="159"/>
    </row>
    <row r="254" spans="1:25" ht="17.25" customHeight="1">
      <c r="A254" s="47" t="str">
        <f>+BASE!B258</f>
        <v>23XXR243</v>
      </c>
      <c r="B254" s="36" t="s">
        <v>40</v>
      </c>
      <c r="C254" s="46">
        <f t="shared" si="12"/>
        <v>0</v>
      </c>
      <c r="D254" s="46">
        <f t="shared" si="13"/>
        <v>0</v>
      </c>
      <c r="E254" s="46">
        <f t="shared" si="14"/>
        <v>0</v>
      </c>
      <c r="F254" s="46">
        <f t="shared" si="15"/>
        <v>0</v>
      </c>
      <c r="G254" s="43">
        <f t="shared" si="16"/>
        <v>0</v>
      </c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4">
        <f t="shared" si="17"/>
        <v>0</v>
      </c>
      <c r="S254" s="36">
        <f>BASE!A258</f>
        <v>243</v>
      </c>
      <c r="T254" s="46">
        <f t="shared" si="18"/>
        <v>0</v>
      </c>
      <c r="U254" s="46">
        <f t="shared" si="19"/>
        <v>0</v>
      </c>
      <c r="V254" s="46">
        <f t="shared" si="20"/>
        <v>0</v>
      </c>
      <c r="W254" s="46">
        <f t="shared" si="21"/>
        <v>0</v>
      </c>
      <c r="X254" s="46">
        <f t="shared" si="22"/>
        <v>0</v>
      </c>
      <c r="Y254" s="159"/>
    </row>
    <row r="255" spans="1:25" ht="17.25" customHeight="1">
      <c r="A255" s="47" t="str">
        <f>+BASE!B259</f>
        <v>23XXR244</v>
      </c>
      <c r="B255" s="36" t="s">
        <v>40</v>
      </c>
      <c r="C255" s="46">
        <f t="shared" si="12"/>
        <v>0</v>
      </c>
      <c r="D255" s="46">
        <f t="shared" si="13"/>
        <v>0</v>
      </c>
      <c r="E255" s="46">
        <f t="shared" si="14"/>
        <v>0</v>
      </c>
      <c r="F255" s="46">
        <f t="shared" si="15"/>
        <v>0</v>
      </c>
      <c r="G255" s="43">
        <f t="shared" si="16"/>
        <v>0</v>
      </c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4">
        <f t="shared" si="17"/>
        <v>0</v>
      </c>
      <c r="S255" s="36">
        <f>BASE!A259</f>
        <v>244</v>
      </c>
      <c r="T255" s="46">
        <f t="shared" si="18"/>
        <v>0</v>
      </c>
      <c r="U255" s="46">
        <f t="shared" si="19"/>
        <v>0</v>
      </c>
      <c r="V255" s="46">
        <f t="shared" si="20"/>
        <v>0</v>
      </c>
      <c r="W255" s="46">
        <f t="shared" si="21"/>
        <v>0</v>
      </c>
      <c r="X255" s="46">
        <f t="shared" si="22"/>
        <v>0</v>
      </c>
      <c r="Y255" s="159"/>
    </row>
    <row r="256" spans="1:25" ht="17.25" customHeight="1">
      <c r="A256" s="47" t="str">
        <f>+BASE!B260</f>
        <v>23XXR245</v>
      </c>
      <c r="B256" s="36" t="s">
        <v>40</v>
      </c>
      <c r="C256" s="46">
        <f t="shared" si="12"/>
        <v>0</v>
      </c>
      <c r="D256" s="46">
        <f t="shared" si="13"/>
        <v>0</v>
      </c>
      <c r="E256" s="46">
        <f t="shared" si="14"/>
        <v>0</v>
      </c>
      <c r="F256" s="46">
        <f t="shared" si="15"/>
        <v>0</v>
      </c>
      <c r="G256" s="43">
        <f t="shared" si="16"/>
        <v>0</v>
      </c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4">
        <f t="shared" si="17"/>
        <v>0</v>
      </c>
      <c r="S256" s="36">
        <f>BASE!A260</f>
        <v>245</v>
      </c>
      <c r="T256" s="46">
        <f t="shared" si="18"/>
        <v>0</v>
      </c>
      <c r="U256" s="46">
        <f t="shared" si="19"/>
        <v>0</v>
      </c>
      <c r="V256" s="46">
        <f t="shared" si="20"/>
        <v>0</v>
      </c>
      <c r="W256" s="46">
        <f t="shared" si="21"/>
        <v>0</v>
      </c>
      <c r="X256" s="46">
        <f t="shared" si="22"/>
        <v>0</v>
      </c>
      <c r="Y256" s="159"/>
    </row>
    <row r="257" spans="1:25" ht="17.25" customHeight="1">
      <c r="A257" s="47" t="str">
        <f>+BASE!B261</f>
        <v>23XXR246</v>
      </c>
      <c r="B257" s="36" t="s">
        <v>40</v>
      </c>
      <c r="C257" s="46">
        <f t="shared" si="12"/>
        <v>0</v>
      </c>
      <c r="D257" s="46">
        <f t="shared" si="13"/>
        <v>0</v>
      </c>
      <c r="E257" s="46">
        <f t="shared" si="14"/>
        <v>0</v>
      </c>
      <c r="F257" s="46">
        <f t="shared" si="15"/>
        <v>0</v>
      </c>
      <c r="G257" s="43">
        <f t="shared" si="16"/>
        <v>0</v>
      </c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4">
        <f t="shared" si="17"/>
        <v>0</v>
      </c>
      <c r="S257" s="36">
        <f>BASE!A261</f>
        <v>246</v>
      </c>
      <c r="T257" s="46">
        <f t="shared" si="18"/>
        <v>0</v>
      </c>
      <c r="U257" s="46">
        <f t="shared" si="19"/>
        <v>0</v>
      </c>
      <c r="V257" s="46">
        <f t="shared" si="20"/>
        <v>0</v>
      </c>
      <c r="W257" s="46">
        <f t="shared" si="21"/>
        <v>0</v>
      </c>
      <c r="X257" s="46">
        <f t="shared" si="22"/>
        <v>0</v>
      </c>
      <c r="Y257" s="159"/>
    </row>
    <row r="258" spans="1:25" ht="17.25" customHeight="1">
      <c r="A258" s="47" t="str">
        <f>+BASE!B262</f>
        <v>23XXR247</v>
      </c>
      <c r="B258" s="36" t="s">
        <v>40</v>
      </c>
      <c r="C258" s="46">
        <f t="shared" si="12"/>
        <v>0</v>
      </c>
      <c r="D258" s="46">
        <f t="shared" si="13"/>
        <v>0</v>
      </c>
      <c r="E258" s="46">
        <f t="shared" si="14"/>
        <v>0</v>
      </c>
      <c r="F258" s="46">
        <f t="shared" si="15"/>
        <v>0</v>
      </c>
      <c r="G258" s="43">
        <f t="shared" si="16"/>
        <v>0</v>
      </c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4">
        <f t="shared" si="17"/>
        <v>0</v>
      </c>
      <c r="S258" s="36">
        <f>BASE!A262</f>
        <v>247</v>
      </c>
      <c r="T258" s="46">
        <f t="shared" si="18"/>
        <v>0</v>
      </c>
      <c r="U258" s="46">
        <f t="shared" si="19"/>
        <v>0</v>
      </c>
      <c r="V258" s="46">
        <f t="shared" si="20"/>
        <v>0</v>
      </c>
      <c r="W258" s="46">
        <f t="shared" si="21"/>
        <v>0</v>
      </c>
      <c r="X258" s="46">
        <f t="shared" si="22"/>
        <v>0</v>
      </c>
      <c r="Y258" s="159"/>
    </row>
    <row r="259" spans="1:25" ht="17.25" customHeight="1">
      <c r="A259" s="47" t="str">
        <f>+BASE!B263</f>
        <v>23XXR248</v>
      </c>
      <c r="B259" s="36" t="s">
        <v>40</v>
      </c>
      <c r="C259" s="46">
        <f t="shared" si="12"/>
        <v>0</v>
      </c>
      <c r="D259" s="46">
        <f t="shared" si="13"/>
        <v>0</v>
      </c>
      <c r="E259" s="46">
        <f t="shared" si="14"/>
        <v>0</v>
      </c>
      <c r="F259" s="46">
        <f t="shared" si="15"/>
        <v>0</v>
      </c>
      <c r="G259" s="43">
        <f t="shared" si="16"/>
        <v>0</v>
      </c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4">
        <f t="shared" si="17"/>
        <v>0</v>
      </c>
      <c r="S259" s="36">
        <f>BASE!A263</f>
        <v>248</v>
      </c>
      <c r="T259" s="46">
        <f t="shared" si="18"/>
        <v>0</v>
      </c>
      <c r="U259" s="46">
        <f t="shared" si="19"/>
        <v>0</v>
      </c>
      <c r="V259" s="46">
        <f t="shared" si="20"/>
        <v>0</v>
      </c>
      <c r="W259" s="46">
        <f t="shared" si="21"/>
        <v>0</v>
      </c>
      <c r="X259" s="46">
        <f t="shared" si="22"/>
        <v>0</v>
      </c>
      <c r="Y259" s="159"/>
    </row>
    <row r="260" spans="1:25" ht="17.25" customHeight="1">
      <c r="A260" s="47" t="str">
        <f>+BASE!B264</f>
        <v>23XXR249</v>
      </c>
      <c r="B260" s="36" t="s">
        <v>40</v>
      </c>
      <c r="C260" s="46">
        <f t="shared" si="12"/>
        <v>0</v>
      </c>
      <c r="D260" s="46">
        <f t="shared" si="13"/>
        <v>0</v>
      </c>
      <c r="E260" s="46">
        <f t="shared" si="14"/>
        <v>0</v>
      </c>
      <c r="F260" s="46">
        <f t="shared" si="15"/>
        <v>0</v>
      </c>
      <c r="G260" s="43">
        <f t="shared" si="16"/>
        <v>0</v>
      </c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4">
        <f t="shared" si="17"/>
        <v>0</v>
      </c>
      <c r="S260" s="36">
        <f>BASE!A264</f>
        <v>249</v>
      </c>
      <c r="T260" s="46">
        <f t="shared" si="18"/>
        <v>0</v>
      </c>
      <c r="U260" s="46">
        <f t="shared" si="19"/>
        <v>0</v>
      </c>
      <c r="V260" s="46">
        <f t="shared" si="20"/>
        <v>0</v>
      </c>
      <c r="W260" s="46">
        <f t="shared" si="21"/>
        <v>0</v>
      </c>
      <c r="X260" s="46">
        <f t="shared" si="22"/>
        <v>0</v>
      </c>
      <c r="Y260" s="159"/>
    </row>
    <row r="261" spans="1:25" ht="17.25" customHeight="1">
      <c r="A261" s="47" t="str">
        <f>+BASE!B265</f>
        <v>23XXR250</v>
      </c>
      <c r="B261" s="36" t="s">
        <v>40</v>
      </c>
      <c r="C261" s="46">
        <f t="shared" si="12"/>
        <v>0</v>
      </c>
      <c r="D261" s="46">
        <f t="shared" si="13"/>
        <v>0</v>
      </c>
      <c r="E261" s="46">
        <f t="shared" si="14"/>
        <v>0</v>
      </c>
      <c r="F261" s="46">
        <f t="shared" si="15"/>
        <v>0</v>
      </c>
      <c r="G261" s="43">
        <f t="shared" si="16"/>
        <v>0</v>
      </c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4">
        <f t="shared" si="17"/>
        <v>0</v>
      </c>
      <c r="S261" s="36">
        <f>BASE!A265</f>
        <v>250</v>
      </c>
      <c r="T261" s="46">
        <f t="shared" si="18"/>
        <v>0</v>
      </c>
      <c r="U261" s="46">
        <f t="shared" si="19"/>
        <v>0</v>
      </c>
      <c r="V261" s="46">
        <f t="shared" si="20"/>
        <v>0</v>
      </c>
      <c r="W261" s="46">
        <f t="shared" si="21"/>
        <v>0</v>
      </c>
      <c r="X261" s="46">
        <f t="shared" si="22"/>
        <v>0</v>
      </c>
      <c r="Y261" s="159"/>
    </row>
    <row r="262" spans="1:25" ht="17.25" customHeight="1">
      <c r="A262" s="47" t="str">
        <f>+BASE!B266</f>
        <v>23XXR251</v>
      </c>
      <c r="B262" s="36" t="s">
        <v>40</v>
      </c>
      <c r="C262" s="46">
        <f t="shared" si="12"/>
        <v>0</v>
      </c>
      <c r="D262" s="46">
        <f t="shared" si="13"/>
        <v>0</v>
      </c>
      <c r="E262" s="46">
        <f t="shared" si="14"/>
        <v>0</v>
      </c>
      <c r="F262" s="46">
        <f t="shared" si="15"/>
        <v>0</v>
      </c>
      <c r="G262" s="43">
        <f t="shared" si="16"/>
        <v>0</v>
      </c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4">
        <f t="shared" si="17"/>
        <v>0</v>
      </c>
      <c r="S262" s="36">
        <f>BASE!A266</f>
        <v>251</v>
      </c>
      <c r="T262" s="46">
        <f t="shared" si="18"/>
        <v>0</v>
      </c>
      <c r="U262" s="46">
        <f t="shared" si="19"/>
        <v>0</v>
      </c>
      <c r="V262" s="46">
        <f t="shared" si="20"/>
        <v>0</v>
      </c>
      <c r="W262" s="46">
        <f t="shared" si="21"/>
        <v>0</v>
      </c>
      <c r="X262" s="46">
        <f t="shared" si="22"/>
        <v>0</v>
      </c>
      <c r="Y262" s="159"/>
    </row>
    <row r="263" spans="1:25" ht="17.25" customHeight="1">
      <c r="A263" s="47" t="str">
        <f>+BASE!B267</f>
        <v>23XXR252</v>
      </c>
      <c r="B263" s="36" t="s">
        <v>40</v>
      </c>
      <c r="C263" s="46">
        <f t="shared" si="12"/>
        <v>0</v>
      </c>
      <c r="D263" s="46">
        <f t="shared" si="13"/>
        <v>0</v>
      </c>
      <c r="E263" s="46">
        <f t="shared" si="14"/>
        <v>0</v>
      </c>
      <c r="F263" s="46">
        <f t="shared" si="15"/>
        <v>0</v>
      </c>
      <c r="G263" s="43">
        <f t="shared" si="16"/>
        <v>0</v>
      </c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4">
        <f t="shared" si="17"/>
        <v>0</v>
      </c>
      <c r="S263" s="36">
        <f>BASE!A267</f>
        <v>252</v>
      </c>
      <c r="T263" s="46">
        <f t="shared" si="18"/>
        <v>0</v>
      </c>
      <c r="U263" s="46">
        <f t="shared" si="19"/>
        <v>0</v>
      </c>
      <c r="V263" s="46">
        <f t="shared" si="20"/>
        <v>0</v>
      </c>
      <c r="W263" s="46">
        <f t="shared" si="21"/>
        <v>0</v>
      </c>
      <c r="X263" s="46">
        <f t="shared" si="22"/>
        <v>0</v>
      </c>
      <c r="Y263" s="159"/>
    </row>
    <row r="264" spans="1:25" ht="17.25" customHeight="1">
      <c r="A264" s="47" t="str">
        <f>+BASE!B268</f>
        <v>23XXR253</v>
      </c>
      <c r="B264" s="36" t="s">
        <v>40</v>
      </c>
      <c r="C264" s="46">
        <f t="shared" si="12"/>
        <v>0</v>
      </c>
      <c r="D264" s="46">
        <f t="shared" si="13"/>
        <v>0</v>
      </c>
      <c r="E264" s="46">
        <f t="shared" si="14"/>
        <v>0</v>
      </c>
      <c r="F264" s="46">
        <f t="shared" si="15"/>
        <v>0</v>
      </c>
      <c r="G264" s="43">
        <f t="shared" si="16"/>
        <v>0</v>
      </c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4">
        <f t="shared" si="17"/>
        <v>0</v>
      </c>
      <c r="S264" s="36">
        <f>BASE!A268</f>
        <v>253</v>
      </c>
      <c r="T264" s="46">
        <f t="shared" si="18"/>
        <v>0</v>
      </c>
      <c r="U264" s="46">
        <f t="shared" si="19"/>
        <v>0</v>
      </c>
      <c r="V264" s="46">
        <f t="shared" si="20"/>
        <v>0</v>
      </c>
      <c r="W264" s="46">
        <f t="shared" si="21"/>
        <v>0</v>
      </c>
      <c r="X264" s="46">
        <f t="shared" si="22"/>
        <v>0</v>
      </c>
      <c r="Y264" s="159"/>
    </row>
    <row r="265" spans="1:25" ht="17.25" customHeight="1">
      <c r="A265" s="47" t="str">
        <f>+BASE!B269</f>
        <v>23XXR254</v>
      </c>
      <c r="B265" s="36" t="s">
        <v>40</v>
      </c>
      <c r="C265" s="46">
        <f t="shared" si="12"/>
        <v>0</v>
      </c>
      <c r="D265" s="46">
        <f t="shared" si="13"/>
        <v>0</v>
      </c>
      <c r="E265" s="46">
        <f t="shared" si="14"/>
        <v>0</v>
      </c>
      <c r="F265" s="46">
        <f t="shared" si="15"/>
        <v>0</v>
      </c>
      <c r="G265" s="43">
        <f t="shared" si="16"/>
        <v>0</v>
      </c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4">
        <f t="shared" si="17"/>
        <v>0</v>
      </c>
      <c r="S265" s="36">
        <f>BASE!A269</f>
        <v>254</v>
      </c>
      <c r="T265" s="46">
        <f t="shared" si="18"/>
        <v>0</v>
      </c>
      <c r="U265" s="46">
        <f t="shared" si="19"/>
        <v>0</v>
      </c>
      <c r="V265" s="46">
        <f t="shared" si="20"/>
        <v>0</v>
      </c>
      <c r="W265" s="46">
        <f t="shared" si="21"/>
        <v>0</v>
      </c>
      <c r="X265" s="46">
        <f t="shared" si="22"/>
        <v>0</v>
      </c>
      <c r="Y265" s="159"/>
    </row>
    <row r="266" spans="1:25" ht="17.25" customHeight="1">
      <c r="A266" s="47" t="str">
        <f>+BASE!B270</f>
        <v>23XXR255</v>
      </c>
      <c r="B266" s="36" t="s">
        <v>40</v>
      </c>
      <c r="C266" s="46">
        <f t="shared" si="12"/>
        <v>0</v>
      </c>
      <c r="D266" s="46">
        <f t="shared" si="13"/>
        <v>0</v>
      </c>
      <c r="E266" s="46">
        <f t="shared" si="14"/>
        <v>0</v>
      </c>
      <c r="F266" s="46">
        <f t="shared" si="15"/>
        <v>0</v>
      </c>
      <c r="G266" s="43">
        <f t="shared" si="16"/>
        <v>0</v>
      </c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4">
        <f t="shared" si="17"/>
        <v>0</v>
      </c>
      <c r="S266" s="36">
        <f>BASE!A270</f>
        <v>255</v>
      </c>
      <c r="T266" s="46">
        <f t="shared" si="18"/>
        <v>0</v>
      </c>
      <c r="U266" s="46">
        <f t="shared" si="19"/>
        <v>0</v>
      </c>
      <c r="V266" s="46">
        <f t="shared" si="20"/>
        <v>0</v>
      </c>
      <c r="W266" s="46">
        <f t="shared" si="21"/>
        <v>0</v>
      </c>
      <c r="X266" s="46">
        <f t="shared" si="22"/>
        <v>0</v>
      </c>
      <c r="Y266" s="159"/>
    </row>
    <row r="267" spans="1:25" ht="17.25" customHeight="1">
      <c r="A267" s="47" t="str">
        <f>+BASE!B271</f>
        <v>23XXR256</v>
      </c>
      <c r="B267" s="36" t="s">
        <v>40</v>
      </c>
      <c r="C267" s="46">
        <f t="shared" si="12"/>
        <v>0</v>
      </c>
      <c r="D267" s="46">
        <f t="shared" si="13"/>
        <v>0</v>
      </c>
      <c r="E267" s="46">
        <f t="shared" si="14"/>
        <v>0</v>
      </c>
      <c r="F267" s="46">
        <f t="shared" si="15"/>
        <v>0</v>
      </c>
      <c r="G267" s="43">
        <f t="shared" si="16"/>
        <v>0</v>
      </c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4">
        <f t="shared" si="17"/>
        <v>0</v>
      </c>
      <c r="S267" s="36">
        <f>BASE!A271</f>
        <v>256</v>
      </c>
      <c r="T267" s="46">
        <f t="shared" si="18"/>
        <v>0</v>
      </c>
      <c r="U267" s="46">
        <f t="shared" si="19"/>
        <v>0</v>
      </c>
      <c r="V267" s="46">
        <f t="shared" si="20"/>
        <v>0</v>
      </c>
      <c r="W267" s="46">
        <f t="shared" si="21"/>
        <v>0</v>
      </c>
      <c r="X267" s="46">
        <f t="shared" si="22"/>
        <v>0</v>
      </c>
      <c r="Y267" s="159"/>
    </row>
    <row r="268" spans="1:25" ht="17.25" customHeight="1">
      <c r="A268" s="47" t="str">
        <f>+BASE!B272</f>
        <v>23XXR257</v>
      </c>
      <c r="B268" s="36" t="s">
        <v>40</v>
      </c>
      <c r="C268" s="46">
        <f t="shared" si="12"/>
        <v>0</v>
      </c>
      <c r="D268" s="46">
        <f t="shared" si="13"/>
        <v>0</v>
      </c>
      <c r="E268" s="46">
        <f t="shared" si="14"/>
        <v>0</v>
      </c>
      <c r="F268" s="46">
        <f t="shared" si="15"/>
        <v>0</v>
      </c>
      <c r="G268" s="43">
        <f t="shared" si="16"/>
        <v>0</v>
      </c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4">
        <f t="shared" si="17"/>
        <v>0</v>
      </c>
      <c r="S268" s="36">
        <f>BASE!A272</f>
        <v>257</v>
      </c>
      <c r="T268" s="46">
        <f t="shared" si="18"/>
        <v>0</v>
      </c>
      <c r="U268" s="46">
        <f t="shared" si="19"/>
        <v>0</v>
      </c>
      <c r="V268" s="46">
        <f t="shared" si="20"/>
        <v>0</v>
      </c>
      <c r="W268" s="46">
        <f t="shared" si="21"/>
        <v>0</v>
      </c>
      <c r="X268" s="46">
        <f t="shared" si="22"/>
        <v>0</v>
      </c>
      <c r="Y268" s="159"/>
    </row>
    <row r="269" spans="1:25" ht="17.25" customHeight="1">
      <c r="A269" s="47" t="str">
        <f>+BASE!B273</f>
        <v>23XXR258</v>
      </c>
      <c r="B269" s="36" t="s">
        <v>40</v>
      </c>
      <c r="C269" s="46">
        <f t="shared" si="12"/>
        <v>0</v>
      </c>
      <c r="D269" s="46">
        <f t="shared" si="13"/>
        <v>0</v>
      </c>
      <c r="E269" s="46">
        <f t="shared" si="14"/>
        <v>0</v>
      </c>
      <c r="F269" s="46">
        <f t="shared" si="15"/>
        <v>0</v>
      </c>
      <c r="G269" s="43">
        <f t="shared" si="16"/>
        <v>0</v>
      </c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4">
        <f t="shared" si="17"/>
        <v>0</v>
      </c>
      <c r="S269" s="36">
        <f>BASE!A273</f>
        <v>258</v>
      </c>
      <c r="T269" s="46">
        <f t="shared" si="18"/>
        <v>0</v>
      </c>
      <c r="U269" s="46">
        <f t="shared" si="19"/>
        <v>0</v>
      </c>
      <c r="V269" s="46">
        <f t="shared" si="20"/>
        <v>0</v>
      </c>
      <c r="W269" s="46">
        <f t="shared" si="21"/>
        <v>0</v>
      </c>
      <c r="X269" s="46">
        <f t="shared" si="22"/>
        <v>0</v>
      </c>
      <c r="Y269" s="159"/>
    </row>
    <row r="270" spans="1:25" ht="17.25" customHeight="1">
      <c r="A270" s="47" t="str">
        <f>+BASE!B274</f>
        <v>23XXR259</v>
      </c>
      <c r="B270" s="36" t="s">
        <v>40</v>
      </c>
      <c r="C270" s="46">
        <f t="shared" si="12"/>
        <v>0</v>
      </c>
      <c r="D270" s="46">
        <f t="shared" si="13"/>
        <v>0</v>
      </c>
      <c r="E270" s="46">
        <f t="shared" si="14"/>
        <v>0</v>
      </c>
      <c r="F270" s="46">
        <f t="shared" si="15"/>
        <v>0</v>
      </c>
      <c r="G270" s="43">
        <f t="shared" si="16"/>
        <v>0</v>
      </c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4">
        <f t="shared" si="17"/>
        <v>0</v>
      </c>
      <c r="S270" s="36">
        <f>BASE!A274</f>
        <v>259</v>
      </c>
      <c r="T270" s="46">
        <f t="shared" si="18"/>
        <v>0</v>
      </c>
      <c r="U270" s="46">
        <f t="shared" si="19"/>
        <v>0</v>
      </c>
      <c r="V270" s="46">
        <f t="shared" si="20"/>
        <v>0</v>
      </c>
      <c r="W270" s="46">
        <f t="shared" si="21"/>
        <v>0</v>
      </c>
      <c r="X270" s="46">
        <f t="shared" si="22"/>
        <v>0</v>
      </c>
      <c r="Y270" s="159"/>
    </row>
    <row r="271" spans="1:25" ht="17.25" customHeight="1">
      <c r="A271" s="47" t="str">
        <f>+BASE!B275</f>
        <v>23XXR260</v>
      </c>
      <c r="B271" s="36" t="s">
        <v>40</v>
      </c>
      <c r="C271" s="46">
        <f t="shared" si="12"/>
        <v>0</v>
      </c>
      <c r="D271" s="46">
        <f t="shared" si="13"/>
        <v>0</v>
      </c>
      <c r="E271" s="46">
        <f t="shared" si="14"/>
        <v>0</v>
      </c>
      <c r="F271" s="46">
        <f t="shared" si="15"/>
        <v>0</v>
      </c>
      <c r="G271" s="43">
        <f t="shared" si="16"/>
        <v>0</v>
      </c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4">
        <f t="shared" si="17"/>
        <v>0</v>
      </c>
      <c r="S271" s="36">
        <f>BASE!A275</f>
        <v>260</v>
      </c>
      <c r="T271" s="46">
        <f t="shared" si="18"/>
        <v>0</v>
      </c>
      <c r="U271" s="46">
        <f t="shared" si="19"/>
        <v>0</v>
      </c>
      <c r="V271" s="46">
        <f t="shared" si="20"/>
        <v>0</v>
      </c>
      <c r="W271" s="46">
        <f t="shared" si="21"/>
        <v>0</v>
      </c>
      <c r="X271" s="46">
        <f t="shared" si="22"/>
        <v>0</v>
      </c>
      <c r="Y271" s="159"/>
    </row>
    <row r="272" spans="1:25" ht="17.25" customHeight="1">
      <c r="A272" s="47" t="str">
        <f>+BASE!B276</f>
        <v>23XXR261</v>
      </c>
      <c r="B272" s="36" t="s">
        <v>40</v>
      </c>
      <c r="C272" s="46">
        <f t="shared" si="12"/>
        <v>0</v>
      </c>
      <c r="D272" s="46">
        <f t="shared" si="13"/>
        <v>0</v>
      </c>
      <c r="E272" s="46">
        <f t="shared" si="14"/>
        <v>0</v>
      </c>
      <c r="F272" s="46">
        <f t="shared" si="15"/>
        <v>0</v>
      </c>
      <c r="G272" s="43">
        <f t="shared" si="16"/>
        <v>0</v>
      </c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4">
        <f t="shared" si="17"/>
        <v>0</v>
      </c>
      <c r="S272" s="36">
        <f>BASE!A276</f>
        <v>261</v>
      </c>
      <c r="T272" s="46">
        <f t="shared" si="18"/>
        <v>0</v>
      </c>
      <c r="U272" s="46">
        <f t="shared" si="19"/>
        <v>0</v>
      </c>
      <c r="V272" s="46">
        <f t="shared" si="20"/>
        <v>0</v>
      </c>
      <c r="W272" s="46">
        <f t="shared" si="21"/>
        <v>0</v>
      </c>
      <c r="X272" s="46">
        <f t="shared" si="22"/>
        <v>0</v>
      </c>
      <c r="Y272" s="159"/>
    </row>
    <row r="273" spans="1:25" ht="17.25" customHeight="1">
      <c r="A273" s="47" t="str">
        <f>+BASE!B277</f>
        <v>23XXR262</v>
      </c>
      <c r="B273" s="36" t="s">
        <v>40</v>
      </c>
      <c r="C273" s="46">
        <f t="shared" si="12"/>
        <v>0</v>
      </c>
      <c r="D273" s="46">
        <f t="shared" si="13"/>
        <v>0</v>
      </c>
      <c r="E273" s="46">
        <f t="shared" si="14"/>
        <v>0</v>
      </c>
      <c r="F273" s="46">
        <f t="shared" si="15"/>
        <v>0</v>
      </c>
      <c r="G273" s="43">
        <f t="shared" si="16"/>
        <v>0</v>
      </c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4">
        <f t="shared" si="17"/>
        <v>0</v>
      </c>
      <c r="S273" s="36">
        <f>BASE!A277</f>
        <v>262</v>
      </c>
      <c r="T273" s="46">
        <f t="shared" si="18"/>
        <v>0</v>
      </c>
      <c r="U273" s="46">
        <f t="shared" si="19"/>
        <v>0</v>
      </c>
      <c r="V273" s="46">
        <f t="shared" si="20"/>
        <v>0</v>
      </c>
      <c r="W273" s="46">
        <f t="shared" si="21"/>
        <v>0</v>
      </c>
      <c r="X273" s="46">
        <f t="shared" si="22"/>
        <v>0</v>
      </c>
      <c r="Y273" s="159"/>
    </row>
    <row r="274" spans="1:25" ht="17.25" customHeight="1">
      <c r="A274" s="47" t="str">
        <f>+BASE!B278</f>
        <v>23XXR263</v>
      </c>
      <c r="B274" s="36" t="s">
        <v>40</v>
      </c>
      <c r="C274" s="46">
        <f t="shared" si="12"/>
        <v>0</v>
      </c>
      <c r="D274" s="46">
        <f t="shared" si="13"/>
        <v>0</v>
      </c>
      <c r="E274" s="46">
        <f t="shared" si="14"/>
        <v>0</v>
      </c>
      <c r="F274" s="46">
        <f t="shared" si="15"/>
        <v>0</v>
      </c>
      <c r="G274" s="43">
        <f t="shared" si="16"/>
        <v>0</v>
      </c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4">
        <f t="shared" si="17"/>
        <v>0</v>
      </c>
      <c r="S274" s="36">
        <f>BASE!A278</f>
        <v>263</v>
      </c>
      <c r="T274" s="46">
        <f t="shared" si="18"/>
        <v>0</v>
      </c>
      <c r="U274" s="46">
        <f t="shared" si="19"/>
        <v>0</v>
      </c>
      <c r="V274" s="46">
        <f t="shared" si="20"/>
        <v>0</v>
      </c>
      <c r="W274" s="46">
        <f t="shared" si="21"/>
        <v>0</v>
      </c>
      <c r="X274" s="46">
        <f t="shared" si="22"/>
        <v>0</v>
      </c>
      <c r="Y274" s="159"/>
    </row>
    <row r="275" spans="1:25" ht="17.25" customHeight="1">
      <c r="A275" s="47" t="str">
        <f>+BASE!B279</f>
        <v>23XXR264</v>
      </c>
      <c r="B275" s="36" t="s">
        <v>40</v>
      </c>
      <c r="C275" s="46">
        <f t="shared" si="12"/>
        <v>0</v>
      </c>
      <c r="D275" s="46">
        <f t="shared" si="13"/>
        <v>0</v>
      </c>
      <c r="E275" s="46">
        <f t="shared" si="14"/>
        <v>0</v>
      </c>
      <c r="F275" s="46">
        <f t="shared" si="15"/>
        <v>0</v>
      </c>
      <c r="G275" s="43">
        <f t="shared" si="16"/>
        <v>0</v>
      </c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4">
        <f t="shared" si="17"/>
        <v>0</v>
      </c>
      <c r="S275" s="36">
        <f>BASE!A279</f>
        <v>264</v>
      </c>
      <c r="T275" s="46">
        <f t="shared" si="18"/>
        <v>0</v>
      </c>
      <c r="U275" s="46">
        <f t="shared" si="19"/>
        <v>0</v>
      </c>
      <c r="V275" s="46">
        <f t="shared" si="20"/>
        <v>0</v>
      </c>
      <c r="W275" s="46">
        <f t="shared" si="21"/>
        <v>0</v>
      </c>
      <c r="X275" s="46">
        <f t="shared" si="22"/>
        <v>0</v>
      </c>
      <c r="Y275" s="159"/>
    </row>
    <row r="276" spans="1:25" ht="17.25" customHeight="1">
      <c r="A276" s="47" t="str">
        <f>+BASE!B280</f>
        <v>23XXR265</v>
      </c>
      <c r="B276" s="36" t="s">
        <v>40</v>
      </c>
      <c r="C276" s="46">
        <f t="shared" si="12"/>
        <v>0</v>
      </c>
      <c r="D276" s="46">
        <f t="shared" si="13"/>
        <v>0</v>
      </c>
      <c r="E276" s="46">
        <f t="shared" si="14"/>
        <v>0</v>
      </c>
      <c r="F276" s="46">
        <f t="shared" si="15"/>
        <v>0</v>
      </c>
      <c r="G276" s="43">
        <f t="shared" si="16"/>
        <v>0</v>
      </c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4">
        <f t="shared" si="17"/>
        <v>0</v>
      </c>
      <c r="S276" s="36">
        <f>BASE!A280</f>
        <v>265</v>
      </c>
      <c r="T276" s="46">
        <f t="shared" si="18"/>
        <v>0</v>
      </c>
      <c r="U276" s="46">
        <f t="shared" si="19"/>
        <v>0</v>
      </c>
      <c r="V276" s="46">
        <f t="shared" si="20"/>
        <v>0</v>
      </c>
      <c r="W276" s="46">
        <f t="shared" si="21"/>
        <v>0</v>
      </c>
      <c r="X276" s="46">
        <f t="shared" si="22"/>
        <v>0</v>
      </c>
      <c r="Y276" s="159"/>
    </row>
    <row r="277" spans="1:25" ht="17.25" customHeight="1">
      <c r="A277" s="47" t="str">
        <f>+BASE!B281</f>
        <v>23XXR266</v>
      </c>
      <c r="B277" s="36" t="s">
        <v>40</v>
      </c>
      <c r="C277" s="46">
        <f t="shared" si="12"/>
        <v>0</v>
      </c>
      <c r="D277" s="46">
        <f t="shared" si="13"/>
        <v>0</v>
      </c>
      <c r="E277" s="46">
        <f t="shared" si="14"/>
        <v>0</v>
      </c>
      <c r="F277" s="46">
        <f t="shared" si="15"/>
        <v>0</v>
      </c>
      <c r="G277" s="43">
        <f t="shared" si="16"/>
        <v>0</v>
      </c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4">
        <f t="shared" si="17"/>
        <v>0</v>
      </c>
      <c r="S277" s="36">
        <f>BASE!A281</f>
        <v>266</v>
      </c>
      <c r="T277" s="46">
        <f t="shared" si="18"/>
        <v>0</v>
      </c>
      <c r="U277" s="46">
        <f t="shared" si="19"/>
        <v>0</v>
      </c>
      <c r="V277" s="46">
        <f t="shared" si="20"/>
        <v>0</v>
      </c>
      <c r="W277" s="46">
        <f t="shared" si="21"/>
        <v>0</v>
      </c>
      <c r="X277" s="46">
        <f t="shared" si="22"/>
        <v>0</v>
      </c>
      <c r="Y277" s="159"/>
    </row>
    <row r="278" spans="1:25" ht="17.25" customHeight="1">
      <c r="A278" s="47" t="str">
        <f>+BASE!B282</f>
        <v>23XXR267</v>
      </c>
      <c r="B278" s="36" t="s">
        <v>40</v>
      </c>
      <c r="C278" s="46">
        <f t="shared" si="12"/>
        <v>0</v>
      </c>
      <c r="D278" s="46">
        <f t="shared" si="13"/>
        <v>0</v>
      </c>
      <c r="E278" s="46">
        <f t="shared" si="14"/>
        <v>0</v>
      </c>
      <c r="F278" s="46">
        <f t="shared" si="15"/>
        <v>0</v>
      </c>
      <c r="G278" s="43">
        <f t="shared" si="16"/>
        <v>0</v>
      </c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4">
        <f t="shared" si="17"/>
        <v>0</v>
      </c>
      <c r="S278" s="36">
        <f>BASE!A282</f>
        <v>267</v>
      </c>
      <c r="T278" s="46">
        <f t="shared" si="18"/>
        <v>0</v>
      </c>
      <c r="U278" s="46">
        <f t="shared" si="19"/>
        <v>0</v>
      </c>
      <c r="V278" s="46">
        <f t="shared" si="20"/>
        <v>0</v>
      </c>
      <c r="W278" s="46">
        <f t="shared" si="21"/>
        <v>0</v>
      </c>
      <c r="X278" s="46">
        <f t="shared" si="22"/>
        <v>0</v>
      </c>
      <c r="Y278" s="159"/>
    </row>
    <row r="279" spans="1:25" ht="17.25" customHeight="1">
      <c r="A279" s="47" t="str">
        <f>+BASE!B283</f>
        <v>23XXR268</v>
      </c>
      <c r="B279" s="36" t="s">
        <v>40</v>
      </c>
      <c r="C279" s="46">
        <f t="shared" si="12"/>
        <v>0</v>
      </c>
      <c r="D279" s="46">
        <f t="shared" si="13"/>
        <v>0</v>
      </c>
      <c r="E279" s="46">
        <f t="shared" si="14"/>
        <v>0</v>
      </c>
      <c r="F279" s="46">
        <f t="shared" si="15"/>
        <v>0</v>
      </c>
      <c r="G279" s="43">
        <f t="shared" si="16"/>
        <v>0</v>
      </c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4">
        <f t="shared" si="17"/>
        <v>0</v>
      </c>
      <c r="S279" s="36">
        <f>BASE!A283</f>
        <v>268</v>
      </c>
      <c r="T279" s="46">
        <f t="shared" si="18"/>
        <v>0</v>
      </c>
      <c r="U279" s="46">
        <f t="shared" si="19"/>
        <v>0</v>
      </c>
      <c r="V279" s="46">
        <f t="shared" si="20"/>
        <v>0</v>
      </c>
      <c r="W279" s="46">
        <f t="shared" si="21"/>
        <v>0</v>
      </c>
      <c r="X279" s="46">
        <f t="shared" si="22"/>
        <v>0</v>
      </c>
      <c r="Y279" s="159"/>
    </row>
    <row r="280" spans="1:25" ht="17.25" customHeight="1">
      <c r="A280" s="47" t="str">
        <f>+BASE!B284</f>
        <v>23XXR269</v>
      </c>
      <c r="B280" s="36" t="s">
        <v>40</v>
      </c>
      <c r="C280" s="46">
        <f t="shared" si="12"/>
        <v>0</v>
      </c>
      <c r="D280" s="46">
        <f t="shared" si="13"/>
        <v>0</v>
      </c>
      <c r="E280" s="46">
        <f t="shared" si="14"/>
        <v>0</v>
      </c>
      <c r="F280" s="46">
        <f t="shared" si="15"/>
        <v>0</v>
      </c>
      <c r="G280" s="43">
        <f t="shared" si="16"/>
        <v>0</v>
      </c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4">
        <f t="shared" si="17"/>
        <v>0</v>
      </c>
      <c r="S280" s="36">
        <f>BASE!A284</f>
        <v>269</v>
      </c>
      <c r="T280" s="46">
        <f t="shared" si="18"/>
        <v>0</v>
      </c>
      <c r="U280" s="46">
        <f t="shared" si="19"/>
        <v>0</v>
      </c>
      <c r="V280" s="46">
        <f t="shared" si="20"/>
        <v>0</v>
      </c>
      <c r="W280" s="46">
        <f t="shared" si="21"/>
        <v>0</v>
      </c>
      <c r="X280" s="46">
        <f t="shared" si="22"/>
        <v>0</v>
      </c>
      <c r="Y280" s="159"/>
    </row>
    <row r="281" spans="1:25" ht="17.25" customHeight="1">
      <c r="A281" s="47" t="str">
        <f>+BASE!B285</f>
        <v>23XXR270</v>
      </c>
      <c r="B281" s="36" t="s">
        <v>40</v>
      </c>
      <c r="C281" s="46">
        <f t="shared" si="12"/>
        <v>0</v>
      </c>
      <c r="D281" s="46">
        <f t="shared" si="13"/>
        <v>0</v>
      </c>
      <c r="E281" s="46">
        <f t="shared" si="14"/>
        <v>0</v>
      </c>
      <c r="F281" s="46">
        <f t="shared" si="15"/>
        <v>0</v>
      </c>
      <c r="G281" s="43">
        <f t="shared" si="16"/>
        <v>0</v>
      </c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4">
        <f t="shared" si="17"/>
        <v>0</v>
      </c>
      <c r="S281" s="36">
        <f>BASE!A285</f>
        <v>270</v>
      </c>
      <c r="T281" s="46">
        <f t="shared" si="18"/>
        <v>0</v>
      </c>
      <c r="U281" s="46">
        <f t="shared" si="19"/>
        <v>0</v>
      </c>
      <c r="V281" s="46">
        <f t="shared" si="20"/>
        <v>0</v>
      </c>
      <c r="W281" s="46">
        <f t="shared" si="21"/>
        <v>0</v>
      </c>
      <c r="X281" s="46">
        <f t="shared" si="22"/>
        <v>0</v>
      </c>
      <c r="Y281" s="159"/>
    </row>
    <row r="282" spans="1:25" ht="17.25" customHeight="1">
      <c r="A282" s="47" t="str">
        <f>+BASE!B286</f>
        <v>23XXR271</v>
      </c>
      <c r="B282" s="36" t="s">
        <v>40</v>
      </c>
      <c r="C282" s="46">
        <f t="shared" si="12"/>
        <v>0</v>
      </c>
      <c r="D282" s="46">
        <f t="shared" si="13"/>
        <v>0</v>
      </c>
      <c r="E282" s="46">
        <f t="shared" si="14"/>
        <v>0</v>
      </c>
      <c r="F282" s="46">
        <f t="shared" si="15"/>
        <v>0</v>
      </c>
      <c r="G282" s="43">
        <f t="shared" si="16"/>
        <v>0</v>
      </c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4">
        <f t="shared" si="17"/>
        <v>0</v>
      </c>
      <c r="S282" s="36">
        <f>BASE!A286</f>
        <v>271</v>
      </c>
      <c r="T282" s="46">
        <f t="shared" si="18"/>
        <v>0</v>
      </c>
      <c r="U282" s="46">
        <f t="shared" si="19"/>
        <v>0</v>
      </c>
      <c r="V282" s="46">
        <f t="shared" si="20"/>
        <v>0</v>
      </c>
      <c r="W282" s="46">
        <f t="shared" si="21"/>
        <v>0</v>
      </c>
      <c r="X282" s="46">
        <f t="shared" si="22"/>
        <v>0</v>
      </c>
      <c r="Y282" s="159"/>
    </row>
    <row r="283" spans="1:25" ht="17.25" customHeight="1">
      <c r="A283" s="47" t="str">
        <f>+BASE!B287</f>
        <v>23XXR272</v>
      </c>
      <c r="B283" s="36" t="s">
        <v>40</v>
      </c>
      <c r="C283" s="46">
        <f t="shared" si="12"/>
        <v>0</v>
      </c>
      <c r="D283" s="46">
        <f t="shared" si="13"/>
        <v>0</v>
      </c>
      <c r="E283" s="46">
        <f t="shared" si="14"/>
        <v>0</v>
      </c>
      <c r="F283" s="46">
        <f t="shared" si="15"/>
        <v>0</v>
      </c>
      <c r="G283" s="43">
        <f t="shared" si="16"/>
        <v>0</v>
      </c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4">
        <f t="shared" si="17"/>
        <v>0</v>
      </c>
      <c r="S283" s="36">
        <f>BASE!A287</f>
        <v>272</v>
      </c>
      <c r="T283" s="46">
        <f t="shared" si="18"/>
        <v>0</v>
      </c>
      <c r="U283" s="46">
        <f t="shared" si="19"/>
        <v>0</v>
      </c>
      <c r="V283" s="46">
        <f t="shared" si="20"/>
        <v>0</v>
      </c>
      <c r="W283" s="46">
        <f t="shared" si="21"/>
        <v>0</v>
      </c>
      <c r="X283" s="46">
        <f t="shared" si="22"/>
        <v>0</v>
      </c>
      <c r="Y283" s="159"/>
    </row>
    <row r="284" spans="1:25" ht="17.25" customHeight="1">
      <c r="A284" s="47" t="str">
        <f>+BASE!B288</f>
        <v>23XXR273</v>
      </c>
      <c r="B284" s="36" t="s">
        <v>40</v>
      </c>
      <c r="C284" s="46">
        <f t="shared" si="12"/>
        <v>0</v>
      </c>
      <c r="D284" s="46">
        <f t="shared" si="13"/>
        <v>0</v>
      </c>
      <c r="E284" s="46">
        <f t="shared" si="14"/>
        <v>0</v>
      </c>
      <c r="F284" s="46">
        <f t="shared" si="15"/>
        <v>0</v>
      </c>
      <c r="G284" s="43">
        <f t="shared" si="16"/>
        <v>0</v>
      </c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4">
        <f t="shared" si="17"/>
        <v>0</v>
      </c>
      <c r="S284" s="36">
        <f>BASE!A288</f>
        <v>273</v>
      </c>
      <c r="T284" s="46">
        <f t="shared" si="18"/>
        <v>0</v>
      </c>
      <c r="U284" s="46">
        <f t="shared" si="19"/>
        <v>0</v>
      </c>
      <c r="V284" s="46">
        <f t="shared" si="20"/>
        <v>0</v>
      </c>
      <c r="W284" s="46">
        <f t="shared" si="21"/>
        <v>0</v>
      </c>
      <c r="X284" s="46">
        <f t="shared" si="22"/>
        <v>0</v>
      </c>
      <c r="Y284" s="159"/>
    </row>
    <row r="285" spans="1:25" ht="17.25" customHeight="1">
      <c r="A285" s="47" t="str">
        <f>+BASE!B289</f>
        <v>23XXR274</v>
      </c>
      <c r="B285" s="36" t="s">
        <v>40</v>
      </c>
      <c r="C285" s="46">
        <f t="shared" si="12"/>
        <v>0</v>
      </c>
      <c r="D285" s="46">
        <f t="shared" si="13"/>
        <v>0</v>
      </c>
      <c r="E285" s="46">
        <f t="shared" si="14"/>
        <v>0</v>
      </c>
      <c r="F285" s="46">
        <f t="shared" si="15"/>
        <v>0</v>
      </c>
      <c r="G285" s="43">
        <f t="shared" si="16"/>
        <v>0</v>
      </c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4">
        <f t="shared" si="17"/>
        <v>0</v>
      </c>
      <c r="S285" s="36">
        <f>BASE!A289</f>
        <v>274</v>
      </c>
      <c r="T285" s="46">
        <f t="shared" si="18"/>
        <v>0</v>
      </c>
      <c r="U285" s="46">
        <f t="shared" si="19"/>
        <v>0</v>
      </c>
      <c r="V285" s="46">
        <f t="shared" si="20"/>
        <v>0</v>
      </c>
      <c r="W285" s="46">
        <f t="shared" si="21"/>
        <v>0</v>
      </c>
      <c r="X285" s="46">
        <f t="shared" si="22"/>
        <v>0</v>
      </c>
      <c r="Y285" s="159"/>
    </row>
    <row r="286" spans="1:25" ht="17.25" customHeight="1">
      <c r="A286" s="47" t="str">
        <f>+BASE!B290</f>
        <v>23XXR275</v>
      </c>
      <c r="B286" s="36" t="s">
        <v>40</v>
      </c>
      <c r="C286" s="46">
        <f t="shared" si="12"/>
        <v>0</v>
      </c>
      <c r="D286" s="46">
        <f t="shared" si="13"/>
        <v>0</v>
      </c>
      <c r="E286" s="46">
        <f t="shared" si="14"/>
        <v>0</v>
      </c>
      <c r="F286" s="46">
        <f t="shared" si="15"/>
        <v>0</v>
      </c>
      <c r="G286" s="43">
        <f t="shared" si="16"/>
        <v>0</v>
      </c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4">
        <f t="shared" si="17"/>
        <v>0</v>
      </c>
      <c r="S286" s="36">
        <f>BASE!A290</f>
        <v>275</v>
      </c>
      <c r="T286" s="46">
        <f t="shared" si="18"/>
        <v>0</v>
      </c>
      <c r="U286" s="46">
        <f t="shared" si="19"/>
        <v>0</v>
      </c>
      <c r="V286" s="46">
        <f t="shared" si="20"/>
        <v>0</v>
      </c>
      <c r="W286" s="46">
        <f t="shared" si="21"/>
        <v>0</v>
      </c>
      <c r="X286" s="46">
        <f t="shared" si="22"/>
        <v>0</v>
      </c>
      <c r="Y286" s="159"/>
    </row>
    <row r="287" spans="1:25" ht="17.25" customHeight="1">
      <c r="A287" s="47" t="str">
        <f>+BASE!B291</f>
        <v>23XXR276</v>
      </c>
      <c r="B287" s="36" t="s">
        <v>40</v>
      </c>
      <c r="C287" s="46">
        <f t="shared" si="12"/>
        <v>0</v>
      </c>
      <c r="D287" s="46">
        <f t="shared" si="13"/>
        <v>0</v>
      </c>
      <c r="E287" s="46">
        <f t="shared" si="14"/>
        <v>0</v>
      </c>
      <c r="F287" s="46">
        <f t="shared" si="15"/>
        <v>0</v>
      </c>
      <c r="G287" s="43">
        <f t="shared" si="16"/>
        <v>0</v>
      </c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4">
        <f t="shared" si="17"/>
        <v>0</v>
      </c>
      <c r="S287" s="36">
        <f>BASE!A291</f>
        <v>276</v>
      </c>
      <c r="T287" s="46">
        <f t="shared" si="18"/>
        <v>0</v>
      </c>
      <c r="U287" s="46">
        <f t="shared" si="19"/>
        <v>0</v>
      </c>
      <c r="V287" s="46">
        <f t="shared" si="20"/>
        <v>0</v>
      </c>
      <c r="W287" s="46">
        <f t="shared" si="21"/>
        <v>0</v>
      </c>
      <c r="X287" s="46">
        <f t="shared" si="22"/>
        <v>0</v>
      </c>
      <c r="Y287" s="159"/>
    </row>
    <row r="288" spans="1:25" ht="17.25" customHeight="1">
      <c r="A288" s="47" t="str">
        <f>+BASE!B292</f>
        <v>23XXR277</v>
      </c>
      <c r="B288" s="36" t="s">
        <v>40</v>
      </c>
      <c r="C288" s="46">
        <f t="shared" si="12"/>
        <v>0</v>
      </c>
      <c r="D288" s="46">
        <f t="shared" si="13"/>
        <v>0</v>
      </c>
      <c r="E288" s="46">
        <f t="shared" si="14"/>
        <v>0</v>
      </c>
      <c r="F288" s="46">
        <f t="shared" si="15"/>
        <v>0</v>
      </c>
      <c r="G288" s="43">
        <f t="shared" si="16"/>
        <v>0</v>
      </c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4">
        <f t="shared" si="17"/>
        <v>0</v>
      </c>
      <c r="S288" s="36">
        <f>BASE!A292</f>
        <v>277</v>
      </c>
      <c r="T288" s="46">
        <f t="shared" si="18"/>
        <v>0</v>
      </c>
      <c r="U288" s="46">
        <f t="shared" si="19"/>
        <v>0</v>
      </c>
      <c r="V288" s="46">
        <f t="shared" si="20"/>
        <v>0</v>
      </c>
      <c r="W288" s="46">
        <f t="shared" si="21"/>
        <v>0</v>
      </c>
      <c r="X288" s="46">
        <f t="shared" si="22"/>
        <v>0</v>
      </c>
      <c r="Y288" s="159"/>
    </row>
    <row r="289" spans="1:25" ht="17.25" customHeight="1">
      <c r="A289" s="47" t="str">
        <f>+BASE!B293</f>
        <v>23XXR278</v>
      </c>
      <c r="B289" s="36" t="s">
        <v>40</v>
      </c>
      <c r="C289" s="46">
        <f t="shared" si="12"/>
        <v>0</v>
      </c>
      <c r="D289" s="46">
        <f t="shared" si="13"/>
        <v>0</v>
      </c>
      <c r="E289" s="46">
        <f t="shared" si="14"/>
        <v>0</v>
      </c>
      <c r="F289" s="46">
        <f t="shared" si="15"/>
        <v>0</v>
      </c>
      <c r="G289" s="43">
        <f t="shared" si="16"/>
        <v>0</v>
      </c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4">
        <f t="shared" si="17"/>
        <v>0</v>
      </c>
      <c r="S289" s="36">
        <f>BASE!A293</f>
        <v>278</v>
      </c>
      <c r="T289" s="46">
        <f t="shared" si="18"/>
        <v>0</v>
      </c>
      <c r="U289" s="46">
        <f t="shared" si="19"/>
        <v>0</v>
      </c>
      <c r="V289" s="46">
        <f t="shared" si="20"/>
        <v>0</v>
      </c>
      <c r="W289" s="46">
        <f t="shared" si="21"/>
        <v>0</v>
      </c>
      <c r="X289" s="46">
        <f t="shared" si="22"/>
        <v>0</v>
      </c>
      <c r="Y289" s="159"/>
    </row>
    <row r="290" spans="1:25" ht="17.25" customHeight="1">
      <c r="A290" s="47" t="str">
        <f>+BASE!B294</f>
        <v>23XXR279</v>
      </c>
      <c r="B290" s="36" t="s">
        <v>40</v>
      </c>
      <c r="C290" s="46">
        <f t="shared" si="12"/>
        <v>0</v>
      </c>
      <c r="D290" s="46">
        <f t="shared" si="13"/>
        <v>0</v>
      </c>
      <c r="E290" s="46">
        <f t="shared" si="14"/>
        <v>0</v>
      </c>
      <c r="F290" s="46">
        <f t="shared" si="15"/>
        <v>0</v>
      </c>
      <c r="G290" s="43">
        <f t="shared" si="16"/>
        <v>0</v>
      </c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4">
        <f t="shared" si="17"/>
        <v>0</v>
      </c>
      <c r="S290" s="36">
        <f>BASE!A294</f>
        <v>279</v>
      </c>
      <c r="T290" s="46">
        <f t="shared" si="18"/>
        <v>0</v>
      </c>
      <c r="U290" s="46">
        <f t="shared" si="19"/>
        <v>0</v>
      </c>
      <c r="V290" s="46">
        <f t="shared" si="20"/>
        <v>0</v>
      </c>
      <c r="W290" s="46">
        <f t="shared" si="21"/>
        <v>0</v>
      </c>
      <c r="X290" s="46">
        <f t="shared" si="22"/>
        <v>0</v>
      </c>
      <c r="Y290" s="159"/>
    </row>
    <row r="291" spans="1:25" ht="17.25" customHeight="1">
      <c r="A291" s="47" t="str">
        <f>+BASE!B295</f>
        <v>23XXR280</v>
      </c>
      <c r="B291" s="36" t="s">
        <v>40</v>
      </c>
      <c r="C291" s="46">
        <f t="shared" si="12"/>
        <v>0</v>
      </c>
      <c r="D291" s="46">
        <f t="shared" si="13"/>
        <v>0</v>
      </c>
      <c r="E291" s="46">
        <f t="shared" si="14"/>
        <v>0</v>
      </c>
      <c r="F291" s="46">
        <f t="shared" si="15"/>
        <v>0</v>
      </c>
      <c r="G291" s="43">
        <f t="shared" si="16"/>
        <v>0</v>
      </c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4">
        <f t="shared" si="17"/>
        <v>0</v>
      </c>
      <c r="S291" s="36">
        <f>BASE!A295</f>
        <v>280</v>
      </c>
      <c r="T291" s="46">
        <f t="shared" si="18"/>
        <v>0</v>
      </c>
      <c r="U291" s="46">
        <f t="shared" si="19"/>
        <v>0</v>
      </c>
      <c r="V291" s="46">
        <f t="shared" si="20"/>
        <v>0</v>
      </c>
      <c r="W291" s="46">
        <f t="shared" si="21"/>
        <v>0</v>
      </c>
      <c r="X291" s="46">
        <f t="shared" si="22"/>
        <v>0</v>
      </c>
      <c r="Y291" s="159"/>
    </row>
    <row r="292" spans="1:25" ht="17.25" customHeight="1">
      <c r="A292" s="47" t="str">
        <f>+BASE!B296</f>
        <v>23XXR281</v>
      </c>
      <c r="B292" s="36" t="s">
        <v>40</v>
      </c>
      <c r="C292" s="46">
        <f t="shared" si="12"/>
        <v>0</v>
      </c>
      <c r="D292" s="46">
        <f t="shared" si="13"/>
        <v>0</v>
      </c>
      <c r="E292" s="46">
        <f t="shared" si="14"/>
        <v>0</v>
      </c>
      <c r="F292" s="46">
        <f t="shared" si="15"/>
        <v>0</v>
      </c>
      <c r="G292" s="43">
        <f t="shared" si="16"/>
        <v>0</v>
      </c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4">
        <f t="shared" si="17"/>
        <v>0</v>
      </c>
      <c r="S292" s="36">
        <f>BASE!A296</f>
        <v>281</v>
      </c>
      <c r="T292" s="46">
        <f t="shared" si="18"/>
        <v>0</v>
      </c>
      <c r="U292" s="46">
        <f t="shared" si="19"/>
        <v>0</v>
      </c>
      <c r="V292" s="46">
        <f t="shared" si="20"/>
        <v>0</v>
      </c>
      <c r="W292" s="46">
        <f t="shared" si="21"/>
        <v>0</v>
      </c>
      <c r="X292" s="46">
        <f t="shared" si="22"/>
        <v>0</v>
      </c>
      <c r="Y292" s="159"/>
    </row>
    <row r="293" spans="1:25" ht="17.25" customHeight="1">
      <c r="A293" s="47" t="str">
        <f>+BASE!B297</f>
        <v>23XXR282</v>
      </c>
      <c r="B293" s="36" t="s">
        <v>40</v>
      </c>
      <c r="C293" s="46">
        <f t="shared" si="12"/>
        <v>0</v>
      </c>
      <c r="D293" s="46">
        <f t="shared" si="13"/>
        <v>0</v>
      </c>
      <c r="E293" s="46">
        <f t="shared" si="14"/>
        <v>0</v>
      </c>
      <c r="F293" s="46">
        <f t="shared" si="15"/>
        <v>0</v>
      </c>
      <c r="G293" s="43">
        <f t="shared" si="16"/>
        <v>0</v>
      </c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4">
        <f t="shared" si="17"/>
        <v>0</v>
      </c>
      <c r="S293" s="36">
        <f>BASE!A297</f>
        <v>282</v>
      </c>
      <c r="T293" s="46">
        <f t="shared" si="18"/>
        <v>0</v>
      </c>
      <c r="U293" s="46">
        <f t="shared" si="19"/>
        <v>0</v>
      </c>
      <c r="V293" s="46">
        <f t="shared" si="20"/>
        <v>0</v>
      </c>
      <c r="W293" s="46">
        <f t="shared" si="21"/>
        <v>0</v>
      </c>
      <c r="X293" s="46">
        <f t="shared" si="22"/>
        <v>0</v>
      </c>
      <c r="Y293" s="159"/>
    </row>
    <row r="294" spans="1:25" ht="17.25" customHeight="1">
      <c r="A294" s="47" t="str">
        <f>+BASE!B298</f>
        <v>23XXR283</v>
      </c>
      <c r="B294" s="36" t="s">
        <v>40</v>
      </c>
      <c r="C294" s="46">
        <f t="shared" si="12"/>
        <v>0</v>
      </c>
      <c r="D294" s="46">
        <f t="shared" si="13"/>
        <v>0</v>
      </c>
      <c r="E294" s="46">
        <f t="shared" si="14"/>
        <v>0</v>
      </c>
      <c r="F294" s="46">
        <f t="shared" si="15"/>
        <v>0</v>
      </c>
      <c r="G294" s="43">
        <f t="shared" si="16"/>
        <v>0</v>
      </c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4">
        <f t="shared" si="17"/>
        <v>0</v>
      </c>
      <c r="S294" s="36">
        <f>BASE!A298</f>
        <v>283</v>
      </c>
      <c r="T294" s="46">
        <f t="shared" si="18"/>
        <v>0</v>
      </c>
      <c r="U294" s="46">
        <f t="shared" si="19"/>
        <v>0</v>
      </c>
      <c r="V294" s="46">
        <f t="shared" si="20"/>
        <v>0</v>
      </c>
      <c r="W294" s="46">
        <f t="shared" si="21"/>
        <v>0</v>
      </c>
      <c r="X294" s="46">
        <f t="shared" si="22"/>
        <v>0</v>
      </c>
      <c r="Y294" s="159"/>
    </row>
    <row r="295" spans="1:25" ht="17.25" customHeight="1">
      <c r="A295" s="47" t="str">
        <f>+BASE!B299</f>
        <v>23XXR284</v>
      </c>
      <c r="B295" s="36" t="s">
        <v>40</v>
      </c>
      <c r="C295" s="46">
        <f t="shared" si="12"/>
        <v>0</v>
      </c>
      <c r="D295" s="46">
        <f t="shared" si="13"/>
        <v>0</v>
      </c>
      <c r="E295" s="46">
        <f t="shared" si="14"/>
        <v>0</v>
      </c>
      <c r="F295" s="46">
        <f t="shared" si="15"/>
        <v>0</v>
      </c>
      <c r="G295" s="43">
        <f t="shared" si="16"/>
        <v>0</v>
      </c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4">
        <f t="shared" si="17"/>
        <v>0</v>
      </c>
      <c r="S295" s="36">
        <f>BASE!A299</f>
        <v>284</v>
      </c>
      <c r="T295" s="46">
        <f t="shared" si="18"/>
        <v>0</v>
      </c>
      <c r="U295" s="46">
        <f t="shared" si="19"/>
        <v>0</v>
      </c>
      <c r="V295" s="46">
        <f t="shared" si="20"/>
        <v>0</v>
      </c>
      <c r="W295" s="46">
        <f t="shared" si="21"/>
        <v>0</v>
      </c>
      <c r="X295" s="46">
        <f t="shared" si="22"/>
        <v>0</v>
      </c>
      <c r="Y295" s="159"/>
    </row>
    <row r="296" spans="1:25" ht="17.25" customHeight="1">
      <c r="A296" s="47" t="str">
        <f>+BASE!B300</f>
        <v>23XXR285</v>
      </c>
      <c r="B296" s="36" t="s">
        <v>40</v>
      </c>
      <c r="C296" s="46">
        <f t="shared" si="12"/>
        <v>0</v>
      </c>
      <c r="D296" s="46">
        <f t="shared" si="13"/>
        <v>0</v>
      </c>
      <c r="E296" s="46">
        <f t="shared" si="14"/>
        <v>0</v>
      </c>
      <c r="F296" s="46">
        <f t="shared" si="15"/>
        <v>0</v>
      </c>
      <c r="G296" s="43">
        <f t="shared" si="16"/>
        <v>0</v>
      </c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4">
        <f t="shared" si="17"/>
        <v>0</v>
      </c>
      <c r="S296" s="36">
        <f>BASE!A300</f>
        <v>285</v>
      </c>
      <c r="T296" s="46">
        <f t="shared" si="18"/>
        <v>0</v>
      </c>
      <c r="U296" s="46">
        <f t="shared" si="19"/>
        <v>0</v>
      </c>
      <c r="V296" s="46">
        <f t="shared" si="20"/>
        <v>0</v>
      </c>
      <c r="W296" s="46">
        <f t="shared" si="21"/>
        <v>0</v>
      </c>
      <c r="X296" s="46">
        <f t="shared" si="22"/>
        <v>0</v>
      </c>
      <c r="Y296" s="159"/>
    </row>
    <row r="297" spans="1:25" ht="17.25" customHeight="1">
      <c r="A297" s="47" t="str">
        <f>+BASE!B301</f>
        <v>23XXR286</v>
      </c>
      <c r="B297" s="36" t="s">
        <v>40</v>
      </c>
      <c r="C297" s="46">
        <f t="shared" si="12"/>
        <v>0</v>
      </c>
      <c r="D297" s="46">
        <f t="shared" si="13"/>
        <v>0</v>
      </c>
      <c r="E297" s="46">
        <f t="shared" si="14"/>
        <v>0</v>
      </c>
      <c r="F297" s="46">
        <f t="shared" si="15"/>
        <v>0</v>
      </c>
      <c r="G297" s="43">
        <f t="shared" si="16"/>
        <v>0</v>
      </c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4">
        <f t="shared" si="17"/>
        <v>0</v>
      </c>
      <c r="S297" s="158">
        <f>BASE!A301</f>
        <v>286</v>
      </c>
      <c r="T297" s="46">
        <f t="shared" si="18"/>
        <v>0</v>
      </c>
      <c r="U297" s="46">
        <f t="shared" si="19"/>
        <v>0</v>
      </c>
      <c r="V297" s="46">
        <f t="shared" si="20"/>
        <v>0</v>
      </c>
      <c r="W297" s="46">
        <f t="shared" si="21"/>
        <v>0</v>
      </c>
      <c r="X297" s="46">
        <f t="shared" si="22"/>
        <v>0</v>
      </c>
      <c r="Y297" s="159"/>
    </row>
    <row r="298" spans="1:25" ht="17.25" customHeight="1">
      <c r="A298" s="47" t="str">
        <f>+BASE!B302</f>
        <v>23XXR287</v>
      </c>
      <c r="B298" s="36" t="s">
        <v>40</v>
      </c>
      <c r="C298" s="46">
        <f t="shared" si="12"/>
        <v>0</v>
      </c>
      <c r="D298" s="46">
        <f t="shared" si="13"/>
        <v>0</v>
      </c>
      <c r="E298" s="46">
        <f t="shared" si="14"/>
        <v>0</v>
      </c>
      <c r="F298" s="46">
        <f t="shared" si="15"/>
        <v>0</v>
      </c>
      <c r="G298" s="43">
        <f t="shared" si="16"/>
        <v>0</v>
      </c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4">
        <f t="shared" si="17"/>
        <v>0</v>
      </c>
      <c r="S298" s="36">
        <f>BASE!A302</f>
        <v>287</v>
      </c>
      <c r="T298" s="46">
        <f t="shared" si="18"/>
        <v>0</v>
      </c>
      <c r="U298" s="46">
        <f t="shared" si="19"/>
        <v>0</v>
      </c>
      <c r="V298" s="46">
        <f t="shared" si="20"/>
        <v>0</v>
      </c>
      <c r="W298" s="46">
        <f t="shared" si="21"/>
        <v>0</v>
      </c>
      <c r="X298" s="46">
        <f t="shared" si="22"/>
        <v>0</v>
      </c>
      <c r="Y298" s="159"/>
    </row>
    <row r="299" spans="1:25" ht="17.25" customHeight="1">
      <c r="A299" s="47" t="str">
        <f>+BASE!B303</f>
        <v>23XXR288</v>
      </c>
      <c r="B299" s="36" t="s">
        <v>40</v>
      </c>
      <c r="C299" s="46">
        <f t="shared" si="12"/>
        <v>0</v>
      </c>
      <c r="D299" s="46">
        <f t="shared" si="13"/>
        <v>0</v>
      </c>
      <c r="E299" s="46">
        <f t="shared" si="14"/>
        <v>0</v>
      </c>
      <c r="F299" s="46">
        <f t="shared" si="15"/>
        <v>0</v>
      </c>
      <c r="G299" s="43">
        <f t="shared" si="16"/>
        <v>0</v>
      </c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4">
        <f t="shared" si="17"/>
        <v>0</v>
      </c>
      <c r="S299" s="36">
        <f>BASE!A303</f>
        <v>288</v>
      </c>
      <c r="T299" s="46">
        <f t="shared" si="18"/>
        <v>0</v>
      </c>
      <c r="U299" s="46">
        <f t="shared" si="19"/>
        <v>0</v>
      </c>
      <c r="V299" s="46">
        <f t="shared" si="20"/>
        <v>0</v>
      </c>
      <c r="W299" s="46">
        <f t="shared" si="21"/>
        <v>0</v>
      </c>
      <c r="X299" s="46">
        <f t="shared" si="22"/>
        <v>0</v>
      </c>
      <c r="Y299" s="159"/>
    </row>
    <row r="300" spans="1:25" ht="17.25" customHeight="1">
      <c r="A300" s="47" t="str">
        <f>+BASE!B304</f>
        <v>23XXR289</v>
      </c>
      <c r="B300" s="36" t="s">
        <v>40</v>
      </c>
      <c r="C300" s="46">
        <f t="shared" si="12"/>
        <v>0</v>
      </c>
      <c r="D300" s="46">
        <f t="shared" si="13"/>
        <v>0</v>
      </c>
      <c r="E300" s="46">
        <f t="shared" si="14"/>
        <v>0</v>
      </c>
      <c r="F300" s="46">
        <f t="shared" si="15"/>
        <v>0</v>
      </c>
      <c r="G300" s="43">
        <f t="shared" si="16"/>
        <v>0</v>
      </c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4">
        <f t="shared" si="17"/>
        <v>0</v>
      </c>
      <c r="S300" s="36">
        <f>BASE!A304</f>
        <v>289</v>
      </c>
      <c r="T300" s="46">
        <f t="shared" si="18"/>
        <v>0</v>
      </c>
      <c r="U300" s="46">
        <f t="shared" si="19"/>
        <v>0</v>
      </c>
      <c r="V300" s="46">
        <f t="shared" si="20"/>
        <v>0</v>
      </c>
      <c r="W300" s="46">
        <f t="shared" si="21"/>
        <v>0</v>
      </c>
      <c r="X300" s="46">
        <f t="shared" si="22"/>
        <v>0</v>
      </c>
      <c r="Y300" s="159"/>
    </row>
    <row r="301" spans="1:25" ht="17.25" customHeight="1">
      <c r="A301" s="47" t="str">
        <f>+BASE!B305</f>
        <v>23XXR290</v>
      </c>
      <c r="B301" s="36" t="s">
        <v>40</v>
      </c>
      <c r="C301" s="46">
        <f t="shared" si="12"/>
        <v>0</v>
      </c>
      <c r="D301" s="46">
        <f t="shared" si="13"/>
        <v>0</v>
      </c>
      <c r="E301" s="46">
        <f t="shared" si="14"/>
        <v>0</v>
      </c>
      <c r="F301" s="46">
        <f t="shared" si="15"/>
        <v>0</v>
      </c>
      <c r="G301" s="43">
        <f t="shared" si="16"/>
        <v>0</v>
      </c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4">
        <f t="shared" si="17"/>
        <v>0</v>
      </c>
      <c r="S301" s="36">
        <f>BASE!A305</f>
        <v>290</v>
      </c>
      <c r="T301" s="46">
        <f t="shared" si="18"/>
        <v>0</v>
      </c>
      <c r="U301" s="46">
        <f t="shared" si="19"/>
        <v>0</v>
      </c>
      <c r="V301" s="46">
        <f t="shared" si="20"/>
        <v>0</v>
      </c>
      <c r="W301" s="46">
        <f t="shared" si="21"/>
        <v>0</v>
      </c>
      <c r="X301" s="46">
        <f t="shared" si="22"/>
        <v>0</v>
      </c>
      <c r="Y301" s="159"/>
    </row>
    <row r="302" spans="1:25" ht="17.25" customHeight="1">
      <c r="A302" s="47" t="str">
        <f>+BASE!B306</f>
        <v>23XXR291</v>
      </c>
      <c r="B302" s="36" t="s">
        <v>40</v>
      </c>
      <c r="C302" s="46">
        <f t="shared" si="12"/>
        <v>0</v>
      </c>
      <c r="D302" s="46">
        <f t="shared" si="13"/>
        <v>0</v>
      </c>
      <c r="E302" s="46">
        <f t="shared" si="14"/>
        <v>0</v>
      </c>
      <c r="F302" s="46">
        <f t="shared" si="15"/>
        <v>0</v>
      </c>
      <c r="G302" s="43">
        <f t="shared" si="16"/>
        <v>0</v>
      </c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4">
        <f t="shared" si="17"/>
        <v>0</v>
      </c>
      <c r="S302" s="36">
        <f>BASE!A306</f>
        <v>291</v>
      </c>
      <c r="T302" s="46">
        <f t="shared" si="18"/>
        <v>0</v>
      </c>
      <c r="U302" s="46">
        <f t="shared" si="19"/>
        <v>0</v>
      </c>
      <c r="V302" s="46">
        <f t="shared" si="20"/>
        <v>0</v>
      </c>
      <c r="W302" s="46">
        <f t="shared" si="21"/>
        <v>0</v>
      </c>
      <c r="X302" s="46">
        <f t="shared" si="22"/>
        <v>0</v>
      </c>
      <c r="Y302" s="159"/>
    </row>
    <row r="303" spans="1:25" ht="17.25" customHeight="1">
      <c r="A303" s="47" t="str">
        <f>+BASE!B307</f>
        <v>23XXR292</v>
      </c>
      <c r="B303" s="36" t="s">
        <v>40</v>
      </c>
      <c r="C303" s="46">
        <f t="shared" si="12"/>
        <v>0</v>
      </c>
      <c r="D303" s="46">
        <f t="shared" si="13"/>
        <v>0</v>
      </c>
      <c r="E303" s="46">
        <f t="shared" si="14"/>
        <v>0</v>
      </c>
      <c r="F303" s="46">
        <f t="shared" si="15"/>
        <v>0</v>
      </c>
      <c r="G303" s="43">
        <f t="shared" si="16"/>
        <v>0</v>
      </c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4">
        <f t="shared" si="17"/>
        <v>0</v>
      </c>
      <c r="S303" s="36">
        <f>BASE!A307</f>
        <v>292</v>
      </c>
      <c r="T303" s="46">
        <f t="shared" si="18"/>
        <v>0</v>
      </c>
      <c r="U303" s="46">
        <f t="shared" si="19"/>
        <v>0</v>
      </c>
      <c r="V303" s="46">
        <f t="shared" si="20"/>
        <v>0</v>
      </c>
      <c r="W303" s="46">
        <f t="shared" si="21"/>
        <v>0</v>
      </c>
      <c r="X303" s="46">
        <f t="shared" si="22"/>
        <v>0</v>
      </c>
      <c r="Y303" s="159"/>
    </row>
    <row r="304" spans="1:25" ht="17.25" customHeight="1">
      <c r="A304" s="47" t="str">
        <f>+BASE!B308</f>
        <v>23XXR293</v>
      </c>
      <c r="B304" s="36" t="s">
        <v>40</v>
      </c>
      <c r="C304" s="46">
        <f t="shared" si="12"/>
        <v>0</v>
      </c>
      <c r="D304" s="46">
        <f t="shared" si="13"/>
        <v>0</v>
      </c>
      <c r="E304" s="46">
        <f t="shared" si="14"/>
        <v>0</v>
      </c>
      <c r="F304" s="46">
        <f t="shared" si="15"/>
        <v>0</v>
      </c>
      <c r="G304" s="43">
        <f t="shared" si="16"/>
        <v>0</v>
      </c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4">
        <f t="shared" si="17"/>
        <v>0</v>
      </c>
      <c r="S304" s="36">
        <f>BASE!A308</f>
        <v>293</v>
      </c>
      <c r="T304" s="46">
        <f t="shared" si="18"/>
        <v>0</v>
      </c>
      <c r="U304" s="46">
        <f t="shared" si="19"/>
        <v>0</v>
      </c>
      <c r="V304" s="46">
        <f t="shared" si="20"/>
        <v>0</v>
      </c>
      <c r="W304" s="46">
        <f t="shared" si="21"/>
        <v>0</v>
      </c>
      <c r="X304" s="46">
        <f t="shared" si="22"/>
        <v>0</v>
      </c>
      <c r="Y304" s="159"/>
    </row>
    <row r="305" spans="1:25" ht="17.25" customHeight="1">
      <c r="A305" s="47" t="str">
        <f>+BASE!B309</f>
        <v>23XXR294</v>
      </c>
      <c r="B305" s="36" t="s">
        <v>40</v>
      </c>
      <c r="C305" s="46">
        <f t="shared" si="12"/>
        <v>0</v>
      </c>
      <c r="D305" s="46">
        <f t="shared" si="13"/>
        <v>0</v>
      </c>
      <c r="E305" s="46">
        <f t="shared" si="14"/>
        <v>0</v>
      </c>
      <c r="F305" s="46">
        <f t="shared" si="15"/>
        <v>0</v>
      </c>
      <c r="G305" s="43">
        <f t="shared" si="16"/>
        <v>0</v>
      </c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4">
        <f t="shared" si="17"/>
        <v>0</v>
      </c>
      <c r="S305" s="36">
        <f>BASE!A309</f>
        <v>294</v>
      </c>
      <c r="T305" s="46">
        <f t="shared" si="18"/>
        <v>0</v>
      </c>
      <c r="U305" s="46">
        <f t="shared" si="19"/>
        <v>0</v>
      </c>
      <c r="V305" s="46">
        <f t="shared" si="20"/>
        <v>0</v>
      </c>
      <c r="W305" s="46">
        <f t="shared" si="21"/>
        <v>0</v>
      </c>
      <c r="X305" s="46">
        <f t="shared" si="22"/>
        <v>0</v>
      </c>
      <c r="Y305" s="159"/>
    </row>
    <row r="306" spans="1:25" ht="17.25" customHeight="1">
      <c r="A306" s="47" t="str">
        <f>+BASE!B310</f>
        <v>23XXR295</v>
      </c>
      <c r="B306" s="36" t="s">
        <v>40</v>
      </c>
      <c r="C306" s="46">
        <f t="shared" si="12"/>
        <v>0</v>
      </c>
      <c r="D306" s="46">
        <f t="shared" si="13"/>
        <v>0</v>
      </c>
      <c r="E306" s="46">
        <f t="shared" si="14"/>
        <v>0</v>
      </c>
      <c r="F306" s="46">
        <f t="shared" si="15"/>
        <v>0</v>
      </c>
      <c r="G306" s="43">
        <f t="shared" si="16"/>
        <v>0</v>
      </c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4">
        <f t="shared" si="17"/>
        <v>0</v>
      </c>
      <c r="S306" s="36">
        <f>BASE!A310</f>
        <v>295</v>
      </c>
      <c r="T306" s="46">
        <f t="shared" si="18"/>
        <v>0</v>
      </c>
      <c r="U306" s="46">
        <f t="shared" si="19"/>
        <v>0</v>
      </c>
      <c r="V306" s="46">
        <f t="shared" si="20"/>
        <v>0</v>
      </c>
      <c r="W306" s="46">
        <f t="shared" si="21"/>
        <v>0</v>
      </c>
      <c r="X306" s="46">
        <f t="shared" si="22"/>
        <v>0</v>
      </c>
      <c r="Y306" s="159"/>
    </row>
    <row r="307" spans="1:25" ht="17.25" customHeight="1">
      <c r="A307" s="47" t="str">
        <f>+BASE!B311</f>
        <v>23XXR296</v>
      </c>
      <c r="B307" s="36" t="s">
        <v>40</v>
      </c>
      <c r="C307" s="46">
        <f t="shared" si="12"/>
        <v>0</v>
      </c>
      <c r="D307" s="46">
        <f t="shared" si="13"/>
        <v>0</v>
      </c>
      <c r="E307" s="46">
        <f t="shared" si="14"/>
        <v>0</v>
      </c>
      <c r="F307" s="46">
        <f t="shared" si="15"/>
        <v>0</v>
      </c>
      <c r="G307" s="43">
        <f t="shared" si="16"/>
        <v>0</v>
      </c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4">
        <f t="shared" si="17"/>
        <v>0</v>
      </c>
      <c r="S307" s="36">
        <f>BASE!A311</f>
        <v>296</v>
      </c>
      <c r="T307" s="46">
        <f t="shared" si="18"/>
        <v>0</v>
      </c>
      <c r="U307" s="46">
        <f t="shared" si="19"/>
        <v>0</v>
      </c>
      <c r="V307" s="46">
        <f t="shared" si="20"/>
        <v>0</v>
      </c>
      <c r="W307" s="46">
        <f t="shared" si="21"/>
        <v>0</v>
      </c>
      <c r="X307" s="46">
        <f t="shared" si="22"/>
        <v>0</v>
      </c>
      <c r="Y307" s="159"/>
    </row>
    <row r="308" spans="1:25" ht="17.25" customHeight="1">
      <c r="A308" s="47" t="str">
        <f>+BASE!B312</f>
        <v>23XXR297</v>
      </c>
      <c r="B308" s="36" t="s">
        <v>40</v>
      </c>
      <c r="C308" s="46">
        <f t="shared" si="12"/>
        <v>0</v>
      </c>
      <c r="D308" s="46">
        <f t="shared" si="13"/>
        <v>0</v>
      </c>
      <c r="E308" s="46">
        <f t="shared" si="14"/>
        <v>0</v>
      </c>
      <c r="F308" s="46">
        <f t="shared" si="15"/>
        <v>0</v>
      </c>
      <c r="G308" s="43">
        <f t="shared" si="16"/>
        <v>0</v>
      </c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4">
        <f t="shared" si="17"/>
        <v>0</v>
      </c>
      <c r="S308" s="36">
        <f>BASE!A312</f>
        <v>297</v>
      </c>
      <c r="T308" s="46">
        <f t="shared" si="18"/>
        <v>0</v>
      </c>
      <c r="U308" s="46">
        <f t="shared" si="19"/>
        <v>0</v>
      </c>
      <c r="V308" s="46">
        <f t="shared" si="20"/>
        <v>0</v>
      </c>
      <c r="W308" s="46">
        <f t="shared" si="21"/>
        <v>0</v>
      </c>
      <c r="X308" s="46">
        <f t="shared" si="22"/>
        <v>0</v>
      </c>
      <c r="Y308" s="159"/>
    </row>
    <row r="309" spans="1:25" ht="17.25" customHeight="1">
      <c r="A309" s="47" t="str">
        <f>+BASE!B313</f>
        <v>23XXR298</v>
      </c>
      <c r="B309" s="36" t="s">
        <v>40</v>
      </c>
      <c r="C309" s="46">
        <f t="shared" si="12"/>
        <v>0</v>
      </c>
      <c r="D309" s="46">
        <f t="shared" si="13"/>
        <v>0</v>
      </c>
      <c r="E309" s="46">
        <f t="shared" si="14"/>
        <v>0</v>
      </c>
      <c r="F309" s="46">
        <f t="shared" si="15"/>
        <v>0</v>
      </c>
      <c r="G309" s="43">
        <f t="shared" si="16"/>
        <v>0</v>
      </c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4">
        <f t="shared" si="17"/>
        <v>0</v>
      </c>
      <c r="S309" s="36">
        <f>BASE!A313</f>
        <v>298</v>
      </c>
      <c r="T309" s="46">
        <f t="shared" si="18"/>
        <v>0</v>
      </c>
      <c r="U309" s="46">
        <f t="shared" si="19"/>
        <v>0</v>
      </c>
      <c r="V309" s="46">
        <f t="shared" si="20"/>
        <v>0</v>
      </c>
      <c r="W309" s="46">
        <f t="shared" si="21"/>
        <v>0</v>
      </c>
      <c r="X309" s="46">
        <f t="shared" si="22"/>
        <v>0</v>
      </c>
      <c r="Y309" s="159"/>
    </row>
    <row r="310" spans="1:25" ht="17.25" customHeight="1">
      <c r="A310" s="47" t="str">
        <f>+BASE!B314</f>
        <v>23XXR299</v>
      </c>
      <c r="B310" s="36" t="s">
        <v>40</v>
      </c>
      <c r="C310" s="46">
        <f t="shared" si="12"/>
        <v>0</v>
      </c>
      <c r="D310" s="46">
        <f t="shared" si="13"/>
        <v>0</v>
      </c>
      <c r="E310" s="46">
        <f t="shared" si="14"/>
        <v>0</v>
      </c>
      <c r="F310" s="46">
        <f t="shared" si="15"/>
        <v>0</v>
      </c>
      <c r="G310" s="43">
        <f t="shared" si="16"/>
        <v>0</v>
      </c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4">
        <f t="shared" si="17"/>
        <v>0</v>
      </c>
      <c r="S310" s="36">
        <f>BASE!A314</f>
        <v>299</v>
      </c>
      <c r="T310" s="46">
        <f t="shared" si="18"/>
        <v>0</v>
      </c>
      <c r="U310" s="46">
        <f t="shared" si="19"/>
        <v>0</v>
      </c>
      <c r="V310" s="46">
        <f t="shared" si="20"/>
        <v>0</v>
      </c>
      <c r="W310" s="46">
        <f t="shared" si="21"/>
        <v>0</v>
      </c>
      <c r="X310" s="46">
        <f t="shared" si="22"/>
        <v>0</v>
      </c>
      <c r="Y310" s="159"/>
    </row>
    <row r="311" spans="1:25" ht="17.25" customHeight="1">
      <c r="A311" s="47" t="str">
        <f>+BASE!B315</f>
        <v>23XXR300</v>
      </c>
      <c r="B311" s="36" t="s">
        <v>40</v>
      </c>
      <c r="C311" s="46">
        <f t="shared" si="12"/>
        <v>0</v>
      </c>
      <c r="D311" s="46">
        <f t="shared" si="13"/>
        <v>0</v>
      </c>
      <c r="E311" s="46">
        <f t="shared" si="14"/>
        <v>0</v>
      </c>
      <c r="F311" s="46">
        <f t="shared" si="15"/>
        <v>0</v>
      </c>
      <c r="G311" s="43">
        <f t="shared" si="16"/>
        <v>0</v>
      </c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4">
        <f t="shared" si="17"/>
        <v>0</v>
      </c>
      <c r="S311" s="36">
        <f>BASE!A315</f>
        <v>300</v>
      </c>
      <c r="T311" s="46">
        <f t="shared" si="18"/>
        <v>0</v>
      </c>
      <c r="U311" s="46">
        <f t="shared" si="19"/>
        <v>0</v>
      </c>
      <c r="V311" s="46">
        <f t="shared" si="20"/>
        <v>0</v>
      </c>
      <c r="W311" s="46">
        <f t="shared" si="21"/>
        <v>0</v>
      </c>
      <c r="X311" s="46">
        <f t="shared" si="22"/>
        <v>0</v>
      </c>
      <c r="Y311" s="159"/>
    </row>
    <row r="312" spans="1:25" ht="17.25" customHeight="1">
      <c r="A312" s="47" t="str">
        <f>+BASE!B316</f>
        <v>23XXR301</v>
      </c>
      <c r="B312" s="36" t="s">
        <v>40</v>
      </c>
      <c r="C312" s="46">
        <f t="shared" si="12"/>
        <v>0</v>
      </c>
      <c r="D312" s="46">
        <f t="shared" si="13"/>
        <v>0</v>
      </c>
      <c r="E312" s="46">
        <f t="shared" si="14"/>
        <v>0</v>
      </c>
      <c r="F312" s="46">
        <f t="shared" si="15"/>
        <v>0</v>
      </c>
      <c r="G312" s="43">
        <f t="shared" si="16"/>
        <v>0</v>
      </c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4">
        <f t="shared" si="17"/>
        <v>0</v>
      </c>
      <c r="S312" s="36">
        <f>BASE!A316</f>
        <v>301</v>
      </c>
      <c r="T312" s="46">
        <f t="shared" si="18"/>
        <v>0</v>
      </c>
      <c r="U312" s="46">
        <f t="shared" si="19"/>
        <v>0</v>
      </c>
      <c r="V312" s="46">
        <f t="shared" si="20"/>
        <v>0</v>
      </c>
      <c r="W312" s="46">
        <f t="shared" si="21"/>
        <v>0</v>
      </c>
      <c r="X312" s="46">
        <f t="shared" si="22"/>
        <v>0</v>
      </c>
      <c r="Y312" s="159"/>
    </row>
    <row r="313" spans="1:25" ht="17.25" customHeight="1">
      <c r="A313" s="47" t="str">
        <f>+BASE!B317</f>
        <v>23XXR302</v>
      </c>
      <c r="B313" s="36" t="s">
        <v>40</v>
      </c>
      <c r="C313" s="46">
        <f t="shared" si="12"/>
        <v>0</v>
      </c>
      <c r="D313" s="46">
        <f t="shared" si="13"/>
        <v>0</v>
      </c>
      <c r="E313" s="46">
        <f t="shared" si="14"/>
        <v>0</v>
      </c>
      <c r="F313" s="46">
        <f t="shared" si="15"/>
        <v>0</v>
      </c>
      <c r="G313" s="43">
        <f t="shared" si="16"/>
        <v>0</v>
      </c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4">
        <f t="shared" si="17"/>
        <v>0</v>
      </c>
      <c r="S313" s="36">
        <f>BASE!A317</f>
        <v>302</v>
      </c>
      <c r="T313" s="46">
        <f t="shared" si="18"/>
        <v>0</v>
      </c>
      <c r="U313" s="46">
        <f t="shared" si="19"/>
        <v>0</v>
      </c>
      <c r="V313" s="46">
        <f t="shared" si="20"/>
        <v>0</v>
      </c>
      <c r="W313" s="46">
        <f t="shared" si="21"/>
        <v>0</v>
      </c>
      <c r="X313" s="46">
        <f t="shared" si="22"/>
        <v>0</v>
      </c>
      <c r="Y313" s="159"/>
    </row>
    <row r="314" spans="1:25" ht="17.25" customHeight="1">
      <c r="A314" s="47" t="str">
        <f>+BASE!B318</f>
        <v>23XXR303</v>
      </c>
      <c r="B314" s="36" t="s">
        <v>40</v>
      </c>
      <c r="C314" s="46">
        <f t="shared" si="12"/>
        <v>0</v>
      </c>
      <c r="D314" s="46">
        <f t="shared" si="13"/>
        <v>0</v>
      </c>
      <c r="E314" s="46">
        <f t="shared" si="14"/>
        <v>0</v>
      </c>
      <c r="F314" s="46">
        <f t="shared" si="15"/>
        <v>0</v>
      </c>
      <c r="G314" s="43">
        <f t="shared" si="16"/>
        <v>0</v>
      </c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4">
        <f t="shared" si="17"/>
        <v>0</v>
      </c>
      <c r="S314" s="36">
        <f>BASE!A318</f>
        <v>303</v>
      </c>
      <c r="T314" s="46">
        <f t="shared" si="18"/>
        <v>0</v>
      </c>
      <c r="U314" s="46">
        <f t="shared" si="19"/>
        <v>0</v>
      </c>
      <c r="V314" s="46">
        <f t="shared" si="20"/>
        <v>0</v>
      </c>
      <c r="W314" s="46">
        <f t="shared" si="21"/>
        <v>0</v>
      </c>
      <c r="X314" s="46">
        <f t="shared" si="22"/>
        <v>0</v>
      </c>
      <c r="Y314" s="159"/>
    </row>
    <row r="315" spans="1:25" ht="17.25" customHeight="1">
      <c r="A315" s="47" t="str">
        <f>+BASE!B319</f>
        <v>23XXR304</v>
      </c>
      <c r="B315" s="36" t="s">
        <v>40</v>
      </c>
      <c r="C315" s="46">
        <f t="shared" si="12"/>
        <v>0</v>
      </c>
      <c r="D315" s="46">
        <f t="shared" si="13"/>
        <v>0</v>
      </c>
      <c r="E315" s="46">
        <f t="shared" si="14"/>
        <v>0</v>
      </c>
      <c r="F315" s="46">
        <f t="shared" si="15"/>
        <v>0</v>
      </c>
      <c r="G315" s="43">
        <f t="shared" si="16"/>
        <v>0</v>
      </c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4">
        <f t="shared" si="17"/>
        <v>0</v>
      </c>
      <c r="S315" s="36">
        <f>BASE!A319</f>
        <v>304</v>
      </c>
      <c r="T315" s="46">
        <f t="shared" si="18"/>
        <v>0</v>
      </c>
      <c r="U315" s="46">
        <f t="shared" si="19"/>
        <v>0</v>
      </c>
      <c r="V315" s="46">
        <f t="shared" si="20"/>
        <v>0</v>
      </c>
      <c r="W315" s="46">
        <f t="shared" si="21"/>
        <v>0</v>
      </c>
      <c r="X315" s="46">
        <f t="shared" si="22"/>
        <v>0</v>
      </c>
      <c r="Y315" s="159"/>
    </row>
    <row r="316" spans="1:25" ht="17.25" customHeight="1">
      <c r="A316" s="47" t="str">
        <f>+BASE!B320</f>
        <v>23XXR305</v>
      </c>
      <c r="B316" s="36" t="s">
        <v>40</v>
      </c>
      <c r="C316" s="46">
        <f t="shared" si="12"/>
        <v>0</v>
      </c>
      <c r="D316" s="46">
        <f t="shared" si="13"/>
        <v>0</v>
      </c>
      <c r="E316" s="46">
        <f t="shared" si="14"/>
        <v>0</v>
      </c>
      <c r="F316" s="46">
        <f t="shared" si="15"/>
        <v>0</v>
      </c>
      <c r="G316" s="43">
        <f t="shared" si="16"/>
        <v>0</v>
      </c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4">
        <f t="shared" si="17"/>
        <v>0</v>
      </c>
      <c r="S316" s="36">
        <f>BASE!A320</f>
        <v>305</v>
      </c>
      <c r="T316" s="46">
        <f t="shared" si="18"/>
        <v>0</v>
      </c>
      <c r="U316" s="46">
        <f t="shared" si="19"/>
        <v>0</v>
      </c>
      <c r="V316" s="46">
        <f t="shared" si="20"/>
        <v>0</v>
      </c>
      <c r="W316" s="46">
        <f t="shared" si="21"/>
        <v>0</v>
      </c>
      <c r="X316" s="46">
        <f t="shared" si="22"/>
        <v>0</v>
      </c>
      <c r="Y316" s="159"/>
    </row>
    <row r="317" spans="1:25" ht="17.25" customHeight="1">
      <c r="A317" s="47" t="str">
        <f>+BASE!B321</f>
        <v>23XXR306</v>
      </c>
      <c r="B317" s="36" t="s">
        <v>40</v>
      </c>
      <c r="C317" s="46">
        <f t="shared" ref="C317:C380" si="23">IF($N$7="2T+1P", Y317/5, IF($N$7="3T+1P",Y317/5, IF($N$7="3.5T+0.5P",Y317/5, " ")))</f>
        <v>0</v>
      </c>
      <c r="D317" s="46">
        <f t="shared" ref="D317:D380" si="24">IF($N$7="2T+1P", Y317/5, IF($N$7="3T+1P",Y317/5, IF($N$7="3.5T+0.5P",Y317/5, " ")))</f>
        <v>0</v>
      </c>
      <c r="E317" s="46">
        <f t="shared" ref="E317:E380" si="25">IF($N$7="2T+1P", Y317/5, IF($N$7="3T+1P",Y317/5, IF($N$7="3.5T+0.5P",Y317/5, " ")))</f>
        <v>0</v>
      </c>
      <c r="F317" s="46">
        <f t="shared" ref="F317:F380" si="26">IF($N$7="2T+1P", Y317/5, IF($N$7="3T+1P",Y317/5, IF($N$7="3.5T+0.5P",Y317/5, " ")))</f>
        <v>0</v>
      </c>
      <c r="G317" s="43">
        <f t="shared" ref="G317:G380" si="27">IF($N$7="2T+1P", Y317/5, IF($N$7="3T+1P",Y317/5, IF($N$7="3.5T+0.5P",Y317/5, " ")))</f>
        <v>0</v>
      </c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4">
        <f t="shared" ref="R317:R380" si="28">SUM(C317:Q317)</f>
        <v>0</v>
      </c>
      <c r="S317" s="36">
        <f>BASE!A321</f>
        <v>306</v>
      </c>
      <c r="T317" s="46">
        <f t="shared" ref="T317:T380" si="29">SUMIF($C$11:$Q$11,1,C317:Q317)</f>
        <v>0</v>
      </c>
      <c r="U317" s="46">
        <f t="shared" ref="U317:U380" si="30">SUMIF($C$11:$Q$11,2,C317:Q317)</f>
        <v>0</v>
      </c>
      <c r="V317" s="46">
        <f t="shared" ref="V317:V380" si="31">SUMIF($C$11:$Q$11,3,C317:Q317)</f>
        <v>0</v>
      </c>
      <c r="W317" s="46">
        <f t="shared" ref="W317:W380" si="32">SUMIF($C$11:$Q$11,4,C317:Q317)</f>
        <v>0</v>
      </c>
      <c r="X317" s="46">
        <f t="shared" ref="X317:X380" si="33">SUMIF($C$11:$Q$11,5,C317:Q317)</f>
        <v>0</v>
      </c>
      <c r="Y317" s="159"/>
    </row>
    <row r="318" spans="1:25" ht="17.25" customHeight="1">
      <c r="A318" s="47" t="str">
        <f>+BASE!B322</f>
        <v>23XXR307</v>
      </c>
      <c r="B318" s="36" t="s">
        <v>40</v>
      </c>
      <c r="C318" s="46">
        <f t="shared" si="23"/>
        <v>0</v>
      </c>
      <c r="D318" s="46">
        <f t="shared" si="24"/>
        <v>0</v>
      </c>
      <c r="E318" s="46">
        <f t="shared" si="25"/>
        <v>0</v>
      </c>
      <c r="F318" s="46">
        <f t="shared" si="26"/>
        <v>0</v>
      </c>
      <c r="G318" s="43">
        <f t="shared" si="27"/>
        <v>0</v>
      </c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4">
        <f t="shared" si="28"/>
        <v>0</v>
      </c>
      <c r="S318" s="36">
        <f>BASE!A322</f>
        <v>307</v>
      </c>
      <c r="T318" s="46">
        <f t="shared" si="29"/>
        <v>0</v>
      </c>
      <c r="U318" s="46">
        <f t="shared" si="30"/>
        <v>0</v>
      </c>
      <c r="V318" s="46">
        <f t="shared" si="31"/>
        <v>0</v>
      </c>
      <c r="W318" s="46">
        <f t="shared" si="32"/>
        <v>0</v>
      </c>
      <c r="X318" s="46">
        <f t="shared" si="33"/>
        <v>0</v>
      </c>
      <c r="Y318" s="159"/>
    </row>
    <row r="319" spans="1:25" ht="17.25" customHeight="1">
      <c r="A319" s="47" t="str">
        <f>+BASE!B323</f>
        <v>23XXR308</v>
      </c>
      <c r="B319" s="36" t="s">
        <v>40</v>
      </c>
      <c r="C319" s="46">
        <f t="shared" si="23"/>
        <v>0</v>
      </c>
      <c r="D319" s="46">
        <f t="shared" si="24"/>
        <v>0</v>
      </c>
      <c r="E319" s="46">
        <f t="shared" si="25"/>
        <v>0</v>
      </c>
      <c r="F319" s="46">
        <f t="shared" si="26"/>
        <v>0</v>
      </c>
      <c r="G319" s="43">
        <f t="shared" si="27"/>
        <v>0</v>
      </c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4">
        <f t="shared" si="28"/>
        <v>0</v>
      </c>
      <c r="S319" s="36">
        <f>BASE!A323</f>
        <v>308</v>
      </c>
      <c r="T319" s="46">
        <f t="shared" si="29"/>
        <v>0</v>
      </c>
      <c r="U319" s="46">
        <f t="shared" si="30"/>
        <v>0</v>
      </c>
      <c r="V319" s="46">
        <f t="shared" si="31"/>
        <v>0</v>
      </c>
      <c r="W319" s="46">
        <f t="shared" si="32"/>
        <v>0</v>
      </c>
      <c r="X319" s="46">
        <f t="shared" si="33"/>
        <v>0</v>
      </c>
      <c r="Y319" s="159"/>
    </row>
    <row r="320" spans="1:25" ht="17.25" customHeight="1">
      <c r="A320" s="47" t="str">
        <f>+BASE!B324</f>
        <v>23XXR309</v>
      </c>
      <c r="B320" s="36" t="s">
        <v>40</v>
      </c>
      <c r="C320" s="46">
        <f t="shared" si="23"/>
        <v>0</v>
      </c>
      <c r="D320" s="46">
        <f t="shared" si="24"/>
        <v>0</v>
      </c>
      <c r="E320" s="46">
        <f t="shared" si="25"/>
        <v>0</v>
      </c>
      <c r="F320" s="46">
        <f t="shared" si="26"/>
        <v>0</v>
      </c>
      <c r="G320" s="43">
        <f t="shared" si="27"/>
        <v>0</v>
      </c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4">
        <f t="shared" si="28"/>
        <v>0</v>
      </c>
      <c r="S320" s="36">
        <f>BASE!A324</f>
        <v>309</v>
      </c>
      <c r="T320" s="46">
        <f t="shared" si="29"/>
        <v>0</v>
      </c>
      <c r="U320" s="46">
        <f t="shared" si="30"/>
        <v>0</v>
      </c>
      <c r="V320" s="46">
        <f t="shared" si="31"/>
        <v>0</v>
      </c>
      <c r="W320" s="46">
        <f t="shared" si="32"/>
        <v>0</v>
      </c>
      <c r="X320" s="46">
        <f t="shared" si="33"/>
        <v>0</v>
      </c>
      <c r="Y320" s="159"/>
    </row>
    <row r="321" spans="1:25" ht="17.25" customHeight="1">
      <c r="A321" s="47" t="str">
        <f>+BASE!B325</f>
        <v>23XXR310</v>
      </c>
      <c r="B321" s="36" t="s">
        <v>40</v>
      </c>
      <c r="C321" s="46">
        <f t="shared" si="23"/>
        <v>0</v>
      </c>
      <c r="D321" s="46">
        <f t="shared" si="24"/>
        <v>0</v>
      </c>
      <c r="E321" s="46">
        <f t="shared" si="25"/>
        <v>0</v>
      </c>
      <c r="F321" s="46">
        <f t="shared" si="26"/>
        <v>0</v>
      </c>
      <c r="G321" s="43">
        <f t="shared" si="27"/>
        <v>0</v>
      </c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4">
        <f t="shared" si="28"/>
        <v>0</v>
      </c>
      <c r="S321" s="36">
        <f>BASE!A325</f>
        <v>310</v>
      </c>
      <c r="T321" s="46">
        <f t="shared" si="29"/>
        <v>0</v>
      </c>
      <c r="U321" s="46">
        <f t="shared" si="30"/>
        <v>0</v>
      </c>
      <c r="V321" s="46">
        <f t="shared" si="31"/>
        <v>0</v>
      </c>
      <c r="W321" s="46">
        <f t="shared" si="32"/>
        <v>0</v>
      </c>
      <c r="X321" s="46">
        <f t="shared" si="33"/>
        <v>0</v>
      </c>
      <c r="Y321" s="159"/>
    </row>
    <row r="322" spans="1:25" ht="17.25" customHeight="1">
      <c r="A322" s="47" t="str">
        <f>+BASE!B326</f>
        <v>23XXR311</v>
      </c>
      <c r="B322" s="36" t="s">
        <v>40</v>
      </c>
      <c r="C322" s="46">
        <f t="shared" si="23"/>
        <v>0</v>
      </c>
      <c r="D322" s="46">
        <f t="shared" si="24"/>
        <v>0</v>
      </c>
      <c r="E322" s="46">
        <f t="shared" si="25"/>
        <v>0</v>
      </c>
      <c r="F322" s="46">
        <f t="shared" si="26"/>
        <v>0</v>
      </c>
      <c r="G322" s="43">
        <f t="shared" si="27"/>
        <v>0</v>
      </c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4">
        <f t="shared" si="28"/>
        <v>0</v>
      </c>
      <c r="S322" s="36">
        <f>BASE!A326</f>
        <v>311</v>
      </c>
      <c r="T322" s="46">
        <f t="shared" si="29"/>
        <v>0</v>
      </c>
      <c r="U322" s="46">
        <f t="shared" si="30"/>
        <v>0</v>
      </c>
      <c r="V322" s="46">
        <f t="shared" si="31"/>
        <v>0</v>
      </c>
      <c r="W322" s="46">
        <f t="shared" si="32"/>
        <v>0</v>
      </c>
      <c r="X322" s="46">
        <f t="shared" si="33"/>
        <v>0</v>
      </c>
      <c r="Y322" s="159"/>
    </row>
    <row r="323" spans="1:25" ht="17.25" customHeight="1">
      <c r="A323" s="47" t="str">
        <f>+BASE!B327</f>
        <v>23XXR312</v>
      </c>
      <c r="B323" s="36" t="s">
        <v>40</v>
      </c>
      <c r="C323" s="46">
        <f t="shared" si="23"/>
        <v>0</v>
      </c>
      <c r="D323" s="46">
        <f t="shared" si="24"/>
        <v>0</v>
      </c>
      <c r="E323" s="46">
        <f t="shared" si="25"/>
        <v>0</v>
      </c>
      <c r="F323" s="46">
        <f t="shared" si="26"/>
        <v>0</v>
      </c>
      <c r="G323" s="43">
        <f t="shared" si="27"/>
        <v>0</v>
      </c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4">
        <f t="shared" si="28"/>
        <v>0</v>
      </c>
      <c r="S323" s="36">
        <f>BASE!A327</f>
        <v>312</v>
      </c>
      <c r="T323" s="46">
        <f t="shared" si="29"/>
        <v>0</v>
      </c>
      <c r="U323" s="46">
        <f t="shared" si="30"/>
        <v>0</v>
      </c>
      <c r="V323" s="46">
        <f t="shared" si="31"/>
        <v>0</v>
      </c>
      <c r="W323" s="46">
        <f t="shared" si="32"/>
        <v>0</v>
      </c>
      <c r="X323" s="46">
        <f t="shared" si="33"/>
        <v>0</v>
      </c>
      <c r="Y323" s="159"/>
    </row>
    <row r="324" spans="1:25" ht="17.25" customHeight="1">
      <c r="A324" s="47" t="str">
        <f>+BASE!B328</f>
        <v>23XXR313</v>
      </c>
      <c r="B324" s="36" t="s">
        <v>40</v>
      </c>
      <c r="C324" s="46">
        <f t="shared" si="23"/>
        <v>0</v>
      </c>
      <c r="D324" s="46">
        <f t="shared" si="24"/>
        <v>0</v>
      </c>
      <c r="E324" s="46">
        <f t="shared" si="25"/>
        <v>0</v>
      </c>
      <c r="F324" s="46">
        <f t="shared" si="26"/>
        <v>0</v>
      </c>
      <c r="G324" s="43">
        <f t="shared" si="27"/>
        <v>0</v>
      </c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4">
        <f t="shared" si="28"/>
        <v>0</v>
      </c>
      <c r="S324" s="36">
        <f>BASE!A328</f>
        <v>313</v>
      </c>
      <c r="T324" s="46">
        <f t="shared" si="29"/>
        <v>0</v>
      </c>
      <c r="U324" s="46">
        <f t="shared" si="30"/>
        <v>0</v>
      </c>
      <c r="V324" s="46">
        <f t="shared" si="31"/>
        <v>0</v>
      </c>
      <c r="W324" s="46">
        <f t="shared" si="32"/>
        <v>0</v>
      </c>
      <c r="X324" s="46">
        <f t="shared" si="33"/>
        <v>0</v>
      </c>
      <c r="Y324" s="159"/>
    </row>
    <row r="325" spans="1:25" ht="17.25" customHeight="1">
      <c r="A325" s="47" t="str">
        <f>+BASE!B329</f>
        <v>23XXR314</v>
      </c>
      <c r="B325" s="36" t="s">
        <v>40</v>
      </c>
      <c r="C325" s="46">
        <f t="shared" si="23"/>
        <v>0</v>
      </c>
      <c r="D325" s="46">
        <f t="shared" si="24"/>
        <v>0</v>
      </c>
      <c r="E325" s="46">
        <f t="shared" si="25"/>
        <v>0</v>
      </c>
      <c r="F325" s="46">
        <f t="shared" si="26"/>
        <v>0</v>
      </c>
      <c r="G325" s="43">
        <f t="shared" si="27"/>
        <v>0</v>
      </c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4">
        <f t="shared" si="28"/>
        <v>0</v>
      </c>
      <c r="S325" s="36">
        <f>BASE!A329</f>
        <v>314</v>
      </c>
      <c r="T325" s="46">
        <f t="shared" si="29"/>
        <v>0</v>
      </c>
      <c r="U325" s="46">
        <f t="shared" si="30"/>
        <v>0</v>
      </c>
      <c r="V325" s="46">
        <f t="shared" si="31"/>
        <v>0</v>
      </c>
      <c r="W325" s="46">
        <f t="shared" si="32"/>
        <v>0</v>
      </c>
      <c r="X325" s="46">
        <f t="shared" si="33"/>
        <v>0</v>
      </c>
      <c r="Y325" s="159"/>
    </row>
    <row r="326" spans="1:25" ht="17.25" customHeight="1">
      <c r="A326" s="47" t="str">
        <f>+BASE!B330</f>
        <v>23XXR315</v>
      </c>
      <c r="B326" s="36" t="s">
        <v>40</v>
      </c>
      <c r="C326" s="46">
        <f t="shared" si="23"/>
        <v>0</v>
      </c>
      <c r="D326" s="46">
        <f t="shared" si="24"/>
        <v>0</v>
      </c>
      <c r="E326" s="46">
        <f t="shared" si="25"/>
        <v>0</v>
      </c>
      <c r="F326" s="46">
        <f t="shared" si="26"/>
        <v>0</v>
      </c>
      <c r="G326" s="43">
        <f t="shared" si="27"/>
        <v>0</v>
      </c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4">
        <f t="shared" si="28"/>
        <v>0</v>
      </c>
      <c r="S326" s="36">
        <f>BASE!A330</f>
        <v>315</v>
      </c>
      <c r="T326" s="46">
        <f t="shared" si="29"/>
        <v>0</v>
      </c>
      <c r="U326" s="46">
        <f t="shared" si="30"/>
        <v>0</v>
      </c>
      <c r="V326" s="46">
        <f t="shared" si="31"/>
        <v>0</v>
      </c>
      <c r="W326" s="46">
        <f t="shared" si="32"/>
        <v>0</v>
      </c>
      <c r="X326" s="46">
        <f t="shared" si="33"/>
        <v>0</v>
      </c>
      <c r="Y326" s="159"/>
    </row>
    <row r="327" spans="1:25" ht="17.25" customHeight="1">
      <c r="A327" s="47" t="str">
        <f>+BASE!B331</f>
        <v>23XXR316</v>
      </c>
      <c r="B327" s="36" t="s">
        <v>40</v>
      </c>
      <c r="C327" s="46">
        <f t="shared" si="23"/>
        <v>0</v>
      </c>
      <c r="D327" s="46">
        <f t="shared" si="24"/>
        <v>0</v>
      </c>
      <c r="E327" s="46">
        <f t="shared" si="25"/>
        <v>0</v>
      </c>
      <c r="F327" s="46">
        <f t="shared" si="26"/>
        <v>0</v>
      </c>
      <c r="G327" s="43">
        <f t="shared" si="27"/>
        <v>0</v>
      </c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4">
        <f t="shared" si="28"/>
        <v>0</v>
      </c>
      <c r="S327" s="36">
        <f>BASE!A331</f>
        <v>316</v>
      </c>
      <c r="T327" s="46">
        <f t="shared" si="29"/>
        <v>0</v>
      </c>
      <c r="U327" s="46">
        <f t="shared" si="30"/>
        <v>0</v>
      </c>
      <c r="V327" s="46">
        <f t="shared" si="31"/>
        <v>0</v>
      </c>
      <c r="W327" s="46">
        <f t="shared" si="32"/>
        <v>0</v>
      </c>
      <c r="X327" s="46">
        <f t="shared" si="33"/>
        <v>0</v>
      </c>
      <c r="Y327" s="159"/>
    </row>
    <row r="328" spans="1:25" ht="17.25" customHeight="1">
      <c r="A328" s="47" t="str">
        <f>+BASE!B332</f>
        <v>23XXR317</v>
      </c>
      <c r="B328" s="36" t="s">
        <v>40</v>
      </c>
      <c r="C328" s="46">
        <f t="shared" si="23"/>
        <v>0</v>
      </c>
      <c r="D328" s="46">
        <f t="shared" si="24"/>
        <v>0</v>
      </c>
      <c r="E328" s="46">
        <f t="shared" si="25"/>
        <v>0</v>
      </c>
      <c r="F328" s="46">
        <f t="shared" si="26"/>
        <v>0</v>
      </c>
      <c r="G328" s="43">
        <f t="shared" si="27"/>
        <v>0</v>
      </c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4">
        <f t="shared" si="28"/>
        <v>0</v>
      </c>
      <c r="S328" s="36">
        <f>BASE!A332</f>
        <v>317</v>
      </c>
      <c r="T328" s="46">
        <f t="shared" si="29"/>
        <v>0</v>
      </c>
      <c r="U328" s="46">
        <f t="shared" si="30"/>
        <v>0</v>
      </c>
      <c r="V328" s="46">
        <f t="shared" si="31"/>
        <v>0</v>
      </c>
      <c r="W328" s="46">
        <f t="shared" si="32"/>
        <v>0</v>
      </c>
      <c r="X328" s="46">
        <f t="shared" si="33"/>
        <v>0</v>
      </c>
      <c r="Y328" s="159"/>
    </row>
    <row r="329" spans="1:25" ht="17.25" customHeight="1">
      <c r="A329" s="47" t="str">
        <f>+BASE!B333</f>
        <v>23XXR318</v>
      </c>
      <c r="B329" s="36" t="s">
        <v>40</v>
      </c>
      <c r="C329" s="46">
        <f t="shared" si="23"/>
        <v>0</v>
      </c>
      <c r="D329" s="46">
        <f t="shared" si="24"/>
        <v>0</v>
      </c>
      <c r="E329" s="46">
        <f t="shared" si="25"/>
        <v>0</v>
      </c>
      <c r="F329" s="46">
        <f t="shared" si="26"/>
        <v>0</v>
      </c>
      <c r="G329" s="43">
        <f t="shared" si="27"/>
        <v>0</v>
      </c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4">
        <f t="shared" si="28"/>
        <v>0</v>
      </c>
      <c r="S329" s="36">
        <f>BASE!A333</f>
        <v>318</v>
      </c>
      <c r="T329" s="46">
        <f t="shared" si="29"/>
        <v>0</v>
      </c>
      <c r="U329" s="46">
        <f t="shared" si="30"/>
        <v>0</v>
      </c>
      <c r="V329" s="46">
        <f t="shared" si="31"/>
        <v>0</v>
      </c>
      <c r="W329" s="46">
        <f t="shared" si="32"/>
        <v>0</v>
      </c>
      <c r="X329" s="46">
        <f t="shared" si="33"/>
        <v>0</v>
      </c>
      <c r="Y329" s="159"/>
    </row>
    <row r="330" spans="1:25" ht="17.25" customHeight="1">
      <c r="A330" s="47" t="str">
        <f>+BASE!B334</f>
        <v>23XXR319</v>
      </c>
      <c r="B330" s="36" t="s">
        <v>40</v>
      </c>
      <c r="C330" s="46">
        <f t="shared" si="23"/>
        <v>0</v>
      </c>
      <c r="D330" s="46">
        <f t="shared" si="24"/>
        <v>0</v>
      </c>
      <c r="E330" s="46">
        <f t="shared" si="25"/>
        <v>0</v>
      </c>
      <c r="F330" s="46">
        <f t="shared" si="26"/>
        <v>0</v>
      </c>
      <c r="G330" s="43">
        <f t="shared" si="27"/>
        <v>0</v>
      </c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4">
        <f t="shared" si="28"/>
        <v>0</v>
      </c>
      <c r="S330" s="36">
        <f>BASE!A334</f>
        <v>319</v>
      </c>
      <c r="T330" s="46">
        <f t="shared" si="29"/>
        <v>0</v>
      </c>
      <c r="U330" s="46">
        <f t="shared" si="30"/>
        <v>0</v>
      </c>
      <c r="V330" s="46">
        <f t="shared" si="31"/>
        <v>0</v>
      </c>
      <c r="W330" s="46">
        <f t="shared" si="32"/>
        <v>0</v>
      </c>
      <c r="X330" s="46">
        <f t="shared" si="33"/>
        <v>0</v>
      </c>
      <c r="Y330" s="159"/>
    </row>
    <row r="331" spans="1:25" ht="17.25" customHeight="1">
      <c r="A331" s="47" t="str">
        <f>+BASE!B335</f>
        <v>23XXR320</v>
      </c>
      <c r="B331" s="36" t="s">
        <v>40</v>
      </c>
      <c r="C331" s="46">
        <f t="shared" si="23"/>
        <v>0</v>
      </c>
      <c r="D331" s="46">
        <f t="shared" si="24"/>
        <v>0</v>
      </c>
      <c r="E331" s="46">
        <f t="shared" si="25"/>
        <v>0</v>
      </c>
      <c r="F331" s="46">
        <f t="shared" si="26"/>
        <v>0</v>
      </c>
      <c r="G331" s="43">
        <f t="shared" si="27"/>
        <v>0</v>
      </c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4">
        <f t="shared" si="28"/>
        <v>0</v>
      </c>
      <c r="S331" s="36">
        <f>BASE!A335</f>
        <v>320</v>
      </c>
      <c r="T331" s="46">
        <f t="shared" si="29"/>
        <v>0</v>
      </c>
      <c r="U331" s="46">
        <f t="shared" si="30"/>
        <v>0</v>
      </c>
      <c r="V331" s="46">
        <f t="shared" si="31"/>
        <v>0</v>
      </c>
      <c r="W331" s="46">
        <f t="shared" si="32"/>
        <v>0</v>
      </c>
      <c r="X331" s="46">
        <f t="shared" si="33"/>
        <v>0</v>
      </c>
      <c r="Y331" s="159"/>
    </row>
    <row r="332" spans="1:25" ht="17.25" customHeight="1">
      <c r="A332" s="47" t="str">
        <f>+BASE!B336</f>
        <v>23XXR321</v>
      </c>
      <c r="B332" s="36" t="s">
        <v>40</v>
      </c>
      <c r="C332" s="46">
        <f t="shared" si="23"/>
        <v>0</v>
      </c>
      <c r="D332" s="46">
        <f t="shared" si="24"/>
        <v>0</v>
      </c>
      <c r="E332" s="46">
        <f t="shared" si="25"/>
        <v>0</v>
      </c>
      <c r="F332" s="46">
        <f t="shared" si="26"/>
        <v>0</v>
      </c>
      <c r="G332" s="43">
        <f t="shared" si="27"/>
        <v>0</v>
      </c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4">
        <f t="shared" si="28"/>
        <v>0</v>
      </c>
      <c r="S332" s="36">
        <f>BASE!A336</f>
        <v>321</v>
      </c>
      <c r="T332" s="46">
        <f t="shared" si="29"/>
        <v>0</v>
      </c>
      <c r="U332" s="46">
        <f t="shared" si="30"/>
        <v>0</v>
      </c>
      <c r="V332" s="46">
        <f t="shared" si="31"/>
        <v>0</v>
      </c>
      <c r="W332" s="46">
        <f t="shared" si="32"/>
        <v>0</v>
      </c>
      <c r="X332" s="46">
        <f t="shared" si="33"/>
        <v>0</v>
      </c>
      <c r="Y332" s="159"/>
    </row>
    <row r="333" spans="1:25" ht="17.25" customHeight="1">
      <c r="A333" s="47" t="str">
        <f>+BASE!B337</f>
        <v>23XXR322</v>
      </c>
      <c r="B333" s="36" t="s">
        <v>40</v>
      </c>
      <c r="C333" s="46">
        <f t="shared" si="23"/>
        <v>0</v>
      </c>
      <c r="D333" s="46">
        <f t="shared" si="24"/>
        <v>0</v>
      </c>
      <c r="E333" s="46">
        <f t="shared" si="25"/>
        <v>0</v>
      </c>
      <c r="F333" s="46">
        <f t="shared" si="26"/>
        <v>0</v>
      </c>
      <c r="G333" s="43">
        <f t="shared" si="27"/>
        <v>0</v>
      </c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4">
        <f t="shared" si="28"/>
        <v>0</v>
      </c>
      <c r="S333" s="36">
        <f>BASE!A337</f>
        <v>322</v>
      </c>
      <c r="T333" s="46">
        <f t="shared" si="29"/>
        <v>0</v>
      </c>
      <c r="U333" s="46">
        <f t="shared" si="30"/>
        <v>0</v>
      </c>
      <c r="V333" s="46">
        <f t="shared" si="31"/>
        <v>0</v>
      </c>
      <c r="W333" s="46">
        <f t="shared" si="32"/>
        <v>0</v>
      </c>
      <c r="X333" s="46">
        <f t="shared" si="33"/>
        <v>0</v>
      </c>
      <c r="Y333" s="159"/>
    </row>
    <row r="334" spans="1:25" ht="17.25" customHeight="1">
      <c r="A334" s="47" t="str">
        <f>+BASE!B338</f>
        <v>23XXR323</v>
      </c>
      <c r="B334" s="36" t="s">
        <v>40</v>
      </c>
      <c r="C334" s="46">
        <f t="shared" si="23"/>
        <v>0</v>
      </c>
      <c r="D334" s="46">
        <f t="shared" si="24"/>
        <v>0</v>
      </c>
      <c r="E334" s="46">
        <f t="shared" si="25"/>
        <v>0</v>
      </c>
      <c r="F334" s="46">
        <f t="shared" si="26"/>
        <v>0</v>
      </c>
      <c r="G334" s="43">
        <f t="shared" si="27"/>
        <v>0</v>
      </c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4">
        <f t="shared" si="28"/>
        <v>0</v>
      </c>
      <c r="S334" s="36">
        <f>BASE!A338</f>
        <v>323</v>
      </c>
      <c r="T334" s="46">
        <f t="shared" si="29"/>
        <v>0</v>
      </c>
      <c r="U334" s="46">
        <f t="shared" si="30"/>
        <v>0</v>
      </c>
      <c r="V334" s="46">
        <f t="shared" si="31"/>
        <v>0</v>
      </c>
      <c r="W334" s="46">
        <f t="shared" si="32"/>
        <v>0</v>
      </c>
      <c r="X334" s="46">
        <f t="shared" si="33"/>
        <v>0</v>
      </c>
      <c r="Y334" s="159"/>
    </row>
    <row r="335" spans="1:25" ht="17.25" customHeight="1">
      <c r="A335" s="47" t="str">
        <f>+BASE!B339</f>
        <v>23XXR324</v>
      </c>
      <c r="B335" s="36" t="s">
        <v>40</v>
      </c>
      <c r="C335" s="46">
        <f t="shared" si="23"/>
        <v>0</v>
      </c>
      <c r="D335" s="46">
        <f t="shared" si="24"/>
        <v>0</v>
      </c>
      <c r="E335" s="46">
        <f t="shared" si="25"/>
        <v>0</v>
      </c>
      <c r="F335" s="46">
        <f t="shared" si="26"/>
        <v>0</v>
      </c>
      <c r="G335" s="43">
        <f t="shared" si="27"/>
        <v>0</v>
      </c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4">
        <f t="shared" si="28"/>
        <v>0</v>
      </c>
      <c r="S335" s="36">
        <f>BASE!A339</f>
        <v>324</v>
      </c>
      <c r="T335" s="46">
        <f t="shared" si="29"/>
        <v>0</v>
      </c>
      <c r="U335" s="46">
        <f t="shared" si="30"/>
        <v>0</v>
      </c>
      <c r="V335" s="46">
        <f t="shared" si="31"/>
        <v>0</v>
      </c>
      <c r="W335" s="46">
        <f t="shared" si="32"/>
        <v>0</v>
      </c>
      <c r="X335" s="46">
        <f t="shared" si="33"/>
        <v>0</v>
      </c>
      <c r="Y335" s="159"/>
    </row>
    <row r="336" spans="1:25" ht="17.25" customHeight="1">
      <c r="A336" s="47" t="str">
        <f>+BASE!B340</f>
        <v>23XXR325</v>
      </c>
      <c r="B336" s="36" t="s">
        <v>40</v>
      </c>
      <c r="C336" s="46">
        <f t="shared" si="23"/>
        <v>0</v>
      </c>
      <c r="D336" s="46">
        <f t="shared" si="24"/>
        <v>0</v>
      </c>
      <c r="E336" s="46">
        <f t="shared" si="25"/>
        <v>0</v>
      </c>
      <c r="F336" s="46">
        <f t="shared" si="26"/>
        <v>0</v>
      </c>
      <c r="G336" s="43">
        <f t="shared" si="27"/>
        <v>0</v>
      </c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4">
        <f t="shared" si="28"/>
        <v>0</v>
      </c>
      <c r="S336" s="36">
        <f>BASE!A340</f>
        <v>325</v>
      </c>
      <c r="T336" s="46">
        <f t="shared" si="29"/>
        <v>0</v>
      </c>
      <c r="U336" s="46">
        <f t="shared" si="30"/>
        <v>0</v>
      </c>
      <c r="V336" s="46">
        <f t="shared" si="31"/>
        <v>0</v>
      </c>
      <c r="W336" s="46">
        <f t="shared" si="32"/>
        <v>0</v>
      </c>
      <c r="X336" s="46">
        <f t="shared" si="33"/>
        <v>0</v>
      </c>
      <c r="Y336" s="159"/>
    </row>
    <row r="337" spans="1:25" ht="17.25" customHeight="1">
      <c r="A337" s="47" t="str">
        <f>+BASE!B341</f>
        <v>23XXR326</v>
      </c>
      <c r="B337" s="36" t="s">
        <v>40</v>
      </c>
      <c r="C337" s="46">
        <f t="shared" si="23"/>
        <v>0</v>
      </c>
      <c r="D337" s="46">
        <f t="shared" si="24"/>
        <v>0</v>
      </c>
      <c r="E337" s="46">
        <f t="shared" si="25"/>
        <v>0</v>
      </c>
      <c r="F337" s="46">
        <f t="shared" si="26"/>
        <v>0</v>
      </c>
      <c r="G337" s="43">
        <f t="shared" si="27"/>
        <v>0</v>
      </c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4">
        <f t="shared" si="28"/>
        <v>0</v>
      </c>
      <c r="S337" s="36">
        <f>BASE!A341</f>
        <v>326</v>
      </c>
      <c r="T337" s="46">
        <f t="shared" si="29"/>
        <v>0</v>
      </c>
      <c r="U337" s="46">
        <f t="shared" si="30"/>
        <v>0</v>
      </c>
      <c r="V337" s="46">
        <f t="shared" si="31"/>
        <v>0</v>
      </c>
      <c r="W337" s="46">
        <f t="shared" si="32"/>
        <v>0</v>
      </c>
      <c r="X337" s="46">
        <f t="shared" si="33"/>
        <v>0</v>
      </c>
      <c r="Y337" s="159"/>
    </row>
    <row r="338" spans="1:25" ht="17.25" customHeight="1">
      <c r="A338" s="47" t="str">
        <f>+BASE!B342</f>
        <v>23XXR327</v>
      </c>
      <c r="B338" s="36" t="s">
        <v>40</v>
      </c>
      <c r="C338" s="46">
        <f t="shared" si="23"/>
        <v>0</v>
      </c>
      <c r="D338" s="46">
        <f t="shared" si="24"/>
        <v>0</v>
      </c>
      <c r="E338" s="46">
        <f t="shared" si="25"/>
        <v>0</v>
      </c>
      <c r="F338" s="46">
        <f t="shared" si="26"/>
        <v>0</v>
      </c>
      <c r="G338" s="43">
        <f t="shared" si="27"/>
        <v>0</v>
      </c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4">
        <f t="shared" si="28"/>
        <v>0</v>
      </c>
      <c r="S338" s="36">
        <f>BASE!A342</f>
        <v>327</v>
      </c>
      <c r="T338" s="46">
        <f t="shared" si="29"/>
        <v>0</v>
      </c>
      <c r="U338" s="46">
        <f t="shared" si="30"/>
        <v>0</v>
      </c>
      <c r="V338" s="46">
        <f t="shared" si="31"/>
        <v>0</v>
      </c>
      <c r="W338" s="46">
        <f t="shared" si="32"/>
        <v>0</v>
      </c>
      <c r="X338" s="46">
        <f t="shared" si="33"/>
        <v>0</v>
      </c>
      <c r="Y338" s="159"/>
    </row>
    <row r="339" spans="1:25" ht="17.25" customHeight="1">
      <c r="A339" s="47" t="str">
        <f>+BASE!B343</f>
        <v>23XXR328</v>
      </c>
      <c r="B339" s="36" t="s">
        <v>40</v>
      </c>
      <c r="C339" s="46">
        <f t="shared" si="23"/>
        <v>0</v>
      </c>
      <c r="D339" s="46">
        <f t="shared" si="24"/>
        <v>0</v>
      </c>
      <c r="E339" s="46">
        <f t="shared" si="25"/>
        <v>0</v>
      </c>
      <c r="F339" s="46">
        <f t="shared" si="26"/>
        <v>0</v>
      </c>
      <c r="G339" s="43">
        <f t="shared" si="27"/>
        <v>0</v>
      </c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4">
        <f t="shared" si="28"/>
        <v>0</v>
      </c>
      <c r="S339" s="36">
        <f>BASE!A343</f>
        <v>328</v>
      </c>
      <c r="T339" s="46">
        <f t="shared" si="29"/>
        <v>0</v>
      </c>
      <c r="U339" s="46">
        <f t="shared" si="30"/>
        <v>0</v>
      </c>
      <c r="V339" s="46">
        <f t="shared" si="31"/>
        <v>0</v>
      </c>
      <c r="W339" s="46">
        <f t="shared" si="32"/>
        <v>0</v>
      </c>
      <c r="X339" s="46">
        <f t="shared" si="33"/>
        <v>0</v>
      </c>
      <c r="Y339" s="159"/>
    </row>
    <row r="340" spans="1:25" ht="17.25" customHeight="1">
      <c r="A340" s="47" t="str">
        <f>+BASE!B344</f>
        <v>23XXR329</v>
      </c>
      <c r="B340" s="36" t="s">
        <v>40</v>
      </c>
      <c r="C340" s="46">
        <f t="shared" si="23"/>
        <v>0</v>
      </c>
      <c r="D340" s="46">
        <f t="shared" si="24"/>
        <v>0</v>
      </c>
      <c r="E340" s="46">
        <f t="shared" si="25"/>
        <v>0</v>
      </c>
      <c r="F340" s="46">
        <f t="shared" si="26"/>
        <v>0</v>
      </c>
      <c r="G340" s="43">
        <f t="shared" si="27"/>
        <v>0</v>
      </c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4">
        <f t="shared" si="28"/>
        <v>0</v>
      </c>
      <c r="S340" s="36">
        <f>BASE!A344</f>
        <v>329</v>
      </c>
      <c r="T340" s="46">
        <f t="shared" si="29"/>
        <v>0</v>
      </c>
      <c r="U340" s="46">
        <f t="shared" si="30"/>
        <v>0</v>
      </c>
      <c r="V340" s="46">
        <f t="shared" si="31"/>
        <v>0</v>
      </c>
      <c r="W340" s="46">
        <f t="shared" si="32"/>
        <v>0</v>
      </c>
      <c r="X340" s="46">
        <f t="shared" si="33"/>
        <v>0</v>
      </c>
      <c r="Y340" s="159"/>
    </row>
    <row r="341" spans="1:25" ht="17.25" customHeight="1">
      <c r="A341" s="47" t="str">
        <f>+BASE!B345</f>
        <v>23XXR330</v>
      </c>
      <c r="B341" s="36" t="s">
        <v>40</v>
      </c>
      <c r="C341" s="46">
        <f t="shared" si="23"/>
        <v>0</v>
      </c>
      <c r="D341" s="46">
        <f t="shared" si="24"/>
        <v>0</v>
      </c>
      <c r="E341" s="46">
        <f t="shared" si="25"/>
        <v>0</v>
      </c>
      <c r="F341" s="46">
        <f t="shared" si="26"/>
        <v>0</v>
      </c>
      <c r="G341" s="43">
        <f t="shared" si="27"/>
        <v>0</v>
      </c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4">
        <f t="shared" si="28"/>
        <v>0</v>
      </c>
      <c r="S341" s="36">
        <f>BASE!A345</f>
        <v>330</v>
      </c>
      <c r="T341" s="46">
        <f t="shared" si="29"/>
        <v>0</v>
      </c>
      <c r="U341" s="46">
        <f t="shared" si="30"/>
        <v>0</v>
      </c>
      <c r="V341" s="46">
        <f t="shared" si="31"/>
        <v>0</v>
      </c>
      <c r="W341" s="46">
        <f t="shared" si="32"/>
        <v>0</v>
      </c>
      <c r="X341" s="46">
        <f t="shared" si="33"/>
        <v>0</v>
      </c>
      <c r="Y341" s="159"/>
    </row>
    <row r="342" spans="1:25" ht="17.25" customHeight="1">
      <c r="A342" s="47" t="str">
        <f>+BASE!B346</f>
        <v>23XXR331</v>
      </c>
      <c r="B342" s="36" t="s">
        <v>40</v>
      </c>
      <c r="C342" s="46">
        <f t="shared" si="23"/>
        <v>0</v>
      </c>
      <c r="D342" s="46">
        <f t="shared" si="24"/>
        <v>0</v>
      </c>
      <c r="E342" s="46">
        <f t="shared" si="25"/>
        <v>0</v>
      </c>
      <c r="F342" s="46">
        <f t="shared" si="26"/>
        <v>0</v>
      </c>
      <c r="G342" s="43">
        <f t="shared" si="27"/>
        <v>0</v>
      </c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4">
        <f t="shared" si="28"/>
        <v>0</v>
      </c>
      <c r="S342" s="36">
        <f>BASE!A346</f>
        <v>331</v>
      </c>
      <c r="T342" s="46">
        <f t="shared" si="29"/>
        <v>0</v>
      </c>
      <c r="U342" s="46">
        <f t="shared" si="30"/>
        <v>0</v>
      </c>
      <c r="V342" s="46">
        <f t="shared" si="31"/>
        <v>0</v>
      </c>
      <c r="W342" s="46">
        <f t="shared" si="32"/>
        <v>0</v>
      </c>
      <c r="X342" s="46">
        <f t="shared" si="33"/>
        <v>0</v>
      </c>
      <c r="Y342" s="159"/>
    </row>
    <row r="343" spans="1:25" ht="17.25" customHeight="1">
      <c r="A343" s="47" t="str">
        <f>+BASE!B347</f>
        <v>23XXR332</v>
      </c>
      <c r="B343" s="36" t="s">
        <v>40</v>
      </c>
      <c r="C343" s="46">
        <f t="shared" si="23"/>
        <v>0</v>
      </c>
      <c r="D343" s="46">
        <f t="shared" si="24"/>
        <v>0</v>
      </c>
      <c r="E343" s="46">
        <f t="shared" si="25"/>
        <v>0</v>
      </c>
      <c r="F343" s="46">
        <f t="shared" si="26"/>
        <v>0</v>
      </c>
      <c r="G343" s="43">
        <f t="shared" si="27"/>
        <v>0</v>
      </c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4">
        <f t="shared" si="28"/>
        <v>0</v>
      </c>
      <c r="S343" s="36">
        <f>BASE!A347</f>
        <v>332</v>
      </c>
      <c r="T343" s="46">
        <f t="shared" si="29"/>
        <v>0</v>
      </c>
      <c r="U343" s="46">
        <f t="shared" si="30"/>
        <v>0</v>
      </c>
      <c r="V343" s="46">
        <f t="shared" si="31"/>
        <v>0</v>
      </c>
      <c r="W343" s="46">
        <f t="shared" si="32"/>
        <v>0</v>
      </c>
      <c r="X343" s="46">
        <f t="shared" si="33"/>
        <v>0</v>
      </c>
      <c r="Y343" s="159"/>
    </row>
    <row r="344" spans="1:25" ht="17.25" customHeight="1">
      <c r="A344" s="47" t="str">
        <f>+BASE!B348</f>
        <v>23XXR333</v>
      </c>
      <c r="B344" s="36" t="s">
        <v>40</v>
      </c>
      <c r="C344" s="46">
        <f t="shared" si="23"/>
        <v>0</v>
      </c>
      <c r="D344" s="46">
        <f t="shared" si="24"/>
        <v>0</v>
      </c>
      <c r="E344" s="46">
        <f t="shared" si="25"/>
        <v>0</v>
      </c>
      <c r="F344" s="46">
        <f t="shared" si="26"/>
        <v>0</v>
      </c>
      <c r="G344" s="43">
        <f t="shared" si="27"/>
        <v>0</v>
      </c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4">
        <f t="shared" si="28"/>
        <v>0</v>
      </c>
      <c r="S344" s="36">
        <f>BASE!A348</f>
        <v>333</v>
      </c>
      <c r="T344" s="46">
        <f t="shared" si="29"/>
        <v>0</v>
      </c>
      <c r="U344" s="46">
        <f t="shared" si="30"/>
        <v>0</v>
      </c>
      <c r="V344" s="46">
        <f t="shared" si="31"/>
        <v>0</v>
      </c>
      <c r="W344" s="46">
        <f t="shared" si="32"/>
        <v>0</v>
      </c>
      <c r="X344" s="46">
        <f t="shared" si="33"/>
        <v>0</v>
      </c>
      <c r="Y344" s="159"/>
    </row>
    <row r="345" spans="1:25" ht="17.25" customHeight="1">
      <c r="A345" s="47" t="str">
        <f>+BASE!B349</f>
        <v>23XXR334</v>
      </c>
      <c r="B345" s="36" t="s">
        <v>40</v>
      </c>
      <c r="C345" s="46">
        <f t="shared" si="23"/>
        <v>0</v>
      </c>
      <c r="D345" s="46">
        <f t="shared" si="24"/>
        <v>0</v>
      </c>
      <c r="E345" s="46">
        <f t="shared" si="25"/>
        <v>0</v>
      </c>
      <c r="F345" s="46">
        <f t="shared" si="26"/>
        <v>0</v>
      </c>
      <c r="G345" s="43">
        <f t="shared" si="27"/>
        <v>0</v>
      </c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4">
        <f t="shared" si="28"/>
        <v>0</v>
      </c>
      <c r="S345" s="36">
        <f>BASE!A349</f>
        <v>334</v>
      </c>
      <c r="T345" s="46">
        <f t="shared" si="29"/>
        <v>0</v>
      </c>
      <c r="U345" s="46">
        <f t="shared" si="30"/>
        <v>0</v>
      </c>
      <c r="V345" s="46">
        <f t="shared" si="31"/>
        <v>0</v>
      </c>
      <c r="W345" s="46">
        <f t="shared" si="32"/>
        <v>0</v>
      </c>
      <c r="X345" s="46">
        <f t="shared" si="33"/>
        <v>0</v>
      </c>
      <c r="Y345" s="159"/>
    </row>
    <row r="346" spans="1:25" ht="17.25" customHeight="1">
      <c r="A346" s="47" t="str">
        <f>+BASE!B350</f>
        <v>23XXR335</v>
      </c>
      <c r="B346" s="36" t="s">
        <v>40</v>
      </c>
      <c r="C346" s="46">
        <f t="shared" si="23"/>
        <v>0</v>
      </c>
      <c r="D346" s="46">
        <f t="shared" si="24"/>
        <v>0</v>
      </c>
      <c r="E346" s="46">
        <f t="shared" si="25"/>
        <v>0</v>
      </c>
      <c r="F346" s="46">
        <f t="shared" si="26"/>
        <v>0</v>
      </c>
      <c r="G346" s="43">
        <f t="shared" si="27"/>
        <v>0</v>
      </c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4">
        <f t="shared" si="28"/>
        <v>0</v>
      </c>
      <c r="S346" s="36">
        <f>BASE!A350</f>
        <v>335</v>
      </c>
      <c r="T346" s="46">
        <f t="shared" si="29"/>
        <v>0</v>
      </c>
      <c r="U346" s="46">
        <f t="shared" si="30"/>
        <v>0</v>
      </c>
      <c r="V346" s="46">
        <f t="shared" si="31"/>
        <v>0</v>
      </c>
      <c r="W346" s="46">
        <f t="shared" si="32"/>
        <v>0</v>
      </c>
      <c r="X346" s="46">
        <f t="shared" si="33"/>
        <v>0</v>
      </c>
      <c r="Y346" s="159"/>
    </row>
    <row r="347" spans="1:25" ht="17.25" customHeight="1">
      <c r="A347" s="47" t="str">
        <f>+BASE!B351</f>
        <v>23XXR336</v>
      </c>
      <c r="B347" s="36" t="s">
        <v>40</v>
      </c>
      <c r="C347" s="46">
        <f t="shared" si="23"/>
        <v>0</v>
      </c>
      <c r="D347" s="46">
        <f t="shared" si="24"/>
        <v>0</v>
      </c>
      <c r="E347" s="46">
        <f t="shared" si="25"/>
        <v>0</v>
      </c>
      <c r="F347" s="46">
        <f t="shared" si="26"/>
        <v>0</v>
      </c>
      <c r="G347" s="43">
        <f t="shared" si="27"/>
        <v>0</v>
      </c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4">
        <f t="shared" si="28"/>
        <v>0</v>
      </c>
      <c r="S347" s="36">
        <f>BASE!A351</f>
        <v>336</v>
      </c>
      <c r="T347" s="46">
        <f t="shared" si="29"/>
        <v>0</v>
      </c>
      <c r="U347" s="46">
        <f t="shared" si="30"/>
        <v>0</v>
      </c>
      <c r="V347" s="46">
        <f t="shared" si="31"/>
        <v>0</v>
      </c>
      <c r="W347" s="46">
        <f t="shared" si="32"/>
        <v>0</v>
      </c>
      <c r="X347" s="46">
        <f t="shared" si="33"/>
        <v>0</v>
      </c>
      <c r="Y347" s="159"/>
    </row>
    <row r="348" spans="1:25" ht="17.25" customHeight="1">
      <c r="A348" s="47" t="str">
        <f>+BASE!B352</f>
        <v>23XXR337</v>
      </c>
      <c r="B348" s="36" t="s">
        <v>40</v>
      </c>
      <c r="C348" s="46">
        <f t="shared" si="23"/>
        <v>0</v>
      </c>
      <c r="D348" s="46">
        <f t="shared" si="24"/>
        <v>0</v>
      </c>
      <c r="E348" s="46">
        <f t="shared" si="25"/>
        <v>0</v>
      </c>
      <c r="F348" s="46">
        <f t="shared" si="26"/>
        <v>0</v>
      </c>
      <c r="G348" s="43">
        <f t="shared" si="27"/>
        <v>0</v>
      </c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4">
        <f t="shared" si="28"/>
        <v>0</v>
      </c>
      <c r="S348" s="36">
        <f>BASE!A352</f>
        <v>337</v>
      </c>
      <c r="T348" s="46">
        <f t="shared" si="29"/>
        <v>0</v>
      </c>
      <c r="U348" s="46">
        <f t="shared" si="30"/>
        <v>0</v>
      </c>
      <c r="V348" s="46">
        <f t="shared" si="31"/>
        <v>0</v>
      </c>
      <c r="W348" s="46">
        <f t="shared" si="32"/>
        <v>0</v>
      </c>
      <c r="X348" s="46">
        <f t="shared" si="33"/>
        <v>0</v>
      </c>
      <c r="Y348" s="159"/>
    </row>
    <row r="349" spans="1:25" ht="17.25" customHeight="1">
      <c r="A349" s="47" t="str">
        <f>+BASE!B353</f>
        <v>23XXR338</v>
      </c>
      <c r="B349" s="36" t="s">
        <v>40</v>
      </c>
      <c r="C349" s="46">
        <f t="shared" si="23"/>
        <v>0</v>
      </c>
      <c r="D349" s="46">
        <f t="shared" si="24"/>
        <v>0</v>
      </c>
      <c r="E349" s="46">
        <f t="shared" si="25"/>
        <v>0</v>
      </c>
      <c r="F349" s="46">
        <f t="shared" si="26"/>
        <v>0</v>
      </c>
      <c r="G349" s="43">
        <f t="shared" si="27"/>
        <v>0</v>
      </c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4">
        <f t="shared" si="28"/>
        <v>0</v>
      </c>
      <c r="S349" s="36">
        <f>BASE!A353</f>
        <v>338</v>
      </c>
      <c r="T349" s="46">
        <f t="shared" si="29"/>
        <v>0</v>
      </c>
      <c r="U349" s="46">
        <f t="shared" si="30"/>
        <v>0</v>
      </c>
      <c r="V349" s="46">
        <f t="shared" si="31"/>
        <v>0</v>
      </c>
      <c r="W349" s="46">
        <f t="shared" si="32"/>
        <v>0</v>
      </c>
      <c r="X349" s="46">
        <f t="shared" si="33"/>
        <v>0</v>
      </c>
      <c r="Y349" s="159"/>
    </row>
    <row r="350" spans="1:25" ht="17.25" customHeight="1">
      <c r="A350" s="47" t="str">
        <f>+BASE!B354</f>
        <v>23XXR339</v>
      </c>
      <c r="B350" s="36" t="s">
        <v>40</v>
      </c>
      <c r="C350" s="46">
        <f t="shared" si="23"/>
        <v>0</v>
      </c>
      <c r="D350" s="46">
        <f t="shared" si="24"/>
        <v>0</v>
      </c>
      <c r="E350" s="46">
        <f t="shared" si="25"/>
        <v>0</v>
      </c>
      <c r="F350" s="46">
        <f t="shared" si="26"/>
        <v>0</v>
      </c>
      <c r="G350" s="43">
        <f t="shared" si="27"/>
        <v>0</v>
      </c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4">
        <f t="shared" si="28"/>
        <v>0</v>
      </c>
      <c r="S350" s="36">
        <f>BASE!A354</f>
        <v>339</v>
      </c>
      <c r="T350" s="46">
        <f t="shared" si="29"/>
        <v>0</v>
      </c>
      <c r="U350" s="46">
        <f t="shared" si="30"/>
        <v>0</v>
      </c>
      <c r="V350" s="46">
        <f t="shared" si="31"/>
        <v>0</v>
      </c>
      <c r="W350" s="46">
        <f t="shared" si="32"/>
        <v>0</v>
      </c>
      <c r="X350" s="46">
        <f t="shared" si="33"/>
        <v>0</v>
      </c>
      <c r="Y350" s="159"/>
    </row>
    <row r="351" spans="1:25" ht="17.25" customHeight="1">
      <c r="A351" s="47" t="str">
        <f>+BASE!B355</f>
        <v>23XXR340</v>
      </c>
      <c r="B351" s="36" t="s">
        <v>40</v>
      </c>
      <c r="C351" s="46">
        <f t="shared" si="23"/>
        <v>0</v>
      </c>
      <c r="D351" s="46">
        <f t="shared" si="24"/>
        <v>0</v>
      </c>
      <c r="E351" s="46">
        <f t="shared" si="25"/>
        <v>0</v>
      </c>
      <c r="F351" s="46">
        <f t="shared" si="26"/>
        <v>0</v>
      </c>
      <c r="G351" s="43">
        <f t="shared" si="27"/>
        <v>0</v>
      </c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4">
        <f t="shared" si="28"/>
        <v>0</v>
      </c>
      <c r="S351" s="36">
        <f>BASE!A355</f>
        <v>340</v>
      </c>
      <c r="T351" s="46">
        <f t="shared" si="29"/>
        <v>0</v>
      </c>
      <c r="U351" s="46">
        <f t="shared" si="30"/>
        <v>0</v>
      </c>
      <c r="V351" s="46">
        <f t="shared" si="31"/>
        <v>0</v>
      </c>
      <c r="W351" s="46">
        <f t="shared" si="32"/>
        <v>0</v>
      </c>
      <c r="X351" s="46">
        <f t="shared" si="33"/>
        <v>0</v>
      </c>
      <c r="Y351" s="159"/>
    </row>
    <row r="352" spans="1:25" ht="17.25" customHeight="1">
      <c r="A352" s="47" t="str">
        <f>+BASE!B356</f>
        <v>23XXR341</v>
      </c>
      <c r="B352" s="36" t="s">
        <v>40</v>
      </c>
      <c r="C352" s="46">
        <f t="shared" si="23"/>
        <v>0</v>
      </c>
      <c r="D352" s="46">
        <f t="shared" si="24"/>
        <v>0</v>
      </c>
      <c r="E352" s="46">
        <f t="shared" si="25"/>
        <v>0</v>
      </c>
      <c r="F352" s="46">
        <f t="shared" si="26"/>
        <v>0</v>
      </c>
      <c r="G352" s="43">
        <f t="shared" si="27"/>
        <v>0</v>
      </c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4">
        <f t="shared" si="28"/>
        <v>0</v>
      </c>
      <c r="S352" s="36">
        <f>BASE!A356</f>
        <v>341</v>
      </c>
      <c r="T352" s="46">
        <f t="shared" si="29"/>
        <v>0</v>
      </c>
      <c r="U352" s="46">
        <f t="shared" si="30"/>
        <v>0</v>
      </c>
      <c r="V352" s="46">
        <f t="shared" si="31"/>
        <v>0</v>
      </c>
      <c r="W352" s="46">
        <f t="shared" si="32"/>
        <v>0</v>
      </c>
      <c r="X352" s="46">
        <f t="shared" si="33"/>
        <v>0</v>
      </c>
      <c r="Y352" s="159"/>
    </row>
    <row r="353" spans="1:25" ht="17.25" customHeight="1">
      <c r="A353" s="47" t="str">
        <f>+BASE!B357</f>
        <v>23XXR342</v>
      </c>
      <c r="B353" s="36" t="s">
        <v>40</v>
      </c>
      <c r="C353" s="46">
        <f t="shared" si="23"/>
        <v>0</v>
      </c>
      <c r="D353" s="46">
        <f t="shared" si="24"/>
        <v>0</v>
      </c>
      <c r="E353" s="46">
        <f t="shared" si="25"/>
        <v>0</v>
      </c>
      <c r="F353" s="46">
        <f t="shared" si="26"/>
        <v>0</v>
      </c>
      <c r="G353" s="43">
        <f t="shared" si="27"/>
        <v>0</v>
      </c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4">
        <f t="shared" si="28"/>
        <v>0</v>
      </c>
      <c r="S353" s="36">
        <f>BASE!A357</f>
        <v>342</v>
      </c>
      <c r="T353" s="46">
        <f t="shared" si="29"/>
        <v>0</v>
      </c>
      <c r="U353" s="46">
        <f t="shared" si="30"/>
        <v>0</v>
      </c>
      <c r="V353" s="46">
        <f t="shared" si="31"/>
        <v>0</v>
      </c>
      <c r="W353" s="46">
        <f t="shared" si="32"/>
        <v>0</v>
      </c>
      <c r="X353" s="46">
        <f t="shared" si="33"/>
        <v>0</v>
      </c>
      <c r="Y353" s="159"/>
    </row>
    <row r="354" spans="1:25" ht="17.25" customHeight="1">
      <c r="A354" s="47" t="str">
        <f>+BASE!B358</f>
        <v>23XXR343</v>
      </c>
      <c r="B354" s="36" t="s">
        <v>40</v>
      </c>
      <c r="C354" s="46">
        <f t="shared" si="23"/>
        <v>0</v>
      </c>
      <c r="D354" s="46">
        <f t="shared" si="24"/>
        <v>0</v>
      </c>
      <c r="E354" s="46">
        <f t="shared" si="25"/>
        <v>0</v>
      </c>
      <c r="F354" s="46">
        <f t="shared" si="26"/>
        <v>0</v>
      </c>
      <c r="G354" s="43">
        <f t="shared" si="27"/>
        <v>0</v>
      </c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4">
        <f t="shared" si="28"/>
        <v>0</v>
      </c>
      <c r="S354" s="36">
        <f>BASE!A358</f>
        <v>343</v>
      </c>
      <c r="T354" s="46">
        <f t="shared" si="29"/>
        <v>0</v>
      </c>
      <c r="U354" s="46">
        <f t="shared" si="30"/>
        <v>0</v>
      </c>
      <c r="V354" s="46">
        <f t="shared" si="31"/>
        <v>0</v>
      </c>
      <c r="W354" s="46">
        <f t="shared" si="32"/>
        <v>0</v>
      </c>
      <c r="X354" s="46">
        <f t="shared" si="33"/>
        <v>0</v>
      </c>
      <c r="Y354" s="159"/>
    </row>
    <row r="355" spans="1:25" ht="17.25" customHeight="1">
      <c r="A355" s="47" t="str">
        <f>+BASE!B359</f>
        <v>23XXR344</v>
      </c>
      <c r="B355" s="36" t="s">
        <v>40</v>
      </c>
      <c r="C355" s="46">
        <f t="shared" si="23"/>
        <v>0</v>
      </c>
      <c r="D355" s="46">
        <f t="shared" si="24"/>
        <v>0</v>
      </c>
      <c r="E355" s="46">
        <f t="shared" si="25"/>
        <v>0</v>
      </c>
      <c r="F355" s="46">
        <f t="shared" si="26"/>
        <v>0</v>
      </c>
      <c r="G355" s="43">
        <f t="shared" si="27"/>
        <v>0</v>
      </c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4">
        <f t="shared" si="28"/>
        <v>0</v>
      </c>
      <c r="S355" s="36">
        <f>BASE!A359</f>
        <v>344</v>
      </c>
      <c r="T355" s="46">
        <f t="shared" si="29"/>
        <v>0</v>
      </c>
      <c r="U355" s="46">
        <f t="shared" si="30"/>
        <v>0</v>
      </c>
      <c r="V355" s="46">
        <f t="shared" si="31"/>
        <v>0</v>
      </c>
      <c r="W355" s="46">
        <f t="shared" si="32"/>
        <v>0</v>
      </c>
      <c r="X355" s="46">
        <f t="shared" si="33"/>
        <v>0</v>
      </c>
      <c r="Y355" s="159"/>
    </row>
    <row r="356" spans="1:25" ht="17.25" customHeight="1">
      <c r="A356" s="47" t="str">
        <f>+BASE!B360</f>
        <v>23XXR345</v>
      </c>
      <c r="B356" s="36" t="s">
        <v>40</v>
      </c>
      <c r="C356" s="46">
        <f t="shared" si="23"/>
        <v>0</v>
      </c>
      <c r="D356" s="46">
        <f t="shared" si="24"/>
        <v>0</v>
      </c>
      <c r="E356" s="46">
        <f t="shared" si="25"/>
        <v>0</v>
      </c>
      <c r="F356" s="46">
        <f t="shared" si="26"/>
        <v>0</v>
      </c>
      <c r="G356" s="43">
        <f t="shared" si="27"/>
        <v>0</v>
      </c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4">
        <f t="shared" si="28"/>
        <v>0</v>
      </c>
      <c r="S356" s="36">
        <f>BASE!A360</f>
        <v>345</v>
      </c>
      <c r="T356" s="46">
        <f t="shared" si="29"/>
        <v>0</v>
      </c>
      <c r="U356" s="46">
        <f t="shared" si="30"/>
        <v>0</v>
      </c>
      <c r="V356" s="46">
        <f t="shared" si="31"/>
        <v>0</v>
      </c>
      <c r="W356" s="46">
        <f t="shared" si="32"/>
        <v>0</v>
      </c>
      <c r="X356" s="46">
        <f t="shared" si="33"/>
        <v>0</v>
      </c>
      <c r="Y356" s="159"/>
    </row>
    <row r="357" spans="1:25" ht="17.25" customHeight="1">
      <c r="A357" s="47" t="str">
        <f>+BASE!B361</f>
        <v>23XXR346</v>
      </c>
      <c r="B357" s="36" t="s">
        <v>40</v>
      </c>
      <c r="C357" s="46">
        <f t="shared" si="23"/>
        <v>0</v>
      </c>
      <c r="D357" s="46">
        <f t="shared" si="24"/>
        <v>0</v>
      </c>
      <c r="E357" s="46">
        <f t="shared" si="25"/>
        <v>0</v>
      </c>
      <c r="F357" s="46">
        <f t="shared" si="26"/>
        <v>0</v>
      </c>
      <c r="G357" s="43">
        <f t="shared" si="27"/>
        <v>0</v>
      </c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4">
        <f t="shared" si="28"/>
        <v>0</v>
      </c>
      <c r="S357" s="36">
        <f>BASE!A361</f>
        <v>346</v>
      </c>
      <c r="T357" s="46">
        <f t="shared" si="29"/>
        <v>0</v>
      </c>
      <c r="U357" s="46">
        <f t="shared" si="30"/>
        <v>0</v>
      </c>
      <c r="V357" s="46">
        <f t="shared" si="31"/>
        <v>0</v>
      </c>
      <c r="W357" s="46">
        <f t="shared" si="32"/>
        <v>0</v>
      </c>
      <c r="X357" s="46">
        <f t="shared" si="33"/>
        <v>0</v>
      </c>
      <c r="Y357" s="159"/>
    </row>
    <row r="358" spans="1:25" ht="17.25" customHeight="1">
      <c r="A358" s="47" t="str">
        <f>+BASE!B362</f>
        <v>23XXR347</v>
      </c>
      <c r="B358" s="36" t="s">
        <v>40</v>
      </c>
      <c r="C358" s="46">
        <f t="shared" si="23"/>
        <v>0</v>
      </c>
      <c r="D358" s="46">
        <f t="shared" si="24"/>
        <v>0</v>
      </c>
      <c r="E358" s="46">
        <f t="shared" si="25"/>
        <v>0</v>
      </c>
      <c r="F358" s="46">
        <f t="shared" si="26"/>
        <v>0</v>
      </c>
      <c r="G358" s="43">
        <f t="shared" si="27"/>
        <v>0</v>
      </c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4">
        <f t="shared" si="28"/>
        <v>0</v>
      </c>
      <c r="S358" s="36">
        <f>BASE!A362</f>
        <v>347</v>
      </c>
      <c r="T358" s="46">
        <f t="shared" si="29"/>
        <v>0</v>
      </c>
      <c r="U358" s="46">
        <f t="shared" si="30"/>
        <v>0</v>
      </c>
      <c r="V358" s="46">
        <f t="shared" si="31"/>
        <v>0</v>
      </c>
      <c r="W358" s="46">
        <f t="shared" si="32"/>
        <v>0</v>
      </c>
      <c r="X358" s="46">
        <f t="shared" si="33"/>
        <v>0</v>
      </c>
      <c r="Y358" s="159"/>
    </row>
    <row r="359" spans="1:25" ht="17.25" customHeight="1">
      <c r="A359" s="47" t="str">
        <f>+BASE!B363</f>
        <v>23XXR348</v>
      </c>
      <c r="B359" s="36" t="s">
        <v>40</v>
      </c>
      <c r="C359" s="46">
        <f t="shared" si="23"/>
        <v>0</v>
      </c>
      <c r="D359" s="46">
        <f t="shared" si="24"/>
        <v>0</v>
      </c>
      <c r="E359" s="46">
        <f t="shared" si="25"/>
        <v>0</v>
      </c>
      <c r="F359" s="46">
        <f t="shared" si="26"/>
        <v>0</v>
      </c>
      <c r="G359" s="43">
        <f t="shared" si="27"/>
        <v>0</v>
      </c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4">
        <f t="shared" si="28"/>
        <v>0</v>
      </c>
      <c r="S359" s="36">
        <f>BASE!A363</f>
        <v>348</v>
      </c>
      <c r="T359" s="46">
        <f t="shared" si="29"/>
        <v>0</v>
      </c>
      <c r="U359" s="46">
        <f t="shared" si="30"/>
        <v>0</v>
      </c>
      <c r="V359" s="46">
        <f t="shared" si="31"/>
        <v>0</v>
      </c>
      <c r="W359" s="46">
        <f t="shared" si="32"/>
        <v>0</v>
      </c>
      <c r="X359" s="46">
        <f t="shared" si="33"/>
        <v>0</v>
      </c>
      <c r="Y359" s="159"/>
    </row>
    <row r="360" spans="1:25" ht="17.25" customHeight="1">
      <c r="A360" s="47" t="str">
        <f>+BASE!B364</f>
        <v>23XXR349</v>
      </c>
      <c r="B360" s="36" t="s">
        <v>40</v>
      </c>
      <c r="C360" s="46">
        <f t="shared" si="23"/>
        <v>0</v>
      </c>
      <c r="D360" s="46">
        <f t="shared" si="24"/>
        <v>0</v>
      </c>
      <c r="E360" s="46">
        <f t="shared" si="25"/>
        <v>0</v>
      </c>
      <c r="F360" s="46">
        <f t="shared" si="26"/>
        <v>0</v>
      </c>
      <c r="G360" s="43">
        <f t="shared" si="27"/>
        <v>0</v>
      </c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4">
        <f t="shared" si="28"/>
        <v>0</v>
      </c>
      <c r="S360" s="36">
        <f>BASE!A364</f>
        <v>349</v>
      </c>
      <c r="T360" s="46">
        <f t="shared" si="29"/>
        <v>0</v>
      </c>
      <c r="U360" s="46">
        <f t="shared" si="30"/>
        <v>0</v>
      </c>
      <c r="V360" s="46">
        <f t="shared" si="31"/>
        <v>0</v>
      </c>
      <c r="W360" s="46">
        <f t="shared" si="32"/>
        <v>0</v>
      </c>
      <c r="X360" s="46">
        <f t="shared" si="33"/>
        <v>0</v>
      </c>
      <c r="Y360" s="159"/>
    </row>
    <row r="361" spans="1:25" ht="17.25" customHeight="1">
      <c r="A361" s="47" t="str">
        <f>+BASE!B365</f>
        <v>23XXR350</v>
      </c>
      <c r="B361" s="36" t="s">
        <v>40</v>
      </c>
      <c r="C361" s="46">
        <f t="shared" si="23"/>
        <v>0</v>
      </c>
      <c r="D361" s="46">
        <f t="shared" si="24"/>
        <v>0</v>
      </c>
      <c r="E361" s="46">
        <f t="shared" si="25"/>
        <v>0</v>
      </c>
      <c r="F361" s="46">
        <f t="shared" si="26"/>
        <v>0</v>
      </c>
      <c r="G361" s="43">
        <f t="shared" si="27"/>
        <v>0</v>
      </c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4">
        <f t="shared" si="28"/>
        <v>0</v>
      </c>
      <c r="S361" s="36">
        <f>BASE!A365</f>
        <v>350</v>
      </c>
      <c r="T361" s="46">
        <f t="shared" si="29"/>
        <v>0</v>
      </c>
      <c r="U361" s="46">
        <f t="shared" si="30"/>
        <v>0</v>
      </c>
      <c r="V361" s="46">
        <f t="shared" si="31"/>
        <v>0</v>
      </c>
      <c r="W361" s="46">
        <f t="shared" si="32"/>
        <v>0</v>
      </c>
      <c r="X361" s="46">
        <f t="shared" si="33"/>
        <v>0</v>
      </c>
      <c r="Y361" s="159"/>
    </row>
    <row r="362" spans="1:25" ht="17.25" customHeight="1">
      <c r="A362" s="47" t="str">
        <f>+BASE!B366</f>
        <v>23XXR351</v>
      </c>
      <c r="B362" s="36" t="s">
        <v>40</v>
      </c>
      <c r="C362" s="46">
        <f t="shared" si="23"/>
        <v>0</v>
      </c>
      <c r="D362" s="46">
        <f t="shared" si="24"/>
        <v>0</v>
      </c>
      <c r="E362" s="46">
        <f t="shared" si="25"/>
        <v>0</v>
      </c>
      <c r="F362" s="46">
        <f t="shared" si="26"/>
        <v>0</v>
      </c>
      <c r="G362" s="43">
        <f t="shared" si="27"/>
        <v>0</v>
      </c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4">
        <f t="shared" si="28"/>
        <v>0</v>
      </c>
      <c r="S362" s="36">
        <f>BASE!A366</f>
        <v>351</v>
      </c>
      <c r="T362" s="46">
        <f t="shared" si="29"/>
        <v>0</v>
      </c>
      <c r="U362" s="46">
        <f t="shared" si="30"/>
        <v>0</v>
      </c>
      <c r="V362" s="46">
        <f t="shared" si="31"/>
        <v>0</v>
      </c>
      <c r="W362" s="46">
        <f t="shared" si="32"/>
        <v>0</v>
      </c>
      <c r="X362" s="46">
        <f t="shared" si="33"/>
        <v>0</v>
      </c>
      <c r="Y362" s="159"/>
    </row>
    <row r="363" spans="1:25" ht="17.25" customHeight="1">
      <c r="A363" s="47" t="str">
        <f>+BASE!B367</f>
        <v>23XXR352</v>
      </c>
      <c r="B363" s="36" t="s">
        <v>40</v>
      </c>
      <c r="C363" s="46">
        <f t="shared" si="23"/>
        <v>0</v>
      </c>
      <c r="D363" s="46">
        <f t="shared" si="24"/>
        <v>0</v>
      </c>
      <c r="E363" s="46">
        <f t="shared" si="25"/>
        <v>0</v>
      </c>
      <c r="F363" s="46">
        <f t="shared" si="26"/>
        <v>0</v>
      </c>
      <c r="G363" s="43">
        <f t="shared" si="27"/>
        <v>0</v>
      </c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4">
        <f t="shared" si="28"/>
        <v>0</v>
      </c>
      <c r="S363" s="36">
        <f>BASE!A367</f>
        <v>352</v>
      </c>
      <c r="T363" s="46">
        <f t="shared" si="29"/>
        <v>0</v>
      </c>
      <c r="U363" s="46">
        <f t="shared" si="30"/>
        <v>0</v>
      </c>
      <c r="V363" s="46">
        <f t="shared" si="31"/>
        <v>0</v>
      </c>
      <c r="W363" s="46">
        <f t="shared" si="32"/>
        <v>0</v>
      </c>
      <c r="X363" s="46">
        <f t="shared" si="33"/>
        <v>0</v>
      </c>
      <c r="Y363" s="159"/>
    </row>
    <row r="364" spans="1:25" ht="17.25" customHeight="1">
      <c r="A364" s="47" t="str">
        <f>+BASE!B368</f>
        <v>23XXR353</v>
      </c>
      <c r="B364" s="36" t="s">
        <v>40</v>
      </c>
      <c r="C364" s="46">
        <f t="shared" si="23"/>
        <v>0</v>
      </c>
      <c r="D364" s="46">
        <f t="shared" si="24"/>
        <v>0</v>
      </c>
      <c r="E364" s="46">
        <f t="shared" si="25"/>
        <v>0</v>
      </c>
      <c r="F364" s="46">
        <f t="shared" si="26"/>
        <v>0</v>
      </c>
      <c r="G364" s="43">
        <f t="shared" si="27"/>
        <v>0</v>
      </c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4">
        <f t="shared" si="28"/>
        <v>0</v>
      </c>
      <c r="S364" s="36">
        <f>BASE!A368</f>
        <v>353</v>
      </c>
      <c r="T364" s="46">
        <f t="shared" si="29"/>
        <v>0</v>
      </c>
      <c r="U364" s="46">
        <f t="shared" si="30"/>
        <v>0</v>
      </c>
      <c r="V364" s="46">
        <f t="shared" si="31"/>
        <v>0</v>
      </c>
      <c r="W364" s="46">
        <f t="shared" si="32"/>
        <v>0</v>
      </c>
      <c r="X364" s="46">
        <f t="shared" si="33"/>
        <v>0</v>
      </c>
      <c r="Y364" s="159"/>
    </row>
    <row r="365" spans="1:25" ht="17.25" customHeight="1">
      <c r="A365" s="47" t="str">
        <f>+BASE!B369</f>
        <v>23XXR354</v>
      </c>
      <c r="B365" s="36" t="s">
        <v>40</v>
      </c>
      <c r="C365" s="46">
        <f t="shared" si="23"/>
        <v>0</v>
      </c>
      <c r="D365" s="46">
        <f t="shared" si="24"/>
        <v>0</v>
      </c>
      <c r="E365" s="46">
        <f t="shared" si="25"/>
        <v>0</v>
      </c>
      <c r="F365" s="46">
        <f t="shared" si="26"/>
        <v>0</v>
      </c>
      <c r="G365" s="43">
        <f t="shared" si="27"/>
        <v>0</v>
      </c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4">
        <f t="shared" si="28"/>
        <v>0</v>
      </c>
      <c r="S365" s="36">
        <f>BASE!A369</f>
        <v>354</v>
      </c>
      <c r="T365" s="46">
        <f t="shared" si="29"/>
        <v>0</v>
      </c>
      <c r="U365" s="46">
        <f t="shared" si="30"/>
        <v>0</v>
      </c>
      <c r="V365" s="46">
        <f t="shared" si="31"/>
        <v>0</v>
      </c>
      <c r="W365" s="46">
        <f t="shared" si="32"/>
        <v>0</v>
      </c>
      <c r="X365" s="46">
        <f t="shared" si="33"/>
        <v>0</v>
      </c>
      <c r="Y365" s="159"/>
    </row>
    <row r="366" spans="1:25" ht="17.25" customHeight="1">
      <c r="A366" s="47" t="str">
        <f>+BASE!B370</f>
        <v>23XXR355</v>
      </c>
      <c r="B366" s="36" t="s">
        <v>40</v>
      </c>
      <c r="C366" s="46">
        <f t="shared" si="23"/>
        <v>0</v>
      </c>
      <c r="D366" s="46">
        <f t="shared" si="24"/>
        <v>0</v>
      </c>
      <c r="E366" s="46">
        <f t="shared" si="25"/>
        <v>0</v>
      </c>
      <c r="F366" s="46">
        <f t="shared" si="26"/>
        <v>0</v>
      </c>
      <c r="G366" s="43">
        <f t="shared" si="27"/>
        <v>0</v>
      </c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4">
        <f t="shared" si="28"/>
        <v>0</v>
      </c>
      <c r="S366" s="36">
        <f>BASE!A370</f>
        <v>355</v>
      </c>
      <c r="T366" s="46">
        <f t="shared" si="29"/>
        <v>0</v>
      </c>
      <c r="U366" s="46">
        <f t="shared" si="30"/>
        <v>0</v>
      </c>
      <c r="V366" s="46">
        <f t="shared" si="31"/>
        <v>0</v>
      </c>
      <c r="W366" s="46">
        <f t="shared" si="32"/>
        <v>0</v>
      </c>
      <c r="X366" s="46">
        <f t="shared" si="33"/>
        <v>0</v>
      </c>
      <c r="Y366" s="159"/>
    </row>
    <row r="367" spans="1:25" ht="17.25" customHeight="1">
      <c r="A367" s="47" t="str">
        <f>+BASE!B371</f>
        <v>23XXR356</v>
      </c>
      <c r="B367" s="36" t="s">
        <v>40</v>
      </c>
      <c r="C367" s="46">
        <f t="shared" si="23"/>
        <v>0</v>
      </c>
      <c r="D367" s="46">
        <f t="shared" si="24"/>
        <v>0</v>
      </c>
      <c r="E367" s="46">
        <f t="shared" si="25"/>
        <v>0</v>
      </c>
      <c r="F367" s="46">
        <f t="shared" si="26"/>
        <v>0</v>
      </c>
      <c r="G367" s="43">
        <f t="shared" si="27"/>
        <v>0</v>
      </c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4">
        <f t="shared" si="28"/>
        <v>0</v>
      </c>
      <c r="S367" s="36">
        <f>BASE!A371</f>
        <v>356</v>
      </c>
      <c r="T367" s="46">
        <f t="shared" si="29"/>
        <v>0</v>
      </c>
      <c r="U367" s="46">
        <f t="shared" si="30"/>
        <v>0</v>
      </c>
      <c r="V367" s="46">
        <f t="shared" si="31"/>
        <v>0</v>
      </c>
      <c r="W367" s="46">
        <f t="shared" si="32"/>
        <v>0</v>
      </c>
      <c r="X367" s="46">
        <f t="shared" si="33"/>
        <v>0</v>
      </c>
      <c r="Y367" s="159"/>
    </row>
    <row r="368" spans="1:25" ht="17.25" customHeight="1">
      <c r="A368" s="47" t="str">
        <f>+BASE!B372</f>
        <v>23XXR357</v>
      </c>
      <c r="B368" s="36" t="s">
        <v>40</v>
      </c>
      <c r="C368" s="46">
        <f t="shared" si="23"/>
        <v>0</v>
      </c>
      <c r="D368" s="46">
        <f t="shared" si="24"/>
        <v>0</v>
      </c>
      <c r="E368" s="46">
        <f t="shared" si="25"/>
        <v>0</v>
      </c>
      <c r="F368" s="46">
        <f t="shared" si="26"/>
        <v>0</v>
      </c>
      <c r="G368" s="43">
        <f t="shared" si="27"/>
        <v>0</v>
      </c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4">
        <f t="shared" si="28"/>
        <v>0</v>
      </c>
      <c r="S368" s="36">
        <f>BASE!A372</f>
        <v>357</v>
      </c>
      <c r="T368" s="46">
        <f t="shared" si="29"/>
        <v>0</v>
      </c>
      <c r="U368" s="46">
        <f t="shared" si="30"/>
        <v>0</v>
      </c>
      <c r="V368" s="46">
        <f t="shared" si="31"/>
        <v>0</v>
      </c>
      <c r="W368" s="46">
        <f t="shared" si="32"/>
        <v>0</v>
      </c>
      <c r="X368" s="46">
        <f t="shared" si="33"/>
        <v>0</v>
      </c>
      <c r="Y368" s="159"/>
    </row>
    <row r="369" spans="1:25" ht="17.25" customHeight="1">
      <c r="A369" s="47" t="str">
        <f>+BASE!B373</f>
        <v>23XXR358</v>
      </c>
      <c r="B369" s="36" t="s">
        <v>40</v>
      </c>
      <c r="C369" s="46">
        <f t="shared" si="23"/>
        <v>0</v>
      </c>
      <c r="D369" s="46">
        <f t="shared" si="24"/>
        <v>0</v>
      </c>
      <c r="E369" s="46">
        <f t="shared" si="25"/>
        <v>0</v>
      </c>
      <c r="F369" s="46">
        <f t="shared" si="26"/>
        <v>0</v>
      </c>
      <c r="G369" s="43">
        <f t="shared" si="27"/>
        <v>0</v>
      </c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4">
        <f t="shared" si="28"/>
        <v>0</v>
      </c>
      <c r="S369" s="36">
        <f>BASE!A373</f>
        <v>358</v>
      </c>
      <c r="T369" s="46">
        <f t="shared" si="29"/>
        <v>0</v>
      </c>
      <c r="U369" s="46">
        <f t="shared" si="30"/>
        <v>0</v>
      </c>
      <c r="V369" s="46">
        <f t="shared" si="31"/>
        <v>0</v>
      </c>
      <c r="W369" s="46">
        <f t="shared" si="32"/>
        <v>0</v>
      </c>
      <c r="X369" s="46">
        <f t="shared" si="33"/>
        <v>0</v>
      </c>
      <c r="Y369" s="159"/>
    </row>
    <row r="370" spans="1:25" ht="17.25" customHeight="1">
      <c r="A370" s="47" t="str">
        <f>+BASE!B374</f>
        <v>23XXR359</v>
      </c>
      <c r="B370" s="36" t="s">
        <v>40</v>
      </c>
      <c r="C370" s="46">
        <f t="shared" si="23"/>
        <v>0</v>
      </c>
      <c r="D370" s="46">
        <f t="shared" si="24"/>
        <v>0</v>
      </c>
      <c r="E370" s="46">
        <f t="shared" si="25"/>
        <v>0</v>
      </c>
      <c r="F370" s="46">
        <f t="shared" si="26"/>
        <v>0</v>
      </c>
      <c r="G370" s="43">
        <f t="shared" si="27"/>
        <v>0</v>
      </c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4">
        <f t="shared" si="28"/>
        <v>0</v>
      </c>
      <c r="S370" s="36">
        <f>BASE!A374</f>
        <v>359</v>
      </c>
      <c r="T370" s="46">
        <f t="shared" si="29"/>
        <v>0</v>
      </c>
      <c r="U370" s="46">
        <f t="shared" si="30"/>
        <v>0</v>
      </c>
      <c r="V370" s="46">
        <f t="shared" si="31"/>
        <v>0</v>
      </c>
      <c r="W370" s="46">
        <f t="shared" si="32"/>
        <v>0</v>
      </c>
      <c r="X370" s="46">
        <f t="shared" si="33"/>
        <v>0</v>
      </c>
      <c r="Y370" s="159"/>
    </row>
    <row r="371" spans="1:25" ht="17.25" customHeight="1">
      <c r="A371" s="47" t="str">
        <f>+BASE!B375</f>
        <v>23XXR360</v>
      </c>
      <c r="B371" s="36" t="s">
        <v>40</v>
      </c>
      <c r="C371" s="46">
        <f t="shared" si="23"/>
        <v>0</v>
      </c>
      <c r="D371" s="46">
        <f t="shared" si="24"/>
        <v>0</v>
      </c>
      <c r="E371" s="46">
        <f t="shared" si="25"/>
        <v>0</v>
      </c>
      <c r="F371" s="46">
        <f t="shared" si="26"/>
        <v>0</v>
      </c>
      <c r="G371" s="43">
        <f t="shared" si="27"/>
        <v>0</v>
      </c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4">
        <f t="shared" si="28"/>
        <v>0</v>
      </c>
      <c r="S371" s="36">
        <f>BASE!A375</f>
        <v>360</v>
      </c>
      <c r="T371" s="46">
        <f t="shared" si="29"/>
        <v>0</v>
      </c>
      <c r="U371" s="46">
        <f t="shared" si="30"/>
        <v>0</v>
      </c>
      <c r="V371" s="46">
        <f t="shared" si="31"/>
        <v>0</v>
      </c>
      <c r="W371" s="46">
        <f t="shared" si="32"/>
        <v>0</v>
      </c>
      <c r="X371" s="46">
        <f t="shared" si="33"/>
        <v>0</v>
      </c>
      <c r="Y371" s="159"/>
    </row>
    <row r="372" spans="1:25" ht="17.25" customHeight="1">
      <c r="A372" s="47" t="str">
        <f>+BASE!B376</f>
        <v>23XXR361</v>
      </c>
      <c r="B372" s="36" t="s">
        <v>40</v>
      </c>
      <c r="C372" s="46">
        <f t="shared" si="23"/>
        <v>0</v>
      </c>
      <c r="D372" s="46">
        <f t="shared" si="24"/>
        <v>0</v>
      </c>
      <c r="E372" s="46">
        <f t="shared" si="25"/>
        <v>0</v>
      </c>
      <c r="F372" s="46">
        <f t="shared" si="26"/>
        <v>0</v>
      </c>
      <c r="G372" s="43">
        <f t="shared" si="27"/>
        <v>0</v>
      </c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4">
        <f t="shared" si="28"/>
        <v>0</v>
      </c>
      <c r="S372" s="36">
        <f>BASE!A376</f>
        <v>361</v>
      </c>
      <c r="T372" s="46">
        <f t="shared" si="29"/>
        <v>0</v>
      </c>
      <c r="U372" s="46">
        <f t="shared" si="30"/>
        <v>0</v>
      </c>
      <c r="V372" s="46">
        <f t="shared" si="31"/>
        <v>0</v>
      </c>
      <c r="W372" s="46">
        <f t="shared" si="32"/>
        <v>0</v>
      </c>
      <c r="X372" s="46">
        <f t="shared" si="33"/>
        <v>0</v>
      </c>
      <c r="Y372" s="159"/>
    </row>
    <row r="373" spans="1:25" ht="17.25" customHeight="1">
      <c r="A373" s="47" t="str">
        <f>+BASE!B377</f>
        <v>23XXR362</v>
      </c>
      <c r="B373" s="36" t="s">
        <v>40</v>
      </c>
      <c r="C373" s="46">
        <f t="shared" si="23"/>
        <v>0</v>
      </c>
      <c r="D373" s="46">
        <f t="shared" si="24"/>
        <v>0</v>
      </c>
      <c r="E373" s="46">
        <f t="shared" si="25"/>
        <v>0</v>
      </c>
      <c r="F373" s="46">
        <f t="shared" si="26"/>
        <v>0</v>
      </c>
      <c r="G373" s="43">
        <f t="shared" si="27"/>
        <v>0</v>
      </c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4">
        <f t="shared" si="28"/>
        <v>0</v>
      </c>
      <c r="S373" s="36">
        <f>BASE!A377</f>
        <v>362</v>
      </c>
      <c r="T373" s="46">
        <f t="shared" si="29"/>
        <v>0</v>
      </c>
      <c r="U373" s="46">
        <f t="shared" si="30"/>
        <v>0</v>
      </c>
      <c r="V373" s="46">
        <f t="shared" si="31"/>
        <v>0</v>
      </c>
      <c r="W373" s="46">
        <f t="shared" si="32"/>
        <v>0</v>
      </c>
      <c r="X373" s="46">
        <f t="shared" si="33"/>
        <v>0</v>
      </c>
      <c r="Y373" s="159"/>
    </row>
    <row r="374" spans="1:25" ht="17.25" customHeight="1">
      <c r="A374" s="47" t="str">
        <f>+BASE!B378</f>
        <v>23XXR363</v>
      </c>
      <c r="B374" s="36" t="s">
        <v>40</v>
      </c>
      <c r="C374" s="46">
        <f t="shared" si="23"/>
        <v>0</v>
      </c>
      <c r="D374" s="46">
        <f t="shared" si="24"/>
        <v>0</v>
      </c>
      <c r="E374" s="46">
        <f t="shared" si="25"/>
        <v>0</v>
      </c>
      <c r="F374" s="46">
        <f t="shared" si="26"/>
        <v>0</v>
      </c>
      <c r="G374" s="43">
        <f t="shared" si="27"/>
        <v>0</v>
      </c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4">
        <f t="shared" si="28"/>
        <v>0</v>
      </c>
      <c r="S374" s="36">
        <f>BASE!A378</f>
        <v>363</v>
      </c>
      <c r="T374" s="46">
        <f t="shared" si="29"/>
        <v>0</v>
      </c>
      <c r="U374" s="46">
        <f t="shared" si="30"/>
        <v>0</v>
      </c>
      <c r="V374" s="46">
        <f t="shared" si="31"/>
        <v>0</v>
      </c>
      <c r="W374" s="46">
        <f t="shared" si="32"/>
        <v>0</v>
      </c>
      <c r="X374" s="46">
        <f t="shared" si="33"/>
        <v>0</v>
      </c>
      <c r="Y374" s="159"/>
    </row>
    <row r="375" spans="1:25" ht="17.25" customHeight="1">
      <c r="A375" s="47" t="str">
        <f>+BASE!B379</f>
        <v>23XXR364</v>
      </c>
      <c r="B375" s="36" t="s">
        <v>40</v>
      </c>
      <c r="C375" s="46">
        <f t="shared" si="23"/>
        <v>0</v>
      </c>
      <c r="D375" s="46">
        <f t="shared" si="24"/>
        <v>0</v>
      </c>
      <c r="E375" s="46">
        <f t="shared" si="25"/>
        <v>0</v>
      </c>
      <c r="F375" s="46">
        <f t="shared" si="26"/>
        <v>0</v>
      </c>
      <c r="G375" s="43">
        <f t="shared" si="27"/>
        <v>0</v>
      </c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4">
        <f t="shared" si="28"/>
        <v>0</v>
      </c>
      <c r="S375" s="36">
        <f>BASE!A379</f>
        <v>364</v>
      </c>
      <c r="T375" s="46">
        <f t="shared" si="29"/>
        <v>0</v>
      </c>
      <c r="U375" s="46">
        <f t="shared" si="30"/>
        <v>0</v>
      </c>
      <c r="V375" s="46">
        <f t="shared" si="31"/>
        <v>0</v>
      </c>
      <c r="W375" s="46">
        <f t="shared" si="32"/>
        <v>0</v>
      </c>
      <c r="X375" s="46">
        <f t="shared" si="33"/>
        <v>0</v>
      </c>
      <c r="Y375" s="159"/>
    </row>
    <row r="376" spans="1:25" ht="17.25" customHeight="1">
      <c r="A376" s="47" t="str">
        <f>+BASE!B380</f>
        <v>23XXR365</v>
      </c>
      <c r="B376" s="36" t="s">
        <v>40</v>
      </c>
      <c r="C376" s="46">
        <f t="shared" si="23"/>
        <v>0</v>
      </c>
      <c r="D376" s="46">
        <f t="shared" si="24"/>
        <v>0</v>
      </c>
      <c r="E376" s="46">
        <f t="shared" si="25"/>
        <v>0</v>
      </c>
      <c r="F376" s="46">
        <f t="shared" si="26"/>
        <v>0</v>
      </c>
      <c r="G376" s="43">
        <f t="shared" si="27"/>
        <v>0</v>
      </c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4">
        <f t="shared" si="28"/>
        <v>0</v>
      </c>
      <c r="S376" s="36">
        <f>BASE!A380</f>
        <v>365</v>
      </c>
      <c r="T376" s="46">
        <f t="shared" si="29"/>
        <v>0</v>
      </c>
      <c r="U376" s="46">
        <f t="shared" si="30"/>
        <v>0</v>
      </c>
      <c r="V376" s="46">
        <f t="shared" si="31"/>
        <v>0</v>
      </c>
      <c r="W376" s="46">
        <f t="shared" si="32"/>
        <v>0</v>
      </c>
      <c r="X376" s="46">
        <f t="shared" si="33"/>
        <v>0</v>
      </c>
      <c r="Y376" s="159"/>
    </row>
    <row r="377" spans="1:25" ht="17.25" customHeight="1">
      <c r="A377" s="47" t="str">
        <f>+BASE!B381</f>
        <v>23XXR366</v>
      </c>
      <c r="B377" s="36" t="s">
        <v>40</v>
      </c>
      <c r="C377" s="46">
        <f t="shared" si="23"/>
        <v>0</v>
      </c>
      <c r="D377" s="46">
        <f t="shared" si="24"/>
        <v>0</v>
      </c>
      <c r="E377" s="46">
        <f t="shared" si="25"/>
        <v>0</v>
      </c>
      <c r="F377" s="46">
        <f t="shared" si="26"/>
        <v>0</v>
      </c>
      <c r="G377" s="43">
        <f t="shared" si="27"/>
        <v>0</v>
      </c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4">
        <f t="shared" si="28"/>
        <v>0</v>
      </c>
      <c r="S377" s="36">
        <f>BASE!A381</f>
        <v>366</v>
      </c>
      <c r="T377" s="46">
        <f t="shared" si="29"/>
        <v>0</v>
      </c>
      <c r="U377" s="46">
        <f t="shared" si="30"/>
        <v>0</v>
      </c>
      <c r="V377" s="46">
        <f t="shared" si="31"/>
        <v>0</v>
      </c>
      <c r="W377" s="46">
        <f t="shared" si="32"/>
        <v>0</v>
      </c>
      <c r="X377" s="46">
        <f t="shared" si="33"/>
        <v>0</v>
      </c>
      <c r="Y377" s="159"/>
    </row>
    <row r="378" spans="1:25" ht="17.25" customHeight="1">
      <c r="A378" s="47" t="str">
        <f>+BASE!B382</f>
        <v>23XXR367</v>
      </c>
      <c r="B378" s="36" t="s">
        <v>40</v>
      </c>
      <c r="C378" s="46">
        <f t="shared" si="23"/>
        <v>0</v>
      </c>
      <c r="D378" s="46">
        <f t="shared" si="24"/>
        <v>0</v>
      </c>
      <c r="E378" s="46">
        <f t="shared" si="25"/>
        <v>0</v>
      </c>
      <c r="F378" s="46">
        <f t="shared" si="26"/>
        <v>0</v>
      </c>
      <c r="G378" s="43">
        <f t="shared" si="27"/>
        <v>0</v>
      </c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4">
        <f t="shared" si="28"/>
        <v>0</v>
      </c>
      <c r="S378" s="36">
        <f>BASE!A382</f>
        <v>367</v>
      </c>
      <c r="T378" s="46">
        <f t="shared" si="29"/>
        <v>0</v>
      </c>
      <c r="U378" s="46">
        <f t="shared" si="30"/>
        <v>0</v>
      </c>
      <c r="V378" s="46">
        <f t="shared" si="31"/>
        <v>0</v>
      </c>
      <c r="W378" s="46">
        <f t="shared" si="32"/>
        <v>0</v>
      </c>
      <c r="X378" s="46">
        <f t="shared" si="33"/>
        <v>0</v>
      </c>
      <c r="Y378" s="159"/>
    </row>
    <row r="379" spans="1:25" ht="17.25" customHeight="1">
      <c r="A379" s="47" t="str">
        <f>+BASE!B383</f>
        <v>23XXR368</v>
      </c>
      <c r="B379" s="36" t="s">
        <v>40</v>
      </c>
      <c r="C379" s="46">
        <f t="shared" si="23"/>
        <v>0</v>
      </c>
      <c r="D379" s="46">
        <f t="shared" si="24"/>
        <v>0</v>
      </c>
      <c r="E379" s="46">
        <f t="shared" si="25"/>
        <v>0</v>
      </c>
      <c r="F379" s="46">
        <f t="shared" si="26"/>
        <v>0</v>
      </c>
      <c r="G379" s="43">
        <f t="shared" si="27"/>
        <v>0</v>
      </c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4">
        <f t="shared" si="28"/>
        <v>0</v>
      </c>
      <c r="S379" s="36">
        <f>BASE!A383</f>
        <v>368</v>
      </c>
      <c r="T379" s="46">
        <f t="shared" si="29"/>
        <v>0</v>
      </c>
      <c r="U379" s="46">
        <f t="shared" si="30"/>
        <v>0</v>
      </c>
      <c r="V379" s="46">
        <f t="shared" si="31"/>
        <v>0</v>
      </c>
      <c r="W379" s="46">
        <f t="shared" si="32"/>
        <v>0</v>
      </c>
      <c r="X379" s="46">
        <f t="shared" si="33"/>
        <v>0</v>
      </c>
      <c r="Y379" s="159"/>
    </row>
    <row r="380" spans="1:25" ht="17.25" customHeight="1">
      <c r="A380" s="47" t="str">
        <f>+BASE!B384</f>
        <v>23XXR369</v>
      </c>
      <c r="B380" s="36" t="s">
        <v>40</v>
      </c>
      <c r="C380" s="46">
        <f t="shared" si="23"/>
        <v>0</v>
      </c>
      <c r="D380" s="46">
        <f t="shared" si="24"/>
        <v>0</v>
      </c>
      <c r="E380" s="46">
        <f t="shared" si="25"/>
        <v>0</v>
      </c>
      <c r="F380" s="46">
        <f t="shared" si="26"/>
        <v>0</v>
      </c>
      <c r="G380" s="43">
        <f t="shared" si="27"/>
        <v>0</v>
      </c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4">
        <f t="shared" si="28"/>
        <v>0</v>
      </c>
      <c r="S380" s="36">
        <f>BASE!A384</f>
        <v>369</v>
      </c>
      <c r="T380" s="46">
        <f t="shared" si="29"/>
        <v>0</v>
      </c>
      <c r="U380" s="46">
        <f t="shared" si="30"/>
        <v>0</v>
      </c>
      <c r="V380" s="46">
        <f t="shared" si="31"/>
        <v>0</v>
      </c>
      <c r="W380" s="46">
        <f t="shared" si="32"/>
        <v>0</v>
      </c>
      <c r="X380" s="46">
        <f t="shared" si="33"/>
        <v>0</v>
      </c>
      <c r="Y380" s="159"/>
    </row>
    <row r="381" spans="1:25" ht="17.25" customHeight="1">
      <c r="A381" s="47" t="str">
        <f>+BASE!B385</f>
        <v>23XXR370</v>
      </c>
      <c r="B381" s="36" t="s">
        <v>40</v>
      </c>
      <c r="C381" s="46">
        <f t="shared" ref="C381:C444" si="34">IF($N$7="2T+1P", Y381/5, IF($N$7="3T+1P",Y381/5, IF($N$7="3.5T+0.5P",Y381/5, " ")))</f>
        <v>0</v>
      </c>
      <c r="D381" s="46">
        <f t="shared" ref="D381:D444" si="35">IF($N$7="2T+1P", Y381/5, IF($N$7="3T+1P",Y381/5, IF($N$7="3.5T+0.5P",Y381/5, " ")))</f>
        <v>0</v>
      </c>
      <c r="E381" s="46">
        <f t="shared" ref="E381:E444" si="36">IF($N$7="2T+1P", Y381/5, IF($N$7="3T+1P",Y381/5, IF($N$7="3.5T+0.5P",Y381/5, " ")))</f>
        <v>0</v>
      </c>
      <c r="F381" s="46">
        <f t="shared" ref="F381:F444" si="37">IF($N$7="2T+1P", Y381/5, IF($N$7="3T+1P",Y381/5, IF($N$7="3.5T+0.5P",Y381/5, " ")))</f>
        <v>0</v>
      </c>
      <c r="G381" s="43">
        <f t="shared" ref="G381:G444" si="38">IF($N$7="2T+1P", Y381/5, IF($N$7="3T+1P",Y381/5, IF($N$7="3.5T+0.5P",Y381/5, " ")))</f>
        <v>0</v>
      </c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4">
        <f t="shared" ref="R381:R444" si="39">SUM(C381:Q381)</f>
        <v>0</v>
      </c>
      <c r="S381" s="36">
        <f>BASE!A385</f>
        <v>370</v>
      </c>
      <c r="T381" s="46">
        <f t="shared" ref="T381:T444" si="40">SUMIF($C$11:$Q$11,1,C381:Q381)</f>
        <v>0</v>
      </c>
      <c r="U381" s="46">
        <f t="shared" ref="U381:U444" si="41">SUMIF($C$11:$Q$11,2,C381:Q381)</f>
        <v>0</v>
      </c>
      <c r="V381" s="46">
        <f t="shared" ref="V381:V444" si="42">SUMIF($C$11:$Q$11,3,C381:Q381)</f>
        <v>0</v>
      </c>
      <c r="W381" s="46">
        <f t="shared" ref="W381:W444" si="43">SUMIF($C$11:$Q$11,4,C381:Q381)</f>
        <v>0</v>
      </c>
      <c r="X381" s="46">
        <f t="shared" ref="X381:X444" si="44">SUMIF($C$11:$Q$11,5,C381:Q381)</f>
        <v>0</v>
      </c>
      <c r="Y381" s="159"/>
    </row>
    <row r="382" spans="1:25" ht="17.25" customHeight="1">
      <c r="A382" s="47" t="str">
        <f>+BASE!B386</f>
        <v>23XXR371</v>
      </c>
      <c r="B382" s="36" t="s">
        <v>40</v>
      </c>
      <c r="C382" s="46">
        <f t="shared" si="34"/>
        <v>0</v>
      </c>
      <c r="D382" s="46">
        <f t="shared" si="35"/>
        <v>0</v>
      </c>
      <c r="E382" s="46">
        <f t="shared" si="36"/>
        <v>0</v>
      </c>
      <c r="F382" s="46">
        <f t="shared" si="37"/>
        <v>0</v>
      </c>
      <c r="G382" s="43">
        <f t="shared" si="38"/>
        <v>0</v>
      </c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4">
        <f t="shared" si="39"/>
        <v>0</v>
      </c>
      <c r="S382" s="36">
        <f>BASE!A386</f>
        <v>371</v>
      </c>
      <c r="T382" s="46">
        <f t="shared" si="40"/>
        <v>0</v>
      </c>
      <c r="U382" s="46">
        <f t="shared" si="41"/>
        <v>0</v>
      </c>
      <c r="V382" s="46">
        <f t="shared" si="42"/>
        <v>0</v>
      </c>
      <c r="W382" s="46">
        <f t="shared" si="43"/>
        <v>0</v>
      </c>
      <c r="X382" s="46">
        <f t="shared" si="44"/>
        <v>0</v>
      </c>
      <c r="Y382" s="159"/>
    </row>
    <row r="383" spans="1:25" ht="17.25" customHeight="1">
      <c r="A383" s="47" t="str">
        <f>+BASE!B387</f>
        <v>23XXR372</v>
      </c>
      <c r="B383" s="36" t="s">
        <v>40</v>
      </c>
      <c r="C383" s="46">
        <f t="shared" si="34"/>
        <v>0</v>
      </c>
      <c r="D383" s="46">
        <f t="shared" si="35"/>
        <v>0</v>
      </c>
      <c r="E383" s="46">
        <f t="shared" si="36"/>
        <v>0</v>
      </c>
      <c r="F383" s="46">
        <f t="shared" si="37"/>
        <v>0</v>
      </c>
      <c r="G383" s="43">
        <f t="shared" si="38"/>
        <v>0</v>
      </c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4">
        <f t="shared" si="39"/>
        <v>0</v>
      </c>
      <c r="S383" s="36">
        <f>BASE!A387</f>
        <v>372</v>
      </c>
      <c r="T383" s="46">
        <f t="shared" si="40"/>
        <v>0</v>
      </c>
      <c r="U383" s="46">
        <f t="shared" si="41"/>
        <v>0</v>
      </c>
      <c r="V383" s="46">
        <f t="shared" si="42"/>
        <v>0</v>
      </c>
      <c r="W383" s="46">
        <f t="shared" si="43"/>
        <v>0</v>
      </c>
      <c r="X383" s="46">
        <f t="shared" si="44"/>
        <v>0</v>
      </c>
      <c r="Y383" s="159"/>
    </row>
    <row r="384" spans="1:25" ht="17.25" customHeight="1">
      <c r="A384" s="47" t="str">
        <f>+BASE!B388</f>
        <v>23XXR373</v>
      </c>
      <c r="B384" s="36" t="s">
        <v>40</v>
      </c>
      <c r="C384" s="46">
        <f t="shared" si="34"/>
        <v>0</v>
      </c>
      <c r="D384" s="46">
        <f t="shared" si="35"/>
        <v>0</v>
      </c>
      <c r="E384" s="46">
        <f t="shared" si="36"/>
        <v>0</v>
      </c>
      <c r="F384" s="46">
        <f t="shared" si="37"/>
        <v>0</v>
      </c>
      <c r="G384" s="43">
        <f t="shared" si="38"/>
        <v>0</v>
      </c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4">
        <f t="shared" si="39"/>
        <v>0</v>
      </c>
      <c r="S384" s="36">
        <f>BASE!A388</f>
        <v>373</v>
      </c>
      <c r="T384" s="46">
        <f t="shared" si="40"/>
        <v>0</v>
      </c>
      <c r="U384" s="46">
        <f t="shared" si="41"/>
        <v>0</v>
      </c>
      <c r="V384" s="46">
        <f t="shared" si="42"/>
        <v>0</v>
      </c>
      <c r="W384" s="46">
        <f t="shared" si="43"/>
        <v>0</v>
      </c>
      <c r="X384" s="46">
        <f t="shared" si="44"/>
        <v>0</v>
      </c>
      <c r="Y384" s="159"/>
    </row>
    <row r="385" spans="1:25" ht="17.25" customHeight="1">
      <c r="A385" s="47" t="str">
        <f>+BASE!B389</f>
        <v>23XXR374</v>
      </c>
      <c r="B385" s="36" t="s">
        <v>40</v>
      </c>
      <c r="C385" s="46">
        <f t="shared" si="34"/>
        <v>0</v>
      </c>
      <c r="D385" s="46">
        <f t="shared" si="35"/>
        <v>0</v>
      </c>
      <c r="E385" s="46">
        <f t="shared" si="36"/>
        <v>0</v>
      </c>
      <c r="F385" s="46">
        <f t="shared" si="37"/>
        <v>0</v>
      </c>
      <c r="G385" s="43">
        <f t="shared" si="38"/>
        <v>0</v>
      </c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4">
        <f t="shared" si="39"/>
        <v>0</v>
      </c>
      <c r="S385" s="36">
        <f>BASE!A389</f>
        <v>374</v>
      </c>
      <c r="T385" s="46">
        <f t="shared" si="40"/>
        <v>0</v>
      </c>
      <c r="U385" s="46">
        <f t="shared" si="41"/>
        <v>0</v>
      </c>
      <c r="V385" s="46">
        <f t="shared" si="42"/>
        <v>0</v>
      </c>
      <c r="W385" s="46">
        <f t="shared" si="43"/>
        <v>0</v>
      </c>
      <c r="X385" s="46">
        <f t="shared" si="44"/>
        <v>0</v>
      </c>
      <c r="Y385" s="159"/>
    </row>
    <row r="386" spans="1:25" ht="17.25" customHeight="1">
      <c r="A386" s="47" t="str">
        <f>+BASE!B390</f>
        <v>23XXR375</v>
      </c>
      <c r="B386" s="36" t="s">
        <v>40</v>
      </c>
      <c r="C386" s="46">
        <f t="shared" si="34"/>
        <v>0</v>
      </c>
      <c r="D386" s="46">
        <f t="shared" si="35"/>
        <v>0</v>
      </c>
      <c r="E386" s="46">
        <f t="shared" si="36"/>
        <v>0</v>
      </c>
      <c r="F386" s="46">
        <f t="shared" si="37"/>
        <v>0</v>
      </c>
      <c r="G386" s="43">
        <f t="shared" si="38"/>
        <v>0</v>
      </c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4">
        <f t="shared" si="39"/>
        <v>0</v>
      </c>
      <c r="S386" s="36">
        <f>BASE!A390</f>
        <v>375</v>
      </c>
      <c r="T386" s="46">
        <f t="shared" si="40"/>
        <v>0</v>
      </c>
      <c r="U386" s="46">
        <f t="shared" si="41"/>
        <v>0</v>
      </c>
      <c r="V386" s="46">
        <f t="shared" si="42"/>
        <v>0</v>
      </c>
      <c r="W386" s="46">
        <f t="shared" si="43"/>
        <v>0</v>
      </c>
      <c r="X386" s="46">
        <f t="shared" si="44"/>
        <v>0</v>
      </c>
      <c r="Y386" s="159"/>
    </row>
    <row r="387" spans="1:25" ht="17.25" customHeight="1">
      <c r="A387" s="47" t="str">
        <f>+BASE!B391</f>
        <v>23XXR376</v>
      </c>
      <c r="B387" s="36" t="s">
        <v>40</v>
      </c>
      <c r="C387" s="46">
        <f t="shared" si="34"/>
        <v>0</v>
      </c>
      <c r="D387" s="46">
        <f t="shared" si="35"/>
        <v>0</v>
      </c>
      <c r="E387" s="46">
        <f t="shared" si="36"/>
        <v>0</v>
      </c>
      <c r="F387" s="46">
        <f t="shared" si="37"/>
        <v>0</v>
      </c>
      <c r="G387" s="43">
        <f t="shared" si="38"/>
        <v>0</v>
      </c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4">
        <f t="shared" si="39"/>
        <v>0</v>
      </c>
      <c r="S387" s="36">
        <f>BASE!A391</f>
        <v>376</v>
      </c>
      <c r="T387" s="46">
        <f t="shared" si="40"/>
        <v>0</v>
      </c>
      <c r="U387" s="46">
        <f t="shared" si="41"/>
        <v>0</v>
      </c>
      <c r="V387" s="46">
        <f t="shared" si="42"/>
        <v>0</v>
      </c>
      <c r="W387" s="46">
        <f t="shared" si="43"/>
        <v>0</v>
      </c>
      <c r="X387" s="46">
        <f t="shared" si="44"/>
        <v>0</v>
      </c>
      <c r="Y387" s="159"/>
    </row>
    <row r="388" spans="1:25" ht="17.25" customHeight="1">
      <c r="A388" s="47" t="str">
        <f>+BASE!B392</f>
        <v>23XXR377</v>
      </c>
      <c r="B388" s="36" t="s">
        <v>40</v>
      </c>
      <c r="C388" s="46">
        <f t="shared" si="34"/>
        <v>0</v>
      </c>
      <c r="D388" s="46">
        <f t="shared" si="35"/>
        <v>0</v>
      </c>
      <c r="E388" s="46">
        <f t="shared" si="36"/>
        <v>0</v>
      </c>
      <c r="F388" s="46">
        <f t="shared" si="37"/>
        <v>0</v>
      </c>
      <c r="G388" s="43">
        <f t="shared" si="38"/>
        <v>0</v>
      </c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4">
        <f t="shared" si="39"/>
        <v>0</v>
      </c>
      <c r="S388" s="36">
        <f>BASE!A392</f>
        <v>377</v>
      </c>
      <c r="T388" s="46">
        <f t="shared" si="40"/>
        <v>0</v>
      </c>
      <c r="U388" s="46">
        <f t="shared" si="41"/>
        <v>0</v>
      </c>
      <c r="V388" s="46">
        <f t="shared" si="42"/>
        <v>0</v>
      </c>
      <c r="W388" s="46">
        <f t="shared" si="43"/>
        <v>0</v>
      </c>
      <c r="X388" s="46">
        <f t="shared" si="44"/>
        <v>0</v>
      </c>
      <c r="Y388" s="159"/>
    </row>
    <row r="389" spans="1:25" ht="17.25" customHeight="1">
      <c r="A389" s="47" t="str">
        <f>+BASE!B393</f>
        <v>23XXR378</v>
      </c>
      <c r="B389" s="36" t="s">
        <v>40</v>
      </c>
      <c r="C389" s="46">
        <f t="shared" si="34"/>
        <v>0</v>
      </c>
      <c r="D389" s="46">
        <f t="shared" si="35"/>
        <v>0</v>
      </c>
      <c r="E389" s="46">
        <f t="shared" si="36"/>
        <v>0</v>
      </c>
      <c r="F389" s="46">
        <f t="shared" si="37"/>
        <v>0</v>
      </c>
      <c r="G389" s="43">
        <f t="shared" si="38"/>
        <v>0</v>
      </c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4">
        <f t="shared" si="39"/>
        <v>0</v>
      </c>
      <c r="S389" s="36">
        <f>BASE!A393</f>
        <v>378</v>
      </c>
      <c r="T389" s="46">
        <f t="shared" si="40"/>
        <v>0</v>
      </c>
      <c r="U389" s="46">
        <f t="shared" si="41"/>
        <v>0</v>
      </c>
      <c r="V389" s="46">
        <f t="shared" si="42"/>
        <v>0</v>
      </c>
      <c r="W389" s="46">
        <f t="shared" si="43"/>
        <v>0</v>
      </c>
      <c r="X389" s="46">
        <f t="shared" si="44"/>
        <v>0</v>
      </c>
      <c r="Y389" s="159"/>
    </row>
    <row r="390" spans="1:25" ht="17.25" customHeight="1">
      <c r="A390" s="47" t="str">
        <f>+BASE!B394</f>
        <v>23XXR379</v>
      </c>
      <c r="B390" s="36" t="s">
        <v>40</v>
      </c>
      <c r="C390" s="46">
        <f t="shared" si="34"/>
        <v>0</v>
      </c>
      <c r="D390" s="46">
        <f t="shared" si="35"/>
        <v>0</v>
      </c>
      <c r="E390" s="46">
        <f t="shared" si="36"/>
        <v>0</v>
      </c>
      <c r="F390" s="46">
        <f t="shared" si="37"/>
        <v>0</v>
      </c>
      <c r="G390" s="43">
        <f t="shared" si="38"/>
        <v>0</v>
      </c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4">
        <f t="shared" si="39"/>
        <v>0</v>
      </c>
      <c r="S390" s="36">
        <f>BASE!A394</f>
        <v>379</v>
      </c>
      <c r="T390" s="46">
        <f t="shared" si="40"/>
        <v>0</v>
      </c>
      <c r="U390" s="46">
        <f t="shared" si="41"/>
        <v>0</v>
      </c>
      <c r="V390" s="46">
        <f t="shared" si="42"/>
        <v>0</v>
      </c>
      <c r="W390" s="46">
        <f t="shared" si="43"/>
        <v>0</v>
      </c>
      <c r="X390" s="46">
        <f t="shared" si="44"/>
        <v>0</v>
      </c>
      <c r="Y390" s="159"/>
    </row>
    <row r="391" spans="1:25" ht="17.25" customHeight="1">
      <c r="A391" s="47" t="str">
        <f>+BASE!B395</f>
        <v>23XXR380</v>
      </c>
      <c r="B391" s="36" t="s">
        <v>40</v>
      </c>
      <c r="C391" s="46">
        <f t="shared" si="34"/>
        <v>0</v>
      </c>
      <c r="D391" s="46">
        <f t="shared" si="35"/>
        <v>0</v>
      </c>
      <c r="E391" s="46">
        <f t="shared" si="36"/>
        <v>0</v>
      </c>
      <c r="F391" s="46">
        <f t="shared" si="37"/>
        <v>0</v>
      </c>
      <c r="G391" s="43">
        <f t="shared" si="38"/>
        <v>0</v>
      </c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4">
        <f t="shared" si="39"/>
        <v>0</v>
      </c>
      <c r="S391" s="36">
        <f>BASE!A395</f>
        <v>380</v>
      </c>
      <c r="T391" s="46">
        <f t="shared" si="40"/>
        <v>0</v>
      </c>
      <c r="U391" s="46">
        <f t="shared" si="41"/>
        <v>0</v>
      </c>
      <c r="V391" s="46">
        <f t="shared" si="42"/>
        <v>0</v>
      </c>
      <c r="W391" s="46">
        <f t="shared" si="43"/>
        <v>0</v>
      </c>
      <c r="X391" s="46">
        <f t="shared" si="44"/>
        <v>0</v>
      </c>
      <c r="Y391" s="159"/>
    </row>
    <row r="392" spans="1:25" ht="17.25" customHeight="1">
      <c r="A392" s="47" t="str">
        <f>+BASE!B396</f>
        <v>23XXR381</v>
      </c>
      <c r="B392" s="36" t="s">
        <v>40</v>
      </c>
      <c r="C392" s="46">
        <f t="shared" si="34"/>
        <v>0</v>
      </c>
      <c r="D392" s="46">
        <f t="shared" si="35"/>
        <v>0</v>
      </c>
      <c r="E392" s="46">
        <f t="shared" si="36"/>
        <v>0</v>
      </c>
      <c r="F392" s="46">
        <f t="shared" si="37"/>
        <v>0</v>
      </c>
      <c r="G392" s="43">
        <f t="shared" si="38"/>
        <v>0</v>
      </c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4">
        <f t="shared" si="39"/>
        <v>0</v>
      </c>
      <c r="S392" s="36">
        <f>BASE!A396</f>
        <v>381</v>
      </c>
      <c r="T392" s="46">
        <f t="shared" si="40"/>
        <v>0</v>
      </c>
      <c r="U392" s="46">
        <f t="shared" si="41"/>
        <v>0</v>
      </c>
      <c r="V392" s="46">
        <f t="shared" si="42"/>
        <v>0</v>
      </c>
      <c r="W392" s="46">
        <f t="shared" si="43"/>
        <v>0</v>
      </c>
      <c r="X392" s="46">
        <f t="shared" si="44"/>
        <v>0</v>
      </c>
      <c r="Y392" s="159"/>
    </row>
    <row r="393" spans="1:25" ht="17.25" customHeight="1">
      <c r="A393" s="47" t="str">
        <f>+BASE!B397</f>
        <v>23XXR382</v>
      </c>
      <c r="B393" s="36" t="s">
        <v>40</v>
      </c>
      <c r="C393" s="46">
        <f t="shared" si="34"/>
        <v>0</v>
      </c>
      <c r="D393" s="46">
        <f t="shared" si="35"/>
        <v>0</v>
      </c>
      <c r="E393" s="46">
        <f t="shared" si="36"/>
        <v>0</v>
      </c>
      <c r="F393" s="46">
        <f t="shared" si="37"/>
        <v>0</v>
      </c>
      <c r="G393" s="43">
        <f t="shared" si="38"/>
        <v>0</v>
      </c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4">
        <f t="shared" si="39"/>
        <v>0</v>
      </c>
      <c r="S393" s="36">
        <f>BASE!A397</f>
        <v>382</v>
      </c>
      <c r="T393" s="46">
        <f t="shared" si="40"/>
        <v>0</v>
      </c>
      <c r="U393" s="46">
        <f t="shared" si="41"/>
        <v>0</v>
      </c>
      <c r="V393" s="46">
        <f t="shared" si="42"/>
        <v>0</v>
      </c>
      <c r="W393" s="46">
        <f t="shared" si="43"/>
        <v>0</v>
      </c>
      <c r="X393" s="46">
        <f t="shared" si="44"/>
        <v>0</v>
      </c>
      <c r="Y393" s="159"/>
    </row>
    <row r="394" spans="1:25" ht="17.25" customHeight="1">
      <c r="A394" s="47" t="str">
        <f>+BASE!B398</f>
        <v>23XXR383</v>
      </c>
      <c r="B394" s="36" t="s">
        <v>40</v>
      </c>
      <c r="C394" s="46">
        <f t="shared" si="34"/>
        <v>0</v>
      </c>
      <c r="D394" s="46">
        <f t="shared" si="35"/>
        <v>0</v>
      </c>
      <c r="E394" s="46">
        <f t="shared" si="36"/>
        <v>0</v>
      </c>
      <c r="F394" s="46">
        <f t="shared" si="37"/>
        <v>0</v>
      </c>
      <c r="G394" s="43">
        <f t="shared" si="38"/>
        <v>0</v>
      </c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4">
        <f t="shared" si="39"/>
        <v>0</v>
      </c>
      <c r="S394" s="36">
        <f>BASE!A398</f>
        <v>383</v>
      </c>
      <c r="T394" s="46">
        <f t="shared" si="40"/>
        <v>0</v>
      </c>
      <c r="U394" s="46">
        <f t="shared" si="41"/>
        <v>0</v>
      </c>
      <c r="V394" s="46">
        <f t="shared" si="42"/>
        <v>0</v>
      </c>
      <c r="W394" s="46">
        <f t="shared" si="43"/>
        <v>0</v>
      </c>
      <c r="X394" s="46">
        <f t="shared" si="44"/>
        <v>0</v>
      </c>
      <c r="Y394" s="159"/>
    </row>
    <row r="395" spans="1:25" ht="17.25" customHeight="1">
      <c r="A395" s="47" t="str">
        <f>+BASE!B399</f>
        <v>23XXR384</v>
      </c>
      <c r="B395" s="36" t="s">
        <v>40</v>
      </c>
      <c r="C395" s="46">
        <f t="shared" si="34"/>
        <v>0</v>
      </c>
      <c r="D395" s="46">
        <f t="shared" si="35"/>
        <v>0</v>
      </c>
      <c r="E395" s="46">
        <f t="shared" si="36"/>
        <v>0</v>
      </c>
      <c r="F395" s="46">
        <f t="shared" si="37"/>
        <v>0</v>
      </c>
      <c r="G395" s="43">
        <f t="shared" si="38"/>
        <v>0</v>
      </c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4">
        <f t="shared" si="39"/>
        <v>0</v>
      </c>
      <c r="S395" s="36">
        <f>BASE!A399</f>
        <v>384</v>
      </c>
      <c r="T395" s="46">
        <f t="shared" si="40"/>
        <v>0</v>
      </c>
      <c r="U395" s="46">
        <f t="shared" si="41"/>
        <v>0</v>
      </c>
      <c r="V395" s="46">
        <f t="shared" si="42"/>
        <v>0</v>
      </c>
      <c r="W395" s="46">
        <f t="shared" si="43"/>
        <v>0</v>
      </c>
      <c r="X395" s="46">
        <f t="shared" si="44"/>
        <v>0</v>
      </c>
      <c r="Y395" s="159"/>
    </row>
    <row r="396" spans="1:25" ht="17.25" customHeight="1">
      <c r="A396" s="47" t="str">
        <f>+BASE!B400</f>
        <v>23XXR385</v>
      </c>
      <c r="B396" s="36" t="s">
        <v>40</v>
      </c>
      <c r="C396" s="46">
        <f t="shared" si="34"/>
        <v>0</v>
      </c>
      <c r="D396" s="46">
        <f t="shared" si="35"/>
        <v>0</v>
      </c>
      <c r="E396" s="46">
        <f t="shared" si="36"/>
        <v>0</v>
      </c>
      <c r="F396" s="46">
        <f t="shared" si="37"/>
        <v>0</v>
      </c>
      <c r="G396" s="43">
        <f t="shared" si="38"/>
        <v>0</v>
      </c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4">
        <f t="shared" si="39"/>
        <v>0</v>
      </c>
      <c r="S396" s="36">
        <f>BASE!A400</f>
        <v>385</v>
      </c>
      <c r="T396" s="46">
        <f t="shared" si="40"/>
        <v>0</v>
      </c>
      <c r="U396" s="46">
        <f t="shared" si="41"/>
        <v>0</v>
      </c>
      <c r="V396" s="46">
        <f t="shared" si="42"/>
        <v>0</v>
      </c>
      <c r="W396" s="46">
        <f t="shared" si="43"/>
        <v>0</v>
      </c>
      <c r="X396" s="46">
        <f t="shared" si="44"/>
        <v>0</v>
      </c>
      <c r="Y396" s="159"/>
    </row>
    <row r="397" spans="1:25" ht="17.25" customHeight="1">
      <c r="A397" s="47" t="str">
        <f>+BASE!B401</f>
        <v>23XXR386</v>
      </c>
      <c r="B397" s="36" t="s">
        <v>40</v>
      </c>
      <c r="C397" s="46">
        <f t="shared" si="34"/>
        <v>0</v>
      </c>
      <c r="D397" s="46">
        <f t="shared" si="35"/>
        <v>0</v>
      </c>
      <c r="E397" s="46">
        <f t="shared" si="36"/>
        <v>0</v>
      </c>
      <c r="F397" s="46">
        <f t="shared" si="37"/>
        <v>0</v>
      </c>
      <c r="G397" s="43">
        <f t="shared" si="38"/>
        <v>0</v>
      </c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4">
        <f t="shared" si="39"/>
        <v>0</v>
      </c>
      <c r="S397" s="36">
        <f>BASE!A401</f>
        <v>386</v>
      </c>
      <c r="T397" s="46">
        <f t="shared" si="40"/>
        <v>0</v>
      </c>
      <c r="U397" s="46">
        <f t="shared" si="41"/>
        <v>0</v>
      </c>
      <c r="V397" s="46">
        <f t="shared" si="42"/>
        <v>0</v>
      </c>
      <c r="W397" s="46">
        <f t="shared" si="43"/>
        <v>0</v>
      </c>
      <c r="X397" s="46">
        <f t="shared" si="44"/>
        <v>0</v>
      </c>
      <c r="Y397" s="159"/>
    </row>
    <row r="398" spans="1:25" ht="17.25" customHeight="1">
      <c r="A398" s="47" t="str">
        <f>+BASE!B402</f>
        <v>23XXR387</v>
      </c>
      <c r="B398" s="36" t="s">
        <v>40</v>
      </c>
      <c r="C398" s="46">
        <f t="shared" si="34"/>
        <v>0</v>
      </c>
      <c r="D398" s="46">
        <f t="shared" si="35"/>
        <v>0</v>
      </c>
      <c r="E398" s="46">
        <f t="shared" si="36"/>
        <v>0</v>
      </c>
      <c r="F398" s="46">
        <f t="shared" si="37"/>
        <v>0</v>
      </c>
      <c r="G398" s="43">
        <f t="shared" si="38"/>
        <v>0</v>
      </c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4">
        <f t="shared" si="39"/>
        <v>0</v>
      </c>
      <c r="S398" s="36">
        <f>BASE!A402</f>
        <v>387</v>
      </c>
      <c r="T398" s="46">
        <f t="shared" si="40"/>
        <v>0</v>
      </c>
      <c r="U398" s="46">
        <f t="shared" si="41"/>
        <v>0</v>
      </c>
      <c r="V398" s="46">
        <f t="shared" si="42"/>
        <v>0</v>
      </c>
      <c r="W398" s="46">
        <f t="shared" si="43"/>
        <v>0</v>
      </c>
      <c r="X398" s="46">
        <f t="shared" si="44"/>
        <v>0</v>
      </c>
      <c r="Y398" s="159"/>
    </row>
    <row r="399" spans="1:25" ht="17.25" customHeight="1">
      <c r="A399" s="47" t="str">
        <f>+BASE!B403</f>
        <v>23XXR388</v>
      </c>
      <c r="B399" s="36" t="s">
        <v>40</v>
      </c>
      <c r="C399" s="46">
        <f t="shared" si="34"/>
        <v>0</v>
      </c>
      <c r="D399" s="46">
        <f t="shared" si="35"/>
        <v>0</v>
      </c>
      <c r="E399" s="46">
        <f t="shared" si="36"/>
        <v>0</v>
      </c>
      <c r="F399" s="46">
        <f t="shared" si="37"/>
        <v>0</v>
      </c>
      <c r="G399" s="43">
        <f t="shared" si="38"/>
        <v>0</v>
      </c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4">
        <f t="shared" si="39"/>
        <v>0</v>
      </c>
      <c r="S399" s="36">
        <f>BASE!A403</f>
        <v>388</v>
      </c>
      <c r="T399" s="46">
        <f t="shared" si="40"/>
        <v>0</v>
      </c>
      <c r="U399" s="46">
        <f t="shared" si="41"/>
        <v>0</v>
      </c>
      <c r="V399" s="46">
        <f t="shared" si="42"/>
        <v>0</v>
      </c>
      <c r="W399" s="46">
        <f t="shared" si="43"/>
        <v>0</v>
      </c>
      <c r="X399" s="46">
        <f t="shared" si="44"/>
        <v>0</v>
      </c>
      <c r="Y399" s="159"/>
    </row>
    <row r="400" spans="1:25" ht="17.25" customHeight="1">
      <c r="A400" s="47" t="str">
        <f>+BASE!B404</f>
        <v>23XXR389</v>
      </c>
      <c r="B400" s="36" t="s">
        <v>40</v>
      </c>
      <c r="C400" s="46">
        <f t="shared" si="34"/>
        <v>0</v>
      </c>
      <c r="D400" s="46">
        <f t="shared" si="35"/>
        <v>0</v>
      </c>
      <c r="E400" s="46">
        <f t="shared" si="36"/>
        <v>0</v>
      </c>
      <c r="F400" s="46">
        <f t="shared" si="37"/>
        <v>0</v>
      </c>
      <c r="G400" s="43">
        <f t="shared" si="38"/>
        <v>0</v>
      </c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4">
        <f t="shared" si="39"/>
        <v>0</v>
      </c>
      <c r="S400" s="36">
        <f>BASE!A404</f>
        <v>389</v>
      </c>
      <c r="T400" s="46">
        <f t="shared" si="40"/>
        <v>0</v>
      </c>
      <c r="U400" s="46">
        <f t="shared" si="41"/>
        <v>0</v>
      </c>
      <c r="V400" s="46">
        <f t="shared" si="42"/>
        <v>0</v>
      </c>
      <c r="W400" s="46">
        <f t="shared" si="43"/>
        <v>0</v>
      </c>
      <c r="X400" s="46">
        <f t="shared" si="44"/>
        <v>0</v>
      </c>
      <c r="Y400" s="159"/>
    </row>
    <row r="401" spans="1:25" ht="17.25" customHeight="1">
      <c r="A401" s="47" t="str">
        <f>+BASE!B405</f>
        <v>23XXR390</v>
      </c>
      <c r="B401" s="36" t="s">
        <v>40</v>
      </c>
      <c r="C401" s="46">
        <f t="shared" si="34"/>
        <v>0</v>
      </c>
      <c r="D401" s="46">
        <f t="shared" si="35"/>
        <v>0</v>
      </c>
      <c r="E401" s="46">
        <f t="shared" si="36"/>
        <v>0</v>
      </c>
      <c r="F401" s="46">
        <f t="shared" si="37"/>
        <v>0</v>
      </c>
      <c r="G401" s="43">
        <f t="shared" si="38"/>
        <v>0</v>
      </c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4">
        <f t="shared" si="39"/>
        <v>0</v>
      </c>
      <c r="S401" s="36">
        <f>BASE!A405</f>
        <v>390</v>
      </c>
      <c r="T401" s="46">
        <f t="shared" si="40"/>
        <v>0</v>
      </c>
      <c r="U401" s="46">
        <f t="shared" si="41"/>
        <v>0</v>
      </c>
      <c r="V401" s="46">
        <f t="shared" si="42"/>
        <v>0</v>
      </c>
      <c r="W401" s="46">
        <f t="shared" si="43"/>
        <v>0</v>
      </c>
      <c r="X401" s="46">
        <f t="shared" si="44"/>
        <v>0</v>
      </c>
      <c r="Y401" s="159"/>
    </row>
    <row r="402" spans="1:25" ht="17.25" customHeight="1">
      <c r="A402" s="47" t="str">
        <f>+BASE!B406</f>
        <v>23XXR391</v>
      </c>
      <c r="B402" s="36" t="s">
        <v>40</v>
      </c>
      <c r="C402" s="46">
        <f t="shared" si="34"/>
        <v>0</v>
      </c>
      <c r="D402" s="46">
        <f t="shared" si="35"/>
        <v>0</v>
      </c>
      <c r="E402" s="46">
        <f t="shared" si="36"/>
        <v>0</v>
      </c>
      <c r="F402" s="46">
        <f t="shared" si="37"/>
        <v>0</v>
      </c>
      <c r="G402" s="43">
        <f t="shared" si="38"/>
        <v>0</v>
      </c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4">
        <f t="shared" si="39"/>
        <v>0</v>
      </c>
      <c r="S402" s="36">
        <f>BASE!A406</f>
        <v>391</v>
      </c>
      <c r="T402" s="46">
        <f t="shared" si="40"/>
        <v>0</v>
      </c>
      <c r="U402" s="46">
        <f t="shared" si="41"/>
        <v>0</v>
      </c>
      <c r="V402" s="46">
        <f t="shared" si="42"/>
        <v>0</v>
      </c>
      <c r="W402" s="46">
        <f t="shared" si="43"/>
        <v>0</v>
      </c>
      <c r="X402" s="46">
        <f t="shared" si="44"/>
        <v>0</v>
      </c>
      <c r="Y402" s="159"/>
    </row>
    <row r="403" spans="1:25" ht="17.25" customHeight="1">
      <c r="A403" s="47" t="str">
        <f>+BASE!B407</f>
        <v>23XXR392</v>
      </c>
      <c r="B403" s="36" t="s">
        <v>40</v>
      </c>
      <c r="C403" s="46">
        <f t="shared" si="34"/>
        <v>0</v>
      </c>
      <c r="D403" s="46">
        <f t="shared" si="35"/>
        <v>0</v>
      </c>
      <c r="E403" s="46">
        <f t="shared" si="36"/>
        <v>0</v>
      </c>
      <c r="F403" s="46">
        <f t="shared" si="37"/>
        <v>0</v>
      </c>
      <c r="G403" s="43">
        <f t="shared" si="38"/>
        <v>0</v>
      </c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4">
        <f t="shared" si="39"/>
        <v>0</v>
      </c>
      <c r="S403" s="36">
        <f>BASE!A407</f>
        <v>392</v>
      </c>
      <c r="T403" s="46">
        <f t="shared" si="40"/>
        <v>0</v>
      </c>
      <c r="U403" s="46">
        <f t="shared" si="41"/>
        <v>0</v>
      </c>
      <c r="V403" s="46">
        <f t="shared" si="42"/>
        <v>0</v>
      </c>
      <c r="W403" s="46">
        <f t="shared" si="43"/>
        <v>0</v>
      </c>
      <c r="X403" s="46">
        <f t="shared" si="44"/>
        <v>0</v>
      </c>
      <c r="Y403" s="159"/>
    </row>
    <row r="404" spans="1:25" ht="17.25" customHeight="1">
      <c r="A404" s="47" t="str">
        <f>+BASE!B408</f>
        <v>23XXR393</v>
      </c>
      <c r="B404" s="36" t="s">
        <v>40</v>
      </c>
      <c r="C404" s="46">
        <f t="shared" si="34"/>
        <v>0</v>
      </c>
      <c r="D404" s="46">
        <f t="shared" si="35"/>
        <v>0</v>
      </c>
      <c r="E404" s="46">
        <f t="shared" si="36"/>
        <v>0</v>
      </c>
      <c r="F404" s="46">
        <f t="shared" si="37"/>
        <v>0</v>
      </c>
      <c r="G404" s="43">
        <f t="shared" si="38"/>
        <v>0</v>
      </c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4">
        <f t="shared" si="39"/>
        <v>0</v>
      </c>
      <c r="S404" s="36">
        <f>BASE!A408</f>
        <v>393</v>
      </c>
      <c r="T404" s="46">
        <f t="shared" si="40"/>
        <v>0</v>
      </c>
      <c r="U404" s="46">
        <f t="shared" si="41"/>
        <v>0</v>
      </c>
      <c r="V404" s="46">
        <f t="shared" si="42"/>
        <v>0</v>
      </c>
      <c r="W404" s="46">
        <f t="shared" si="43"/>
        <v>0</v>
      </c>
      <c r="X404" s="46">
        <f t="shared" si="44"/>
        <v>0</v>
      </c>
      <c r="Y404" s="159"/>
    </row>
    <row r="405" spans="1:25" ht="17.25" customHeight="1">
      <c r="A405" s="47" t="str">
        <f>+BASE!B409</f>
        <v>23XXR394</v>
      </c>
      <c r="B405" s="36" t="s">
        <v>40</v>
      </c>
      <c r="C405" s="46">
        <f t="shared" si="34"/>
        <v>0</v>
      </c>
      <c r="D405" s="46">
        <f t="shared" si="35"/>
        <v>0</v>
      </c>
      <c r="E405" s="46">
        <f t="shared" si="36"/>
        <v>0</v>
      </c>
      <c r="F405" s="46">
        <f t="shared" si="37"/>
        <v>0</v>
      </c>
      <c r="G405" s="43">
        <f t="shared" si="38"/>
        <v>0</v>
      </c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4">
        <f t="shared" si="39"/>
        <v>0</v>
      </c>
      <c r="S405" s="36">
        <f>BASE!A409</f>
        <v>394</v>
      </c>
      <c r="T405" s="46">
        <f t="shared" si="40"/>
        <v>0</v>
      </c>
      <c r="U405" s="46">
        <f t="shared" si="41"/>
        <v>0</v>
      </c>
      <c r="V405" s="46">
        <f t="shared" si="42"/>
        <v>0</v>
      </c>
      <c r="W405" s="46">
        <f t="shared" si="43"/>
        <v>0</v>
      </c>
      <c r="X405" s="46">
        <f t="shared" si="44"/>
        <v>0</v>
      </c>
      <c r="Y405" s="159"/>
    </row>
    <row r="406" spans="1:25" ht="17.25" customHeight="1">
      <c r="A406" s="47" t="str">
        <f>+BASE!B410</f>
        <v>23XXR395</v>
      </c>
      <c r="B406" s="36" t="s">
        <v>40</v>
      </c>
      <c r="C406" s="46">
        <f t="shared" si="34"/>
        <v>0</v>
      </c>
      <c r="D406" s="46">
        <f t="shared" si="35"/>
        <v>0</v>
      </c>
      <c r="E406" s="46">
        <f t="shared" si="36"/>
        <v>0</v>
      </c>
      <c r="F406" s="46">
        <f t="shared" si="37"/>
        <v>0</v>
      </c>
      <c r="G406" s="43">
        <f t="shared" si="38"/>
        <v>0</v>
      </c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4">
        <f t="shared" si="39"/>
        <v>0</v>
      </c>
      <c r="S406" s="36">
        <f>BASE!A410</f>
        <v>395</v>
      </c>
      <c r="T406" s="46">
        <f t="shared" si="40"/>
        <v>0</v>
      </c>
      <c r="U406" s="46">
        <f t="shared" si="41"/>
        <v>0</v>
      </c>
      <c r="V406" s="46">
        <f t="shared" si="42"/>
        <v>0</v>
      </c>
      <c r="W406" s="46">
        <f t="shared" si="43"/>
        <v>0</v>
      </c>
      <c r="X406" s="46">
        <f t="shared" si="44"/>
        <v>0</v>
      </c>
      <c r="Y406" s="159"/>
    </row>
    <row r="407" spans="1:25" ht="17.25" customHeight="1">
      <c r="A407" s="47" t="str">
        <f>+BASE!B411</f>
        <v>23XXR396</v>
      </c>
      <c r="B407" s="36" t="s">
        <v>40</v>
      </c>
      <c r="C407" s="46">
        <f t="shared" si="34"/>
        <v>0</v>
      </c>
      <c r="D407" s="46">
        <f t="shared" si="35"/>
        <v>0</v>
      </c>
      <c r="E407" s="46">
        <f t="shared" si="36"/>
        <v>0</v>
      </c>
      <c r="F407" s="46">
        <f t="shared" si="37"/>
        <v>0</v>
      </c>
      <c r="G407" s="43">
        <f t="shared" si="38"/>
        <v>0</v>
      </c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4">
        <f t="shared" si="39"/>
        <v>0</v>
      </c>
      <c r="S407" s="36">
        <f>BASE!A411</f>
        <v>396</v>
      </c>
      <c r="T407" s="46">
        <f t="shared" si="40"/>
        <v>0</v>
      </c>
      <c r="U407" s="46">
        <f t="shared" si="41"/>
        <v>0</v>
      </c>
      <c r="V407" s="46">
        <f t="shared" si="42"/>
        <v>0</v>
      </c>
      <c r="W407" s="46">
        <f t="shared" si="43"/>
        <v>0</v>
      </c>
      <c r="X407" s="46">
        <f t="shared" si="44"/>
        <v>0</v>
      </c>
      <c r="Y407" s="159"/>
    </row>
    <row r="408" spans="1:25" ht="17.25" customHeight="1">
      <c r="A408" s="47" t="str">
        <f>+BASE!B412</f>
        <v>23XXR397</v>
      </c>
      <c r="B408" s="36" t="s">
        <v>40</v>
      </c>
      <c r="C408" s="46">
        <f t="shared" si="34"/>
        <v>0</v>
      </c>
      <c r="D408" s="46">
        <f t="shared" si="35"/>
        <v>0</v>
      </c>
      <c r="E408" s="46">
        <f t="shared" si="36"/>
        <v>0</v>
      </c>
      <c r="F408" s="46">
        <f t="shared" si="37"/>
        <v>0</v>
      </c>
      <c r="G408" s="43">
        <f t="shared" si="38"/>
        <v>0</v>
      </c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4">
        <f t="shared" si="39"/>
        <v>0</v>
      </c>
      <c r="S408" s="36">
        <f>BASE!A412</f>
        <v>397</v>
      </c>
      <c r="T408" s="46">
        <f t="shared" si="40"/>
        <v>0</v>
      </c>
      <c r="U408" s="46">
        <f t="shared" si="41"/>
        <v>0</v>
      </c>
      <c r="V408" s="46">
        <f t="shared" si="42"/>
        <v>0</v>
      </c>
      <c r="W408" s="46">
        <f t="shared" si="43"/>
        <v>0</v>
      </c>
      <c r="X408" s="46">
        <f t="shared" si="44"/>
        <v>0</v>
      </c>
      <c r="Y408" s="159"/>
    </row>
    <row r="409" spans="1:25" ht="17.25" customHeight="1">
      <c r="A409" s="47" t="str">
        <f>+BASE!B413</f>
        <v>23XXR398</v>
      </c>
      <c r="B409" s="36" t="s">
        <v>40</v>
      </c>
      <c r="C409" s="46">
        <f t="shared" si="34"/>
        <v>0</v>
      </c>
      <c r="D409" s="46">
        <f t="shared" si="35"/>
        <v>0</v>
      </c>
      <c r="E409" s="46">
        <f t="shared" si="36"/>
        <v>0</v>
      </c>
      <c r="F409" s="46">
        <f t="shared" si="37"/>
        <v>0</v>
      </c>
      <c r="G409" s="43">
        <f t="shared" si="38"/>
        <v>0</v>
      </c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4">
        <f t="shared" si="39"/>
        <v>0</v>
      </c>
      <c r="S409" s="36">
        <f>BASE!A413</f>
        <v>398</v>
      </c>
      <c r="T409" s="46">
        <f t="shared" si="40"/>
        <v>0</v>
      </c>
      <c r="U409" s="46">
        <f t="shared" si="41"/>
        <v>0</v>
      </c>
      <c r="V409" s="46">
        <f t="shared" si="42"/>
        <v>0</v>
      </c>
      <c r="W409" s="46">
        <f t="shared" si="43"/>
        <v>0</v>
      </c>
      <c r="X409" s="46">
        <f t="shared" si="44"/>
        <v>0</v>
      </c>
      <c r="Y409" s="159"/>
    </row>
    <row r="410" spans="1:25" ht="17.25" customHeight="1">
      <c r="A410" s="47" t="str">
        <f>+BASE!B414</f>
        <v>23XXR399</v>
      </c>
      <c r="B410" s="36" t="s">
        <v>40</v>
      </c>
      <c r="C410" s="46">
        <f t="shared" si="34"/>
        <v>0</v>
      </c>
      <c r="D410" s="46">
        <f t="shared" si="35"/>
        <v>0</v>
      </c>
      <c r="E410" s="46">
        <f t="shared" si="36"/>
        <v>0</v>
      </c>
      <c r="F410" s="46">
        <f t="shared" si="37"/>
        <v>0</v>
      </c>
      <c r="G410" s="43">
        <f t="shared" si="38"/>
        <v>0</v>
      </c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4">
        <f t="shared" si="39"/>
        <v>0</v>
      </c>
      <c r="S410" s="36">
        <f>BASE!A414</f>
        <v>399</v>
      </c>
      <c r="T410" s="46">
        <f t="shared" si="40"/>
        <v>0</v>
      </c>
      <c r="U410" s="46">
        <f t="shared" si="41"/>
        <v>0</v>
      </c>
      <c r="V410" s="46">
        <f t="shared" si="42"/>
        <v>0</v>
      </c>
      <c r="W410" s="46">
        <f t="shared" si="43"/>
        <v>0</v>
      </c>
      <c r="X410" s="46">
        <f t="shared" si="44"/>
        <v>0</v>
      </c>
      <c r="Y410" s="159"/>
    </row>
    <row r="411" spans="1:25" ht="17.25" customHeight="1">
      <c r="A411" s="47" t="str">
        <f>+BASE!B415</f>
        <v>23XXR400</v>
      </c>
      <c r="B411" s="36" t="s">
        <v>40</v>
      </c>
      <c r="C411" s="46">
        <f t="shared" si="34"/>
        <v>0</v>
      </c>
      <c r="D411" s="46">
        <f t="shared" si="35"/>
        <v>0</v>
      </c>
      <c r="E411" s="46">
        <f t="shared" si="36"/>
        <v>0</v>
      </c>
      <c r="F411" s="46">
        <f t="shared" si="37"/>
        <v>0</v>
      </c>
      <c r="G411" s="43">
        <f t="shared" si="38"/>
        <v>0</v>
      </c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4">
        <f t="shared" si="39"/>
        <v>0</v>
      </c>
      <c r="S411" s="36">
        <f>BASE!A415</f>
        <v>400</v>
      </c>
      <c r="T411" s="46">
        <f t="shared" si="40"/>
        <v>0</v>
      </c>
      <c r="U411" s="46">
        <f t="shared" si="41"/>
        <v>0</v>
      </c>
      <c r="V411" s="46">
        <f t="shared" si="42"/>
        <v>0</v>
      </c>
      <c r="W411" s="46">
        <f t="shared" si="43"/>
        <v>0</v>
      </c>
      <c r="X411" s="46">
        <f t="shared" si="44"/>
        <v>0</v>
      </c>
      <c r="Y411" s="159"/>
    </row>
    <row r="412" spans="1:25" ht="17.25" customHeight="1">
      <c r="A412" s="47" t="str">
        <f>+BASE!B416</f>
        <v>23XXR401</v>
      </c>
      <c r="B412" s="36" t="s">
        <v>40</v>
      </c>
      <c r="C412" s="46">
        <f t="shared" si="34"/>
        <v>0</v>
      </c>
      <c r="D412" s="46">
        <f t="shared" si="35"/>
        <v>0</v>
      </c>
      <c r="E412" s="46">
        <f t="shared" si="36"/>
        <v>0</v>
      </c>
      <c r="F412" s="46">
        <f t="shared" si="37"/>
        <v>0</v>
      </c>
      <c r="G412" s="43">
        <f t="shared" si="38"/>
        <v>0</v>
      </c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4">
        <f t="shared" si="39"/>
        <v>0</v>
      </c>
      <c r="S412" s="36">
        <f>BASE!A416</f>
        <v>401</v>
      </c>
      <c r="T412" s="46">
        <f t="shared" si="40"/>
        <v>0</v>
      </c>
      <c r="U412" s="46">
        <f t="shared" si="41"/>
        <v>0</v>
      </c>
      <c r="V412" s="46">
        <f t="shared" si="42"/>
        <v>0</v>
      </c>
      <c r="W412" s="46">
        <f t="shared" si="43"/>
        <v>0</v>
      </c>
      <c r="X412" s="46">
        <f t="shared" si="44"/>
        <v>0</v>
      </c>
      <c r="Y412" s="159"/>
    </row>
    <row r="413" spans="1:25" ht="17.25" customHeight="1">
      <c r="A413" s="47" t="str">
        <f>+BASE!B417</f>
        <v>23XXR402</v>
      </c>
      <c r="B413" s="36" t="s">
        <v>40</v>
      </c>
      <c r="C413" s="46">
        <f t="shared" si="34"/>
        <v>0</v>
      </c>
      <c r="D413" s="46">
        <f t="shared" si="35"/>
        <v>0</v>
      </c>
      <c r="E413" s="46">
        <f t="shared" si="36"/>
        <v>0</v>
      </c>
      <c r="F413" s="46">
        <f t="shared" si="37"/>
        <v>0</v>
      </c>
      <c r="G413" s="43">
        <f t="shared" si="38"/>
        <v>0</v>
      </c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4">
        <f t="shared" si="39"/>
        <v>0</v>
      </c>
      <c r="S413" s="36">
        <f>BASE!A417</f>
        <v>402</v>
      </c>
      <c r="T413" s="46">
        <f t="shared" si="40"/>
        <v>0</v>
      </c>
      <c r="U413" s="46">
        <f t="shared" si="41"/>
        <v>0</v>
      </c>
      <c r="V413" s="46">
        <f t="shared" si="42"/>
        <v>0</v>
      </c>
      <c r="W413" s="46">
        <f t="shared" si="43"/>
        <v>0</v>
      </c>
      <c r="X413" s="46">
        <f t="shared" si="44"/>
        <v>0</v>
      </c>
      <c r="Y413" s="159"/>
    </row>
    <row r="414" spans="1:25" ht="17.25" customHeight="1">
      <c r="A414" s="47" t="str">
        <f>+BASE!B418</f>
        <v>23XXR403</v>
      </c>
      <c r="B414" s="36" t="s">
        <v>40</v>
      </c>
      <c r="C414" s="46">
        <f t="shared" si="34"/>
        <v>0</v>
      </c>
      <c r="D414" s="46">
        <f t="shared" si="35"/>
        <v>0</v>
      </c>
      <c r="E414" s="46">
        <f t="shared" si="36"/>
        <v>0</v>
      </c>
      <c r="F414" s="46">
        <f t="shared" si="37"/>
        <v>0</v>
      </c>
      <c r="G414" s="43">
        <f t="shared" si="38"/>
        <v>0</v>
      </c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4">
        <f t="shared" si="39"/>
        <v>0</v>
      </c>
      <c r="S414" s="36">
        <f>BASE!A418</f>
        <v>403</v>
      </c>
      <c r="T414" s="46">
        <f t="shared" si="40"/>
        <v>0</v>
      </c>
      <c r="U414" s="46">
        <f t="shared" si="41"/>
        <v>0</v>
      </c>
      <c r="V414" s="46">
        <f t="shared" si="42"/>
        <v>0</v>
      </c>
      <c r="W414" s="46">
        <f t="shared" si="43"/>
        <v>0</v>
      </c>
      <c r="X414" s="46">
        <f t="shared" si="44"/>
        <v>0</v>
      </c>
      <c r="Y414" s="159"/>
    </row>
    <row r="415" spans="1:25" ht="17.25" customHeight="1">
      <c r="A415" s="47" t="str">
        <f>+BASE!B419</f>
        <v>23XXR404</v>
      </c>
      <c r="B415" s="36" t="s">
        <v>40</v>
      </c>
      <c r="C415" s="46">
        <f t="shared" si="34"/>
        <v>0</v>
      </c>
      <c r="D415" s="46">
        <f t="shared" si="35"/>
        <v>0</v>
      </c>
      <c r="E415" s="46">
        <f t="shared" si="36"/>
        <v>0</v>
      </c>
      <c r="F415" s="46">
        <f t="shared" si="37"/>
        <v>0</v>
      </c>
      <c r="G415" s="43">
        <f t="shared" si="38"/>
        <v>0</v>
      </c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4">
        <f t="shared" si="39"/>
        <v>0</v>
      </c>
      <c r="S415" s="36">
        <f>BASE!A419</f>
        <v>404</v>
      </c>
      <c r="T415" s="46">
        <f t="shared" si="40"/>
        <v>0</v>
      </c>
      <c r="U415" s="46">
        <f t="shared" si="41"/>
        <v>0</v>
      </c>
      <c r="V415" s="46">
        <f t="shared" si="42"/>
        <v>0</v>
      </c>
      <c r="W415" s="46">
        <f t="shared" si="43"/>
        <v>0</v>
      </c>
      <c r="X415" s="46">
        <f t="shared" si="44"/>
        <v>0</v>
      </c>
      <c r="Y415" s="159"/>
    </row>
    <row r="416" spans="1:25" ht="17.25" customHeight="1">
      <c r="A416" s="47" t="str">
        <f>+BASE!B420</f>
        <v>23XXR405</v>
      </c>
      <c r="B416" s="36" t="s">
        <v>40</v>
      </c>
      <c r="C416" s="46">
        <f t="shared" si="34"/>
        <v>0</v>
      </c>
      <c r="D416" s="46">
        <f t="shared" si="35"/>
        <v>0</v>
      </c>
      <c r="E416" s="46">
        <f t="shared" si="36"/>
        <v>0</v>
      </c>
      <c r="F416" s="46">
        <f t="shared" si="37"/>
        <v>0</v>
      </c>
      <c r="G416" s="43">
        <f t="shared" si="38"/>
        <v>0</v>
      </c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4">
        <f t="shared" si="39"/>
        <v>0</v>
      </c>
      <c r="S416" s="36">
        <f>BASE!A420</f>
        <v>405</v>
      </c>
      <c r="T416" s="46">
        <f t="shared" si="40"/>
        <v>0</v>
      </c>
      <c r="U416" s="46">
        <f t="shared" si="41"/>
        <v>0</v>
      </c>
      <c r="V416" s="46">
        <f t="shared" si="42"/>
        <v>0</v>
      </c>
      <c r="W416" s="46">
        <f t="shared" si="43"/>
        <v>0</v>
      </c>
      <c r="X416" s="46">
        <f t="shared" si="44"/>
        <v>0</v>
      </c>
      <c r="Y416" s="159"/>
    </row>
    <row r="417" spans="1:25" ht="17.25" customHeight="1">
      <c r="A417" s="47" t="str">
        <f>+BASE!B421</f>
        <v>23XXR406</v>
      </c>
      <c r="B417" s="36" t="s">
        <v>40</v>
      </c>
      <c r="C417" s="46">
        <f t="shared" si="34"/>
        <v>0</v>
      </c>
      <c r="D417" s="46">
        <f t="shared" si="35"/>
        <v>0</v>
      </c>
      <c r="E417" s="46">
        <f t="shared" si="36"/>
        <v>0</v>
      </c>
      <c r="F417" s="46">
        <f t="shared" si="37"/>
        <v>0</v>
      </c>
      <c r="G417" s="43">
        <f t="shared" si="38"/>
        <v>0</v>
      </c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4">
        <f t="shared" si="39"/>
        <v>0</v>
      </c>
      <c r="S417" s="36">
        <f>BASE!A421</f>
        <v>406</v>
      </c>
      <c r="T417" s="46">
        <f t="shared" si="40"/>
        <v>0</v>
      </c>
      <c r="U417" s="46">
        <f t="shared" si="41"/>
        <v>0</v>
      </c>
      <c r="V417" s="46">
        <f t="shared" si="42"/>
        <v>0</v>
      </c>
      <c r="W417" s="46">
        <f t="shared" si="43"/>
        <v>0</v>
      </c>
      <c r="X417" s="46">
        <f t="shared" si="44"/>
        <v>0</v>
      </c>
      <c r="Y417" s="159"/>
    </row>
    <row r="418" spans="1:25" ht="17.25" customHeight="1">
      <c r="A418" s="47" t="str">
        <f>+BASE!B422</f>
        <v>23XXR407</v>
      </c>
      <c r="B418" s="36" t="s">
        <v>40</v>
      </c>
      <c r="C418" s="46">
        <f t="shared" si="34"/>
        <v>0</v>
      </c>
      <c r="D418" s="46">
        <f t="shared" si="35"/>
        <v>0</v>
      </c>
      <c r="E418" s="46">
        <f t="shared" si="36"/>
        <v>0</v>
      </c>
      <c r="F418" s="46">
        <f t="shared" si="37"/>
        <v>0</v>
      </c>
      <c r="G418" s="43">
        <f t="shared" si="38"/>
        <v>0</v>
      </c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4">
        <f t="shared" si="39"/>
        <v>0</v>
      </c>
      <c r="S418" s="36">
        <f>BASE!A422</f>
        <v>407</v>
      </c>
      <c r="T418" s="46">
        <f t="shared" si="40"/>
        <v>0</v>
      </c>
      <c r="U418" s="46">
        <f t="shared" si="41"/>
        <v>0</v>
      </c>
      <c r="V418" s="46">
        <f t="shared" si="42"/>
        <v>0</v>
      </c>
      <c r="W418" s="46">
        <f t="shared" si="43"/>
        <v>0</v>
      </c>
      <c r="X418" s="46">
        <f t="shared" si="44"/>
        <v>0</v>
      </c>
      <c r="Y418" s="159"/>
    </row>
    <row r="419" spans="1:25" ht="17.25" customHeight="1">
      <c r="A419" s="47" t="str">
        <f>+BASE!B423</f>
        <v>23XXR408</v>
      </c>
      <c r="B419" s="36" t="s">
        <v>40</v>
      </c>
      <c r="C419" s="46">
        <f t="shared" si="34"/>
        <v>0</v>
      </c>
      <c r="D419" s="46">
        <f t="shared" si="35"/>
        <v>0</v>
      </c>
      <c r="E419" s="46">
        <f t="shared" si="36"/>
        <v>0</v>
      </c>
      <c r="F419" s="46">
        <f t="shared" si="37"/>
        <v>0</v>
      </c>
      <c r="G419" s="43">
        <f t="shared" si="38"/>
        <v>0</v>
      </c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4">
        <f t="shared" si="39"/>
        <v>0</v>
      </c>
      <c r="S419" s="36">
        <f>BASE!A423</f>
        <v>408</v>
      </c>
      <c r="T419" s="46">
        <f t="shared" si="40"/>
        <v>0</v>
      </c>
      <c r="U419" s="46">
        <f t="shared" si="41"/>
        <v>0</v>
      </c>
      <c r="V419" s="46">
        <f t="shared" si="42"/>
        <v>0</v>
      </c>
      <c r="W419" s="46">
        <f t="shared" si="43"/>
        <v>0</v>
      </c>
      <c r="X419" s="46">
        <f t="shared" si="44"/>
        <v>0</v>
      </c>
      <c r="Y419" s="159"/>
    </row>
    <row r="420" spans="1:25" ht="17.25" customHeight="1">
      <c r="A420" s="47" t="str">
        <f>+BASE!B424</f>
        <v>23XXR409</v>
      </c>
      <c r="B420" s="36" t="s">
        <v>40</v>
      </c>
      <c r="C420" s="46">
        <f t="shared" si="34"/>
        <v>0</v>
      </c>
      <c r="D420" s="46">
        <f t="shared" si="35"/>
        <v>0</v>
      </c>
      <c r="E420" s="46">
        <f t="shared" si="36"/>
        <v>0</v>
      </c>
      <c r="F420" s="46">
        <f t="shared" si="37"/>
        <v>0</v>
      </c>
      <c r="G420" s="43">
        <f t="shared" si="38"/>
        <v>0</v>
      </c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4">
        <f t="shared" si="39"/>
        <v>0</v>
      </c>
      <c r="S420" s="36">
        <f>BASE!A424</f>
        <v>409</v>
      </c>
      <c r="T420" s="46">
        <f t="shared" si="40"/>
        <v>0</v>
      </c>
      <c r="U420" s="46">
        <f t="shared" si="41"/>
        <v>0</v>
      </c>
      <c r="V420" s="46">
        <f t="shared" si="42"/>
        <v>0</v>
      </c>
      <c r="W420" s="46">
        <f t="shared" si="43"/>
        <v>0</v>
      </c>
      <c r="X420" s="46">
        <f t="shared" si="44"/>
        <v>0</v>
      </c>
      <c r="Y420" s="159"/>
    </row>
    <row r="421" spans="1:25" ht="17.25" customHeight="1">
      <c r="A421" s="47" t="str">
        <f>+BASE!B425</f>
        <v>23XXR410</v>
      </c>
      <c r="B421" s="36" t="s">
        <v>40</v>
      </c>
      <c r="C421" s="46">
        <f t="shared" si="34"/>
        <v>0</v>
      </c>
      <c r="D421" s="46">
        <f t="shared" si="35"/>
        <v>0</v>
      </c>
      <c r="E421" s="46">
        <f t="shared" si="36"/>
        <v>0</v>
      </c>
      <c r="F421" s="46">
        <f t="shared" si="37"/>
        <v>0</v>
      </c>
      <c r="G421" s="43">
        <f t="shared" si="38"/>
        <v>0</v>
      </c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4">
        <f t="shared" si="39"/>
        <v>0</v>
      </c>
      <c r="S421" s="36">
        <f>BASE!A425</f>
        <v>410</v>
      </c>
      <c r="T421" s="46">
        <f t="shared" si="40"/>
        <v>0</v>
      </c>
      <c r="U421" s="46">
        <f t="shared" si="41"/>
        <v>0</v>
      </c>
      <c r="V421" s="46">
        <f t="shared" si="42"/>
        <v>0</v>
      </c>
      <c r="W421" s="46">
        <f t="shared" si="43"/>
        <v>0</v>
      </c>
      <c r="X421" s="46">
        <f t="shared" si="44"/>
        <v>0</v>
      </c>
      <c r="Y421" s="159"/>
    </row>
    <row r="422" spans="1:25" ht="17.25" customHeight="1">
      <c r="A422" s="47" t="str">
        <f>+BASE!B426</f>
        <v>23XXR411</v>
      </c>
      <c r="B422" s="36" t="s">
        <v>40</v>
      </c>
      <c r="C422" s="46">
        <f t="shared" si="34"/>
        <v>0</v>
      </c>
      <c r="D422" s="46">
        <f t="shared" si="35"/>
        <v>0</v>
      </c>
      <c r="E422" s="46">
        <f t="shared" si="36"/>
        <v>0</v>
      </c>
      <c r="F422" s="46">
        <f t="shared" si="37"/>
        <v>0</v>
      </c>
      <c r="G422" s="43">
        <f t="shared" si="38"/>
        <v>0</v>
      </c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4">
        <f t="shared" si="39"/>
        <v>0</v>
      </c>
      <c r="S422" s="36">
        <f>BASE!A426</f>
        <v>411</v>
      </c>
      <c r="T422" s="46">
        <f t="shared" si="40"/>
        <v>0</v>
      </c>
      <c r="U422" s="46">
        <f t="shared" si="41"/>
        <v>0</v>
      </c>
      <c r="V422" s="46">
        <f t="shared" si="42"/>
        <v>0</v>
      </c>
      <c r="W422" s="46">
        <f t="shared" si="43"/>
        <v>0</v>
      </c>
      <c r="X422" s="46">
        <f t="shared" si="44"/>
        <v>0</v>
      </c>
      <c r="Y422" s="159"/>
    </row>
    <row r="423" spans="1:25" ht="17.25" customHeight="1">
      <c r="A423" s="47" t="str">
        <f>+BASE!B427</f>
        <v>23XXR412</v>
      </c>
      <c r="B423" s="36" t="s">
        <v>40</v>
      </c>
      <c r="C423" s="46">
        <f t="shared" si="34"/>
        <v>0</v>
      </c>
      <c r="D423" s="46">
        <f t="shared" si="35"/>
        <v>0</v>
      </c>
      <c r="E423" s="46">
        <f t="shared" si="36"/>
        <v>0</v>
      </c>
      <c r="F423" s="46">
        <f t="shared" si="37"/>
        <v>0</v>
      </c>
      <c r="G423" s="43">
        <f t="shared" si="38"/>
        <v>0</v>
      </c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4">
        <f t="shared" si="39"/>
        <v>0</v>
      </c>
      <c r="S423" s="36">
        <f>BASE!A427</f>
        <v>412</v>
      </c>
      <c r="T423" s="46">
        <f t="shared" si="40"/>
        <v>0</v>
      </c>
      <c r="U423" s="46">
        <f t="shared" si="41"/>
        <v>0</v>
      </c>
      <c r="V423" s="46">
        <f t="shared" si="42"/>
        <v>0</v>
      </c>
      <c r="W423" s="46">
        <f t="shared" si="43"/>
        <v>0</v>
      </c>
      <c r="X423" s="46">
        <f t="shared" si="44"/>
        <v>0</v>
      </c>
      <c r="Y423" s="159"/>
    </row>
    <row r="424" spans="1:25" ht="17.25" customHeight="1">
      <c r="A424" s="47" t="str">
        <f>+BASE!B428</f>
        <v>23XXR413</v>
      </c>
      <c r="B424" s="36" t="s">
        <v>40</v>
      </c>
      <c r="C424" s="46">
        <f t="shared" si="34"/>
        <v>0</v>
      </c>
      <c r="D424" s="46">
        <f t="shared" si="35"/>
        <v>0</v>
      </c>
      <c r="E424" s="46">
        <f t="shared" si="36"/>
        <v>0</v>
      </c>
      <c r="F424" s="46">
        <f t="shared" si="37"/>
        <v>0</v>
      </c>
      <c r="G424" s="43">
        <f t="shared" si="38"/>
        <v>0</v>
      </c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4">
        <f t="shared" si="39"/>
        <v>0</v>
      </c>
      <c r="S424" s="36">
        <f>BASE!A428</f>
        <v>413</v>
      </c>
      <c r="T424" s="46">
        <f t="shared" si="40"/>
        <v>0</v>
      </c>
      <c r="U424" s="46">
        <f t="shared" si="41"/>
        <v>0</v>
      </c>
      <c r="V424" s="46">
        <f t="shared" si="42"/>
        <v>0</v>
      </c>
      <c r="W424" s="46">
        <f t="shared" si="43"/>
        <v>0</v>
      </c>
      <c r="X424" s="46">
        <f t="shared" si="44"/>
        <v>0</v>
      </c>
      <c r="Y424" s="159"/>
    </row>
    <row r="425" spans="1:25" ht="17.25" customHeight="1">
      <c r="A425" s="47" t="str">
        <f>+BASE!B429</f>
        <v>23XXR414</v>
      </c>
      <c r="B425" s="36" t="s">
        <v>40</v>
      </c>
      <c r="C425" s="46">
        <f t="shared" si="34"/>
        <v>0</v>
      </c>
      <c r="D425" s="46">
        <f t="shared" si="35"/>
        <v>0</v>
      </c>
      <c r="E425" s="46">
        <f t="shared" si="36"/>
        <v>0</v>
      </c>
      <c r="F425" s="46">
        <f t="shared" si="37"/>
        <v>0</v>
      </c>
      <c r="G425" s="43">
        <f t="shared" si="38"/>
        <v>0</v>
      </c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4">
        <f t="shared" si="39"/>
        <v>0</v>
      </c>
      <c r="S425" s="36">
        <f>BASE!A429</f>
        <v>414</v>
      </c>
      <c r="T425" s="46">
        <f t="shared" si="40"/>
        <v>0</v>
      </c>
      <c r="U425" s="46">
        <f t="shared" si="41"/>
        <v>0</v>
      </c>
      <c r="V425" s="46">
        <f t="shared" si="42"/>
        <v>0</v>
      </c>
      <c r="W425" s="46">
        <f t="shared" si="43"/>
        <v>0</v>
      </c>
      <c r="X425" s="46">
        <f t="shared" si="44"/>
        <v>0</v>
      </c>
      <c r="Y425" s="159"/>
    </row>
    <row r="426" spans="1:25" ht="17.25" customHeight="1">
      <c r="A426" s="47" t="str">
        <f>+BASE!B430</f>
        <v>23XXR415</v>
      </c>
      <c r="B426" s="36" t="s">
        <v>40</v>
      </c>
      <c r="C426" s="46">
        <f t="shared" si="34"/>
        <v>0</v>
      </c>
      <c r="D426" s="46">
        <f t="shared" si="35"/>
        <v>0</v>
      </c>
      <c r="E426" s="46">
        <f t="shared" si="36"/>
        <v>0</v>
      </c>
      <c r="F426" s="46">
        <f t="shared" si="37"/>
        <v>0</v>
      </c>
      <c r="G426" s="43">
        <f t="shared" si="38"/>
        <v>0</v>
      </c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4">
        <f t="shared" si="39"/>
        <v>0</v>
      </c>
      <c r="S426" s="36">
        <f>BASE!A430</f>
        <v>415</v>
      </c>
      <c r="T426" s="46">
        <f t="shared" si="40"/>
        <v>0</v>
      </c>
      <c r="U426" s="46">
        <f t="shared" si="41"/>
        <v>0</v>
      </c>
      <c r="V426" s="46">
        <f t="shared" si="42"/>
        <v>0</v>
      </c>
      <c r="W426" s="46">
        <f t="shared" si="43"/>
        <v>0</v>
      </c>
      <c r="X426" s="46">
        <f t="shared" si="44"/>
        <v>0</v>
      </c>
      <c r="Y426" s="159"/>
    </row>
    <row r="427" spans="1:25" ht="17.25" customHeight="1">
      <c r="A427" s="47" t="str">
        <f>+BASE!B431</f>
        <v>23XXR416</v>
      </c>
      <c r="B427" s="36" t="s">
        <v>40</v>
      </c>
      <c r="C427" s="46">
        <f t="shared" si="34"/>
        <v>0</v>
      </c>
      <c r="D427" s="46">
        <f t="shared" si="35"/>
        <v>0</v>
      </c>
      <c r="E427" s="46">
        <f t="shared" si="36"/>
        <v>0</v>
      </c>
      <c r="F427" s="46">
        <f t="shared" si="37"/>
        <v>0</v>
      </c>
      <c r="G427" s="43">
        <f t="shared" si="38"/>
        <v>0</v>
      </c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4">
        <f t="shared" si="39"/>
        <v>0</v>
      </c>
      <c r="S427" s="36">
        <f>BASE!A431</f>
        <v>416</v>
      </c>
      <c r="T427" s="46">
        <f t="shared" si="40"/>
        <v>0</v>
      </c>
      <c r="U427" s="46">
        <f t="shared" si="41"/>
        <v>0</v>
      </c>
      <c r="V427" s="46">
        <f t="shared" si="42"/>
        <v>0</v>
      </c>
      <c r="W427" s="46">
        <f t="shared" si="43"/>
        <v>0</v>
      </c>
      <c r="X427" s="46">
        <f t="shared" si="44"/>
        <v>0</v>
      </c>
      <c r="Y427" s="159"/>
    </row>
    <row r="428" spans="1:25" ht="17.25" customHeight="1">
      <c r="A428" s="47" t="str">
        <f>+BASE!B432</f>
        <v>23XXR417</v>
      </c>
      <c r="B428" s="36" t="s">
        <v>40</v>
      </c>
      <c r="C428" s="46">
        <f t="shared" si="34"/>
        <v>0</v>
      </c>
      <c r="D428" s="46">
        <f t="shared" si="35"/>
        <v>0</v>
      </c>
      <c r="E428" s="46">
        <f t="shared" si="36"/>
        <v>0</v>
      </c>
      <c r="F428" s="46">
        <f t="shared" si="37"/>
        <v>0</v>
      </c>
      <c r="G428" s="43">
        <f t="shared" si="38"/>
        <v>0</v>
      </c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4">
        <f t="shared" si="39"/>
        <v>0</v>
      </c>
      <c r="S428" s="36">
        <f>BASE!A432</f>
        <v>417</v>
      </c>
      <c r="T428" s="46">
        <f t="shared" si="40"/>
        <v>0</v>
      </c>
      <c r="U428" s="46">
        <f t="shared" si="41"/>
        <v>0</v>
      </c>
      <c r="V428" s="46">
        <f t="shared" si="42"/>
        <v>0</v>
      </c>
      <c r="W428" s="46">
        <f t="shared" si="43"/>
        <v>0</v>
      </c>
      <c r="X428" s="46">
        <f t="shared" si="44"/>
        <v>0</v>
      </c>
      <c r="Y428" s="159"/>
    </row>
    <row r="429" spans="1:25" ht="17.25" customHeight="1">
      <c r="A429" s="47" t="str">
        <f>+BASE!B433</f>
        <v>23XXR418</v>
      </c>
      <c r="B429" s="36" t="s">
        <v>40</v>
      </c>
      <c r="C429" s="46">
        <f t="shared" si="34"/>
        <v>0</v>
      </c>
      <c r="D429" s="46">
        <f t="shared" si="35"/>
        <v>0</v>
      </c>
      <c r="E429" s="46">
        <f t="shared" si="36"/>
        <v>0</v>
      </c>
      <c r="F429" s="46">
        <f t="shared" si="37"/>
        <v>0</v>
      </c>
      <c r="G429" s="43">
        <f t="shared" si="38"/>
        <v>0</v>
      </c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4">
        <f t="shared" si="39"/>
        <v>0</v>
      </c>
      <c r="S429" s="36">
        <f>BASE!A433</f>
        <v>418</v>
      </c>
      <c r="T429" s="46">
        <f t="shared" si="40"/>
        <v>0</v>
      </c>
      <c r="U429" s="46">
        <f t="shared" si="41"/>
        <v>0</v>
      </c>
      <c r="V429" s="46">
        <f t="shared" si="42"/>
        <v>0</v>
      </c>
      <c r="W429" s="46">
        <f t="shared" si="43"/>
        <v>0</v>
      </c>
      <c r="X429" s="46">
        <f t="shared" si="44"/>
        <v>0</v>
      </c>
      <c r="Y429" s="159"/>
    </row>
    <row r="430" spans="1:25" ht="17.25" customHeight="1">
      <c r="A430" s="47" t="str">
        <f>+BASE!B434</f>
        <v>23XXR419</v>
      </c>
      <c r="B430" s="36" t="s">
        <v>40</v>
      </c>
      <c r="C430" s="46">
        <f t="shared" si="34"/>
        <v>0</v>
      </c>
      <c r="D430" s="46">
        <f t="shared" si="35"/>
        <v>0</v>
      </c>
      <c r="E430" s="46">
        <f t="shared" si="36"/>
        <v>0</v>
      </c>
      <c r="F430" s="46">
        <f t="shared" si="37"/>
        <v>0</v>
      </c>
      <c r="G430" s="43">
        <f t="shared" si="38"/>
        <v>0</v>
      </c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4">
        <f t="shared" si="39"/>
        <v>0</v>
      </c>
      <c r="S430" s="36">
        <f>BASE!A434</f>
        <v>419</v>
      </c>
      <c r="T430" s="46">
        <f t="shared" si="40"/>
        <v>0</v>
      </c>
      <c r="U430" s="46">
        <f t="shared" si="41"/>
        <v>0</v>
      </c>
      <c r="V430" s="46">
        <f t="shared" si="42"/>
        <v>0</v>
      </c>
      <c r="W430" s="46">
        <f t="shared" si="43"/>
        <v>0</v>
      </c>
      <c r="X430" s="46">
        <f t="shared" si="44"/>
        <v>0</v>
      </c>
      <c r="Y430" s="159"/>
    </row>
    <row r="431" spans="1:25" ht="17.25" customHeight="1">
      <c r="A431" s="47" t="str">
        <f>+BASE!B435</f>
        <v>23XXR420</v>
      </c>
      <c r="B431" s="36" t="s">
        <v>40</v>
      </c>
      <c r="C431" s="46">
        <f t="shared" si="34"/>
        <v>0</v>
      </c>
      <c r="D431" s="46">
        <f t="shared" si="35"/>
        <v>0</v>
      </c>
      <c r="E431" s="46">
        <f t="shared" si="36"/>
        <v>0</v>
      </c>
      <c r="F431" s="46">
        <f t="shared" si="37"/>
        <v>0</v>
      </c>
      <c r="G431" s="43">
        <f t="shared" si="38"/>
        <v>0</v>
      </c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4">
        <f t="shared" si="39"/>
        <v>0</v>
      </c>
      <c r="S431" s="36">
        <f>BASE!A435</f>
        <v>420</v>
      </c>
      <c r="T431" s="46">
        <f t="shared" si="40"/>
        <v>0</v>
      </c>
      <c r="U431" s="46">
        <f t="shared" si="41"/>
        <v>0</v>
      </c>
      <c r="V431" s="46">
        <f t="shared" si="42"/>
        <v>0</v>
      </c>
      <c r="W431" s="46">
        <f t="shared" si="43"/>
        <v>0</v>
      </c>
      <c r="X431" s="46">
        <f t="shared" si="44"/>
        <v>0</v>
      </c>
      <c r="Y431" s="159"/>
    </row>
    <row r="432" spans="1:25" ht="17.25" customHeight="1">
      <c r="A432" s="47" t="str">
        <f>+BASE!B436</f>
        <v>23XXR421</v>
      </c>
      <c r="B432" s="36" t="s">
        <v>40</v>
      </c>
      <c r="C432" s="46">
        <f t="shared" si="34"/>
        <v>0</v>
      </c>
      <c r="D432" s="46">
        <f t="shared" si="35"/>
        <v>0</v>
      </c>
      <c r="E432" s="46">
        <f t="shared" si="36"/>
        <v>0</v>
      </c>
      <c r="F432" s="46">
        <f t="shared" si="37"/>
        <v>0</v>
      </c>
      <c r="G432" s="43">
        <f t="shared" si="38"/>
        <v>0</v>
      </c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4">
        <f t="shared" si="39"/>
        <v>0</v>
      </c>
      <c r="S432" s="36">
        <f>BASE!A436</f>
        <v>421</v>
      </c>
      <c r="T432" s="46">
        <f t="shared" si="40"/>
        <v>0</v>
      </c>
      <c r="U432" s="46">
        <f t="shared" si="41"/>
        <v>0</v>
      </c>
      <c r="V432" s="46">
        <f t="shared" si="42"/>
        <v>0</v>
      </c>
      <c r="W432" s="46">
        <f t="shared" si="43"/>
        <v>0</v>
      </c>
      <c r="X432" s="46">
        <f t="shared" si="44"/>
        <v>0</v>
      </c>
      <c r="Y432" s="159"/>
    </row>
    <row r="433" spans="1:25" ht="17.25" customHeight="1">
      <c r="A433" s="47">
        <f>+BASE!B437</f>
        <v>0</v>
      </c>
      <c r="B433" s="36" t="s">
        <v>40</v>
      </c>
      <c r="C433" s="46">
        <f t="shared" si="34"/>
        <v>0</v>
      </c>
      <c r="D433" s="46">
        <f t="shared" si="35"/>
        <v>0</v>
      </c>
      <c r="E433" s="46">
        <f t="shared" si="36"/>
        <v>0</v>
      </c>
      <c r="F433" s="46">
        <f t="shared" si="37"/>
        <v>0</v>
      </c>
      <c r="G433" s="43">
        <f t="shared" si="38"/>
        <v>0</v>
      </c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4">
        <f t="shared" si="39"/>
        <v>0</v>
      </c>
      <c r="S433" s="36">
        <f>BASE!A437</f>
        <v>422</v>
      </c>
      <c r="T433" s="46">
        <f t="shared" si="40"/>
        <v>0</v>
      </c>
      <c r="U433" s="46">
        <f t="shared" si="41"/>
        <v>0</v>
      </c>
      <c r="V433" s="46">
        <f t="shared" si="42"/>
        <v>0</v>
      </c>
      <c r="W433" s="46">
        <f t="shared" si="43"/>
        <v>0</v>
      </c>
      <c r="X433" s="46">
        <f t="shared" si="44"/>
        <v>0</v>
      </c>
      <c r="Y433" s="159"/>
    </row>
    <row r="434" spans="1:25" ht="17.25" customHeight="1">
      <c r="A434" s="47">
        <f>+BASE!B438</f>
        <v>0</v>
      </c>
      <c r="B434" s="36" t="s">
        <v>40</v>
      </c>
      <c r="C434" s="46">
        <f t="shared" si="34"/>
        <v>0</v>
      </c>
      <c r="D434" s="46">
        <f t="shared" si="35"/>
        <v>0</v>
      </c>
      <c r="E434" s="46">
        <f t="shared" si="36"/>
        <v>0</v>
      </c>
      <c r="F434" s="46">
        <f t="shared" si="37"/>
        <v>0</v>
      </c>
      <c r="G434" s="43">
        <f t="shared" si="38"/>
        <v>0</v>
      </c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4">
        <f t="shared" si="39"/>
        <v>0</v>
      </c>
      <c r="S434" s="36">
        <f>BASE!A438</f>
        <v>423</v>
      </c>
      <c r="T434" s="46">
        <f t="shared" si="40"/>
        <v>0</v>
      </c>
      <c r="U434" s="46">
        <f t="shared" si="41"/>
        <v>0</v>
      </c>
      <c r="V434" s="46">
        <f t="shared" si="42"/>
        <v>0</v>
      </c>
      <c r="W434" s="46">
        <f t="shared" si="43"/>
        <v>0</v>
      </c>
      <c r="X434" s="46">
        <f t="shared" si="44"/>
        <v>0</v>
      </c>
      <c r="Y434" s="159"/>
    </row>
    <row r="435" spans="1:25" ht="17.25" customHeight="1">
      <c r="A435" s="47">
        <f>+BASE!B439</f>
        <v>0</v>
      </c>
      <c r="B435" s="36" t="s">
        <v>40</v>
      </c>
      <c r="C435" s="46">
        <f t="shared" si="34"/>
        <v>0</v>
      </c>
      <c r="D435" s="46">
        <f t="shared" si="35"/>
        <v>0</v>
      </c>
      <c r="E435" s="46">
        <f t="shared" si="36"/>
        <v>0</v>
      </c>
      <c r="F435" s="46">
        <f t="shared" si="37"/>
        <v>0</v>
      </c>
      <c r="G435" s="43">
        <f t="shared" si="38"/>
        <v>0</v>
      </c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4">
        <f t="shared" si="39"/>
        <v>0</v>
      </c>
      <c r="S435" s="36">
        <f>BASE!A439</f>
        <v>424</v>
      </c>
      <c r="T435" s="46">
        <f t="shared" si="40"/>
        <v>0</v>
      </c>
      <c r="U435" s="46">
        <f t="shared" si="41"/>
        <v>0</v>
      </c>
      <c r="V435" s="46">
        <f t="shared" si="42"/>
        <v>0</v>
      </c>
      <c r="W435" s="46">
        <f t="shared" si="43"/>
        <v>0</v>
      </c>
      <c r="X435" s="46">
        <f t="shared" si="44"/>
        <v>0</v>
      </c>
      <c r="Y435" s="159"/>
    </row>
    <row r="436" spans="1:25" ht="17.25" customHeight="1">
      <c r="A436" s="47">
        <f>+BASE!B440</f>
        <v>0</v>
      </c>
      <c r="B436" s="36" t="s">
        <v>40</v>
      </c>
      <c r="C436" s="46">
        <f t="shared" si="34"/>
        <v>0</v>
      </c>
      <c r="D436" s="46">
        <f t="shared" si="35"/>
        <v>0</v>
      </c>
      <c r="E436" s="46">
        <f t="shared" si="36"/>
        <v>0</v>
      </c>
      <c r="F436" s="46">
        <f t="shared" si="37"/>
        <v>0</v>
      </c>
      <c r="G436" s="43">
        <f t="shared" si="38"/>
        <v>0</v>
      </c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4">
        <f t="shared" si="39"/>
        <v>0</v>
      </c>
      <c r="S436" s="36">
        <f>BASE!A440</f>
        <v>425</v>
      </c>
      <c r="T436" s="46">
        <f t="shared" si="40"/>
        <v>0</v>
      </c>
      <c r="U436" s="46">
        <f t="shared" si="41"/>
        <v>0</v>
      </c>
      <c r="V436" s="46">
        <f t="shared" si="42"/>
        <v>0</v>
      </c>
      <c r="W436" s="46">
        <f t="shared" si="43"/>
        <v>0</v>
      </c>
      <c r="X436" s="46">
        <f t="shared" si="44"/>
        <v>0</v>
      </c>
      <c r="Y436" s="159"/>
    </row>
    <row r="437" spans="1:25" ht="17.25" customHeight="1">
      <c r="A437" s="47">
        <f>+BASE!B441</f>
        <v>0</v>
      </c>
      <c r="B437" s="36" t="s">
        <v>40</v>
      </c>
      <c r="C437" s="46">
        <f t="shared" si="34"/>
        <v>0</v>
      </c>
      <c r="D437" s="46">
        <f t="shared" si="35"/>
        <v>0</v>
      </c>
      <c r="E437" s="46">
        <f t="shared" si="36"/>
        <v>0</v>
      </c>
      <c r="F437" s="46">
        <f t="shared" si="37"/>
        <v>0</v>
      </c>
      <c r="G437" s="43">
        <f t="shared" si="38"/>
        <v>0</v>
      </c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4">
        <f t="shared" si="39"/>
        <v>0</v>
      </c>
      <c r="S437" s="36">
        <f>BASE!A441</f>
        <v>426</v>
      </c>
      <c r="T437" s="46">
        <f t="shared" si="40"/>
        <v>0</v>
      </c>
      <c r="U437" s="46">
        <f t="shared" si="41"/>
        <v>0</v>
      </c>
      <c r="V437" s="46">
        <f t="shared" si="42"/>
        <v>0</v>
      </c>
      <c r="W437" s="46">
        <f t="shared" si="43"/>
        <v>0</v>
      </c>
      <c r="X437" s="46">
        <f t="shared" si="44"/>
        <v>0</v>
      </c>
      <c r="Y437" s="159"/>
    </row>
    <row r="438" spans="1:25" ht="17.25" customHeight="1">
      <c r="A438" s="47">
        <f>+BASE!B442</f>
        <v>0</v>
      </c>
      <c r="B438" s="36" t="s">
        <v>40</v>
      </c>
      <c r="C438" s="46">
        <f t="shared" si="34"/>
        <v>0</v>
      </c>
      <c r="D438" s="46">
        <f t="shared" si="35"/>
        <v>0</v>
      </c>
      <c r="E438" s="46">
        <f t="shared" si="36"/>
        <v>0</v>
      </c>
      <c r="F438" s="46">
        <f t="shared" si="37"/>
        <v>0</v>
      </c>
      <c r="G438" s="43">
        <f t="shared" si="38"/>
        <v>0</v>
      </c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4">
        <f t="shared" si="39"/>
        <v>0</v>
      </c>
      <c r="S438" s="36">
        <f>BASE!A442</f>
        <v>427</v>
      </c>
      <c r="T438" s="46">
        <f t="shared" si="40"/>
        <v>0</v>
      </c>
      <c r="U438" s="46">
        <f t="shared" si="41"/>
        <v>0</v>
      </c>
      <c r="V438" s="46">
        <f t="shared" si="42"/>
        <v>0</v>
      </c>
      <c r="W438" s="46">
        <f t="shared" si="43"/>
        <v>0</v>
      </c>
      <c r="X438" s="46">
        <f t="shared" si="44"/>
        <v>0</v>
      </c>
      <c r="Y438" s="159"/>
    </row>
    <row r="439" spans="1:25" ht="17.25" customHeight="1">
      <c r="A439" s="47">
        <f>+BASE!B443</f>
        <v>0</v>
      </c>
      <c r="B439" s="36" t="s">
        <v>40</v>
      </c>
      <c r="C439" s="46">
        <f t="shared" si="34"/>
        <v>0</v>
      </c>
      <c r="D439" s="46">
        <f t="shared" si="35"/>
        <v>0</v>
      </c>
      <c r="E439" s="46">
        <f t="shared" si="36"/>
        <v>0</v>
      </c>
      <c r="F439" s="46">
        <f t="shared" si="37"/>
        <v>0</v>
      </c>
      <c r="G439" s="43">
        <f t="shared" si="38"/>
        <v>0</v>
      </c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4">
        <f t="shared" si="39"/>
        <v>0</v>
      </c>
      <c r="S439" s="36">
        <f>BASE!A443</f>
        <v>428</v>
      </c>
      <c r="T439" s="46">
        <f t="shared" si="40"/>
        <v>0</v>
      </c>
      <c r="U439" s="46">
        <f t="shared" si="41"/>
        <v>0</v>
      </c>
      <c r="V439" s="46">
        <f t="shared" si="42"/>
        <v>0</v>
      </c>
      <c r="W439" s="46">
        <f t="shared" si="43"/>
        <v>0</v>
      </c>
      <c r="X439" s="46">
        <f t="shared" si="44"/>
        <v>0</v>
      </c>
      <c r="Y439" s="159"/>
    </row>
    <row r="440" spans="1:25" ht="17.25" customHeight="1">
      <c r="A440" s="47">
        <f>+BASE!B444</f>
        <v>0</v>
      </c>
      <c r="B440" s="36" t="s">
        <v>40</v>
      </c>
      <c r="C440" s="46">
        <f t="shared" si="34"/>
        <v>0</v>
      </c>
      <c r="D440" s="46">
        <f t="shared" si="35"/>
        <v>0</v>
      </c>
      <c r="E440" s="46">
        <f t="shared" si="36"/>
        <v>0</v>
      </c>
      <c r="F440" s="46">
        <f t="shared" si="37"/>
        <v>0</v>
      </c>
      <c r="G440" s="43">
        <f t="shared" si="38"/>
        <v>0</v>
      </c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4">
        <f t="shared" si="39"/>
        <v>0</v>
      </c>
      <c r="S440" s="36">
        <f>BASE!A444</f>
        <v>429</v>
      </c>
      <c r="T440" s="46">
        <f t="shared" si="40"/>
        <v>0</v>
      </c>
      <c r="U440" s="46">
        <f t="shared" si="41"/>
        <v>0</v>
      </c>
      <c r="V440" s="46">
        <f t="shared" si="42"/>
        <v>0</v>
      </c>
      <c r="W440" s="46">
        <f t="shared" si="43"/>
        <v>0</v>
      </c>
      <c r="X440" s="46">
        <f t="shared" si="44"/>
        <v>0</v>
      </c>
      <c r="Y440" s="159"/>
    </row>
    <row r="441" spans="1:25" ht="17.25" customHeight="1">
      <c r="A441" s="47">
        <f>+BASE!B445</f>
        <v>0</v>
      </c>
      <c r="B441" s="36" t="s">
        <v>40</v>
      </c>
      <c r="C441" s="46">
        <f t="shared" si="34"/>
        <v>0</v>
      </c>
      <c r="D441" s="46">
        <f t="shared" si="35"/>
        <v>0</v>
      </c>
      <c r="E441" s="46">
        <f t="shared" si="36"/>
        <v>0</v>
      </c>
      <c r="F441" s="46">
        <f t="shared" si="37"/>
        <v>0</v>
      </c>
      <c r="G441" s="43">
        <f t="shared" si="38"/>
        <v>0</v>
      </c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4">
        <f t="shared" si="39"/>
        <v>0</v>
      </c>
      <c r="S441" s="36">
        <f>BASE!A445</f>
        <v>430</v>
      </c>
      <c r="T441" s="46">
        <f t="shared" si="40"/>
        <v>0</v>
      </c>
      <c r="U441" s="46">
        <f t="shared" si="41"/>
        <v>0</v>
      </c>
      <c r="V441" s="46">
        <f t="shared" si="42"/>
        <v>0</v>
      </c>
      <c r="W441" s="46">
        <f t="shared" si="43"/>
        <v>0</v>
      </c>
      <c r="X441" s="46">
        <f t="shared" si="44"/>
        <v>0</v>
      </c>
      <c r="Y441" s="159"/>
    </row>
    <row r="442" spans="1:25" ht="17.25" customHeight="1">
      <c r="A442" s="47">
        <f>+BASE!B446</f>
        <v>0</v>
      </c>
      <c r="B442" s="36" t="s">
        <v>40</v>
      </c>
      <c r="C442" s="46">
        <f t="shared" si="34"/>
        <v>0</v>
      </c>
      <c r="D442" s="46">
        <f t="shared" si="35"/>
        <v>0</v>
      </c>
      <c r="E442" s="46">
        <f t="shared" si="36"/>
        <v>0</v>
      </c>
      <c r="F442" s="46">
        <f t="shared" si="37"/>
        <v>0</v>
      </c>
      <c r="G442" s="43">
        <f t="shared" si="38"/>
        <v>0</v>
      </c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4">
        <f t="shared" si="39"/>
        <v>0</v>
      </c>
      <c r="S442" s="36">
        <f>BASE!A446</f>
        <v>431</v>
      </c>
      <c r="T442" s="46">
        <f t="shared" si="40"/>
        <v>0</v>
      </c>
      <c r="U442" s="46">
        <f t="shared" si="41"/>
        <v>0</v>
      </c>
      <c r="V442" s="46">
        <f t="shared" si="42"/>
        <v>0</v>
      </c>
      <c r="W442" s="46">
        <f t="shared" si="43"/>
        <v>0</v>
      </c>
      <c r="X442" s="46">
        <f t="shared" si="44"/>
        <v>0</v>
      </c>
      <c r="Y442" s="159"/>
    </row>
    <row r="443" spans="1:25" ht="17.25" customHeight="1">
      <c r="A443" s="47">
        <f>+BASE!B447</f>
        <v>0</v>
      </c>
      <c r="B443" s="36" t="s">
        <v>40</v>
      </c>
      <c r="C443" s="46">
        <f t="shared" si="34"/>
        <v>0</v>
      </c>
      <c r="D443" s="46">
        <f t="shared" si="35"/>
        <v>0</v>
      </c>
      <c r="E443" s="46">
        <f t="shared" si="36"/>
        <v>0</v>
      </c>
      <c r="F443" s="46">
        <f t="shared" si="37"/>
        <v>0</v>
      </c>
      <c r="G443" s="43">
        <f t="shared" si="38"/>
        <v>0</v>
      </c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4">
        <f t="shared" si="39"/>
        <v>0</v>
      </c>
      <c r="S443" s="36">
        <f>BASE!A447</f>
        <v>432</v>
      </c>
      <c r="T443" s="46">
        <f t="shared" si="40"/>
        <v>0</v>
      </c>
      <c r="U443" s="46">
        <f t="shared" si="41"/>
        <v>0</v>
      </c>
      <c r="V443" s="46">
        <f t="shared" si="42"/>
        <v>0</v>
      </c>
      <c r="W443" s="46">
        <f t="shared" si="43"/>
        <v>0</v>
      </c>
      <c r="X443" s="46">
        <f t="shared" si="44"/>
        <v>0</v>
      </c>
      <c r="Y443" s="159"/>
    </row>
    <row r="444" spans="1:25" ht="17.25" customHeight="1">
      <c r="A444" s="47">
        <f>+BASE!B448</f>
        <v>0</v>
      </c>
      <c r="B444" s="36" t="s">
        <v>40</v>
      </c>
      <c r="C444" s="46">
        <f t="shared" si="34"/>
        <v>0</v>
      </c>
      <c r="D444" s="46">
        <f t="shared" si="35"/>
        <v>0</v>
      </c>
      <c r="E444" s="46">
        <f t="shared" si="36"/>
        <v>0</v>
      </c>
      <c r="F444" s="46">
        <f t="shared" si="37"/>
        <v>0</v>
      </c>
      <c r="G444" s="43">
        <f t="shared" si="38"/>
        <v>0</v>
      </c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4">
        <f t="shared" si="39"/>
        <v>0</v>
      </c>
      <c r="S444" s="36">
        <f>BASE!A448</f>
        <v>433</v>
      </c>
      <c r="T444" s="46">
        <f t="shared" si="40"/>
        <v>0</v>
      </c>
      <c r="U444" s="46">
        <f t="shared" si="41"/>
        <v>0</v>
      </c>
      <c r="V444" s="46">
        <f t="shared" si="42"/>
        <v>0</v>
      </c>
      <c r="W444" s="46">
        <f t="shared" si="43"/>
        <v>0</v>
      </c>
      <c r="X444" s="46">
        <f t="shared" si="44"/>
        <v>0</v>
      </c>
      <c r="Y444" s="159"/>
    </row>
    <row r="445" spans="1:25" ht="17.25" customHeight="1">
      <c r="A445" s="47">
        <f>+BASE!B449</f>
        <v>0</v>
      </c>
      <c r="B445" s="36" t="s">
        <v>40</v>
      </c>
      <c r="C445" s="46">
        <f t="shared" ref="C445:C461" si="45">IF($N$7="2T+1P", Y445/5, IF($N$7="3T+1P",Y445/5, IF($N$7="3.5T+0.5P",Y445/5, " ")))</f>
        <v>0</v>
      </c>
      <c r="D445" s="46">
        <f t="shared" ref="D445:D461" si="46">IF($N$7="2T+1P", Y445/5, IF($N$7="3T+1P",Y445/5, IF($N$7="3.5T+0.5P",Y445/5, " ")))</f>
        <v>0</v>
      </c>
      <c r="E445" s="46">
        <f t="shared" ref="E445:E461" si="47">IF($N$7="2T+1P", Y445/5, IF($N$7="3T+1P",Y445/5, IF($N$7="3.5T+0.5P",Y445/5, " ")))</f>
        <v>0</v>
      </c>
      <c r="F445" s="46">
        <f t="shared" ref="F445:F461" si="48">IF($N$7="2T+1P", Y445/5, IF($N$7="3T+1P",Y445/5, IF($N$7="3.5T+0.5P",Y445/5, " ")))</f>
        <v>0</v>
      </c>
      <c r="G445" s="43">
        <f t="shared" ref="G445:G461" si="49">IF($N$7="2T+1P", Y445/5, IF($N$7="3T+1P",Y445/5, IF($N$7="3.5T+0.5P",Y445/5, " ")))</f>
        <v>0</v>
      </c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4">
        <f t="shared" ref="R445:R461" si="50">SUM(C445:Q445)</f>
        <v>0</v>
      </c>
      <c r="S445" s="36">
        <f>BASE!A449</f>
        <v>434</v>
      </c>
      <c r="T445" s="46">
        <f t="shared" ref="T445:T461" si="51">SUMIF($C$11:$Q$11,1,C445:Q445)</f>
        <v>0</v>
      </c>
      <c r="U445" s="46">
        <f t="shared" ref="U445:U461" si="52">SUMIF($C$11:$Q$11,2,C445:Q445)</f>
        <v>0</v>
      </c>
      <c r="V445" s="46">
        <f t="shared" ref="V445:V461" si="53">SUMIF($C$11:$Q$11,3,C445:Q445)</f>
        <v>0</v>
      </c>
      <c r="W445" s="46">
        <f t="shared" ref="W445:W461" si="54">SUMIF($C$11:$Q$11,4,C445:Q445)</f>
        <v>0</v>
      </c>
      <c r="X445" s="46">
        <f t="shared" ref="X445:X461" si="55">SUMIF($C$11:$Q$11,5,C445:Q445)</f>
        <v>0</v>
      </c>
      <c r="Y445" s="159"/>
    </row>
    <row r="446" spans="1:25" ht="17.25" customHeight="1">
      <c r="A446" s="47">
        <f>+BASE!B450</f>
        <v>0</v>
      </c>
      <c r="B446" s="36" t="s">
        <v>40</v>
      </c>
      <c r="C446" s="46">
        <f t="shared" si="45"/>
        <v>0</v>
      </c>
      <c r="D446" s="46">
        <f t="shared" si="46"/>
        <v>0</v>
      </c>
      <c r="E446" s="46">
        <f t="shared" si="47"/>
        <v>0</v>
      </c>
      <c r="F446" s="46">
        <f t="shared" si="48"/>
        <v>0</v>
      </c>
      <c r="G446" s="43">
        <f t="shared" si="49"/>
        <v>0</v>
      </c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4">
        <f t="shared" si="50"/>
        <v>0</v>
      </c>
      <c r="S446" s="36">
        <f>BASE!A450</f>
        <v>435</v>
      </c>
      <c r="T446" s="46">
        <f t="shared" si="51"/>
        <v>0</v>
      </c>
      <c r="U446" s="46">
        <f t="shared" si="52"/>
        <v>0</v>
      </c>
      <c r="V446" s="46">
        <f t="shared" si="53"/>
        <v>0</v>
      </c>
      <c r="W446" s="46">
        <f t="shared" si="54"/>
        <v>0</v>
      </c>
      <c r="X446" s="46">
        <f t="shared" si="55"/>
        <v>0</v>
      </c>
      <c r="Y446" s="159"/>
    </row>
    <row r="447" spans="1:25" ht="17.25" customHeight="1">
      <c r="A447" s="47">
        <f>+BASE!B451</f>
        <v>0</v>
      </c>
      <c r="B447" s="36" t="s">
        <v>40</v>
      </c>
      <c r="C447" s="46">
        <f t="shared" si="45"/>
        <v>0</v>
      </c>
      <c r="D447" s="46">
        <f t="shared" si="46"/>
        <v>0</v>
      </c>
      <c r="E447" s="46">
        <f t="shared" si="47"/>
        <v>0</v>
      </c>
      <c r="F447" s="46">
        <f t="shared" si="48"/>
        <v>0</v>
      </c>
      <c r="G447" s="43">
        <f t="shared" si="49"/>
        <v>0</v>
      </c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4">
        <f t="shared" si="50"/>
        <v>0</v>
      </c>
      <c r="S447" s="36">
        <f>BASE!A451</f>
        <v>436</v>
      </c>
      <c r="T447" s="46">
        <f t="shared" si="51"/>
        <v>0</v>
      </c>
      <c r="U447" s="46">
        <f t="shared" si="52"/>
        <v>0</v>
      </c>
      <c r="V447" s="46">
        <f t="shared" si="53"/>
        <v>0</v>
      </c>
      <c r="W447" s="46">
        <f t="shared" si="54"/>
        <v>0</v>
      </c>
      <c r="X447" s="46">
        <f t="shared" si="55"/>
        <v>0</v>
      </c>
      <c r="Y447" s="159"/>
    </row>
    <row r="448" spans="1:25" ht="17.25" customHeight="1">
      <c r="A448" s="47">
        <f>+BASE!B452</f>
        <v>0</v>
      </c>
      <c r="B448" s="36" t="s">
        <v>40</v>
      </c>
      <c r="C448" s="46">
        <f t="shared" si="45"/>
        <v>0</v>
      </c>
      <c r="D448" s="46">
        <f t="shared" si="46"/>
        <v>0</v>
      </c>
      <c r="E448" s="46">
        <f t="shared" si="47"/>
        <v>0</v>
      </c>
      <c r="F448" s="46">
        <f t="shared" si="48"/>
        <v>0</v>
      </c>
      <c r="G448" s="43">
        <f t="shared" si="49"/>
        <v>0</v>
      </c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4">
        <f t="shared" si="50"/>
        <v>0</v>
      </c>
      <c r="S448" s="36">
        <f>BASE!A452</f>
        <v>437</v>
      </c>
      <c r="T448" s="46">
        <f t="shared" si="51"/>
        <v>0</v>
      </c>
      <c r="U448" s="46">
        <f t="shared" si="52"/>
        <v>0</v>
      </c>
      <c r="V448" s="46">
        <f t="shared" si="53"/>
        <v>0</v>
      </c>
      <c r="W448" s="46">
        <f t="shared" si="54"/>
        <v>0</v>
      </c>
      <c r="X448" s="46">
        <f t="shared" si="55"/>
        <v>0</v>
      </c>
      <c r="Y448" s="159"/>
    </row>
    <row r="449" spans="1:25" ht="17.25" customHeight="1">
      <c r="A449" s="47">
        <f>+BASE!B453</f>
        <v>0</v>
      </c>
      <c r="B449" s="36" t="s">
        <v>40</v>
      </c>
      <c r="C449" s="46">
        <f t="shared" si="45"/>
        <v>0</v>
      </c>
      <c r="D449" s="46">
        <f t="shared" si="46"/>
        <v>0</v>
      </c>
      <c r="E449" s="46">
        <f t="shared" si="47"/>
        <v>0</v>
      </c>
      <c r="F449" s="46">
        <f t="shared" si="48"/>
        <v>0</v>
      </c>
      <c r="G449" s="43">
        <f t="shared" si="49"/>
        <v>0</v>
      </c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4">
        <f t="shared" si="50"/>
        <v>0</v>
      </c>
      <c r="S449" s="36">
        <f>BASE!A453</f>
        <v>438</v>
      </c>
      <c r="T449" s="46">
        <f t="shared" si="51"/>
        <v>0</v>
      </c>
      <c r="U449" s="46">
        <f t="shared" si="52"/>
        <v>0</v>
      </c>
      <c r="V449" s="46">
        <f t="shared" si="53"/>
        <v>0</v>
      </c>
      <c r="W449" s="46">
        <f t="shared" si="54"/>
        <v>0</v>
      </c>
      <c r="X449" s="46">
        <f t="shared" si="55"/>
        <v>0</v>
      </c>
      <c r="Y449" s="159"/>
    </row>
    <row r="450" spans="1:25" ht="17.25" customHeight="1">
      <c r="A450" s="47">
        <f>+BASE!B454</f>
        <v>0</v>
      </c>
      <c r="B450" s="36" t="s">
        <v>40</v>
      </c>
      <c r="C450" s="46">
        <f t="shared" si="45"/>
        <v>0</v>
      </c>
      <c r="D450" s="46">
        <f t="shared" si="46"/>
        <v>0</v>
      </c>
      <c r="E450" s="46">
        <f t="shared" si="47"/>
        <v>0</v>
      </c>
      <c r="F450" s="46">
        <f t="shared" si="48"/>
        <v>0</v>
      </c>
      <c r="G450" s="43">
        <f t="shared" si="49"/>
        <v>0</v>
      </c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4">
        <f t="shared" si="50"/>
        <v>0</v>
      </c>
      <c r="S450" s="36">
        <f>BASE!A454</f>
        <v>439</v>
      </c>
      <c r="T450" s="46">
        <f t="shared" si="51"/>
        <v>0</v>
      </c>
      <c r="U450" s="46">
        <f t="shared" si="52"/>
        <v>0</v>
      </c>
      <c r="V450" s="46">
        <f t="shared" si="53"/>
        <v>0</v>
      </c>
      <c r="W450" s="46">
        <f t="shared" si="54"/>
        <v>0</v>
      </c>
      <c r="X450" s="46">
        <f t="shared" si="55"/>
        <v>0</v>
      </c>
      <c r="Y450" s="159"/>
    </row>
    <row r="451" spans="1:25" ht="17.25" customHeight="1">
      <c r="A451" s="47">
        <f>+BASE!B455</f>
        <v>0</v>
      </c>
      <c r="B451" s="36" t="s">
        <v>40</v>
      </c>
      <c r="C451" s="46">
        <f t="shared" si="45"/>
        <v>0</v>
      </c>
      <c r="D451" s="46">
        <f t="shared" si="46"/>
        <v>0</v>
      </c>
      <c r="E451" s="46">
        <f t="shared" si="47"/>
        <v>0</v>
      </c>
      <c r="F451" s="46">
        <f t="shared" si="48"/>
        <v>0</v>
      </c>
      <c r="G451" s="43">
        <f t="shared" si="49"/>
        <v>0</v>
      </c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4">
        <f t="shared" si="50"/>
        <v>0</v>
      </c>
      <c r="S451" s="36">
        <f>BASE!A455</f>
        <v>440</v>
      </c>
      <c r="T451" s="46">
        <f t="shared" si="51"/>
        <v>0</v>
      </c>
      <c r="U451" s="46">
        <f t="shared" si="52"/>
        <v>0</v>
      </c>
      <c r="V451" s="46">
        <f t="shared" si="53"/>
        <v>0</v>
      </c>
      <c r="W451" s="46">
        <f t="shared" si="54"/>
        <v>0</v>
      </c>
      <c r="X451" s="46">
        <f t="shared" si="55"/>
        <v>0</v>
      </c>
      <c r="Y451" s="159"/>
    </row>
    <row r="452" spans="1:25" ht="15.75" customHeight="1">
      <c r="A452" s="47">
        <f>+BASE!B456</f>
        <v>0</v>
      </c>
      <c r="B452" s="36" t="s">
        <v>40</v>
      </c>
      <c r="C452" s="46">
        <f t="shared" si="45"/>
        <v>0</v>
      </c>
      <c r="D452" s="46">
        <f t="shared" si="46"/>
        <v>0</v>
      </c>
      <c r="E452" s="46">
        <f t="shared" si="47"/>
        <v>0</v>
      </c>
      <c r="F452" s="46">
        <f t="shared" si="48"/>
        <v>0</v>
      </c>
      <c r="G452" s="43">
        <f t="shared" si="49"/>
        <v>0</v>
      </c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4">
        <f t="shared" si="50"/>
        <v>0</v>
      </c>
      <c r="S452" s="36">
        <f>BASE!A456</f>
        <v>441</v>
      </c>
      <c r="T452" s="46">
        <f t="shared" si="51"/>
        <v>0</v>
      </c>
      <c r="U452" s="46">
        <f t="shared" si="52"/>
        <v>0</v>
      </c>
      <c r="V452" s="46">
        <f t="shared" si="53"/>
        <v>0</v>
      </c>
      <c r="W452" s="46">
        <f t="shared" si="54"/>
        <v>0</v>
      </c>
      <c r="X452" s="46">
        <f t="shared" si="55"/>
        <v>0</v>
      </c>
      <c r="Y452" s="159"/>
    </row>
    <row r="453" spans="1:25" ht="15.75" customHeight="1">
      <c r="A453" s="47">
        <f>+BASE!B457</f>
        <v>0</v>
      </c>
      <c r="B453" s="36" t="s">
        <v>40</v>
      </c>
      <c r="C453" s="46">
        <f t="shared" si="45"/>
        <v>0</v>
      </c>
      <c r="D453" s="46">
        <f t="shared" si="46"/>
        <v>0</v>
      </c>
      <c r="E453" s="46">
        <f t="shared" si="47"/>
        <v>0</v>
      </c>
      <c r="F453" s="46">
        <f t="shared" si="48"/>
        <v>0</v>
      </c>
      <c r="G453" s="43">
        <f t="shared" si="49"/>
        <v>0</v>
      </c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4">
        <f t="shared" si="50"/>
        <v>0</v>
      </c>
      <c r="S453" s="36">
        <f>BASE!A457</f>
        <v>442</v>
      </c>
      <c r="T453" s="46">
        <f t="shared" si="51"/>
        <v>0</v>
      </c>
      <c r="U453" s="46">
        <f t="shared" si="52"/>
        <v>0</v>
      </c>
      <c r="V453" s="46">
        <f t="shared" si="53"/>
        <v>0</v>
      </c>
      <c r="W453" s="46">
        <f t="shared" si="54"/>
        <v>0</v>
      </c>
      <c r="X453" s="46">
        <f t="shared" si="55"/>
        <v>0</v>
      </c>
      <c r="Y453" s="159"/>
    </row>
    <row r="454" spans="1:25" ht="15.75" customHeight="1">
      <c r="A454" s="47">
        <f>+BASE!B458</f>
        <v>0</v>
      </c>
      <c r="B454" s="36" t="s">
        <v>40</v>
      </c>
      <c r="C454" s="46">
        <f t="shared" si="45"/>
        <v>0</v>
      </c>
      <c r="D454" s="46">
        <f t="shared" si="46"/>
        <v>0</v>
      </c>
      <c r="E454" s="46">
        <f t="shared" si="47"/>
        <v>0</v>
      </c>
      <c r="F454" s="46">
        <f t="shared" si="48"/>
        <v>0</v>
      </c>
      <c r="G454" s="43">
        <f t="shared" si="49"/>
        <v>0</v>
      </c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4">
        <f t="shared" si="50"/>
        <v>0</v>
      </c>
      <c r="S454" s="36">
        <f>BASE!A458</f>
        <v>443</v>
      </c>
      <c r="T454" s="46">
        <f t="shared" si="51"/>
        <v>0</v>
      </c>
      <c r="U454" s="46">
        <f t="shared" si="52"/>
        <v>0</v>
      </c>
      <c r="V454" s="46">
        <f t="shared" si="53"/>
        <v>0</v>
      </c>
      <c r="W454" s="46">
        <f t="shared" si="54"/>
        <v>0</v>
      </c>
      <c r="X454" s="46">
        <f t="shared" si="55"/>
        <v>0</v>
      </c>
      <c r="Y454" s="159"/>
    </row>
    <row r="455" spans="1:25" ht="15.75" customHeight="1">
      <c r="A455" s="47">
        <f>+BASE!B459</f>
        <v>0</v>
      </c>
      <c r="B455" s="36" t="s">
        <v>40</v>
      </c>
      <c r="C455" s="46">
        <f t="shared" si="45"/>
        <v>0</v>
      </c>
      <c r="D455" s="46">
        <f t="shared" si="46"/>
        <v>0</v>
      </c>
      <c r="E455" s="46">
        <f t="shared" si="47"/>
        <v>0</v>
      </c>
      <c r="F455" s="46">
        <f t="shared" si="48"/>
        <v>0</v>
      </c>
      <c r="G455" s="43">
        <f t="shared" si="49"/>
        <v>0</v>
      </c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4">
        <f t="shared" si="50"/>
        <v>0</v>
      </c>
      <c r="S455" s="36">
        <f>BASE!A459</f>
        <v>444</v>
      </c>
      <c r="T455" s="46">
        <f t="shared" si="51"/>
        <v>0</v>
      </c>
      <c r="U455" s="46">
        <f t="shared" si="52"/>
        <v>0</v>
      </c>
      <c r="V455" s="46">
        <f t="shared" si="53"/>
        <v>0</v>
      </c>
      <c r="W455" s="46">
        <f t="shared" si="54"/>
        <v>0</v>
      </c>
      <c r="X455" s="46">
        <f t="shared" si="55"/>
        <v>0</v>
      </c>
      <c r="Y455" s="159"/>
    </row>
    <row r="456" spans="1:25" ht="15.75" customHeight="1">
      <c r="A456" s="47">
        <f>+BASE!B460</f>
        <v>0</v>
      </c>
      <c r="B456" s="36" t="s">
        <v>40</v>
      </c>
      <c r="C456" s="46">
        <f t="shared" si="45"/>
        <v>0</v>
      </c>
      <c r="D456" s="46">
        <f t="shared" si="46"/>
        <v>0</v>
      </c>
      <c r="E456" s="46">
        <f t="shared" si="47"/>
        <v>0</v>
      </c>
      <c r="F456" s="46">
        <f t="shared" si="48"/>
        <v>0</v>
      </c>
      <c r="G456" s="43">
        <f t="shared" si="49"/>
        <v>0</v>
      </c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4">
        <f t="shared" si="50"/>
        <v>0</v>
      </c>
      <c r="S456" s="36">
        <f>BASE!A460</f>
        <v>445</v>
      </c>
      <c r="T456" s="46">
        <f t="shared" si="51"/>
        <v>0</v>
      </c>
      <c r="U456" s="46">
        <f t="shared" si="52"/>
        <v>0</v>
      </c>
      <c r="V456" s="46">
        <f t="shared" si="53"/>
        <v>0</v>
      </c>
      <c r="W456" s="46">
        <f t="shared" si="54"/>
        <v>0</v>
      </c>
      <c r="X456" s="46">
        <f t="shared" si="55"/>
        <v>0</v>
      </c>
      <c r="Y456" s="159"/>
    </row>
    <row r="457" spans="1:25" ht="15.75" customHeight="1">
      <c r="A457" s="47">
        <f>+BASE!B461</f>
        <v>0</v>
      </c>
      <c r="B457" s="36" t="s">
        <v>40</v>
      </c>
      <c r="C457" s="46">
        <f t="shared" si="45"/>
        <v>0</v>
      </c>
      <c r="D457" s="46">
        <f t="shared" si="46"/>
        <v>0</v>
      </c>
      <c r="E457" s="46">
        <f t="shared" si="47"/>
        <v>0</v>
      </c>
      <c r="F457" s="46">
        <f t="shared" si="48"/>
        <v>0</v>
      </c>
      <c r="G457" s="43">
        <f t="shared" si="49"/>
        <v>0</v>
      </c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4">
        <f t="shared" si="50"/>
        <v>0</v>
      </c>
      <c r="S457" s="36">
        <f>BASE!A461</f>
        <v>446</v>
      </c>
      <c r="T457" s="46">
        <f t="shared" si="51"/>
        <v>0</v>
      </c>
      <c r="U457" s="46">
        <f t="shared" si="52"/>
        <v>0</v>
      </c>
      <c r="V457" s="46">
        <f t="shared" si="53"/>
        <v>0</v>
      </c>
      <c r="W457" s="46">
        <f t="shared" si="54"/>
        <v>0</v>
      </c>
      <c r="X457" s="46">
        <f t="shared" si="55"/>
        <v>0</v>
      </c>
      <c r="Y457" s="159"/>
    </row>
    <row r="458" spans="1:25" ht="15.75" customHeight="1">
      <c r="A458" s="47">
        <f>+BASE!B462</f>
        <v>0</v>
      </c>
      <c r="B458" s="36" t="s">
        <v>40</v>
      </c>
      <c r="C458" s="46">
        <f t="shared" si="45"/>
        <v>0</v>
      </c>
      <c r="D458" s="46">
        <f t="shared" si="46"/>
        <v>0</v>
      </c>
      <c r="E458" s="46">
        <f t="shared" si="47"/>
        <v>0</v>
      </c>
      <c r="F458" s="46">
        <f t="shared" si="48"/>
        <v>0</v>
      </c>
      <c r="G458" s="43">
        <f t="shared" si="49"/>
        <v>0</v>
      </c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4">
        <f t="shared" si="50"/>
        <v>0</v>
      </c>
      <c r="S458" s="36">
        <f>BASE!A462</f>
        <v>447</v>
      </c>
      <c r="T458" s="46">
        <f t="shared" si="51"/>
        <v>0</v>
      </c>
      <c r="U458" s="46">
        <f t="shared" si="52"/>
        <v>0</v>
      </c>
      <c r="V458" s="46">
        <f t="shared" si="53"/>
        <v>0</v>
      </c>
      <c r="W458" s="46">
        <f t="shared" si="54"/>
        <v>0</v>
      </c>
      <c r="X458" s="46">
        <f t="shared" si="55"/>
        <v>0</v>
      </c>
      <c r="Y458" s="159"/>
    </row>
    <row r="459" spans="1:25" ht="15.75" customHeight="1">
      <c r="A459" s="47">
        <f>+BASE!B463</f>
        <v>0</v>
      </c>
      <c r="B459" s="36" t="s">
        <v>40</v>
      </c>
      <c r="C459" s="46">
        <f t="shared" si="45"/>
        <v>0</v>
      </c>
      <c r="D459" s="46">
        <f t="shared" si="46"/>
        <v>0</v>
      </c>
      <c r="E459" s="46">
        <f t="shared" si="47"/>
        <v>0</v>
      </c>
      <c r="F459" s="46">
        <f t="shared" si="48"/>
        <v>0</v>
      </c>
      <c r="G459" s="43">
        <f t="shared" si="49"/>
        <v>0</v>
      </c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4">
        <f t="shared" si="50"/>
        <v>0</v>
      </c>
      <c r="S459" s="36">
        <f>BASE!A463</f>
        <v>448</v>
      </c>
      <c r="T459" s="46">
        <f t="shared" si="51"/>
        <v>0</v>
      </c>
      <c r="U459" s="46">
        <f t="shared" si="52"/>
        <v>0</v>
      </c>
      <c r="V459" s="46">
        <f t="shared" si="53"/>
        <v>0</v>
      </c>
      <c r="W459" s="46">
        <f t="shared" si="54"/>
        <v>0</v>
      </c>
      <c r="X459" s="46">
        <f t="shared" si="55"/>
        <v>0</v>
      </c>
      <c r="Y459" s="159"/>
    </row>
    <row r="460" spans="1:25" ht="15.75" customHeight="1">
      <c r="A460" s="47">
        <f>+BASE!B464</f>
        <v>0</v>
      </c>
      <c r="B460" s="36" t="s">
        <v>40</v>
      </c>
      <c r="C460" s="46">
        <f t="shared" si="45"/>
        <v>0</v>
      </c>
      <c r="D460" s="46">
        <f t="shared" si="46"/>
        <v>0</v>
      </c>
      <c r="E460" s="46">
        <f t="shared" si="47"/>
        <v>0</v>
      </c>
      <c r="F460" s="46">
        <f t="shared" si="48"/>
        <v>0</v>
      </c>
      <c r="G460" s="43">
        <f t="shared" si="49"/>
        <v>0</v>
      </c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4">
        <f t="shared" si="50"/>
        <v>0</v>
      </c>
      <c r="S460" s="36">
        <f>BASE!A464</f>
        <v>449</v>
      </c>
      <c r="T460" s="46">
        <f t="shared" si="51"/>
        <v>0</v>
      </c>
      <c r="U460" s="46">
        <f t="shared" si="52"/>
        <v>0</v>
      </c>
      <c r="V460" s="46">
        <f t="shared" si="53"/>
        <v>0</v>
      </c>
      <c r="W460" s="46">
        <f t="shared" si="54"/>
        <v>0</v>
      </c>
      <c r="X460" s="46">
        <f t="shared" si="55"/>
        <v>0</v>
      </c>
      <c r="Y460" s="159"/>
    </row>
    <row r="461" spans="1:25" ht="15.75" customHeight="1">
      <c r="A461" s="47">
        <f>+BASE!B465</f>
        <v>0</v>
      </c>
      <c r="B461" s="36" t="s">
        <v>40</v>
      </c>
      <c r="C461" s="46">
        <f t="shared" si="45"/>
        <v>0</v>
      </c>
      <c r="D461" s="46">
        <f t="shared" si="46"/>
        <v>0</v>
      </c>
      <c r="E461" s="46">
        <f t="shared" si="47"/>
        <v>0</v>
      </c>
      <c r="F461" s="46">
        <f t="shared" si="48"/>
        <v>0</v>
      </c>
      <c r="G461" s="43">
        <f t="shared" si="49"/>
        <v>0</v>
      </c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4">
        <f t="shared" si="50"/>
        <v>0</v>
      </c>
      <c r="S461" s="36">
        <f>BASE!A465</f>
        <v>450</v>
      </c>
      <c r="T461" s="46">
        <f t="shared" si="51"/>
        <v>0</v>
      </c>
      <c r="U461" s="46">
        <f t="shared" si="52"/>
        <v>0</v>
      </c>
      <c r="V461" s="46">
        <f t="shared" si="53"/>
        <v>0</v>
      </c>
      <c r="W461" s="46">
        <f t="shared" si="54"/>
        <v>0</v>
      </c>
      <c r="X461" s="46">
        <f t="shared" si="55"/>
        <v>0</v>
      </c>
      <c r="Y461" s="159"/>
    </row>
    <row r="463" spans="1:25" ht="15.75" customHeight="1"/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sheetProtection sheet="1" objects="1" scenarios="1" deleteColumns="0" deleteRows="0"/>
  <mergeCells count="32">
    <mergeCell ref="S9:S11"/>
    <mergeCell ref="T11:X11"/>
    <mergeCell ref="O4:R4"/>
    <mergeCell ref="S4:T4"/>
    <mergeCell ref="Q6:R6"/>
    <mergeCell ref="S6:T6"/>
    <mergeCell ref="U6:V6"/>
    <mergeCell ref="N7:R7"/>
    <mergeCell ref="U4:X4"/>
    <mergeCell ref="S5:T5"/>
    <mergeCell ref="U5:X5"/>
    <mergeCell ref="S7:T7"/>
    <mergeCell ref="U7:X7"/>
    <mergeCell ref="A9:A11"/>
    <mergeCell ref="G4:J4"/>
    <mergeCell ref="K4:N4"/>
    <mergeCell ref="C5:F5"/>
    <mergeCell ref="G5:R5"/>
    <mergeCell ref="C6:F6"/>
    <mergeCell ref="L6:P6"/>
    <mergeCell ref="R9:R11"/>
    <mergeCell ref="C4:F4"/>
    <mergeCell ref="G6:I6"/>
    <mergeCell ref="J6:K6"/>
    <mergeCell ref="I7:M7"/>
    <mergeCell ref="C7:H7"/>
    <mergeCell ref="A1:R1"/>
    <mergeCell ref="S1:X1"/>
    <mergeCell ref="A2:R2"/>
    <mergeCell ref="S2:X2"/>
    <mergeCell ref="A3:R3"/>
    <mergeCell ref="S3:X3"/>
  </mergeCells>
  <dataValidations count="2">
    <dataValidation type="custom" allowBlank="1" showErrorMessage="1" sqref="Y12:Y461">
      <formula1>IF($N$7="2T+1P", Y12&lt;=10, IF($N$7="3T+1P", Y12&lt;=10, IF($N$7="3.5T+0.5P", Y12&lt;=15, TRUE)))</formula1>
    </dataValidation>
    <dataValidation allowBlank="1" showErrorMessage="1" sqref="N7:R7"/>
  </dataValidations>
  <printOptions horizontalCentered="1"/>
  <pageMargins left="0.43307086614173229" right="0.19685039370078741" top="0.51181102362204722" bottom="0.51181102362204722" header="0" footer="0"/>
  <pageSetup paperSize="9" orientation="portrait"/>
  <rowBreaks count="4" manualBreakCount="4">
    <brk id="43" man="1"/>
    <brk id="139" man="1"/>
    <brk id="59" man="1"/>
    <brk id="107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Y991"/>
  <sheetViews>
    <sheetView workbookViewId="0">
      <selection activeCell="W12" sqref="W12"/>
    </sheetView>
  </sheetViews>
  <sheetFormatPr defaultColWidth="14.42578125" defaultRowHeight="15" customHeight="1"/>
  <cols>
    <col min="1" max="1" width="15" style="79" customWidth="1"/>
    <col min="2" max="2" width="7.7109375" style="79" customWidth="1"/>
    <col min="3" max="4" width="6.42578125" style="79" customWidth="1"/>
    <col min="5" max="5" width="7.42578125" style="79" customWidth="1"/>
    <col min="6" max="8" width="6.42578125" style="79" customWidth="1"/>
    <col min="9" max="9" width="8.7109375" style="79" customWidth="1"/>
    <col min="10" max="14" width="6.42578125" style="79" customWidth="1"/>
    <col min="15" max="15" width="4.140625" style="79" customWidth="1"/>
    <col min="16" max="16" width="14.42578125" style="79"/>
    <col min="17" max="22" width="11.42578125" style="79" customWidth="1"/>
    <col min="23" max="23" width="17.42578125" style="79" customWidth="1"/>
    <col min="24" max="24" width="16.140625" style="79" customWidth="1"/>
    <col min="25" max="16384" width="14.42578125" style="79"/>
  </cols>
  <sheetData>
    <row r="1" spans="1:25" ht="23.25" customHeight="1">
      <c r="A1" s="305">
        <f>BASE!A7</f>
        <v>0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304">
        <f>BASE!A7</f>
        <v>0</v>
      </c>
      <c r="R1" s="261"/>
      <c r="S1" s="261"/>
      <c r="T1" s="261"/>
      <c r="U1" s="261"/>
      <c r="V1" s="261"/>
    </row>
    <row r="2" spans="1:25" ht="23.25" customHeight="1">
      <c r="A2" s="305" t="str">
        <f>+BASE!A8</f>
        <v>DEPARTMENT OF __________________________________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304" t="str">
        <f>BASE!A8</f>
        <v>DEPARTMENT OF __________________________________</v>
      </c>
      <c r="R2" s="261"/>
      <c r="S2" s="261"/>
      <c r="T2" s="261"/>
      <c r="U2" s="261"/>
      <c r="V2" s="261"/>
    </row>
    <row r="3" spans="1:25" ht="23.25" customHeight="1">
      <c r="A3" s="305" t="str">
        <f>+BASE!A9</f>
        <v>THEORY CUM PRACTICAL COURSE OUTCOME ANALYSIS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304" t="str">
        <f>BASE!A9</f>
        <v>THEORY CUM PRACTICAL COURSE OUTCOME ANALYSIS</v>
      </c>
      <c r="R3" s="261"/>
      <c r="S3" s="261"/>
      <c r="T3" s="261"/>
      <c r="U3" s="261"/>
      <c r="V3" s="261"/>
    </row>
    <row r="4" spans="1:25" ht="36.75" customHeight="1">
      <c r="A4" s="107" t="str">
        <f>BASE!A11</f>
        <v>Name of Faculty(s)</v>
      </c>
      <c r="B4" s="106" t="s">
        <v>40</v>
      </c>
      <c r="C4" s="306">
        <f>BASE!D11</f>
        <v>1</v>
      </c>
      <c r="D4" s="261"/>
      <c r="E4" s="261"/>
      <c r="F4" s="261"/>
      <c r="G4" s="306">
        <f>BASE!G11</f>
        <v>1</v>
      </c>
      <c r="H4" s="261"/>
      <c r="I4" s="261"/>
      <c r="J4" s="261"/>
      <c r="K4" s="261"/>
      <c r="L4" s="306">
        <f>BASE!J11</f>
        <v>1</v>
      </c>
      <c r="M4" s="261"/>
      <c r="N4" s="261"/>
      <c r="O4" s="306">
        <f>BASE!M11</f>
        <v>1</v>
      </c>
      <c r="P4" s="261"/>
      <c r="Q4" s="260" t="s">
        <v>41</v>
      </c>
      <c r="R4" s="261"/>
      <c r="S4" s="304" t="str">
        <f>BASE!D12</f>
        <v>22ABXCXX</v>
      </c>
      <c r="T4" s="261"/>
      <c r="U4" s="261"/>
      <c r="V4" s="261"/>
      <c r="W4" s="124"/>
    </row>
    <row r="5" spans="1:25" ht="39" customHeight="1">
      <c r="A5" s="107" t="str">
        <f>BASE!A12</f>
        <v>Course Code and Name</v>
      </c>
      <c r="B5" s="106" t="s">
        <v>40</v>
      </c>
      <c r="C5" s="306" t="str">
        <f>BASE!D12</f>
        <v>22ABXCXX</v>
      </c>
      <c r="D5" s="261"/>
      <c r="E5" s="261"/>
      <c r="F5" s="261"/>
      <c r="G5" s="306" t="str">
        <f>BASE!G12</f>
        <v>XXXXXXXX XXXXX XXXXXXXX</v>
      </c>
      <c r="H5" s="261"/>
      <c r="I5" s="261"/>
      <c r="J5" s="261"/>
      <c r="K5" s="261"/>
      <c r="L5" s="261"/>
      <c r="M5" s="261"/>
      <c r="N5" s="261"/>
      <c r="O5" s="261"/>
      <c r="P5" s="261"/>
      <c r="Q5" s="304" t="s">
        <v>42</v>
      </c>
      <c r="R5" s="261"/>
      <c r="S5" s="304" t="str">
        <f>BASE!G12</f>
        <v>XXXXXXXX XXXXX XXXXXXXX</v>
      </c>
      <c r="T5" s="261"/>
      <c r="U5" s="261"/>
      <c r="V5" s="261"/>
      <c r="W5" s="124"/>
      <c r="Y5" s="118"/>
    </row>
    <row r="6" spans="1:25" ht="51" customHeight="1">
      <c r="A6" s="107" t="str">
        <f>BASE!A13</f>
        <v>Branch / Year / Semester</v>
      </c>
      <c r="B6" s="106" t="s">
        <v>40</v>
      </c>
      <c r="C6" s="306" t="str">
        <f>+BASE!D13</f>
        <v>abcd</v>
      </c>
      <c r="D6" s="261"/>
      <c r="E6" s="261"/>
      <c r="F6" s="261"/>
      <c r="G6" s="305">
        <f>BASE!H13</f>
        <v>1</v>
      </c>
      <c r="H6" s="261"/>
      <c r="I6" s="305" t="str">
        <f>BASE!L13</f>
        <v>IV</v>
      </c>
      <c r="J6" s="261"/>
      <c r="K6" s="305" t="s">
        <v>68</v>
      </c>
      <c r="L6" s="261"/>
      <c r="M6" s="261"/>
      <c r="N6" s="261"/>
      <c r="O6" s="311"/>
      <c r="P6" s="312"/>
      <c r="Q6" s="260" t="str">
        <f t="shared" ref="Q6:Q7" si="0">A6</f>
        <v>Branch / Year / Semester</v>
      </c>
      <c r="R6" s="261"/>
      <c r="S6" s="304" t="str">
        <f>+BASE!D13</f>
        <v>abcd</v>
      </c>
      <c r="T6" s="261"/>
      <c r="U6" s="91">
        <f>BASE!H13</f>
        <v>1</v>
      </c>
      <c r="V6" s="91">
        <f>BASE!I13</f>
        <v>0</v>
      </c>
      <c r="W6" s="125"/>
      <c r="Y6" s="118"/>
    </row>
    <row r="7" spans="1:25" ht="27.75" customHeight="1">
      <c r="A7" s="107" t="s">
        <v>69</v>
      </c>
      <c r="B7" s="106" t="s">
        <v>40</v>
      </c>
      <c r="C7" s="305" t="s">
        <v>70</v>
      </c>
      <c r="D7" s="261"/>
      <c r="E7" s="261"/>
      <c r="F7" s="261"/>
      <c r="G7" s="307" t="s">
        <v>71</v>
      </c>
      <c r="H7" s="261"/>
      <c r="I7" s="261"/>
      <c r="J7" s="160"/>
      <c r="K7" s="308" t="s">
        <v>64</v>
      </c>
      <c r="L7" s="261"/>
      <c r="M7" s="261"/>
      <c r="N7" s="261"/>
      <c r="O7" s="309" t="str">
        <f>BASE!Q12</f>
        <v>3T+1P</v>
      </c>
      <c r="P7" s="302"/>
      <c r="Q7" s="260" t="str">
        <f t="shared" si="0"/>
        <v>Assesment</v>
      </c>
      <c r="R7" s="261"/>
      <c r="S7" s="304" t="str">
        <f>C7</f>
        <v>Lab Assesment / Model</v>
      </c>
      <c r="T7" s="261"/>
      <c r="U7" s="261"/>
      <c r="V7" s="261"/>
      <c r="W7" s="125"/>
      <c r="Y7" s="118"/>
    </row>
    <row r="8" spans="1:25" ht="18">
      <c r="A8" s="106"/>
      <c r="B8" s="109"/>
      <c r="C8" s="106"/>
      <c r="D8" s="106"/>
      <c r="E8" s="106"/>
      <c r="F8" s="106"/>
      <c r="G8" s="106"/>
      <c r="H8" s="106"/>
      <c r="I8" s="97"/>
      <c r="J8" s="97"/>
      <c r="K8" s="97"/>
      <c r="L8" s="97"/>
      <c r="M8" s="97"/>
      <c r="N8" s="97"/>
      <c r="O8" s="97"/>
      <c r="P8" s="107"/>
      <c r="Q8" s="106"/>
      <c r="R8" s="108"/>
      <c r="S8" s="108"/>
      <c r="T8" s="108"/>
      <c r="U8" s="108"/>
      <c r="V8" s="108"/>
      <c r="W8" s="125"/>
    </row>
    <row r="9" spans="1:25" ht="54">
      <c r="A9" s="306" t="s">
        <v>47</v>
      </c>
      <c r="B9" s="106"/>
      <c r="C9" s="305" t="s">
        <v>72</v>
      </c>
      <c r="D9" s="261"/>
      <c r="E9" s="261"/>
      <c r="F9" s="261"/>
      <c r="G9" s="261"/>
      <c r="H9" s="97"/>
      <c r="I9" s="305" t="s">
        <v>73</v>
      </c>
      <c r="J9" s="261"/>
      <c r="K9" s="261"/>
      <c r="L9" s="261"/>
      <c r="M9" s="261"/>
      <c r="N9" s="97"/>
      <c r="O9" s="97"/>
      <c r="P9" s="306" t="s">
        <v>49</v>
      </c>
      <c r="Q9" s="306" t="s">
        <v>50</v>
      </c>
      <c r="R9" s="106" t="s">
        <v>51</v>
      </c>
      <c r="S9" s="106" t="s">
        <v>52</v>
      </c>
      <c r="T9" s="106" t="s">
        <v>53</v>
      </c>
      <c r="U9" s="106" t="s">
        <v>54</v>
      </c>
      <c r="V9" s="106" t="s">
        <v>55</v>
      </c>
      <c r="W9" s="123" t="s">
        <v>72</v>
      </c>
      <c r="X9" s="123" t="s">
        <v>74</v>
      </c>
    </row>
    <row r="10" spans="1:25" ht="40.5" customHeight="1">
      <c r="A10" s="261"/>
      <c r="B10" s="107" t="s">
        <v>56</v>
      </c>
      <c r="C10" s="106">
        <f t="shared" ref="C10:G10" si="1">IF($O$7="2T+1P", 3, IF($O$7="3T+1P", 3, IF($O$7="3.5T+0.5P", 2, " ")))</f>
        <v>3</v>
      </c>
      <c r="D10" s="106">
        <f t="shared" si="1"/>
        <v>3</v>
      </c>
      <c r="E10" s="106">
        <f t="shared" si="1"/>
        <v>3</v>
      </c>
      <c r="F10" s="106">
        <f t="shared" si="1"/>
        <v>3</v>
      </c>
      <c r="G10" s="106">
        <f t="shared" si="1"/>
        <v>3</v>
      </c>
      <c r="H10" s="106"/>
      <c r="I10" s="106">
        <f t="shared" ref="I10:M10" si="2">IF($O$7="2T+1P", 2, IF($O$7="3T+1P", 2, IF($O$7="3.5T+0.5P", "  ", " ")))</f>
        <v>2</v>
      </c>
      <c r="J10" s="106">
        <f t="shared" si="2"/>
        <v>2</v>
      </c>
      <c r="K10" s="106">
        <f t="shared" si="2"/>
        <v>2</v>
      </c>
      <c r="L10" s="106">
        <f t="shared" si="2"/>
        <v>2</v>
      </c>
      <c r="M10" s="106">
        <f t="shared" si="2"/>
        <v>2</v>
      </c>
      <c r="N10" s="106"/>
      <c r="O10" s="106"/>
      <c r="P10" s="261"/>
      <c r="Q10" s="261"/>
      <c r="R10" s="97">
        <f>SUMIF($C$11:$O$11,1,C10:O10)</f>
        <v>5</v>
      </c>
      <c r="S10" s="97">
        <f>SUMIF($C$11:$O$11,2,C10:O10)</f>
        <v>5</v>
      </c>
      <c r="T10" s="97">
        <f>SUMIF($C$11:$O$11,3,C10:O10)</f>
        <v>5</v>
      </c>
      <c r="U10" s="97">
        <f>SUMIF($C$11:$O$11,4,C10:O10)</f>
        <v>5</v>
      </c>
      <c r="V10" s="97">
        <f>SUMIF($C$11:$O$11,5,C10:O10)</f>
        <v>5</v>
      </c>
      <c r="W10" s="119" t="str">
        <f>IF($O$7="2T+1P","Out of 15 Marks", IF($O$7="3T+1P", "Out of 15 Marks", IF($O$7="3.5T+0.5P", "Out of 10 Marks", " ")))</f>
        <v>Out of 15 Marks</v>
      </c>
      <c r="X10" s="119" t="str">
        <f>IF($O$7="2T+1P","Out of 10 Marks", IF($O$7="3T+1P", "Out of 10 Marks", IF($O$7="3.5T+0.5P", "- ", " ")))</f>
        <v>Out of 10 Marks</v>
      </c>
    </row>
    <row r="11" spans="1:25" ht="22.5" customHeight="1">
      <c r="A11" s="261"/>
      <c r="B11" s="106" t="s">
        <v>57</v>
      </c>
      <c r="C11" s="106">
        <v>1</v>
      </c>
      <c r="D11" s="106">
        <v>2</v>
      </c>
      <c r="E11" s="106">
        <v>3</v>
      </c>
      <c r="F11" s="106">
        <v>4</v>
      </c>
      <c r="G11" s="106">
        <v>5</v>
      </c>
      <c r="H11" s="106"/>
      <c r="I11" s="106">
        <v>1</v>
      </c>
      <c r="J11" s="106">
        <v>2</v>
      </c>
      <c r="K11" s="106">
        <v>3</v>
      </c>
      <c r="L11" s="106">
        <v>4</v>
      </c>
      <c r="M11" s="106">
        <v>5</v>
      </c>
      <c r="N11" s="106"/>
      <c r="O11" s="106"/>
      <c r="P11" s="261"/>
      <c r="Q11" s="261"/>
      <c r="R11" s="310"/>
      <c r="S11" s="261"/>
      <c r="T11" s="261"/>
      <c r="U11" s="261"/>
      <c r="V11" s="261"/>
      <c r="W11" s="120"/>
      <c r="X11" s="120"/>
    </row>
    <row r="12" spans="1:25" ht="18.75" customHeight="1">
      <c r="A12" s="110" t="str">
        <f>+BASE!B16</f>
        <v>23XXR001</v>
      </c>
      <c r="B12" s="106" t="s">
        <v>40</v>
      </c>
      <c r="C12" s="111">
        <f t="shared" ref="C12:C252" si="3">IF($O$7="2T+1P", W12/5, IF($O$7="3T+1P",W12/5, IF($O$7="3.5T+0.5P",W12/5, " ")))</f>
        <v>0</v>
      </c>
      <c r="D12" s="111">
        <f t="shared" ref="D12:D252" si="4">IF($O$7="2T+1P", W12/5, IF($O$7="3T+1P",W12/5, IF($O$7="3.5T+0.5P",W12/5, " ")))</f>
        <v>0</v>
      </c>
      <c r="E12" s="111">
        <f t="shared" ref="E12:E252" si="5">IF($O$7="2T+1P", W12/5, IF($O$7="3T+1P",W12/5, IF($O$7="3.5T+0.5P",W12/5, " ")))</f>
        <v>0</v>
      </c>
      <c r="F12" s="111">
        <f t="shared" ref="F12:F252" si="6">IF($O$7="2T+1P", W12/5, IF($O$7="3T+1P",W12/5, IF($O$7="3.5T+0.5P",W12/5, " ")))</f>
        <v>0</v>
      </c>
      <c r="G12" s="111">
        <f t="shared" ref="G12:G252" si="7">IF($O$7="2T+1P", W12/5, IF($O$7="3T+1P",W12/5, IF($O$7="3.5T+0.5P",W12/5, " ")))</f>
        <v>0</v>
      </c>
      <c r="H12" s="111"/>
      <c r="I12" s="97">
        <f>IF($O$7="2T+1P", X12/5, IF($O$7="3T+1P",X12/5, IF($O$7="3.5T+0.5P",X12/5, "  ")))</f>
        <v>0</v>
      </c>
      <c r="J12" s="97">
        <f t="shared" ref="J12:J252" si="8">IF($O$7="2T+1P", X12/5, IF($O$7="3T+1P",X12/5, IF($O$7="3.5T+0.5P",X12/5, " ")))</f>
        <v>0</v>
      </c>
      <c r="K12" s="97">
        <f t="shared" ref="K12:K252" si="9">IF($O$7="2T+1P", X12/5, IF($O$7="3T+1P",X12/5, IF($O$7="3.5T+0.5P",X12/5, " ")))</f>
        <v>0</v>
      </c>
      <c r="L12" s="97">
        <f t="shared" ref="L12:L252" si="10">IF($O$7="2T+1P", X12/5, IF($O$7="3T+1P",X12/5, IF($O$7="3.5T+0.5P",X12/5, " ")))</f>
        <v>0</v>
      </c>
      <c r="M12" s="97">
        <f t="shared" ref="M12:M252" si="11">IF($O$7="2T+1P", X12/5, IF($O$7="3T+1P",X12/5, IF($O$7="3.5T+0.5P",X12/5, " ")))</f>
        <v>0</v>
      </c>
      <c r="N12" s="111"/>
      <c r="O12" s="110"/>
      <c r="P12" s="112">
        <f t="shared" ref="P12:P252" si="12">SUM(C12:O12)</f>
        <v>0</v>
      </c>
      <c r="Q12" s="106">
        <f>BASE!A16</f>
        <v>1</v>
      </c>
      <c r="R12" s="97">
        <f t="shared" ref="R12:R252" si="13">SUMIF($C$11:$O$11,1,C12:O12)</f>
        <v>0</v>
      </c>
      <c r="S12" s="97">
        <f t="shared" ref="S12:S252" si="14">SUMIF($C$11:$O$11,2,D12:P12)</f>
        <v>0</v>
      </c>
      <c r="T12" s="97">
        <f t="shared" ref="T12:T252" si="15">SUMIF($C$11:$O$11,3,E12:Q12)</f>
        <v>0</v>
      </c>
      <c r="U12" s="97">
        <f t="shared" ref="U12:U252" si="16">SUMIF($C$11:$O$11,4,C12:O12)</f>
        <v>0</v>
      </c>
      <c r="V12" s="97">
        <f t="shared" ref="V12:V252" si="17">SUMIF($C$11:$O$11,5,C12:O12)</f>
        <v>0</v>
      </c>
      <c r="W12" s="161"/>
      <c r="X12" s="161"/>
    </row>
    <row r="13" spans="1:25" ht="18.75" customHeight="1">
      <c r="A13" s="110" t="str">
        <f>+BASE!B17</f>
        <v>23XXR002</v>
      </c>
      <c r="B13" s="106" t="s">
        <v>40</v>
      </c>
      <c r="C13" s="111">
        <f t="shared" si="3"/>
        <v>0</v>
      </c>
      <c r="D13" s="111">
        <f t="shared" si="4"/>
        <v>0</v>
      </c>
      <c r="E13" s="111">
        <f t="shared" si="5"/>
        <v>0</v>
      </c>
      <c r="F13" s="111">
        <f t="shared" si="6"/>
        <v>0</v>
      </c>
      <c r="G13" s="111">
        <f t="shared" si="7"/>
        <v>0</v>
      </c>
      <c r="H13" s="111"/>
      <c r="I13" s="97">
        <f t="shared" ref="I13:I252" si="18">IF($O$7="2T+1P", X13/5, IF($O$7="3T+1P",X13/5, IF($O$7="3.5T+0.5P",X13/5, " ")))</f>
        <v>0</v>
      </c>
      <c r="J13" s="97">
        <f t="shared" si="8"/>
        <v>0</v>
      </c>
      <c r="K13" s="97">
        <f t="shared" si="9"/>
        <v>0</v>
      </c>
      <c r="L13" s="97">
        <f t="shared" si="10"/>
        <v>0</v>
      </c>
      <c r="M13" s="97">
        <f t="shared" si="11"/>
        <v>0</v>
      </c>
      <c r="N13" s="111"/>
      <c r="O13" s="110"/>
      <c r="P13" s="112">
        <f t="shared" si="12"/>
        <v>0</v>
      </c>
      <c r="Q13" s="106">
        <f>BASE!A17</f>
        <v>2</v>
      </c>
      <c r="R13" s="97">
        <f t="shared" si="13"/>
        <v>0</v>
      </c>
      <c r="S13" s="97">
        <f t="shared" si="14"/>
        <v>0</v>
      </c>
      <c r="T13" s="97">
        <f t="shared" si="15"/>
        <v>0</v>
      </c>
      <c r="U13" s="97">
        <f t="shared" si="16"/>
        <v>0</v>
      </c>
      <c r="V13" s="97">
        <f t="shared" si="17"/>
        <v>0</v>
      </c>
      <c r="W13" s="161"/>
      <c r="X13" s="161"/>
    </row>
    <row r="14" spans="1:25" ht="18.75" customHeight="1">
      <c r="A14" s="110" t="str">
        <f>+BASE!B18</f>
        <v>23XXR003</v>
      </c>
      <c r="B14" s="106" t="s">
        <v>40</v>
      </c>
      <c r="C14" s="111">
        <f t="shared" si="3"/>
        <v>0</v>
      </c>
      <c r="D14" s="111">
        <f t="shared" si="4"/>
        <v>0</v>
      </c>
      <c r="E14" s="111">
        <f t="shared" si="5"/>
        <v>0</v>
      </c>
      <c r="F14" s="111">
        <f t="shared" si="6"/>
        <v>0</v>
      </c>
      <c r="G14" s="111">
        <f t="shared" si="7"/>
        <v>0</v>
      </c>
      <c r="H14" s="111"/>
      <c r="I14" s="97">
        <f t="shared" si="18"/>
        <v>0</v>
      </c>
      <c r="J14" s="97">
        <f t="shared" si="8"/>
        <v>0</v>
      </c>
      <c r="K14" s="97">
        <f t="shared" si="9"/>
        <v>0</v>
      </c>
      <c r="L14" s="97">
        <f t="shared" si="10"/>
        <v>0</v>
      </c>
      <c r="M14" s="97">
        <f t="shared" si="11"/>
        <v>0</v>
      </c>
      <c r="N14" s="111"/>
      <c r="O14" s="110"/>
      <c r="P14" s="112">
        <f t="shared" si="12"/>
        <v>0</v>
      </c>
      <c r="Q14" s="106">
        <f>BASE!A18</f>
        <v>3</v>
      </c>
      <c r="R14" s="97">
        <f t="shared" si="13"/>
        <v>0</v>
      </c>
      <c r="S14" s="97">
        <f t="shared" si="14"/>
        <v>0</v>
      </c>
      <c r="T14" s="97">
        <f t="shared" si="15"/>
        <v>0</v>
      </c>
      <c r="U14" s="97">
        <f t="shared" si="16"/>
        <v>0</v>
      </c>
      <c r="V14" s="97">
        <f t="shared" si="17"/>
        <v>0</v>
      </c>
      <c r="W14" s="161"/>
      <c r="X14" s="161"/>
    </row>
    <row r="15" spans="1:25" ht="18.75" customHeight="1">
      <c r="A15" s="110" t="str">
        <f>+BASE!B19</f>
        <v>23XXR004</v>
      </c>
      <c r="B15" s="106" t="s">
        <v>40</v>
      </c>
      <c r="C15" s="111">
        <f t="shared" si="3"/>
        <v>0</v>
      </c>
      <c r="D15" s="111">
        <f t="shared" si="4"/>
        <v>0</v>
      </c>
      <c r="E15" s="111">
        <f t="shared" si="5"/>
        <v>0</v>
      </c>
      <c r="F15" s="111">
        <f t="shared" si="6"/>
        <v>0</v>
      </c>
      <c r="G15" s="111">
        <f t="shared" si="7"/>
        <v>0</v>
      </c>
      <c r="H15" s="111"/>
      <c r="I15" s="97">
        <f t="shared" si="18"/>
        <v>0</v>
      </c>
      <c r="J15" s="97">
        <f t="shared" si="8"/>
        <v>0</v>
      </c>
      <c r="K15" s="97">
        <f t="shared" si="9"/>
        <v>0</v>
      </c>
      <c r="L15" s="97">
        <f t="shared" si="10"/>
        <v>0</v>
      </c>
      <c r="M15" s="97">
        <f t="shared" si="11"/>
        <v>0</v>
      </c>
      <c r="N15" s="111"/>
      <c r="O15" s="110"/>
      <c r="P15" s="112">
        <f t="shared" si="12"/>
        <v>0</v>
      </c>
      <c r="Q15" s="106">
        <f>BASE!A19</f>
        <v>4</v>
      </c>
      <c r="R15" s="97">
        <f t="shared" si="13"/>
        <v>0</v>
      </c>
      <c r="S15" s="97">
        <f t="shared" si="14"/>
        <v>0</v>
      </c>
      <c r="T15" s="97">
        <f t="shared" si="15"/>
        <v>0</v>
      </c>
      <c r="U15" s="97">
        <f t="shared" si="16"/>
        <v>0</v>
      </c>
      <c r="V15" s="97">
        <f t="shared" si="17"/>
        <v>0</v>
      </c>
      <c r="W15" s="161"/>
      <c r="X15" s="161"/>
    </row>
    <row r="16" spans="1:25" ht="18.75" customHeight="1">
      <c r="A16" s="110" t="str">
        <f>+BASE!B20</f>
        <v>23XXR005</v>
      </c>
      <c r="B16" s="106" t="s">
        <v>40</v>
      </c>
      <c r="C16" s="111">
        <f t="shared" si="3"/>
        <v>0</v>
      </c>
      <c r="D16" s="111">
        <f t="shared" si="4"/>
        <v>0</v>
      </c>
      <c r="E16" s="111">
        <f t="shared" si="5"/>
        <v>0</v>
      </c>
      <c r="F16" s="111">
        <f t="shared" si="6"/>
        <v>0</v>
      </c>
      <c r="G16" s="111">
        <f t="shared" si="7"/>
        <v>0</v>
      </c>
      <c r="H16" s="111"/>
      <c r="I16" s="97">
        <f t="shared" si="18"/>
        <v>0</v>
      </c>
      <c r="J16" s="97">
        <f t="shared" si="8"/>
        <v>0</v>
      </c>
      <c r="K16" s="97">
        <f t="shared" si="9"/>
        <v>0</v>
      </c>
      <c r="L16" s="97">
        <f t="shared" si="10"/>
        <v>0</v>
      </c>
      <c r="M16" s="97">
        <f t="shared" si="11"/>
        <v>0</v>
      </c>
      <c r="N16" s="111"/>
      <c r="O16" s="110"/>
      <c r="P16" s="112">
        <f t="shared" si="12"/>
        <v>0</v>
      </c>
      <c r="Q16" s="106">
        <f>BASE!A20</f>
        <v>5</v>
      </c>
      <c r="R16" s="97">
        <f t="shared" si="13"/>
        <v>0</v>
      </c>
      <c r="S16" s="97">
        <f t="shared" si="14"/>
        <v>0</v>
      </c>
      <c r="T16" s="97">
        <f t="shared" si="15"/>
        <v>0</v>
      </c>
      <c r="U16" s="97">
        <f t="shared" si="16"/>
        <v>0</v>
      </c>
      <c r="V16" s="97">
        <f t="shared" si="17"/>
        <v>0</v>
      </c>
      <c r="W16" s="161"/>
      <c r="X16" s="161"/>
    </row>
    <row r="17" spans="1:24" ht="18.75" customHeight="1">
      <c r="A17" s="110" t="str">
        <f>+BASE!B21</f>
        <v>23XXR006</v>
      </c>
      <c r="B17" s="106" t="s">
        <v>40</v>
      </c>
      <c r="C17" s="111">
        <f t="shared" si="3"/>
        <v>0</v>
      </c>
      <c r="D17" s="111">
        <f t="shared" si="4"/>
        <v>0</v>
      </c>
      <c r="E17" s="111">
        <f t="shared" si="5"/>
        <v>0</v>
      </c>
      <c r="F17" s="111">
        <f t="shared" si="6"/>
        <v>0</v>
      </c>
      <c r="G17" s="111">
        <f t="shared" si="7"/>
        <v>0</v>
      </c>
      <c r="H17" s="111"/>
      <c r="I17" s="97">
        <f t="shared" si="18"/>
        <v>0</v>
      </c>
      <c r="J17" s="97">
        <f t="shared" si="8"/>
        <v>0</v>
      </c>
      <c r="K17" s="97">
        <f t="shared" si="9"/>
        <v>0</v>
      </c>
      <c r="L17" s="97">
        <f t="shared" si="10"/>
        <v>0</v>
      </c>
      <c r="M17" s="97">
        <f t="shared" si="11"/>
        <v>0</v>
      </c>
      <c r="N17" s="111"/>
      <c r="O17" s="110"/>
      <c r="P17" s="112">
        <f t="shared" si="12"/>
        <v>0</v>
      </c>
      <c r="Q17" s="106">
        <f>BASE!A21</f>
        <v>6</v>
      </c>
      <c r="R17" s="97">
        <f t="shared" si="13"/>
        <v>0</v>
      </c>
      <c r="S17" s="97">
        <f t="shared" si="14"/>
        <v>0</v>
      </c>
      <c r="T17" s="97">
        <f t="shared" si="15"/>
        <v>0</v>
      </c>
      <c r="U17" s="97">
        <f t="shared" si="16"/>
        <v>0</v>
      </c>
      <c r="V17" s="97">
        <f t="shared" si="17"/>
        <v>0</v>
      </c>
      <c r="W17" s="161"/>
      <c r="X17" s="161"/>
    </row>
    <row r="18" spans="1:24" ht="18.75" customHeight="1">
      <c r="A18" s="110" t="str">
        <f>+BASE!B22</f>
        <v>23XXR007</v>
      </c>
      <c r="B18" s="106" t="s">
        <v>40</v>
      </c>
      <c r="C18" s="111">
        <f t="shared" si="3"/>
        <v>0</v>
      </c>
      <c r="D18" s="111">
        <f t="shared" si="4"/>
        <v>0</v>
      </c>
      <c r="E18" s="111">
        <f t="shared" si="5"/>
        <v>0</v>
      </c>
      <c r="F18" s="111">
        <f t="shared" si="6"/>
        <v>0</v>
      </c>
      <c r="G18" s="111">
        <f t="shared" si="7"/>
        <v>0</v>
      </c>
      <c r="H18" s="111"/>
      <c r="I18" s="97">
        <f t="shared" si="18"/>
        <v>0</v>
      </c>
      <c r="J18" s="97">
        <f t="shared" si="8"/>
        <v>0</v>
      </c>
      <c r="K18" s="97">
        <f t="shared" si="9"/>
        <v>0</v>
      </c>
      <c r="L18" s="97">
        <f t="shared" si="10"/>
        <v>0</v>
      </c>
      <c r="M18" s="97">
        <f t="shared" si="11"/>
        <v>0</v>
      </c>
      <c r="N18" s="111"/>
      <c r="O18" s="110"/>
      <c r="P18" s="112">
        <f t="shared" si="12"/>
        <v>0</v>
      </c>
      <c r="Q18" s="106">
        <f>BASE!A22</f>
        <v>7</v>
      </c>
      <c r="R18" s="97">
        <f t="shared" si="13"/>
        <v>0</v>
      </c>
      <c r="S18" s="97">
        <f t="shared" si="14"/>
        <v>0</v>
      </c>
      <c r="T18" s="97">
        <f t="shared" si="15"/>
        <v>0</v>
      </c>
      <c r="U18" s="97">
        <f t="shared" si="16"/>
        <v>0</v>
      </c>
      <c r="V18" s="97">
        <f t="shared" si="17"/>
        <v>0</v>
      </c>
      <c r="W18" s="161"/>
      <c r="X18" s="161"/>
    </row>
    <row r="19" spans="1:24" ht="18.75" customHeight="1">
      <c r="A19" s="110" t="str">
        <f>+BASE!B23</f>
        <v>23XXR008</v>
      </c>
      <c r="B19" s="106" t="s">
        <v>40</v>
      </c>
      <c r="C19" s="111">
        <f t="shared" si="3"/>
        <v>0</v>
      </c>
      <c r="D19" s="111">
        <f t="shared" si="4"/>
        <v>0</v>
      </c>
      <c r="E19" s="111">
        <f t="shared" si="5"/>
        <v>0</v>
      </c>
      <c r="F19" s="111">
        <f t="shared" si="6"/>
        <v>0</v>
      </c>
      <c r="G19" s="111">
        <f t="shared" si="7"/>
        <v>0</v>
      </c>
      <c r="H19" s="111"/>
      <c r="I19" s="97">
        <f t="shared" si="18"/>
        <v>0</v>
      </c>
      <c r="J19" s="97">
        <f t="shared" si="8"/>
        <v>0</v>
      </c>
      <c r="K19" s="97">
        <f t="shared" si="9"/>
        <v>0</v>
      </c>
      <c r="L19" s="97">
        <f t="shared" si="10"/>
        <v>0</v>
      </c>
      <c r="M19" s="97">
        <f t="shared" si="11"/>
        <v>0</v>
      </c>
      <c r="N19" s="111"/>
      <c r="O19" s="110"/>
      <c r="P19" s="112">
        <f t="shared" si="12"/>
        <v>0</v>
      </c>
      <c r="Q19" s="106">
        <f>BASE!A23</f>
        <v>8</v>
      </c>
      <c r="R19" s="97">
        <f t="shared" si="13"/>
        <v>0</v>
      </c>
      <c r="S19" s="97">
        <f t="shared" si="14"/>
        <v>0</v>
      </c>
      <c r="T19" s="97">
        <f t="shared" si="15"/>
        <v>0</v>
      </c>
      <c r="U19" s="97">
        <f t="shared" si="16"/>
        <v>0</v>
      </c>
      <c r="V19" s="97">
        <f t="shared" si="17"/>
        <v>0</v>
      </c>
      <c r="W19" s="161"/>
      <c r="X19" s="161"/>
    </row>
    <row r="20" spans="1:24" ht="18.75" customHeight="1">
      <c r="A20" s="110" t="str">
        <f>+BASE!B24</f>
        <v>23XXR009</v>
      </c>
      <c r="B20" s="106" t="s">
        <v>40</v>
      </c>
      <c r="C20" s="111">
        <f t="shared" si="3"/>
        <v>0</v>
      </c>
      <c r="D20" s="111">
        <f t="shared" si="4"/>
        <v>0</v>
      </c>
      <c r="E20" s="111">
        <f t="shared" si="5"/>
        <v>0</v>
      </c>
      <c r="F20" s="111">
        <f t="shared" si="6"/>
        <v>0</v>
      </c>
      <c r="G20" s="111">
        <f t="shared" si="7"/>
        <v>0</v>
      </c>
      <c r="H20" s="111"/>
      <c r="I20" s="97">
        <f t="shared" si="18"/>
        <v>0</v>
      </c>
      <c r="J20" s="97">
        <f t="shared" si="8"/>
        <v>0</v>
      </c>
      <c r="K20" s="97">
        <f t="shared" si="9"/>
        <v>0</v>
      </c>
      <c r="L20" s="97">
        <f t="shared" si="10"/>
        <v>0</v>
      </c>
      <c r="M20" s="97">
        <f t="shared" si="11"/>
        <v>0</v>
      </c>
      <c r="N20" s="111"/>
      <c r="O20" s="110"/>
      <c r="P20" s="112">
        <f t="shared" si="12"/>
        <v>0</v>
      </c>
      <c r="Q20" s="106">
        <f>BASE!A24</f>
        <v>9</v>
      </c>
      <c r="R20" s="97">
        <f t="shared" si="13"/>
        <v>0</v>
      </c>
      <c r="S20" s="97">
        <f t="shared" si="14"/>
        <v>0</v>
      </c>
      <c r="T20" s="97">
        <f t="shared" si="15"/>
        <v>0</v>
      </c>
      <c r="U20" s="97">
        <f t="shared" si="16"/>
        <v>0</v>
      </c>
      <c r="V20" s="97">
        <f t="shared" si="17"/>
        <v>0</v>
      </c>
      <c r="W20" s="161"/>
      <c r="X20" s="161"/>
    </row>
    <row r="21" spans="1:24" ht="18.75" customHeight="1">
      <c r="A21" s="110" t="str">
        <f>+BASE!B25</f>
        <v>23XXR010</v>
      </c>
      <c r="B21" s="106" t="s">
        <v>40</v>
      </c>
      <c r="C21" s="111">
        <f t="shared" si="3"/>
        <v>0</v>
      </c>
      <c r="D21" s="111">
        <f t="shared" si="4"/>
        <v>0</v>
      </c>
      <c r="E21" s="111">
        <f t="shared" si="5"/>
        <v>0</v>
      </c>
      <c r="F21" s="111">
        <f t="shared" si="6"/>
        <v>0</v>
      </c>
      <c r="G21" s="111">
        <f t="shared" si="7"/>
        <v>0</v>
      </c>
      <c r="H21" s="111"/>
      <c r="I21" s="97">
        <f t="shared" si="18"/>
        <v>0</v>
      </c>
      <c r="J21" s="97">
        <f t="shared" si="8"/>
        <v>0</v>
      </c>
      <c r="K21" s="97">
        <f t="shared" si="9"/>
        <v>0</v>
      </c>
      <c r="L21" s="97">
        <f t="shared" si="10"/>
        <v>0</v>
      </c>
      <c r="M21" s="97">
        <f t="shared" si="11"/>
        <v>0</v>
      </c>
      <c r="N21" s="111"/>
      <c r="O21" s="110"/>
      <c r="P21" s="112">
        <f t="shared" si="12"/>
        <v>0</v>
      </c>
      <c r="Q21" s="106">
        <f>BASE!A25</f>
        <v>10</v>
      </c>
      <c r="R21" s="97">
        <f t="shared" si="13"/>
        <v>0</v>
      </c>
      <c r="S21" s="97">
        <f t="shared" si="14"/>
        <v>0</v>
      </c>
      <c r="T21" s="97">
        <f t="shared" si="15"/>
        <v>0</v>
      </c>
      <c r="U21" s="97">
        <f t="shared" si="16"/>
        <v>0</v>
      </c>
      <c r="V21" s="97">
        <f t="shared" si="17"/>
        <v>0</v>
      </c>
      <c r="W21" s="161"/>
      <c r="X21" s="161"/>
    </row>
    <row r="22" spans="1:24" ht="18.75" customHeight="1">
      <c r="A22" s="110" t="str">
        <f>+BASE!B26</f>
        <v>23XXR011</v>
      </c>
      <c r="B22" s="106" t="s">
        <v>40</v>
      </c>
      <c r="C22" s="111">
        <f t="shared" si="3"/>
        <v>0</v>
      </c>
      <c r="D22" s="111">
        <f t="shared" si="4"/>
        <v>0</v>
      </c>
      <c r="E22" s="111">
        <f t="shared" si="5"/>
        <v>0</v>
      </c>
      <c r="F22" s="111">
        <f t="shared" si="6"/>
        <v>0</v>
      </c>
      <c r="G22" s="111">
        <f t="shared" si="7"/>
        <v>0</v>
      </c>
      <c r="H22" s="111"/>
      <c r="I22" s="97">
        <f t="shared" si="18"/>
        <v>0</v>
      </c>
      <c r="J22" s="97">
        <f t="shared" si="8"/>
        <v>0</v>
      </c>
      <c r="K22" s="97">
        <f t="shared" si="9"/>
        <v>0</v>
      </c>
      <c r="L22" s="97">
        <f t="shared" si="10"/>
        <v>0</v>
      </c>
      <c r="M22" s="97">
        <f t="shared" si="11"/>
        <v>0</v>
      </c>
      <c r="N22" s="111"/>
      <c r="O22" s="110"/>
      <c r="P22" s="112">
        <f t="shared" si="12"/>
        <v>0</v>
      </c>
      <c r="Q22" s="106">
        <f>BASE!A26</f>
        <v>11</v>
      </c>
      <c r="R22" s="97">
        <f t="shared" si="13"/>
        <v>0</v>
      </c>
      <c r="S22" s="97">
        <f t="shared" si="14"/>
        <v>0</v>
      </c>
      <c r="T22" s="97">
        <f t="shared" si="15"/>
        <v>0</v>
      </c>
      <c r="U22" s="97">
        <f t="shared" si="16"/>
        <v>0</v>
      </c>
      <c r="V22" s="97">
        <f t="shared" si="17"/>
        <v>0</v>
      </c>
      <c r="W22" s="161"/>
      <c r="X22" s="161"/>
    </row>
    <row r="23" spans="1:24" ht="18.75" customHeight="1">
      <c r="A23" s="110" t="str">
        <f>+BASE!B27</f>
        <v>23XXR012</v>
      </c>
      <c r="B23" s="106" t="s">
        <v>40</v>
      </c>
      <c r="C23" s="111">
        <f t="shared" si="3"/>
        <v>0</v>
      </c>
      <c r="D23" s="111">
        <f t="shared" si="4"/>
        <v>0</v>
      </c>
      <c r="E23" s="111">
        <f t="shared" si="5"/>
        <v>0</v>
      </c>
      <c r="F23" s="111">
        <f t="shared" si="6"/>
        <v>0</v>
      </c>
      <c r="G23" s="111">
        <f t="shared" si="7"/>
        <v>0</v>
      </c>
      <c r="H23" s="111"/>
      <c r="I23" s="97">
        <f t="shared" si="18"/>
        <v>0</v>
      </c>
      <c r="J23" s="97">
        <f t="shared" si="8"/>
        <v>0</v>
      </c>
      <c r="K23" s="97">
        <f t="shared" si="9"/>
        <v>0</v>
      </c>
      <c r="L23" s="97">
        <f t="shared" si="10"/>
        <v>0</v>
      </c>
      <c r="M23" s="97">
        <f t="shared" si="11"/>
        <v>0</v>
      </c>
      <c r="N23" s="111"/>
      <c r="O23" s="110"/>
      <c r="P23" s="112">
        <f t="shared" si="12"/>
        <v>0</v>
      </c>
      <c r="Q23" s="106">
        <f>BASE!A27</f>
        <v>12</v>
      </c>
      <c r="R23" s="97">
        <f t="shared" si="13"/>
        <v>0</v>
      </c>
      <c r="S23" s="97">
        <f t="shared" si="14"/>
        <v>0</v>
      </c>
      <c r="T23" s="97">
        <f t="shared" si="15"/>
        <v>0</v>
      </c>
      <c r="U23" s="97">
        <f t="shared" si="16"/>
        <v>0</v>
      </c>
      <c r="V23" s="97">
        <f t="shared" si="17"/>
        <v>0</v>
      </c>
      <c r="W23" s="161"/>
      <c r="X23" s="161"/>
    </row>
    <row r="24" spans="1:24" ht="18.75" customHeight="1">
      <c r="A24" s="110" t="str">
        <f>+BASE!B28</f>
        <v>23XXR013</v>
      </c>
      <c r="B24" s="106" t="s">
        <v>40</v>
      </c>
      <c r="C24" s="111">
        <f t="shared" si="3"/>
        <v>0</v>
      </c>
      <c r="D24" s="111">
        <f t="shared" si="4"/>
        <v>0</v>
      </c>
      <c r="E24" s="111">
        <f t="shared" si="5"/>
        <v>0</v>
      </c>
      <c r="F24" s="111">
        <f t="shared" si="6"/>
        <v>0</v>
      </c>
      <c r="G24" s="111">
        <f t="shared" si="7"/>
        <v>0</v>
      </c>
      <c r="H24" s="111"/>
      <c r="I24" s="97">
        <f t="shared" si="18"/>
        <v>0</v>
      </c>
      <c r="J24" s="97">
        <f t="shared" si="8"/>
        <v>0</v>
      </c>
      <c r="K24" s="97">
        <f t="shared" si="9"/>
        <v>0</v>
      </c>
      <c r="L24" s="97">
        <f t="shared" si="10"/>
        <v>0</v>
      </c>
      <c r="M24" s="97">
        <f t="shared" si="11"/>
        <v>0</v>
      </c>
      <c r="N24" s="111"/>
      <c r="O24" s="110"/>
      <c r="P24" s="112">
        <f t="shared" si="12"/>
        <v>0</v>
      </c>
      <c r="Q24" s="106">
        <f>BASE!A28</f>
        <v>13</v>
      </c>
      <c r="R24" s="97">
        <f t="shared" si="13"/>
        <v>0</v>
      </c>
      <c r="S24" s="97">
        <f t="shared" si="14"/>
        <v>0</v>
      </c>
      <c r="T24" s="97">
        <f t="shared" si="15"/>
        <v>0</v>
      </c>
      <c r="U24" s="97">
        <f t="shared" si="16"/>
        <v>0</v>
      </c>
      <c r="V24" s="97">
        <f t="shared" si="17"/>
        <v>0</v>
      </c>
      <c r="W24" s="161"/>
      <c r="X24" s="161"/>
    </row>
    <row r="25" spans="1:24" ht="18.75" customHeight="1">
      <c r="A25" s="110" t="str">
        <f>+BASE!B29</f>
        <v>23XXR014</v>
      </c>
      <c r="B25" s="106" t="s">
        <v>40</v>
      </c>
      <c r="C25" s="111">
        <f t="shared" si="3"/>
        <v>0</v>
      </c>
      <c r="D25" s="111">
        <f t="shared" si="4"/>
        <v>0</v>
      </c>
      <c r="E25" s="111">
        <f t="shared" si="5"/>
        <v>0</v>
      </c>
      <c r="F25" s="111">
        <f t="shared" si="6"/>
        <v>0</v>
      </c>
      <c r="G25" s="111">
        <f t="shared" si="7"/>
        <v>0</v>
      </c>
      <c r="H25" s="111"/>
      <c r="I25" s="97">
        <f t="shared" si="18"/>
        <v>0</v>
      </c>
      <c r="J25" s="97">
        <f t="shared" si="8"/>
        <v>0</v>
      </c>
      <c r="K25" s="97">
        <f t="shared" si="9"/>
        <v>0</v>
      </c>
      <c r="L25" s="97">
        <f t="shared" si="10"/>
        <v>0</v>
      </c>
      <c r="M25" s="97">
        <f t="shared" si="11"/>
        <v>0</v>
      </c>
      <c r="N25" s="111"/>
      <c r="O25" s="110"/>
      <c r="P25" s="112">
        <f t="shared" si="12"/>
        <v>0</v>
      </c>
      <c r="Q25" s="106">
        <f>BASE!A29</f>
        <v>14</v>
      </c>
      <c r="R25" s="97">
        <f t="shared" si="13"/>
        <v>0</v>
      </c>
      <c r="S25" s="97">
        <f t="shared" si="14"/>
        <v>0</v>
      </c>
      <c r="T25" s="97">
        <f t="shared" si="15"/>
        <v>0</v>
      </c>
      <c r="U25" s="97">
        <f t="shared" si="16"/>
        <v>0</v>
      </c>
      <c r="V25" s="97">
        <f t="shared" si="17"/>
        <v>0</v>
      </c>
      <c r="W25" s="161"/>
      <c r="X25" s="161"/>
    </row>
    <row r="26" spans="1:24" ht="18.75" customHeight="1">
      <c r="A26" s="110" t="str">
        <f>+BASE!B30</f>
        <v>23XXR015</v>
      </c>
      <c r="B26" s="106" t="s">
        <v>40</v>
      </c>
      <c r="C26" s="111">
        <f t="shared" si="3"/>
        <v>0</v>
      </c>
      <c r="D26" s="111">
        <f t="shared" si="4"/>
        <v>0</v>
      </c>
      <c r="E26" s="111">
        <f t="shared" si="5"/>
        <v>0</v>
      </c>
      <c r="F26" s="111">
        <f t="shared" si="6"/>
        <v>0</v>
      </c>
      <c r="G26" s="111">
        <f t="shared" si="7"/>
        <v>0</v>
      </c>
      <c r="H26" s="111"/>
      <c r="I26" s="97">
        <f t="shared" si="18"/>
        <v>0</v>
      </c>
      <c r="J26" s="97">
        <f t="shared" si="8"/>
        <v>0</v>
      </c>
      <c r="K26" s="97">
        <f t="shared" si="9"/>
        <v>0</v>
      </c>
      <c r="L26" s="97">
        <f t="shared" si="10"/>
        <v>0</v>
      </c>
      <c r="M26" s="97">
        <f t="shared" si="11"/>
        <v>0</v>
      </c>
      <c r="N26" s="111"/>
      <c r="O26" s="110"/>
      <c r="P26" s="112">
        <f t="shared" si="12"/>
        <v>0</v>
      </c>
      <c r="Q26" s="106">
        <f>BASE!A30</f>
        <v>15</v>
      </c>
      <c r="R26" s="97">
        <f t="shared" si="13"/>
        <v>0</v>
      </c>
      <c r="S26" s="97">
        <f t="shared" si="14"/>
        <v>0</v>
      </c>
      <c r="T26" s="97">
        <f t="shared" si="15"/>
        <v>0</v>
      </c>
      <c r="U26" s="97">
        <f t="shared" si="16"/>
        <v>0</v>
      </c>
      <c r="V26" s="97">
        <f t="shared" si="17"/>
        <v>0</v>
      </c>
      <c r="W26" s="161"/>
      <c r="X26" s="161"/>
    </row>
    <row r="27" spans="1:24" ht="18.75" customHeight="1">
      <c r="A27" s="110" t="str">
        <f>+BASE!B31</f>
        <v>23XXR016</v>
      </c>
      <c r="B27" s="106" t="s">
        <v>40</v>
      </c>
      <c r="C27" s="111">
        <f t="shared" si="3"/>
        <v>0</v>
      </c>
      <c r="D27" s="111">
        <f t="shared" si="4"/>
        <v>0</v>
      </c>
      <c r="E27" s="111">
        <f t="shared" si="5"/>
        <v>0</v>
      </c>
      <c r="F27" s="111">
        <f t="shared" si="6"/>
        <v>0</v>
      </c>
      <c r="G27" s="111">
        <f t="shared" si="7"/>
        <v>0</v>
      </c>
      <c r="H27" s="111"/>
      <c r="I27" s="97">
        <f t="shared" si="18"/>
        <v>0</v>
      </c>
      <c r="J27" s="97">
        <f t="shared" si="8"/>
        <v>0</v>
      </c>
      <c r="K27" s="97">
        <f t="shared" si="9"/>
        <v>0</v>
      </c>
      <c r="L27" s="97">
        <f t="shared" si="10"/>
        <v>0</v>
      </c>
      <c r="M27" s="97">
        <f t="shared" si="11"/>
        <v>0</v>
      </c>
      <c r="N27" s="111"/>
      <c r="O27" s="110"/>
      <c r="P27" s="112">
        <f t="shared" si="12"/>
        <v>0</v>
      </c>
      <c r="Q27" s="106">
        <f>BASE!A31</f>
        <v>16</v>
      </c>
      <c r="R27" s="97">
        <f t="shared" si="13"/>
        <v>0</v>
      </c>
      <c r="S27" s="97">
        <f t="shared" si="14"/>
        <v>0</v>
      </c>
      <c r="T27" s="97">
        <f t="shared" si="15"/>
        <v>0</v>
      </c>
      <c r="U27" s="97">
        <f t="shared" si="16"/>
        <v>0</v>
      </c>
      <c r="V27" s="97">
        <f t="shared" si="17"/>
        <v>0</v>
      </c>
      <c r="W27" s="161"/>
      <c r="X27" s="161"/>
    </row>
    <row r="28" spans="1:24" ht="18.75" customHeight="1">
      <c r="A28" s="110" t="str">
        <f>+BASE!B32</f>
        <v>23XXR017</v>
      </c>
      <c r="B28" s="106" t="s">
        <v>40</v>
      </c>
      <c r="C28" s="111">
        <f t="shared" si="3"/>
        <v>0</v>
      </c>
      <c r="D28" s="111">
        <f t="shared" si="4"/>
        <v>0</v>
      </c>
      <c r="E28" s="111">
        <f t="shared" si="5"/>
        <v>0</v>
      </c>
      <c r="F28" s="111">
        <f t="shared" si="6"/>
        <v>0</v>
      </c>
      <c r="G28" s="111">
        <f t="shared" si="7"/>
        <v>0</v>
      </c>
      <c r="H28" s="111"/>
      <c r="I28" s="97">
        <f t="shared" si="18"/>
        <v>0</v>
      </c>
      <c r="J28" s="97">
        <f t="shared" si="8"/>
        <v>0</v>
      </c>
      <c r="K28" s="97">
        <f t="shared" si="9"/>
        <v>0</v>
      </c>
      <c r="L28" s="97">
        <f t="shared" si="10"/>
        <v>0</v>
      </c>
      <c r="M28" s="97">
        <f t="shared" si="11"/>
        <v>0</v>
      </c>
      <c r="N28" s="111"/>
      <c r="O28" s="110"/>
      <c r="P28" s="112">
        <f t="shared" si="12"/>
        <v>0</v>
      </c>
      <c r="Q28" s="106">
        <f>BASE!A32</f>
        <v>17</v>
      </c>
      <c r="R28" s="97">
        <f t="shared" si="13"/>
        <v>0</v>
      </c>
      <c r="S28" s="97">
        <f t="shared" si="14"/>
        <v>0</v>
      </c>
      <c r="T28" s="97">
        <f t="shared" si="15"/>
        <v>0</v>
      </c>
      <c r="U28" s="97">
        <f t="shared" si="16"/>
        <v>0</v>
      </c>
      <c r="V28" s="97">
        <f t="shared" si="17"/>
        <v>0</v>
      </c>
      <c r="W28" s="161"/>
      <c r="X28" s="161"/>
    </row>
    <row r="29" spans="1:24" ht="18.75" customHeight="1">
      <c r="A29" s="110" t="str">
        <f>+BASE!B33</f>
        <v>23XXR018</v>
      </c>
      <c r="B29" s="106" t="s">
        <v>40</v>
      </c>
      <c r="C29" s="111">
        <f t="shared" si="3"/>
        <v>0</v>
      </c>
      <c r="D29" s="111">
        <f t="shared" si="4"/>
        <v>0</v>
      </c>
      <c r="E29" s="111">
        <f t="shared" si="5"/>
        <v>0</v>
      </c>
      <c r="F29" s="111">
        <f t="shared" si="6"/>
        <v>0</v>
      </c>
      <c r="G29" s="111">
        <f t="shared" si="7"/>
        <v>0</v>
      </c>
      <c r="H29" s="111"/>
      <c r="I29" s="97">
        <f t="shared" si="18"/>
        <v>0</v>
      </c>
      <c r="J29" s="97">
        <f t="shared" si="8"/>
        <v>0</v>
      </c>
      <c r="K29" s="97">
        <f t="shared" si="9"/>
        <v>0</v>
      </c>
      <c r="L29" s="97">
        <f t="shared" si="10"/>
        <v>0</v>
      </c>
      <c r="M29" s="97">
        <f t="shared" si="11"/>
        <v>0</v>
      </c>
      <c r="N29" s="111"/>
      <c r="O29" s="110"/>
      <c r="P29" s="112">
        <f t="shared" si="12"/>
        <v>0</v>
      </c>
      <c r="Q29" s="106">
        <f>BASE!A33</f>
        <v>18</v>
      </c>
      <c r="R29" s="97">
        <f t="shared" si="13"/>
        <v>0</v>
      </c>
      <c r="S29" s="97">
        <f t="shared" si="14"/>
        <v>0</v>
      </c>
      <c r="T29" s="97">
        <f t="shared" si="15"/>
        <v>0</v>
      </c>
      <c r="U29" s="97">
        <f t="shared" si="16"/>
        <v>0</v>
      </c>
      <c r="V29" s="97">
        <f t="shared" si="17"/>
        <v>0</v>
      </c>
      <c r="W29" s="161"/>
      <c r="X29" s="161"/>
    </row>
    <row r="30" spans="1:24" ht="18.75" customHeight="1">
      <c r="A30" s="110" t="str">
        <f>+BASE!B34</f>
        <v>23XXR019</v>
      </c>
      <c r="B30" s="106" t="s">
        <v>40</v>
      </c>
      <c r="C30" s="111">
        <f t="shared" si="3"/>
        <v>0</v>
      </c>
      <c r="D30" s="111">
        <f t="shared" si="4"/>
        <v>0</v>
      </c>
      <c r="E30" s="111">
        <f t="shared" si="5"/>
        <v>0</v>
      </c>
      <c r="F30" s="111">
        <f t="shared" si="6"/>
        <v>0</v>
      </c>
      <c r="G30" s="111">
        <f t="shared" si="7"/>
        <v>0</v>
      </c>
      <c r="H30" s="111"/>
      <c r="I30" s="97">
        <f t="shared" si="18"/>
        <v>0</v>
      </c>
      <c r="J30" s="97">
        <f t="shared" si="8"/>
        <v>0</v>
      </c>
      <c r="K30" s="97">
        <f t="shared" si="9"/>
        <v>0</v>
      </c>
      <c r="L30" s="97">
        <f t="shared" si="10"/>
        <v>0</v>
      </c>
      <c r="M30" s="97">
        <f t="shared" si="11"/>
        <v>0</v>
      </c>
      <c r="N30" s="111"/>
      <c r="O30" s="110"/>
      <c r="P30" s="112">
        <f t="shared" si="12"/>
        <v>0</v>
      </c>
      <c r="Q30" s="106">
        <f>BASE!A34</f>
        <v>19</v>
      </c>
      <c r="R30" s="97">
        <f t="shared" si="13"/>
        <v>0</v>
      </c>
      <c r="S30" s="97">
        <f t="shared" si="14"/>
        <v>0</v>
      </c>
      <c r="T30" s="97">
        <f t="shared" si="15"/>
        <v>0</v>
      </c>
      <c r="U30" s="97">
        <f t="shared" si="16"/>
        <v>0</v>
      </c>
      <c r="V30" s="97">
        <f t="shared" si="17"/>
        <v>0</v>
      </c>
      <c r="W30" s="161"/>
      <c r="X30" s="161"/>
    </row>
    <row r="31" spans="1:24" ht="18.75" customHeight="1">
      <c r="A31" s="110" t="str">
        <f>+BASE!B35</f>
        <v>23XXR020</v>
      </c>
      <c r="B31" s="106" t="s">
        <v>40</v>
      </c>
      <c r="C31" s="111">
        <f t="shared" si="3"/>
        <v>0</v>
      </c>
      <c r="D31" s="111">
        <f t="shared" si="4"/>
        <v>0</v>
      </c>
      <c r="E31" s="111">
        <f t="shared" si="5"/>
        <v>0</v>
      </c>
      <c r="F31" s="111">
        <f t="shared" si="6"/>
        <v>0</v>
      </c>
      <c r="G31" s="111">
        <f t="shared" si="7"/>
        <v>0</v>
      </c>
      <c r="H31" s="111"/>
      <c r="I31" s="97">
        <f t="shared" si="18"/>
        <v>0</v>
      </c>
      <c r="J31" s="97">
        <f t="shared" si="8"/>
        <v>0</v>
      </c>
      <c r="K31" s="97">
        <f t="shared" si="9"/>
        <v>0</v>
      </c>
      <c r="L31" s="97">
        <f t="shared" si="10"/>
        <v>0</v>
      </c>
      <c r="M31" s="97">
        <f t="shared" si="11"/>
        <v>0</v>
      </c>
      <c r="N31" s="111"/>
      <c r="O31" s="110"/>
      <c r="P31" s="112">
        <f t="shared" si="12"/>
        <v>0</v>
      </c>
      <c r="Q31" s="106">
        <f>BASE!A35</f>
        <v>20</v>
      </c>
      <c r="R31" s="97">
        <f t="shared" si="13"/>
        <v>0</v>
      </c>
      <c r="S31" s="97">
        <f t="shared" si="14"/>
        <v>0</v>
      </c>
      <c r="T31" s="97">
        <f t="shared" si="15"/>
        <v>0</v>
      </c>
      <c r="U31" s="97">
        <f t="shared" si="16"/>
        <v>0</v>
      </c>
      <c r="V31" s="97">
        <f t="shared" si="17"/>
        <v>0</v>
      </c>
      <c r="W31" s="161"/>
      <c r="X31" s="161"/>
    </row>
    <row r="32" spans="1:24" ht="18.75" customHeight="1">
      <c r="A32" s="110" t="str">
        <f>+BASE!B36</f>
        <v>23XXR021</v>
      </c>
      <c r="B32" s="106" t="s">
        <v>40</v>
      </c>
      <c r="C32" s="111">
        <f t="shared" si="3"/>
        <v>0</v>
      </c>
      <c r="D32" s="111">
        <f t="shared" si="4"/>
        <v>0</v>
      </c>
      <c r="E32" s="111">
        <f t="shared" si="5"/>
        <v>0</v>
      </c>
      <c r="F32" s="111">
        <f t="shared" si="6"/>
        <v>0</v>
      </c>
      <c r="G32" s="111">
        <f t="shared" si="7"/>
        <v>0</v>
      </c>
      <c r="H32" s="111"/>
      <c r="I32" s="97">
        <f t="shared" si="18"/>
        <v>0</v>
      </c>
      <c r="J32" s="97">
        <f t="shared" si="8"/>
        <v>0</v>
      </c>
      <c r="K32" s="97">
        <f t="shared" si="9"/>
        <v>0</v>
      </c>
      <c r="L32" s="97">
        <f t="shared" si="10"/>
        <v>0</v>
      </c>
      <c r="M32" s="97">
        <f t="shared" si="11"/>
        <v>0</v>
      </c>
      <c r="N32" s="111"/>
      <c r="O32" s="110"/>
      <c r="P32" s="112">
        <f t="shared" si="12"/>
        <v>0</v>
      </c>
      <c r="Q32" s="106">
        <f>BASE!A36</f>
        <v>21</v>
      </c>
      <c r="R32" s="97">
        <f t="shared" si="13"/>
        <v>0</v>
      </c>
      <c r="S32" s="97">
        <f t="shared" si="14"/>
        <v>0</v>
      </c>
      <c r="T32" s="97">
        <f t="shared" si="15"/>
        <v>0</v>
      </c>
      <c r="U32" s="97">
        <f t="shared" si="16"/>
        <v>0</v>
      </c>
      <c r="V32" s="97">
        <f t="shared" si="17"/>
        <v>0</v>
      </c>
      <c r="W32" s="161"/>
      <c r="X32" s="161"/>
    </row>
    <row r="33" spans="1:24" ht="18.75" customHeight="1">
      <c r="A33" s="110" t="str">
        <f>+BASE!B37</f>
        <v>23XXR022</v>
      </c>
      <c r="B33" s="106" t="s">
        <v>40</v>
      </c>
      <c r="C33" s="111">
        <f t="shared" si="3"/>
        <v>0</v>
      </c>
      <c r="D33" s="111">
        <f t="shared" si="4"/>
        <v>0</v>
      </c>
      <c r="E33" s="111">
        <f t="shared" si="5"/>
        <v>0</v>
      </c>
      <c r="F33" s="111">
        <f t="shared" si="6"/>
        <v>0</v>
      </c>
      <c r="G33" s="111">
        <f t="shared" si="7"/>
        <v>0</v>
      </c>
      <c r="H33" s="111"/>
      <c r="I33" s="97">
        <f t="shared" si="18"/>
        <v>0</v>
      </c>
      <c r="J33" s="97">
        <f t="shared" si="8"/>
        <v>0</v>
      </c>
      <c r="K33" s="97">
        <f t="shared" si="9"/>
        <v>0</v>
      </c>
      <c r="L33" s="97">
        <f t="shared" si="10"/>
        <v>0</v>
      </c>
      <c r="M33" s="97">
        <f t="shared" si="11"/>
        <v>0</v>
      </c>
      <c r="N33" s="111"/>
      <c r="O33" s="110"/>
      <c r="P33" s="112">
        <f t="shared" si="12"/>
        <v>0</v>
      </c>
      <c r="Q33" s="106">
        <f>BASE!A37</f>
        <v>22</v>
      </c>
      <c r="R33" s="97">
        <f t="shared" si="13"/>
        <v>0</v>
      </c>
      <c r="S33" s="97">
        <f t="shared" si="14"/>
        <v>0</v>
      </c>
      <c r="T33" s="97">
        <f t="shared" si="15"/>
        <v>0</v>
      </c>
      <c r="U33" s="97">
        <f t="shared" si="16"/>
        <v>0</v>
      </c>
      <c r="V33" s="97">
        <f t="shared" si="17"/>
        <v>0</v>
      </c>
      <c r="W33" s="161"/>
      <c r="X33" s="161"/>
    </row>
    <row r="34" spans="1:24" ht="18.75" customHeight="1">
      <c r="A34" s="110" t="str">
        <f>+BASE!B38</f>
        <v>23XXR023</v>
      </c>
      <c r="B34" s="106" t="s">
        <v>40</v>
      </c>
      <c r="C34" s="111">
        <f t="shared" si="3"/>
        <v>0</v>
      </c>
      <c r="D34" s="111">
        <f t="shared" si="4"/>
        <v>0</v>
      </c>
      <c r="E34" s="111">
        <f t="shared" si="5"/>
        <v>0</v>
      </c>
      <c r="F34" s="111">
        <f t="shared" si="6"/>
        <v>0</v>
      </c>
      <c r="G34" s="111">
        <f t="shared" si="7"/>
        <v>0</v>
      </c>
      <c r="H34" s="111"/>
      <c r="I34" s="97">
        <f t="shared" si="18"/>
        <v>0</v>
      </c>
      <c r="J34" s="97">
        <f t="shared" si="8"/>
        <v>0</v>
      </c>
      <c r="K34" s="97">
        <f t="shared" si="9"/>
        <v>0</v>
      </c>
      <c r="L34" s="97">
        <f t="shared" si="10"/>
        <v>0</v>
      </c>
      <c r="M34" s="97">
        <f t="shared" si="11"/>
        <v>0</v>
      </c>
      <c r="N34" s="111"/>
      <c r="O34" s="110"/>
      <c r="P34" s="112">
        <f t="shared" si="12"/>
        <v>0</v>
      </c>
      <c r="Q34" s="106">
        <f>BASE!A38</f>
        <v>23</v>
      </c>
      <c r="R34" s="97">
        <f t="shared" si="13"/>
        <v>0</v>
      </c>
      <c r="S34" s="97">
        <f t="shared" si="14"/>
        <v>0</v>
      </c>
      <c r="T34" s="97">
        <f t="shared" si="15"/>
        <v>0</v>
      </c>
      <c r="U34" s="97">
        <f t="shared" si="16"/>
        <v>0</v>
      </c>
      <c r="V34" s="97">
        <f t="shared" si="17"/>
        <v>0</v>
      </c>
      <c r="W34" s="161"/>
      <c r="X34" s="161"/>
    </row>
    <row r="35" spans="1:24" ht="18.75" customHeight="1">
      <c r="A35" s="110" t="str">
        <f>+BASE!B39</f>
        <v>23XXR024</v>
      </c>
      <c r="B35" s="106" t="s">
        <v>40</v>
      </c>
      <c r="C35" s="111">
        <f t="shared" si="3"/>
        <v>0</v>
      </c>
      <c r="D35" s="111">
        <f t="shared" si="4"/>
        <v>0</v>
      </c>
      <c r="E35" s="111">
        <f t="shared" si="5"/>
        <v>0</v>
      </c>
      <c r="F35" s="111">
        <f t="shared" si="6"/>
        <v>0</v>
      </c>
      <c r="G35" s="111">
        <f t="shared" si="7"/>
        <v>0</v>
      </c>
      <c r="H35" s="111"/>
      <c r="I35" s="97">
        <f t="shared" si="18"/>
        <v>0</v>
      </c>
      <c r="J35" s="97">
        <f t="shared" si="8"/>
        <v>0</v>
      </c>
      <c r="K35" s="97">
        <f t="shared" si="9"/>
        <v>0</v>
      </c>
      <c r="L35" s="97">
        <f t="shared" si="10"/>
        <v>0</v>
      </c>
      <c r="M35" s="97">
        <f t="shared" si="11"/>
        <v>0</v>
      </c>
      <c r="N35" s="111"/>
      <c r="O35" s="110"/>
      <c r="P35" s="112">
        <f t="shared" si="12"/>
        <v>0</v>
      </c>
      <c r="Q35" s="106">
        <f>BASE!A39</f>
        <v>24</v>
      </c>
      <c r="R35" s="97">
        <f t="shared" si="13"/>
        <v>0</v>
      </c>
      <c r="S35" s="97">
        <f t="shared" si="14"/>
        <v>0</v>
      </c>
      <c r="T35" s="97">
        <f t="shared" si="15"/>
        <v>0</v>
      </c>
      <c r="U35" s="97">
        <f t="shared" si="16"/>
        <v>0</v>
      </c>
      <c r="V35" s="97">
        <f t="shared" si="17"/>
        <v>0</v>
      </c>
      <c r="W35" s="161"/>
      <c r="X35" s="161"/>
    </row>
    <row r="36" spans="1:24" ht="18.75" customHeight="1">
      <c r="A36" s="110" t="str">
        <f>+BASE!B40</f>
        <v>23XXR025</v>
      </c>
      <c r="B36" s="106" t="s">
        <v>40</v>
      </c>
      <c r="C36" s="111">
        <f t="shared" si="3"/>
        <v>0</v>
      </c>
      <c r="D36" s="111">
        <f t="shared" si="4"/>
        <v>0</v>
      </c>
      <c r="E36" s="111">
        <f t="shared" si="5"/>
        <v>0</v>
      </c>
      <c r="F36" s="111">
        <f t="shared" si="6"/>
        <v>0</v>
      </c>
      <c r="G36" s="111">
        <f t="shared" si="7"/>
        <v>0</v>
      </c>
      <c r="H36" s="111"/>
      <c r="I36" s="97">
        <f t="shared" si="18"/>
        <v>0</v>
      </c>
      <c r="J36" s="97">
        <f t="shared" si="8"/>
        <v>0</v>
      </c>
      <c r="K36" s="97">
        <f t="shared" si="9"/>
        <v>0</v>
      </c>
      <c r="L36" s="97">
        <f t="shared" si="10"/>
        <v>0</v>
      </c>
      <c r="M36" s="97">
        <f t="shared" si="11"/>
        <v>0</v>
      </c>
      <c r="N36" s="111"/>
      <c r="O36" s="110"/>
      <c r="P36" s="112">
        <f t="shared" si="12"/>
        <v>0</v>
      </c>
      <c r="Q36" s="106">
        <f>BASE!A40</f>
        <v>25</v>
      </c>
      <c r="R36" s="97">
        <f t="shared" si="13"/>
        <v>0</v>
      </c>
      <c r="S36" s="97">
        <f t="shared" si="14"/>
        <v>0</v>
      </c>
      <c r="T36" s="97">
        <f t="shared" si="15"/>
        <v>0</v>
      </c>
      <c r="U36" s="97">
        <f t="shared" si="16"/>
        <v>0</v>
      </c>
      <c r="V36" s="97">
        <f t="shared" si="17"/>
        <v>0</v>
      </c>
      <c r="W36" s="161"/>
      <c r="X36" s="161"/>
    </row>
    <row r="37" spans="1:24" ht="18.75" customHeight="1">
      <c r="A37" s="110" t="str">
        <f>+BASE!B41</f>
        <v>23XXR026</v>
      </c>
      <c r="B37" s="106" t="s">
        <v>40</v>
      </c>
      <c r="C37" s="111">
        <f t="shared" si="3"/>
        <v>0</v>
      </c>
      <c r="D37" s="111">
        <f t="shared" si="4"/>
        <v>0</v>
      </c>
      <c r="E37" s="111">
        <f t="shared" si="5"/>
        <v>0</v>
      </c>
      <c r="F37" s="111">
        <f t="shared" si="6"/>
        <v>0</v>
      </c>
      <c r="G37" s="111">
        <f t="shared" si="7"/>
        <v>0</v>
      </c>
      <c r="H37" s="111"/>
      <c r="I37" s="97">
        <f t="shared" si="18"/>
        <v>0</v>
      </c>
      <c r="J37" s="97">
        <f t="shared" si="8"/>
        <v>0</v>
      </c>
      <c r="K37" s="97">
        <f t="shared" si="9"/>
        <v>0</v>
      </c>
      <c r="L37" s="97">
        <f t="shared" si="10"/>
        <v>0</v>
      </c>
      <c r="M37" s="97">
        <f t="shared" si="11"/>
        <v>0</v>
      </c>
      <c r="N37" s="111"/>
      <c r="O37" s="110"/>
      <c r="P37" s="112">
        <f t="shared" si="12"/>
        <v>0</v>
      </c>
      <c r="Q37" s="106">
        <f>BASE!A41</f>
        <v>26</v>
      </c>
      <c r="R37" s="97">
        <f t="shared" si="13"/>
        <v>0</v>
      </c>
      <c r="S37" s="97">
        <f t="shared" si="14"/>
        <v>0</v>
      </c>
      <c r="T37" s="97">
        <f t="shared" si="15"/>
        <v>0</v>
      </c>
      <c r="U37" s="97">
        <f t="shared" si="16"/>
        <v>0</v>
      </c>
      <c r="V37" s="97">
        <f t="shared" si="17"/>
        <v>0</v>
      </c>
      <c r="W37" s="161"/>
      <c r="X37" s="161"/>
    </row>
    <row r="38" spans="1:24" ht="18.75" customHeight="1">
      <c r="A38" s="110" t="str">
        <f>+BASE!B42</f>
        <v>23XXR027</v>
      </c>
      <c r="B38" s="106" t="s">
        <v>40</v>
      </c>
      <c r="C38" s="111">
        <f t="shared" si="3"/>
        <v>0</v>
      </c>
      <c r="D38" s="111">
        <f t="shared" si="4"/>
        <v>0</v>
      </c>
      <c r="E38" s="111">
        <f t="shared" si="5"/>
        <v>0</v>
      </c>
      <c r="F38" s="111">
        <f t="shared" si="6"/>
        <v>0</v>
      </c>
      <c r="G38" s="111">
        <f t="shared" si="7"/>
        <v>0</v>
      </c>
      <c r="H38" s="111"/>
      <c r="I38" s="97">
        <f t="shared" si="18"/>
        <v>0</v>
      </c>
      <c r="J38" s="97">
        <f t="shared" si="8"/>
        <v>0</v>
      </c>
      <c r="K38" s="97">
        <f t="shared" si="9"/>
        <v>0</v>
      </c>
      <c r="L38" s="97">
        <f t="shared" si="10"/>
        <v>0</v>
      </c>
      <c r="M38" s="97">
        <f t="shared" si="11"/>
        <v>0</v>
      </c>
      <c r="N38" s="111"/>
      <c r="O38" s="110"/>
      <c r="P38" s="112">
        <f t="shared" si="12"/>
        <v>0</v>
      </c>
      <c r="Q38" s="106">
        <f>BASE!A42</f>
        <v>27</v>
      </c>
      <c r="R38" s="97">
        <f t="shared" si="13"/>
        <v>0</v>
      </c>
      <c r="S38" s="97">
        <f t="shared" si="14"/>
        <v>0</v>
      </c>
      <c r="T38" s="97">
        <f t="shared" si="15"/>
        <v>0</v>
      </c>
      <c r="U38" s="97">
        <f t="shared" si="16"/>
        <v>0</v>
      </c>
      <c r="V38" s="97">
        <f t="shared" si="17"/>
        <v>0</v>
      </c>
      <c r="W38" s="161"/>
      <c r="X38" s="161"/>
    </row>
    <row r="39" spans="1:24" ht="18.75" customHeight="1">
      <c r="A39" s="110" t="str">
        <f>+BASE!B43</f>
        <v>23XXR028</v>
      </c>
      <c r="B39" s="106" t="s">
        <v>40</v>
      </c>
      <c r="C39" s="111">
        <f t="shared" si="3"/>
        <v>0</v>
      </c>
      <c r="D39" s="111">
        <f t="shared" si="4"/>
        <v>0</v>
      </c>
      <c r="E39" s="111">
        <f t="shared" si="5"/>
        <v>0</v>
      </c>
      <c r="F39" s="111">
        <f t="shared" si="6"/>
        <v>0</v>
      </c>
      <c r="G39" s="111">
        <f t="shared" si="7"/>
        <v>0</v>
      </c>
      <c r="H39" s="111"/>
      <c r="I39" s="97">
        <f t="shared" si="18"/>
        <v>0</v>
      </c>
      <c r="J39" s="97">
        <f t="shared" si="8"/>
        <v>0</v>
      </c>
      <c r="K39" s="97">
        <f t="shared" si="9"/>
        <v>0</v>
      </c>
      <c r="L39" s="97">
        <f t="shared" si="10"/>
        <v>0</v>
      </c>
      <c r="M39" s="97">
        <f t="shared" si="11"/>
        <v>0</v>
      </c>
      <c r="N39" s="111"/>
      <c r="O39" s="110"/>
      <c r="P39" s="112">
        <f t="shared" si="12"/>
        <v>0</v>
      </c>
      <c r="Q39" s="106">
        <f>BASE!A43</f>
        <v>28</v>
      </c>
      <c r="R39" s="97">
        <f t="shared" si="13"/>
        <v>0</v>
      </c>
      <c r="S39" s="97">
        <f t="shared" si="14"/>
        <v>0</v>
      </c>
      <c r="T39" s="97">
        <f t="shared" si="15"/>
        <v>0</v>
      </c>
      <c r="U39" s="97">
        <f t="shared" si="16"/>
        <v>0</v>
      </c>
      <c r="V39" s="97">
        <f t="shared" si="17"/>
        <v>0</v>
      </c>
      <c r="W39" s="161"/>
      <c r="X39" s="161"/>
    </row>
    <row r="40" spans="1:24" ht="18.75" customHeight="1">
      <c r="A40" s="110" t="str">
        <f>+BASE!B44</f>
        <v>23XXR029</v>
      </c>
      <c r="B40" s="106" t="s">
        <v>40</v>
      </c>
      <c r="C40" s="111">
        <f t="shared" si="3"/>
        <v>0</v>
      </c>
      <c r="D40" s="111">
        <f t="shared" si="4"/>
        <v>0</v>
      </c>
      <c r="E40" s="111">
        <f t="shared" si="5"/>
        <v>0</v>
      </c>
      <c r="F40" s="111">
        <f t="shared" si="6"/>
        <v>0</v>
      </c>
      <c r="G40" s="111">
        <f t="shared" si="7"/>
        <v>0</v>
      </c>
      <c r="H40" s="111"/>
      <c r="I40" s="97">
        <f t="shared" si="18"/>
        <v>0</v>
      </c>
      <c r="J40" s="97">
        <f t="shared" si="8"/>
        <v>0</v>
      </c>
      <c r="K40" s="97">
        <f t="shared" si="9"/>
        <v>0</v>
      </c>
      <c r="L40" s="97">
        <f t="shared" si="10"/>
        <v>0</v>
      </c>
      <c r="M40" s="97">
        <f t="shared" si="11"/>
        <v>0</v>
      </c>
      <c r="N40" s="111"/>
      <c r="O40" s="110"/>
      <c r="P40" s="112">
        <f t="shared" si="12"/>
        <v>0</v>
      </c>
      <c r="Q40" s="106">
        <f>BASE!A44</f>
        <v>29</v>
      </c>
      <c r="R40" s="97">
        <f t="shared" si="13"/>
        <v>0</v>
      </c>
      <c r="S40" s="97">
        <f t="shared" si="14"/>
        <v>0</v>
      </c>
      <c r="T40" s="97">
        <f t="shared" si="15"/>
        <v>0</v>
      </c>
      <c r="U40" s="97">
        <f t="shared" si="16"/>
        <v>0</v>
      </c>
      <c r="V40" s="97">
        <f t="shared" si="17"/>
        <v>0</v>
      </c>
      <c r="W40" s="161"/>
      <c r="X40" s="161"/>
    </row>
    <row r="41" spans="1:24" ht="18.75" customHeight="1">
      <c r="A41" s="110" t="str">
        <f>+BASE!B45</f>
        <v>23XXR030</v>
      </c>
      <c r="B41" s="106" t="s">
        <v>40</v>
      </c>
      <c r="C41" s="111">
        <f t="shared" si="3"/>
        <v>0</v>
      </c>
      <c r="D41" s="111">
        <f t="shared" si="4"/>
        <v>0</v>
      </c>
      <c r="E41" s="111">
        <f t="shared" si="5"/>
        <v>0</v>
      </c>
      <c r="F41" s="111">
        <f t="shared" si="6"/>
        <v>0</v>
      </c>
      <c r="G41" s="111">
        <f t="shared" si="7"/>
        <v>0</v>
      </c>
      <c r="H41" s="111"/>
      <c r="I41" s="97">
        <f t="shared" si="18"/>
        <v>0</v>
      </c>
      <c r="J41" s="97">
        <f t="shared" si="8"/>
        <v>0</v>
      </c>
      <c r="K41" s="97">
        <f t="shared" si="9"/>
        <v>0</v>
      </c>
      <c r="L41" s="97">
        <f t="shared" si="10"/>
        <v>0</v>
      </c>
      <c r="M41" s="97">
        <f t="shared" si="11"/>
        <v>0</v>
      </c>
      <c r="N41" s="111"/>
      <c r="O41" s="110"/>
      <c r="P41" s="112">
        <f t="shared" si="12"/>
        <v>0</v>
      </c>
      <c r="Q41" s="106">
        <f>BASE!A45</f>
        <v>30</v>
      </c>
      <c r="R41" s="97">
        <f t="shared" si="13"/>
        <v>0</v>
      </c>
      <c r="S41" s="97">
        <f t="shared" si="14"/>
        <v>0</v>
      </c>
      <c r="T41" s="97">
        <f t="shared" si="15"/>
        <v>0</v>
      </c>
      <c r="U41" s="97">
        <f t="shared" si="16"/>
        <v>0</v>
      </c>
      <c r="V41" s="97">
        <f t="shared" si="17"/>
        <v>0</v>
      </c>
      <c r="W41" s="161"/>
      <c r="X41" s="161"/>
    </row>
    <row r="42" spans="1:24" ht="18.75" customHeight="1">
      <c r="A42" s="110" t="str">
        <f>+BASE!B46</f>
        <v>23XXR031</v>
      </c>
      <c r="B42" s="106" t="s">
        <v>40</v>
      </c>
      <c r="C42" s="111">
        <f t="shared" si="3"/>
        <v>0</v>
      </c>
      <c r="D42" s="111">
        <f t="shared" si="4"/>
        <v>0</v>
      </c>
      <c r="E42" s="111">
        <f t="shared" si="5"/>
        <v>0</v>
      </c>
      <c r="F42" s="111">
        <f t="shared" si="6"/>
        <v>0</v>
      </c>
      <c r="G42" s="111">
        <f t="shared" si="7"/>
        <v>0</v>
      </c>
      <c r="H42" s="111"/>
      <c r="I42" s="97">
        <f t="shared" si="18"/>
        <v>0</v>
      </c>
      <c r="J42" s="97">
        <f t="shared" si="8"/>
        <v>0</v>
      </c>
      <c r="K42" s="97">
        <f t="shared" si="9"/>
        <v>0</v>
      </c>
      <c r="L42" s="97">
        <f t="shared" si="10"/>
        <v>0</v>
      </c>
      <c r="M42" s="97">
        <f t="shared" si="11"/>
        <v>0</v>
      </c>
      <c r="N42" s="111"/>
      <c r="O42" s="110"/>
      <c r="P42" s="112">
        <f t="shared" si="12"/>
        <v>0</v>
      </c>
      <c r="Q42" s="106">
        <f>BASE!A46</f>
        <v>31</v>
      </c>
      <c r="R42" s="97">
        <f t="shared" si="13"/>
        <v>0</v>
      </c>
      <c r="S42" s="97">
        <f t="shared" si="14"/>
        <v>0</v>
      </c>
      <c r="T42" s="97">
        <f t="shared" si="15"/>
        <v>0</v>
      </c>
      <c r="U42" s="97">
        <f t="shared" si="16"/>
        <v>0</v>
      </c>
      <c r="V42" s="97">
        <f t="shared" si="17"/>
        <v>0</v>
      </c>
      <c r="W42" s="161"/>
      <c r="X42" s="161"/>
    </row>
    <row r="43" spans="1:24" ht="18.75" customHeight="1">
      <c r="A43" s="110" t="str">
        <f>+BASE!B47</f>
        <v>23XXR032</v>
      </c>
      <c r="B43" s="106" t="s">
        <v>40</v>
      </c>
      <c r="C43" s="111">
        <f t="shared" si="3"/>
        <v>0</v>
      </c>
      <c r="D43" s="111">
        <f t="shared" si="4"/>
        <v>0</v>
      </c>
      <c r="E43" s="111">
        <f t="shared" si="5"/>
        <v>0</v>
      </c>
      <c r="F43" s="111">
        <f t="shared" si="6"/>
        <v>0</v>
      </c>
      <c r="G43" s="111">
        <f t="shared" si="7"/>
        <v>0</v>
      </c>
      <c r="H43" s="111"/>
      <c r="I43" s="97">
        <f t="shared" si="18"/>
        <v>0</v>
      </c>
      <c r="J43" s="97">
        <f t="shared" si="8"/>
        <v>0</v>
      </c>
      <c r="K43" s="97">
        <f t="shared" si="9"/>
        <v>0</v>
      </c>
      <c r="L43" s="97">
        <f t="shared" si="10"/>
        <v>0</v>
      </c>
      <c r="M43" s="97">
        <f t="shared" si="11"/>
        <v>0</v>
      </c>
      <c r="N43" s="111"/>
      <c r="O43" s="110"/>
      <c r="P43" s="112">
        <f t="shared" si="12"/>
        <v>0</v>
      </c>
      <c r="Q43" s="106">
        <f>BASE!A47</f>
        <v>32</v>
      </c>
      <c r="R43" s="97">
        <f t="shared" si="13"/>
        <v>0</v>
      </c>
      <c r="S43" s="97">
        <f t="shared" si="14"/>
        <v>0</v>
      </c>
      <c r="T43" s="97">
        <f t="shared" si="15"/>
        <v>0</v>
      </c>
      <c r="U43" s="97">
        <f t="shared" si="16"/>
        <v>0</v>
      </c>
      <c r="V43" s="97">
        <f t="shared" si="17"/>
        <v>0</v>
      </c>
      <c r="W43" s="161"/>
      <c r="X43" s="161"/>
    </row>
    <row r="44" spans="1:24" ht="18.75" customHeight="1">
      <c r="A44" s="110" t="str">
        <f>+BASE!B48</f>
        <v>23XXR033</v>
      </c>
      <c r="B44" s="106" t="s">
        <v>40</v>
      </c>
      <c r="C44" s="111">
        <f t="shared" si="3"/>
        <v>0</v>
      </c>
      <c r="D44" s="111">
        <f t="shared" si="4"/>
        <v>0</v>
      </c>
      <c r="E44" s="111">
        <f t="shared" si="5"/>
        <v>0</v>
      </c>
      <c r="F44" s="111">
        <f t="shared" si="6"/>
        <v>0</v>
      </c>
      <c r="G44" s="111">
        <f t="shared" si="7"/>
        <v>0</v>
      </c>
      <c r="H44" s="111"/>
      <c r="I44" s="97">
        <f t="shared" si="18"/>
        <v>0</v>
      </c>
      <c r="J44" s="97">
        <f t="shared" si="8"/>
        <v>0</v>
      </c>
      <c r="K44" s="97">
        <f t="shared" si="9"/>
        <v>0</v>
      </c>
      <c r="L44" s="97">
        <f t="shared" si="10"/>
        <v>0</v>
      </c>
      <c r="M44" s="97">
        <f t="shared" si="11"/>
        <v>0</v>
      </c>
      <c r="N44" s="111"/>
      <c r="O44" s="110"/>
      <c r="P44" s="112">
        <f t="shared" si="12"/>
        <v>0</v>
      </c>
      <c r="Q44" s="106">
        <f>BASE!A48</f>
        <v>33</v>
      </c>
      <c r="R44" s="97">
        <f t="shared" si="13"/>
        <v>0</v>
      </c>
      <c r="S44" s="97">
        <f t="shared" si="14"/>
        <v>0</v>
      </c>
      <c r="T44" s="97">
        <f t="shared" si="15"/>
        <v>0</v>
      </c>
      <c r="U44" s="97">
        <f t="shared" si="16"/>
        <v>0</v>
      </c>
      <c r="V44" s="97">
        <f t="shared" si="17"/>
        <v>0</v>
      </c>
      <c r="W44" s="161"/>
      <c r="X44" s="161"/>
    </row>
    <row r="45" spans="1:24" ht="18.75" customHeight="1">
      <c r="A45" s="110" t="str">
        <f>+BASE!B49</f>
        <v>23XXR034</v>
      </c>
      <c r="B45" s="106" t="s">
        <v>40</v>
      </c>
      <c r="C45" s="111">
        <f t="shared" si="3"/>
        <v>0</v>
      </c>
      <c r="D45" s="111">
        <f t="shared" si="4"/>
        <v>0</v>
      </c>
      <c r="E45" s="111">
        <f t="shared" si="5"/>
        <v>0</v>
      </c>
      <c r="F45" s="111">
        <f t="shared" si="6"/>
        <v>0</v>
      </c>
      <c r="G45" s="111">
        <f t="shared" si="7"/>
        <v>0</v>
      </c>
      <c r="H45" s="111"/>
      <c r="I45" s="97">
        <f t="shared" si="18"/>
        <v>0</v>
      </c>
      <c r="J45" s="97">
        <f t="shared" si="8"/>
        <v>0</v>
      </c>
      <c r="K45" s="97">
        <f t="shared" si="9"/>
        <v>0</v>
      </c>
      <c r="L45" s="97">
        <f t="shared" si="10"/>
        <v>0</v>
      </c>
      <c r="M45" s="97">
        <f t="shared" si="11"/>
        <v>0</v>
      </c>
      <c r="N45" s="111"/>
      <c r="O45" s="110"/>
      <c r="P45" s="112">
        <f t="shared" si="12"/>
        <v>0</v>
      </c>
      <c r="Q45" s="106">
        <f>BASE!A49</f>
        <v>34</v>
      </c>
      <c r="R45" s="97">
        <f t="shared" si="13"/>
        <v>0</v>
      </c>
      <c r="S45" s="97">
        <f t="shared" si="14"/>
        <v>0</v>
      </c>
      <c r="T45" s="97">
        <f t="shared" si="15"/>
        <v>0</v>
      </c>
      <c r="U45" s="97">
        <f t="shared" si="16"/>
        <v>0</v>
      </c>
      <c r="V45" s="97">
        <f t="shared" si="17"/>
        <v>0</v>
      </c>
      <c r="W45" s="161"/>
      <c r="X45" s="161"/>
    </row>
    <row r="46" spans="1:24" ht="18.75" customHeight="1">
      <c r="A46" s="110" t="str">
        <f>+BASE!B50</f>
        <v>23XXR035</v>
      </c>
      <c r="B46" s="106" t="s">
        <v>40</v>
      </c>
      <c r="C46" s="111">
        <f t="shared" si="3"/>
        <v>0</v>
      </c>
      <c r="D46" s="111">
        <f t="shared" si="4"/>
        <v>0</v>
      </c>
      <c r="E46" s="111">
        <f t="shared" si="5"/>
        <v>0</v>
      </c>
      <c r="F46" s="111">
        <f t="shared" si="6"/>
        <v>0</v>
      </c>
      <c r="G46" s="111">
        <f t="shared" si="7"/>
        <v>0</v>
      </c>
      <c r="H46" s="111"/>
      <c r="I46" s="97">
        <f t="shared" si="18"/>
        <v>0</v>
      </c>
      <c r="J46" s="97">
        <f t="shared" si="8"/>
        <v>0</v>
      </c>
      <c r="K46" s="97">
        <f t="shared" si="9"/>
        <v>0</v>
      </c>
      <c r="L46" s="97">
        <f t="shared" si="10"/>
        <v>0</v>
      </c>
      <c r="M46" s="97">
        <f t="shared" si="11"/>
        <v>0</v>
      </c>
      <c r="N46" s="111"/>
      <c r="O46" s="110"/>
      <c r="P46" s="112">
        <f t="shared" si="12"/>
        <v>0</v>
      </c>
      <c r="Q46" s="106">
        <f>BASE!A50</f>
        <v>35</v>
      </c>
      <c r="R46" s="97">
        <f t="shared" si="13"/>
        <v>0</v>
      </c>
      <c r="S46" s="97">
        <f t="shared" si="14"/>
        <v>0</v>
      </c>
      <c r="T46" s="97">
        <f t="shared" si="15"/>
        <v>0</v>
      </c>
      <c r="U46" s="97">
        <f t="shared" si="16"/>
        <v>0</v>
      </c>
      <c r="V46" s="97">
        <f t="shared" si="17"/>
        <v>0</v>
      </c>
      <c r="W46" s="161"/>
      <c r="X46" s="161"/>
    </row>
    <row r="47" spans="1:24" ht="18.75" customHeight="1">
      <c r="A47" s="110" t="str">
        <f>+BASE!B51</f>
        <v>23XXR036</v>
      </c>
      <c r="B47" s="106" t="s">
        <v>40</v>
      </c>
      <c r="C47" s="111">
        <f t="shared" si="3"/>
        <v>0</v>
      </c>
      <c r="D47" s="111">
        <f t="shared" si="4"/>
        <v>0</v>
      </c>
      <c r="E47" s="111">
        <f t="shared" si="5"/>
        <v>0</v>
      </c>
      <c r="F47" s="111">
        <f t="shared" si="6"/>
        <v>0</v>
      </c>
      <c r="G47" s="111">
        <f t="shared" si="7"/>
        <v>0</v>
      </c>
      <c r="H47" s="111"/>
      <c r="I47" s="97">
        <f t="shared" si="18"/>
        <v>0</v>
      </c>
      <c r="J47" s="97">
        <f t="shared" si="8"/>
        <v>0</v>
      </c>
      <c r="K47" s="97">
        <f t="shared" si="9"/>
        <v>0</v>
      </c>
      <c r="L47" s="97">
        <f t="shared" si="10"/>
        <v>0</v>
      </c>
      <c r="M47" s="97">
        <f t="shared" si="11"/>
        <v>0</v>
      </c>
      <c r="N47" s="111"/>
      <c r="O47" s="110"/>
      <c r="P47" s="112">
        <f t="shared" si="12"/>
        <v>0</v>
      </c>
      <c r="Q47" s="106">
        <f>BASE!A51</f>
        <v>36</v>
      </c>
      <c r="R47" s="97">
        <f t="shared" si="13"/>
        <v>0</v>
      </c>
      <c r="S47" s="97">
        <f t="shared" si="14"/>
        <v>0</v>
      </c>
      <c r="T47" s="97">
        <f t="shared" si="15"/>
        <v>0</v>
      </c>
      <c r="U47" s="97">
        <f t="shared" si="16"/>
        <v>0</v>
      </c>
      <c r="V47" s="97">
        <f t="shared" si="17"/>
        <v>0</v>
      </c>
      <c r="W47" s="161"/>
      <c r="X47" s="161"/>
    </row>
    <row r="48" spans="1:24" ht="18.75" customHeight="1">
      <c r="A48" s="110" t="str">
        <f>+BASE!B52</f>
        <v>23XXR037</v>
      </c>
      <c r="B48" s="106" t="s">
        <v>40</v>
      </c>
      <c r="C48" s="111">
        <f t="shared" si="3"/>
        <v>0</v>
      </c>
      <c r="D48" s="111">
        <f t="shared" si="4"/>
        <v>0</v>
      </c>
      <c r="E48" s="111">
        <f t="shared" si="5"/>
        <v>0</v>
      </c>
      <c r="F48" s="111">
        <f t="shared" si="6"/>
        <v>0</v>
      </c>
      <c r="G48" s="111">
        <f t="shared" si="7"/>
        <v>0</v>
      </c>
      <c r="H48" s="111"/>
      <c r="I48" s="97">
        <f t="shared" si="18"/>
        <v>0</v>
      </c>
      <c r="J48" s="97">
        <f t="shared" si="8"/>
        <v>0</v>
      </c>
      <c r="K48" s="97">
        <f t="shared" si="9"/>
        <v>0</v>
      </c>
      <c r="L48" s="97">
        <f t="shared" si="10"/>
        <v>0</v>
      </c>
      <c r="M48" s="97">
        <f t="shared" si="11"/>
        <v>0</v>
      </c>
      <c r="N48" s="111"/>
      <c r="O48" s="110"/>
      <c r="P48" s="112">
        <f t="shared" si="12"/>
        <v>0</v>
      </c>
      <c r="Q48" s="106">
        <f>BASE!A52</f>
        <v>37</v>
      </c>
      <c r="R48" s="97">
        <f t="shared" si="13"/>
        <v>0</v>
      </c>
      <c r="S48" s="97">
        <f t="shared" si="14"/>
        <v>0</v>
      </c>
      <c r="T48" s="97">
        <f t="shared" si="15"/>
        <v>0</v>
      </c>
      <c r="U48" s="97">
        <f t="shared" si="16"/>
        <v>0</v>
      </c>
      <c r="V48" s="97">
        <f t="shared" si="17"/>
        <v>0</v>
      </c>
      <c r="W48" s="161"/>
      <c r="X48" s="161"/>
    </row>
    <row r="49" spans="1:24" ht="18.75" customHeight="1">
      <c r="A49" s="110" t="str">
        <f>+BASE!B53</f>
        <v>23XXR038</v>
      </c>
      <c r="B49" s="106" t="s">
        <v>40</v>
      </c>
      <c r="C49" s="111">
        <f t="shared" si="3"/>
        <v>0</v>
      </c>
      <c r="D49" s="111">
        <f t="shared" si="4"/>
        <v>0</v>
      </c>
      <c r="E49" s="111">
        <f t="shared" si="5"/>
        <v>0</v>
      </c>
      <c r="F49" s="111">
        <f t="shared" si="6"/>
        <v>0</v>
      </c>
      <c r="G49" s="111">
        <f t="shared" si="7"/>
        <v>0</v>
      </c>
      <c r="H49" s="111"/>
      <c r="I49" s="97">
        <f t="shared" si="18"/>
        <v>0</v>
      </c>
      <c r="J49" s="97">
        <f t="shared" si="8"/>
        <v>0</v>
      </c>
      <c r="K49" s="97">
        <f t="shared" si="9"/>
        <v>0</v>
      </c>
      <c r="L49" s="97">
        <f t="shared" si="10"/>
        <v>0</v>
      </c>
      <c r="M49" s="97">
        <f t="shared" si="11"/>
        <v>0</v>
      </c>
      <c r="N49" s="111"/>
      <c r="O49" s="110"/>
      <c r="P49" s="112">
        <f t="shared" si="12"/>
        <v>0</v>
      </c>
      <c r="Q49" s="106">
        <f>BASE!A53</f>
        <v>38</v>
      </c>
      <c r="R49" s="97">
        <f t="shared" si="13"/>
        <v>0</v>
      </c>
      <c r="S49" s="97">
        <f t="shared" si="14"/>
        <v>0</v>
      </c>
      <c r="T49" s="97">
        <f t="shared" si="15"/>
        <v>0</v>
      </c>
      <c r="U49" s="97">
        <f t="shared" si="16"/>
        <v>0</v>
      </c>
      <c r="V49" s="97">
        <f t="shared" si="17"/>
        <v>0</v>
      </c>
      <c r="W49" s="161"/>
      <c r="X49" s="161"/>
    </row>
    <row r="50" spans="1:24" ht="18.75" customHeight="1">
      <c r="A50" s="110" t="str">
        <f>+BASE!B54</f>
        <v>23XXR039</v>
      </c>
      <c r="B50" s="106" t="s">
        <v>40</v>
      </c>
      <c r="C50" s="111">
        <f t="shared" si="3"/>
        <v>0</v>
      </c>
      <c r="D50" s="111">
        <f t="shared" si="4"/>
        <v>0</v>
      </c>
      <c r="E50" s="111">
        <f t="shared" si="5"/>
        <v>0</v>
      </c>
      <c r="F50" s="111">
        <f t="shared" si="6"/>
        <v>0</v>
      </c>
      <c r="G50" s="111">
        <f t="shared" si="7"/>
        <v>0</v>
      </c>
      <c r="H50" s="111"/>
      <c r="I50" s="97">
        <f t="shared" si="18"/>
        <v>0</v>
      </c>
      <c r="J50" s="97">
        <f t="shared" si="8"/>
        <v>0</v>
      </c>
      <c r="K50" s="97">
        <f t="shared" si="9"/>
        <v>0</v>
      </c>
      <c r="L50" s="97">
        <f t="shared" si="10"/>
        <v>0</v>
      </c>
      <c r="M50" s="97">
        <f t="shared" si="11"/>
        <v>0</v>
      </c>
      <c r="N50" s="111"/>
      <c r="O50" s="110"/>
      <c r="P50" s="112">
        <f t="shared" si="12"/>
        <v>0</v>
      </c>
      <c r="Q50" s="106">
        <f>BASE!A54</f>
        <v>39</v>
      </c>
      <c r="R50" s="97">
        <f t="shared" si="13"/>
        <v>0</v>
      </c>
      <c r="S50" s="97">
        <f t="shared" si="14"/>
        <v>0</v>
      </c>
      <c r="T50" s="97">
        <f t="shared" si="15"/>
        <v>0</v>
      </c>
      <c r="U50" s="97">
        <f t="shared" si="16"/>
        <v>0</v>
      </c>
      <c r="V50" s="97">
        <f t="shared" si="17"/>
        <v>0</v>
      </c>
      <c r="W50" s="161"/>
      <c r="X50" s="161"/>
    </row>
    <row r="51" spans="1:24" ht="18.75" customHeight="1">
      <c r="A51" s="110" t="str">
        <f>+BASE!B55</f>
        <v>23XXR040</v>
      </c>
      <c r="B51" s="106" t="s">
        <v>40</v>
      </c>
      <c r="C51" s="111">
        <f t="shared" si="3"/>
        <v>0</v>
      </c>
      <c r="D51" s="111">
        <f t="shared" si="4"/>
        <v>0</v>
      </c>
      <c r="E51" s="111">
        <f t="shared" si="5"/>
        <v>0</v>
      </c>
      <c r="F51" s="111">
        <f t="shared" si="6"/>
        <v>0</v>
      </c>
      <c r="G51" s="111">
        <f t="shared" si="7"/>
        <v>0</v>
      </c>
      <c r="H51" s="111"/>
      <c r="I51" s="97">
        <f t="shared" si="18"/>
        <v>0</v>
      </c>
      <c r="J51" s="97">
        <f t="shared" si="8"/>
        <v>0</v>
      </c>
      <c r="K51" s="97">
        <f t="shared" si="9"/>
        <v>0</v>
      </c>
      <c r="L51" s="97">
        <f t="shared" si="10"/>
        <v>0</v>
      </c>
      <c r="M51" s="97">
        <f t="shared" si="11"/>
        <v>0</v>
      </c>
      <c r="N51" s="111"/>
      <c r="O51" s="110"/>
      <c r="P51" s="112">
        <f t="shared" si="12"/>
        <v>0</v>
      </c>
      <c r="Q51" s="106">
        <f>BASE!A55</f>
        <v>40</v>
      </c>
      <c r="R51" s="97">
        <f t="shared" si="13"/>
        <v>0</v>
      </c>
      <c r="S51" s="97">
        <f t="shared" si="14"/>
        <v>0</v>
      </c>
      <c r="T51" s="97">
        <f t="shared" si="15"/>
        <v>0</v>
      </c>
      <c r="U51" s="97">
        <f t="shared" si="16"/>
        <v>0</v>
      </c>
      <c r="V51" s="97">
        <f t="shared" si="17"/>
        <v>0</v>
      </c>
      <c r="W51" s="161"/>
      <c r="X51" s="161"/>
    </row>
    <row r="52" spans="1:24" ht="18.75" customHeight="1">
      <c r="A52" s="110" t="str">
        <f>+BASE!B56</f>
        <v>23XXR041</v>
      </c>
      <c r="B52" s="106" t="s">
        <v>40</v>
      </c>
      <c r="C52" s="111">
        <f t="shared" si="3"/>
        <v>0</v>
      </c>
      <c r="D52" s="111">
        <f t="shared" si="4"/>
        <v>0</v>
      </c>
      <c r="E52" s="111">
        <f t="shared" si="5"/>
        <v>0</v>
      </c>
      <c r="F52" s="111">
        <f t="shared" si="6"/>
        <v>0</v>
      </c>
      <c r="G52" s="111">
        <f t="shared" si="7"/>
        <v>0</v>
      </c>
      <c r="H52" s="111"/>
      <c r="I52" s="97">
        <f t="shared" si="18"/>
        <v>0</v>
      </c>
      <c r="J52" s="97">
        <f t="shared" si="8"/>
        <v>0</v>
      </c>
      <c r="K52" s="97">
        <f t="shared" si="9"/>
        <v>0</v>
      </c>
      <c r="L52" s="97">
        <f t="shared" si="10"/>
        <v>0</v>
      </c>
      <c r="M52" s="97">
        <f t="shared" si="11"/>
        <v>0</v>
      </c>
      <c r="N52" s="111"/>
      <c r="O52" s="110"/>
      <c r="P52" s="112">
        <f t="shared" si="12"/>
        <v>0</v>
      </c>
      <c r="Q52" s="106">
        <f>BASE!A56</f>
        <v>41</v>
      </c>
      <c r="R52" s="97">
        <f t="shared" si="13"/>
        <v>0</v>
      </c>
      <c r="S52" s="97">
        <f t="shared" si="14"/>
        <v>0</v>
      </c>
      <c r="T52" s="97">
        <f t="shared" si="15"/>
        <v>0</v>
      </c>
      <c r="U52" s="97">
        <f t="shared" si="16"/>
        <v>0</v>
      </c>
      <c r="V52" s="97">
        <f t="shared" si="17"/>
        <v>0</v>
      </c>
      <c r="W52" s="161"/>
      <c r="X52" s="161"/>
    </row>
    <row r="53" spans="1:24" ht="18.75" customHeight="1">
      <c r="A53" s="110" t="str">
        <f>+BASE!B57</f>
        <v>23XXR042</v>
      </c>
      <c r="B53" s="106" t="s">
        <v>40</v>
      </c>
      <c r="C53" s="111">
        <f t="shared" si="3"/>
        <v>0</v>
      </c>
      <c r="D53" s="111">
        <f t="shared" si="4"/>
        <v>0</v>
      </c>
      <c r="E53" s="111">
        <f t="shared" si="5"/>
        <v>0</v>
      </c>
      <c r="F53" s="111">
        <f t="shared" si="6"/>
        <v>0</v>
      </c>
      <c r="G53" s="111">
        <f t="shared" si="7"/>
        <v>0</v>
      </c>
      <c r="H53" s="111"/>
      <c r="I53" s="97">
        <f t="shared" si="18"/>
        <v>0</v>
      </c>
      <c r="J53" s="97">
        <f t="shared" si="8"/>
        <v>0</v>
      </c>
      <c r="K53" s="97">
        <f t="shared" si="9"/>
        <v>0</v>
      </c>
      <c r="L53" s="97">
        <f t="shared" si="10"/>
        <v>0</v>
      </c>
      <c r="M53" s="97">
        <f t="shared" si="11"/>
        <v>0</v>
      </c>
      <c r="N53" s="111"/>
      <c r="O53" s="110"/>
      <c r="P53" s="112">
        <f t="shared" si="12"/>
        <v>0</v>
      </c>
      <c r="Q53" s="106">
        <f>BASE!A57</f>
        <v>42</v>
      </c>
      <c r="R53" s="97">
        <f t="shared" si="13"/>
        <v>0</v>
      </c>
      <c r="S53" s="97">
        <f t="shared" si="14"/>
        <v>0</v>
      </c>
      <c r="T53" s="97">
        <f t="shared" si="15"/>
        <v>0</v>
      </c>
      <c r="U53" s="97">
        <f t="shared" si="16"/>
        <v>0</v>
      </c>
      <c r="V53" s="97">
        <f t="shared" si="17"/>
        <v>0</v>
      </c>
      <c r="W53" s="161"/>
      <c r="X53" s="161"/>
    </row>
    <row r="54" spans="1:24" ht="18.75" customHeight="1">
      <c r="A54" s="110" t="str">
        <f>+BASE!B58</f>
        <v>23XXR043</v>
      </c>
      <c r="B54" s="106" t="s">
        <v>40</v>
      </c>
      <c r="C54" s="111">
        <f t="shared" si="3"/>
        <v>0</v>
      </c>
      <c r="D54" s="111">
        <f t="shared" si="4"/>
        <v>0</v>
      </c>
      <c r="E54" s="111">
        <f t="shared" si="5"/>
        <v>0</v>
      </c>
      <c r="F54" s="111">
        <f t="shared" si="6"/>
        <v>0</v>
      </c>
      <c r="G54" s="111">
        <f t="shared" si="7"/>
        <v>0</v>
      </c>
      <c r="H54" s="111"/>
      <c r="I54" s="97">
        <f t="shared" si="18"/>
        <v>0</v>
      </c>
      <c r="J54" s="97">
        <f t="shared" si="8"/>
        <v>0</v>
      </c>
      <c r="K54" s="97">
        <f t="shared" si="9"/>
        <v>0</v>
      </c>
      <c r="L54" s="97">
        <f t="shared" si="10"/>
        <v>0</v>
      </c>
      <c r="M54" s="97">
        <f t="shared" si="11"/>
        <v>0</v>
      </c>
      <c r="N54" s="111"/>
      <c r="O54" s="110"/>
      <c r="P54" s="112">
        <f t="shared" si="12"/>
        <v>0</v>
      </c>
      <c r="Q54" s="106">
        <f>BASE!A58</f>
        <v>43</v>
      </c>
      <c r="R54" s="97">
        <f t="shared" si="13"/>
        <v>0</v>
      </c>
      <c r="S54" s="97">
        <f t="shared" si="14"/>
        <v>0</v>
      </c>
      <c r="T54" s="97">
        <f t="shared" si="15"/>
        <v>0</v>
      </c>
      <c r="U54" s="97">
        <f t="shared" si="16"/>
        <v>0</v>
      </c>
      <c r="V54" s="97">
        <f t="shared" si="17"/>
        <v>0</v>
      </c>
      <c r="W54" s="161"/>
      <c r="X54" s="161"/>
    </row>
    <row r="55" spans="1:24" ht="18.75" customHeight="1">
      <c r="A55" s="110" t="str">
        <f>+BASE!B59</f>
        <v>23XXR044</v>
      </c>
      <c r="B55" s="106" t="s">
        <v>40</v>
      </c>
      <c r="C55" s="111">
        <f t="shared" si="3"/>
        <v>0</v>
      </c>
      <c r="D55" s="111">
        <f t="shared" si="4"/>
        <v>0</v>
      </c>
      <c r="E55" s="111">
        <f t="shared" si="5"/>
        <v>0</v>
      </c>
      <c r="F55" s="111">
        <f t="shared" si="6"/>
        <v>0</v>
      </c>
      <c r="G55" s="111">
        <f t="shared" si="7"/>
        <v>0</v>
      </c>
      <c r="H55" s="111"/>
      <c r="I55" s="97">
        <f t="shared" si="18"/>
        <v>0</v>
      </c>
      <c r="J55" s="97">
        <f t="shared" si="8"/>
        <v>0</v>
      </c>
      <c r="K55" s="97">
        <f t="shared" si="9"/>
        <v>0</v>
      </c>
      <c r="L55" s="97">
        <f t="shared" si="10"/>
        <v>0</v>
      </c>
      <c r="M55" s="97">
        <f t="shared" si="11"/>
        <v>0</v>
      </c>
      <c r="N55" s="111"/>
      <c r="O55" s="110"/>
      <c r="P55" s="112">
        <f t="shared" si="12"/>
        <v>0</v>
      </c>
      <c r="Q55" s="106">
        <f>BASE!A59</f>
        <v>44</v>
      </c>
      <c r="R55" s="97">
        <f t="shared" si="13"/>
        <v>0</v>
      </c>
      <c r="S55" s="97">
        <f t="shared" si="14"/>
        <v>0</v>
      </c>
      <c r="T55" s="97">
        <f t="shared" si="15"/>
        <v>0</v>
      </c>
      <c r="U55" s="97">
        <f t="shared" si="16"/>
        <v>0</v>
      </c>
      <c r="V55" s="97">
        <f t="shared" si="17"/>
        <v>0</v>
      </c>
      <c r="W55" s="161"/>
      <c r="X55" s="161"/>
    </row>
    <row r="56" spans="1:24" ht="18.75" customHeight="1">
      <c r="A56" s="110" t="str">
        <f>+BASE!B60</f>
        <v>23XXR045</v>
      </c>
      <c r="B56" s="106" t="s">
        <v>40</v>
      </c>
      <c r="C56" s="111">
        <f t="shared" si="3"/>
        <v>0</v>
      </c>
      <c r="D56" s="111">
        <f t="shared" si="4"/>
        <v>0</v>
      </c>
      <c r="E56" s="111">
        <f t="shared" si="5"/>
        <v>0</v>
      </c>
      <c r="F56" s="111">
        <f t="shared" si="6"/>
        <v>0</v>
      </c>
      <c r="G56" s="111">
        <f t="shared" si="7"/>
        <v>0</v>
      </c>
      <c r="H56" s="111"/>
      <c r="I56" s="97">
        <f t="shared" si="18"/>
        <v>0</v>
      </c>
      <c r="J56" s="97">
        <f t="shared" si="8"/>
        <v>0</v>
      </c>
      <c r="K56" s="97">
        <f t="shared" si="9"/>
        <v>0</v>
      </c>
      <c r="L56" s="97">
        <f t="shared" si="10"/>
        <v>0</v>
      </c>
      <c r="M56" s="97">
        <f t="shared" si="11"/>
        <v>0</v>
      </c>
      <c r="N56" s="111"/>
      <c r="O56" s="110"/>
      <c r="P56" s="112">
        <f t="shared" si="12"/>
        <v>0</v>
      </c>
      <c r="Q56" s="106">
        <f>BASE!A60</f>
        <v>45</v>
      </c>
      <c r="R56" s="97">
        <f t="shared" si="13"/>
        <v>0</v>
      </c>
      <c r="S56" s="97">
        <f t="shared" si="14"/>
        <v>0</v>
      </c>
      <c r="T56" s="97">
        <f t="shared" si="15"/>
        <v>0</v>
      </c>
      <c r="U56" s="97">
        <f t="shared" si="16"/>
        <v>0</v>
      </c>
      <c r="V56" s="97">
        <f t="shared" si="17"/>
        <v>0</v>
      </c>
      <c r="W56" s="161"/>
      <c r="X56" s="161"/>
    </row>
    <row r="57" spans="1:24" ht="18.75" customHeight="1">
      <c r="A57" s="110" t="str">
        <f>+BASE!B61</f>
        <v>23XXR046</v>
      </c>
      <c r="B57" s="106" t="s">
        <v>40</v>
      </c>
      <c r="C57" s="111">
        <f t="shared" si="3"/>
        <v>0</v>
      </c>
      <c r="D57" s="111">
        <f t="shared" si="4"/>
        <v>0</v>
      </c>
      <c r="E57" s="111">
        <f t="shared" si="5"/>
        <v>0</v>
      </c>
      <c r="F57" s="111">
        <f t="shared" si="6"/>
        <v>0</v>
      </c>
      <c r="G57" s="111">
        <f t="shared" si="7"/>
        <v>0</v>
      </c>
      <c r="H57" s="111"/>
      <c r="I57" s="97">
        <f t="shared" si="18"/>
        <v>0</v>
      </c>
      <c r="J57" s="97">
        <f t="shared" si="8"/>
        <v>0</v>
      </c>
      <c r="K57" s="97">
        <f t="shared" si="9"/>
        <v>0</v>
      </c>
      <c r="L57" s="97">
        <f t="shared" si="10"/>
        <v>0</v>
      </c>
      <c r="M57" s="97">
        <f t="shared" si="11"/>
        <v>0</v>
      </c>
      <c r="N57" s="111"/>
      <c r="O57" s="110"/>
      <c r="P57" s="112">
        <f t="shared" si="12"/>
        <v>0</v>
      </c>
      <c r="Q57" s="106">
        <f>BASE!A61</f>
        <v>46</v>
      </c>
      <c r="R57" s="97">
        <f t="shared" si="13"/>
        <v>0</v>
      </c>
      <c r="S57" s="97">
        <f t="shared" si="14"/>
        <v>0</v>
      </c>
      <c r="T57" s="97">
        <f t="shared" si="15"/>
        <v>0</v>
      </c>
      <c r="U57" s="97">
        <f t="shared" si="16"/>
        <v>0</v>
      </c>
      <c r="V57" s="97">
        <f t="shared" si="17"/>
        <v>0</v>
      </c>
      <c r="W57" s="161"/>
      <c r="X57" s="161"/>
    </row>
    <row r="58" spans="1:24" ht="18.75" customHeight="1">
      <c r="A58" s="110" t="str">
        <f>+BASE!B62</f>
        <v>23XXR047</v>
      </c>
      <c r="B58" s="106" t="s">
        <v>40</v>
      </c>
      <c r="C58" s="111">
        <f t="shared" si="3"/>
        <v>0</v>
      </c>
      <c r="D58" s="111">
        <f t="shared" si="4"/>
        <v>0</v>
      </c>
      <c r="E58" s="111">
        <f t="shared" si="5"/>
        <v>0</v>
      </c>
      <c r="F58" s="111">
        <f t="shared" si="6"/>
        <v>0</v>
      </c>
      <c r="G58" s="111">
        <f t="shared" si="7"/>
        <v>0</v>
      </c>
      <c r="H58" s="111"/>
      <c r="I58" s="97">
        <f t="shared" si="18"/>
        <v>0</v>
      </c>
      <c r="J58" s="97">
        <f t="shared" si="8"/>
        <v>0</v>
      </c>
      <c r="K58" s="97">
        <f t="shared" si="9"/>
        <v>0</v>
      </c>
      <c r="L58" s="97">
        <f t="shared" si="10"/>
        <v>0</v>
      </c>
      <c r="M58" s="97">
        <f t="shared" si="11"/>
        <v>0</v>
      </c>
      <c r="N58" s="111"/>
      <c r="O58" s="110"/>
      <c r="P58" s="112">
        <f t="shared" si="12"/>
        <v>0</v>
      </c>
      <c r="Q58" s="106">
        <f>BASE!A62</f>
        <v>47</v>
      </c>
      <c r="R58" s="97">
        <f t="shared" si="13"/>
        <v>0</v>
      </c>
      <c r="S58" s="97">
        <f t="shared" si="14"/>
        <v>0</v>
      </c>
      <c r="T58" s="97">
        <f t="shared" si="15"/>
        <v>0</v>
      </c>
      <c r="U58" s="97">
        <f t="shared" si="16"/>
        <v>0</v>
      </c>
      <c r="V58" s="97">
        <f t="shared" si="17"/>
        <v>0</v>
      </c>
      <c r="W58" s="161"/>
      <c r="X58" s="161"/>
    </row>
    <row r="59" spans="1:24" ht="18.75" customHeight="1">
      <c r="A59" s="110" t="str">
        <f>+BASE!B63</f>
        <v>23XXR048</v>
      </c>
      <c r="B59" s="106" t="s">
        <v>40</v>
      </c>
      <c r="C59" s="111">
        <f t="shared" si="3"/>
        <v>0</v>
      </c>
      <c r="D59" s="111">
        <f t="shared" si="4"/>
        <v>0</v>
      </c>
      <c r="E59" s="111">
        <f t="shared" si="5"/>
        <v>0</v>
      </c>
      <c r="F59" s="111">
        <f t="shared" si="6"/>
        <v>0</v>
      </c>
      <c r="G59" s="111">
        <f t="shared" si="7"/>
        <v>0</v>
      </c>
      <c r="H59" s="111"/>
      <c r="I59" s="97">
        <f t="shared" si="18"/>
        <v>0</v>
      </c>
      <c r="J59" s="97">
        <f t="shared" si="8"/>
        <v>0</v>
      </c>
      <c r="K59" s="97">
        <f t="shared" si="9"/>
        <v>0</v>
      </c>
      <c r="L59" s="97">
        <f t="shared" si="10"/>
        <v>0</v>
      </c>
      <c r="M59" s="97">
        <f t="shared" si="11"/>
        <v>0</v>
      </c>
      <c r="N59" s="111"/>
      <c r="O59" s="110"/>
      <c r="P59" s="112">
        <f t="shared" si="12"/>
        <v>0</v>
      </c>
      <c r="Q59" s="106">
        <f>BASE!A63</f>
        <v>48</v>
      </c>
      <c r="R59" s="97">
        <f t="shared" si="13"/>
        <v>0</v>
      </c>
      <c r="S59" s="97">
        <f t="shared" si="14"/>
        <v>0</v>
      </c>
      <c r="T59" s="97">
        <f t="shared" si="15"/>
        <v>0</v>
      </c>
      <c r="U59" s="97">
        <f t="shared" si="16"/>
        <v>0</v>
      </c>
      <c r="V59" s="97">
        <f t="shared" si="17"/>
        <v>0</v>
      </c>
      <c r="W59" s="161"/>
      <c r="X59" s="161"/>
    </row>
    <row r="60" spans="1:24" ht="18.75" customHeight="1">
      <c r="A60" s="110" t="str">
        <f>+BASE!B64</f>
        <v>23XXR049</v>
      </c>
      <c r="B60" s="106" t="s">
        <v>40</v>
      </c>
      <c r="C60" s="111">
        <f t="shared" si="3"/>
        <v>0</v>
      </c>
      <c r="D60" s="111">
        <f t="shared" si="4"/>
        <v>0</v>
      </c>
      <c r="E60" s="111">
        <f t="shared" si="5"/>
        <v>0</v>
      </c>
      <c r="F60" s="111">
        <f t="shared" si="6"/>
        <v>0</v>
      </c>
      <c r="G60" s="111">
        <f t="shared" si="7"/>
        <v>0</v>
      </c>
      <c r="H60" s="111"/>
      <c r="I60" s="97">
        <f t="shared" si="18"/>
        <v>0</v>
      </c>
      <c r="J60" s="97">
        <f t="shared" si="8"/>
        <v>0</v>
      </c>
      <c r="K60" s="97">
        <f t="shared" si="9"/>
        <v>0</v>
      </c>
      <c r="L60" s="97">
        <f t="shared" si="10"/>
        <v>0</v>
      </c>
      <c r="M60" s="97">
        <f t="shared" si="11"/>
        <v>0</v>
      </c>
      <c r="N60" s="111"/>
      <c r="O60" s="110"/>
      <c r="P60" s="112">
        <f t="shared" si="12"/>
        <v>0</v>
      </c>
      <c r="Q60" s="106">
        <f>BASE!A64</f>
        <v>49</v>
      </c>
      <c r="R60" s="97">
        <f t="shared" si="13"/>
        <v>0</v>
      </c>
      <c r="S60" s="97">
        <f t="shared" si="14"/>
        <v>0</v>
      </c>
      <c r="T60" s="97">
        <f t="shared" si="15"/>
        <v>0</v>
      </c>
      <c r="U60" s="97">
        <f t="shared" si="16"/>
        <v>0</v>
      </c>
      <c r="V60" s="97">
        <f t="shared" si="17"/>
        <v>0</v>
      </c>
      <c r="W60" s="161"/>
      <c r="X60" s="161"/>
    </row>
    <row r="61" spans="1:24" ht="18.75" customHeight="1">
      <c r="A61" s="110" t="str">
        <f>+BASE!B65</f>
        <v>23XXR050</v>
      </c>
      <c r="B61" s="106" t="s">
        <v>40</v>
      </c>
      <c r="C61" s="111">
        <f t="shared" si="3"/>
        <v>0</v>
      </c>
      <c r="D61" s="111">
        <f t="shared" si="4"/>
        <v>0</v>
      </c>
      <c r="E61" s="111">
        <f t="shared" si="5"/>
        <v>0</v>
      </c>
      <c r="F61" s="111">
        <f t="shared" si="6"/>
        <v>0</v>
      </c>
      <c r="G61" s="111">
        <f t="shared" si="7"/>
        <v>0</v>
      </c>
      <c r="H61" s="111"/>
      <c r="I61" s="97">
        <f t="shared" si="18"/>
        <v>0</v>
      </c>
      <c r="J61" s="97">
        <f t="shared" si="8"/>
        <v>0</v>
      </c>
      <c r="K61" s="97">
        <f t="shared" si="9"/>
        <v>0</v>
      </c>
      <c r="L61" s="97">
        <f t="shared" si="10"/>
        <v>0</v>
      </c>
      <c r="M61" s="97">
        <f t="shared" si="11"/>
        <v>0</v>
      </c>
      <c r="N61" s="111"/>
      <c r="O61" s="110"/>
      <c r="P61" s="112">
        <f t="shared" si="12"/>
        <v>0</v>
      </c>
      <c r="Q61" s="106">
        <f>BASE!A65</f>
        <v>50</v>
      </c>
      <c r="R61" s="97">
        <f t="shared" si="13"/>
        <v>0</v>
      </c>
      <c r="S61" s="97">
        <f t="shared" si="14"/>
        <v>0</v>
      </c>
      <c r="T61" s="97">
        <f t="shared" si="15"/>
        <v>0</v>
      </c>
      <c r="U61" s="97">
        <f t="shared" si="16"/>
        <v>0</v>
      </c>
      <c r="V61" s="97">
        <f t="shared" si="17"/>
        <v>0</v>
      </c>
      <c r="W61" s="161"/>
      <c r="X61" s="161"/>
    </row>
    <row r="62" spans="1:24" ht="18.75" customHeight="1">
      <c r="A62" s="110" t="str">
        <f>+BASE!B66</f>
        <v>23XXR051</v>
      </c>
      <c r="B62" s="106" t="s">
        <v>40</v>
      </c>
      <c r="C62" s="111">
        <f t="shared" si="3"/>
        <v>0</v>
      </c>
      <c r="D62" s="111">
        <f t="shared" si="4"/>
        <v>0</v>
      </c>
      <c r="E62" s="111">
        <f t="shared" si="5"/>
        <v>0</v>
      </c>
      <c r="F62" s="111">
        <f t="shared" si="6"/>
        <v>0</v>
      </c>
      <c r="G62" s="111">
        <f t="shared" si="7"/>
        <v>0</v>
      </c>
      <c r="H62" s="111"/>
      <c r="I62" s="97">
        <f t="shared" si="18"/>
        <v>0</v>
      </c>
      <c r="J62" s="97">
        <f t="shared" si="8"/>
        <v>0</v>
      </c>
      <c r="K62" s="97">
        <f t="shared" si="9"/>
        <v>0</v>
      </c>
      <c r="L62" s="97">
        <f t="shared" si="10"/>
        <v>0</v>
      </c>
      <c r="M62" s="97">
        <f t="shared" si="11"/>
        <v>0</v>
      </c>
      <c r="N62" s="111"/>
      <c r="O62" s="110"/>
      <c r="P62" s="112">
        <f t="shared" si="12"/>
        <v>0</v>
      </c>
      <c r="Q62" s="106">
        <f>BASE!A66</f>
        <v>51</v>
      </c>
      <c r="R62" s="97">
        <f t="shared" si="13"/>
        <v>0</v>
      </c>
      <c r="S62" s="97">
        <f t="shared" si="14"/>
        <v>0</v>
      </c>
      <c r="T62" s="97">
        <f t="shared" si="15"/>
        <v>0</v>
      </c>
      <c r="U62" s="97">
        <f t="shared" si="16"/>
        <v>0</v>
      </c>
      <c r="V62" s="97">
        <f t="shared" si="17"/>
        <v>0</v>
      </c>
      <c r="W62" s="161"/>
      <c r="X62" s="161"/>
    </row>
    <row r="63" spans="1:24" ht="18.75" customHeight="1">
      <c r="A63" s="110" t="str">
        <f>+BASE!B67</f>
        <v>23XXR052</v>
      </c>
      <c r="B63" s="106" t="s">
        <v>40</v>
      </c>
      <c r="C63" s="111">
        <f t="shared" si="3"/>
        <v>0</v>
      </c>
      <c r="D63" s="111">
        <f t="shared" si="4"/>
        <v>0</v>
      </c>
      <c r="E63" s="111">
        <f t="shared" si="5"/>
        <v>0</v>
      </c>
      <c r="F63" s="111">
        <f t="shared" si="6"/>
        <v>0</v>
      </c>
      <c r="G63" s="111">
        <f t="shared" si="7"/>
        <v>0</v>
      </c>
      <c r="H63" s="111"/>
      <c r="I63" s="97">
        <f t="shared" si="18"/>
        <v>0</v>
      </c>
      <c r="J63" s="97">
        <f t="shared" si="8"/>
        <v>0</v>
      </c>
      <c r="K63" s="97">
        <f t="shared" si="9"/>
        <v>0</v>
      </c>
      <c r="L63" s="97">
        <f t="shared" si="10"/>
        <v>0</v>
      </c>
      <c r="M63" s="97">
        <f t="shared" si="11"/>
        <v>0</v>
      </c>
      <c r="N63" s="111"/>
      <c r="O63" s="110"/>
      <c r="P63" s="112">
        <f t="shared" si="12"/>
        <v>0</v>
      </c>
      <c r="Q63" s="106">
        <f>BASE!A67</f>
        <v>52</v>
      </c>
      <c r="R63" s="97">
        <f t="shared" si="13"/>
        <v>0</v>
      </c>
      <c r="S63" s="97">
        <f t="shared" si="14"/>
        <v>0</v>
      </c>
      <c r="T63" s="97">
        <f t="shared" si="15"/>
        <v>0</v>
      </c>
      <c r="U63" s="97">
        <f t="shared" si="16"/>
        <v>0</v>
      </c>
      <c r="V63" s="97">
        <f t="shared" si="17"/>
        <v>0</v>
      </c>
      <c r="W63" s="161"/>
      <c r="X63" s="161"/>
    </row>
    <row r="64" spans="1:24" ht="18.75" customHeight="1">
      <c r="A64" s="110" t="str">
        <f>+BASE!B68</f>
        <v>23XXR053</v>
      </c>
      <c r="B64" s="106" t="s">
        <v>40</v>
      </c>
      <c r="C64" s="111">
        <f t="shared" si="3"/>
        <v>0</v>
      </c>
      <c r="D64" s="111">
        <f t="shared" si="4"/>
        <v>0</v>
      </c>
      <c r="E64" s="111">
        <f t="shared" si="5"/>
        <v>0</v>
      </c>
      <c r="F64" s="111">
        <f t="shared" si="6"/>
        <v>0</v>
      </c>
      <c r="G64" s="111">
        <f t="shared" si="7"/>
        <v>0</v>
      </c>
      <c r="H64" s="111"/>
      <c r="I64" s="97">
        <f t="shared" si="18"/>
        <v>0</v>
      </c>
      <c r="J64" s="97">
        <f t="shared" si="8"/>
        <v>0</v>
      </c>
      <c r="K64" s="97">
        <f t="shared" si="9"/>
        <v>0</v>
      </c>
      <c r="L64" s="97">
        <f t="shared" si="10"/>
        <v>0</v>
      </c>
      <c r="M64" s="97">
        <f t="shared" si="11"/>
        <v>0</v>
      </c>
      <c r="N64" s="111"/>
      <c r="O64" s="110"/>
      <c r="P64" s="112">
        <f t="shared" si="12"/>
        <v>0</v>
      </c>
      <c r="Q64" s="106">
        <f>BASE!A68</f>
        <v>53</v>
      </c>
      <c r="R64" s="97">
        <f t="shared" si="13"/>
        <v>0</v>
      </c>
      <c r="S64" s="97">
        <f t="shared" si="14"/>
        <v>0</v>
      </c>
      <c r="T64" s="97">
        <f t="shared" si="15"/>
        <v>0</v>
      </c>
      <c r="U64" s="97">
        <f t="shared" si="16"/>
        <v>0</v>
      </c>
      <c r="V64" s="97">
        <f t="shared" si="17"/>
        <v>0</v>
      </c>
      <c r="W64" s="161"/>
      <c r="X64" s="161"/>
    </row>
    <row r="65" spans="1:24" ht="18.75" customHeight="1">
      <c r="A65" s="110" t="str">
        <f>+BASE!B69</f>
        <v>23XXR054</v>
      </c>
      <c r="B65" s="106" t="s">
        <v>40</v>
      </c>
      <c r="C65" s="111">
        <f t="shared" si="3"/>
        <v>0</v>
      </c>
      <c r="D65" s="111">
        <f t="shared" si="4"/>
        <v>0</v>
      </c>
      <c r="E65" s="111">
        <f t="shared" si="5"/>
        <v>0</v>
      </c>
      <c r="F65" s="111">
        <f t="shared" si="6"/>
        <v>0</v>
      </c>
      <c r="G65" s="111">
        <f t="shared" si="7"/>
        <v>0</v>
      </c>
      <c r="H65" s="111"/>
      <c r="I65" s="97">
        <f t="shared" si="18"/>
        <v>0</v>
      </c>
      <c r="J65" s="97">
        <f t="shared" si="8"/>
        <v>0</v>
      </c>
      <c r="K65" s="97">
        <f t="shared" si="9"/>
        <v>0</v>
      </c>
      <c r="L65" s="97">
        <f t="shared" si="10"/>
        <v>0</v>
      </c>
      <c r="M65" s="97">
        <f t="shared" si="11"/>
        <v>0</v>
      </c>
      <c r="N65" s="111"/>
      <c r="O65" s="110"/>
      <c r="P65" s="112">
        <f t="shared" si="12"/>
        <v>0</v>
      </c>
      <c r="Q65" s="106">
        <f>BASE!A69</f>
        <v>54</v>
      </c>
      <c r="R65" s="97">
        <f t="shared" si="13"/>
        <v>0</v>
      </c>
      <c r="S65" s="97">
        <f t="shared" si="14"/>
        <v>0</v>
      </c>
      <c r="T65" s="97">
        <f t="shared" si="15"/>
        <v>0</v>
      </c>
      <c r="U65" s="97">
        <f t="shared" si="16"/>
        <v>0</v>
      </c>
      <c r="V65" s="97">
        <f t="shared" si="17"/>
        <v>0</v>
      </c>
      <c r="W65" s="161"/>
      <c r="X65" s="161"/>
    </row>
    <row r="66" spans="1:24" ht="18.75" customHeight="1">
      <c r="A66" s="110" t="str">
        <f>+BASE!B70</f>
        <v>23XXR055</v>
      </c>
      <c r="B66" s="106" t="s">
        <v>40</v>
      </c>
      <c r="C66" s="111">
        <f t="shared" si="3"/>
        <v>0</v>
      </c>
      <c r="D66" s="111">
        <f t="shared" si="4"/>
        <v>0</v>
      </c>
      <c r="E66" s="111">
        <f t="shared" si="5"/>
        <v>0</v>
      </c>
      <c r="F66" s="111">
        <f t="shared" si="6"/>
        <v>0</v>
      </c>
      <c r="G66" s="111">
        <f t="shared" si="7"/>
        <v>0</v>
      </c>
      <c r="H66" s="111"/>
      <c r="I66" s="97">
        <f t="shared" si="18"/>
        <v>0</v>
      </c>
      <c r="J66" s="97">
        <f t="shared" si="8"/>
        <v>0</v>
      </c>
      <c r="K66" s="97">
        <f t="shared" si="9"/>
        <v>0</v>
      </c>
      <c r="L66" s="97">
        <f t="shared" si="10"/>
        <v>0</v>
      </c>
      <c r="M66" s="97">
        <f t="shared" si="11"/>
        <v>0</v>
      </c>
      <c r="N66" s="111"/>
      <c r="O66" s="110"/>
      <c r="P66" s="112">
        <f t="shared" si="12"/>
        <v>0</v>
      </c>
      <c r="Q66" s="106">
        <f>BASE!A70</f>
        <v>55</v>
      </c>
      <c r="R66" s="97">
        <f t="shared" si="13"/>
        <v>0</v>
      </c>
      <c r="S66" s="97">
        <f t="shared" si="14"/>
        <v>0</v>
      </c>
      <c r="T66" s="97">
        <f t="shared" si="15"/>
        <v>0</v>
      </c>
      <c r="U66" s="97">
        <f t="shared" si="16"/>
        <v>0</v>
      </c>
      <c r="V66" s="97">
        <f t="shared" si="17"/>
        <v>0</v>
      </c>
      <c r="W66" s="161"/>
      <c r="X66" s="161"/>
    </row>
    <row r="67" spans="1:24" ht="18.75" customHeight="1">
      <c r="A67" s="110" t="str">
        <f>+BASE!B71</f>
        <v>23XXR056</v>
      </c>
      <c r="B67" s="106" t="s">
        <v>40</v>
      </c>
      <c r="C67" s="111">
        <f t="shared" si="3"/>
        <v>0</v>
      </c>
      <c r="D67" s="111">
        <f t="shared" si="4"/>
        <v>0</v>
      </c>
      <c r="E67" s="111">
        <f t="shared" si="5"/>
        <v>0</v>
      </c>
      <c r="F67" s="111">
        <f t="shared" si="6"/>
        <v>0</v>
      </c>
      <c r="G67" s="111">
        <f t="shared" si="7"/>
        <v>0</v>
      </c>
      <c r="H67" s="111"/>
      <c r="I67" s="97">
        <f t="shared" si="18"/>
        <v>0</v>
      </c>
      <c r="J67" s="97">
        <f t="shared" si="8"/>
        <v>0</v>
      </c>
      <c r="K67" s="97">
        <f t="shared" si="9"/>
        <v>0</v>
      </c>
      <c r="L67" s="97">
        <f t="shared" si="10"/>
        <v>0</v>
      </c>
      <c r="M67" s="97">
        <f t="shared" si="11"/>
        <v>0</v>
      </c>
      <c r="N67" s="111"/>
      <c r="O67" s="110"/>
      <c r="P67" s="112">
        <f t="shared" si="12"/>
        <v>0</v>
      </c>
      <c r="Q67" s="106">
        <f>BASE!A71</f>
        <v>56</v>
      </c>
      <c r="R67" s="97">
        <f t="shared" si="13"/>
        <v>0</v>
      </c>
      <c r="S67" s="97">
        <f t="shared" si="14"/>
        <v>0</v>
      </c>
      <c r="T67" s="97">
        <f t="shared" si="15"/>
        <v>0</v>
      </c>
      <c r="U67" s="97">
        <f t="shared" si="16"/>
        <v>0</v>
      </c>
      <c r="V67" s="97">
        <f t="shared" si="17"/>
        <v>0</v>
      </c>
      <c r="W67" s="161"/>
      <c r="X67" s="161"/>
    </row>
    <row r="68" spans="1:24" ht="18.75" customHeight="1">
      <c r="A68" s="110" t="str">
        <f>+BASE!B72</f>
        <v>23XXR057</v>
      </c>
      <c r="B68" s="106" t="s">
        <v>40</v>
      </c>
      <c r="C68" s="111">
        <f t="shared" si="3"/>
        <v>0</v>
      </c>
      <c r="D68" s="111">
        <f t="shared" si="4"/>
        <v>0</v>
      </c>
      <c r="E68" s="111">
        <f t="shared" si="5"/>
        <v>0</v>
      </c>
      <c r="F68" s="111">
        <f t="shared" si="6"/>
        <v>0</v>
      </c>
      <c r="G68" s="111">
        <f t="shared" si="7"/>
        <v>0</v>
      </c>
      <c r="H68" s="111"/>
      <c r="I68" s="97">
        <f t="shared" si="18"/>
        <v>0</v>
      </c>
      <c r="J68" s="97">
        <f t="shared" si="8"/>
        <v>0</v>
      </c>
      <c r="K68" s="97">
        <f t="shared" si="9"/>
        <v>0</v>
      </c>
      <c r="L68" s="97">
        <f t="shared" si="10"/>
        <v>0</v>
      </c>
      <c r="M68" s="97">
        <f t="shared" si="11"/>
        <v>0</v>
      </c>
      <c r="N68" s="111"/>
      <c r="O68" s="110"/>
      <c r="P68" s="112">
        <f t="shared" si="12"/>
        <v>0</v>
      </c>
      <c r="Q68" s="106">
        <f>BASE!A72</f>
        <v>57</v>
      </c>
      <c r="R68" s="97">
        <f t="shared" si="13"/>
        <v>0</v>
      </c>
      <c r="S68" s="97">
        <f t="shared" si="14"/>
        <v>0</v>
      </c>
      <c r="T68" s="97">
        <f t="shared" si="15"/>
        <v>0</v>
      </c>
      <c r="U68" s="97">
        <f t="shared" si="16"/>
        <v>0</v>
      </c>
      <c r="V68" s="97">
        <f t="shared" si="17"/>
        <v>0</v>
      </c>
      <c r="W68" s="161"/>
      <c r="X68" s="161"/>
    </row>
    <row r="69" spans="1:24" ht="18.75" customHeight="1">
      <c r="A69" s="110" t="str">
        <f>+BASE!B73</f>
        <v>23XXR058</v>
      </c>
      <c r="B69" s="106" t="s">
        <v>40</v>
      </c>
      <c r="C69" s="111">
        <f t="shared" si="3"/>
        <v>0</v>
      </c>
      <c r="D69" s="111">
        <f t="shared" si="4"/>
        <v>0</v>
      </c>
      <c r="E69" s="111">
        <f t="shared" si="5"/>
        <v>0</v>
      </c>
      <c r="F69" s="111">
        <f t="shared" si="6"/>
        <v>0</v>
      </c>
      <c r="G69" s="111">
        <f t="shared" si="7"/>
        <v>0</v>
      </c>
      <c r="H69" s="111"/>
      <c r="I69" s="97">
        <f t="shared" si="18"/>
        <v>0</v>
      </c>
      <c r="J69" s="97">
        <f t="shared" si="8"/>
        <v>0</v>
      </c>
      <c r="K69" s="97">
        <f t="shared" si="9"/>
        <v>0</v>
      </c>
      <c r="L69" s="97">
        <f t="shared" si="10"/>
        <v>0</v>
      </c>
      <c r="M69" s="97">
        <f t="shared" si="11"/>
        <v>0</v>
      </c>
      <c r="N69" s="111"/>
      <c r="O69" s="110"/>
      <c r="P69" s="112">
        <f t="shared" si="12"/>
        <v>0</v>
      </c>
      <c r="Q69" s="106">
        <f>BASE!A73</f>
        <v>58</v>
      </c>
      <c r="R69" s="97">
        <f t="shared" si="13"/>
        <v>0</v>
      </c>
      <c r="S69" s="97">
        <f t="shared" si="14"/>
        <v>0</v>
      </c>
      <c r="T69" s="97">
        <f t="shared" si="15"/>
        <v>0</v>
      </c>
      <c r="U69" s="97">
        <f t="shared" si="16"/>
        <v>0</v>
      </c>
      <c r="V69" s="97">
        <f t="shared" si="17"/>
        <v>0</v>
      </c>
      <c r="W69" s="161"/>
      <c r="X69" s="161"/>
    </row>
    <row r="70" spans="1:24" ht="18.75" customHeight="1">
      <c r="A70" s="110" t="str">
        <f>+BASE!B74</f>
        <v>23XXR059</v>
      </c>
      <c r="B70" s="106" t="s">
        <v>40</v>
      </c>
      <c r="C70" s="111">
        <f t="shared" si="3"/>
        <v>0</v>
      </c>
      <c r="D70" s="111">
        <f t="shared" si="4"/>
        <v>0</v>
      </c>
      <c r="E70" s="111">
        <f t="shared" si="5"/>
        <v>0</v>
      </c>
      <c r="F70" s="111">
        <f t="shared" si="6"/>
        <v>0</v>
      </c>
      <c r="G70" s="111">
        <f t="shared" si="7"/>
        <v>0</v>
      </c>
      <c r="H70" s="111"/>
      <c r="I70" s="97">
        <f t="shared" si="18"/>
        <v>0</v>
      </c>
      <c r="J70" s="97">
        <f t="shared" si="8"/>
        <v>0</v>
      </c>
      <c r="K70" s="97">
        <f t="shared" si="9"/>
        <v>0</v>
      </c>
      <c r="L70" s="97">
        <f t="shared" si="10"/>
        <v>0</v>
      </c>
      <c r="M70" s="97">
        <f t="shared" si="11"/>
        <v>0</v>
      </c>
      <c r="N70" s="111"/>
      <c r="O70" s="110"/>
      <c r="P70" s="112">
        <f t="shared" si="12"/>
        <v>0</v>
      </c>
      <c r="Q70" s="106">
        <f>BASE!A74</f>
        <v>59</v>
      </c>
      <c r="R70" s="97">
        <f t="shared" si="13"/>
        <v>0</v>
      </c>
      <c r="S70" s="97">
        <f t="shared" si="14"/>
        <v>0</v>
      </c>
      <c r="T70" s="97">
        <f t="shared" si="15"/>
        <v>0</v>
      </c>
      <c r="U70" s="97">
        <f t="shared" si="16"/>
        <v>0</v>
      </c>
      <c r="V70" s="97">
        <f t="shared" si="17"/>
        <v>0</v>
      </c>
      <c r="W70" s="161"/>
      <c r="X70" s="161"/>
    </row>
    <row r="71" spans="1:24" ht="18.75" customHeight="1">
      <c r="A71" s="110" t="str">
        <f>+BASE!B75</f>
        <v>23XXR060</v>
      </c>
      <c r="B71" s="106" t="s">
        <v>40</v>
      </c>
      <c r="C71" s="111">
        <f t="shared" si="3"/>
        <v>0</v>
      </c>
      <c r="D71" s="111">
        <f t="shared" si="4"/>
        <v>0</v>
      </c>
      <c r="E71" s="111">
        <f t="shared" si="5"/>
        <v>0</v>
      </c>
      <c r="F71" s="111">
        <f t="shared" si="6"/>
        <v>0</v>
      </c>
      <c r="G71" s="111">
        <f t="shared" si="7"/>
        <v>0</v>
      </c>
      <c r="H71" s="111"/>
      <c r="I71" s="97">
        <f t="shared" si="18"/>
        <v>0</v>
      </c>
      <c r="J71" s="97">
        <f t="shared" si="8"/>
        <v>0</v>
      </c>
      <c r="K71" s="97">
        <f t="shared" si="9"/>
        <v>0</v>
      </c>
      <c r="L71" s="97">
        <f t="shared" si="10"/>
        <v>0</v>
      </c>
      <c r="M71" s="97">
        <f t="shared" si="11"/>
        <v>0</v>
      </c>
      <c r="N71" s="111"/>
      <c r="O71" s="110"/>
      <c r="P71" s="112">
        <f t="shared" si="12"/>
        <v>0</v>
      </c>
      <c r="Q71" s="106">
        <f>BASE!A75</f>
        <v>60</v>
      </c>
      <c r="R71" s="97">
        <f t="shared" si="13"/>
        <v>0</v>
      </c>
      <c r="S71" s="97">
        <f t="shared" si="14"/>
        <v>0</v>
      </c>
      <c r="T71" s="97">
        <f t="shared" si="15"/>
        <v>0</v>
      </c>
      <c r="U71" s="97">
        <f t="shared" si="16"/>
        <v>0</v>
      </c>
      <c r="V71" s="97">
        <f t="shared" si="17"/>
        <v>0</v>
      </c>
      <c r="W71" s="161"/>
      <c r="X71" s="161"/>
    </row>
    <row r="72" spans="1:24" ht="18.75" customHeight="1">
      <c r="A72" s="110" t="str">
        <f>+BASE!B76</f>
        <v>23XXR061</v>
      </c>
      <c r="B72" s="106" t="s">
        <v>40</v>
      </c>
      <c r="C72" s="111">
        <f t="shared" si="3"/>
        <v>0</v>
      </c>
      <c r="D72" s="111">
        <f t="shared" si="4"/>
        <v>0</v>
      </c>
      <c r="E72" s="111">
        <f t="shared" si="5"/>
        <v>0</v>
      </c>
      <c r="F72" s="111">
        <f t="shared" si="6"/>
        <v>0</v>
      </c>
      <c r="G72" s="111">
        <f t="shared" si="7"/>
        <v>0</v>
      </c>
      <c r="H72" s="111"/>
      <c r="I72" s="97">
        <f t="shared" si="18"/>
        <v>0</v>
      </c>
      <c r="J72" s="97">
        <f t="shared" si="8"/>
        <v>0</v>
      </c>
      <c r="K72" s="97">
        <f t="shared" si="9"/>
        <v>0</v>
      </c>
      <c r="L72" s="97">
        <f t="shared" si="10"/>
        <v>0</v>
      </c>
      <c r="M72" s="97">
        <f t="shared" si="11"/>
        <v>0</v>
      </c>
      <c r="N72" s="111"/>
      <c r="O72" s="110"/>
      <c r="P72" s="112">
        <f t="shared" si="12"/>
        <v>0</v>
      </c>
      <c r="Q72" s="106">
        <f>BASE!A76</f>
        <v>61</v>
      </c>
      <c r="R72" s="97">
        <f t="shared" si="13"/>
        <v>0</v>
      </c>
      <c r="S72" s="97">
        <f t="shared" si="14"/>
        <v>0</v>
      </c>
      <c r="T72" s="97">
        <f t="shared" si="15"/>
        <v>0</v>
      </c>
      <c r="U72" s="97">
        <f t="shared" si="16"/>
        <v>0</v>
      </c>
      <c r="V72" s="97">
        <f t="shared" si="17"/>
        <v>0</v>
      </c>
      <c r="W72" s="161"/>
      <c r="X72" s="161"/>
    </row>
    <row r="73" spans="1:24" ht="18.75" customHeight="1">
      <c r="A73" s="110" t="str">
        <f>+BASE!B77</f>
        <v>23XXR062</v>
      </c>
      <c r="B73" s="106" t="s">
        <v>40</v>
      </c>
      <c r="C73" s="111">
        <f t="shared" si="3"/>
        <v>0</v>
      </c>
      <c r="D73" s="111">
        <f t="shared" si="4"/>
        <v>0</v>
      </c>
      <c r="E73" s="111">
        <f t="shared" si="5"/>
        <v>0</v>
      </c>
      <c r="F73" s="111">
        <f t="shared" si="6"/>
        <v>0</v>
      </c>
      <c r="G73" s="111">
        <f t="shared" si="7"/>
        <v>0</v>
      </c>
      <c r="H73" s="111"/>
      <c r="I73" s="97">
        <f t="shared" si="18"/>
        <v>0</v>
      </c>
      <c r="J73" s="97">
        <f t="shared" si="8"/>
        <v>0</v>
      </c>
      <c r="K73" s="97">
        <f t="shared" si="9"/>
        <v>0</v>
      </c>
      <c r="L73" s="97">
        <f t="shared" si="10"/>
        <v>0</v>
      </c>
      <c r="M73" s="97">
        <f t="shared" si="11"/>
        <v>0</v>
      </c>
      <c r="N73" s="111"/>
      <c r="O73" s="110"/>
      <c r="P73" s="112">
        <f t="shared" si="12"/>
        <v>0</v>
      </c>
      <c r="Q73" s="106">
        <f>BASE!A77</f>
        <v>62</v>
      </c>
      <c r="R73" s="97">
        <f t="shared" si="13"/>
        <v>0</v>
      </c>
      <c r="S73" s="97">
        <f t="shared" si="14"/>
        <v>0</v>
      </c>
      <c r="T73" s="97">
        <f t="shared" si="15"/>
        <v>0</v>
      </c>
      <c r="U73" s="97">
        <f t="shared" si="16"/>
        <v>0</v>
      </c>
      <c r="V73" s="97">
        <f t="shared" si="17"/>
        <v>0</v>
      </c>
      <c r="W73" s="161"/>
      <c r="X73" s="161"/>
    </row>
    <row r="74" spans="1:24" ht="18.75" customHeight="1">
      <c r="A74" s="110" t="str">
        <f>+BASE!B78</f>
        <v>23XXR063</v>
      </c>
      <c r="B74" s="106" t="s">
        <v>40</v>
      </c>
      <c r="C74" s="111">
        <f t="shared" si="3"/>
        <v>0</v>
      </c>
      <c r="D74" s="111">
        <f t="shared" si="4"/>
        <v>0</v>
      </c>
      <c r="E74" s="111">
        <f t="shared" si="5"/>
        <v>0</v>
      </c>
      <c r="F74" s="111">
        <f t="shared" si="6"/>
        <v>0</v>
      </c>
      <c r="G74" s="111">
        <f t="shared" si="7"/>
        <v>0</v>
      </c>
      <c r="H74" s="111"/>
      <c r="I74" s="97">
        <f t="shared" si="18"/>
        <v>0</v>
      </c>
      <c r="J74" s="97">
        <f t="shared" si="8"/>
        <v>0</v>
      </c>
      <c r="K74" s="97">
        <f t="shared" si="9"/>
        <v>0</v>
      </c>
      <c r="L74" s="97">
        <f t="shared" si="10"/>
        <v>0</v>
      </c>
      <c r="M74" s="97">
        <f t="shared" si="11"/>
        <v>0</v>
      </c>
      <c r="N74" s="111"/>
      <c r="O74" s="110"/>
      <c r="P74" s="112">
        <f t="shared" si="12"/>
        <v>0</v>
      </c>
      <c r="Q74" s="106">
        <f>BASE!A78</f>
        <v>63</v>
      </c>
      <c r="R74" s="97">
        <f t="shared" si="13"/>
        <v>0</v>
      </c>
      <c r="S74" s="97">
        <f t="shared" si="14"/>
        <v>0</v>
      </c>
      <c r="T74" s="97">
        <f t="shared" si="15"/>
        <v>0</v>
      </c>
      <c r="U74" s="97">
        <f t="shared" si="16"/>
        <v>0</v>
      </c>
      <c r="V74" s="97">
        <f t="shared" si="17"/>
        <v>0</v>
      </c>
      <c r="W74" s="161"/>
      <c r="X74" s="161"/>
    </row>
    <row r="75" spans="1:24" ht="18.75" customHeight="1">
      <c r="A75" s="110" t="str">
        <f>+BASE!B79</f>
        <v>23XXR064</v>
      </c>
      <c r="B75" s="106" t="s">
        <v>40</v>
      </c>
      <c r="C75" s="111">
        <f t="shared" si="3"/>
        <v>0</v>
      </c>
      <c r="D75" s="111">
        <f t="shared" si="4"/>
        <v>0</v>
      </c>
      <c r="E75" s="111">
        <f t="shared" si="5"/>
        <v>0</v>
      </c>
      <c r="F75" s="111">
        <f t="shared" si="6"/>
        <v>0</v>
      </c>
      <c r="G75" s="111">
        <f t="shared" si="7"/>
        <v>0</v>
      </c>
      <c r="H75" s="111"/>
      <c r="I75" s="97">
        <f t="shared" si="18"/>
        <v>0</v>
      </c>
      <c r="J75" s="97">
        <f t="shared" si="8"/>
        <v>0</v>
      </c>
      <c r="K75" s="97">
        <f t="shared" si="9"/>
        <v>0</v>
      </c>
      <c r="L75" s="97">
        <f t="shared" si="10"/>
        <v>0</v>
      </c>
      <c r="M75" s="97">
        <f t="shared" si="11"/>
        <v>0</v>
      </c>
      <c r="N75" s="111"/>
      <c r="O75" s="110"/>
      <c r="P75" s="112">
        <f t="shared" si="12"/>
        <v>0</v>
      </c>
      <c r="Q75" s="106">
        <f>BASE!A79</f>
        <v>64</v>
      </c>
      <c r="R75" s="97">
        <f t="shared" si="13"/>
        <v>0</v>
      </c>
      <c r="S75" s="97">
        <f t="shared" si="14"/>
        <v>0</v>
      </c>
      <c r="T75" s="97">
        <f t="shared" si="15"/>
        <v>0</v>
      </c>
      <c r="U75" s="97">
        <f t="shared" si="16"/>
        <v>0</v>
      </c>
      <c r="V75" s="97">
        <f t="shared" si="17"/>
        <v>0</v>
      </c>
      <c r="W75" s="161"/>
      <c r="X75" s="161"/>
    </row>
    <row r="76" spans="1:24" ht="18.75" customHeight="1">
      <c r="A76" s="110" t="str">
        <f>+BASE!B80</f>
        <v>23XXR065</v>
      </c>
      <c r="B76" s="106" t="s">
        <v>40</v>
      </c>
      <c r="C76" s="111">
        <f t="shared" si="3"/>
        <v>0</v>
      </c>
      <c r="D76" s="111">
        <f t="shared" si="4"/>
        <v>0</v>
      </c>
      <c r="E76" s="111">
        <f t="shared" si="5"/>
        <v>0</v>
      </c>
      <c r="F76" s="111">
        <f t="shared" si="6"/>
        <v>0</v>
      </c>
      <c r="G76" s="111">
        <f t="shared" si="7"/>
        <v>0</v>
      </c>
      <c r="H76" s="111"/>
      <c r="I76" s="97">
        <f t="shared" si="18"/>
        <v>0</v>
      </c>
      <c r="J76" s="97">
        <f t="shared" si="8"/>
        <v>0</v>
      </c>
      <c r="K76" s="97">
        <f t="shared" si="9"/>
        <v>0</v>
      </c>
      <c r="L76" s="97">
        <f t="shared" si="10"/>
        <v>0</v>
      </c>
      <c r="M76" s="97">
        <f t="shared" si="11"/>
        <v>0</v>
      </c>
      <c r="N76" s="111"/>
      <c r="O76" s="110"/>
      <c r="P76" s="112">
        <f t="shared" si="12"/>
        <v>0</v>
      </c>
      <c r="Q76" s="106">
        <f>BASE!A80</f>
        <v>65</v>
      </c>
      <c r="R76" s="97">
        <f t="shared" si="13"/>
        <v>0</v>
      </c>
      <c r="S76" s="97">
        <f t="shared" si="14"/>
        <v>0</v>
      </c>
      <c r="T76" s="97">
        <f t="shared" si="15"/>
        <v>0</v>
      </c>
      <c r="U76" s="97">
        <f t="shared" si="16"/>
        <v>0</v>
      </c>
      <c r="V76" s="97">
        <f t="shared" si="17"/>
        <v>0</v>
      </c>
      <c r="W76" s="161"/>
      <c r="X76" s="161"/>
    </row>
    <row r="77" spans="1:24" ht="18.75" customHeight="1">
      <c r="A77" s="110" t="str">
        <f>+BASE!B81</f>
        <v>23XXR066</v>
      </c>
      <c r="B77" s="106" t="s">
        <v>40</v>
      </c>
      <c r="C77" s="111">
        <f t="shared" si="3"/>
        <v>0</v>
      </c>
      <c r="D77" s="111">
        <f t="shared" si="4"/>
        <v>0</v>
      </c>
      <c r="E77" s="111">
        <f t="shared" si="5"/>
        <v>0</v>
      </c>
      <c r="F77" s="111">
        <f t="shared" si="6"/>
        <v>0</v>
      </c>
      <c r="G77" s="111">
        <f t="shared" si="7"/>
        <v>0</v>
      </c>
      <c r="H77" s="111"/>
      <c r="I77" s="97">
        <f t="shared" si="18"/>
        <v>0</v>
      </c>
      <c r="J77" s="97">
        <f t="shared" si="8"/>
        <v>0</v>
      </c>
      <c r="K77" s="97">
        <f t="shared" si="9"/>
        <v>0</v>
      </c>
      <c r="L77" s="97">
        <f t="shared" si="10"/>
        <v>0</v>
      </c>
      <c r="M77" s="97">
        <f t="shared" si="11"/>
        <v>0</v>
      </c>
      <c r="N77" s="111"/>
      <c r="O77" s="110"/>
      <c r="P77" s="112">
        <f t="shared" si="12"/>
        <v>0</v>
      </c>
      <c r="Q77" s="106">
        <f>BASE!A81</f>
        <v>66</v>
      </c>
      <c r="R77" s="97">
        <f t="shared" si="13"/>
        <v>0</v>
      </c>
      <c r="S77" s="97">
        <f t="shared" si="14"/>
        <v>0</v>
      </c>
      <c r="T77" s="97">
        <f t="shared" si="15"/>
        <v>0</v>
      </c>
      <c r="U77" s="97">
        <f t="shared" si="16"/>
        <v>0</v>
      </c>
      <c r="V77" s="97">
        <f t="shared" si="17"/>
        <v>0</v>
      </c>
      <c r="W77" s="161"/>
      <c r="X77" s="161"/>
    </row>
    <row r="78" spans="1:24" ht="18.75" customHeight="1">
      <c r="A78" s="110" t="str">
        <f>+BASE!B82</f>
        <v>23XXR067</v>
      </c>
      <c r="B78" s="106" t="s">
        <v>40</v>
      </c>
      <c r="C78" s="111">
        <f t="shared" si="3"/>
        <v>0</v>
      </c>
      <c r="D78" s="111">
        <f t="shared" si="4"/>
        <v>0</v>
      </c>
      <c r="E78" s="111">
        <f t="shared" si="5"/>
        <v>0</v>
      </c>
      <c r="F78" s="111">
        <f t="shared" si="6"/>
        <v>0</v>
      </c>
      <c r="G78" s="111">
        <f t="shared" si="7"/>
        <v>0</v>
      </c>
      <c r="H78" s="111"/>
      <c r="I78" s="97">
        <f t="shared" si="18"/>
        <v>0</v>
      </c>
      <c r="J78" s="97">
        <f t="shared" si="8"/>
        <v>0</v>
      </c>
      <c r="K78" s="97">
        <f t="shared" si="9"/>
        <v>0</v>
      </c>
      <c r="L78" s="97">
        <f t="shared" si="10"/>
        <v>0</v>
      </c>
      <c r="M78" s="97">
        <f t="shared" si="11"/>
        <v>0</v>
      </c>
      <c r="N78" s="111"/>
      <c r="O78" s="110"/>
      <c r="P78" s="112">
        <f t="shared" si="12"/>
        <v>0</v>
      </c>
      <c r="Q78" s="106">
        <f>BASE!A82</f>
        <v>67</v>
      </c>
      <c r="R78" s="97">
        <f t="shared" si="13"/>
        <v>0</v>
      </c>
      <c r="S78" s="97">
        <f t="shared" si="14"/>
        <v>0</v>
      </c>
      <c r="T78" s="97">
        <f t="shared" si="15"/>
        <v>0</v>
      </c>
      <c r="U78" s="97">
        <f t="shared" si="16"/>
        <v>0</v>
      </c>
      <c r="V78" s="97">
        <f t="shared" si="17"/>
        <v>0</v>
      </c>
      <c r="W78" s="161"/>
      <c r="X78" s="161"/>
    </row>
    <row r="79" spans="1:24" ht="20.25" customHeight="1">
      <c r="A79" s="110" t="str">
        <f>+BASE!B83</f>
        <v>23XXR068</v>
      </c>
      <c r="B79" s="106" t="s">
        <v>40</v>
      </c>
      <c r="C79" s="111">
        <f t="shared" si="3"/>
        <v>0</v>
      </c>
      <c r="D79" s="111">
        <f t="shared" si="4"/>
        <v>0</v>
      </c>
      <c r="E79" s="111">
        <f t="shared" si="5"/>
        <v>0</v>
      </c>
      <c r="F79" s="111">
        <f t="shared" si="6"/>
        <v>0</v>
      </c>
      <c r="G79" s="111">
        <f t="shared" si="7"/>
        <v>0</v>
      </c>
      <c r="H79" s="111"/>
      <c r="I79" s="97">
        <f t="shared" si="18"/>
        <v>0</v>
      </c>
      <c r="J79" s="97">
        <f t="shared" si="8"/>
        <v>0</v>
      </c>
      <c r="K79" s="97">
        <f t="shared" si="9"/>
        <v>0</v>
      </c>
      <c r="L79" s="97">
        <f t="shared" si="10"/>
        <v>0</v>
      </c>
      <c r="M79" s="97">
        <f t="shared" si="11"/>
        <v>0</v>
      </c>
      <c r="N79" s="111"/>
      <c r="O79" s="110"/>
      <c r="P79" s="112">
        <f t="shared" si="12"/>
        <v>0</v>
      </c>
      <c r="Q79" s="106">
        <f>BASE!A83</f>
        <v>68</v>
      </c>
      <c r="R79" s="97">
        <f t="shared" si="13"/>
        <v>0</v>
      </c>
      <c r="S79" s="97">
        <f t="shared" si="14"/>
        <v>0</v>
      </c>
      <c r="T79" s="97">
        <f t="shared" si="15"/>
        <v>0</v>
      </c>
      <c r="U79" s="97">
        <f t="shared" si="16"/>
        <v>0</v>
      </c>
      <c r="V79" s="97">
        <f t="shared" si="17"/>
        <v>0</v>
      </c>
      <c r="W79" s="161"/>
      <c r="X79" s="161"/>
    </row>
    <row r="80" spans="1:24" ht="20.25" customHeight="1">
      <c r="A80" s="110" t="str">
        <f>+BASE!B84</f>
        <v>23XXR069</v>
      </c>
      <c r="B80" s="106" t="s">
        <v>40</v>
      </c>
      <c r="C80" s="111">
        <f t="shared" si="3"/>
        <v>0</v>
      </c>
      <c r="D80" s="111">
        <f t="shared" si="4"/>
        <v>0</v>
      </c>
      <c r="E80" s="111">
        <f t="shared" si="5"/>
        <v>0</v>
      </c>
      <c r="F80" s="111">
        <f t="shared" si="6"/>
        <v>0</v>
      </c>
      <c r="G80" s="111">
        <f t="shared" si="7"/>
        <v>0</v>
      </c>
      <c r="H80" s="111"/>
      <c r="I80" s="97">
        <f t="shared" si="18"/>
        <v>0</v>
      </c>
      <c r="J80" s="97">
        <f t="shared" si="8"/>
        <v>0</v>
      </c>
      <c r="K80" s="97">
        <f t="shared" si="9"/>
        <v>0</v>
      </c>
      <c r="L80" s="97">
        <f t="shared" si="10"/>
        <v>0</v>
      </c>
      <c r="M80" s="97">
        <f t="shared" si="11"/>
        <v>0</v>
      </c>
      <c r="N80" s="111"/>
      <c r="O80" s="110"/>
      <c r="P80" s="112">
        <f t="shared" si="12"/>
        <v>0</v>
      </c>
      <c r="Q80" s="106">
        <f>BASE!A84</f>
        <v>69</v>
      </c>
      <c r="R80" s="97">
        <f t="shared" si="13"/>
        <v>0</v>
      </c>
      <c r="S80" s="97">
        <f t="shared" si="14"/>
        <v>0</v>
      </c>
      <c r="T80" s="97">
        <f t="shared" si="15"/>
        <v>0</v>
      </c>
      <c r="U80" s="97">
        <f t="shared" si="16"/>
        <v>0</v>
      </c>
      <c r="V80" s="97">
        <f t="shared" si="17"/>
        <v>0</v>
      </c>
      <c r="W80" s="161"/>
      <c r="X80" s="161"/>
    </row>
    <row r="81" spans="1:24" ht="20.25" customHeight="1">
      <c r="A81" s="110" t="str">
        <f>+BASE!B85</f>
        <v>23XXR070</v>
      </c>
      <c r="B81" s="106" t="s">
        <v>40</v>
      </c>
      <c r="C81" s="111">
        <f t="shared" si="3"/>
        <v>0</v>
      </c>
      <c r="D81" s="111">
        <f t="shared" si="4"/>
        <v>0</v>
      </c>
      <c r="E81" s="111">
        <f t="shared" si="5"/>
        <v>0</v>
      </c>
      <c r="F81" s="111">
        <f t="shared" si="6"/>
        <v>0</v>
      </c>
      <c r="G81" s="111">
        <f t="shared" si="7"/>
        <v>0</v>
      </c>
      <c r="H81" s="111"/>
      <c r="I81" s="97">
        <f t="shared" si="18"/>
        <v>0</v>
      </c>
      <c r="J81" s="97">
        <f t="shared" si="8"/>
        <v>0</v>
      </c>
      <c r="K81" s="97">
        <f t="shared" si="9"/>
        <v>0</v>
      </c>
      <c r="L81" s="97">
        <f t="shared" si="10"/>
        <v>0</v>
      </c>
      <c r="M81" s="97">
        <f t="shared" si="11"/>
        <v>0</v>
      </c>
      <c r="N81" s="111"/>
      <c r="O81" s="110"/>
      <c r="P81" s="112">
        <f t="shared" si="12"/>
        <v>0</v>
      </c>
      <c r="Q81" s="106">
        <f>BASE!A85</f>
        <v>70</v>
      </c>
      <c r="R81" s="97">
        <f t="shared" si="13"/>
        <v>0</v>
      </c>
      <c r="S81" s="97">
        <f t="shared" si="14"/>
        <v>0</v>
      </c>
      <c r="T81" s="97">
        <f t="shared" si="15"/>
        <v>0</v>
      </c>
      <c r="U81" s="97">
        <f t="shared" si="16"/>
        <v>0</v>
      </c>
      <c r="V81" s="97">
        <f t="shared" si="17"/>
        <v>0</v>
      </c>
      <c r="W81" s="161"/>
      <c r="X81" s="161"/>
    </row>
    <row r="82" spans="1:24" ht="20.25" customHeight="1">
      <c r="A82" s="110" t="str">
        <f>+BASE!B86</f>
        <v>23XXR071</v>
      </c>
      <c r="B82" s="106" t="s">
        <v>40</v>
      </c>
      <c r="C82" s="111">
        <f t="shared" si="3"/>
        <v>0</v>
      </c>
      <c r="D82" s="111">
        <f t="shared" si="4"/>
        <v>0</v>
      </c>
      <c r="E82" s="111">
        <f t="shared" si="5"/>
        <v>0</v>
      </c>
      <c r="F82" s="111">
        <f t="shared" si="6"/>
        <v>0</v>
      </c>
      <c r="G82" s="111">
        <f t="shared" si="7"/>
        <v>0</v>
      </c>
      <c r="H82" s="111"/>
      <c r="I82" s="97">
        <f t="shared" si="18"/>
        <v>0</v>
      </c>
      <c r="J82" s="97">
        <f t="shared" si="8"/>
        <v>0</v>
      </c>
      <c r="K82" s="97">
        <f t="shared" si="9"/>
        <v>0</v>
      </c>
      <c r="L82" s="97">
        <f t="shared" si="10"/>
        <v>0</v>
      </c>
      <c r="M82" s="97">
        <f t="shared" si="11"/>
        <v>0</v>
      </c>
      <c r="N82" s="111"/>
      <c r="O82" s="110"/>
      <c r="P82" s="112">
        <f t="shared" si="12"/>
        <v>0</v>
      </c>
      <c r="Q82" s="106">
        <f>BASE!A86</f>
        <v>71</v>
      </c>
      <c r="R82" s="97">
        <f t="shared" si="13"/>
        <v>0</v>
      </c>
      <c r="S82" s="97">
        <f t="shared" si="14"/>
        <v>0</v>
      </c>
      <c r="T82" s="97">
        <f t="shared" si="15"/>
        <v>0</v>
      </c>
      <c r="U82" s="97">
        <f t="shared" si="16"/>
        <v>0</v>
      </c>
      <c r="V82" s="97">
        <f t="shared" si="17"/>
        <v>0</v>
      </c>
      <c r="W82" s="161"/>
      <c r="X82" s="161"/>
    </row>
    <row r="83" spans="1:24" ht="20.25" customHeight="1">
      <c r="A83" s="110" t="str">
        <f>+BASE!B87</f>
        <v>23XXR072</v>
      </c>
      <c r="B83" s="106" t="s">
        <v>40</v>
      </c>
      <c r="C83" s="111">
        <f t="shared" si="3"/>
        <v>0</v>
      </c>
      <c r="D83" s="111">
        <f t="shared" si="4"/>
        <v>0</v>
      </c>
      <c r="E83" s="111">
        <f t="shared" si="5"/>
        <v>0</v>
      </c>
      <c r="F83" s="111">
        <f t="shared" si="6"/>
        <v>0</v>
      </c>
      <c r="G83" s="111">
        <f t="shared" si="7"/>
        <v>0</v>
      </c>
      <c r="H83" s="111"/>
      <c r="I83" s="97">
        <f t="shared" si="18"/>
        <v>0</v>
      </c>
      <c r="J83" s="97">
        <f t="shared" si="8"/>
        <v>0</v>
      </c>
      <c r="K83" s="97">
        <f t="shared" si="9"/>
        <v>0</v>
      </c>
      <c r="L83" s="97">
        <f t="shared" si="10"/>
        <v>0</v>
      </c>
      <c r="M83" s="97">
        <f t="shared" si="11"/>
        <v>0</v>
      </c>
      <c r="N83" s="111"/>
      <c r="O83" s="110"/>
      <c r="P83" s="112">
        <f t="shared" si="12"/>
        <v>0</v>
      </c>
      <c r="Q83" s="106">
        <f>BASE!A87</f>
        <v>72</v>
      </c>
      <c r="R83" s="97">
        <f t="shared" si="13"/>
        <v>0</v>
      </c>
      <c r="S83" s="97">
        <f t="shared" si="14"/>
        <v>0</v>
      </c>
      <c r="T83" s="97">
        <f t="shared" si="15"/>
        <v>0</v>
      </c>
      <c r="U83" s="97">
        <f t="shared" si="16"/>
        <v>0</v>
      </c>
      <c r="V83" s="97">
        <f t="shared" si="17"/>
        <v>0</v>
      </c>
      <c r="W83" s="161"/>
      <c r="X83" s="161"/>
    </row>
    <row r="84" spans="1:24" ht="20.25" customHeight="1">
      <c r="A84" s="110" t="str">
        <f>+BASE!B88</f>
        <v>23XXR073</v>
      </c>
      <c r="B84" s="106" t="s">
        <v>40</v>
      </c>
      <c r="C84" s="111">
        <f t="shared" si="3"/>
        <v>0</v>
      </c>
      <c r="D84" s="111">
        <f t="shared" si="4"/>
        <v>0</v>
      </c>
      <c r="E84" s="111">
        <f t="shared" si="5"/>
        <v>0</v>
      </c>
      <c r="F84" s="111">
        <f t="shared" si="6"/>
        <v>0</v>
      </c>
      <c r="G84" s="111">
        <f t="shared" si="7"/>
        <v>0</v>
      </c>
      <c r="H84" s="111"/>
      <c r="I84" s="97">
        <f t="shared" si="18"/>
        <v>0</v>
      </c>
      <c r="J84" s="97">
        <f t="shared" si="8"/>
        <v>0</v>
      </c>
      <c r="K84" s="97">
        <f t="shared" si="9"/>
        <v>0</v>
      </c>
      <c r="L84" s="97">
        <f t="shared" si="10"/>
        <v>0</v>
      </c>
      <c r="M84" s="97">
        <f t="shared" si="11"/>
        <v>0</v>
      </c>
      <c r="N84" s="111"/>
      <c r="O84" s="110"/>
      <c r="P84" s="112">
        <f t="shared" si="12"/>
        <v>0</v>
      </c>
      <c r="Q84" s="106">
        <f>BASE!A88</f>
        <v>73</v>
      </c>
      <c r="R84" s="97">
        <f t="shared" si="13"/>
        <v>0</v>
      </c>
      <c r="S84" s="97">
        <f t="shared" si="14"/>
        <v>0</v>
      </c>
      <c r="T84" s="97">
        <f t="shared" si="15"/>
        <v>0</v>
      </c>
      <c r="U84" s="97">
        <f t="shared" si="16"/>
        <v>0</v>
      </c>
      <c r="V84" s="97">
        <f t="shared" si="17"/>
        <v>0</v>
      </c>
      <c r="W84" s="161"/>
      <c r="X84" s="161"/>
    </row>
    <row r="85" spans="1:24" ht="20.25" customHeight="1">
      <c r="A85" s="110" t="str">
        <f>+BASE!B89</f>
        <v>23XXR074</v>
      </c>
      <c r="B85" s="106" t="s">
        <v>40</v>
      </c>
      <c r="C85" s="111">
        <f t="shared" si="3"/>
        <v>0</v>
      </c>
      <c r="D85" s="111">
        <f t="shared" si="4"/>
        <v>0</v>
      </c>
      <c r="E85" s="111">
        <f t="shared" si="5"/>
        <v>0</v>
      </c>
      <c r="F85" s="111">
        <f t="shared" si="6"/>
        <v>0</v>
      </c>
      <c r="G85" s="111">
        <f t="shared" si="7"/>
        <v>0</v>
      </c>
      <c r="H85" s="111"/>
      <c r="I85" s="97">
        <f t="shared" si="18"/>
        <v>0</v>
      </c>
      <c r="J85" s="97">
        <f t="shared" si="8"/>
        <v>0</v>
      </c>
      <c r="K85" s="97">
        <f t="shared" si="9"/>
        <v>0</v>
      </c>
      <c r="L85" s="97">
        <f t="shared" si="10"/>
        <v>0</v>
      </c>
      <c r="M85" s="97">
        <f t="shared" si="11"/>
        <v>0</v>
      </c>
      <c r="N85" s="111"/>
      <c r="O85" s="110"/>
      <c r="P85" s="112">
        <f t="shared" si="12"/>
        <v>0</v>
      </c>
      <c r="Q85" s="106">
        <f>BASE!A89</f>
        <v>74</v>
      </c>
      <c r="R85" s="97">
        <f t="shared" si="13"/>
        <v>0</v>
      </c>
      <c r="S85" s="97">
        <f t="shared" si="14"/>
        <v>0</v>
      </c>
      <c r="T85" s="97">
        <f t="shared" si="15"/>
        <v>0</v>
      </c>
      <c r="U85" s="97">
        <f t="shared" si="16"/>
        <v>0</v>
      </c>
      <c r="V85" s="97">
        <f t="shared" si="17"/>
        <v>0</v>
      </c>
      <c r="W85" s="161"/>
      <c r="X85" s="161"/>
    </row>
    <row r="86" spans="1:24" ht="20.25" customHeight="1">
      <c r="A86" s="110" t="str">
        <f>+BASE!B90</f>
        <v>23XXR075</v>
      </c>
      <c r="B86" s="106" t="s">
        <v>40</v>
      </c>
      <c r="C86" s="111">
        <f t="shared" si="3"/>
        <v>0</v>
      </c>
      <c r="D86" s="111">
        <f t="shared" si="4"/>
        <v>0</v>
      </c>
      <c r="E86" s="111">
        <f t="shared" si="5"/>
        <v>0</v>
      </c>
      <c r="F86" s="111">
        <f t="shared" si="6"/>
        <v>0</v>
      </c>
      <c r="G86" s="111">
        <f t="shared" si="7"/>
        <v>0</v>
      </c>
      <c r="H86" s="111"/>
      <c r="I86" s="97">
        <f t="shared" si="18"/>
        <v>0</v>
      </c>
      <c r="J86" s="97">
        <f t="shared" si="8"/>
        <v>0</v>
      </c>
      <c r="K86" s="97">
        <f t="shared" si="9"/>
        <v>0</v>
      </c>
      <c r="L86" s="97">
        <f t="shared" si="10"/>
        <v>0</v>
      </c>
      <c r="M86" s="97">
        <f t="shared" si="11"/>
        <v>0</v>
      </c>
      <c r="N86" s="111"/>
      <c r="O86" s="110"/>
      <c r="P86" s="112">
        <f t="shared" si="12"/>
        <v>0</v>
      </c>
      <c r="Q86" s="106">
        <f>BASE!A90</f>
        <v>75</v>
      </c>
      <c r="R86" s="97">
        <f t="shared" si="13"/>
        <v>0</v>
      </c>
      <c r="S86" s="97">
        <f t="shared" si="14"/>
        <v>0</v>
      </c>
      <c r="T86" s="97">
        <f t="shared" si="15"/>
        <v>0</v>
      </c>
      <c r="U86" s="97">
        <f t="shared" si="16"/>
        <v>0</v>
      </c>
      <c r="V86" s="97">
        <f t="shared" si="17"/>
        <v>0</v>
      </c>
      <c r="W86" s="161"/>
      <c r="X86" s="161"/>
    </row>
    <row r="87" spans="1:24" ht="20.25" customHeight="1">
      <c r="A87" s="110" t="str">
        <f>+BASE!B91</f>
        <v>23XXR076</v>
      </c>
      <c r="B87" s="106" t="s">
        <v>40</v>
      </c>
      <c r="C87" s="111">
        <f t="shared" si="3"/>
        <v>0</v>
      </c>
      <c r="D87" s="111">
        <f t="shared" si="4"/>
        <v>0</v>
      </c>
      <c r="E87" s="111">
        <f t="shared" si="5"/>
        <v>0</v>
      </c>
      <c r="F87" s="111">
        <f t="shared" si="6"/>
        <v>0</v>
      </c>
      <c r="G87" s="111">
        <f t="shared" si="7"/>
        <v>0</v>
      </c>
      <c r="H87" s="111"/>
      <c r="I87" s="97">
        <f t="shared" si="18"/>
        <v>0</v>
      </c>
      <c r="J87" s="97">
        <f t="shared" si="8"/>
        <v>0</v>
      </c>
      <c r="K87" s="97">
        <f t="shared" si="9"/>
        <v>0</v>
      </c>
      <c r="L87" s="97">
        <f t="shared" si="10"/>
        <v>0</v>
      </c>
      <c r="M87" s="97">
        <f t="shared" si="11"/>
        <v>0</v>
      </c>
      <c r="N87" s="111"/>
      <c r="O87" s="110"/>
      <c r="P87" s="112">
        <f t="shared" si="12"/>
        <v>0</v>
      </c>
      <c r="Q87" s="106">
        <f>BASE!A91</f>
        <v>76</v>
      </c>
      <c r="R87" s="97">
        <f t="shared" si="13"/>
        <v>0</v>
      </c>
      <c r="S87" s="97">
        <f t="shared" si="14"/>
        <v>0</v>
      </c>
      <c r="T87" s="97">
        <f t="shared" si="15"/>
        <v>0</v>
      </c>
      <c r="U87" s="97">
        <f t="shared" si="16"/>
        <v>0</v>
      </c>
      <c r="V87" s="97">
        <f t="shared" si="17"/>
        <v>0</v>
      </c>
      <c r="W87" s="161"/>
      <c r="X87" s="161"/>
    </row>
    <row r="88" spans="1:24" ht="20.25" customHeight="1">
      <c r="A88" s="110" t="str">
        <f>+BASE!B92</f>
        <v>23XXR077</v>
      </c>
      <c r="B88" s="106" t="s">
        <v>40</v>
      </c>
      <c r="C88" s="111">
        <f t="shared" si="3"/>
        <v>0</v>
      </c>
      <c r="D88" s="111">
        <f t="shared" si="4"/>
        <v>0</v>
      </c>
      <c r="E88" s="111">
        <f t="shared" si="5"/>
        <v>0</v>
      </c>
      <c r="F88" s="111">
        <f t="shared" si="6"/>
        <v>0</v>
      </c>
      <c r="G88" s="111">
        <f t="shared" si="7"/>
        <v>0</v>
      </c>
      <c r="H88" s="111"/>
      <c r="I88" s="97">
        <f t="shared" si="18"/>
        <v>0</v>
      </c>
      <c r="J88" s="97">
        <f t="shared" si="8"/>
        <v>0</v>
      </c>
      <c r="K88" s="97">
        <f t="shared" si="9"/>
        <v>0</v>
      </c>
      <c r="L88" s="97">
        <f t="shared" si="10"/>
        <v>0</v>
      </c>
      <c r="M88" s="97">
        <f t="shared" si="11"/>
        <v>0</v>
      </c>
      <c r="N88" s="111"/>
      <c r="O88" s="110"/>
      <c r="P88" s="112">
        <f t="shared" si="12"/>
        <v>0</v>
      </c>
      <c r="Q88" s="106">
        <f>BASE!A92</f>
        <v>77</v>
      </c>
      <c r="R88" s="97">
        <f t="shared" si="13"/>
        <v>0</v>
      </c>
      <c r="S88" s="97">
        <f t="shared" si="14"/>
        <v>0</v>
      </c>
      <c r="T88" s="97">
        <f t="shared" si="15"/>
        <v>0</v>
      </c>
      <c r="U88" s="97">
        <f t="shared" si="16"/>
        <v>0</v>
      </c>
      <c r="V88" s="97">
        <f t="shared" si="17"/>
        <v>0</v>
      </c>
      <c r="W88" s="161"/>
      <c r="X88" s="161"/>
    </row>
    <row r="89" spans="1:24" ht="20.25" customHeight="1">
      <c r="A89" s="110" t="str">
        <f>+BASE!B93</f>
        <v>23XXR078</v>
      </c>
      <c r="B89" s="106" t="s">
        <v>40</v>
      </c>
      <c r="C89" s="111">
        <f t="shared" si="3"/>
        <v>0</v>
      </c>
      <c r="D89" s="111">
        <f t="shared" si="4"/>
        <v>0</v>
      </c>
      <c r="E89" s="111">
        <f t="shared" si="5"/>
        <v>0</v>
      </c>
      <c r="F89" s="111">
        <f t="shared" si="6"/>
        <v>0</v>
      </c>
      <c r="G89" s="111">
        <f t="shared" si="7"/>
        <v>0</v>
      </c>
      <c r="H89" s="111"/>
      <c r="I89" s="97">
        <f t="shared" si="18"/>
        <v>0</v>
      </c>
      <c r="J89" s="97">
        <f t="shared" si="8"/>
        <v>0</v>
      </c>
      <c r="K89" s="97">
        <f t="shared" si="9"/>
        <v>0</v>
      </c>
      <c r="L89" s="97">
        <f t="shared" si="10"/>
        <v>0</v>
      </c>
      <c r="M89" s="97">
        <f t="shared" si="11"/>
        <v>0</v>
      </c>
      <c r="N89" s="111"/>
      <c r="O89" s="110"/>
      <c r="P89" s="112">
        <f t="shared" si="12"/>
        <v>0</v>
      </c>
      <c r="Q89" s="106">
        <f>BASE!A93</f>
        <v>78</v>
      </c>
      <c r="R89" s="97">
        <f t="shared" si="13"/>
        <v>0</v>
      </c>
      <c r="S89" s="97">
        <f t="shared" si="14"/>
        <v>0</v>
      </c>
      <c r="T89" s="97">
        <f t="shared" si="15"/>
        <v>0</v>
      </c>
      <c r="U89" s="97">
        <f t="shared" si="16"/>
        <v>0</v>
      </c>
      <c r="V89" s="97">
        <f t="shared" si="17"/>
        <v>0</v>
      </c>
      <c r="W89" s="161"/>
      <c r="X89" s="161"/>
    </row>
    <row r="90" spans="1:24" ht="20.25" customHeight="1">
      <c r="A90" s="110" t="str">
        <f>+BASE!B94</f>
        <v>23XXR079</v>
      </c>
      <c r="B90" s="106" t="s">
        <v>40</v>
      </c>
      <c r="C90" s="111">
        <f t="shared" si="3"/>
        <v>0</v>
      </c>
      <c r="D90" s="111">
        <f t="shared" si="4"/>
        <v>0</v>
      </c>
      <c r="E90" s="111">
        <f t="shared" si="5"/>
        <v>0</v>
      </c>
      <c r="F90" s="111">
        <f t="shared" si="6"/>
        <v>0</v>
      </c>
      <c r="G90" s="111">
        <f t="shared" si="7"/>
        <v>0</v>
      </c>
      <c r="H90" s="111"/>
      <c r="I90" s="97">
        <f t="shared" si="18"/>
        <v>0</v>
      </c>
      <c r="J90" s="97">
        <f t="shared" si="8"/>
        <v>0</v>
      </c>
      <c r="K90" s="97">
        <f t="shared" si="9"/>
        <v>0</v>
      </c>
      <c r="L90" s="97">
        <f t="shared" si="10"/>
        <v>0</v>
      </c>
      <c r="M90" s="97">
        <f t="shared" si="11"/>
        <v>0</v>
      </c>
      <c r="N90" s="111"/>
      <c r="O90" s="110"/>
      <c r="P90" s="112">
        <f t="shared" si="12"/>
        <v>0</v>
      </c>
      <c r="Q90" s="106">
        <f>BASE!A94</f>
        <v>79</v>
      </c>
      <c r="R90" s="97">
        <f t="shared" si="13"/>
        <v>0</v>
      </c>
      <c r="S90" s="97">
        <f t="shared" si="14"/>
        <v>0</v>
      </c>
      <c r="T90" s="97">
        <f t="shared" si="15"/>
        <v>0</v>
      </c>
      <c r="U90" s="97">
        <f t="shared" si="16"/>
        <v>0</v>
      </c>
      <c r="V90" s="97">
        <f t="shared" si="17"/>
        <v>0</v>
      </c>
      <c r="W90" s="161"/>
      <c r="X90" s="161"/>
    </row>
    <row r="91" spans="1:24" ht="20.25" customHeight="1">
      <c r="A91" s="110" t="str">
        <f>+BASE!B95</f>
        <v>23XXR080</v>
      </c>
      <c r="B91" s="106" t="s">
        <v>40</v>
      </c>
      <c r="C91" s="111">
        <f t="shared" si="3"/>
        <v>0</v>
      </c>
      <c r="D91" s="111">
        <f t="shared" si="4"/>
        <v>0</v>
      </c>
      <c r="E91" s="111">
        <f t="shared" si="5"/>
        <v>0</v>
      </c>
      <c r="F91" s="111">
        <f t="shared" si="6"/>
        <v>0</v>
      </c>
      <c r="G91" s="111">
        <f t="shared" si="7"/>
        <v>0</v>
      </c>
      <c r="H91" s="111"/>
      <c r="I91" s="97">
        <f t="shared" si="18"/>
        <v>0</v>
      </c>
      <c r="J91" s="97">
        <f t="shared" si="8"/>
        <v>0</v>
      </c>
      <c r="K91" s="97">
        <f t="shared" si="9"/>
        <v>0</v>
      </c>
      <c r="L91" s="97">
        <f t="shared" si="10"/>
        <v>0</v>
      </c>
      <c r="M91" s="97">
        <f t="shared" si="11"/>
        <v>0</v>
      </c>
      <c r="N91" s="111"/>
      <c r="O91" s="110"/>
      <c r="P91" s="112">
        <f t="shared" si="12"/>
        <v>0</v>
      </c>
      <c r="Q91" s="106">
        <f>BASE!A95</f>
        <v>80</v>
      </c>
      <c r="R91" s="97">
        <f t="shared" si="13"/>
        <v>0</v>
      </c>
      <c r="S91" s="97">
        <f t="shared" si="14"/>
        <v>0</v>
      </c>
      <c r="T91" s="97">
        <f t="shared" si="15"/>
        <v>0</v>
      </c>
      <c r="U91" s="97">
        <f t="shared" si="16"/>
        <v>0</v>
      </c>
      <c r="V91" s="97">
        <f t="shared" si="17"/>
        <v>0</v>
      </c>
      <c r="W91" s="161"/>
      <c r="X91" s="161"/>
    </row>
    <row r="92" spans="1:24" ht="20.25" customHeight="1">
      <c r="A92" s="110" t="str">
        <f>+BASE!B96</f>
        <v>23XXR081</v>
      </c>
      <c r="B92" s="106" t="s">
        <v>40</v>
      </c>
      <c r="C92" s="111">
        <f t="shared" si="3"/>
        <v>0</v>
      </c>
      <c r="D92" s="111">
        <f t="shared" si="4"/>
        <v>0</v>
      </c>
      <c r="E92" s="111">
        <f t="shared" si="5"/>
        <v>0</v>
      </c>
      <c r="F92" s="111">
        <f t="shared" si="6"/>
        <v>0</v>
      </c>
      <c r="G92" s="111">
        <f t="shared" si="7"/>
        <v>0</v>
      </c>
      <c r="H92" s="111"/>
      <c r="I92" s="97">
        <f t="shared" si="18"/>
        <v>0</v>
      </c>
      <c r="J92" s="97">
        <f t="shared" si="8"/>
        <v>0</v>
      </c>
      <c r="K92" s="97">
        <f t="shared" si="9"/>
        <v>0</v>
      </c>
      <c r="L92" s="97">
        <f t="shared" si="10"/>
        <v>0</v>
      </c>
      <c r="M92" s="97">
        <f t="shared" si="11"/>
        <v>0</v>
      </c>
      <c r="N92" s="111"/>
      <c r="O92" s="110"/>
      <c r="P92" s="112">
        <f t="shared" si="12"/>
        <v>0</v>
      </c>
      <c r="Q92" s="106">
        <f>BASE!A96</f>
        <v>81</v>
      </c>
      <c r="R92" s="97">
        <f t="shared" si="13"/>
        <v>0</v>
      </c>
      <c r="S92" s="97">
        <f t="shared" si="14"/>
        <v>0</v>
      </c>
      <c r="T92" s="97">
        <f t="shared" si="15"/>
        <v>0</v>
      </c>
      <c r="U92" s="97">
        <f t="shared" si="16"/>
        <v>0</v>
      </c>
      <c r="V92" s="97">
        <f t="shared" si="17"/>
        <v>0</v>
      </c>
      <c r="W92" s="161"/>
      <c r="X92" s="161"/>
    </row>
    <row r="93" spans="1:24" ht="20.25" customHeight="1">
      <c r="A93" s="110" t="str">
        <f>+BASE!B97</f>
        <v>23XXR082</v>
      </c>
      <c r="B93" s="106" t="s">
        <v>40</v>
      </c>
      <c r="C93" s="111">
        <f t="shared" si="3"/>
        <v>0</v>
      </c>
      <c r="D93" s="111">
        <f t="shared" si="4"/>
        <v>0</v>
      </c>
      <c r="E93" s="111">
        <f t="shared" si="5"/>
        <v>0</v>
      </c>
      <c r="F93" s="111">
        <f t="shared" si="6"/>
        <v>0</v>
      </c>
      <c r="G93" s="111">
        <f t="shared" si="7"/>
        <v>0</v>
      </c>
      <c r="H93" s="111"/>
      <c r="I93" s="97">
        <f t="shared" si="18"/>
        <v>0</v>
      </c>
      <c r="J93" s="97">
        <f t="shared" si="8"/>
        <v>0</v>
      </c>
      <c r="K93" s="97">
        <f t="shared" si="9"/>
        <v>0</v>
      </c>
      <c r="L93" s="97">
        <f t="shared" si="10"/>
        <v>0</v>
      </c>
      <c r="M93" s="97">
        <f t="shared" si="11"/>
        <v>0</v>
      </c>
      <c r="N93" s="111"/>
      <c r="O93" s="110"/>
      <c r="P93" s="112">
        <f t="shared" si="12"/>
        <v>0</v>
      </c>
      <c r="Q93" s="106">
        <f>BASE!A97</f>
        <v>82</v>
      </c>
      <c r="R93" s="97">
        <f t="shared" si="13"/>
        <v>0</v>
      </c>
      <c r="S93" s="97">
        <f t="shared" si="14"/>
        <v>0</v>
      </c>
      <c r="T93" s="97">
        <f t="shared" si="15"/>
        <v>0</v>
      </c>
      <c r="U93" s="97">
        <f t="shared" si="16"/>
        <v>0</v>
      </c>
      <c r="V93" s="97">
        <f t="shared" si="17"/>
        <v>0</v>
      </c>
      <c r="W93" s="161"/>
      <c r="X93" s="161"/>
    </row>
    <row r="94" spans="1:24" ht="20.25" customHeight="1">
      <c r="A94" s="110" t="str">
        <f>+BASE!B98</f>
        <v>23XXR083</v>
      </c>
      <c r="B94" s="106" t="s">
        <v>40</v>
      </c>
      <c r="C94" s="111">
        <f t="shared" si="3"/>
        <v>0</v>
      </c>
      <c r="D94" s="111">
        <f t="shared" si="4"/>
        <v>0</v>
      </c>
      <c r="E94" s="111">
        <f t="shared" si="5"/>
        <v>0</v>
      </c>
      <c r="F94" s="111">
        <f t="shared" si="6"/>
        <v>0</v>
      </c>
      <c r="G94" s="111">
        <f t="shared" si="7"/>
        <v>0</v>
      </c>
      <c r="H94" s="111"/>
      <c r="I94" s="97">
        <f t="shared" si="18"/>
        <v>0</v>
      </c>
      <c r="J94" s="97">
        <f t="shared" si="8"/>
        <v>0</v>
      </c>
      <c r="K94" s="97">
        <f t="shared" si="9"/>
        <v>0</v>
      </c>
      <c r="L94" s="97">
        <f t="shared" si="10"/>
        <v>0</v>
      </c>
      <c r="M94" s="97">
        <f t="shared" si="11"/>
        <v>0</v>
      </c>
      <c r="N94" s="111"/>
      <c r="O94" s="110"/>
      <c r="P94" s="112">
        <f t="shared" si="12"/>
        <v>0</v>
      </c>
      <c r="Q94" s="106">
        <f>BASE!A98</f>
        <v>83</v>
      </c>
      <c r="R94" s="97">
        <f t="shared" si="13"/>
        <v>0</v>
      </c>
      <c r="S94" s="97">
        <f t="shared" si="14"/>
        <v>0</v>
      </c>
      <c r="T94" s="97">
        <f t="shared" si="15"/>
        <v>0</v>
      </c>
      <c r="U94" s="97">
        <f t="shared" si="16"/>
        <v>0</v>
      </c>
      <c r="V94" s="97">
        <f t="shared" si="17"/>
        <v>0</v>
      </c>
      <c r="W94" s="161"/>
      <c r="X94" s="161"/>
    </row>
    <row r="95" spans="1:24" ht="20.25" customHeight="1">
      <c r="A95" s="110" t="str">
        <f>+BASE!B99</f>
        <v>23XXR084</v>
      </c>
      <c r="B95" s="106" t="s">
        <v>40</v>
      </c>
      <c r="C95" s="111">
        <f t="shared" si="3"/>
        <v>0</v>
      </c>
      <c r="D95" s="111">
        <f t="shared" si="4"/>
        <v>0</v>
      </c>
      <c r="E95" s="111">
        <f t="shared" si="5"/>
        <v>0</v>
      </c>
      <c r="F95" s="111">
        <f t="shared" si="6"/>
        <v>0</v>
      </c>
      <c r="G95" s="111">
        <f t="shared" si="7"/>
        <v>0</v>
      </c>
      <c r="H95" s="111"/>
      <c r="I95" s="97">
        <f t="shared" si="18"/>
        <v>0</v>
      </c>
      <c r="J95" s="97">
        <f t="shared" si="8"/>
        <v>0</v>
      </c>
      <c r="K95" s="97">
        <f t="shared" si="9"/>
        <v>0</v>
      </c>
      <c r="L95" s="97">
        <f t="shared" si="10"/>
        <v>0</v>
      </c>
      <c r="M95" s="97">
        <f t="shared" si="11"/>
        <v>0</v>
      </c>
      <c r="N95" s="111"/>
      <c r="O95" s="110"/>
      <c r="P95" s="112">
        <f t="shared" si="12"/>
        <v>0</v>
      </c>
      <c r="Q95" s="106">
        <f>BASE!A99</f>
        <v>84</v>
      </c>
      <c r="R95" s="97">
        <f t="shared" si="13"/>
        <v>0</v>
      </c>
      <c r="S95" s="97">
        <f t="shared" si="14"/>
        <v>0</v>
      </c>
      <c r="T95" s="97">
        <f t="shared" si="15"/>
        <v>0</v>
      </c>
      <c r="U95" s="97">
        <f t="shared" si="16"/>
        <v>0</v>
      </c>
      <c r="V95" s="97">
        <f t="shared" si="17"/>
        <v>0</v>
      </c>
      <c r="W95" s="161"/>
      <c r="X95" s="161"/>
    </row>
    <row r="96" spans="1:24" ht="20.25" customHeight="1">
      <c r="A96" s="110" t="str">
        <f>+BASE!B100</f>
        <v>23XXR085</v>
      </c>
      <c r="B96" s="106" t="s">
        <v>40</v>
      </c>
      <c r="C96" s="111">
        <f t="shared" si="3"/>
        <v>0</v>
      </c>
      <c r="D96" s="111">
        <f t="shared" si="4"/>
        <v>0</v>
      </c>
      <c r="E96" s="111">
        <f t="shared" si="5"/>
        <v>0</v>
      </c>
      <c r="F96" s="111">
        <f t="shared" si="6"/>
        <v>0</v>
      </c>
      <c r="G96" s="111">
        <f t="shared" si="7"/>
        <v>0</v>
      </c>
      <c r="H96" s="111"/>
      <c r="I96" s="97">
        <f t="shared" si="18"/>
        <v>0</v>
      </c>
      <c r="J96" s="97">
        <f t="shared" si="8"/>
        <v>0</v>
      </c>
      <c r="K96" s="97">
        <f t="shared" si="9"/>
        <v>0</v>
      </c>
      <c r="L96" s="97">
        <f t="shared" si="10"/>
        <v>0</v>
      </c>
      <c r="M96" s="97">
        <f t="shared" si="11"/>
        <v>0</v>
      </c>
      <c r="N96" s="111"/>
      <c r="O96" s="110"/>
      <c r="P96" s="112">
        <f t="shared" si="12"/>
        <v>0</v>
      </c>
      <c r="Q96" s="106">
        <f>BASE!A100</f>
        <v>85</v>
      </c>
      <c r="R96" s="97">
        <f t="shared" si="13"/>
        <v>0</v>
      </c>
      <c r="S96" s="97">
        <f t="shared" si="14"/>
        <v>0</v>
      </c>
      <c r="T96" s="97">
        <f t="shared" si="15"/>
        <v>0</v>
      </c>
      <c r="U96" s="97">
        <f t="shared" si="16"/>
        <v>0</v>
      </c>
      <c r="V96" s="97">
        <f t="shared" si="17"/>
        <v>0</v>
      </c>
      <c r="W96" s="161"/>
      <c r="X96" s="161"/>
    </row>
    <row r="97" spans="1:24" ht="20.25" customHeight="1">
      <c r="A97" s="110" t="str">
        <f>+BASE!B101</f>
        <v>23XXR086</v>
      </c>
      <c r="B97" s="106" t="s">
        <v>40</v>
      </c>
      <c r="C97" s="111">
        <f t="shared" si="3"/>
        <v>0</v>
      </c>
      <c r="D97" s="111">
        <f t="shared" si="4"/>
        <v>0</v>
      </c>
      <c r="E97" s="111">
        <f t="shared" si="5"/>
        <v>0</v>
      </c>
      <c r="F97" s="111">
        <f t="shared" si="6"/>
        <v>0</v>
      </c>
      <c r="G97" s="111">
        <f t="shared" si="7"/>
        <v>0</v>
      </c>
      <c r="H97" s="111"/>
      <c r="I97" s="97">
        <f t="shared" si="18"/>
        <v>0</v>
      </c>
      <c r="J97" s="97">
        <f t="shared" si="8"/>
        <v>0</v>
      </c>
      <c r="K97" s="97">
        <f t="shared" si="9"/>
        <v>0</v>
      </c>
      <c r="L97" s="97">
        <f t="shared" si="10"/>
        <v>0</v>
      </c>
      <c r="M97" s="97">
        <f t="shared" si="11"/>
        <v>0</v>
      </c>
      <c r="N97" s="111"/>
      <c r="O97" s="110"/>
      <c r="P97" s="112">
        <f t="shared" si="12"/>
        <v>0</v>
      </c>
      <c r="Q97" s="106">
        <f>BASE!A101</f>
        <v>86</v>
      </c>
      <c r="R97" s="97">
        <f t="shared" si="13"/>
        <v>0</v>
      </c>
      <c r="S97" s="97">
        <f t="shared" si="14"/>
        <v>0</v>
      </c>
      <c r="T97" s="97">
        <f t="shared" si="15"/>
        <v>0</v>
      </c>
      <c r="U97" s="97">
        <f t="shared" si="16"/>
        <v>0</v>
      </c>
      <c r="V97" s="97">
        <f t="shared" si="17"/>
        <v>0</v>
      </c>
      <c r="W97" s="161"/>
      <c r="X97" s="161"/>
    </row>
    <row r="98" spans="1:24" ht="20.25" customHeight="1">
      <c r="A98" s="110" t="str">
        <f>+BASE!B102</f>
        <v>23XXR087</v>
      </c>
      <c r="B98" s="106" t="s">
        <v>40</v>
      </c>
      <c r="C98" s="111">
        <f t="shared" si="3"/>
        <v>0</v>
      </c>
      <c r="D98" s="111">
        <f t="shared" si="4"/>
        <v>0</v>
      </c>
      <c r="E98" s="111">
        <f t="shared" si="5"/>
        <v>0</v>
      </c>
      <c r="F98" s="111">
        <f t="shared" si="6"/>
        <v>0</v>
      </c>
      <c r="G98" s="111">
        <f t="shared" si="7"/>
        <v>0</v>
      </c>
      <c r="H98" s="111"/>
      <c r="I98" s="97">
        <f t="shared" si="18"/>
        <v>0</v>
      </c>
      <c r="J98" s="97">
        <f t="shared" si="8"/>
        <v>0</v>
      </c>
      <c r="K98" s="97">
        <f t="shared" si="9"/>
        <v>0</v>
      </c>
      <c r="L98" s="97">
        <f t="shared" si="10"/>
        <v>0</v>
      </c>
      <c r="M98" s="97">
        <f t="shared" si="11"/>
        <v>0</v>
      </c>
      <c r="N98" s="111"/>
      <c r="O98" s="110"/>
      <c r="P98" s="112">
        <f t="shared" si="12"/>
        <v>0</v>
      </c>
      <c r="Q98" s="106">
        <f>BASE!A102</f>
        <v>87</v>
      </c>
      <c r="R98" s="97">
        <f t="shared" si="13"/>
        <v>0</v>
      </c>
      <c r="S98" s="97">
        <f t="shared" si="14"/>
        <v>0</v>
      </c>
      <c r="T98" s="97">
        <f t="shared" si="15"/>
        <v>0</v>
      </c>
      <c r="U98" s="97">
        <f t="shared" si="16"/>
        <v>0</v>
      </c>
      <c r="V98" s="97">
        <f t="shared" si="17"/>
        <v>0</v>
      </c>
      <c r="W98" s="161"/>
      <c r="X98" s="161"/>
    </row>
    <row r="99" spans="1:24" ht="20.25" customHeight="1">
      <c r="A99" s="110" t="str">
        <f>+BASE!B103</f>
        <v>23XXR088</v>
      </c>
      <c r="B99" s="106" t="s">
        <v>40</v>
      </c>
      <c r="C99" s="111">
        <f t="shared" si="3"/>
        <v>0</v>
      </c>
      <c r="D99" s="111">
        <f t="shared" si="4"/>
        <v>0</v>
      </c>
      <c r="E99" s="111">
        <f t="shared" si="5"/>
        <v>0</v>
      </c>
      <c r="F99" s="111">
        <f t="shared" si="6"/>
        <v>0</v>
      </c>
      <c r="G99" s="111">
        <f t="shared" si="7"/>
        <v>0</v>
      </c>
      <c r="H99" s="111"/>
      <c r="I99" s="97">
        <f t="shared" si="18"/>
        <v>0</v>
      </c>
      <c r="J99" s="97">
        <f t="shared" si="8"/>
        <v>0</v>
      </c>
      <c r="K99" s="97">
        <f t="shared" si="9"/>
        <v>0</v>
      </c>
      <c r="L99" s="97">
        <f t="shared" si="10"/>
        <v>0</v>
      </c>
      <c r="M99" s="97">
        <f t="shared" si="11"/>
        <v>0</v>
      </c>
      <c r="N99" s="111"/>
      <c r="O99" s="110"/>
      <c r="P99" s="112">
        <f t="shared" si="12"/>
        <v>0</v>
      </c>
      <c r="Q99" s="106">
        <f>BASE!A103</f>
        <v>88</v>
      </c>
      <c r="R99" s="97">
        <f t="shared" si="13"/>
        <v>0</v>
      </c>
      <c r="S99" s="97">
        <f t="shared" si="14"/>
        <v>0</v>
      </c>
      <c r="T99" s="97">
        <f t="shared" si="15"/>
        <v>0</v>
      </c>
      <c r="U99" s="97">
        <f t="shared" si="16"/>
        <v>0</v>
      </c>
      <c r="V99" s="97">
        <f t="shared" si="17"/>
        <v>0</v>
      </c>
      <c r="W99" s="161"/>
      <c r="X99" s="161"/>
    </row>
    <row r="100" spans="1:24" ht="20.25" customHeight="1">
      <c r="A100" s="110" t="str">
        <f>+BASE!B104</f>
        <v>23XXR089</v>
      </c>
      <c r="B100" s="106" t="s">
        <v>40</v>
      </c>
      <c r="C100" s="111">
        <f t="shared" si="3"/>
        <v>0</v>
      </c>
      <c r="D100" s="111">
        <f t="shared" si="4"/>
        <v>0</v>
      </c>
      <c r="E100" s="111">
        <f t="shared" si="5"/>
        <v>0</v>
      </c>
      <c r="F100" s="111">
        <f t="shared" si="6"/>
        <v>0</v>
      </c>
      <c r="G100" s="111">
        <f t="shared" si="7"/>
        <v>0</v>
      </c>
      <c r="H100" s="111"/>
      <c r="I100" s="97">
        <f t="shared" si="18"/>
        <v>0</v>
      </c>
      <c r="J100" s="97">
        <f t="shared" si="8"/>
        <v>0</v>
      </c>
      <c r="K100" s="97">
        <f t="shared" si="9"/>
        <v>0</v>
      </c>
      <c r="L100" s="97">
        <f t="shared" si="10"/>
        <v>0</v>
      </c>
      <c r="M100" s="97">
        <f t="shared" si="11"/>
        <v>0</v>
      </c>
      <c r="N100" s="111"/>
      <c r="O100" s="110"/>
      <c r="P100" s="112">
        <f t="shared" si="12"/>
        <v>0</v>
      </c>
      <c r="Q100" s="106">
        <f>BASE!A104</f>
        <v>89</v>
      </c>
      <c r="R100" s="97">
        <f t="shared" si="13"/>
        <v>0</v>
      </c>
      <c r="S100" s="97">
        <f t="shared" si="14"/>
        <v>0</v>
      </c>
      <c r="T100" s="97">
        <f t="shared" si="15"/>
        <v>0</v>
      </c>
      <c r="U100" s="97">
        <f t="shared" si="16"/>
        <v>0</v>
      </c>
      <c r="V100" s="97">
        <f t="shared" si="17"/>
        <v>0</v>
      </c>
      <c r="W100" s="161"/>
      <c r="X100" s="161"/>
    </row>
    <row r="101" spans="1:24" ht="20.25" customHeight="1">
      <c r="A101" s="110" t="str">
        <f>+BASE!B105</f>
        <v>23XXR090</v>
      </c>
      <c r="B101" s="106" t="s">
        <v>40</v>
      </c>
      <c r="C101" s="111">
        <f t="shared" si="3"/>
        <v>0</v>
      </c>
      <c r="D101" s="111">
        <f t="shared" si="4"/>
        <v>0</v>
      </c>
      <c r="E101" s="111">
        <f t="shared" si="5"/>
        <v>0</v>
      </c>
      <c r="F101" s="111">
        <f t="shared" si="6"/>
        <v>0</v>
      </c>
      <c r="G101" s="111">
        <f t="shared" si="7"/>
        <v>0</v>
      </c>
      <c r="H101" s="111"/>
      <c r="I101" s="97">
        <f t="shared" si="18"/>
        <v>0</v>
      </c>
      <c r="J101" s="97">
        <f t="shared" si="8"/>
        <v>0</v>
      </c>
      <c r="K101" s="97">
        <f t="shared" si="9"/>
        <v>0</v>
      </c>
      <c r="L101" s="97">
        <f t="shared" si="10"/>
        <v>0</v>
      </c>
      <c r="M101" s="97">
        <f t="shared" si="11"/>
        <v>0</v>
      </c>
      <c r="N101" s="111"/>
      <c r="O101" s="110"/>
      <c r="P101" s="112">
        <f t="shared" si="12"/>
        <v>0</v>
      </c>
      <c r="Q101" s="106">
        <f>BASE!A105</f>
        <v>90</v>
      </c>
      <c r="R101" s="97">
        <f t="shared" si="13"/>
        <v>0</v>
      </c>
      <c r="S101" s="97">
        <f t="shared" si="14"/>
        <v>0</v>
      </c>
      <c r="T101" s="97">
        <f t="shared" si="15"/>
        <v>0</v>
      </c>
      <c r="U101" s="97">
        <f t="shared" si="16"/>
        <v>0</v>
      </c>
      <c r="V101" s="97">
        <f t="shared" si="17"/>
        <v>0</v>
      </c>
      <c r="W101" s="161"/>
      <c r="X101" s="161"/>
    </row>
    <row r="102" spans="1:24" ht="20.25" customHeight="1">
      <c r="A102" s="110" t="str">
        <f>+BASE!B106</f>
        <v>23XXR091</v>
      </c>
      <c r="B102" s="106" t="s">
        <v>40</v>
      </c>
      <c r="C102" s="111">
        <f t="shared" si="3"/>
        <v>0</v>
      </c>
      <c r="D102" s="111">
        <f t="shared" si="4"/>
        <v>0</v>
      </c>
      <c r="E102" s="111">
        <f t="shared" si="5"/>
        <v>0</v>
      </c>
      <c r="F102" s="111">
        <f t="shared" si="6"/>
        <v>0</v>
      </c>
      <c r="G102" s="111">
        <f t="shared" si="7"/>
        <v>0</v>
      </c>
      <c r="H102" s="111"/>
      <c r="I102" s="97">
        <f t="shared" si="18"/>
        <v>0</v>
      </c>
      <c r="J102" s="97">
        <f t="shared" si="8"/>
        <v>0</v>
      </c>
      <c r="K102" s="97">
        <f t="shared" si="9"/>
        <v>0</v>
      </c>
      <c r="L102" s="97">
        <f t="shared" si="10"/>
        <v>0</v>
      </c>
      <c r="M102" s="97">
        <f t="shared" si="11"/>
        <v>0</v>
      </c>
      <c r="N102" s="111"/>
      <c r="O102" s="110"/>
      <c r="P102" s="112">
        <f t="shared" si="12"/>
        <v>0</v>
      </c>
      <c r="Q102" s="106">
        <f>BASE!A106</f>
        <v>91</v>
      </c>
      <c r="R102" s="97">
        <f t="shared" si="13"/>
        <v>0</v>
      </c>
      <c r="S102" s="97">
        <f t="shared" si="14"/>
        <v>0</v>
      </c>
      <c r="T102" s="97">
        <f t="shared" si="15"/>
        <v>0</v>
      </c>
      <c r="U102" s="97">
        <f t="shared" si="16"/>
        <v>0</v>
      </c>
      <c r="V102" s="97">
        <f t="shared" si="17"/>
        <v>0</v>
      </c>
      <c r="W102" s="161"/>
      <c r="X102" s="161"/>
    </row>
    <row r="103" spans="1:24" ht="20.25" customHeight="1">
      <c r="A103" s="110" t="str">
        <f>+BASE!B107</f>
        <v>23XXR092</v>
      </c>
      <c r="B103" s="106" t="s">
        <v>40</v>
      </c>
      <c r="C103" s="111">
        <f t="shared" si="3"/>
        <v>0</v>
      </c>
      <c r="D103" s="111">
        <f t="shared" si="4"/>
        <v>0</v>
      </c>
      <c r="E103" s="111">
        <f t="shared" si="5"/>
        <v>0</v>
      </c>
      <c r="F103" s="111">
        <f t="shared" si="6"/>
        <v>0</v>
      </c>
      <c r="G103" s="111">
        <f t="shared" si="7"/>
        <v>0</v>
      </c>
      <c r="H103" s="111"/>
      <c r="I103" s="97">
        <f t="shared" si="18"/>
        <v>0</v>
      </c>
      <c r="J103" s="97">
        <f t="shared" si="8"/>
        <v>0</v>
      </c>
      <c r="K103" s="97">
        <f t="shared" si="9"/>
        <v>0</v>
      </c>
      <c r="L103" s="97">
        <f t="shared" si="10"/>
        <v>0</v>
      </c>
      <c r="M103" s="97">
        <f t="shared" si="11"/>
        <v>0</v>
      </c>
      <c r="N103" s="111"/>
      <c r="O103" s="110"/>
      <c r="P103" s="112">
        <f t="shared" si="12"/>
        <v>0</v>
      </c>
      <c r="Q103" s="106">
        <f>BASE!A107</f>
        <v>92</v>
      </c>
      <c r="R103" s="97">
        <f t="shared" si="13"/>
        <v>0</v>
      </c>
      <c r="S103" s="97">
        <f t="shared" si="14"/>
        <v>0</v>
      </c>
      <c r="T103" s="97">
        <f t="shared" si="15"/>
        <v>0</v>
      </c>
      <c r="U103" s="97">
        <f t="shared" si="16"/>
        <v>0</v>
      </c>
      <c r="V103" s="97">
        <f t="shared" si="17"/>
        <v>0</v>
      </c>
      <c r="W103" s="161"/>
      <c r="X103" s="161"/>
    </row>
    <row r="104" spans="1:24" ht="20.25" customHeight="1">
      <c r="A104" s="110" t="str">
        <f>+BASE!B108</f>
        <v>23XXR093</v>
      </c>
      <c r="B104" s="106" t="s">
        <v>40</v>
      </c>
      <c r="C104" s="111">
        <f t="shared" si="3"/>
        <v>0</v>
      </c>
      <c r="D104" s="111">
        <f t="shared" si="4"/>
        <v>0</v>
      </c>
      <c r="E104" s="111">
        <f t="shared" si="5"/>
        <v>0</v>
      </c>
      <c r="F104" s="111">
        <f t="shared" si="6"/>
        <v>0</v>
      </c>
      <c r="G104" s="111">
        <f t="shared" si="7"/>
        <v>0</v>
      </c>
      <c r="H104" s="111"/>
      <c r="I104" s="97">
        <f t="shared" si="18"/>
        <v>0</v>
      </c>
      <c r="J104" s="97">
        <f t="shared" si="8"/>
        <v>0</v>
      </c>
      <c r="K104" s="97">
        <f t="shared" si="9"/>
        <v>0</v>
      </c>
      <c r="L104" s="97">
        <f t="shared" si="10"/>
        <v>0</v>
      </c>
      <c r="M104" s="97">
        <f t="shared" si="11"/>
        <v>0</v>
      </c>
      <c r="N104" s="111"/>
      <c r="O104" s="110"/>
      <c r="P104" s="112">
        <f t="shared" si="12"/>
        <v>0</v>
      </c>
      <c r="Q104" s="106">
        <f>BASE!A108</f>
        <v>93</v>
      </c>
      <c r="R104" s="97">
        <f t="shared" si="13"/>
        <v>0</v>
      </c>
      <c r="S104" s="97">
        <f t="shared" si="14"/>
        <v>0</v>
      </c>
      <c r="T104" s="97">
        <f t="shared" si="15"/>
        <v>0</v>
      </c>
      <c r="U104" s="97">
        <f t="shared" si="16"/>
        <v>0</v>
      </c>
      <c r="V104" s="97">
        <f t="shared" si="17"/>
        <v>0</v>
      </c>
      <c r="W104" s="161"/>
      <c r="X104" s="161"/>
    </row>
    <row r="105" spans="1:24" ht="20.25" customHeight="1">
      <c r="A105" s="110" t="str">
        <f>+BASE!B109</f>
        <v>23XXR094</v>
      </c>
      <c r="B105" s="106" t="s">
        <v>40</v>
      </c>
      <c r="C105" s="111">
        <f t="shared" si="3"/>
        <v>0</v>
      </c>
      <c r="D105" s="111">
        <f t="shared" si="4"/>
        <v>0</v>
      </c>
      <c r="E105" s="111">
        <f t="shared" si="5"/>
        <v>0</v>
      </c>
      <c r="F105" s="111">
        <f t="shared" si="6"/>
        <v>0</v>
      </c>
      <c r="G105" s="111">
        <f t="shared" si="7"/>
        <v>0</v>
      </c>
      <c r="H105" s="111"/>
      <c r="I105" s="97">
        <f t="shared" si="18"/>
        <v>0</v>
      </c>
      <c r="J105" s="97">
        <f t="shared" si="8"/>
        <v>0</v>
      </c>
      <c r="K105" s="97">
        <f t="shared" si="9"/>
        <v>0</v>
      </c>
      <c r="L105" s="97">
        <f t="shared" si="10"/>
        <v>0</v>
      </c>
      <c r="M105" s="97">
        <f t="shared" si="11"/>
        <v>0</v>
      </c>
      <c r="N105" s="111"/>
      <c r="O105" s="110"/>
      <c r="P105" s="112">
        <f t="shared" si="12"/>
        <v>0</v>
      </c>
      <c r="Q105" s="106">
        <f>BASE!A109</f>
        <v>94</v>
      </c>
      <c r="R105" s="97">
        <f t="shared" si="13"/>
        <v>0</v>
      </c>
      <c r="S105" s="97">
        <f t="shared" si="14"/>
        <v>0</v>
      </c>
      <c r="T105" s="97">
        <f t="shared" si="15"/>
        <v>0</v>
      </c>
      <c r="U105" s="97">
        <f t="shared" si="16"/>
        <v>0</v>
      </c>
      <c r="V105" s="97">
        <f t="shared" si="17"/>
        <v>0</v>
      </c>
      <c r="W105" s="161"/>
      <c r="X105" s="161"/>
    </row>
    <row r="106" spans="1:24" ht="20.25" customHeight="1">
      <c r="A106" s="110" t="str">
        <f>+BASE!B110</f>
        <v>23XXR095</v>
      </c>
      <c r="B106" s="106" t="s">
        <v>40</v>
      </c>
      <c r="C106" s="111">
        <f t="shared" si="3"/>
        <v>0</v>
      </c>
      <c r="D106" s="111">
        <f t="shared" si="4"/>
        <v>0</v>
      </c>
      <c r="E106" s="111">
        <f t="shared" si="5"/>
        <v>0</v>
      </c>
      <c r="F106" s="111">
        <f t="shared" si="6"/>
        <v>0</v>
      </c>
      <c r="G106" s="111">
        <f t="shared" si="7"/>
        <v>0</v>
      </c>
      <c r="H106" s="111"/>
      <c r="I106" s="97">
        <f t="shared" si="18"/>
        <v>0</v>
      </c>
      <c r="J106" s="97">
        <f t="shared" si="8"/>
        <v>0</v>
      </c>
      <c r="K106" s="97">
        <f t="shared" si="9"/>
        <v>0</v>
      </c>
      <c r="L106" s="97">
        <f t="shared" si="10"/>
        <v>0</v>
      </c>
      <c r="M106" s="97">
        <f t="shared" si="11"/>
        <v>0</v>
      </c>
      <c r="N106" s="111"/>
      <c r="O106" s="110"/>
      <c r="P106" s="112">
        <f t="shared" si="12"/>
        <v>0</v>
      </c>
      <c r="Q106" s="106">
        <f>BASE!A110</f>
        <v>95</v>
      </c>
      <c r="R106" s="97">
        <f t="shared" si="13"/>
        <v>0</v>
      </c>
      <c r="S106" s="97">
        <f t="shared" si="14"/>
        <v>0</v>
      </c>
      <c r="T106" s="97">
        <f t="shared" si="15"/>
        <v>0</v>
      </c>
      <c r="U106" s="97">
        <f t="shared" si="16"/>
        <v>0</v>
      </c>
      <c r="V106" s="97">
        <f t="shared" si="17"/>
        <v>0</v>
      </c>
      <c r="W106" s="161"/>
      <c r="X106" s="161"/>
    </row>
    <row r="107" spans="1:24" ht="20.25" customHeight="1">
      <c r="A107" s="110" t="str">
        <f>+BASE!B111</f>
        <v>23XXR096</v>
      </c>
      <c r="B107" s="106" t="s">
        <v>40</v>
      </c>
      <c r="C107" s="111">
        <f t="shared" si="3"/>
        <v>0</v>
      </c>
      <c r="D107" s="111">
        <f t="shared" si="4"/>
        <v>0</v>
      </c>
      <c r="E107" s="111">
        <f t="shared" si="5"/>
        <v>0</v>
      </c>
      <c r="F107" s="111">
        <f t="shared" si="6"/>
        <v>0</v>
      </c>
      <c r="G107" s="111">
        <f t="shared" si="7"/>
        <v>0</v>
      </c>
      <c r="H107" s="111"/>
      <c r="I107" s="97">
        <f t="shared" si="18"/>
        <v>0</v>
      </c>
      <c r="J107" s="97">
        <f t="shared" si="8"/>
        <v>0</v>
      </c>
      <c r="K107" s="97">
        <f t="shared" si="9"/>
        <v>0</v>
      </c>
      <c r="L107" s="97">
        <f t="shared" si="10"/>
        <v>0</v>
      </c>
      <c r="M107" s="97">
        <f t="shared" si="11"/>
        <v>0</v>
      </c>
      <c r="N107" s="111"/>
      <c r="O107" s="110"/>
      <c r="P107" s="112">
        <f t="shared" si="12"/>
        <v>0</v>
      </c>
      <c r="Q107" s="106">
        <f>BASE!A111</f>
        <v>96</v>
      </c>
      <c r="R107" s="97">
        <f t="shared" si="13"/>
        <v>0</v>
      </c>
      <c r="S107" s="97">
        <f t="shared" si="14"/>
        <v>0</v>
      </c>
      <c r="T107" s="97">
        <f t="shared" si="15"/>
        <v>0</v>
      </c>
      <c r="U107" s="97">
        <f t="shared" si="16"/>
        <v>0</v>
      </c>
      <c r="V107" s="97">
        <f t="shared" si="17"/>
        <v>0</v>
      </c>
      <c r="W107" s="161"/>
      <c r="X107" s="161"/>
    </row>
    <row r="108" spans="1:24" ht="20.25" customHeight="1">
      <c r="A108" s="110" t="str">
        <f>+BASE!B112</f>
        <v>23XXR097</v>
      </c>
      <c r="B108" s="106" t="s">
        <v>40</v>
      </c>
      <c r="C108" s="111">
        <f t="shared" si="3"/>
        <v>0</v>
      </c>
      <c r="D108" s="111">
        <f t="shared" si="4"/>
        <v>0</v>
      </c>
      <c r="E108" s="111">
        <f t="shared" si="5"/>
        <v>0</v>
      </c>
      <c r="F108" s="111">
        <f t="shared" si="6"/>
        <v>0</v>
      </c>
      <c r="G108" s="111">
        <f t="shared" si="7"/>
        <v>0</v>
      </c>
      <c r="H108" s="111"/>
      <c r="I108" s="97">
        <f t="shared" si="18"/>
        <v>0</v>
      </c>
      <c r="J108" s="97">
        <f t="shared" si="8"/>
        <v>0</v>
      </c>
      <c r="K108" s="97">
        <f t="shared" si="9"/>
        <v>0</v>
      </c>
      <c r="L108" s="97">
        <f t="shared" si="10"/>
        <v>0</v>
      </c>
      <c r="M108" s="97">
        <f t="shared" si="11"/>
        <v>0</v>
      </c>
      <c r="N108" s="111"/>
      <c r="O108" s="110"/>
      <c r="P108" s="112">
        <f t="shared" si="12"/>
        <v>0</v>
      </c>
      <c r="Q108" s="106">
        <f>BASE!A112</f>
        <v>97</v>
      </c>
      <c r="R108" s="97">
        <f t="shared" si="13"/>
        <v>0</v>
      </c>
      <c r="S108" s="97">
        <f t="shared" si="14"/>
        <v>0</v>
      </c>
      <c r="T108" s="97">
        <f t="shared" si="15"/>
        <v>0</v>
      </c>
      <c r="U108" s="97">
        <f t="shared" si="16"/>
        <v>0</v>
      </c>
      <c r="V108" s="97">
        <f t="shared" si="17"/>
        <v>0</v>
      </c>
      <c r="W108" s="161"/>
      <c r="X108" s="161"/>
    </row>
    <row r="109" spans="1:24" ht="20.25" customHeight="1">
      <c r="A109" s="110" t="str">
        <f>+BASE!B113</f>
        <v>23XXR098</v>
      </c>
      <c r="B109" s="106" t="s">
        <v>40</v>
      </c>
      <c r="C109" s="111">
        <f t="shared" si="3"/>
        <v>0</v>
      </c>
      <c r="D109" s="111">
        <f t="shared" si="4"/>
        <v>0</v>
      </c>
      <c r="E109" s="111">
        <f t="shared" si="5"/>
        <v>0</v>
      </c>
      <c r="F109" s="111">
        <f t="shared" si="6"/>
        <v>0</v>
      </c>
      <c r="G109" s="111">
        <f t="shared" si="7"/>
        <v>0</v>
      </c>
      <c r="H109" s="111"/>
      <c r="I109" s="97">
        <f t="shared" si="18"/>
        <v>0</v>
      </c>
      <c r="J109" s="97">
        <f t="shared" si="8"/>
        <v>0</v>
      </c>
      <c r="K109" s="97">
        <f t="shared" si="9"/>
        <v>0</v>
      </c>
      <c r="L109" s="97">
        <f t="shared" si="10"/>
        <v>0</v>
      </c>
      <c r="M109" s="97">
        <f t="shared" si="11"/>
        <v>0</v>
      </c>
      <c r="N109" s="111"/>
      <c r="O109" s="110"/>
      <c r="P109" s="112">
        <f t="shared" si="12"/>
        <v>0</v>
      </c>
      <c r="Q109" s="106">
        <f>BASE!A113</f>
        <v>98</v>
      </c>
      <c r="R109" s="97">
        <f t="shared" si="13"/>
        <v>0</v>
      </c>
      <c r="S109" s="97">
        <f t="shared" si="14"/>
        <v>0</v>
      </c>
      <c r="T109" s="97">
        <f t="shared" si="15"/>
        <v>0</v>
      </c>
      <c r="U109" s="97">
        <f t="shared" si="16"/>
        <v>0</v>
      </c>
      <c r="V109" s="97">
        <f t="shared" si="17"/>
        <v>0</v>
      </c>
      <c r="W109" s="161"/>
      <c r="X109" s="161"/>
    </row>
    <row r="110" spans="1:24" ht="20.25" customHeight="1">
      <c r="A110" s="110" t="str">
        <f>+BASE!B114</f>
        <v>23XXR099</v>
      </c>
      <c r="B110" s="106" t="s">
        <v>40</v>
      </c>
      <c r="C110" s="111">
        <f t="shared" si="3"/>
        <v>0</v>
      </c>
      <c r="D110" s="111">
        <f t="shared" si="4"/>
        <v>0</v>
      </c>
      <c r="E110" s="111">
        <f t="shared" si="5"/>
        <v>0</v>
      </c>
      <c r="F110" s="111">
        <f t="shared" si="6"/>
        <v>0</v>
      </c>
      <c r="G110" s="111">
        <f t="shared" si="7"/>
        <v>0</v>
      </c>
      <c r="H110" s="111"/>
      <c r="I110" s="97">
        <f t="shared" si="18"/>
        <v>0</v>
      </c>
      <c r="J110" s="97">
        <f t="shared" si="8"/>
        <v>0</v>
      </c>
      <c r="K110" s="97">
        <f t="shared" si="9"/>
        <v>0</v>
      </c>
      <c r="L110" s="97">
        <f t="shared" si="10"/>
        <v>0</v>
      </c>
      <c r="M110" s="97">
        <f t="shared" si="11"/>
        <v>0</v>
      </c>
      <c r="N110" s="111"/>
      <c r="O110" s="110"/>
      <c r="P110" s="112">
        <f t="shared" si="12"/>
        <v>0</v>
      </c>
      <c r="Q110" s="106">
        <f>BASE!A114</f>
        <v>99</v>
      </c>
      <c r="R110" s="97">
        <f t="shared" si="13"/>
        <v>0</v>
      </c>
      <c r="S110" s="97">
        <f t="shared" si="14"/>
        <v>0</v>
      </c>
      <c r="T110" s="97">
        <f t="shared" si="15"/>
        <v>0</v>
      </c>
      <c r="U110" s="97">
        <f t="shared" si="16"/>
        <v>0</v>
      </c>
      <c r="V110" s="97">
        <f t="shared" si="17"/>
        <v>0</v>
      </c>
      <c r="W110" s="161"/>
      <c r="X110" s="161"/>
    </row>
    <row r="111" spans="1:24" ht="20.25" customHeight="1">
      <c r="A111" s="110" t="str">
        <f>+BASE!B115</f>
        <v>23XXR100</v>
      </c>
      <c r="B111" s="106" t="s">
        <v>40</v>
      </c>
      <c r="C111" s="111">
        <f t="shared" si="3"/>
        <v>0</v>
      </c>
      <c r="D111" s="111">
        <f t="shared" si="4"/>
        <v>0</v>
      </c>
      <c r="E111" s="111">
        <f t="shared" si="5"/>
        <v>0</v>
      </c>
      <c r="F111" s="111">
        <f t="shared" si="6"/>
        <v>0</v>
      </c>
      <c r="G111" s="111">
        <f t="shared" si="7"/>
        <v>0</v>
      </c>
      <c r="H111" s="111"/>
      <c r="I111" s="97">
        <f t="shared" si="18"/>
        <v>0</v>
      </c>
      <c r="J111" s="97">
        <f t="shared" si="8"/>
        <v>0</v>
      </c>
      <c r="K111" s="97">
        <f t="shared" si="9"/>
        <v>0</v>
      </c>
      <c r="L111" s="97">
        <f t="shared" si="10"/>
        <v>0</v>
      </c>
      <c r="M111" s="97">
        <f t="shared" si="11"/>
        <v>0</v>
      </c>
      <c r="N111" s="111"/>
      <c r="O111" s="110"/>
      <c r="P111" s="112">
        <f t="shared" si="12"/>
        <v>0</v>
      </c>
      <c r="Q111" s="106">
        <f>BASE!A115</f>
        <v>100</v>
      </c>
      <c r="R111" s="97">
        <f t="shared" si="13"/>
        <v>0</v>
      </c>
      <c r="S111" s="97">
        <f t="shared" si="14"/>
        <v>0</v>
      </c>
      <c r="T111" s="97">
        <f t="shared" si="15"/>
        <v>0</v>
      </c>
      <c r="U111" s="97">
        <f t="shared" si="16"/>
        <v>0</v>
      </c>
      <c r="V111" s="97">
        <f t="shared" si="17"/>
        <v>0</v>
      </c>
      <c r="W111" s="161"/>
      <c r="X111" s="161"/>
    </row>
    <row r="112" spans="1:24" ht="20.25" customHeight="1">
      <c r="A112" s="110" t="str">
        <f>+BASE!B116</f>
        <v>23XXR101</v>
      </c>
      <c r="B112" s="106" t="s">
        <v>40</v>
      </c>
      <c r="C112" s="111">
        <f t="shared" si="3"/>
        <v>0</v>
      </c>
      <c r="D112" s="111">
        <f t="shared" si="4"/>
        <v>0</v>
      </c>
      <c r="E112" s="111">
        <f t="shared" si="5"/>
        <v>0</v>
      </c>
      <c r="F112" s="111">
        <f t="shared" si="6"/>
        <v>0</v>
      </c>
      <c r="G112" s="111">
        <f t="shared" si="7"/>
        <v>0</v>
      </c>
      <c r="H112" s="111"/>
      <c r="I112" s="97">
        <f t="shared" si="18"/>
        <v>0</v>
      </c>
      <c r="J112" s="97">
        <f t="shared" si="8"/>
        <v>0</v>
      </c>
      <c r="K112" s="97">
        <f t="shared" si="9"/>
        <v>0</v>
      </c>
      <c r="L112" s="97">
        <f t="shared" si="10"/>
        <v>0</v>
      </c>
      <c r="M112" s="97">
        <f t="shared" si="11"/>
        <v>0</v>
      </c>
      <c r="N112" s="111"/>
      <c r="O112" s="110"/>
      <c r="P112" s="112">
        <f t="shared" si="12"/>
        <v>0</v>
      </c>
      <c r="Q112" s="106">
        <f>BASE!A116</f>
        <v>101</v>
      </c>
      <c r="R112" s="97">
        <f t="shared" si="13"/>
        <v>0</v>
      </c>
      <c r="S112" s="97">
        <f t="shared" si="14"/>
        <v>0</v>
      </c>
      <c r="T112" s="97">
        <f t="shared" si="15"/>
        <v>0</v>
      </c>
      <c r="U112" s="97">
        <f t="shared" si="16"/>
        <v>0</v>
      </c>
      <c r="V112" s="97">
        <f t="shared" si="17"/>
        <v>0</v>
      </c>
      <c r="W112" s="161"/>
      <c r="X112" s="161"/>
    </row>
    <row r="113" spans="1:24" ht="20.25" customHeight="1">
      <c r="A113" s="110" t="str">
        <f>+BASE!B117</f>
        <v>23XXR102</v>
      </c>
      <c r="B113" s="106" t="s">
        <v>40</v>
      </c>
      <c r="C113" s="111">
        <f t="shared" si="3"/>
        <v>0</v>
      </c>
      <c r="D113" s="111">
        <f t="shared" si="4"/>
        <v>0</v>
      </c>
      <c r="E113" s="111">
        <f t="shared" si="5"/>
        <v>0</v>
      </c>
      <c r="F113" s="111">
        <f t="shared" si="6"/>
        <v>0</v>
      </c>
      <c r="G113" s="111">
        <f t="shared" si="7"/>
        <v>0</v>
      </c>
      <c r="H113" s="111"/>
      <c r="I113" s="97">
        <f t="shared" si="18"/>
        <v>0</v>
      </c>
      <c r="J113" s="97">
        <f t="shared" si="8"/>
        <v>0</v>
      </c>
      <c r="K113" s="97">
        <f t="shared" si="9"/>
        <v>0</v>
      </c>
      <c r="L113" s="97">
        <f t="shared" si="10"/>
        <v>0</v>
      </c>
      <c r="M113" s="97">
        <f t="shared" si="11"/>
        <v>0</v>
      </c>
      <c r="N113" s="111"/>
      <c r="O113" s="110"/>
      <c r="P113" s="112">
        <f t="shared" si="12"/>
        <v>0</v>
      </c>
      <c r="Q113" s="106">
        <f>BASE!A117</f>
        <v>102</v>
      </c>
      <c r="R113" s="97">
        <f t="shared" si="13"/>
        <v>0</v>
      </c>
      <c r="S113" s="97">
        <f t="shared" si="14"/>
        <v>0</v>
      </c>
      <c r="T113" s="97">
        <f t="shared" si="15"/>
        <v>0</v>
      </c>
      <c r="U113" s="97">
        <f t="shared" si="16"/>
        <v>0</v>
      </c>
      <c r="V113" s="97">
        <f t="shared" si="17"/>
        <v>0</v>
      </c>
      <c r="W113" s="161"/>
      <c r="X113" s="161"/>
    </row>
    <row r="114" spans="1:24" ht="20.25" customHeight="1">
      <c r="A114" s="110" t="str">
        <f>+BASE!B118</f>
        <v>23XXR103</v>
      </c>
      <c r="B114" s="106" t="s">
        <v>40</v>
      </c>
      <c r="C114" s="111">
        <f t="shared" si="3"/>
        <v>0</v>
      </c>
      <c r="D114" s="111">
        <f t="shared" si="4"/>
        <v>0</v>
      </c>
      <c r="E114" s="111">
        <f t="shared" si="5"/>
        <v>0</v>
      </c>
      <c r="F114" s="111">
        <f t="shared" si="6"/>
        <v>0</v>
      </c>
      <c r="G114" s="111">
        <f t="shared" si="7"/>
        <v>0</v>
      </c>
      <c r="H114" s="111"/>
      <c r="I114" s="97">
        <f t="shared" si="18"/>
        <v>0</v>
      </c>
      <c r="J114" s="97">
        <f t="shared" si="8"/>
        <v>0</v>
      </c>
      <c r="K114" s="97">
        <f t="shared" si="9"/>
        <v>0</v>
      </c>
      <c r="L114" s="97">
        <f t="shared" si="10"/>
        <v>0</v>
      </c>
      <c r="M114" s="97">
        <f t="shared" si="11"/>
        <v>0</v>
      </c>
      <c r="N114" s="111"/>
      <c r="O114" s="110"/>
      <c r="P114" s="112">
        <f t="shared" si="12"/>
        <v>0</v>
      </c>
      <c r="Q114" s="106">
        <f>BASE!A118</f>
        <v>103</v>
      </c>
      <c r="R114" s="97">
        <f t="shared" si="13"/>
        <v>0</v>
      </c>
      <c r="S114" s="97">
        <f t="shared" si="14"/>
        <v>0</v>
      </c>
      <c r="T114" s="97">
        <f t="shared" si="15"/>
        <v>0</v>
      </c>
      <c r="U114" s="97">
        <f t="shared" si="16"/>
        <v>0</v>
      </c>
      <c r="V114" s="97">
        <f t="shared" si="17"/>
        <v>0</v>
      </c>
      <c r="W114" s="161"/>
      <c r="X114" s="161"/>
    </row>
    <row r="115" spans="1:24" ht="20.25" customHeight="1">
      <c r="A115" s="110" t="str">
        <f>+BASE!B119</f>
        <v>23XXR104</v>
      </c>
      <c r="B115" s="106" t="s">
        <v>40</v>
      </c>
      <c r="C115" s="111">
        <f t="shared" si="3"/>
        <v>0</v>
      </c>
      <c r="D115" s="111">
        <f t="shared" si="4"/>
        <v>0</v>
      </c>
      <c r="E115" s="111">
        <f t="shared" si="5"/>
        <v>0</v>
      </c>
      <c r="F115" s="111">
        <f t="shared" si="6"/>
        <v>0</v>
      </c>
      <c r="G115" s="111">
        <f t="shared" si="7"/>
        <v>0</v>
      </c>
      <c r="H115" s="111"/>
      <c r="I115" s="97">
        <f t="shared" si="18"/>
        <v>0</v>
      </c>
      <c r="J115" s="97">
        <f t="shared" si="8"/>
        <v>0</v>
      </c>
      <c r="K115" s="97">
        <f t="shared" si="9"/>
        <v>0</v>
      </c>
      <c r="L115" s="97">
        <f t="shared" si="10"/>
        <v>0</v>
      </c>
      <c r="M115" s="97">
        <f t="shared" si="11"/>
        <v>0</v>
      </c>
      <c r="N115" s="111"/>
      <c r="O115" s="110"/>
      <c r="P115" s="112">
        <f t="shared" si="12"/>
        <v>0</v>
      </c>
      <c r="Q115" s="106">
        <f>BASE!A119</f>
        <v>104</v>
      </c>
      <c r="R115" s="97">
        <f t="shared" si="13"/>
        <v>0</v>
      </c>
      <c r="S115" s="97">
        <f t="shared" si="14"/>
        <v>0</v>
      </c>
      <c r="T115" s="97">
        <f t="shared" si="15"/>
        <v>0</v>
      </c>
      <c r="U115" s="97">
        <f t="shared" si="16"/>
        <v>0</v>
      </c>
      <c r="V115" s="97">
        <f t="shared" si="17"/>
        <v>0</v>
      </c>
      <c r="W115" s="161"/>
      <c r="X115" s="161"/>
    </row>
    <row r="116" spans="1:24" ht="20.25" customHeight="1">
      <c r="A116" s="110" t="str">
        <f>+BASE!B120</f>
        <v>23XXR105</v>
      </c>
      <c r="B116" s="106" t="s">
        <v>40</v>
      </c>
      <c r="C116" s="111">
        <f t="shared" si="3"/>
        <v>0</v>
      </c>
      <c r="D116" s="111">
        <f t="shared" si="4"/>
        <v>0</v>
      </c>
      <c r="E116" s="111">
        <f t="shared" si="5"/>
        <v>0</v>
      </c>
      <c r="F116" s="111">
        <f t="shared" si="6"/>
        <v>0</v>
      </c>
      <c r="G116" s="111">
        <f t="shared" si="7"/>
        <v>0</v>
      </c>
      <c r="H116" s="111"/>
      <c r="I116" s="97">
        <f t="shared" si="18"/>
        <v>0</v>
      </c>
      <c r="J116" s="97">
        <f t="shared" si="8"/>
        <v>0</v>
      </c>
      <c r="K116" s="97">
        <f t="shared" si="9"/>
        <v>0</v>
      </c>
      <c r="L116" s="97">
        <f t="shared" si="10"/>
        <v>0</v>
      </c>
      <c r="M116" s="97">
        <f t="shared" si="11"/>
        <v>0</v>
      </c>
      <c r="N116" s="111"/>
      <c r="O116" s="110"/>
      <c r="P116" s="112">
        <f t="shared" si="12"/>
        <v>0</v>
      </c>
      <c r="Q116" s="106">
        <f>BASE!A120</f>
        <v>105</v>
      </c>
      <c r="R116" s="97">
        <f t="shared" si="13"/>
        <v>0</v>
      </c>
      <c r="S116" s="97">
        <f t="shared" si="14"/>
        <v>0</v>
      </c>
      <c r="T116" s="97">
        <f t="shared" si="15"/>
        <v>0</v>
      </c>
      <c r="U116" s="97">
        <f t="shared" si="16"/>
        <v>0</v>
      </c>
      <c r="V116" s="97">
        <f t="shared" si="17"/>
        <v>0</v>
      </c>
      <c r="W116" s="161"/>
      <c r="X116" s="161"/>
    </row>
    <row r="117" spans="1:24" ht="20.25" customHeight="1">
      <c r="A117" s="110" t="str">
        <f>+BASE!B121</f>
        <v>23XXR106</v>
      </c>
      <c r="B117" s="106" t="s">
        <v>40</v>
      </c>
      <c r="C117" s="111">
        <f t="shared" si="3"/>
        <v>0</v>
      </c>
      <c r="D117" s="111">
        <f t="shared" si="4"/>
        <v>0</v>
      </c>
      <c r="E117" s="111">
        <f t="shared" si="5"/>
        <v>0</v>
      </c>
      <c r="F117" s="111">
        <f t="shared" si="6"/>
        <v>0</v>
      </c>
      <c r="G117" s="111">
        <f t="shared" si="7"/>
        <v>0</v>
      </c>
      <c r="H117" s="111"/>
      <c r="I117" s="97">
        <f t="shared" si="18"/>
        <v>0</v>
      </c>
      <c r="J117" s="97">
        <f t="shared" si="8"/>
        <v>0</v>
      </c>
      <c r="K117" s="97">
        <f t="shared" si="9"/>
        <v>0</v>
      </c>
      <c r="L117" s="97">
        <f t="shared" si="10"/>
        <v>0</v>
      </c>
      <c r="M117" s="97">
        <f t="shared" si="11"/>
        <v>0</v>
      </c>
      <c r="N117" s="111"/>
      <c r="O117" s="110"/>
      <c r="P117" s="112">
        <f t="shared" si="12"/>
        <v>0</v>
      </c>
      <c r="Q117" s="106">
        <f>BASE!A121</f>
        <v>106</v>
      </c>
      <c r="R117" s="97">
        <f t="shared" si="13"/>
        <v>0</v>
      </c>
      <c r="S117" s="97">
        <f t="shared" si="14"/>
        <v>0</v>
      </c>
      <c r="T117" s="97">
        <f t="shared" si="15"/>
        <v>0</v>
      </c>
      <c r="U117" s="97">
        <f t="shared" si="16"/>
        <v>0</v>
      </c>
      <c r="V117" s="97">
        <f t="shared" si="17"/>
        <v>0</v>
      </c>
      <c r="W117" s="161"/>
      <c r="X117" s="161"/>
    </row>
    <row r="118" spans="1:24" ht="20.25" customHeight="1">
      <c r="A118" s="110" t="str">
        <f>+BASE!B122</f>
        <v>23XXR107</v>
      </c>
      <c r="B118" s="106" t="s">
        <v>40</v>
      </c>
      <c r="C118" s="111">
        <f t="shared" si="3"/>
        <v>0</v>
      </c>
      <c r="D118" s="111">
        <f t="shared" si="4"/>
        <v>0</v>
      </c>
      <c r="E118" s="111">
        <f t="shared" si="5"/>
        <v>0</v>
      </c>
      <c r="F118" s="111">
        <f t="shared" si="6"/>
        <v>0</v>
      </c>
      <c r="G118" s="111">
        <f t="shared" si="7"/>
        <v>0</v>
      </c>
      <c r="H118" s="111"/>
      <c r="I118" s="97">
        <f t="shared" si="18"/>
        <v>0</v>
      </c>
      <c r="J118" s="97">
        <f t="shared" si="8"/>
        <v>0</v>
      </c>
      <c r="K118" s="97">
        <f t="shared" si="9"/>
        <v>0</v>
      </c>
      <c r="L118" s="97">
        <f t="shared" si="10"/>
        <v>0</v>
      </c>
      <c r="M118" s="97">
        <f t="shared" si="11"/>
        <v>0</v>
      </c>
      <c r="N118" s="111"/>
      <c r="O118" s="110"/>
      <c r="P118" s="112">
        <f t="shared" si="12"/>
        <v>0</v>
      </c>
      <c r="Q118" s="106">
        <f>BASE!A122</f>
        <v>107</v>
      </c>
      <c r="R118" s="97">
        <f t="shared" si="13"/>
        <v>0</v>
      </c>
      <c r="S118" s="97">
        <f t="shared" si="14"/>
        <v>0</v>
      </c>
      <c r="T118" s="97">
        <f t="shared" si="15"/>
        <v>0</v>
      </c>
      <c r="U118" s="97">
        <f t="shared" si="16"/>
        <v>0</v>
      </c>
      <c r="V118" s="97">
        <f t="shared" si="17"/>
        <v>0</v>
      </c>
      <c r="W118" s="161"/>
      <c r="X118" s="161"/>
    </row>
    <row r="119" spans="1:24" ht="20.25" customHeight="1">
      <c r="A119" s="110" t="str">
        <f>+BASE!B123</f>
        <v>23XXR108</v>
      </c>
      <c r="B119" s="106" t="s">
        <v>40</v>
      </c>
      <c r="C119" s="111">
        <f t="shared" si="3"/>
        <v>0</v>
      </c>
      <c r="D119" s="111">
        <f t="shared" si="4"/>
        <v>0</v>
      </c>
      <c r="E119" s="111">
        <f t="shared" si="5"/>
        <v>0</v>
      </c>
      <c r="F119" s="111">
        <f t="shared" si="6"/>
        <v>0</v>
      </c>
      <c r="G119" s="111">
        <f t="shared" si="7"/>
        <v>0</v>
      </c>
      <c r="H119" s="111"/>
      <c r="I119" s="97">
        <f t="shared" si="18"/>
        <v>0</v>
      </c>
      <c r="J119" s="97">
        <f t="shared" si="8"/>
        <v>0</v>
      </c>
      <c r="K119" s="97">
        <f t="shared" si="9"/>
        <v>0</v>
      </c>
      <c r="L119" s="97">
        <f t="shared" si="10"/>
        <v>0</v>
      </c>
      <c r="M119" s="97">
        <f t="shared" si="11"/>
        <v>0</v>
      </c>
      <c r="N119" s="111"/>
      <c r="O119" s="110"/>
      <c r="P119" s="112">
        <f t="shared" si="12"/>
        <v>0</v>
      </c>
      <c r="Q119" s="106">
        <f>BASE!A123</f>
        <v>108</v>
      </c>
      <c r="R119" s="97">
        <f t="shared" si="13"/>
        <v>0</v>
      </c>
      <c r="S119" s="97">
        <f t="shared" si="14"/>
        <v>0</v>
      </c>
      <c r="T119" s="97">
        <f t="shared" si="15"/>
        <v>0</v>
      </c>
      <c r="U119" s="97">
        <f t="shared" si="16"/>
        <v>0</v>
      </c>
      <c r="V119" s="97">
        <f t="shared" si="17"/>
        <v>0</v>
      </c>
      <c r="W119" s="161"/>
      <c r="X119" s="161"/>
    </row>
    <row r="120" spans="1:24" ht="20.25" customHeight="1">
      <c r="A120" s="110" t="str">
        <f>+BASE!B124</f>
        <v>23XXR109</v>
      </c>
      <c r="B120" s="106" t="s">
        <v>40</v>
      </c>
      <c r="C120" s="111">
        <f t="shared" si="3"/>
        <v>0</v>
      </c>
      <c r="D120" s="111">
        <f t="shared" si="4"/>
        <v>0</v>
      </c>
      <c r="E120" s="111">
        <f t="shared" si="5"/>
        <v>0</v>
      </c>
      <c r="F120" s="111">
        <f t="shared" si="6"/>
        <v>0</v>
      </c>
      <c r="G120" s="111">
        <f t="shared" si="7"/>
        <v>0</v>
      </c>
      <c r="H120" s="111"/>
      <c r="I120" s="97">
        <f t="shared" si="18"/>
        <v>0</v>
      </c>
      <c r="J120" s="97">
        <f t="shared" si="8"/>
        <v>0</v>
      </c>
      <c r="K120" s="97">
        <f t="shared" si="9"/>
        <v>0</v>
      </c>
      <c r="L120" s="97">
        <f t="shared" si="10"/>
        <v>0</v>
      </c>
      <c r="M120" s="97">
        <f t="shared" si="11"/>
        <v>0</v>
      </c>
      <c r="N120" s="111"/>
      <c r="O120" s="110"/>
      <c r="P120" s="112">
        <f t="shared" si="12"/>
        <v>0</v>
      </c>
      <c r="Q120" s="106">
        <f>BASE!A124</f>
        <v>109</v>
      </c>
      <c r="R120" s="97">
        <f t="shared" si="13"/>
        <v>0</v>
      </c>
      <c r="S120" s="97">
        <f t="shared" si="14"/>
        <v>0</v>
      </c>
      <c r="T120" s="97">
        <f t="shared" si="15"/>
        <v>0</v>
      </c>
      <c r="U120" s="97">
        <f t="shared" si="16"/>
        <v>0</v>
      </c>
      <c r="V120" s="97">
        <f t="shared" si="17"/>
        <v>0</v>
      </c>
      <c r="W120" s="161"/>
      <c r="X120" s="161"/>
    </row>
    <row r="121" spans="1:24" ht="20.25" customHeight="1">
      <c r="A121" s="110" t="str">
        <f>+BASE!B125</f>
        <v>23XXR110</v>
      </c>
      <c r="B121" s="106" t="s">
        <v>40</v>
      </c>
      <c r="C121" s="111">
        <f t="shared" si="3"/>
        <v>0</v>
      </c>
      <c r="D121" s="111">
        <f t="shared" si="4"/>
        <v>0</v>
      </c>
      <c r="E121" s="111">
        <f t="shared" si="5"/>
        <v>0</v>
      </c>
      <c r="F121" s="111">
        <f t="shared" si="6"/>
        <v>0</v>
      </c>
      <c r="G121" s="111">
        <f t="shared" si="7"/>
        <v>0</v>
      </c>
      <c r="H121" s="111"/>
      <c r="I121" s="97">
        <f t="shared" si="18"/>
        <v>0</v>
      </c>
      <c r="J121" s="97">
        <f t="shared" si="8"/>
        <v>0</v>
      </c>
      <c r="K121" s="97">
        <f t="shared" si="9"/>
        <v>0</v>
      </c>
      <c r="L121" s="97">
        <f t="shared" si="10"/>
        <v>0</v>
      </c>
      <c r="M121" s="97">
        <f t="shared" si="11"/>
        <v>0</v>
      </c>
      <c r="N121" s="111"/>
      <c r="O121" s="110"/>
      <c r="P121" s="112">
        <f t="shared" si="12"/>
        <v>0</v>
      </c>
      <c r="Q121" s="106">
        <f>BASE!A125</f>
        <v>110</v>
      </c>
      <c r="R121" s="97">
        <f t="shared" si="13"/>
        <v>0</v>
      </c>
      <c r="S121" s="97">
        <f t="shared" si="14"/>
        <v>0</v>
      </c>
      <c r="T121" s="97">
        <f t="shared" si="15"/>
        <v>0</v>
      </c>
      <c r="U121" s="97">
        <f t="shared" si="16"/>
        <v>0</v>
      </c>
      <c r="V121" s="97">
        <f t="shared" si="17"/>
        <v>0</v>
      </c>
      <c r="W121" s="161"/>
      <c r="X121" s="161"/>
    </row>
    <row r="122" spans="1:24" ht="20.25" customHeight="1">
      <c r="A122" s="110" t="str">
        <f>+BASE!B126</f>
        <v>23XXR111</v>
      </c>
      <c r="B122" s="106" t="s">
        <v>40</v>
      </c>
      <c r="C122" s="111">
        <f t="shared" si="3"/>
        <v>0</v>
      </c>
      <c r="D122" s="111">
        <f t="shared" si="4"/>
        <v>0</v>
      </c>
      <c r="E122" s="111">
        <f t="shared" si="5"/>
        <v>0</v>
      </c>
      <c r="F122" s="111">
        <f t="shared" si="6"/>
        <v>0</v>
      </c>
      <c r="G122" s="111">
        <f t="shared" si="7"/>
        <v>0</v>
      </c>
      <c r="H122" s="111"/>
      <c r="I122" s="97">
        <f t="shared" si="18"/>
        <v>0</v>
      </c>
      <c r="J122" s="97">
        <f t="shared" si="8"/>
        <v>0</v>
      </c>
      <c r="K122" s="97">
        <f t="shared" si="9"/>
        <v>0</v>
      </c>
      <c r="L122" s="97">
        <f t="shared" si="10"/>
        <v>0</v>
      </c>
      <c r="M122" s="97">
        <f t="shared" si="11"/>
        <v>0</v>
      </c>
      <c r="N122" s="111"/>
      <c r="O122" s="110"/>
      <c r="P122" s="112">
        <f t="shared" si="12"/>
        <v>0</v>
      </c>
      <c r="Q122" s="106">
        <f>BASE!A126</f>
        <v>111</v>
      </c>
      <c r="R122" s="97">
        <f t="shared" si="13"/>
        <v>0</v>
      </c>
      <c r="S122" s="97">
        <f t="shared" si="14"/>
        <v>0</v>
      </c>
      <c r="T122" s="97">
        <f t="shared" si="15"/>
        <v>0</v>
      </c>
      <c r="U122" s="97">
        <f t="shared" si="16"/>
        <v>0</v>
      </c>
      <c r="V122" s="97">
        <f t="shared" si="17"/>
        <v>0</v>
      </c>
      <c r="W122" s="161"/>
      <c r="X122" s="161"/>
    </row>
    <row r="123" spans="1:24" ht="20.25" customHeight="1">
      <c r="A123" s="110" t="str">
        <f>+BASE!B127</f>
        <v>23XXR112</v>
      </c>
      <c r="B123" s="106" t="s">
        <v>40</v>
      </c>
      <c r="C123" s="111">
        <f t="shared" si="3"/>
        <v>0</v>
      </c>
      <c r="D123" s="111">
        <f t="shared" si="4"/>
        <v>0</v>
      </c>
      <c r="E123" s="111">
        <f t="shared" si="5"/>
        <v>0</v>
      </c>
      <c r="F123" s="111">
        <f t="shared" si="6"/>
        <v>0</v>
      </c>
      <c r="G123" s="111">
        <f t="shared" si="7"/>
        <v>0</v>
      </c>
      <c r="H123" s="111"/>
      <c r="I123" s="97">
        <f t="shared" si="18"/>
        <v>0</v>
      </c>
      <c r="J123" s="97">
        <f t="shared" si="8"/>
        <v>0</v>
      </c>
      <c r="K123" s="97">
        <f t="shared" si="9"/>
        <v>0</v>
      </c>
      <c r="L123" s="97">
        <f t="shared" si="10"/>
        <v>0</v>
      </c>
      <c r="M123" s="97">
        <f t="shared" si="11"/>
        <v>0</v>
      </c>
      <c r="N123" s="111"/>
      <c r="O123" s="110"/>
      <c r="P123" s="112">
        <f t="shared" si="12"/>
        <v>0</v>
      </c>
      <c r="Q123" s="106">
        <f>BASE!A127</f>
        <v>112</v>
      </c>
      <c r="R123" s="97">
        <f t="shared" si="13"/>
        <v>0</v>
      </c>
      <c r="S123" s="97">
        <f t="shared" si="14"/>
        <v>0</v>
      </c>
      <c r="T123" s="97">
        <f t="shared" si="15"/>
        <v>0</v>
      </c>
      <c r="U123" s="97">
        <f t="shared" si="16"/>
        <v>0</v>
      </c>
      <c r="V123" s="97">
        <f t="shared" si="17"/>
        <v>0</v>
      </c>
      <c r="W123" s="161"/>
      <c r="X123" s="161"/>
    </row>
    <row r="124" spans="1:24" ht="20.25" customHeight="1">
      <c r="A124" s="110" t="str">
        <f>+BASE!B128</f>
        <v>23XXR113</v>
      </c>
      <c r="B124" s="106" t="s">
        <v>40</v>
      </c>
      <c r="C124" s="111">
        <f t="shared" si="3"/>
        <v>0</v>
      </c>
      <c r="D124" s="111">
        <f t="shared" si="4"/>
        <v>0</v>
      </c>
      <c r="E124" s="111">
        <f t="shared" si="5"/>
        <v>0</v>
      </c>
      <c r="F124" s="111">
        <f t="shared" si="6"/>
        <v>0</v>
      </c>
      <c r="G124" s="111">
        <f t="shared" si="7"/>
        <v>0</v>
      </c>
      <c r="H124" s="111"/>
      <c r="I124" s="97">
        <f t="shared" si="18"/>
        <v>0</v>
      </c>
      <c r="J124" s="97">
        <f t="shared" si="8"/>
        <v>0</v>
      </c>
      <c r="K124" s="97">
        <f t="shared" si="9"/>
        <v>0</v>
      </c>
      <c r="L124" s="97">
        <f t="shared" si="10"/>
        <v>0</v>
      </c>
      <c r="M124" s="97">
        <f t="shared" si="11"/>
        <v>0</v>
      </c>
      <c r="N124" s="111"/>
      <c r="O124" s="110"/>
      <c r="P124" s="112">
        <f t="shared" si="12"/>
        <v>0</v>
      </c>
      <c r="Q124" s="106">
        <f>BASE!A128</f>
        <v>113</v>
      </c>
      <c r="R124" s="97">
        <f t="shared" si="13"/>
        <v>0</v>
      </c>
      <c r="S124" s="97">
        <f t="shared" si="14"/>
        <v>0</v>
      </c>
      <c r="T124" s="97">
        <f t="shared" si="15"/>
        <v>0</v>
      </c>
      <c r="U124" s="97">
        <f t="shared" si="16"/>
        <v>0</v>
      </c>
      <c r="V124" s="97">
        <f t="shared" si="17"/>
        <v>0</v>
      </c>
      <c r="W124" s="161"/>
      <c r="X124" s="161"/>
    </row>
    <row r="125" spans="1:24" ht="20.25" customHeight="1">
      <c r="A125" s="110" t="str">
        <f>+BASE!B129</f>
        <v>23XXR114</v>
      </c>
      <c r="B125" s="106" t="s">
        <v>40</v>
      </c>
      <c r="C125" s="111">
        <f t="shared" si="3"/>
        <v>0</v>
      </c>
      <c r="D125" s="111">
        <f t="shared" si="4"/>
        <v>0</v>
      </c>
      <c r="E125" s="111">
        <f t="shared" si="5"/>
        <v>0</v>
      </c>
      <c r="F125" s="111">
        <f t="shared" si="6"/>
        <v>0</v>
      </c>
      <c r="G125" s="111">
        <f t="shared" si="7"/>
        <v>0</v>
      </c>
      <c r="H125" s="111"/>
      <c r="I125" s="97">
        <f t="shared" si="18"/>
        <v>0</v>
      </c>
      <c r="J125" s="97">
        <f t="shared" si="8"/>
        <v>0</v>
      </c>
      <c r="K125" s="97">
        <f t="shared" si="9"/>
        <v>0</v>
      </c>
      <c r="L125" s="97">
        <f t="shared" si="10"/>
        <v>0</v>
      </c>
      <c r="M125" s="97">
        <f t="shared" si="11"/>
        <v>0</v>
      </c>
      <c r="N125" s="111"/>
      <c r="O125" s="110"/>
      <c r="P125" s="112">
        <f t="shared" si="12"/>
        <v>0</v>
      </c>
      <c r="Q125" s="106">
        <f>BASE!A129</f>
        <v>114</v>
      </c>
      <c r="R125" s="97">
        <f t="shared" si="13"/>
        <v>0</v>
      </c>
      <c r="S125" s="97">
        <f t="shared" si="14"/>
        <v>0</v>
      </c>
      <c r="T125" s="97">
        <f t="shared" si="15"/>
        <v>0</v>
      </c>
      <c r="U125" s="97">
        <f t="shared" si="16"/>
        <v>0</v>
      </c>
      <c r="V125" s="97">
        <f t="shared" si="17"/>
        <v>0</v>
      </c>
      <c r="W125" s="161"/>
      <c r="X125" s="161"/>
    </row>
    <row r="126" spans="1:24" ht="20.25" customHeight="1">
      <c r="A126" s="110" t="str">
        <f>+BASE!B130</f>
        <v>23XXR115</v>
      </c>
      <c r="B126" s="106" t="s">
        <v>40</v>
      </c>
      <c r="C126" s="111">
        <f t="shared" si="3"/>
        <v>0</v>
      </c>
      <c r="D126" s="111">
        <f t="shared" si="4"/>
        <v>0</v>
      </c>
      <c r="E126" s="111">
        <f t="shared" si="5"/>
        <v>0</v>
      </c>
      <c r="F126" s="111">
        <f t="shared" si="6"/>
        <v>0</v>
      </c>
      <c r="G126" s="111">
        <f t="shared" si="7"/>
        <v>0</v>
      </c>
      <c r="H126" s="111"/>
      <c r="I126" s="97">
        <f t="shared" si="18"/>
        <v>0</v>
      </c>
      <c r="J126" s="97">
        <f t="shared" si="8"/>
        <v>0</v>
      </c>
      <c r="K126" s="97">
        <f t="shared" si="9"/>
        <v>0</v>
      </c>
      <c r="L126" s="97">
        <f t="shared" si="10"/>
        <v>0</v>
      </c>
      <c r="M126" s="97">
        <f t="shared" si="11"/>
        <v>0</v>
      </c>
      <c r="N126" s="111"/>
      <c r="O126" s="110"/>
      <c r="P126" s="112">
        <f t="shared" si="12"/>
        <v>0</v>
      </c>
      <c r="Q126" s="106">
        <f>BASE!A130</f>
        <v>115</v>
      </c>
      <c r="R126" s="97">
        <f t="shared" si="13"/>
        <v>0</v>
      </c>
      <c r="S126" s="97">
        <f t="shared" si="14"/>
        <v>0</v>
      </c>
      <c r="T126" s="97">
        <f t="shared" si="15"/>
        <v>0</v>
      </c>
      <c r="U126" s="97">
        <f t="shared" si="16"/>
        <v>0</v>
      </c>
      <c r="V126" s="97">
        <f t="shared" si="17"/>
        <v>0</v>
      </c>
      <c r="W126" s="161"/>
      <c r="X126" s="161"/>
    </row>
    <row r="127" spans="1:24" ht="20.25" customHeight="1">
      <c r="A127" s="110" t="str">
        <f>+BASE!B131</f>
        <v>23XXR116</v>
      </c>
      <c r="B127" s="106" t="s">
        <v>40</v>
      </c>
      <c r="C127" s="111">
        <f t="shared" si="3"/>
        <v>0</v>
      </c>
      <c r="D127" s="111">
        <f t="shared" si="4"/>
        <v>0</v>
      </c>
      <c r="E127" s="111">
        <f t="shared" si="5"/>
        <v>0</v>
      </c>
      <c r="F127" s="111">
        <f t="shared" si="6"/>
        <v>0</v>
      </c>
      <c r="G127" s="111">
        <f t="shared" si="7"/>
        <v>0</v>
      </c>
      <c r="H127" s="111"/>
      <c r="I127" s="97">
        <f t="shared" si="18"/>
        <v>0</v>
      </c>
      <c r="J127" s="97">
        <f t="shared" si="8"/>
        <v>0</v>
      </c>
      <c r="K127" s="97">
        <f t="shared" si="9"/>
        <v>0</v>
      </c>
      <c r="L127" s="97">
        <f t="shared" si="10"/>
        <v>0</v>
      </c>
      <c r="M127" s="97">
        <f t="shared" si="11"/>
        <v>0</v>
      </c>
      <c r="N127" s="111"/>
      <c r="O127" s="110"/>
      <c r="P127" s="112">
        <f t="shared" si="12"/>
        <v>0</v>
      </c>
      <c r="Q127" s="106">
        <f>BASE!A131</f>
        <v>116</v>
      </c>
      <c r="R127" s="97">
        <f t="shared" si="13"/>
        <v>0</v>
      </c>
      <c r="S127" s="97">
        <f t="shared" si="14"/>
        <v>0</v>
      </c>
      <c r="T127" s="97">
        <f t="shared" si="15"/>
        <v>0</v>
      </c>
      <c r="U127" s="97">
        <f t="shared" si="16"/>
        <v>0</v>
      </c>
      <c r="V127" s="97">
        <f t="shared" si="17"/>
        <v>0</v>
      </c>
      <c r="W127" s="161"/>
      <c r="X127" s="161"/>
    </row>
    <row r="128" spans="1:24" ht="20.25" customHeight="1">
      <c r="A128" s="110" t="str">
        <f>+BASE!B132</f>
        <v>23XXR117</v>
      </c>
      <c r="B128" s="106" t="s">
        <v>40</v>
      </c>
      <c r="C128" s="111">
        <f t="shared" si="3"/>
        <v>0</v>
      </c>
      <c r="D128" s="111">
        <f t="shared" si="4"/>
        <v>0</v>
      </c>
      <c r="E128" s="111">
        <f t="shared" si="5"/>
        <v>0</v>
      </c>
      <c r="F128" s="111">
        <f t="shared" si="6"/>
        <v>0</v>
      </c>
      <c r="G128" s="111">
        <f t="shared" si="7"/>
        <v>0</v>
      </c>
      <c r="H128" s="111"/>
      <c r="I128" s="97">
        <f t="shared" si="18"/>
        <v>0</v>
      </c>
      <c r="J128" s="97">
        <f t="shared" si="8"/>
        <v>0</v>
      </c>
      <c r="K128" s="97">
        <f t="shared" si="9"/>
        <v>0</v>
      </c>
      <c r="L128" s="97">
        <f t="shared" si="10"/>
        <v>0</v>
      </c>
      <c r="M128" s="97">
        <f t="shared" si="11"/>
        <v>0</v>
      </c>
      <c r="N128" s="111"/>
      <c r="O128" s="110"/>
      <c r="P128" s="112">
        <f t="shared" si="12"/>
        <v>0</v>
      </c>
      <c r="Q128" s="106">
        <f>BASE!A132</f>
        <v>117</v>
      </c>
      <c r="R128" s="97">
        <f t="shared" si="13"/>
        <v>0</v>
      </c>
      <c r="S128" s="97">
        <f t="shared" si="14"/>
        <v>0</v>
      </c>
      <c r="T128" s="97">
        <f t="shared" si="15"/>
        <v>0</v>
      </c>
      <c r="U128" s="97">
        <f t="shared" si="16"/>
        <v>0</v>
      </c>
      <c r="V128" s="97">
        <f t="shared" si="17"/>
        <v>0</v>
      </c>
      <c r="W128" s="161"/>
      <c r="X128" s="161"/>
    </row>
    <row r="129" spans="1:24" ht="20.25" customHeight="1">
      <c r="A129" s="110" t="str">
        <f>+BASE!B133</f>
        <v>23XXR118</v>
      </c>
      <c r="B129" s="106" t="s">
        <v>40</v>
      </c>
      <c r="C129" s="111">
        <f t="shared" si="3"/>
        <v>0</v>
      </c>
      <c r="D129" s="111">
        <f t="shared" si="4"/>
        <v>0</v>
      </c>
      <c r="E129" s="111">
        <f t="shared" si="5"/>
        <v>0</v>
      </c>
      <c r="F129" s="111">
        <f t="shared" si="6"/>
        <v>0</v>
      </c>
      <c r="G129" s="111">
        <f t="shared" si="7"/>
        <v>0</v>
      </c>
      <c r="H129" s="111"/>
      <c r="I129" s="97">
        <f t="shared" si="18"/>
        <v>0</v>
      </c>
      <c r="J129" s="97">
        <f t="shared" si="8"/>
        <v>0</v>
      </c>
      <c r="K129" s="97">
        <f t="shared" si="9"/>
        <v>0</v>
      </c>
      <c r="L129" s="97">
        <f t="shared" si="10"/>
        <v>0</v>
      </c>
      <c r="M129" s="97">
        <f t="shared" si="11"/>
        <v>0</v>
      </c>
      <c r="N129" s="111"/>
      <c r="O129" s="110"/>
      <c r="P129" s="112">
        <f t="shared" si="12"/>
        <v>0</v>
      </c>
      <c r="Q129" s="106">
        <f>BASE!A133</f>
        <v>118</v>
      </c>
      <c r="R129" s="97">
        <f t="shared" si="13"/>
        <v>0</v>
      </c>
      <c r="S129" s="97">
        <f t="shared" si="14"/>
        <v>0</v>
      </c>
      <c r="T129" s="97">
        <f t="shared" si="15"/>
        <v>0</v>
      </c>
      <c r="U129" s="97">
        <f t="shared" si="16"/>
        <v>0</v>
      </c>
      <c r="V129" s="97">
        <f t="shared" si="17"/>
        <v>0</v>
      </c>
      <c r="W129" s="161"/>
      <c r="X129" s="161"/>
    </row>
    <row r="130" spans="1:24" ht="20.25" customHeight="1">
      <c r="A130" s="110" t="str">
        <f>+BASE!B134</f>
        <v>23XXR119</v>
      </c>
      <c r="B130" s="106" t="s">
        <v>40</v>
      </c>
      <c r="C130" s="111">
        <f t="shared" si="3"/>
        <v>0</v>
      </c>
      <c r="D130" s="111">
        <f t="shared" si="4"/>
        <v>0</v>
      </c>
      <c r="E130" s="111">
        <f t="shared" si="5"/>
        <v>0</v>
      </c>
      <c r="F130" s="111">
        <f t="shared" si="6"/>
        <v>0</v>
      </c>
      <c r="G130" s="111">
        <f t="shared" si="7"/>
        <v>0</v>
      </c>
      <c r="H130" s="111"/>
      <c r="I130" s="97">
        <f t="shared" si="18"/>
        <v>0</v>
      </c>
      <c r="J130" s="97">
        <f t="shared" si="8"/>
        <v>0</v>
      </c>
      <c r="K130" s="97">
        <f t="shared" si="9"/>
        <v>0</v>
      </c>
      <c r="L130" s="97">
        <f t="shared" si="10"/>
        <v>0</v>
      </c>
      <c r="M130" s="97">
        <f t="shared" si="11"/>
        <v>0</v>
      </c>
      <c r="N130" s="111"/>
      <c r="O130" s="110"/>
      <c r="P130" s="112">
        <f t="shared" si="12"/>
        <v>0</v>
      </c>
      <c r="Q130" s="106">
        <f>BASE!A134</f>
        <v>119</v>
      </c>
      <c r="R130" s="97">
        <f t="shared" si="13"/>
        <v>0</v>
      </c>
      <c r="S130" s="97">
        <f t="shared" si="14"/>
        <v>0</v>
      </c>
      <c r="T130" s="97">
        <f t="shared" si="15"/>
        <v>0</v>
      </c>
      <c r="U130" s="97">
        <f t="shared" si="16"/>
        <v>0</v>
      </c>
      <c r="V130" s="97">
        <f t="shared" si="17"/>
        <v>0</v>
      </c>
      <c r="W130" s="161"/>
      <c r="X130" s="161"/>
    </row>
    <row r="131" spans="1:24" ht="20.25" customHeight="1">
      <c r="A131" s="110" t="str">
        <f>+BASE!B135</f>
        <v>23XXR120</v>
      </c>
      <c r="B131" s="106" t="s">
        <v>40</v>
      </c>
      <c r="C131" s="111">
        <f t="shared" si="3"/>
        <v>0</v>
      </c>
      <c r="D131" s="111">
        <f t="shared" si="4"/>
        <v>0</v>
      </c>
      <c r="E131" s="111">
        <f t="shared" si="5"/>
        <v>0</v>
      </c>
      <c r="F131" s="111">
        <f t="shared" si="6"/>
        <v>0</v>
      </c>
      <c r="G131" s="111">
        <f t="shared" si="7"/>
        <v>0</v>
      </c>
      <c r="H131" s="111"/>
      <c r="I131" s="97">
        <f t="shared" si="18"/>
        <v>0</v>
      </c>
      <c r="J131" s="97">
        <f t="shared" si="8"/>
        <v>0</v>
      </c>
      <c r="K131" s="97">
        <f t="shared" si="9"/>
        <v>0</v>
      </c>
      <c r="L131" s="97">
        <f t="shared" si="10"/>
        <v>0</v>
      </c>
      <c r="M131" s="97">
        <f t="shared" si="11"/>
        <v>0</v>
      </c>
      <c r="N131" s="111"/>
      <c r="O131" s="110"/>
      <c r="P131" s="112">
        <f t="shared" si="12"/>
        <v>0</v>
      </c>
      <c r="Q131" s="106">
        <f>BASE!A135</f>
        <v>120</v>
      </c>
      <c r="R131" s="97">
        <f t="shared" si="13"/>
        <v>0</v>
      </c>
      <c r="S131" s="97">
        <f t="shared" si="14"/>
        <v>0</v>
      </c>
      <c r="T131" s="97">
        <f t="shared" si="15"/>
        <v>0</v>
      </c>
      <c r="U131" s="97">
        <f t="shared" si="16"/>
        <v>0</v>
      </c>
      <c r="V131" s="97">
        <f t="shared" si="17"/>
        <v>0</v>
      </c>
      <c r="W131" s="161"/>
      <c r="X131" s="161"/>
    </row>
    <row r="132" spans="1:24" ht="20.25" customHeight="1">
      <c r="A132" s="110" t="str">
        <f>+BASE!B136</f>
        <v>23XXR121</v>
      </c>
      <c r="B132" s="106" t="s">
        <v>40</v>
      </c>
      <c r="C132" s="111">
        <f t="shared" si="3"/>
        <v>0</v>
      </c>
      <c r="D132" s="111">
        <f t="shared" si="4"/>
        <v>0</v>
      </c>
      <c r="E132" s="111">
        <f t="shared" si="5"/>
        <v>0</v>
      </c>
      <c r="F132" s="111">
        <f t="shared" si="6"/>
        <v>0</v>
      </c>
      <c r="G132" s="111">
        <f t="shared" si="7"/>
        <v>0</v>
      </c>
      <c r="H132" s="111"/>
      <c r="I132" s="97">
        <f t="shared" si="18"/>
        <v>0</v>
      </c>
      <c r="J132" s="97">
        <f t="shared" si="8"/>
        <v>0</v>
      </c>
      <c r="K132" s="97">
        <f t="shared" si="9"/>
        <v>0</v>
      </c>
      <c r="L132" s="97">
        <f t="shared" si="10"/>
        <v>0</v>
      </c>
      <c r="M132" s="97">
        <f t="shared" si="11"/>
        <v>0</v>
      </c>
      <c r="N132" s="111"/>
      <c r="O132" s="110"/>
      <c r="P132" s="112">
        <f t="shared" si="12"/>
        <v>0</v>
      </c>
      <c r="Q132" s="106">
        <f>BASE!A136</f>
        <v>121</v>
      </c>
      <c r="R132" s="97">
        <f t="shared" si="13"/>
        <v>0</v>
      </c>
      <c r="S132" s="97">
        <f t="shared" si="14"/>
        <v>0</v>
      </c>
      <c r="T132" s="97">
        <f t="shared" si="15"/>
        <v>0</v>
      </c>
      <c r="U132" s="97">
        <f t="shared" si="16"/>
        <v>0</v>
      </c>
      <c r="V132" s="97">
        <f t="shared" si="17"/>
        <v>0</v>
      </c>
      <c r="W132" s="161"/>
      <c r="X132" s="161"/>
    </row>
    <row r="133" spans="1:24" ht="20.25" customHeight="1">
      <c r="A133" s="110" t="str">
        <f>+BASE!B137</f>
        <v>23XXR122</v>
      </c>
      <c r="B133" s="106" t="s">
        <v>40</v>
      </c>
      <c r="C133" s="111">
        <f t="shared" si="3"/>
        <v>0</v>
      </c>
      <c r="D133" s="111">
        <f t="shared" si="4"/>
        <v>0</v>
      </c>
      <c r="E133" s="111">
        <f t="shared" si="5"/>
        <v>0</v>
      </c>
      <c r="F133" s="111">
        <f t="shared" si="6"/>
        <v>0</v>
      </c>
      <c r="G133" s="111">
        <f t="shared" si="7"/>
        <v>0</v>
      </c>
      <c r="H133" s="111"/>
      <c r="I133" s="97">
        <f t="shared" si="18"/>
        <v>0</v>
      </c>
      <c r="J133" s="97">
        <f t="shared" si="8"/>
        <v>0</v>
      </c>
      <c r="K133" s="97">
        <f t="shared" si="9"/>
        <v>0</v>
      </c>
      <c r="L133" s="97">
        <f t="shared" si="10"/>
        <v>0</v>
      </c>
      <c r="M133" s="97">
        <f t="shared" si="11"/>
        <v>0</v>
      </c>
      <c r="N133" s="111"/>
      <c r="O133" s="110"/>
      <c r="P133" s="112">
        <f t="shared" si="12"/>
        <v>0</v>
      </c>
      <c r="Q133" s="106">
        <f>BASE!A137</f>
        <v>122</v>
      </c>
      <c r="R133" s="97">
        <f t="shared" si="13"/>
        <v>0</v>
      </c>
      <c r="S133" s="97">
        <f t="shared" si="14"/>
        <v>0</v>
      </c>
      <c r="T133" s="97">
        <f t="shared" si="15"/>
        <v>0</v>
      </c>
      <c r="U133" s="97">
        <f t="shared" si="16"/>
        <v>0</v>
      </c>
      <c r="V133" s="97">
        <f t="shared" si="17"/>
        <v>0</v>
      </c>
      <c r="W133" s="161"/>
      <c r="X133" s="161"/>
    </row>
    <row r="134" spans="1:24" ht="20.25" customHeight="1">
      <c r="A134" s="110" t="str">
        <f>+BASE!B138</f>
        <v>23XXR123</v>
      </c>
      <c r="B134" s="106" t="s">
        <v>40</v>
      </c>
      <c r="C134" s="111">
        <f t="shared" si="3"/>
        <v>0</v>
      </c>
      <c r="D134" s="111">
        <f t="shared" si="4"/>
        <v>0</v>
      </c>
      <c r="E134" s="111">
        <f t="shared" si="5"/>
        <v>0</v>
      </c>
      <c r="F134" s="111">
        <f t="shared" si="6"/>
        <v>0</v>
      </c>
      <c r="G134" s="111">
        <f t="shared" si="7"/>
        <v>0</v>
      </c>
      <c r="H134" s="111"/>
      <c r="I134" s="97">
        <f t="shared" si="18"/>
        <v>0</v>
      </c>
      <c r="J134" s="97">
        <f t="shared" si="8"/>
        <v>0</v>
      </c>
      <c r="K134" s="97">
        <f t="shared" si="9"/>
        <v>0</v>
      </c>
      <c r="L134" s="97">
        <f t="shared" si="10"/>
        <v>0</v>
      </c>
      <c r="M134" s="97">
        <f t="shared" si="11"/>
        <v>0</v>
      </c>
      <c r="N134" s="111"/>
      <c r="O134" s="110"/>
      <c r="P134" s="112">
        <f t="shared" si="12"/>
        <v>0</v>
      </c>
      <c r="Q134" s="106">
        <f>BASE!A138</f>
        <v>123</v>
      </c>
      <c r="R134" s="97">
        <f t="shared" si="13"/>
        <v>0</v>
      </c>
      <c r="S134" s="97">
        <f t="shared" si="14"/>
        <v>0</v>
      </c>
      <c r="T134" s="97">
        <f t="shared" si="15"/>
        <v>0</v>
      </c>
      <c r="U134" s="97">
        <f t="shared" si="16"/>
        <v>0</v>
      </c>
      <c r="V134" s="97">
        <f t="shared" si="17"/>
        <v>0</v>
      </c>
      <c r="W134" s="161"/>
      <c r="X134" s="161"/>
    </row>
    <row r="135" spans="1:24" ht="20.25" customHeight="1">
      <c r="A135" s="110" t="str">
        <f>+BASE!B139</f>
        <v>23XXR124</v>
      </c>
      <c r="B135" s="106" t="s">
        <v>40</v>
      </c>
      <c r="C135" s="111">
        <f t="shared" si="3"/>
        <v>0</v>
      </c>
      <c r="D135" s="111">
        <f t="shared" si="4"/>
        <v>0</v>
      </c>
      <c r="E135" s="111">
        <f t="shared" si="5"/>
        <v>0</v>
      </c>
      <c r="F135" s="111">
        <f t="shared" si="6"/>
        <v>0</v>
      </c>
      <c r="G135" s="111">
        <f t="shared" si="7"/>
        <v>0</v>
      </c>
      <c r="H135" s="111"/>
      <c r="I135" s="97">
        <f t="shared" si="18"/>
        <v>0</v>
      </c>
      <c r="J135" s="97">
        <f t="shared" si="8"/>
        <v>0</v>
      </c>
      <c r="K135" s="97">
        <f t="shared" si="9"/>
        <v>0</v>
      </c>
      <c r="L135" s="97">
        <f t="shared" si="10"/>
        <v>0</v>
      </c>
      <c r="M135" s="97">
        <f t="shared" si="11"/>
        <v>0</v>
      </c>
      <c r="N135" s="111"/>
      <c r="O135" s="110"/>
      <c r="P135" s="112">
        <f t="shared" si="12"/>
        <v>0</v>
      </c>
      <c r="Q135" s="106">
        <f>BASE!A139</f>
        <v>124</v>
      </c>
      <c r="R135" s="97">
        <f t="shared" si="13"/>
        <v>0</v>
      </c>
      <c r="S135" s="97">
        <f t="shared" si="14"/>
        <v>0</v>
      </c>
      <c r="T135" s="97">
        <f t="shared" si="15"/>
        <v>0</v>
      </c>
      <c r="U135" s="97">
        <f t="shared" si="16"/>
        <v>0</v>
      </c>
      <c r="V135" s="97">
        <f t="shared" si="17"/>
        <v>0</v>
      </c>
      <c r="W135" s="161"/>
      <c r="X135" s="161"/>
    </row>
    <row r="136" spans="1:24" ht="20.25" customHeight="1">
      <c r="A136" s="110" t="str">
        <f>+BASE!B140</f>
        <v>23XXR125</v>
      </c>
      <c r="B136" s="106" t="s">
        <v>40</v>
      </c>
      <c r="C136" s="111">
        <f t="shared" si="3"/>
        <v>0</v>
      </c>
      <c r="D136" s="111">
        <f t="shared" si="4"/>
        <v>0</v>
      </c>
      <c r="E136" s="111">
        <f t="shared" si="5"/>
        <v>0</v>
      </c>
      <c r="F136" s="111">
        <f t="shared" si="6"/>
        <v>0</v>
      </c>
      <c r="G136" s="111">
        <f t="shared" si="7"/>
        <v>0</v>
      </c>
      <c r="H136" s="111"/>
      <c r="I136" s="97">
        <f t="shared" si="18"/>
        <v>0</v>
      </c>
      <c r="J136" s="97">
        <f t="shared" si="8"/>
        <v>0</v>
      </c>
      <c r="K136" s="97">
        <f t="shared" si="9"/>
        <v>0</v>
      </c>
      <c r="L136" s="97">
        <f t="shared" si="10"/>
        <v>0</v>
      </c>
      <c r="M136" s="97">
        <f t="shared" si="11"/>
        <v>0</v>
      </c>
      <c r="N136" s="111"/>
      <c r="O136" s="110"/>
      <c r="P136" s="112">
        <f t="shared" si="12"/>
        <v>0</v>
      </c>
      <c r="Q136" s="106">
        <f>BASE!A140</f>
        <v>125</v>
      </c>
      <c r="R136" s="97">
        <f t="shared" si="13"/>
        <v>0</v>
      </c>
      <c r="S136" s="97">
        <f t="shared" si="14"/>
        <v>0</v>
      </c>
      <c r="T136" s="97">
        <f t="shared" si="15"/>
        <v>0</v>
      </c>
      <c r="U136" s="97">
        <f t="shared" si="16"/>
        <v>0</v>
      </c>
      <c r="V136" s="97">
        <f t="shared" si="17"/>
        <v>0</v>
      </c>
      <c r="W136" s="161"/>
      <c r="X136" s="161"/>
    </row>
    <row r="137" spans="1:24" ht="20.25" customHeight="1">
      <c r="A137" s="110" t="str">
        <f>+BASE!B141</f>
        <v>23XXR126</v>
      </c>
      <c r="B137" s="106" t="s">
        <v>40</v>
      </c>
      <c r="C137" s="111">
        <f t="shared" si="3"/>
        <v>0</v>
      </c>
      <c r="D137" s="111">
        <f t="shared" si="4"/>
        <v>0</v>
      </c>
      <c r="E137" s="111">
        <f t="shared" si="5"/>
        <v>0</v>
      </c>
      <c r="F137" s="111">
        <f t="shared" si="6"/>
        <v>0</v>
      </c>
      <c r="G137" s="111">
        <f t="shared" si="7"/>
        <v>0</v>
      </c>
      <c r="H137" s="111"/>
      <c r="I137" s="97">
        <f t="shared" si="18"/>
        <v>0</v>
      </c>
      <c r="J137" s="97">
        <f t="shared" si="8"/>
        <v>0</v>
      </c>
      <c r="K137" s="97">
        <f t="shared" si="9"/>
        <v>0</v>
      </c>
      <c r="L137" s="97">
        <f t="shared" si="10"/>
        <v>0</v>
      </c>
      <c r="M137" s="97">
        <f t="shared" si="11"/>
        <v>0</v>
      </c>
      <c r="N137" s="111"/>
      <c r="O137" s="110"/>
      <c r="P137" s="112">
        <f t="shared" si="12"/>
        <v>0</v>
      </c>
      <c r="Q137" s="106">
        <f>BASE!A141</f>
        <v>126</v>
      </c>
      <c r="R137" s="97">
        <f t="shared" si="13"/>
        <v>0</v>
      </c>
      <c r="S137" s="97">
        <f t="shared" si="14"/>
        <v>0</v>
      </c>
      <c r="T137" s="97">
        <f t="shared" si="15"/>
        <v>0</v>
      </c>
      <c r="U137" s="97">
        <f t="shared" si="16"/>
        <v>0</v>
      </c>
      <c r="V137" s="97">
        <f t="shared" si="17"/>
        <v>0</v>
      </c>
      <c r="W137" s="161"/>
      <c r="X137" s="161"/>
    </row>
    <row r="138" spans="1:24" ht="20.25" customHeight="1">
      <c r="A138" s="110" t="str">
        <f>+BASE!B142</f>
        <v>23XXR127</v>
      </c>
      <c r="B138" s="106" t="s">
        <v>40</v>
      </c>
      <c r="C138" s="111">
        <f t="shared" si="3"/>
        <v>0</v>
      </c>
      <c r="D138" s="111">
        <f t="shared" si="4"/>
        <v>0</v>
      </c>
      <c r="E138" s="111">
        <f t="shared" si="5"/>
        <v>0</v>
      </c>
      <c r="F138" s="111">
        <f t="shared" si="6"/>
        <v>0</v>
      </c>
      <c r="G138" s="111">
        <f t="shared" si="7"/>
        <v>0</v>
      </c>
      <c r="H138" s="111"/>
      <c r="I138" s="97">
        <f t="shared" si="18"/>
        <v>0</v>
      </c>
      <c r="J138" s="97">
        <f t="shared" si="8"/>
        <v>0</v>
      </c>
      <c r="K138" s="97">
        <f t="shared" si="9"/>
        <v>0</v>
      </c>
      <c r="L138" s="97">
        <f t="shared" si="10"/>
        <v>0</v>
      </c>
      <c r="M138" s="97">
        <f t="shared" si="11"/>
        <v>0</v>
      </c>
      <c r="N138" s="111"/>
      <c r="O138" s="110"/>
      <c r="P138" s="112">
        <f t="shared" si="12"/>
        <v>0</v>
      </c>
      <c r="Q138" s="106">
        <f>BASE!A142</f>
        <v>127</v>
      </c>
      <c r="R138" s="97">
        <f t="shared" si="13"/>
        <v>0</v>
      </c>
      <c r="S138" s="97">
        <f t="shared" si="14"/>
        <v>0</v>
      </c>
      <c r="T138" s="97">
        <f t="shared" si="15"/>
        <v>0</v>
      </c>
      <c r="U138" s="97">
        <f t="shared" si="16"/>
        <v>0</v>
      </c>
      <c r="V138" s="97">
        <f t="shared" si="17"/>
        <v>0</v>
      </c>
      <c r="W138" s="161"/>
      <c r="X138" s="161"/>
    </row>
    <row r="139" spans="1:24" ht="20.25" customHeight="1">
      <c r="A139" s="110" t="str">
        <f>+BASE!B143</f>
        <v>23XXR128</v>
      </c>
      <c r="B139" s="106" t="s">
        <v>40</v>
      </c>
      <c r="C139" s="111">
        <f t="shared" si="3"/>
        <v>0</v>
      </c>
      <c r="D139" s="111">
        <f t="shared" si="4"/>
        <v>0</v>
      </c>
      <c r="E139" s="111">
        <f t="shared" si="5"/>
        <v>0</v>
      </c>
      <c r="F139" s="111">
        <f t="shared" si="6"/>
        <v>0</v>
      </c>
      <c r="G139" s="111">
        <f t="shared" si="7"/>
        <v>0</v>
      </c>
      <c r="H139" s="111"/>
      <c r="I139" s="97">
        <f t="shared" si="18"/>
        <v>0</v>
      </c>
      <c r="J139" s="97">
        <f t="shared" si="8"/>
        <v>0</v>
      </c>
      <c r="K139" s="97">
        <f t="shared" si="9"/>
        <v>0</v>
      </c>
      <c r="L139" s="97">
        <f t="shared" si="10"/>
        <v>0</v>
      </c>
      <c r="M139" s="97">
        <f t="shared" si="11"/>
        <v>0</v>
      </c>
      <c r="N139" s="111"/>
      <c r="O139" s="110"/>
      <c r="P139" s="112">
        <f t="shared" si="12"/>
        <v>0</v>
      </c>
      <c r="Q139" s="106">
        <f>BASE!A143</f>
        <v>128</v>
      </c>
      <c r="R139" s="97">
        <f t="shared" si="13"/>
        <v>0</v>
      </c>
      <c r="S139" s="97">
        <f t="shared" si="14"/>
        <v>0</v>
      </c>
      <c r="T139" s="97">
        <f t="shared" si="15"/>
        <v>0</v>
      </c>
      <c r="U139" s="97">
        <f t="shared" si="16"/>
        <v>0</v>
      </c>
      <c r="V139" s="97">
        <f t="shared" si="17"/>
        <v>0</v>
      </c>
      <c r="W139" s="161"/>
      <c r="X139" s="161"/>
    </row>
    <row r="140" spans="1:24" ht="20.25" customHeight="1">
      <c r="A140" s="110" t="str">
        <f>+BASE!B144</f>
        <v>23XXR129</v>
      </c>
      <c r="B140" s="106" t="s">
        <v>40</v>
      </c>
      <c r="C140" s="111">
        <f t="shared" si="3"/>
        <v>0</v>
      </c>
      <c r="D140" s="111">
        <f t="shared" si="4"/>
        <v>0</v>
      </c>
      <c r="E140" s="111">
        <f t="shared" si="5"/>
        <v>0</v>
      </c>
      <c r="F140" s="111">
        <f t="shared" si="6"/>
        <v>0</v>
      </c>
      <c r="G140" s="111">
        <f t="shared" si="7"/>
        <v>0</v>
      </c>
      <c r="H140" s="111"/>
      <c r="I140" s="97">
        <f t="shared" si="18"/>
        <v>0</v>
      </c>
      <c r="J140" s="97">
        <f t="shared" si="8"/>
        <v>0</v>
      </c>
      <c r="K140" s="97">
        <f t="shared" si="9"/>
        <v>0</v>
      </c>
      <c r="L140" s="97">
        <f t="shared" si="10"/>
        <v>0</v>
      </c>
      <c r="M140" s="97">
        <f t="shared" si="11"/>
        <v>0</v>
      </c>
      <c r="N140" s="111"/>
      <c r="O140" s="110"/>
      <c r="P140" s="112">
        <f t="shared" si="12"/>
        <v>0</v>
      </c>
      <c r="Q140" s="106">
        <f>BASE!A144</f>
        <v>129</v>
      </c>
      <c r="R140" s="97">
        <f t="shared" si="13"/>
        <v>0</v>
      </c>
      <c r="S140" s="97">
        <f t="shared" si="14"/>
        <v>0</v>
      </c>
      <c r="T140" s="97">
        <f t="shared" si="15"/>
        <v>0</v>
      </c>
      <c r="U140" s="97">
        <f t="shared" si="16"/>
        <v>0</v>
      </c>
      <c r="V140" s="97">
        <f t="shared" si="17"/>
        <v>0</v>
      </c>
      <c r="W140" s="161"/>
      <c r="X140" s="161"/>
    </row>
    <row r="141" spans="1:24" ht="20.25" customHeight="1">
      <c r="A141" s="110" t="str">
        <f>+BASE!B145</f>
        <v>23XXR130</v>
      </c>
      <c r="B141" s="106" t="s">
        <v>40</v>
      </c>
      <c r="C141" s="111">
        <f t="shared" si="3"/>
        <v>0</v>
      </c>
      <c r="D141" s="111">
        <f t="shared" si="4"/>
        <v>0</v>
      </c>
      <c r="E141" s="111">
        <f t="shared" si="5"/>
        <v>0</v>
      </c>
      <c r="F141" s="111">
        <f t="shared" si="6"/>
        <v>0</v>
      </c>
      <c r="G141" s="111">
        <f t="shared" si="7"/>
        <v>0</v>
      </c>
      <c r="H141" s="111"/>
      <c r="I141" s="97">
        <f t="shared" si="18"/>
        <v>0</v>
      </c>
      <c r="J141" s="97">
        <f t="shared" si="8"/>
        <v>0</v>
      </c>
      <c r="K141" s="97">
        <f t="shared" si="9"/>
        <v>0</v>
      </c>
      <c r="L141" s="97">
        <f t="shared" si="10"/>
        <v>0</v>
      </c>
      <c r="M141" s="97">
        <f t="shared" si="11"/>
        <v>0</v>
      </c>
      <c r="N141" s="111"/>
      <c r="O141" s="110"/>
      <c r="P141" s="112">
        <f t="shared" si="12"/>
        <v>0</v>
      </c>
      <c r="Q141" s="106">
        <f>BASE!A145</f>
        <v>130</v>
      </c>
      <c r="R141" s="97">
        <f t="shared" si="13"/>
        <v>0</v>
      </c>
      <c r="S141" s="97">
        <f t="shared" si="14"/>
        <v>0</v>
      </c>
      <c r="T141" s="97">
        <f t="shared" si="15"/>
        <v>0</v>
      </c>
      <c r="U141" s="97">
        <f t="shared" si="16"/>
        <v>0</v>
      </c>
      <c r="V141" s="97">
        <f t="shared" si="17"/>
        <v>0</v>
      </c>
      <c r="W141" s="161"/>
      <c r="X141" s="161"/>
    </row>
    <row r="142" spans="1:24" ht="20.25" customHeight="1">
      <c r="A142" s="110" t="str">
        <f>+BASE!B146</f>
        <v>23XXR131</v>
      </c>
      <c r="B142" s="106" t="s">
        <v>40</v>
      </c>
      <c r="C142" s="111">
        <f t="shared" si="3"/>
        <v>0</v>
      </c>
      <c r="D142" s="111">
        <f t="shared" si="4"/>
        <v>0</v>
      </c>
      <c r="E142" s="111">
        <f t="shared" si="5"/>
        <v>0</v>
      </c>
      <c r="F142" s="111">
        <f t="shared" si="6"/>
        <v>0</v>
      </c>
      <c r="G142" s="111">
        <f t="shared" si="7"/>
        <v>0</v>
      </c>
      <c r="H142" s="111"/>
      <c r="I142" s="97">
        <f t="shared" si="18"/>
        <v>0</v>
      </c>
      <c r="J142" s="97">
        <f t="shared" si="8"/>
        <v>0</v>
      </c>
      <c r="K142" s="97">
        <f t="shared" si="9"/>
        <v>0</v>
      </c>
      <c r="L142" s="97">
        <f t="shared" si="10"/>
        <v>0</v>
      </c>
      <c r="M142" s="97">
        <f t="shared" si="11"/>
        <v>0</v>
      </c>
      <c r="N142" s="111"/>
      <c r="O142" s="110"/>
      <c r="P142" s="112">
        <f t="shared" si="12"/>
        <v>0</v>
      </c>
      <c r="Q142" s="106">
        <f>BASE!A146</f>
        <v>131</v>
      </c>
      <c r="R142" s="97">
        <f t="shared" si="13"/>
        <v>0</v>
      </c>
      <c r="S142" s="97">
        <f t="shared" si="14"/>
        <v>0</v>
      </c>
      <c r="T142" s="97">
        <f t="shared" si="15"/>
        <v>0</v>
      </c>
      <c r="U142" s="97">
        <f t="shared" si="16"/>
        <v>0</v>
      </c>
      <c r="V142" s="97">
        <f t="shared" si="17"/>
        <v>0</v>
      </c>
      <c r="W142" s="161"/>
      <c r="X142" s="161"/>
    </row>
    <row r="143" spans="1:24" ht="20.25" customHeight="1">
      <c r="A143" s="110" t="str">
        <f>+BASE!B147</f>
        <v>23XXR132</v>
      </c>
      <c r="B143" s="106" t="s">
        <v>40</v>
      </c>
      <c r="C143" s="111">
        <f t="shared" si="3"/>
        <v>0</v>
      </c>
      <c r="D143" s="111">
        <f t="shared" si="4"/>
        <v>0</v>
      </c>
      <c r="E143" s="111">
        <f t="shared" si="5"/>
        <v>0</v>
      </c>
      <c r="F143" s="111">
        <f t="shared" si="6"/>
        <v>0</v>
      </c>
      <c r="G143" s="111">
        <f t="shared" si="7"/>
        <v>0</v>
      </c>
      <c r="H143" s="111"/>
      <c r="I143" s="97">
        <f t="shared" si="18"/>
        <v>0</v>
      </c>
      <c r="J143" s="97">
        <f t="shared" si="8"/>
        <v>0</v>
      </c>
      <c r="K143" s="97">
        <f t="shared" si="9"/>
        <v>0</v>
      </c>
      <c r="L143" s="97">
        <f t="shared" si="10"/>
        <v>0</v>
      </c>
      <c r="M143" s="97">
        <f t="shared" si="11"/>
        <v>0</v>
      </c>
      <c r="N143" s="111"/>
      <c r="O143" s="110"/>
      <c r="P143" s="112">
        <f t="shared" si="12"/>
        <v>0</v>
      </c>
      <c r="Q143" s="106">
        <f>BASE!A147</f>
        <v>132</v>
      </c>
      <c r="R143" s="97">
        <f t="shared" si="13"/>
        <v>0</v>
      </c>
      <c r="S143" s="97">
        <f t="shared" si="14"/>
        <v>0</v>
      </c>
      <c r="T143" s="97">
        <f t="shared" si="15"/>
        <v>0</v>
      </c>
      <c r="U143" s="97">
        <f t="shared" si="16"/>
        <v>0</v>
      </c>
      <c r="V143" s="97">
        <f t="shared" si="17"/>
        <v>0</v>
      </c>
      <c r="W143" s="161"/>
      <c r="X143" s="161"/>
    </row>
    <row r="144" spans="1:24" ht="20.25" customHeight="1">
      <c r="A144" s="110" t="str">
        <f>+BASE!B148</f>
        <v>23XXR133</v>
      </c>
      <c r="B144" s="106" t="s">
        <v>40</v>
      </c>
      <c r="C144" s="111">
        <f t="shared" si="3"/>
        <v>0</v>
      </c>
      <c r="D144" s="111">
        <f t="shared" si="4"/>
        <v>0</v>
      </c>
      <c r="E144" s="111">
        <f t="shared" si="5"/>
        <v>0</v>
      </c>
      <c r="F144" s="111">
        <f t="shared" si="6"/>
        <v>0</v>
      </c>
      <c r="G144" s="111">
        <f t="shared" si="7"/>
        <v>0</v>
      </c>
      <c r="H144" s="111"/>
      <c r="I144" s="97">
        <f t="shared" si="18"/>
        <v>0</v>
      </c>
      <c r="J144" s="97">
        <f t="shared" si="8"/>
        <v>0</v>
      </c>
      <c r="K144" s="97">
        <f t="shared" si="9"/>
        <v>0</v>
      </c>
      <c r="L144" s="97">
        <f t="shared" si="10"/>
        <v>0</v>
      </c>
      <c r="M144" s="97">
        <f t="shared" si="11"/>
        <v>0</v>
      </c>
      <c r="N144" s="111"/>
      <c r="O144" s="110"/>
      <c r="P144" s="112">
        <f t="shared" si="12"/>
        <v>0</v>
      </c>
      <c r="Q144" s="106">
        <f>BASE!A148</f>
        <v>133</v>
      </c>
      <c r="R144" s="97">
        <f t="shared" si="13"/>
        <v>0</v>
      </c>
      <c r="S144" s="97">
        <f t="shared" si="14"/>
        <v>0</v>
      </c>
      <c r="T144" s="97">
        <f t="shared" si="15"/>
        <v>0</v>
      </c>
      <c r="U144" s="97">
        <f t="shared" si="16"/>
        <v>0</v>
      </c>
      <c r="V144" s="97">
        <f t="shared" si="17"/>
        <v>0</v>
      </c>
      <c r="W144" s="161"/>
      <c r="X144" s="161"/>
    </row>
    <row r="145" spans="1:24" ht="20.25" customHeight="1">
      <c r="A145" s="110" t="str">
        <f>+BASE!B149</f>
        <v>23XXR134</v>
      </c>
      <c r="B145" s="106" t="s">
        <v>40</v>
      </c>
      <c r="C145" s="111">
        <f t="shared" si="3"/>
        <v>0</v>
      </c>
      <c r="D145" s="111">
        <f t="shared" si="4"/>
        <v>0</v>
      </c>
      <c r="E145" s="111">
        <f t="shared" si="5"/>
        <v>0</v>
      </c>
      <c r="F145" s="111">
        <f t="shared" si="6"/>
        <v>0</v>
      </c>
      <c r="G145" s="111">
        <f t="shared" si="7"/>
        <v>0</v>
      </c>
      <c r="H145" s="111"/>
      <c r="I145" s="97">
        <f t="shared" si="18"/>
        <v>0</v>
      </c>
      <c r="J145" s="97">
        <f t="shared" si="8"/>
        <v>0</v>
      </c>
      <c r="K145" s="97">
        <f t="shared" si="9"/>
        <v>0</v>
      </c>
      <c r="L145" s="97">
        <f t="shared" si="10"/>
        <v>0</v>
      </c>
      <c r="M145" s="97">
        <f t="shared" si="11"/>
        <v>0</v>
      </c>
      <c r="N145" s="111"/>
      <c r="O145" s="110"/>
      <c r="P145" s="112">
        <f t="shared" si="12"/>
        <v>0</v>
      </c>
      <c r="Q145" s="106">
        <f>BASE!A149</f>
        <v>134</v>
      </c>
      <c r="R145" s="97">
        <f t="shared" si="13"/>
        <v>0</v>
      </c>
      <c r="S145" s="97">
        <f t="shared" si="14"/>
        <v>0</v>
      </c>
      <c r="T145" s="97">
        <f t="shared" si="15"/>
        <v>0</v>
      </c>
      <c r="U145" s="97">
        <f t="shared" si="16"/>
        <v>0</v>
      </c>
      <c r="V145" s="97">
        <f t="shared" si="17"/>
        <v>0</v>
      </c>
      <c r="W145" s="161"/>
      <c r="X145" s="161"/>
    </row>
    <row r="146" spans="1:24" ht="20.25" customHeight="1">
      <c r="A146" s="110" t="str">
        <f>+BASE!B150</f>
        <v>23XXR135</v>
      </c>
      <c r="B146" s="106" t="s">
        <v>40</v>
      </c>
      <c r="C146" s="111">
        <f t="shared" si="3"/>
        <v>0</v>
      </c>
      <c r="D146" s="111">
        <f t="shared" si="4"/>
        <v>0</v>
      </c>
      <c r="E146" s="111">
        <f t="shared" si="5"/>
        <v>0</v>
      </c>
      <c r="F146" s="111">
        <f t="shared" si="6"/>
        <v>0</v>
      </c>
      <c r="G146" s="111">
        <f t="shared" si="7"/>
        <v>0</v>
      </c>
      <c r="H146" s="111"/>
      <c r="I146" s="97">
        <f t="shared" si="18"/>
        <v>0</v>
      </c>
      <c r="J146" s="97">
        <f t="shared" si="8"/>
        <v>0</v>
      </c>
      <c r="K146" s="97">
        <f t="shared" si="9"/>
        <v>0</v>
      </c>
      <c r="L146" s="97">
        <f t="shared" si="10"/>
        <v>0</v>
      </c>
      <c r="M146" s="97">
        <f t="shared" si="11"/>
        <v>0</v>
      </c>
      <c r="N146" s="111"/>
      <c r="O146" s="110"/>
      <c r="P146" s="112">
        <f t="shared" si="12"/>
        <v>0</v>
      </c>
      <c r="Q146" s="106">
        <f>BASE!A150</f>
        <v>135</v>
      </c>
      <c r="R146" s="97">
        <f t="shared" si="13"/>
        <v>0</v>
      </c>
      <c r="S146" s="97">
        <f t="shared" si="14"/>
        <v>0</v>
      </c>
      <c r="T146" s="97">
        <f t="shared" si="15"/>
        <v>0</v>
      </c>
      <c r="U146" s="97">
        <f t="shared" si="16"/>
        <v>0</v>
      </c>
      <c r="V146" s="97">
        <f t="shared" si="17"/>
        <v>0</v>
      </c>
      <c r="W146" s="161"/>
      <c r="X146" s="161"/>
    </row>
    <row r="147" spans="1:24" ht="20.25" customHeight="1">
      <c r="A147" s="110" t="str">
        <f>+BASE!B151</f>
        <v>23XXR136</v>
      </c>
      <c r="B147" s="106" t="s">
        <v>40</v>
      </c>
      <c r="C147" s="111">
        <f t="shared" si="3"/>
        <v>0</v>
      </c>
      <c r="D147" s="111">
        <f t="shared" si="4"/>
        <v>0</v>
      </c>
      <c r="E147" s="111">
        <f t="shared" si="5"/>
        <v>0</v>
      </c>
      <c r="F147" s="111">
        <f t="shared" si="6"/>
        <v>0</v>
      </c>
      <c r="G147" s="111">
        <f t="shared" si="7"/>
        <v>0</v>
      </c>
      <c r="H147" s="111"/>
      <c r="I147" s="97">
        <f t="shared" si="18"/>
        <v>0</v>
      </c>
      <c r="J147" s="97">
        <f t="shared" si="8"/>
        <v>0</v>
      </c>
      <c r="K147" s="97">
        <f t="shared" si="9"/>
        <v>0</v>
      </c>
      <c r="L147" s="97">
        <f t="shared" si="10"/>
        <v>0</v>
      </c>
      <c r="M147" s="97">
        <f t="shared" si="11"/>
        <v>0</v>
      </c>
      <c r="N147" s="111"/>
      <c r="O147" s="110"/>
      <c r="P147" s="112">
        <f t="shared" si="12"/>
        <v>0</v>
      </c>
      <c r="Q147" s="106">
        <f>BASE!A151</f>
        <v>136</v>
      </c>
      <c r="R147" s="97">
        <f t="shared" si="13"/>
        <v>0</v>
      </c>
      <c r="S147" s="97">
        <f t="shared" si="14"/>
        <v>0</v>
      </c>
      <c r="T147" s="97">
        <f t="shared" si="15"/>
        <v>0</v>
      </c>
      <c r="U147" s="97">
        <f t="shared" si="16"/>
        <v>0</v>
      </c>
      <c r="V147" s="97">
        <f t="shared" si="17"/>
        <v>0</v>
      </c>
      <c r="W147" s="161"/>
      <c r="X147" s="161"/>
    </row>
    <row r="148" spans="1:24" ht="20.25" customHeight="1">
      <c r="A148" s="110" t="str">
        <f>+BASE!B152</f>
        <v>23XXR137</v>
      </c>
      <c r="B148" s="106" t="s">
        <v>40</v>
      </c>
      <c r="C148" s="111">
        <f t="shared" si="3"/>
        <v>0</v>
      </c>
      <c r="D148" s="111">
        <f t="shared" si="4"/>
        <v>0</v>
      </c>
      <c r="E148" s="111">
        <f t="shared" si="5"/>
        <v>0</v>
      </c>
      <c r="F148" s="111">
        <f t="shared" si="6"/>
        <v>0</v>
      </c>
      <c r="G148" s="111">
        <f t="shared" si="7"/>
        <v>0</v>
      </c>
      <c r="H148" s="111"/>
      <c r="I148" s="97">
        <f t="shared" si="18"/>
        <v>0</v>
      </c>
      <c r="J148" s="97">
        <f t="shared" si="8"/>
        <v>0</v>
      </c>
      <c r="K148" s="97">
        <f t="shared" si="9"/>
        <v>0</v>
      </c>
      <c r="L148" s="97">
        <f t="shared" si="10"/>
        <v>0</v>
      </c>
      <c r="M148" s="97">
        <f t="shared" si="11"/>
        <v>0</v>
      </c>
      <c r="N148" s="111"/>
      <c r="O148" s="110"/>
      <c r="P148" s="112">
        <f t="shared" si="12"/>
        <v>0</v>
      </c>
      <c r="Q148" s="106">
        <f>BASE!A152</f>
        <v>137</v>
      </c>
      <c r="R148" s="97">
        <f t="shared" si="13"/>
        <v>0</v>
      </c>
      <c r="S148" s="97">
        <f t="shared" si="14"/>
        <v>0</v>
      </c>
      <c r="T148" s="97">
        <f t="shared" si="15"/>
        <v>0</v>
      </c>
      <c r="U148" s="97">
        <f t="shared" si="16"/>
        <v>0</v>
      </c>
      <c r="V148" s="97">
        <f t="shared" si="17"/>
        <v>0</v>
      </c>
      <c r="W148" s="161"/>
      <c r="X148" s="161"/>
    </row>
    <row r="149" spans="1:24" ht="20.25" customHeight="1">
      <c r="A149" s="110" t="str">
        <f>+BASE!B153</f>
        <v>23XXR138</v>
      </c>
      <c r="B149" s="106" t="s">
        <v>40</v>
      </c>
      <c r="C149" s="111">
        <f t="shared" si="3"/>
        <v>0</v>
      </c>
      <c r="D149" s="111">
        <f t="shared" si="4"/>
        <v>0</v>
      </c>
      <c r="E149" s="111">
        <f t="shared" si="5"/>
        <v>0</v>
      </c>
      <c r="F149" s="111">
        <f t="shared" si="6"/>
        <v>0</v>
      </c>
      <c r="G149" s="111">
        <f t="shared" si="7"/>
        <v>0</v>
      </c>
      <c r="H149" s="111"/>
      <c r="I149" s="97">
        <f t="shared" si="18"/>
        <v>0</v>
      </c>
      <c r="J149" s="97">
        <f t="shared" si="8"/>
        <v>0</v>
      </c>
      <c r="K149" s="97">
        <f t="shared" si="9"/>
        <v>0</v>
      </c>
      <c r="L149" s="97">
        <f t="shared" si="10"/>
        <v>0</v>
      </c>
      <c r="M149" s="97">
        <f t="shared" si="11"/>
        <v>0</v>
      </c>
      <c r="N149" s="111"/>
      <c r="O149" s="110"/>
      <c r="P149" s="112">
        <f t="shared" si="12"/>
        <v>0</v>
      </c>
      <c r="Q149" s="106">
        <f>BASE!A153</f>
        <v>138</v>
      </c>
      <c r="R149" s="97">
        <f t="shared" si="13"/>
        <v>0</v>
      </c>
      <c r="S149" s="97">
        <f t="shared" si="14"/>
        <v>0</v>
      </c>
      <c r="T149" s="97">
        <f t="shared" si="15"/>
        <v>0</v>
      </c>
      <c r="U149" s="97">
        <f t="shared" si="16"/>
        <v>0</v>
      </c>
      <c r="V149" s="97">
        <f t="shared" si="17"/>
        <v>0</v>
      </c>
      <c r="W149" s="161"/>
      <c r="X149" s="161"/>
    </row>
    <row r="150" spans="1:24" ht="20.25" customHeight="1">
      <c r="A150" s="110" t="str">
        <f>+BASE!B154</f>
        <v>23XXR139</v>
      </c>
      <c r="B150" s="106" t="s">
        <v>40</v>
      </c>
      <c r="C150" s="111">
        <f t="shared" si="3"/>
        <v>0</v>
      </c>
      <c r="D150" s="111">
        <f t="shared" si="4"/>
        <v>0</v>
      </c>
      <c r="E150" s="111">
        <f t="shared" si="5"/>
        <v>0</v>
      </c>
      <c r="F150" s="111">
        <f t="shared" si="6"/>
        <v>0</v>
      </c>
      <c r="G150" s="111">
        <f t="shared" si="7"/>
        <v>0</v>
      </c>
      <c r="H150" s="111"/>
      <c r="I150" s="97">
        <f t="shared" si="18"/>
        <v>0</v>
      </c>
      <c r="J150" s="97">
        <f t="shared" si="8"/>
        <v>0</v>
      </c>
      <c r="K150" s="97">
        <f t="shared" si="9"/>
        <v>0</v>
      </c>
      <c r="L150" s="97">
        <f t="shared" si="10"/>
        <v>0</v>
      </c>
      <c r="M150" s="97">
        <f t="shared" si="11"/>
        <v>0</v>
      </c>
      <c r="N150" s="111"/>
      <c r="O150" s="110"/>
      <c r="P150" s="112">
        <f t="shared" si="12"/>
        <v>0</v>
      </c>
      <c r="Q150" s="106">
        <f>BASE!A154</f>
        <v>139</v>
      </c>
      <c r="R150" s="97">
        <f t="shared" si="13"/>
        <v>0</v>
      </c>
      <c r="S150" s="97">
        <f t="shared" si="14"/>
        <v>0</v>
      </c>
      <c r="T150" s="97">
        <f t="shared" si="15"/>
        <v>0</v>
      </c>
      <c r="U150" s="97">
        <f t="shared" si="16"/>
        <v>0</v>
      </c>
      <c r="V150" s="97">
        <f t="shared" si="17"/>
        <v>0</v>
      </c>
      <c r="W150" s="161"/>
      <c r="X150" s="161"/>
    </row>
    <row r="151" spans="1:24" ht="20.25" customHeight="1">
      <c r="A151" s="110" t="str">
        <f>+BASE!B155</f>
        <v>23XXR140</v>
      </c>
      <c r="B151" s="106" t="s">
        <v>40</v>
      </c>
      <c r="C151" s="111">
        <f t="shared" si="3"/>
        <v>0</v>
      </c>
      <c r="D151" s="111">
        <f t="shared" si="4"/>
        <v>0</v>
      </c>
      <c r="E151" s="111">
        <f t="shared" si="5"/>
        <v>0</v>
      </c>
      <c r="F151" s="111">
        <f t="shared" si="6"/>
        <v>0</v>
      </c>
      <c r="G151" s="111">
        <f t="shared" si="7"/>
        <v>0</v>
      </c>
      <c r="H151" s="111"/>
      <c r="I151" s="97">
        <f t="shared" si="18"/>
        <v>0</v>
      </c>
      <c r="J151" s="97">
        <f t="shared" si="8"/>
        <v>0</v>
      </c>
      <c r="K151" s="97">
        <f t="shared" si="9"/>
        <v>0</v>
      </c>
      <c r="L151" s="97">
        <f t="shared" si="10"/>
        <v>0</v>
      </c>
      <c r="M151" s="97">
        <f t="shared" si="11"/>
        <v>0</v>
      </c>
      <c r="N151" s="111"/>
      <c r="O151" s="110"/>
      <c r="P151" s="112">
        <f t="shared" si="12"/>
        <v>0</v>
      </c>
      <c r="Q151" s="106">
        <f>BASE!A155</f>
        <v>140</v>
      </c>
      <c r="R151" s="97">
        <f t="shared" si="13"/>
        <v>0</v>
      </c>
      <c r="S151" s="97">
        <f t="shared" si="14"/>
        <v>0</v>
      </c>
      <c r="T151" s="97">
        <f t="shared" si="15"/>
        <v>0</v>
      </c>
      <c r="U151" s="97">
        <f t="shared" si="16"/>
        <v>0</v>
      </c>
      <c r="V151" s="97">
        <f t="shared" si="17"/>
        <v>0</v>
      </c>
      <c r="W151" s="161"/>
      <c r="X151" s="161"/>
    </row>
    <row r="152" spans="1:24" ht="20.25" customHeight="1">
      <c r="A152" s="110" t="str">
        <f>+BASE!B156</f>
        <v>23XXR141</v>
      </c>
      <c r="B152" s="106" t="s">
        <v>40</v>
      </c>
      <c r="C152" s="111">
        <f t="shared" si="3"/>
        <v>0</v>
      </c>
      <c r="D152" s="111">
        <f t="shared" si="4"/>
        <v>0</v>
      </c>
      <c r="E152" s="111">
        <f t="shared" si="5"/>
        <v>0</v>
      </c>
      <c r="F152" s="111">
        <f t="shared" si="6"/>
        <v>0</v>
      </c>
      <c r="G152" s="111">
        <f t="shared" si="7"/>
        <v>0</v>
      </c>
      <c r="H152" s="111"/>
      <c r="I152" s="97">
        <f t="shared" si="18"/>
        <v>0</v>
      </c>
      <c r="J152" s="97">
        <f t="shared" si="8"/>
        <v>0</v>
      </c>
      <c r="K152" s="97">
        <f t="shared" si="9"/>
        <v>0</v>
      </c>
      <c r="L152" s="97">
        <f t="shared" si="10"/>
        <v>0</v>
      </c>
      <c r="M152" s="97">
        <f t="shared" si="11"/>
        <v>0</v>
      </c>
      <c r="N152" s="111"/>
      <c r="O152" s="110"/>
      <c r="P152" s="112">
        <f t="shared" si="12"/>
        <v>0</v>
      </c>
      <c r="Q152" s="106">
        <f>BASE!A156</f>
        <v>141</v>
      </c>
      <c r="R152" s="97">
        <f t="shared" si="13"/>
        <v>0</v>
      </c>
      <c r="S152" s="97">
        <f t="shared" si="14"/>
        <v>0</v>
      </c>
      <c r="T152" s="97">
        <f t="shared" si="15"/>
        <v>0</v>
      </c>
      <c r="U152" s="97">
        <f t="shared" si="16"/>
        <v>0</v>
      </c>
      <c r="V152" s="97">
        <f t="shared" si="17"/>
        <v>0</v>
      </c>
      <c r="W152" s="161"/>
      <c r="X152" s="161"/>
    </row>
    <row r="153" spans="1:24" ht="20.25" customHeight="1">
      <c r="A153" s="110" t="str">
        <f>+BASE!B157</f>
        <v>23XXR142</v>
      </c>
      <c r="B153" s="106" t="s">
        <v>40</v>
      </c>
      <c r="C153" s="111">
        <f t="shared" si="3"/>
        <v>0</v>
      </c>
      <c r="D153" s="111">
        <f t="shared" si="4"/>
        <v>0</v>
      </c>
      <c r="E153" s="111">
        <f t="shared" si="5"/>
        <v>0</v>
      </c>
      <c r="F153" s="111">
        <f t="shared" si="6"/>
        <v>0</v>
      </c>
      <c r="G153" s="111">
        <f t="shared" si="7"/>
        <v>0</v>
      </c>
      <c r="H153" s="111"/>
      <c r="I153" s="97">
        <f t="shared" si="18"/>
        <v>0</v>
      </c>
      <c r="J153" s="97">
        <f t="shared" si="8"/>
        <v>0</v>
      </c>
      <c r="K153" s="97">
        <f t="shared" si="9"/>
        <v>0</v>
      </c>
      <c r="L153" s="97">
        <f t="shared" si="10"/>
        <v>0</v>
      </c>
      <c r="M153" s="97">
        <f t="shared" si="11"/>
        <v>0</v>
      </c>
      <c r="N153" s="111"/>
      <c r="O153" s="110"/>
      <c r="P153" s="112">
        <f t="shared" si="12"/>
        <v>0</v>
      </c>
      <c r="Q153" s="106">
        <f>BASE!A157</f>
        <v>142</v>
      </c>
      <c r="R153" s="97">
        <f t="shared" si="13"/>
        <v>0</v>
      </c>
      <c r="S153" s="97">
        <f t="shared" si="14"/>
        <v>0</v>
      </c>
      <c r="T153" s="97">
        <f t="shared" si="15"/>
        <v>0</v>
      </c>
      <c r="U153" s="97">
        <f t="shared" si="16"/>
        <v>0</v>
      </c>
      <c r="V153" s="97">
        <f t="shared" si="17"/>
        <v>0</v>
      </c>
      <c r="W153" s="161"/>
      <c r="X153" s="161"/>
    </row>
    <row r="154" spans="1:24" ht="20.25" customHeight="1">
      <c r="A154" s="110" t="str">
        <f>+BASE!B158</f>
        <v>23XXR143</v>
      </c>
      <c r="B154" s="106" t="s">
        <v>40</v>
      </c>
      <c r="C154" s="111">
        <f t="shared" si="3"/>
        <v>0</v>
      </c>
      <c r="D154" s="111">
        <f t="shared" si="4"/>
        <v>0</v>
      </c>
      <c r="E154" s="111">
        <f t="shared" si="5"/>
        <v>0</v>
      </c>
      <c r="F154" s="111">
        <f t="shared" si="6"/>
        <v>0</v>
      </c>
      <c r="G154" s="111">
        <f t="shared" si="7"/>
        <v>0</v>
      </c>
      <c r="H154" s="111"/>
      <c r="I154" s="97">
        <f t="shared" si="18"/>
        <v>0</v>
      </c>
      <c r="J154" s="97">
        <f t="shared" si="8"/>
        <v>0</v>
      </c>
      <c r="K154" s="97">
        <f t="shared" si="9"/>
        <v>0</v>
      </c>
      <c r="L154" s="97">
        <f t="shared" si="10"/>
        <v>0</v>
      </c>
      <c r="M154" s="97">
        <f t="shared" si="11"/>
        <v>0</v>
      </c>
      <c r="N154" s="111"/>
      <c r="O154" s="110"/>
      <c r="P154" s="112">
        <f t="shared" si="12"/>
        <v>0</v>
      </c>
      <c r="Q154" s="106">
        <f>BASE!A158</f>
        <v>143</v>
      </c>
      <c r="R154" s="97">
        <f t="shared" si="13"/>
        <v>0</v>
      </c>
      <c r="S154" s="97">
        <f t="shared" si="14"/>
        <v>0</v>
      </c>
      <c r="T154" s="97">
        <f t="shared" si="15"/>
        <v>0</v>
      </c>
      <c r="U154" s="97">
        <f t="shared" si="16"/>
        <v>0</v>
      </c>
      <c r="V154" s="97">
        <f t="shared" si="17"/>
        <v>0</v>
      </c>
      <c r="W154" s="161"/>
      <c r="X154" s="161"/>
    </row>
    <row r="155" spans="1:24" ht="20.25" customHeight="1">
      <c r="A155" s="110" t="str">
        <f>+BASE!B159</f>
        <v>23XXR144</v>
      </c>
      <c r="B155" s="106" t="s">
        <v>40</v>
      </c>
      <c r="C155" s="111">
        <f t="shared" si="3"/>
        <v>0</v>
      </c>
      <c r="D155" s="111">
        <f t="shared" si="4"/>
        <v>0</v>
      </c>
      <c r="E155" s="111">
        <f t="shared" si="5"/>
        <v>0</v>
      </c>
      <c r="F155" s="111">
        <f t="shared" si="6"/>
        <v>0</v>
      </c>
      <c r="G155" s="111">
        <f t="shared" si="7"/>
        <v>0</v>
      </c>
      <c r="H155" s="111"/>
      <c r="I155" s="97">
        <f t="shared" si="18"/>
        <v>0</v>
      </c>
      <c r="J155" s="97">
        <f t="shared" si="8"/>
        <v>0</v>
      </c>
      <c r="K155" s="97">
        <f t="shared" si="9"/>
        <v>0</v>
      </c>
      <c r="L155" s="97">
        <f t="shared" si="10"/>
        <v>0</v>
      </c>
      <c r="M155" s="97">
        <f t="shared" si="11"/>
        <v>0</v>
      </c>
      <c r="N155" s="111"/>
      <c r="O155" s="110"/>
      <c r="P155" s="112">
        <f t="shared" si="12"/>
        <v>0</v>
      </c>
      <c r="Q155" s="106">
        <f>BASE!A159</f>
        <v>144</v>
      </c>
      <c r="R155" s="97">
        <f t="shared" si="13"/>
        <v>0</v>
      </c>
      <c r="S155" s="97">
        <f t="shared" si="14"/>
        <v>0</v>
      </c>
      <c r="T155" s="97">
        <f t="shared" si="15"/>
        <v>0</v>
      </c>
      <c r="U155" s="97">
        <f t="shared" si="16"/>
        <v>0</v>
      </c>
      <c r="V155" s="97">
        <f t="shared" si="17"/>
        <v>0</v>
      </c>
      <c r="W155" s="161"/>
      <c r="X155" s="161"/>
    </row>
    <row r="156" spans="1:24" ht="20.25" customHeight="1">
      <c r="A156" s="110" t="str">
        <f>+BASE!B160</f>
        <v>23XXR145</v>
      </c>
      <c r="B156" s="106" t="s">
        <v>40</v>
      </c>
      <c r="C156" s="111">
        <f t="shared" si="3"/>
        <v>0</v>
      </c>
      <c r="D156" s="111">
        <f t="shared" si="4"/>
        <v>0</v>
      </c>
      <c r="E156" s="111">
        <f t="shared" si="5"/>
        <v>0</v>
      </c>
      <c r="F156" s="111">
        <f t="shared" si="6"/>
        <v>0</v>
      </c>
      <c r="G156" s="111">
        <f t="shared" si="7"/>
        <v>0</v>
      </c>
      <c r="H156" s="111"/>
      <c r="I156" s="97">
        <f t="shared" si="18"/>
        <v>0</v>
      </c>
      <c r="J156" s="97">
        <f t="shared" si="8"/>
        <v>0</v>
      </c>
      <c r="K156" s="97">
        <f t="shared" si="9"/>
        <v>0</v>
      </c>
      <c r="L156" s="97">
        <f t="shared" si="10"/>
        <v>0</v>
      </c>
      <c r="M156" s="97">
        <f t="shared" si="11"/>
        <v>0</v>
      </c>
      <c r="N156" s="111"/>
      <c r="O156" s="110"/>
      <c r="P156" s="112">
        <f t="shared" si="12"/>
        <v>0</v>
      </c>
      <c r="Q156" s="106">
        <f>BASE!A160</f>
        <v>145</v>
      </c>
      <c r="R156" s="97">
        <f t="shared" si="13"/>
        <v>0</v>
      </c>
      <c r="S156" s="97">
        <f t="shared" si="14"/>
        <v>0</v>
      </c>
      <c r="T156" s="97">
        <f t="shared" si="15"/>
        <v>0</v>
      </c>
      <c r="U156" s="97">
        <f t="shared" si="16"/>
        <v>0</v>
      </c>
      <c r="V156" s="97">
        <f t="shared" si="17"/>
        <v>0</v>
      </c>
      <c r="W156" s="161"/>
      <c r="X156" s="161"/>
    </row>
    <row r="157" spans="1:24" ht="20.25" customHeight="1">
      <c r="A157" s="110" t="str">
        <f>+BASE!B161</f>
        <v>23XXR146</v>
      </c>
      <c r="B157" s="106" t="s">
        <v>40</v>
      </c>
      <c r="C157" s="111">
        <f t="shared" si="3"/>
        <v>0</v>
      </c>
      <c r="D157" s="111">
        <f t="shared" si="4"/>
        <v>0</v>
      </c>
      <c r="E157" s="111">
        <f t="shared" si="5"/>
        <v>0</v>
      </c>
      <c r="F157" s="111">
        <f t="shared" si="6"/>
        <v>0</v>
      </c>
      <c r="G157" s="111">
        <f t="shared" si="7"/>
        <v>0</v>
      </c>
      <c r="H157" s="111"/>
      <c r="I157" s="97">
        <f t="shared" si="18"/>
        <v>0</v>
      </c>
      <c r="J157" s="97">
        <f t="shared" si="8"/>
        <v>0</v>
      </c>
      <c r="K157" s="97">
        <f t="shared" si="9"/>
        <v>0</v>
      </c>
      <c r="L157" s="97">
        <f t="shared" si="10"/>
        <v>0</v>
      </c>
      <c r="M157" s="97">
        <f t="shared" si="11"/>
        <v>0</v>
      </c>
      <c r="N157" s="111"/>
      <c r="O157" s="110"/>
      <c r="P157" s="112">
        <f t="shared" si="12"/>
        <v>0</v>
      </c>
      <c r="Q157" s="106">
        <f>BASE!A161</f>
        <v>146</v>
      </c>
      <c r="R157" s="97">
        <f t="shared" si="13"/>
        <v>0</v>
      </c>
      <c r="S157" s="97">
        <f t="shared" si="14"/>
        <v>0</v>
      </c>
      <c r="T157" s="97">
        <f t="shared" si="15"/>
        <v>0</v>
      </c>
      <c r="U157" s="97">
        <f t="shared" si="16"/>
        <v>0</v>
      </c>
      <c r="V157" s="97">
        <f t="shared" si="17"/>
        <v>0</v>
      </c>
      <c r="W157" s="161"/>
      <c r="X157" s="161"/>
    </row>
    <row r="158" spans="1:24" ht="20.25" customHeight="1">
      <c r="A158" s="110" t="str">
        <f>+BASE!B162</f>
        <v>23XXR147</v>
      </c>
      <c r="B158" s="106" t="s">
        <v>40</v>
      </c>
      <c r="C158" s="111">
        <f t="shared" si="3"/>
        <v>0</v>
      </c>
      <c r="D158" s="111">
        <f t="shared" si="4"/>
        <v>0</v>
      </c>
      <c r="E158" s="111">
        <f t="shared" si="5"/>
        <v>0</v>
      </c>
      <c r="F158" s="111">
        <f t="shared" si="6"/>
        <v>0</v>
      </c>
      <c r="G158" s="111">
        <f t="shared" si="7"/>
        <v>0</v>
      </c>
      <c r="H158" s="111"/>
      <c r="I158" s="97">
        <f t="shared" si="18"/>
        <v>0</v>
      </c>
      <c r="J158" s="97">
        <f t="shared" si="8"/>
        <v>0</v>
      </c>
      <c r="K158" s="97">
        <f t="shared" si="9"/>
        <v>0</v>
      </c>
      <c r="L158" s="97">
        <f t="shared" si="10"/>
        <v>0</v>
      </c>
      <c r="M158" s="97">
        <f t="shared" si="11"/>
        <v>0</v>
      </c>
      <c r="N158" s="111"/>
      <c r="O158" s="110"/>
      <c r="P158" s="112">
        <f t="shared" si="12"/>
        <v>0</v>
      </c>
      <c r="Q158" s="106">
        <f>BASE!A162</f>
        <v>147</v>
      </c>
      <c r="R158" s="97">
        <f t="shared" si="13"/>
        <v>0</v>
      </c>
      <c r="S158" s="97">
        <f t="shared" si="14"/>
        <v>0</v>
      </c>
      <c r="T158" s="97">
        <f t="shared" si="15"/>
        <v>0</v>
      </c>
      <c r="U158" s="97">
        <f t="shared" si="16"/>
        <v>0</v>
      </c>
      <c r="V158" s="97">
        <f t="shared" si="17"/>
        <v>0</v>
      </c>
      <c r="W158" s="161"/>
      <c r="X158" s="161"/>
    </row>
    <row r="159" spans="1:24" ht="20.25" customHeight="1">
      <c r="A159" s="110" t="str">
        <f>+BASE!B163</f>
        <v>23XXR148</v>
      </c>
      <c r="B159" s="106" t="s">
        <v>40</v>
      </c>
      <c r="C159" s="111">
        <f t="shared" si="3"/>
        <v>0</v>
      </c>
      <c r="D159" s="111">
        <f t="shared" si="4"/>
        <v>0</v>
      </c>
      <c r="E159" s="111">
        <f t="shared" si="5"/>
        <v>0</v>
      </c>
      <c r="F159" s="111">
        <f t="shared" si="6"/>
        <v>0</v>
      </c>
      <c r="G159" s="111">
        <f t="shared" si="7"/>
        <v>0</v>
      </c>
      <c r="H159" s="111"/>
      <c r="I159" s="97">
        <f t="shared" si="18"/>
        <v>0</v>
      </c>
      <c r="J159" s="97">
        <f t="shared" si="8"/>
        <v>0</v>
      </c>
      <c r="K159" s="97">
        <f t="shared" si="9"/>
        <v>0</v>
      </c>
      <c r="L159" s="97">
        <f t="shared" si="10"/>
        <v>0</v>
      </c>
      <c r="M159" s="97">
        <f t="shared" si="11"/>
        <v>0</v>
      </c>
      <c r="N159" s="111"/>
      <c r="O159" s="110"/>
      <c r="P159" s="112">
        <f t="shared" si="12"/>
        <v>0</v>
      </c>
      <c r="Q159" s="106">
        <f>BASE!A163</f>
        <v>148</v>
      </c>
      <c r="R159" s="97">
        <f t="shared" si="13"/>
        <v>0</v>
      </c>
      <c r="S159" s="97">
        <f t="shared" si="14"/>
        <v>0</v>
      </c>
      <c r="T159" s="97">
        <f t="shared" si="15"/>
        <v>0</v>
      </c>
      <c r="U159" s="97">
        <f t="shared" si="16"/>
        <v>0</v>
      </c>
      <c r="V159" s="97">
        <f t="shared" si="17"/>
        <v>0</v>
      </c>
      <c r="W159" s="161"/>
      <c r="X159" s="161"/>
    </row>
    <row r="160" spans="1:24" ht="20.25" customHeight="1">
      <c r="A160" s="110" t="str">
        <f>+BASE!B164</f>
        <v>23XXR149</v>
      </c>
      <c r="B160" s="106" t="s">
        <v>40</v>
      </c>
      <c r="C160" s="111">
        <f t="shared" si="3"/>
        <v>0</v>
      </c>
      <c r="D160" s="111">
        <f t="shared" si="4"/>
        <v>0</v>
      </c>
      <c r="E160" s="111">
        <f t="shared" si="5"/>
        <v>0</v>
      </c>
      <c r="F160" s="111">
        <f t="shared" si="6"/>
        <v>0</v>
      </c>
      <c r="G160" s="111">
        <f t="shared" si="7"/>
        <v>0</v>
      </c>
      <c r="H160" s="111"/>
      <c r="I160" s="97">
        <f t="shared" si="18"/>
        <v>0</v>
      </c>
      <c r="J160" s="97">
        <f t="shared" si="8"/>
        <v>0</v>
      </c>
      <c r="K160" s="97">
        <f t="shared" si="9"/>
        <v>0</v>
      </c>
      <c r="L160" s="97">
        <f t="shared" si="10"/>
        <v>0</v>
      </c>
      <c r="M160" s="97">
        <f t="shared" si="11"/>
        <v>0</v>
      </c>
      <c r="N160" s="111"/>
      <c r="O160" s="110"/>
      <c r="P160" s="112">
        <f t="shared" si="12"/>
        <v>0</v>
      </c>
      <c r="Q160" s="106">
        <f>BASE!A164</f>
        <v>149</v>
      </c>
      <c r="R160" s="97">
        <f t="shared" si="13"/>
        <v>0</v>
      </c>
      <c r="S160" s="97">
        <f t="shared" si="14"/>
        <v>0</v>
      </c>
      <c r="T160" s="97">
        <f t="shared" si="15"/>
        <v>0</v>
      </c>
      <c r="U160" s="97">
        <f t="shared" si="16"/>
        <v>0</v>
      </c>
      <c r="V160" s="97">
        <f t="shared" si="17"/>
        <v>0</v>
      </c>
      <c r="W160" s="161"/>
      <c r="X160" s="161"/>
    </row>
    <row r="161" spans="1:24" ht="20.25" customHeight="1">
      <c r="A161" s="110" t="str">
        <f>+BASE!B165</f>
        <v>23XXR150</v>
      </c>
      <c r="B161" s="106" t="s">
        <v>40</v>
      </c>
      <c r="C161" s="111">
        <f t="shared" si="3"/>
        <v>0</v>
      </c>
      <c r="D161" s="111">
        <f t="shared" si="4"/>
        <v>0</v>
      </c>
      <c r="E161" s="111">
        <f t="shared" si="5"/>
        <v>0</v>
      </c>
      <c r="F161" s="111">
        <f t="shared" si="6"/>
        <v>0</v>
      </c>
      <c r="G161" s="111">
        <f t="shared" si="7"/>
        <v>0</v>
      </c>
      <c r="H161" s="111"/>
      <c r="I161" s="97">
        <f t="shared" si="18"/>
        <v>0</v>
      </c>
      <c r="J161" s="97">
        <f t="shared" si="8"/>
        <v>0</v>
      </c>
      <c r="K161" s="97">
        <f t="shared" si="9"/>
        <v>0</v>
      </c>
      <c r="L161" s="97">
        <f t="shared" si="10"/>
        <v>0</v>
      </c>
      <c r="M161" s="97">
        <f t="shared" si="11"/>
        <v>0</v>
      </c>
      <c r="N161" s="111"/>
      <c r="O161" s="110"/>
      <c r="P161" s="112">
        <f t="shared" si="12"/>
        <v>0</v>
      </c>
      <c r="Q161" s="106">
        <f>BASE!A165</f>
        <v>150</v>
      </c>
      <c r="R161" s="97">
        <f t="shared" si="13"/>
        <v>0</v>
      </c>
      <c r="S161" s="97">
        <f t="shared" si="14"/>
        <v>0</v>
      </c>
      <c r="T161" s="97">
        <f t="shared" si="15"/>
        <v>0</v>
      </c>
      <c r="U161" s="97">
        <f t="shared" si="16"/>
        <v>0</v>
      </c>
      <c r="V161" s="97">
        <f t="shared" si="17"/>
        <v>0</v>
      </c>
      <c r="W161" s="161"/>
      <c r="X161" s="161"/>
    </row>
    <row r="162" spans="1:24" ht="17.25" customHeight="1">
      <c r="A162" s="110" t="str">
        <f>+BASE!B166</f>
        <v>23XXR151</v>
      </c>
      <c r="B162" s="106" t="s">
        <v>40</v>
      </c>
      <c r="C162" s="111">
        <f t="shared" si="3"/>
        <v>0</v>
      </c>
      <c r="D162" s="111">
        <f t="shared" si="4"/>
        <v>0</v>
      </c>
      <c r="E162" s="111">
        <f t="shared" si="5"/>
        <v>0</v>
      </c>
      <c r="F162" s="111">
        <f t="shared" si="6"/>
        <v>0</v>
      </c>
      <c r="G162" s="111">
        <f t="shared" si="7"/>
        <v>0</v>
      </c>
      <c r="H162" s="111"/>
      <c r="I162" s="97">
        <f t="shared" si="18"/>
        <v>0</v>
      </c>
      <c r="J162" s="97">
        <f t="shared" si="8"/>
        <v>0</v>
      </c>
      <c r="K162" s="97">
        <f t="shared" si="9"/>
        <v>0</v>
      </c>
      <c r="L162" s="97">
        <f t="shared" si="10"/>
        <v>0</v>
      </c>
      <c r="M162" s="97">
        <f t="shared" si="11"/>
        <v>0</v>
      </c>
      <c r="N162" s="111"/>
      <c r="O162" s="110"/>
      <c r="P162" s="112">
        <f t="shared" si="12"/>
        <v>0</v>
      </c>
      <c r="Q162" s="106">
        <f>BASE!A166</f>
        <v>151</v>
      </c>
      <c r="R162" s="97">
        <f t="shared" si="13"/>
        <v>0</v>
      </c>
      <c r="S162" s="97">
        <f t="shared" si="14"/>
        <v>0</v>
      </c>
      <c r="T162" s="97">
        <f t="shared" si="15"/>
        <v>0</v>
      </c>
      <c r="U162" s="97">
        <f t="shared" si="16"/>
        <v>0</v>
      </c>
      <c r="V162" s="97">
        <f t="shared" si="17"/>
        <v>0</v>
      </c>
      <c r="W162" s="161"/>
      <c r="X162" s="161"/>
    </row>
    <row r="163" spans="1:24" ht="17.25" customHeight="1">
      <c r="A163" s="110" t="str">
        <f>+BASE!B167</f>
        <v>23XXR152</v>
      </c>
      <c r="B163" s="106" t="s">
        <v>40</v>
      </c>
      <c r="C163" s="111">
        <f t="shared" si="3"/>
        <v>0</v>
      </c>
      <c r="D163" s="111">
        <f t="shared" si="4"/>
        <v>0</v>
      </c>
      <c r="E163" s="111">
        <f t="shared" si="5"/>
        <v>0</v>
      </c>
      <c r="F163" s="111">
        <f t="shared" si="6"/>
        <v>0</v>
      </c>
      <c r="G163" s="111">
        <f t="shared" si="7"/>
        <v>0</v>
      </c>
      <c r="H163" s="111"/>
      <c r="I163" s="97">
        <f t="shared" si="18"/>
        <v>0</v>
      </c>
      <c r="J163" s="97">
        <f t="shared" si="8"/>
        <v>0</v>
      </c>
      <c r="K163" s="97">
        <f t="shared" si="9"/>
        <v>0</v>
      </c>
      <c r="L163" s="97">
        <f t="shared" si="10"/>
        <v>0</v>
      </c>
      <c r="M163" s="97">
        <f t="shared" si="11"/>
        <v>0</v>
      </c>
      <c r="N163" s="111"/>
      <c r="O163" s="110"/>
      <c r="P163" s="112">
        <f t="shared" si="12"/>
        <v>0</v>
      </c>
      <c r="Q163" s="106">
        <f>BASE!A167</f>
        <v>152</v>
      </c>
      <c r="R163" s="97">
        <f t="shared" si="13"/>
        <v>0</v>
      </c>
      <c r="S163" s="97">
        <f t="shared" si="14"/>
        <v>0</v>
      </c>
      <c r="T163" s="97">
        <f t="shared" si="15"/>
        <v>0</v>
      </c>
      <c r="U163" s="97">
        <f t="shared" si="16"/>
        <v>0</v>
      </c>
      <c r="V163" s="97">
        <f t="shared" si="17"/>
        <v>0</v>
      </c>
      <c r="W163" s="161"/>
      <c r="X163" s="161"/>
    </row>
    <row r="164" spans="1:24" ht="17.25" customHeight="1">
      <c r="A164" s="110" t="str">
        <f>+BASE!B168</f>
        <v>23XXR153</v>
      </c>
      <c r="B164" s="106" t="s">
        <v>40</v>
      </c>
      <c r="C164" s="111">
        <f t="shared" si="3"/>
        <v>0</v>
      </c>
      <c r="D164" s="111">
        <f t="shared" si="4"/>
        <v>0</v>
      </c>
      <c r="E164" s="111">
        <f t="shared" si="5"/>
        <v>0</v>
      </c>
      <c r="F164" s="111">
        <f t="shared" si="6"/>
        <v>0</v>
      </c>
      <c r="G164" s="111">
        <f t="shared" si="7"/>
        <v>0</v>
      </c>
      <c r="H164" s="111"/>
      <c r="I164" s="97">
        <f t="shared" si="18"/>
        <v>0</v>
      </c>
      <c r="J164" s="97">
        <f t="shared" si="8"/>
        <v>0</v>
      </c>
      <c r="K164" s="97">
        <f t="shared" si="9"/>
        <v>0</v>
      </c>
      <c r="L164" s="97">
        <f t="shared" si="10"/>
        <v>0</v>
      </c>
      <c r="M164" s="97">
        <f t="shared" si="11"/>
        <v>0</v>
      </c>
      <c r="N164" s="111"/>
      <c r="O164" s="110"/>
      <c r="P164" s="112">
        <f t="shared" si="12"/>
        <v>0</v>
      </c>
      <c r="Q164" s="106">
        <f>BASE!A168</f>
        <v>153</v>
      </c>
      <c r="R164" s="97">
        <f t="shared" si="13"/>
        <v>0</v>
      </c>
      <c r="S164" s="97">
        <f t="shared" si="14"/>
        <v>0</v>
      </c>
      <c r="T164" s="97">
        <f t="shared" si="15"/>
        <v>0</v>
      </c>
      <c r="U164" s="97">
        <f t="shared" si="16"/>
        <v>0</v>
      </c>
      <c r="V164" s="97">
        <f t="shared" si="17"/>
        <v>0</v>
      </c>
      <c r="W164" s="161"/>
      <c r="X164" s="161"/>
    </row>
    <row r="165" spans="1:24" ht="17.25" customHeight="1">
      <c r="A165" s="110" t="str">
        <f>+BASE!B169</f>
        <v>23XXR154</v>
      </c>
      <c r="B165" s="106" t="s">
        <v>40</v>
      </c>
      <c r="C165" s="111">
        <f t="shared" si="3"/>
        <v>0</v>
      </c>
      <c r="D165" s="111">
        <f t="shared" si="4"/>
        <v>0</v>
      </c>
      <c r="E165" s="111">
        <f t="shared" si="5"/>
        <v>0</v>
      </c>
      <c r="F165" s="111">
        <f t="shared" si="6"/>
        <v>0</v>
      </c>
      <c r="G165" s="111">
        <f t="shared" si="7"/>
        <v>0</v>
      </c>
      <c r="H165" s="111"/>
      <c r="I165" s="97">
        <f t="shared" si="18"/>
        <v>0</v>
      </c>
      <c r="J165" s="97">
        <f t="shared" si="8"/>
        <v>0</v>
      </c>
      <c r="K165" s="97">
        <f t="shared" si="9"/>
        <v>0</v>
      </c>
      <c r="L165" s="97">
        <f t="shared" si="10"/>
        <v>0</v>
      </c>
      <c r="M165" s="97">
        <f t="shared" si="11"/>
        <v>0</v>
      </c>
      <c r="N165" s="111"/>
      <c r="O165" s="110"/>
      <c r="P165" s="112">
        <f t="shared" si="12"/>
        <v>0</v>
      </c>
      <c r="Q165" s="106">
        <f>BASE!A169</f>
        <v>154</v>
      </c>
      <c r="R165" s="97">
        <f t="shared" si="13"/>
        <v>0</v>
      </c>
      <c r="S165" s="97">
        <f t="shared" si="14"/>
        <v>0</v>
      </c>
      <c r="T165" s="97">
        <f t="shared" si="15"/>
        <v>0</v>
      </c>
      <c r="U165" s="97">
        <f t="shared" si="16"/>
        <v>0</v>
      </c>
      <c r="V165" s="97">
        <f t="shared" si="17"/>
        <v>0</v>
      </c>
      <c r="W165" s="161"/>
      <c r="X165" s="161"/>
    </row>
    <row r="166" spans="1:24" ht="17.25" customHeight="1">
      <c r="A166" s="110" t="str">
        <f>+BASE!B170</f>
        <v>23XXR155</v>
      </c>
      <c r="B166" s="106" t="s">
        <v>40</v>
      </c>
      <c r="C166" s="111">
        <f t="shared" si="3"/>
        <v>0</v>
      </c>
      <c r="D166" s="111">
        <f t="shared" si="4"/>
        <v>0</v>
      </c>
      <c r="E166" s="111">
        <f t="shared" si="5"/>
        <v>0</v>
      </c>
      <c r="F166" s="111">
        <f t="shared" si="6"/>
        <v>0</v>
      </c>
      <c r="G166" s="111">
        <f t="shared" si="7"/>
        <v>0</v>
      </c>
      <c r="H166" s="111"/>
      <c r="I166" s="97">
        <f t="shared" si="18"/>
        <v>0</v>
      </c>
      <c r="J166" s="97">
        <f t="shared" si="8"/>
        <v>0</v>
      </c>
      <c r="K166" s="97">
        <f t="shared" si="9"/>
        <v>0</v>
      </c>
      <c r="L166" s="97">
        <f t="shared" si="10"/>
        <v>0</v>
      </c>
      <c r="M166" s="97">
        <f t="shared" si="11"/>
        <v>0</v>
      </c>
      <c r="N166" s="111"/>
      <c r="O166" s="110"/>
      <c r="P166" s="112">
        <f t="shared" si="12"/>
        <v>0</v>
      </c>
      <c r="Q166" s="106">
        <f>BASE!A170</f>
        <v>155</v>
      </c>
      <c r="R166" s="97">
        <f t="shared" si="13"/>
        <v>0</v>
      </c>
      <c r="S166" s="97">
        <f t="shared" si="14"/>
        <v>0</v>
      </c>
      <c r="T166" s="97">
        <f t="shared" si="15"/>
        <v>0</v>
      </c>
      <c r="U166" s="97">
        <f t="shared" si="16"/>
        <v>0</v>
      </c>
      <c r="V166" s="97">
        <f t="shared" si="17"/>
        <v>0</v>
      </c>
      <c r="W166" s="161"/>
      <c r="X166" s="161"/>
    </row>
    <row r="167" spans="1:24" ht="17.25" customHeight="1">
      <c r="A167" s="110" t="str">
        <f>+BASE!B171</f>
        <v>23XXR156</v>
      </c>
      <c r="B167" s="106" t="s">
        <v>40</v>
      </c>
      <c r="C167" s="111">
        <f t="shared" si="3"/>
        <v>0</v>
      </c>
      <c r="D167" s="111">
        <f t="shared" si="4"/>
        <v>0</v>
      </c>
      <c r="E167" s="111">
        <f t="shared" si="5"/>
        <v>0</v>
      </c>
      <c r="F167" s="111">
        <f t="shared" si="6"/>
        <v>0</v>
      </c>
      <c r="G167" s="111">
        <f t="shared" si="7"/>
        <v>0</v>
      </c>
      <c r="H167" s="111"/>
      <c r="I167" s="97">
        <f t="shared" si="18"/>
        <v>0</v>
      </c>
      <c r="J167" s="97">
        <f t="shared" si="8"/>
        <v>0</v>
      </c>
      <c r="K167" s="97">
        <f t="shared" si="9"/>
        <v>0</v>
      </c>
      <c r="L167" s="97">
        <f t="shared" si="10"/>
        <v>0</v>
      </c>
      <c r="M167" s="97">
        <f t="shared" si="11"/>
        <v>0</v>
      </c>
      <c r="N167" s="111"/>
      <c r="O167" s="110"/>
      <c r="P167" s="112">
        <f t="shared" si="12"/>
        <v>0</v>
      </c>
      <c r="Q167" s="106">
        <f>BASE!A171</f>
        <v>156</v>
      </c>
      <c r="R167" s="97">
        <f t="shared" si="13"/>
        <v>0</v>
      </c>
      <c r="S167" s="97">
        <f t="shared" si="14"/>
        <v>0</v>
      </c>
      <c r="T167" s="97">
        <f t="shared" si="15"/>
        <v>0</v>
      </c>
      <c r="U167" s="97">
        <f t="shared" si="16"/>
        <v>0</v>
      </c>
      <c r="V167" s="97">
        <f t="shared" si="17"/>
        <v>0</v>
      </c>
      <c r="W167" s="161"/>
      <c r="X167" s="161"/>
    </row>
    <row r="168" spans="1:24" ht="17.25" customHeight="1">
      <c r="A168" s="110" t="str">
        <f>+BASE!B172</f>
        <v>23XXR157</v>
      </c>
      <c r="B168" s="106" t="s">
        <v>40</v>
      </c>
      <c r="C168" s="111">
        <f t="shared" si="3"/>
        <v>0</v>
      </c>
      <c r="D168" s="111">
        <f t="shared" si="4"/>
        <v>0</v>
      </c>
      <c r="E168" s="111">
        <f t="shared" si="5"/>
        <v>0</v>
      </c>
      <c r="F168" s="111">
        <f t="shared" si="6"/>
        <v>0</v>
      </c>
      <c r="G168" s="111">
        <f t="shared" si="7"/>
        <v>0</v>
      </c>
      <c r="H168" s="111"/>
      <c r="I168" s="97">
        <f t="shared" si="18"/>
        <v>0</v>
      </c>
      <c r="J168" s="97">
        <f t="shared" si="8"/>
        <v>0</v>
      </c>
      <c r="K168" s="97">
        <f t="shared" si="9"/>
        <v>0</v>
      </c>
      <c r="L168" s="97">
        <f t="shared" si="10"/>
        <v>0</v>
      </c>
      <c r="M168" s="97">
        <f t="shared" si="11"/>
        <v>0</v>
      </c>
      <c r="N168" s="111"/>
      <c r="O168" s="110"/>
      <c r="P168" s="112">
        <f t="shared" si="12"/>
        <v>0</v>
      </c>
      <c r="Q168" s="106">
        <f>BASE!A172</f>
        <v>157</v>
      </c>
      <c r="R168" s="97">
        <f t="shared" si="13"/>
        <v>0</v>
      </c>
      <c r="S168" s="97">
        <f t="shared" si="14"/>
        <v>0</v>
      </c>
      <c r="T168" s="97">
        <f t="shared" si="15"/>
        <v>0</v>
      </c>
      <c r="U168" s="97">
        <f t="shared" si="16"/>
        <v>0</v>
      </c>
      <c r="V168" s="97">
        <f t="shared" si="17"/>
        <v>0</v>
      </c>
      <c r="W168" s="161"/>
      <c r="X168" s="161"/>
    </row>
    <row r="169" spans="1:24" ht="17.25" customHeight="1">
      <c r="A169" s="110" t="str">
        <f>+BASE!B173</f>
        <v>23XXR158</v>
      </c>
      <c r="B169" s="106" t="s">
        <v>40</v>
      </c>
      <c r="C169" s="111">
        <f t="shared" si="3"/>
        <v>0</v>
      </c>
      <c r="D169" s="111">
        <f t="shared" si="4"/>
        <v>0</v>
      </c>
      <c r="E169" s="111">
        <f t="shared" si="5"/>
        <v>0</v>
      </c>
      <c r="F169" s="111">
        <f t="shared" si="6"/>
        <v>0</v>
      </c>
      <c r="G169" s="111">
        <f t="shared" si="7"/>
        <v>0</v>
      </c>
      <c r="H169" s="111"/>
      <c r="I169" s="97">
        <f t="shared" si="18"/>
        <v>0</v>
      </c>
      <c r="J169" s="97">
        <f t="shared" si="8"/>
        <v>0</v>
      </c>
      <c r="K169" s="97">
        <f t="shared" si="9"/>
        <v>0</v>
      </c>
      <c r="L169" s="97">
        <f t="shared" si="10"/>
        <v>0</v>
      </c>
      <c r="M169" s="97">
        <f t="shared" si="11"/>
        <v>0</v>
      </c>
      <c r="N169" s="111"/>
      <c r="O169" s="110"/>
      <c r="P169" s="112">
        <f t="shared" si="12"/>
        <v>0</v>
      </c>
      <c r="Q169" s="106">
        <f>BASE!A173</f>
        <v>158</v>
      </c>
      <c r="R169" s="97">
        <f t="shared" si="13"/>
        <v>0</v>
      </c>
      <c r="S169" s="97">
        <f t="shared" si="14"/>
        <v>0</v>
      </c>
      <c r="T169" s="97">
        <f t="shared" si="15"/>
        <v>0</v>
      </c>
      <c r="U169" s="97">
        <f t="shared" si="16"/>
        <v>0</v>
      </c>
      <c r="V169" s="97">
        <f t="shared" si="17"/>
        <v>0</v>
      </c>
      <c r="W169" s="161"/>
      <c r="X169" s="161"/>
    </row>
    <row r="170" spans="1:24" ht="17.25" customHeight="1">
      <c r="A170" s="110" t="str">
        <f>+BASE!B174</f>
        <v>23XXR159</v>
      </c>
      <c r="B170" s="106" t="s">
        <v>40</v>
      </c>
      <c r="C170" s="111">
        <f t="shared" si="3"/>
        <v>0</v>
      </c>
      <c r="D170" s="111">
        <f t="shared" si="4"/>
        <v>0</v>
      </c>
      <c r="E170" s="111">
        <f t="shared" si="5"/>
        <v>0</v>
      </c>
      <c r="F170" s="111">
        <f t="shared" si="6"/>
        <v>0</v>
      </c>
      <c r="G170" s="111">
        <f t="shared" si="7"/>
        <v>0</v>
      </c>
      <c r="H170" s="111"/>
      <c r="I170" s="97">
        <f t="shared" si="18"/>
        <v>0</v>
      </c>
      <c r="J170" s="97">
        <f t="shared" si="8"/>
        <v>0</v>
      </c>
      <c r="K170" s="97">
        <f t="shared" si="9"/>
        <v>0</v>
      </c>
      <c r="L170" s="97">
        <f t="shared" si="10"/>
        <v>0</v>
      </c>
      <c r="M170" s="97">
        <f t="shared" si="11"/>
        <v>0</v>
      </c>
      <c r="N170" s="111"/>
      <c r="O170" s="110"/>
      <c r="P170" s="112">
        <f t="shared" si="12"/>
        <v>0</v>
      </c>
      <c r="Q170" s="106">
        <f>BASE!A174</f>
        <v>159</v>
      </c>
      <c r="R170" s="97">
        <f t="shared" si="13"/>
        <v>0</v>
      </c>
      <c r="S170" s="97">
        <f t="shared" si="14"/>
        <v>0</v>
      </c>
      <c r="T170" s="97">
        <f t="shared" si="15"/>
        <v>0</v>
      </c>
      <c r="U170" s="97">
        <f t="shared" si="16"/>
        <v>0</v>
      </c>
      <c r="V170" s="97">
        <f t="shared" si="17"/>
        <v>0</v>
      </c>
      <c r="W170" s="161"/>
      <c r="X170" s="161"/>
    </row>
    <row r="171" spans="1:24" ht="17.25" customHeight="1">
      <c r="A171" s="110" t="str">
        <f>+BASE!B175</f>
        <v>23XXR160</v>
      </c>
      <c r="B171" s="106" t="s">
        <v>40</v>
      </c>
      <c r="C171" s="111">
        <f t="shared" si="3"/>
        <v>0</v>
      </c>
      <c r="D171" s="111">
        <f t="shared" si="4"/>
        <v>0</v>
      </c>
      <c r="E171" s="111">
        <f t="shared" si="5"/>
        <v>0</v>
      </c>
      <c r="F171" s="111">
        <f t="shared" si="6"/>
        <v>0</v>
      </c>
      <c r="G171" s="111">
        <f t="shared" si="7"/>
        <v>0</v>
      </c>
      <c r="H171" s="111"/>
      <c r="I171" s="97">
        <f t="shared" si="18"/>
        <v>0</v>
      </c>
      <c r="J171" s="97">
        <f t="shared" si="8"/>
        <v>0</v>
      </c>
      <c r="K171" s="97">
        <f t="shared" si="9"/>
        <v>0</v>
      </c>
      <c r="L171" s="97">
        <f t="shared" si="10"/>
        <v>0</v>
      </c>
      <c r="M171" s="97">
        <f t="shared" si="11"/>
        <v>0</v>
      </c>
      <c r="N171" s="111"/>
      <c r="O171" s="110"/>
      <c r="P171" s="112">
        <f t="shared" si="12"/>
        <v>0</v>
      </c>
      <c r="Q171" s="106">
        <f>BASE!A175</f>
        <v>160</v>
      </c>
      <c r="R171" s="97">
        <f t="shared" si="13"/>
        <v>0</v>
      </c>
      <c r="S171" s="97">
        <f t="shared" si="14"/>
        <v>0</v>
      </c>
      <c r="T171" s="97">
        <f t="shared" si="15"/>
        <v>0</v>
      </c>
      <c r="U171" s="97">
        <f t="shared" si="16"/>
        <v>0</v>
      </c>
      <c r="V171" s="97">
        <f t="shared" si="17"/>
        <v>0</v>
      </c>
      <c r="W171" s="161"/>
      <c r="X171" s="161"/>
    </row>
    <row r="172" spans="1:24" ht="17.25" customHeight="1">
      <c r="A172" s="110" t="str">
        <f>+BASE!B176</f>
        <v>23XXR161</v>
      </c>
      <c r="B172" s="106" t="s">
        <v>40</v>
      </c>
      <c r="C172" s="111">
        <f t="shared" si="3"/>
        <v>0</v>
      </c>
      <c r="D172" s="111">
        <f t="shared" si="4"/>
        <v>0</v>
      </c>
      <c r="E172" s="111">
        <f t="shared" si="5"/>
        <v>0</v>
      </c>
      <c r="F172" s="111">
        <f t="shared" si="6"/>
        <v>0</v>
      </c>
      <c r="G172" s="111">
        <f t="shared" si="7"/>
        <v>0</v>
      </c>
      <c r="H172" s="111"/>
      <c r="I172" s="97">
        <f t="shared" si="18"/>
        <v>0</v>
      </c>
      <c r="J172" s="97">
        <f t="shared" si="8"/>
        <v>0</v>
      </c>
      <c r="K172" s="97">
        <f t="shared" si="9"/>
        <v>0</v>
      </c>
      <c r="L172" s="97">
        <f t="shared" si="10"/>
        <v>0</v>
      </c>
      <c r="M172" s="97">
        <f t="shared" si="11"/>
        <v>0</v>
      </c>
      <c r="N172" s="111"/>
      <c r="O172" s="110"/>
      <c r="P172" s="112">
        <f t="shared" si="12"/>
        <v>0</v>
      </c>
      <c r="Q172" s="106">
        <f>BASE!A176</f>
        <v>161</v>
      </c>
      <c r="R172" s="97">
        <f t="shared" si="13"/>
        <v>0</v>
      </c>
      <c r="S172" s="97">
        <f t="shared" si="14"/>
        <v>0</v>
      </c>
      <c r="T172" s="97">
        <f t="shared" si="15"/>
        <v>0</v>
      </c>
      <c r="U172" s="97">
        <f t="shared" si="16"/>
        <v>0</v>
      </c>
      <c r="V172" s="97">
        <f t="shared" si="17"/>
        <v>0</v>
      </c>
      <c r="W172" s="161"/>
      <c r="X172" s="161"/>
    </row>
    <row r="173" spans="1:24" ht="17.25" customHeight="1">
      <c r="A173" s="110" t="str">
        <f>+BASE!B177</f>
        <v>23XXR162</v>
      </c>
      <c r="B173" s="106" t="s">
        <v>40</v>
      </c>
      <c r="C173" s="111">
        <f t="shared" si="3"/>
        <v>0</v>
      </c>
      <c r="D173" s="111">
        <f t="shared" si="4"/>
        <v>0</v>
      </c>
      <c r="E173" s="111">
        <f t="shared" si="5"/>
        <v>0</v>
      </c>
      <c r="F173" s="111">
        <f t="shared" si="6"/>
        <v>0</v>
      </c>
      <c r="G173" s="111">
        <f t="shared" si="7"/>
        <v>0</v>
      </c>
      <c r="H173" s="111"/>
      <c r="I173" s="97">
        <f t="shared" si="18"/>
        <v>0</v>
      </c>
      <c r="J173" s="97">
        <f t="shared" si="8"/>
        <v>0</v>
      </c>
      <c r="K173" s="97">
        <f t="shared" si="9"/>
        <v>0</v>
      </c>
      <c r="L173" s="97">
        <f t="shared" si="10"/>
        <v>0</v>
      </c>
      <c r="M173" s="97">
        <f t="shared" si="11"/>
        <v>0</v>
      </c>
      <c r="N173" s="111"/>
      <c r="O173" s="110"/>
      <c r="P173" s="112">
        <f t="shared" si="12"/>
        <v>0</v>
      </c>
      <c r="Q173" s="106">
        <f>BASE!A177</f>
        <v>162</v>
      </c>
      <c r="R173" s="97">
        <f t="shared" si="13"/>
        <v>0</v>
      </c>
      <c r="S173" s="97">
        <f t="shared" si="14"/>
        <v>0</v>
      </c>
      <c r="T173" s="97">
        <f t="shared" si="15"/>
        <v>0</v>
      </c>
      <c r="U173" s="97">
        <f t="shared" si="16"/>
        <v>0</v>
      </c>
      <c r="V173" s="97">
        <f t="shared" si="17"/>
        <v>0</v>
      </c>
      <c r="W173" s="161"/>
      <c r="X173" s="161"/>
    </row>
    <row r="174" spans="1:24" ht="17.25" customHeight="1">
      <c r="A174" s="110" t="str">
        <f>+BASE!B178</f>
        <v>23XXR163</v>
      </c>
      <c r="B174" s="106" t="s">
        <v>40</v>
      </c>
      <c r="C174" s="111">
        <f t="shared" si="3"/>
        <v>0</v>
      </c>
      <c r="D174" s="111">
        <f t="shared" si="4"/>
        <v>0</v>
      </c>
      <c r="E174" s="111">
        <f t="shared" si="5"/>
        <v>0</v>
      </c>
      <c r="F174" s="111">
        <f t="shared" si="6"/>
        <v>0</v>
      </c>
      <c r="G174" s="111">
        <f t="shared" si="7"/>
        <v>0</v>
      </c>
      <c r="H174" s="111"/>
      <c r="I174" s="97">
        <f t="shared" si="18"/>
        <v>0</v>
      </c>
      <c r="J174" s="97">
        <f t="shared" si="8"/>
        <v>0</v>
      </c>
      <c r="K174" s="97">
        <f t="shared" si="9"/>
        <v>0</v>
      </c>
      <c r="L174" s="97">
        <f t="shared" si="10"/>
        <v>0</v>
      </c>
      <c r="M174" s="97">
        <f t="shared" si="11"/>
        <v>0</v>
      </c>
      <c r="N174" s="111"/>
      <c r="O174" s="110"/>
      <c r="P174" s="112">
        <f t="shared" si="12"/>
        <v>0</v>
      </c>
      <c r="Q174" s="106">
        <f>BASE!A178</f>
        <v>163</v>
      </c>
      <c r="R174" s="97">
        <f t="shared" si="13"/>
        <v>0</v>
      </c>
      <c r="S174" s="97">
        <f t="shared" si="14"/>
        <v>0</v>
      </c>
      <c r="T174" s="97">
        <f t="shared" si="15"/>
        <v>0</v>
      </c>
      <c r="U174" s="97">
        <f t="shared" si="16"/>
        <v>0</v>
      </c>
      <c r="V174" s="97">
        <f t="shared" si="17"/>
        <v>0</v>
      </c>
      <c r="W174" s="161"/>
      <c r="X174" s="161"/>
    </row>
    <row r="175" spans="1:24" ht="17.25" customHeight="1">
      <c r="A175" s="110" t="str">
        <f>+BASE!B179</f>
        <v>23XXR164</v>
      </c>
      <c r="B175" s="106" t="s">
        <v>40</v>
      </c>
      <c r="C175" s="111">
        <f t="shared" si="3"/>
        <v>0</v>
      </c>
      <c r="D175" s="111">
        <f t="shared" si="4"/>
        <v>0</v>
      </c>
      <c r="E175" s="111">
        <f t="shared" si="5"/>
        <v>0</v>
      </c>
      <c r="F175" s="111">
        <f t="shared" si="6"/>
        <v>0</v>
      </c>
      <c r="G175" s="111">
        <f t="shared" si="7"/>
        <v>0</v>
      </c>
      <c r="H175" s="111"/>
      <c r="I175" s="97">
        <f t="shared" si="18"/>
        <v>0</v>
      </c>
      <c r="J175" s="97">
        <f t="shared" si="8"/>
        <v>0</v>
      </c>
      <c r="K175" s="97">
        <f t="shared" si="9"/>
        <v>0</v>
      </c>
      <c r="L175" s="97">
        <f t="shared" si="10"/>
        <v>0</v>
      </c>
      <c r="M175" s="97">
        <f t="shared" si="11"/>
        <v>0</v>
      </c>
      <c r="N175" s="111"/>
      <c r="O175" s="110"/>
      <c r="P175" s="112">
        <f t="shared" si="12"/>
        <v>0</v>
      </c>
      <c r="Q175" s="106">
        <f>BASE!A179</f>
        <v>164</v>
      </c>
      <c r="R175" s="97">
        <f t="shared" si="13"/>
        <v>0</v>
      </c>
      <c r="S175" s="97">
        <f t="shared" si="14"/>
        <v>0</v>
      </c>
      <c r="T175" s="97">
        <f t="shared" si="15"/>
        <v>0</v>
      </c>
      <c r="U175" s="97">
        <f t="shared" si="16"/>
        <v>0</v>
      </c>
      <c r="V175" s="97">
        <f t="shared" si="17"/>
        <v>0</v>
      </c>
      <c r="W175" s="161"/>
      <c r="X175" s="161"/>
    </row>
    <row r="176" spans="1:24" ht="17.25" customHeight="1">
      <c r="A176" s="110" t="str">
        <f>+BASE!B180</f>
        <v>23XXR165</v>
      </c>
      <c r="B176" s="106" t="s">
        <v>40</v>
      </c>
      <c r="C176" s="111">
        <f t="shared" si="3"/>
        <v>0</v>
      </c>
      <c r="D176" s="111">
        <f t="shared" si="4"/>
        <v>0</v>
      </c>
      <c r="E176" s="111">
        <f t="shared" si="5"/>
        <v>0</v>
      </c>
      <c r="F176" s="111">
        <f t="shared" si="6"/>
        <v>0</v>
      </c>
      <c r="G176" s="111">
        <f t="shared" si="7"/>
        <v>0</v>
      </c>
      <c r="H176" s="111"/>
      <c r="I176" s="97">
        <f t="shared" si="18"/>
        <v>0</v>
      </c>
      <c r="J176" s="97">
        <f t="shared" si="8"/>
        <v>0</v>
      </c>
      <c r="K176" s="97">
        <f t="shared" si="9"/>
        <v>0</v>
      </c>
      <c r="L176" s="97">
        <f t="shared" si="10"/>
        <v>0</v>
      </c>
      <c r="M176" s="97">
        <f t="shared" si="11"/>
        <v>0</v>
      </c>
      <c r="N176" s="111"/>
      <c r="O176" s="110"/>
      <c r="P176" s="112">
        <f t="shared" si="12"/>
        <v>0</v>
      </c>
      <c r="Q176" s="106">
        <f>BASE!A180</f>
        <v>165</v>
      </c>
      <c r="R176" s="97">
        <f t="shared" si="13"/>
        <v>0</v>
      </c>
      <c r="S176" s="97">
        <f t="shared" si="14"/>
        <v>0</v>
      </c>
      <c r="T176" s="97">
        <f t="shared" si="15"/>
        <v>0</v>
      </c>
      <c r="U176" s="97">
        <f t="shared" si="16"/>
        <v>0</v>
      </c>
      <c r="V176" s="97">
        <f t="shared" si="17"/>
        <v>0</v>
      </c>
      <c r="W176" s="161"/>
      <c r="X176" s="161"/>
    </row>
    <row r="177" spans="1:24" ht="17.25" customHeight="1">
      <c r="A177" s="110" t="str">
        <f>+BASE!B181</f>
        <v>23XXR166</v>
      </c>
      <c r="B177" s="106" t="s">
        <v>40</v>
      </c>
      <c r="C177" s="111">
        <f t="shared" si="3"/>
        <v>0</v>
      </c>
      <c r="D177" s="111">
        <f t="shared" si="4"/>
        <v>0</v>
      </c>
      <c r="E177" s="111">
        <f t="shared" si="5"/>
        <v>0</v>
      </c>
      <c r="F177" s="111">
        <f t="shared" si="6"/>
        <v>0</v>
      </c>
      <c r="G177" s="111">
        <f t="shared" si="7"/>
        <v>0</v>
      </c>
      <c r="H177" s="111"/>
      <c r="I177" s="97">
        <f t="shared" si="18"/>
        <v>0</v>
      </c>
      <c r="J177" s="97">
        <f t="shared" si="8"/>
        <v>0</v>
      </c>
      <c r="K177" s="97">
        <f t="shared" si="9"/>
        <v>0</v>
      </c>
      <c r="L177" s="97">
        <f t="shared" si="10"/>
        <v>0</v>
      </c>
      <c r="M177" s="97">
        <f t="shared" si="11"/>
        <v>0</v>
      </c>
      <c r="N177" s="111"/>
      <c r="O177" s="110"/>
      <c r="P177" s="112">
        <f t="shared" si="12"/>
        <v>0</v>
      </c>
      <c r="Q177" s="106">
        <f>BASE!A181</f>
        <v>166</v>
      </c>
      <c r="R177" s="97">
        <f t="shared" si="13"/>
        <v>0</v>
      </c>
      <c r="S177" s="97">
        <f t="shared" si="14"/>
        <v>0</v>
      </c>
      <c r="T177" s="97">
        <f t="shared" si="15"/>
        <v>0</v>
      </c>
      <c r="U177" s="97">
        <f t="shared" si="16"/>
        <v>0</v>
      </c>
      <c r="V177" s="97">
        <f t="shared" si="17"/>
        <v>0</v>
      </c>
      <c r="W177" s="161"/>
      <c r="X177" s="161"/>
    </row>
    <row r="178" spans="1:24" ht="17.25" customHeight="1">
      <c r="A178" s="110" t="str">
        <f>+BASE!B182</f>
        <v>23XXR167</v>
      </c>
      <c r="B178" s="106" t="s">
        <v>40</v>
      </c>
      <c r="C178" s="111">
        <f t="shared" si="3"/>
        <v>0</v>
      </c>
      <c r="D178" s="111">
        <f t="shared" si="4"/>
        <v>0</v>
      </c>
      <c r="E178" s="111">
        <f t="shared" si="5"/>
        <v>0</v>
      </c>
      <c r="F178" s="111">
        <f t="shared" si="6"/>
        <v>0</v>
      </c>
      <c r="G178" s="111">
        <f t="shared" si="7"/>
        <v>0</v>
      </c>
      <c r="H178" s="111"/>
      <c r="I178" s="97">
        <f t="shared" si="18"/>
        <v>0</v>
      </c>
      <c r="J178" s="97">
        <f t="shared" si="8"/>
        <v>0</v>
      </c>
      <c r="K178" s="97">
        <f t="shared" si="9"/>
        <v>0</v>
      </c>
      <c r="L178" s="97">
        <f t="shared" si="10"/>
        <v>0</v>
      </c>
      <c r="M178" s="97">
        <f t="shared" si="11"/>
        <v>0</v>
      </c>
      <c r="N178" s="111"/>
      <c r="O178" s="110"/>
      <c r="P178" s="112">
        <f t="shared" si="12"/>
        <v>0</v>
      </c>
      <c r="Q178" s="106">
        <f>BASE!A182</f>
        <v>167</v>
      </c>
      <c r="R178" s="97">
        <f t="shared" si="13"/>
        <v>0</v>
      </c>
      <c r="S178" s="97">
        <f t="shared" si="14"/>
        <v>0</v>
      </c>
      <c r="T178" s="97">
        <f t="shared" si="15"/>
        <v>0</v>
      </c>
      <c r="U178" s="97">
        <f t="shared" si="16"/>
        <v>0</v>
      </c>
      <c r="V178" s="97">
        <f t="shared" si="17"/>
        <v>0</v>
      </c>
      <c r="W178" s="161"/>
      <c r="X178" s="161"/>
    </row>
    <row r="179" spans="1:24" ht="17.25" customHeight="1">
      <c r="A179" s="110" t="str">
        <f>+BASE!B183</f>
        <v>23XXR168</v>
      </c>
      <c r="B179" s="106" t="s">
        <v>40</v>
      </c>
      <c r="C179" s="111">
        <f t="shared" si="3"/>
        <v>0</v>
      </c>
      <c r="D179" s="111">
        <f t="shared" si="4"/>
        <v>0</v>
      </c>
      <c r="E179" s="111">
        <f t="shared" si="5"/>
        <v>0</v>
      </c>
      <c r="F179" s="111">
        <f t="shared" si="6"/>
        <v>0</v>
      </c>
      <c r="G179" s="111">
        <f t="shared" si="7"/>
        <v>0</v>
      </c>
      <c r="H179" s="111"/>
      <c r="I179" s="97">
        <f t="shared" si="18"/>
        <v>0</v>
      </c>
      <c r="J179" s="97">
        <f t="shared" si="8"/>
        <v>0</v>
      </c>
      <c r="K179" s="97">
        <f t="shared" si="9"/>
        <v>0</v>
      </c>
      <c r="L179" s="97">
        <f t="shared" si="10"/>
        <v>0</v>
      </c>
      <c r="M179" s="97">
        <f t="shared" si="11"/>
        <v>0</v>
      </c>
      <c r="N179" s="111"/>
      <c r="O179" s="110"/>
      <c r="P179" s="112">
        <f t="shared" si="12"/>
        <v>0</v>
      </c>
      <c r="Q179" s="106">
        <f>BASE!A183</f>
        <v>168</v>
      </c>
      <c r="R179" s="97">
        <f t="shared" si="13"/>
        <v>0</v>
      </c>
      <c r="S179" s="97">
        <f t="shared" si="14"/>
        <v>0</v>
      </c>
      <c r="T179" s="97">
        <f t="shared" si="15"/>
        <v>0</v>
      </c>
      <c r="U179" s="97">
        <f t="shared" si="16"/>
        <v>0</v>
      </c>
      <c r="V179" s="97">
        <f t="shared" si="17"/>
        <v>0</v>
      </c>
      <c r="W179" s="161"/>
      <c r="X179" s="161"/>
    </row>
    <row r="180" spans="1:24" ht="17.25" customHeight="1">
      <c r="A180" s="110" t="str">
        <f>+BASE!B184</f>
        <v>23XXR169</v>
      </c>
      <c r="B180" s="106" t="s">
        <v>40</v>
      </c>
      <c r="C180" s="111">
        <f t="shared" si="3"/>
        <v>0</v>
      </c>
      <c r="D180" s="111">
        <f t="shared" si="4"/>
        <v>0</v>
      </c>
      <c r="E180" s="111">
        <f t="shared" si="5"/>
        <v>0</v>
      </c>
      <c r="F180" s="111">
        <f t="shared" si="6"/>
        <v>0</v>
      </c>
      <c r="G180" s="111">
        <f t="shared" si="7"/>
        <v>0</v>
      </c>
      <c r="H180" s="111"/>
      <c r="I180" s="97">
        <f t="shared" si="18"/>
        <v>0</v>
      </c>
      <c r="J180" s="97">
        <f t="shared" si="8"/>
        <v>0</v>
      </c>
      <c r="K180" s="97">
        <f t="shared" si="9"/>
        <v>0</v>
      </c>
      <c r="L180" s="97">
        <f t="shared" si="10"/>
        <v>0</v>
      </c>
      <c r="M180" s="97">
        <f t="shared" si="11"/>
        <v>0</v>
      </c>
      <c r="N180" s="111"/>
      <c r="O180" s="110"/>
      <c r="P180" s="112">
        <f t="shared" si="12"/>
        <v>0</v>
      </c>
      <c r="Q180" s="106">
        <f>BASE!A184</f>
        <v>169</v>
      </c>
      <c r="R180" s="97">
        <f t="shared" si="13"/>
        <v>0</v>
      </c>
      <c r="S180" s="97">
        <f t="shared" si="14"/>
        <v>0</v>
      </c>
      <c r="T180" s="97">
        <f t="shared" si="15"/>
        <v>0</v>
      </c>
      <c r="U180" s="97">
        <f t="shared" si="16"/>
        <v>0</v>
      </c>
      <c r="V180" s="97">
        <f t="shared" si="17"/>
        <v>0</v>
      </c>
      <c r="W180" s="161"/>
      <c r="X180" s="161"/>
    </row>
    <row r="181" spans="1:24" ht="17.25" customHeight="1">
      <c r="A181" s="110" t="str">
        <f>+BASE!B185</f>
        <v>23XXR170</v>
      </c>
      <c r="B181" s="106" t="s">
        <v>40</v>
      </c>
      <c r="C181" s="111">
        <f t="shared" si="3"/>
        <v>0</v>
      </c>
      <c r="D181" s="111">
        <f t="shared" si="4"/>
        <v>0</v>
      </c>
      <c r="E181" s="111">
        <f t="shared" si="5"/>
        <v>0</v>
      </c>
      <c r="F181" s="111">
        <f t="shared" si="6"/>
        <v>0</v>
      </c>
      <c r="G181" s="111">
        <f t="shared" si="7"/>
        <v>0</v>
      </c>
      <c r="H181" s="111"/>
      <c r="I181" s="97">
        <f t="shared" si="18"/>
        <v>0</v>
      </c>
      <c r="J181" s="97">
        <f t="shared" si="8"/>
        <v>0</v>
      </c>
      <c r="K181" s="97">
        <f t="shared" si="9"/>
        <v>0</v>
      </c>
      <c r="L181" s="97">
        <f t="shared" si="10"/>
        <v>0</v>
      </c>
      <c r="M181" s="97">
        <f t="shared" si="11"/>
        <v>0</v>
      </c>
      <c r="N181" s="111"/>
      <c r="O181" s="110"/>
      <c r="P181" s="112">
        <f t="shared" si="12"/>
        <v>0</v>
      </c>
      <c r="Q181" s="106">
        <f>BASE!A185</f>
        <v>170</v>
      </c>
      <c r="R181" s="97">
        <f t="shared" si="13"/>
        <v>0</v>
      </c>
      <c r="S181" s="97">
        <f t="shared" si="14"/>
        <v>0</v>
      </c>
      <c r="T181" s="97">
        <f t="shared" si="15"/>
        <v>0</v>
      </c>
      <c r="U181" s="97">
        <f t="shared" si="16"/>
        <v>0</v>
      </c>
      <c r="V181" s="97">
        <f t="shared" si="17"/>
        <v>0</v>
      </c>
      <c r="W181" s="161"/>
      <c r="X181" s="161"/>
    </row>
    <row r="182" spans="1:24" ht="17.25" customHeight="1">
      <c r="A182" s="110" t="str">
        <f>+BASE!B186</f>
        <v>23XXR171</v>
      </c>
      <c r="B182" s="106" t="s">
        <v>40</v>
      </c>
      <c r="C182" s="111">
        <f t="shared" si="3"/>
        <v>0</v>
      </c>
      <c r="D182" s="111">
        <f t="shared" si="4"/>
        <v>0</v>
      </c>
      <c r="E182" s="111">
        <f t="shared" si="5"/>
        <v>0</v>
      </c>
      <c r="F182" s="111">
        <f t="shared" si="6"/>
        <v>0</v>
      </c>
      <c r="G182" s="111">
        <f t="shared" si="7"/>
        <v>0</v>
      </c>
      <c r="H182" s="111"/>
      <c r="I182" s="97">
        <f t="shared" si="18"/>
        <v>0</v>
      </c>
      <c r="J182" s="97">
        <f t="shared" si="8"/>
        <v>0</v>
      </c>
      <c r="K182" s="97">
        <f t="shared" si="9"/>
        <v>0</v>
      </c>
      <c r="L182" s="97">
        <f t="shared" si="10"/>
        <v>0</v>
      </c>
      <c r="M182" s="97">
        <f t="shared" si="11"/>
        <v>0</v>
      </c>
      <c r="N182" s="111"/>
      <c r="O182" s="110"/>
      <c r="P182" s="112">
        <f t="shared" si="12"/>
        <v>0</v>
      </c>
      <c r="Q182" s="106">
        <f>BASE!A186</f>
        <v>171</v>
      </c>
      <c r="R182" s="97">
        <f t="shared" si="13"/>
        <v>0</v>
      </c>
      <c r="S182" s="97">
        <f t="shared" si="14"/>
        <v>0</v>
      </c>
      <c r="T182" s="97">
        <f t="shared" si="15"/>
        <v>0</v>
      </c>
      <c r="U182" s="97">
        <f t="shared" si="16"/>
        <v>0</v>
      </c>
      <c r="V182" s="97">
        <f t="shared" si="17"/>
        <v>0</v>
      </c>
      <c r="W182" s="161"/>
      <c r="X182" s="161"/>
    </row>
    <row r="183" spans="1:24" ht="17.25" customHeight="1">
      <c r="A183" s="110" t="str">
        <f>+BASE!B187</f>
        <v>23XXR172</v>
      </c>
      <c r="B183" s="106" t="s">
        <v>40</v>
      </c>
      <c r="C183" s="111">
        <f t="shared" si="3"/>
        <v>0</v>
      </c>
      <c r="D183" s="111">
        <f t="shared" si="4"/>
        <v>0</v>
      </c>
      <c r="E183" s="111">
        <f t="shared" si="5"/>
        <v>0</v>
      </c>
      <c r="F183" s="111">
        <f t="shared" si="6"/>
        <v>0</v>
      </c>
      <c r="G183" s="111">
        <f t="shared" si="7"/>
        <v>0</v>
      </c>
      <c r="H183" s="111"/>
      <c r="I183" s="97">
        <f t="shared" si="18"/>
        <v>0</v>
      </c>
      <c r="J183" s="97">
        <f t="shared" si="8"/>
        <v>0</v>
      </c>
      <c r="K183" s="97">
        <f t="shared" si="9"/>
        <v>0</v>
      </c>
      <c r="L183" s="97">
        <f t="shared" si="10"/>
        <v>0</v>
      </c>
      <c r="M183" s="97">
        <f t="shared" si="11"/>
        <v>0</v>
      </c>
      <c r="N183" s="111"/>
      <c r="O183" s="110"/>
      <c r="P183" s="112">
        <f t="shared" si="12"/>
        <v>0</v>
      </c>
      <c r="Q183" s="106">
        <f>BASE!A187</f>
        <v>172</v>
      </c>
      <c r="R183" s="97">
        <f t="shared" si="13"/>
        <v>0</v>
      </c>
      <c r="S183" s="97">
        <f t="shared" si="14"/>
        <v>0</v>
      </c>
      <c r="T183" s="97">
        <f t="shared" si="15"/>
        <v>0</v>
      </c>
      <c r="U183" s="97">
        <f t="shared" si="16"/>
        <v>0</v>
      </c>
      <c r="V183" s="97">
        <f t="shared" si="17"/>
        <v>0</v>
      </c>
      <c r="W183" s="161"/>
      <c r="X183" s="161"/>
    </row>
    <row r="184" spans="1:24" ht="17.25" customHeight="1">
      <c r="A184" s="110" t="str">
        <f>+BASE!B188</f>
        <v>23XXR173</v>
      </c>
      <c r="B184" s="106" t="s">
        <v>40</v>
      </c>
      <c r="C184" s="111">
        <f t="shared" si="3"/>
        <v>0</v>
      </c>
      <c r="D184" s="111">
        <f t="shared" si="4"/>
        <v>0</v>
      </c>
      <c r="E184" s="111">
        <f t="shared" si="5"/>
        <v>0</v>
      </c>
      <c r="F184" s="111">
        <f t="shared" si="6"/>
        <v>0</v>
      </c>
      <c r="G184" s="111">
        <f t="shared" si="7"/>
        <v>0</v>
      </c>
      <c r="H184" s="111"/>
      <c r="I184" s="97">
        <f t="shared" si="18"/>
        <v>0</v>
      </c>
      <c r="J184" s="97">
        <f t="shared" si="8"/>
        <v>0</v>
      </c>
      <c r="K184" s="97">
        <f t="shared" si="9"/>
        <v>0</v>
      </c>
      <c r="L184" s="97">
        <f t="shared" si="10"/>
        <v>0</v>
      </c>
      <c r="M184" s="97">
        <f t="shared" si="11"/>
        <v>0</v>
      </c>
      <c r="N184" s="111"/>
      <c r="O184" s="110"/>
      <c r="P184" s="112">
        <f t="shared" si="12"/>
        <v>0</v>
      </c>
      <c r="Q184" s="106">
        <f>BASE!A188</f>
        <v>173</v>
      </c>
      <c r="R184" s="97">
        <f t="shared" si="13"/>
        <v>0</v>
      </c>
      <c r="S184" s="97">
        <f t="shared" si="14"/>
        <v>0</v>
      </c>
      <c r="T184" s="97">
        <f t="shared" si="15"/>
        <v>0</v>
      </c>
      <c r="U184" s="97">
        <f t="shared" si="16"/>
        <v>0</v>
      </c>
      <c r="V184" s="97">
        <f t="shared" si="17"/>
        <v>0</v>
      </c>
      <c r="W184" s="161"/>
      <c r="X184" s="161"/>
    </row>
    <row r="185" spans="1:24" ht="17.25" customHeight="1">
      <c r="A185" s="110" t="str">
        <f>+BASE!B189</f>
        <v>23XXR174</v>
      </c>
      <c r="B185" s="106" t="s">
        <v>40</v>
      </c>
      <c r="C185" s="111">
        <f t="shared" si="3"/>
        <v>0</v>
      </c>
      <c r="D185" s="111">
        <f t="shared" si="4"/>
        <v>0</v>
      </c>
      <c r="E185" s="111">
        <f t="shared" si="5"/>
        <v>0</v>
      </c>
      <c r="F185" s="111">
        <f t="shared" si="6"/>
        <v>0</v>
      </c>
      <c r="G185" s="111">
        <f t="shared" si="7"/>
        <v>0</v>
      </c>
      <c r="H185" s="111"/>
      <c r="I185" s="97">
        <f t="shared" si="18"/>
        <v>0</v>
      </c>
      <c r="J185" s="97">
        <f t="shared" si="8"/>
        <v>0</v>
      </c>
      <c r="K185" s="97">
        <f t="shared" si="9"/>
        <v>0</v>
      </c>
      <c r="L185" s="97">
        <f t="shared" si="10"/>
        <v>0</v>
      </c>
      <c r="M185" s="97">
        <f t="shared" si="11"/>
        <v>0</v>
      </c>
      <c r="N185" s="111"/>
      <c r="O185" s="110"/>
      <c r="P185" s="112">
        <f t="shared" si="12"/>
        <v>0</v>
      </c>
      <c r="Q185" s="106">
        <f>BASE!A189</f>
        <v>174</v>
      </c>
      <c r="R185" s="97">
        <f t="shared" si="13"/>
        <v>0</v>
      </c>
      <c r="S185" s="97">
        <f t="shared" si="14"/>
        <v>0</v>
      </c>
      <c r="T185" s="97">
        <f t="shared" si="15"/>
        <v>0</v>
      </c>
      <c r="U185" s="97">
        <f t="shared" si="16"/>
        <v>0</v>
      </c>
      <c r="V185" s="97">
        <f t="shared" si="17"/>
        <v>0</v>
      </c>
      <c r="W185" s="161"/>
      <c r="X185" s="161"/>
    </row>
    <row r="186" spans="1:24" ht="17.25" customHeight="1">
      <c r="A186" s="110" t="str">
        <f>+BASE!B190</f>
        <v>23XXR175</v>
      </c>
      <c r="B186" s="106" t="s">
        <v>40</v>
      </c>
      <c r="C186" s="111">
        <f t="shared" si="3"/>
        <v>0</v>
      </c>
      <c r="D186" s="111">
        <f t="shared" si="4"/>
        <v>0</v>
      </c>
      <c r="E186" s="111">
        <f t="shared" si="5"/>
        <v>0</v>
      </c>
      <c r="F186" s="111">
        <f t="shared" si="6"/>
        <v>0</v>
      </c>
      <c r="G186" s="111">
        <f t="shared" si="7"/>
        <v>0</v>
      </c>
      <c r="H186" s="111"/>
      <c r="I186" s="97">
        <f t="shared" si="18"/>
        <v>0</v>
      </c>
      <c r="J186" s="97">
        <f t="shared" si="8"/>
        <v>0</v>
      </c>
      <c r="K186" s="97">
        <f t="shared" si="9"/>
        <v>0</v>
      </c>
      <c r="L186" s="97">
        <f t="shared" si="10"/>
        <v>0</v>
      </c>
      <c r="M186" s="97">
        <f t="shared" si="11"/>
        <v>0</v>
      </c>
      <c r="N186" s="111"/>
      <c r="O186" s="110"/>
      <c r="P186" s="112">
        <f t="shared" si="12"/>
        <v>0</v>
      </c>
      <c r="Q186" s="106">
        <f>BASE!A190</f>
        <v>175</v>
      </c>
      <c r="R186" s="97">
        <f t="shared" si="13"/>
        <v>0</v>
      </c>
      <c r="S186" s="97">
        <f t="shared" si="14"/>
        <v>0</v>
      </c>
      <c r="T186" s="97">
        <f t="shared" si="15"/>
        <v>0</v>
      </c>
      <c r="U186" s="97">
        <f t="shared" si="16"/>
        <v>0</v>
      </c>
      <c r="V186" s="97">
        <f t="shared" si="17"/>
        <v>0</v>
      </c>
      <c r="W186" s="161"/>
      <c r="X186" s="161"/>
    </row>
    <row r="187" spans="1:24" ht="17.25" customHeight="1">
      <c r="A187" s="110" t="str">
        <f>+BASE!B191</f>
        <v>23XXR176</v>
      </c>
      <c r="B187" s="106" t="s">
        <v>40</v>
      </c>
      <c r="C187" s="111">
        <f t="shared" si="3"/>
        <v>0</v>
      </c>
      <c r="D187" s="111">
        <f t="shared" si="4"/>
        <v>0</v>
      </c>
      <c r="E187" s="111">
        <f t="shared" si="5"/>
        <v>0</v>
      </c>
      <c r="F187" s="111">
        <f t="shared" si="6"/>
        <v>0</v>
      </c>
      <c r="G187" s="111">
        <f t="shared" si="7"/>
        <v>0</v>
      </c>
      <c r="H187" s="111"/>
      <c r="I187" s="97">
        <f t="shared" si="18"/>
        <v>0</v>
      </c>
      <c r="J187" s="97">
        <f t="shared" si="8"/>
        <v>0</v>
      </c>
      <c r="K187" s="97">
        <f t="shared" si="9"/>
        <v>0</v>
      </c>
      <c r="L187" s="97">
        <f t="shared" si="10"/>
        <v>0</v>
      </c>
      <c r="M187" s="97">
        <f t="shared" si="11"/>
        <v>0</v>
      </c>
      <c r="N187" s="111"/>
      <c r="O187" s="110"/>
      <c r="P187" s="112">
        <f t="shared" si="12"/>
        <v>0</v>
      </c>
      <c r="Q187" s="106">
        <f>BASE!A191</f>
        <v>176</v>
      </c>
      <c r="R187" s="97">
        <f t="shared" si="13"/>
        <v>0</v>
      </c>
      <c r="S187" s="97">
        <f t="shared" si="14"/>
        <v>0</v>
      </c>
      <c r="T187" s="97">
        <f t="shared" si="15"/>
        <v>0</v>
      </c>
      <c r="U187" s="97">
        <f t="shared" si="16"/>
        <v>0</v>
      </c>
      <c r="V187" s="97">
        <f t="shared" si="17"/>
        <v>0</v>
      </c>
      <c r="W187" s="161"/>
      <c r="X187" s="161"/>
    </row>
    <row r="188" spans="1:24" ht="17.25" customHeight="1">
      <c r="A188" s="110" t="str">
        <f>+BASE!B192</f>
        <v>23XXR177</v>
      </c>
      <c r="B188" s="106" t="s">
        <v>40</v>
      </c>
      <c r="C188" s="111">
        <f t="shared" si="3"/>
        <v>0</v>
      </c>
      <c r="D188" s="111">
        <f t="shared" si="4"/>
        <v>0</v>
      </c>
      <c r="E188" s="111">
        <f t="shared" si="5"/>
        <v>0</v>
      </c>
      <c r="F188" s="111">
        <f t="shared" si="6"/>
        <v>0</v>
      </c>
      <c r="G188" s="111">
        <f t="shared" si="7"/>
        <v>0</v>
      </c>
      <c r="H188" s="111"/>
      <c r="I188" s="97">
        <f t="shared" si="18"/>
        <v>0</v>
      </c>
      <c r="J188" s="97">
        <f t="shared" si="8"/>
        <v>0</v>
      </c>
      <c r="K188" s="97">
        <f t="shared" si="9"/>
        <v>0</v>
      </c>
      <c r="L188" s="97">
        <f t="shared" si="10"/>
        <v>0</v>
      </c>
      <c r="M188" s="97">
        <f t="shared" si="11"/>
        <v>0</v>
      </c>
      <c r="N188" s="111"/>
      <c r="O188" s="110"/>
      <c r="P188" s="112">
        <f t="shared" si="12"/>
        <v>0</v>
      </c>
      <c r="Q188" s="106">
        <f>BASE!A192</f>
        <v>177</v>
      </c>
      <c r="R188" s="97">
        <f t="shared" si="13"/>
        <v>0</v>
      </c>
      <c r="S188" s="97">
        <f t="shared" si="14"/>
        <v>0</v>
      </c>
      <c r="T188" s="97">
        <f t="shared" si="15"/>
        <v>0</v>
      </c>
      <c r="U188" s="97">
        <f t="shared" si="16"/>
        <v>0</v>
      </c>
      <c r="V188" s="97">
        <f t="shared" si="17"/>
        <v>0</v>
      </c>
      <c r="W188" s="161"/>
      <c r="X188" s="161"/>
    </row>
    <row r="189" spans="1:24" ht="17.25" customHeight="1">
      <c r="A189" s="110" t="str">
        <f>+BASE!B193</f>
        <v>23XXR178</v>
      </c>
      <c r="B189" s="106" t="s">
        <v>40</v>
      </c>
      <c r="C189" s="111">
        <f t="shared" si="3"/>
        <v>0</v>
      </c>
      <c r="D189" s="111">
        <f t="shared" si="4"/>
        <v>0</v>
      </c>
      <c r="E189" s="111">
        <f t="shared" si="5"/>
        <v>0</v>
      </c>
      <c r="F189" s="111">
        <f t="shared" si="6"/>
        <v>0</v>
      </c>
      <c r="G189" s="111">
        <f t="shared" si="7"/>
        <v>0</v>
      </c>
      <c r="H189" s="111"/>
      <c r="I189" s="97">
        <f t="shared" si="18"/>
        <v>0</v>
      </c>
      <c r="J189" s="97">
        <f t="shared" si="8"/>
        <v>0</v>
      </c>
      <c r="K189" s="97">
        <f t="shared" si="9"/>
        <v>0</v>
      </c>
      <c r="L189" s="97">
        <f t="shared" si="10"/>
        <v>0</v>
      </c>
      <c r="M189" s="97">
        <f t="shared" si="11"/>
        <v>0</v>
      </c>
      <c r="N189" s="111"/>
      <c r="O189" s="110"/>
      <c r="P189" s="112">
        <f t="shared" si="12"/>
        <v>0</v>
      </c>
      <c r="Q189" s="106">
        <f>BASE!A193</f>
        <v>178</v>
      </c>
      <c r="R189" s="97">
        <f t="shared" si="13"/>
        <v>0</v>
      </c>
      <c r="S189" s="97">
        <f t="shared" si="14"/>
        <v>0</v>
      </c>
      <c r="T189" s="97">
        <f t="shared" si="15"/>
        <v>0</v>
      </c>
      <c r="U189" s="97">
        <f t="shared" si="16"/>
        <v>0</v>
      </c>
      <c r="V189" s="97">
        <f t="shared" si="17"/>
        <v>0</v>
      </c>
      <c r="W189" s="161"/>
      <c r="X189" s="161"/>
    </row>
    <row r="190" spans="1:24" ht="17.25" customHeight="1">
      <c r="A190" s="110" t="str">
        <f>+BASE!B194</f>
        <v>23XXR179</v>
      </c>
      <c r="B190" s="106" t="s">
        <v>40</v>
      </c>
      <c r="C190" s="111">
        <f t="shared" si="3"/>
        <v>0</v>
      </c>
      <c r="D190" s="111">
        <f t="shared" si="4"/>
        <v>0</v>
      </c>
      <c r="E190" s="111">
        <f t="shared" si="5"/>
        <v>0</v>
      </c>
      <c r="F190" s="111">
        <f t="shared" si="6"/>
        <v>0</v>
      </c>
      <c r="G190" s="111">
        <f t="shared" si="7"/>
        <v>0</v>
      </c>
      <c r="H190" s="111"/>
      <c r="I190" s="97">
        <f t="shared" si="18"/>
        <v>0</v>
      </c>
      <c r="J190" s="97">
        <f t="shared" si="8"/>
        <v>0</v>
      </c>
      <c r="K190" s="97">
        <f t="shared" si="9"/>
        <v>0</v>
      </c>
      <c r="L190" s="97">
        <f t="shared" si="10"/>
        <v>0</v>
      </c>
      <c r="M190" s="97">
        <f t="shared" si="11"/>
        <v>0</v>
      </c>
      <c r="N190" s="111"/>
      <c r="O190" s="110"/>
      <c r="P190" s="112">
        <f t="shared" si="12"/>
        <v>0</v>
      </c>
      <c r="Q190" s="106">
        <f>BASE!A194</f>
        <v>179</v>
      </c>
      <c r="R190" s="97">
        <f t="shared" si="13"/>
        <v>0</v>
      </c>
      <c r="S190" s="97">
        <f t="shared" si="14"/>
        <v>0</v>
      </c>
      <c r="T190" s="97">
        <f t="shared" si="15"/>
        <v>0</v>
      </c>
      <c r="U190" s="97">
        <f t="shared" si="16"/>
        <v>0</v>
      </c>
      <c r="V190" s="97">
        <f t="shared" si="17"/>
        <v>0</v>
      </c>
      <c r="W190" s="161"/>
      <c r="X190" s="161"/>
    </row>
    <row r="191" spans="1:24" ht="17.25" customHeight="1">
      <c r="A191" s="110" t="str">
        <f>+BASE!B195</f>
        <v>23XXR180</v>
      </c>
      <c r="B191" s="106" t="s">
        <v>40</v>
      </c>
      <c r="C191" s="111">
        <f t="shared" si="3"/>
        <v>0</v>
      </c>
      <c r="D191" s="111">
        <f t="shared" si="4"/>
        <v>0</v>
      </c>
      <c r="E191" s="111">
        <f t="shared" si="5"/>
        <v>0</v>
      </c>
      <c r="F191" s="111">
        <f t="shared" si="6"/>
        <v>0</v>
      </c>
      <c r="G191" s="111">
        <f t="shared" si="7"/>
        <v>0</v>
      </c>
      <c r="H191" s="111"/>
      <c r="I191" s="97">
        <f t="shared" si="18"/>
        <v>0</v>
      </c>
      <c r="J191" s="97">
        <f t="shared" si="8"/>
        <v>0</v>
      </c>
      <c r="K191" s="97">
        <f t="shared" si="9"/>
        <v>0</v>
      </c>
      <c r="L191" s="97">
        <f t="shared" si="10"/>
        <v>0</v>
      </c>
      <c r="M191" s="97">
        <f t="shared" si="11"/>
        <v>0</v>
      </c>
      <c r="N191" s="111"/>
      <c r="O191" s="110"/>
      <c r="P191" s="112">
        <f t="shared" si="12"/>
        <v>0</v>
      </c>
      <c r="Q191" s="106">
        <f>BASE!A195</f>
        <v>180</v>
      </c>
      <c r="R191" s="97">
        <f t="shared" si="13"/>
        <v>0</v>
      </c>
      <c r="S191" s="97">
        <f t="shared" si="14"/>
        <v>0</v>
      </c>
      <c r="T191" s="97">
        <f t="shared" si="15"/>
        <v>0</v>
      </c>
      <c r="U191" s="97">
        <f t="shared" si="16"/>
        <v>0</v>
      </c>
      <c r="V191" s="97">
        <f t="shared" si="17"/>
        <v>0</v>
      </c>
      <c r="W191" s="161"/>
      <c r="X191" s="161"/>
    </row>
    <row r="192" spans="1:24" ht="17.25" customHeight="1">
      <c r="A192" s="110" t="str">
        <f>+BASE!B196</f>
        <v>23XXR181</v>
      </c>
      <c r="B192" s="106" t="s">
        <v>40</v>
      </c>
      <c r="C192" s="111">
        <f t="shared" si="3"/>
        <v>0</v>
      </c>
      <c r="D192" s="111">
        <f t="shared" si="4"/>
        <v>0</v>
      </c>
      <c r="E192" s="111">
        <f t="shared" si="5"/>
        <v>0</v>
      </c>
      <c r="F192" s="111">
        <f t="shared" si="6"/>
        <v>0</v>
      </c>
      <c r="G192" s="111">
        <f t="shared" si="7"/>
        <v>0</v>
      </c>
      <c r="H192" s="111"/>
      <c r="I192" s="97">
        <f t="shared" si="18"/>
        <v>0</v>
      </c>
      <c r="J192" s="97">
        <f t="shared" si="8"/>
        <v>0</v>
      </c>
      <c r="K192" s="97">
        <f t="shared" si="9"/>
        <v>0</v>
      </c>
      <c r="L192" s="97">
        <f t="shared" si="10"/>
        <v>0</v>
      </c>
      <c r="M192" s="97">
        <f t="shared" si="11"/>
        <v>0</v>
      </c>
      <c r="N192" s="111"/>
      <c r="O192" s="110"/>
      <c r="P192" s="112">
        <f t="shared" si="12"/>
        <v>0</v>
      </c>
      <c r="Q192" s="106">
        <f>BASE!A196</f>
        <v>181</v>
      </c>
      <c r="R192" s="97">
        <f t="shared" si="13"/>
        <v>0</v>
      </c>
      <c r="S192" s="97">
        <f t="shared" si="14"/>
        <v>0</v>
      </c>
      <c r="T192" s="97">
        <f t="shared" si="15"/>
        <v>0</v>
      </c>
      <c r="U192" s="97">
        <f t="shared" si="16"/>
        <v>0</v>
      </c>
      <c r="V192" s="97">
        <f t="shared" si="17"/>
        <v>0</v>
      </c>
      <c r="W192" s="161"/>
      <c r="X192" s="161"/>
    </row>
    <row r="193" spans="1:24" ht="17.25" customHeight="1">
      <c r="A193" s="110" t="str">
        <f>+BASE!B197</f>
        <v>23XXR182</v>
      </c>
      <c r="B193" s="106" t="s">
        <v>40</v>
      </c>
      <c r="C193" s="111">
        <f t="shared" si="3"/>
        <v>0</v>
      </c>
      <c r="D193" s="111">
        <f t="shared" si="4"/>
        <v>0</v>
      </c>
      <c r="E193" s="111">
        <f t="shared" si="5"/>
        <v>0</v>
      </c>
      <c r="F193" s="111">
        <f t="shared" si="6"/>
        <v>0</v>
      </c>
      <c r="G193" s="111">
        <f t="shared" si="7"/>
        <v>0</v>
      </c>
      <c r="H193" s="111"/>
      <c r="I193" s="97">
        <f t="shared" si="18"/>
        <v>0</v>
      </c>
      <c r="J193" s="97">
        <f t="shared" si="8"/>
        <v>0</v>
      </c>
      <c r="K193" s="97">
        <f t="shared" si="9"/>
        <v>0</v>
      </c>
      <c r="L193" s="97">
        <f t="shared" si="10"/>
        <v>0</v>
      </c>
      <c r="M193" s="97">
        <f t="shared" si="11"/>
        <v>0</v>
      </c>
      <c r="N193" s="111"/>
      <c r="O193" s="110"/>
      <c r="P193" s="112">
        <f t="shared" si="12"/>
        <v>0</v>
      </c>
      <c r="Q193" s="106">
        <f>BASE!A197</f>
        <v>182</v>
      </c>
      <c r="R193" s="97">
        <f t="shared" si="13"/>
        <v>0</v>
      </c>
      <c r="S193" s="97">
        <f t="shared" si="14"/>
        <v>0</v>
      </c>
      <c r="T193" s="97">
        <f t="shared" si="15"/>
        <v>0</v>
      </c>
      <c r="U193" s="97">
        <f t="shared" si="16"/>
        <v>0</v>
      </c>
      <c r="V193" s="97">
        <f t="shared" si="17"/>
        <v>0</v>
      </c>
      <c r="W193" s="161"/>
      <c r="X193" s="161"/>
    </row>
    <row r="194" spans="1:24" ht="17.25" customHeight="1">
      <c r="A194" s="110" t="str">
        <f>+BASE!B198</f>
        <v>23XXR183</v>
      </c>
      <c r="B194" s="106" t="s">
        <v>40</v>
      </c>
      <c r="C194" s="111">
        <f t="shared" si="3"/>
        <v>0</v>
      </c>
      <c r="D194" s="111">
        <f t="shared" si="4"/>
        <v>0</v>
      </c>
      <c r="E194" s="111">
        <f t="shared" si="5"/>
        <v>0</v>
      </c>
      <c r="F194" s="111">
        <f t="shared" si="6"/>
        <v>0</v>
      </c>
      <c r="G194" s="111">
        <f t="shared" si="7"/>
        <v>0</v>
      </c>
      <c r="H194" s="111"/>
      <c r="I194" s="97">
        <f t="shared" si="18"/>
        <v>0</v>
      </c>
      <c r="J194" s="97">
        <f t="shared" si="8"/>
        <v>0</v>
      </c>
      <c r="K194" s="97">
        <f t="shared" si="9"/>
        <v>0</v>
      </c>
      <c r="L194" s="97">
        <f t="shared" si="10"/>
        <v>0</v>
      </c>
      <c r="M194" s="97">
        <f t="shared" si="11"/>
        <v>0</v>
      </c>
      <c r="N194" s="111"/>
      <c r="O194" s="110"/>
      <c r="P194" s="112">
        <f t="shared" si="12"/>
        <v>0</v>
      </c>
      <c r="Q194" s="106">
        <f>BASE!A198</f>
        <v>183</v>
      </c>
      <c r="R194" s="97">
        <f t="shared" si="13"/>
        <v>0</v>
      </c>
      <c r="S194" s="97">
        <f t="shared" si="14"/>
        <v>0</v>
      </c>
      <c r="T194" s="97">
        <f t="shared" si="15"/>
        <v>0</v>
      </c>
      <c r="U194" s="97">
        <f t="shared" si="16"/>
        <v>0</v>
      </c>
      <c r="V194" s="97">
        <f t="shared" si="17"/>
        <v>0</v>
      </c>
      <c r="W194" s="161"/>
      <c r="X194" s="161"/>
    </row>
    <row r="195" spans="1:24" ht="17.25" customHeight="1">
      <c r="A195" s="110" t="str">
        <f>+BASE!B199</f>
        <v>23XXR184</v>
      </c>
      <c r="B195" s="106" t="s">
        <v>40</v>
      </c>
      <c r="C195" s="111">
        <f t="shared" si="3"/>
        <v>0</v>
      </c>
      <c r="D195" s="111">
        <f t="shared" si="4"/>
        <v>0</v>
      </c>
      <c r="E195" s="111">
        <f t="shared" si="5"/>
        <v>0</v>
      </c>
      <c r="F195" s="111">
        <f t="shared" si="6"/>
        <v>0</v>
      </c>
      <c r="G195" s="111">
        <f t="shared" si="7"/>
        <v>0</v>
      </c>
      <c r="H195" s="111"/>
      <c r="I195" s="97">
        <f t="shared" si="18"/>
        <v>0</v>
      </c>
      <c r="J195" s="97">
        <f t="shared" si="8"/>
        <v>0</v>
      </c>
      <c r="K195" s="97">
        <f t="shared" si="9"/>
        <v>0</v>
      </c>
      <c r="L195" s="97">
        <f t="shared" si="10"/>
        <v>0</v>
      </c>
      <c r="M195" s="97">
        <f t="shared" si="11"/>
        <v>0</v>
      </c>
      <c r="N195" s="111"/>
      <c r="O195" s="110"/>
      <c r="P195" s="112">
        <f t="shared" si="12"/>
        <v>0</v>
      </c>
      <c r="Q195" s="106">
        <f>BASE!A199</f>
        <v>184</v>
      </c>
      <c r="R195" s="97">
        <f t="shared" si="13"/>
        <v>0</v>
      </c>
      <c r="S195" s="97">
        <f t="shared" si="14"/>
        <v>0</v>
      </c>
      <c r="T195" s="97">
        <f t="shared" si="15"/>
        <v>0</v>
      </c>
      <c r="U195" s="97">
        <f t="shared" si="16"/>
        <v>0</v>
      </c>
      <c r="V195" s="97">
        <f t="shared" si="17"/>
        <v>0</v>
      </c>
      <c r="W195" s="161"/>
      <c r="X195" s="161"/>
    </row>
    <row r="196" spans="1:24" ht="17.25" customHeight="1">
      <c r="A196" s="110" t="str">
        <f>+BASE!B200</f>
        <v>23XXR185</v>
      </c>
      <c r="B196" s="106" t="s">
        <v>40</v>
      </c>
      <c r="C196" s="111">
        <f t="shared" si="3"/>
        <v>0</v>
      </c>
      <c r="D196" s="111">
        <f t="shared" si="4"/>
        <v>0</v>
      </c>
      <c r="E196" s="111">
        <f t="shared" si="5"/>
        <v>0</v>
      </c>
      <c r="F196" s="111">
        <f t="shared" si="6"/>
        <v>0</v>
      </c>
      <c r="G196" s="111">
        <f t="shared" si="7"/>
        <v>0</v>
      </c>
      <c r="H196" s="111"/>
      <c r="I196" s="97">
        <f t="shared" si="18"/>
        <v>0</v>
      </c>
      <c r="J196" s="97">
        <f t="shared" si="8"/>
        <v>0</v>
      </c>
      <c r="K196" s="97">
        <f t="shared" si="9"/>
        <v>0</v>
      </c>
      <c r="L196" s="97">
        <f t="shared" si="10"/>
        <v>0</v>
      </c>
      <c r="M196" s="97">
        <f t="shared" si="11"/>
        <v>0</v>
      </c>
      <c r="N196" s="111"/>
      <c r="O196" s="110"/>
      <c r="P196" s="112">
        <f t="shared" si="12"/>
        <v>0</v>
      </c>
      <c r="Q196" s="106">
        <f>BASE!A200</f>
        <v>185</v>
      </c>
      <c r="R196" s="97">
        <f t="shared" si="13"/>
        <v>0</v>
      </c>
      <c r="S196" s="97">
        <f t="shared" si="14"/>
        <v>0</v>
      </c>
      <c r="T196" s="97">
        <f t="shared" si="15"/>
        <v>0</v>
      </c>
      <c r="U196" s="97">
        <f t="shared" si="16"/>
        <v>0</v>
      </c>
      <c r="V196" s="97">
        <f t="shared" si="17"/>
        <v>0</v>
      </c>
      <c r="W196" s="161"/>
      <c r="X196" s="161"/>
    </row>
    <row r="197" spans="1:24" ht="17.25" customHeight="1">
      <c r="A197" s="110" t="str">
        <f>+BASE!B201</f>
        <v>23XXR186</v>
      </c>
      <c r="B197" s="106" t="s">
        <v>40</v>
      </c>
      <c r="C197" s="111">
        <f t="shared" si="3"/>
        <v>0</v>
      </c>
      <c r="D197" s="111">
        <f t="shared" si="4"/>
        <v>0</v>
      </c>
      <c r="E197" s="111">
        <f t="shared" si="5"/>
        <v>0</v>
      </c>
      <c r="F197" s="111">
        <f t="shared" si="6"/>
        <v>0</v>
      </c>
      <c r="G197" s="111">
        <f t="shared" si="7"/>
        <v>0</v>
      </c>
      <c r="H197" s="111"/>
      <c r="I197" s="97">
        <f t="shared" si="18"/>
        <v>0</v>
      </c>
      <c r="J197" s="97">
        <f t="shared" si="8"/>
        <v>0</v>
      </c>
      <c r="K197" s="97">
        <f t="shared" si="9"/>
        <v>0</v>
      </c>
      <c r="L197" s="97">
        <f t="shared" si="10"/>
        <v>0</v>
      </c>
      <c r="M197" s="97">
        <f t="shared" si="11"/>
        <v>0</v>
      </c>
      <c r="N197" s="111"/>
      <c r="O197" s="110"/>
      <c r="P197" s="112">
        <f t="shared" si="12"/>
        <v>0</v>
      </c>
      <c r="Q197" s="106">
        <f>BASE!A201</f>
        <v>186</v>
      </c>
      <c r="R197" s="97">
        <f t="shared" si="13"/>
        <v>0</v>
      </c>
      <c r="S197" s="97">
        <f t="shared" si="14"/>
        <v>0</v>
      </c>
      <c r="T197" s="97">
        <f t="shared" si="15"/>
        <v>0</v>
      </c>
      <c r="U197" s="97">
        <f t="shared" si="16"/>
        <v>0</v>
      </c>
      <c r="V197" s="97">
        <f t="shared" si="17"/>
        <v>0</v>
      </c>
      <c r="W197" s="161"/>
      <c r="X197" s="161"/>
    </row>
    <row r="198" spans="1:24" ht="17.25" customHeight="1">
      <c r="A198" s="110" t="str">
        <f>+BASE!B202</f>
        <v>23XXR187</v>
      </c>
      <c r="B198" s="106" t="s">
        <v>40</v>
      </c>
      <c r="C198" s="111">
        <f t="shared" si="3"/>
        <v>0</v>
      </c>
      <c r="D198" s="111">
        <f t="shared" si="4"/>
        <v>0</v>
      </c>
      <c r="E198" s="111">
        <f t="shared" si="5"/>
        <v>0</v>
      </c>
      <c r="F198" s="111">
        <f t="shared" si="6"/>
        <v>0</v>
      </c>
      <c r="G198" s="111">
        <f t="shared" si="7"/>
        <v>0</v>
      </c>
      <c r="H198" s="111"/>
      <c r="I198" s="97">
        <f t="shared" si="18"/>
        <v>0</v>
      </c>
      <c r="J198" s="97">
        <f t="shared" si="8"/>
        <v>0</v>
      </c>
      <c r="K198" s="97">
        <f t="shared" si="9"/>
        <v>0</v>
      </c>
      <c r="L198" s="97">
        <f t="shared" si="10"/>
        <v>0</v>
      </c>
      <c r="M198" s="97">
        <f t="shared" si="11"/>
        <v>0</v>
      </c>
      <c r="N198" s="111"/>
      <c r="O198" s="110"/>
      <c r="P198" s="112">
        <f t="shared" si="12"/>
        <v>0</v>
      </c>
      <c r="Q198" s="106">
        <f>BASE!A202</f>
        <v>187</v>
      </c>
      <c r="R198" s="97">
        <f t="shared" si="13"/>
        <v>0</v>
      </c>
      <c r="S198" s="97">
        <f t="shared" si="14"/>
        <v>0</v>
      </c>
      <c r="T198" s="97">
        <f t="shared" si="15"/>
        <v>0</v>
      </c>
      <c r="U198" s="97">
        <f t="shared" si="16"/>
        <v>0</v>
      </c>
      <c r="V198" s="97">
        <f t="shared" si="17"/>
        <v>0</v>
      </c>
      <c r="W198" s="161"/>
      <c r="X198" s="161"/>
    </row>
    <row r="199" spans="1:24" ht="17.25" customHeight="1">
      <c r="A199" s="110" t="str">
        <f>+BASE!B203</f>
        <v>23XXR188</v>
      </c>
      <c r="B199" s="106" t="s">
        <v>40</v>
      </c>
      <c r="C199" s="111">
        <f t="shared" si="3"/>
        <v>0</v>
      </c>
      <c r="D199" s="111">
        <f t="shared" si="4"/>
        <v>0</v>
      </c>
      <c r="E199" s="111">
        <f t="shared" si="5"/>
        <v>0</v>
      </c>
      <c r="F199" s="111">
        <f t="shared" si="6"/>
        <v>0</v>
      </c>
      <c r="G199" s="111">
        <f t="shared" si="7"/>
        <v>0</v>
      </c>
      <c r="H199" s="111"/>
      <c r="I199" s="97">
        <f t="shared" si="18"/>
        <v>0</v>
      </c>
      <c r="J199" s="97">
        <f t="shared" si="8"/>
        <v>0</v>
      </c>
      <c r="K199" s="97">
        <f t="shared" si="9"/>
        <v>0</v>
      </c>
      <c r="L199" s="97">
        <f t="shared" si="10"/>
        <v>0</v>
      </c>
      <c r="M199" s="97">
        <f t="shared" si="11"/>
        <v>0</v>
      </c>
      <c r="N199" s="111"/>
      <c r="O199" s="110"/>
      <c r="P199" s="112">
        <f t="shared" si="12"/>
        <v>0</v>
      </c>
      <c r="Q199" s="106">
        <f>BASE!A203</f>
        <v>188</v>
      </c>
      <c r="R199" s="97">
        <f t="shared" si="13"/>
        <v>0</v>
      </c>
      <c r="S199" s="97">
        <f t="shared" si="14"/>
        <v>0</v>
      </c>
      <c r="T199" s="97">
        <f t="shared" si="15"/>
        <v>0</v>
      </c>
      <c r="U199" s="97">
        <f t="shared" si="16"/>
        <v>0</v>
      </c>
      <c r="V199" s="97">
        <f t="shared" si="17"/>
        <v>0</v>
      </c>
      <c r="W199" s="161"/>
      <c r="X199" s="161"/>
    </row>
    <row r="200" spans="1:24" ht="17.25" customHeight="1">
      <c r="A200" s="110" t="str">
        <f>+BASE!B204</f>
        <v>23XXR189</v>
      </c>
      <c r="B200" s="106" t="s">
        <v>40</v>
      </c>
      <c r="C200" s="111">
        <f t="shared" si="3"/>
        <v>0</v>
      </c>
      <c r="D200" s="111">
        <f t="shared" si="4"/>
        <v>0</v>
      </c>
      <c r="E200" s="111">
        <f t="shared" si="5"/>
        <v>0</v>
      </c>
      <c r="F200" s="111">
        <f t="shared" si="6"/>
        <v>0</v>
      </c>
      <c r="G200" s="111">
        <f t="shared" si="7"/>
        <v>0</v>
      </c>
      <c r="H200" s="111"/>
      <c r="I200" s="97">
        <f t="shared" si="18"/>
        <v>0</v>
      </c>
      <c r="J200" s="97">
        <f t="shared" si="8"/>
        <v>0</v>
      </c>
      <c r="K200" s="97">
        <f t="shared" si="9"/>
        <v>0</v>
      </c>
      <c r="L200" s="97">
        <f t="shared" si="10"/>
        <v>0</v>
      </c>
      <c r="M200" s="97">
        <f t="shared" si="11"/>
        <v>0</v>
      </c>
      <c r="N200" s="111"/>
      <c r="O200" s="110"/>
      <c r="P200" s="112">
        <f t="shared" si="12"/>
        <v>0</v>
      </c>
      <c r="Q200" s="106">
        <f>BASE!A204</f>
        <v>189</v>
      </c>
      <c r="R200" s="97">
        <f t="shared" si="13"/>
        <v>0</v>
      </c>
      <c r="S200" s="97">
        <f t="shared" si="14"/>
        <v>0</v>
      </c>
      <c r="T200" s="97">
        <f t="shared" si="15"/>
        <v>0</v>
      </c>
      <c r="U200" s="97">
        <f t="shared" si="16"/>
        <v>0</v>
      </c>
      <c r="V200" s="97">
        <f t="shared" si="17"/>
        <v>0</v>
      </c>
      <c r="W200" s="161"/>
      <c r="X200" s="161"/>
    </row>
    <row r="201" spans="1:24" ht="17.25" customHeight="1">
      <c r="A201" s="110" t="str">
        <f>+BASE!B205</f>
        <v>23XXR190</v>
      </c>
      <c r="B201" s="106" t="s">
        <v>40</v>
      </c>
      <c r="C201" s="111">
        <f t="shared" si="3"/>
        <v>0</v>
      </c>
      <c r="D201" s="111">
        <f t="shared" si="4"/>
        <v>0</v>
      </c>
      <c r="E201" s="111">
        <f t="shared" si="5"/>
        <v>0</v>
      </c>
      <c r="F201" s="111">
        <f t="shared" si="6"/>
        <v>0</v>
      </c>
      <c r="G201" s="111">
        <f t="shared" si="7"/>
        <v>0</v>
      </c>
      <c r="H201" s="111"/>
      <c r="I201" s="97">
        <f t="shared" si="18"/>
        <v>0</v>
      </c>
      <c r="J201" s="97">
        <f t="shared" si="8"/>
        <v>0</v>
      </c>
      <c r="K201" s="97">
        <f t="shared" si="9"/>
        <v>0</v>
      </c>
      <c r="L201" s="97">
        <f t="shared" si="10"/>
        <v>0</v>
      </c>
      <c r="M201" s="97">
        <f t="shared" si="11"/>
        <v>0</v>
      </c>
      <c r="N201" s="111"/>
      <c r="O201" s="110"/>
      <c r="P201" s="112">
        <f t="shared" si="12"/>
        <v>0</v>
      </c>
      <c r="Q201" s="106">
        <f>BASE!A205</f>
        <v>190</v>
      </c>
      <c r="R201" s="97">
        <f t="shared" si="13"/>
        <v>0</v>
      </c>
      <c r="S201" s="97">
        <f t="shared" si="14"/>
        <v>0</v>
      </c>
      <c r="T201" s="97">
        <f t="shared" si="15"/>
        <v>0</v>
      </c>
      <c r="U201" s="97">
        <f t="shared" si="16"/>
        <v>0</v>
      </c>
      <c r="V201" s="97">
        <f t="shared" si="17"/>
        <v>0</v>
      </c>
      <c r="W201" s="161"/>
      <c r="X201" s="161"/>
    </row>
    <row r="202" spans="1:24" ht="17.25" customHeight="1">
      <c r="A202" s="110" t="str">
        <f>+BASE!B206</f>
        <v>23XXR191</v>
      </c>
      <c r="B202" s="106" t="s">
        <v>40</v>
      </c>
      <c r="C202" s="111">
        <f t="shared" si="3"/>
        <v>0</v>
      </c>
      <c r="D202" s="111">
        <f t="shared" si="4"/>
        <v>0</v>
      </c>
      <c r="E202" s="111">
        <f t="shared" si="5"/>
        <v>0</v>
      </c>
      <c r="F202" s="111">
        <f t="shared" si="6"/>
        <v>0</v>
      </c>
      <c r="G202" s="111">
        <f t="shared" si="7"/>
        <v>0</v>
      </c>
      <c r="H202" s="111"/>
      <c r="I202" s="97">
        <f t="shared" si="18"/>
        <v>0</v>
      </c>
      <c r="J202" s="97">
        <f t="shared" si="8"/>
        <v>0</v>
      </c>
      <c r="K202" s="97">
        <f t="shared" si="9"/>
        <v>0</v>
      </c>
      <c r="L202" s="97">
        <f t="shared" si="10"/>
        <v>0</v>
      </c>
      <c r="M202" s="97">
        <f t="shared" si="11"/>
        <v>0</v>
      </c>
      <c r="N202" s="111"/>
      <c r="O202" s="110"/>
      <c r="P202" s="112">
        <f t="shared" si="12"/>
        <v>0</v>
      </c>
      <c r="Q202" s="106">
        <f>BASE!A206</f>
        <v>191</v>
      </c>
      <c r="R202" s="97">
        <f t="shared" si="13"/>
        <v>0</v>
      </c>
      <c r="S202" s="97">
        <f t="shared" si="14"/>
        <v>0</v>
      </c>
      <c r="T202" s="97">
        <f t="shared" si="15"/>
        <v>0</v>
      </c>
      <c r="U202" s="97">
        <f t="shared" si="16"/>
        <v>0</v>
      </c>
      <c r="V202" s="97">
        <f t="shared" si="17"/>
        <v>0</v>
      </c>
      <c r="W202" s="161"/>
      <c r="X202" s="161"/>
    </row>
    <row r="203" spans="1:24" ht="17.25" customHeight="1">
      <c r="A203" s="110" t="str">
        <f>+BASE!B207</f>
        <v>23XXR192</v>
      </c>
      <c r="B203" s="106" t="s">
        <v>40</v>
      </c>
      <c r="C203" s="111">
        <f t="shared" si="3"/>
        <v>0</v>
      </c>
      <c r="D203" s="111">
        <f t="shared" si="4"/>
        <v>0</v>
      </c>
      <c r="E203" s="111">
        <f t="shared" si="5"/>
        <v>0</v>
      </c>
      <c r="F203" s="111">
        <f t="shared" si="6"/>
        <v>0</v>
      </c>
      <c r="G203" s="111">
        <f t="shared" si="7"/>
        <v>0</v>
      </c>
      <c r="H203" s="111"/>
      <c r="I203" s="97">
        <f t="shared" si="18"/>
        <v>0</v>
      </c>
      <c r="J203" s="97">
        <f t="shared" si="8"/>
        <v>0</v>
      </c>
      <c r="K203" s="97">
        <f t="shared" si="9"/>
        <v>0</v>
      </c>
      <c r="L203" s="97">
        <f t="shared" si="10"/>
        <v>0</v>
      </c>
      <c r="M203" s="97">
        <f t="shared" si="11"/>
        <v>0</v>
      </c>
      <c r="N203" s="111"/>
      <c r="O203" s="110"/>
      <c r="P203" s="112">
        <f t="shared" si="12"/>
        <v>0</v>
      </c>
      <c r="Q203" s="106">
        <f>BASE!A207</f>
        <v>192</v>
      </c>
      <c r="R203" s="97">
        <f t="shared" si="13"/>
        <v>0</v>
      </c>
      <c r="S203" s="97">
        <f t="shared" si="14"/>
        <v>0</v>
      </c>
      <c r="T203" s="97">
        <f t="shared" si="15"/>
        <v>0</v>
      </c>
      <c r="U203" s="97">
        <f t="shared" si="16"/>
        <v>0</v>
      </c>
      <c r="V203" s="97">
        <f t="shared" si="17"/>
        <v>0</v>
      </c>
      <c r="W203" s="161"/>
      <c r="X203" s="161"/>
    </row>
    <row r="204" spans="1:24" ht="17.25" customHeight="1">
      <c r="A204" s="110" t="str">
        <f>+BASE!B208</f>
        <v>23XXR193</v>
      </c>
      <c r="B204" s="106" t="s">
        <v>40</v>
      </c>
      <c r="C204" s="111">
        <f t="shared" si="3"/>
        <v>0</v>
      </c>
      <c r="D204" s="111">
        <f t="shared" si="4"/>
        <v>0</v>
      </c>
      <c r="E204" s="111">
        <f t="shared" si="5"/>
        <v>0</v>
      </c>
      <c r="F204" s="111">
        <f t="shared" si="6"/>
        <v>0</v>
      </c>
      <c r="G204" s="111">
        <f t="shared" si="7"/>
        <v>0</v>
      </c>
      <c r="H204" s="111"/>
      <c r="I204" s="97">
        <f t="shared" si="18"/>
        <v>0</v>
      </c>
      <c r="J204" s="97">
        <f t="shared" si="8"/>
        <v>0</v>
      </c>
      <c r="K204" s="97">
        <f t="shared" si="9"/>
        <v>0</v>
      </c>
      <c r="L204" s="97">
        <f t="shared" si="10"/>
        <v>0</v>
      </c>
      <c r="M204" s="97">
        <f t="shared" si="11"/>
        <v>0</v>
      </c>
      <c r="N204" s="111"/>
      <c r="O204" s="110"/>
      <c r="P204" s="112">
        <f t="shared" si="12"/>
        <v>0</v>
      </c>
      <c r="Q204" s="106">
        <f>BASE!A208</f>
        <v>193</v>
      </c>
      <c r="R204" s="97">
        <f t="shared" si="13"/>
        <v>0</v>
      </c>
      <c r="S204" s="97">
        <f t="shared" si="14"/>
        <v>0</v>
      </c>
      <c r="T204" s="97">
        <f t="shared" si="15"/>
        <v>0</v>
      </c>
      <c r="U204" s="97">
        <f t="shared" si="16"/>
        <v>0</v>
      </c>
      <c r="V204" s="97">
        <f t="shared" si="17"/>
        <v>0</v>
      </c>
      <c r="W204" s="161"/>
      <c r="X204" s="161"/>
    </row>
    <row r="205" spans="1:24" ht="17.25" customHeight="1">
      <c r="A205" s="110" t="str">
        <f>+BASE!B209</f>
        <v>23XXR194</v>
      </c>
      <c r="B205" s="106" t="s">
        <v>40</v>
      </c>
      <c r="C205" s="111">
        <f t="shared" si="3"/>
        <v>0</v>
      </c>
      <c r="D205" s="111">
        <f t="shared" si="4"/>
        <v>0</v>
      </c>
      <c r="E205" s="111">
        <f t="shared" si="5"/>
        <v>0</v>
      </c>
      <c r="F205" s="111">
        <f t="shared" si="6"/>
        <v>0</v>
      </c>
      <c r="G205" s="111">
        <f t="shared" si="7"/>
        <v>0</v>
      </c>
      <c r="H205" s="111"/>
      <c r="I205" s="97">
        <f t="shared" si="18"/>
        <v>0</v>
      </c>
      <c r="J205" s="97">
        <f t="shared" si="8"/>
        <v>0</v>
      </c>
      <c r="K205" s="97">
        <f t="shared" si="9"/>
        <v>0</v>
      </c>
      <c r="L205" s="97">
        <f t="shared" si="10"/>
        <v>0</v>
      </c>
      <c r="M205" s="97">
        <f t="shared" si="11"/>
        <v>0</v>
      </c>
      <c r="N205" s="111"/>
      <c r="O205" s="110"/>
      <c r="P205" s="112">
        <f t="shared" si="12"/>
        <v>0</v>
      </c>
      <c r="Q205" s="106">
        <f>BASE!A209</f>
        <v>194</v>
      </c>
      <c r="R205" s="97">
        <f t="shared" si="13"/>
        <v>0</v>
      </c>
      <c r="S205" s="97">
        <f t="shared" si="14"/>
        <v>0</v>
      </c>
      <c r="T205" s="97">
        <f t="shared" si="15"/>
        <v>0</v>
      </c>
      <c r="U205" s="97">
        <f t="shared" si="16"/>
        <v>0</v>
      </c>
      <c r="V205" s="97">
        <f t="shared" si="17"/>
        <v>0</v>
      </c>
      <c r="W205" s="161"/>
      <c r="X205" s="161"/>
    </row>
    <row r="206" spans="1:24" ht="17.25" customHeight="1">
      <c r="A206" s="110" t="str">
        <f>+BASE!B210</f>
        <v>23XXR195</v>
      </c>
      <c r="B206" s="106" t="s">
        <v>40</v>
      </c>
      <c r="C206" s="111">
        <f t="shared" si="3"/>
        <v>0</v>
      </c>
      <c r="D206" s="111">
        <f t="shared" si="4"/>
        <v>0</v>
      </c>
      <c r="E206" s="111">
        <f t="shared" si="5"/>
        <v>0</v>
      </c>
      <c r="F206" s="111">
        <f t="shared" si="6"/>
        <v>0</v>
      </c>
      <c r="G206" s="111">
        <f t="shared" si="7"/>
        <v>0</v>
      </c>
      <c r="H206" s="111"/>
      <c r="I206" s="97">
        <f t="shared" si="18"/>
        <v>0</v>
      </c>
      <c r="J206" s="97">
        <f t="shared" si="8"/>
        <v>0</v>
      </c>
      <c r="K206" s="97">
        <f t="shared" si="9"/>
        <v>0</v>
      </c>
      <c r="L206" s="97">
        <f t="shared" si="10"/>
        <v>0</v>
      </c>
      <c r="M206" s="97">
        <f t="shared" si="11"/>
        <v>0</v>
      </c>
      <c r="N206" s="111"/>
      <c r="O206" s="110"/>
      <c r="P206" s="112">
        <f t="shared" si="12"/>
        <v>0</v>
      </c>
      <c r="Q206" s="106">
        <f>BASE!A210</f>
        <v>195</v>
      </c>
      <c r="R206" s="97">
        <f t="shared" si="13"/>
        <v>0</v>
      </c>
      <c r="S206" s="97">
        <f t="shared" si="14"/>
        <v>0</v>
      </c>
      <c r="T206" s="97">
        <f t="shared" si="15"/>
        <v>0</v>
      </c>
      <c r="U206" s="97">
        <f t="shared" si="16"/>
        <v>0</v>
      </c>
      <c r="V206" s="97">
        <f t="shared" si="17"/>
        <v>0</v>
      </c>
      <c r="W206" s="161"/>
      <c r="X206" s="161"/>
    </row>
    <row r="207" spans="1:24" ht="17.25" customHeight="1">
      <c r="A207" s="110" t="str">
        <f>+BASE!B211</f>
        <v>23XXR196</v>
      </c>
      <c r="B207" s="106" t="s">
        <v>40</v>
      </c>
      <c r="C207" s="111">
        <f t="shared" si="3"/>
        <v>0</v>
      </c>
      <c r="D207" s="111">
        <f t="shared" si="4"/>
        <v>0</v>
      </c>
      <c r="E207" s="111">
        <f t="shared" si="5"/>
        <v>0</v>
      </c>
      <c r="F207" s="111">
        <f t="shared" si="6"/>
        <v>0</v>
      </c>
      <c r="G207" s="111">
        <f t="shared" si="7"/>
        <v>0</v>
      </c>
      <c r="H207" s="111"/>
      <c r="I207" s="97">
        <f t="shared" si="18"/>
        <v>0</v>
      </c>
      <c r="J207" s="97">
        <f t="shared" si="8"/>
        <v>0</v>
      </c>
      <c r="K207" s="97">
        <f t="shared" si="9"/>
        <v>0</v>
      </c>
      <c r="L207" s="97">
        <f t="shared" si="10"/>
        <v>0</v>
      </c>
      <c r="M207" s="97">
        <f t="shared" si="11"/>
        <v>0</v>
      </c>
      <c r="N207" s="111"/>
      <c r="O207" s="110"/>
      <c r="P207" s="112">
        <f t="shared" si="12"/>
        <v>0</v>
      </c>
      <c r="Q207" s="106">
        <f>BASE!A211</f>
        <v>196</v>
      </c>
      <c r="R207" s="97">
        <f t="shared" si="13"/>
        <v>0</v>
      </c>
      <c r="S207" s="97">
        <f t="shared" si="14"/>
        <v>0</v>
      </c>
      <c r="T207" s="97">
        <f t="shared" si="15"/>
        <v>0</v>
      </c>
      <c r="U207" s="97">
        <f t="shared" si="16"/>
        <v>0</v>
      </c>
      <c r="V207" s="97">
        <f t="shared" si="17"/>
        <v>0</v>
      </c>
      <c r="W207" s="161"/>
      <c r="X207" s="161"/>
    </row>
    <row r="208" spans="1:24" ht="17.25" customHeight="1">
      <c r="A208" s="110" t="str">
        <f>+BASE!B212</f>
        <v>23XXR197</v>
      </c>
      <c r="B208" s="106" t="s">
        <v>40</v>
      </c>
      <c r="C208" s="111">
        <f t="shared" si="3"/>
        <v>0</v>
      </c>
      <c r="D208" s="111">
        <f t="shared" si="4"/>
        <v>0</v>
      </c>
      <c r="E208" s="111">
        <f t="shared" si="5"/>
        <v>0</v>
      </c>
      <c r="F208" s="111">
        <f t="shared" si="6"/>
        <v>0</v>
      </c>
      <c r="G208" s="111">
        <f t="shared" si="7"/>
        <v>0</v>
      </c>
      <c r="H208" s="111"/>
      <c r="I208" s="97">
        <f t="shared" si="18"/>
        <v>0</v>
      </c>
      <c r="J208" s="97">
        <f t="shared" si="8"/>
        <v>0</v>
      </c>
      <c r="K208" s="97">
        <f t="shared" si="9"/>
        <v>0</v>
      </c>
      <c r="L208" s="97">
        <f t="shared" si="10"/>
        <v>0</v>
      </c>
      <c r="M208" s="97">
        <f t="shared" si="11"/>
        <v>0</v>
      </c>
      <c r="N208" s="111"/>
      <c r="O208" s="110"/>
      <c r="P208" s="112">
        <f t="shared" si="12"/>
        <v>0</v>
      </c>
      <c r="Q208" s="106">
        <f>BASE!A212</f>
        <v>197</v>
      </c>
      <c r="R208" s="97">
        <f t="shared" si="13"/>
        <v>0</v>
      </c>
      <c r="S208" s="97">
        <f t="shared" si="14"/>
        <v>0</v>
      </c>
      <c r="T208" s="97">
        <f t="shared" si="15"/>
        <v>0</v>
      </c>
      <c r="U208" s="97">
        <f t="shared" si="16"/>
        <v>0</v>
      </c>
      <c r="V208" s="97">
        <f t="shared" si="17"/>
        <v>0</v>
      </c>
      <c r="W208" s="161"/>
      <c r="X208" s="161"/>
    </row>
    <row r="209" spans="1:24" ht="17.25" customHeight="1">
      <c r="A209" s="110" t="str">
        <f>+BASE!B213</f>
        <v>23XXR198</v>
      </c>
      <c r="B209" s="106" t="s">
        <v>40</v>
      </c>
      <c r="C209" s="111">
        <f t="shared" si="3"/>
        <v>0</v>
      </c>
      <c r="D209" s="111">
        <f t="shared" si="4"/>
        <v>0</v>
      </c>
      <c r="E209" s="111">
        <f t="shared" si="5"/>
        <v>0</v>
      </c>
      <c r="F209" s="111">
        <f t="shared" si="6"/>
        <v>0</v>
      </c>
      <c r="G209" s="111">
        <f t="shared" si="7"/>
        <v>0</v>
      </c>
      <c r="H209" s="111"/>
      <c r="I209" s="97">
        <f t="shared" si="18"/>
        <v>0</v>
      </c>
      <c r="J209" s="97">
        <f t="shared" si="8"/>
        <v>0</v>
      </c>
      <c r="K209" s="97">
        <f t="shared" si="9"/>
        <v>0</v>
      </c>
      <c r="L209" s="97">
        <f t="shared" si="10"/>
        <v>0</v>
      </c>
      <c r="M209" s="97">
        <f t="shared" si="11"/>
        <v>0</v>
      </c>
      <c r="N209" s="111"/>
      <c r="O209" s="110"/>
      <c r="P209" s="112">
        <f t="shared" si="12"/>
        <v>0</v>
      </c>
      <c r="Q209" s="106">
        <f>BASE!A213</f>
        <v>198</v>
      </c>
      <c r="R209" s="97">
        <f t="shared" si="13"/>
        <v>0</v>
      </c>
      <c r="S209" s="97">
        <f t="shared" si="14"/>
        <v>0</v>
      </c>
      <c r="T209" s="97">
        <f t="shared" si="15"/>
        <v>0</v>
      </c>
      <c r="U209" s="97">
        <f t="shared" si="16"/>
        <v>0</v>
      </c>
      <c r="V209" s="97">
        <f t="shared" si="17"/>
        <v>0</v>
      </c>
      <c r="W209" s="161"/>
      <c r="X209" s="161"/>
    </row>
    <row r="210" spans="1:24" ht="17.25" customHeight="1">
      <c r="A210" s="110" t="str">
        <f>+BASE!B214</f>
        <v>23XXR199</v>
      </c>
      <c r="B210" s="106" t="s">
        <v>40</v>
      </c>
      <c r="C210" s="111">
        <f t="shared" si="3"/>
        <v>0</v>
      </c>
      <c r="D210" s="111">
        <f t="shared" si="4"/>
        <v>0</v>
      </c>
      <c r="E210" s="111">
        <f t="shared" si="5"/>
        <v>0</v>
      </c>
      <c r="F210" s="111">
        <f t="shared" si="6"/>
        <v>0</v>
      </c>
      <c r="G210" s="111">
        <f t="shared" si="7"/>
        <v>0</v>
      </c>
      <c r="H210" s="111"/>
      <c r="I210" s="97">
        <f t="shared" si="18"/>
        <v>0</v>
      </c>
      <c r="J210" s="97">
        <f t="shared" si="8"/>
        <v>0</v>
      </c>
      <c r="K210" s="97">
        <f t="shared" si="9"/>
        <v>0</v>
      </c>
      <c r="L210" s="97">
        <f t="shared" si="10"/>
        <v>0</v>
      </c>
      <c r="M210" s="97">
        <f t="shared" si="11"/>
        <v>0</v>
      </c>
      <c r="N210" s="111"/>
      <c r="O210" s="110"/>
      <c r="P210" s="112">
        <f t="shared" si="12"/>
        <v>0</v>
      </c>
      <c r="Q210" s="106">
        <f>BASE!A214</f>
        <v>199</v>
      </c>
      <c r="R210" s="97">
        <f t="shared" si="13"/>
        <v>0</v>
      </c>
      <c r="S210" s="97">
        <f t="shared" si="14"/>
        <v>0</v>
      </c>
      <c r="T210" s="97">
        <f t="shared" si="15"/>
        <v>0</v>
      </c>
      <c r="U210" s="97">
        <f t="shared" si="16"/>
        <v>0</v>
      </c>
      <c r="V210" s="97">
        <f t="shared" si="17"/>
        <v>0</v>
      </c>
      <c r="W210" s="161"/>
      <c r="X210" s="161"/>
    </row>
    <row r="211" spans="1:24" ht="17.25" customHeight="1">
      <c r="A211" s="110" t="str">
        <f>+BASE!B215</f>
        <v>23XXR200</v>
      </c>
      <c r="B211" s="106" t="s">
        <v>40</v>
      </c>
      <c r="C211" s="111">
        <f t="shared" si="3"/>
        <v>0</v>
      </c>
      <c r="D211" s="111">
        <f t="shared" si="4"/>
        <v>0</v>
      </c>
      <c r="E211" s="111">
        <f t="shared" si="5"/>
        <v>0</v>
      </c>
      <c r="F211" s="111">
        <f t="shared" si="6"/>
        <v>0</v>
      </c>
      <c r="G211" s="111">
        <f t="shared" si="7"/>
        <v>0</v>
      </c>
      <c r="H211" s="111"/>
      <c r="I211" s="97">
        <f t="shared" si="18"/>
        <v>0</v>
      </c>
      <c r="J211" s="97">
        <f t="shared" si="8"/>
        <v>0</v>
      </c>
      <c r="K211" s="97">
        <f t="shared" si="9"/>
        <v>0</v>
      </c>
      <c r="L211" s="97">
        <f t="shared" si="10"/>
        <v>0</v>
      </c>
      <c r="M211" s="97">
        <f t="shared" si="11"/>
        <v>0</v>
      </c>
      <c r="N211" s="111"/>
      <c r="O211" s="110"/>
      <c r="P211" s="112">
        <f t="shared" si="12"/>
        <v>0</v>
      </c>
      <c r="Q211" s="106">
        <f>BASE!A215</f>
        <v>200</v>
      </c>
      <c r="R211" s="97">
        <f t="shared" si="13"/>
        <v>0</v>
      </c>
      <c r="S211" s="97">
        <f t="shared" si="14"/>
        <v>0</v>
      </c>
      <c r="T211" s="97">
        <f t="shared" si="15"/>
        <v>0</v>
      </c>
      <c r="U211" s="97">
        <f t="shared" si="16"/>
        <v>0</v>
      </c>
      <c r="V211" s="97">
        <f t="shared" si="17"/>
        <v>0</v>
      </c>
      <c r="W211" s="161"/>
      <c r="X211" s="161"/>
    </row>
    <row r="212" spans="1:24" ht="17.25" customHeight="1">
      <c r="A212" s="110" t="str">
        <f>+BASE!B216</f>
        <v>23XXR201</v>
      </c>
      <c r="B212" s="106" t="s">
        <v>40</v>
      </c>
      <c r="C212" s="111">
        <f t="shared" si="3"/>
        <v>0</v>
      </c>
      <c r="D212" s="111">
        <f t="shared" si="4"/>
        <v>0</v>
      </c>
      <c r="E212" s="111">
        <f t="shared" si="5"/>
        <v>0</v>
      </c>
      <c r="F212" s="111">
        <f t="shared" si="6"/>
        <v>0</v>
      </c>
      <c r="G212" s="111">
        <f t="shared" si="7"/>
        <v>0</v>
      </c>
      <c r="H212" s="111"/>
      <c r="I212" s="97">
        <f t="shared" si="18"/>
        <v>0</v>
      </c>
      <c r="J212" s="97">
        <f t="shared" si="8"/>
        <v>0</v>
      </c>
      <c r="K212" s="97">
        <f t="shared" si="9"/>
        <v>0</v>
      </c>
      <c r="L212" s="97">
        <f t="shared" si="10"/>
        <v>0</v>
      </c>
      <c r="M212" s="97">
        <f t="shared" si="11"/>
        <v>0</v>
      </c>
      <c r="N212" s="111"/>
      <c r="O212" s="110"/>
      <c r="P212" s="112">
        <f t="shared" si="12"/>
        <v>0</v>
      </c>
      <c r="Q212" s="106">
        <f>BASE!A216</f>
        <v>201</v>
      </c>
      <c r="R212" s="97">
        <f t="shared" si="13"/>
        <v>0</v>
      </c>
      <c r="S212" s="97">
        <f t="shared" si="14"/>
        <v>0</v>
      </c>
      <c r="T212" s="97">
        <f t="shared" si="15"/>
        <v>0</v>
      </c>
      <c r="U212" s="97">
        <f t="shared" si="16"/>
        <v>0</v>
      </c>
      <c r="V212" s="97">
        <f t="shared" si="17"/>
        <v>0</v>
      </c>
      <c r="W212" s="161"/>
      <c r="X212" s="161"/>
    </row>
    <row r="213" spans="1:24" ht="17.25" customHeight="1">
      <c r="A213" s="110" t="str">
        <f>+BASE!B217</f>
        <v>23XXR202</v>
      </c>
      <c r="B213" s="106" t="s">
        <v>40</v>
      </c>
      <c r="C213" s="111">
        <f t="shared" si="3"/>
        <v>0</v>
      </c>
      <c r="D213" s="111">
        <f t="shared" si="4"/>
        <v>0</v>
      </c>
      <c r="E213" s="111">
        <f t="shared" si="5"/>
        <v>0</v>
      </c>
      <c r="F213" s="111">
        <f t="shared" si="6"/>
        <v>0</v>
      </c>
      <c r="G213" s="111">
        <f t="shared" si="7"/>
        <v>0</v>
      </c>
      <c r="H213" s="111"/>
      <c r="I213" s="97">
        <f t="shared" si="18"/>
        <v>0</v>
      </c>
      <c r="J213" s="97">
        <f t="shared" si="8"/>
        <v>0</v>
      </c>
      <c r="K213" s="97">
        <f t="shared" si="9"/>
        <v>0</v>
      </c>
      <c r="L213" s="97">
        <f t="shared" si="10"/>
        <v>0</v>
      </c>
      <c r="M213" s="97">
        <f t="shared" si="11"/>
        <v>0</v>
      </c>
      <c r="N213" s="111"/>
      <c r="O213" s="110"/>
      <c r="P213" s="112">
        <f t="shared" si="12"/>
        <v>0</v>
      </c>
      <c r="Q213" s="106">
        <f>BASE!A217</f>
        <v>202</v>
      </c>
      <c r="R213" s="97">
        <f t="shared" si="13"/>
        <v>0</v>
      </c>
      <c r="S213" s="97">
        <f t="shared" si="14"/>
        <v>0</v>
      </c>
      <c r="T213" s="97">
        <f t="shared" si="15"/>
        <v>0</v>
      </c>
      <c r="U213" s="97">
        <f t="shared" si="16"/>
        <v>0</v>
      </c>
      <c r="V213" s="97">
        <f t="shared" si="17"/>
        <v>0</v>
      </c>
      <c r="W213" s="161"/>
      <c r="X213" s="161"/>
    </row>
    <row r="214" spans="1:24" ht="17.25" customHeight="1">
      <c r="A214" s="110" t="str">
        <f>+BASE!B218</f>
        <v>23XXR203</v>
      </c>
      <c r="B214" s="106" t="s">
        <v>40</v>
      </c>
      <c r="C214" s="111">
        <f t="shared" si="3"/>
        <v>0</v>
      </c>
      <c r="D214" s="111">
        <f t="shared" si="4"/>
        <v>0</v>
      </c>
      <c r="E214" s="111">
        <f t="shared" si="5"/>
        <v>0</v>
      </c>
      <c r="F214" s="111">
        <f t="shared" si="6"/>
        <v>0</v>
      </c>
      <c r="G214" s="111">
        <f t="shared" si="7"/>
        <v>0</v>
      </c>
      <c r="H214" s="111"/>
      <c r="I214" s="97">
        <f t="shared" si="18"/>
        <v>0</v>
      </c>
      <c r="J214" s="97">
        <f t="shared" si="8"/>
        <v>0</v>
      </c>
      <c r="K214" s="97">
        <f t="shared" si="9"/>
        <v>0</v>
      </c>
      <c r="L214" s="97">
        <f t="shared" si="10"/>
        <v>0</v>
      </c>
      <c r="M214" s="97">
        <f t="shared" si="11"/>
        <v>0</v>
      </c>
      <c r="N214" s="111"/>
      <c r="O214" s="110"/>
      <c r="P214" s="112">
        <f t="shared" si="12"/>
        <v>0</v>
      </c>
      <c r="Q214" s="106">
        <f>BASE!A218</f>
        <v>203</v>
      </c>
      <c r="R214" s="97">
        <f t="shared" si="13"/>
        <v>0</v>
      </c>
      <c r="S214" s="97">
        <f t="shared" si="14"/>
        <v>0</v>
      </c>
      <c r="T214" s="97">
        <f t="shared" si="15"/>
        <v>0</v>
      </c>
      <c r="U214" s="97">
        <f t="shared" si="16"/>
        <v>0</v>
      </c>
      <c r="V214" s="97">
        <f t="shared" si="17"/>
        <v>0</v>
      </c>
      <c r="W214" s="161"/>
      <c r="X214" s="161"/>
    </row>
    <row r="215" spans="1:24" ht="17.25" customHeight="1">
      <c r="A215" s="110" t="str">
        <f>+BASE!B219</f>
        <v>23XXR204</v>
      </c>
      <c r="B215" s="106" t="s">
        <v>40</v>
      </c>
      <c r="C215" s="111">
        <f t="shared" si="3"/>
        <v>0</v>
      </c>
      <c r="D215" s="111">
        <f t="shared" si="4"/>
        <v>0</v>
      </c>
      <c r="E215" s="111">
        <f t="shared" si="5"/>
        <v>0</v>
      </c>
      <c r="F215" s="111">
        <f t="shared" si="6"/>
        <v>0</v>
      </c>
      <c r="G215" s="111">
        <f t="shared" si="7"/>
        <v>0</v>
      </c>
      <c r="H215" s="111"/>
      <c r="I215" s="97">
        <f t="shared" si="18"/>
        <v>0</v>
      </c>
      <c r="J215" s="97">
        <f t="shared" si="8"/>
        <v>0</v>
      </c>
      <c r="K215" s="97">
        <f t="shared" si="9"/>
        <v>0</v>
      </c>
      <c r="L215" s="97">
        <f t="shared" si="10"/>
        <v>0</v>
      </c>
      <c r="M215" s="97">
        <f t="shared" si="11"/>
        <v>0</v>
      </c>
      <c r="N215" s="111"/>
      <c r="O215" s="110"/>
      <c r="P215" s="112">
        <f t="shared" si="12"/>
        <v>0</v>
      </c>
      <c r="Q215" s="106">
        <f>BASE!A219</f>
        <v>204</v>
      </c>
      <c r="R215" s="97">
        <f t="shared" si="13"/>
        <v>0</v>
      </c>
      <c r="S215" s="97">
        <f t="shared" si="14"/>
        <v>0</v>
      </c>
      <c r="T215" s="97">
        <f t="shared" si="15"/>
        <v>0</v>
      </c>
      <c r="U215" s="97">
        <f t="shared" si="16"/>
        <v>0</v>
      </c>
      <c r="V215" s="97">
        <f t="shared" si="17"/>
        <v>0</v>
      </c>
      <c r="W215" s="161"/>
      <c r="X215" s="161"/>
    </row>
    <row r="216" spans="1:24" ht="17.25" customHeight="1">
      <c r="A216" s="110" t="str">
        <f>+BASE!B220</f>
        <v>23XXR205</v>
      </c>
      <c r="B216" s="106" t="s">
        <v>40</v>
      </c>
      <c r="C216" s="111">
        <f t="shared" si="3"/>
        <v>0</v>
      </c>
      <c r="D216" s="111">
        <f t="shared" si="4"/>
        <v>0</v>
      </c>
      <c r="E216" s="111">
        <f t="shared" si="5"/>
        <v>0</v>
      </c>
      <c r="F216" s="111">
        <f t="shared" si="6"/>
        <v>0</v>
      </c>
      <c r="G216" s="111">
        <f t="shared" si="7"/>
        <v>0</v>
      </c>
      <c r="H216" s="111"/>
      <c r="I216" s="97">
        <f t="shared" si="18"/>
        <v>0</v>
      </c>
      <c r="J216" s="97">
        <f t="shared" si="8"/>
        <v>0</v>
      </c>
      <c r="K216" s="97">
        <f t="shared" si="9"/>
        <v>0</v>
      </c>
      <c r="L216" s="97">
        <f t="shared" si="10"/>
        <v>0</v>
      </c>
      <c r="M216" s="97">
        <f t="shared" si="11"/>
        <v>0</v>
      </c>
      <c r="N216" s="111"/>
      <c r="O216" s="110"/>
      <c r="P216" s="112">
        <f t="shared" si="12"/>
        <v>0</v>
      </c>
      <c r="Q216" s="106">
        <f>BASE!A220</f>
        <v>205</v>
      </c>
      <c r="R216" s="97">
        <f t="shared" si="13"/>
        <v>0</v>
      </c>
      <c r="S216" s="97">
        <f t="shared" si="14"/>
        <v>0</v>
      </c>
      <c r="T216" s="97">
        <f t="shared" si="15"/>
        <v>0</v>
      </c>
      <c r="U216" s="97">
        <f t="shared" si="16"/>
        <v>0</v>
      </c>
      <c r="V216" s="97">
        <f t="shared" si="17"/>
        <v>0</v>
      </c>
      <c r="W216" s="161"/>
      <c r="X216" s="161"/>
    </row>
    <row r="217" spans="1:24" ht="17.25" customHeight="1">
      <c r="A217" s="110" t="str">
        <f>+BASE!B221</f>
        <v>23XXR206</v>
      </c>
      <c r="B217" s="106" t="s">
        <v>40</v>
      </c>
      <c r="C217" s="111">
        <f t="shared" si="3"/>
        <v>0</v>
      </c>
      <c r="D217" s="111">
        <f t="shared" si="4"/>
        <v>0</v>
      </c>
      <c r="E217" s="111">
        <f t="shared" si="5"/>
        <v>0</v>
      </c>
      <c r="F217" s="111">
        <f t="shared" si="6"/>
        <v>0</v>
      </c>
      <c r="G217" s="111">
        <f t="shared" si="7"/>
        <v>0</v>
      </c>
      <c r="H217" s="111"/>
      <c r="I217" s="97">
        <f t="shared" si="18"/>
        <v>0</v>
      </c>
      <c r="J217" s="97">
        <f t="shared" si="8"/>
        <v>0</v>
      </c>
      <c r="K217" s="97">
        <f t="shared" si="9"/>
        <v>0</v>
      </c>
      <c r="L217" s="97">
        <f t="shared" si="10"/>
        <v>0</v>
      </c>
      <c r="M217" s="97">
        <f t="shared" si="11"/>
        <v>0</v>
      </c>
      <c r="N217" s="111"/>
      <c r="O217" s="110"/>
      <c r="P217" s="112">
        <f t="shared" si="12"/>
        <v>0</v>
      </c>
      <c r="Q217" s="106">
        <f>BASE!A221</f>
        <v>206</v>
      </c>
      <c r="R217" s="97">
        <f t="shared" si="13"/>
        <v>0</v>
      </c>
      <c r="S217" s="97">
        <f t="shared" si="14"/>
        <v>0</v>
      </c>
      <c r="T217" s="97">
        <f t="shared" si="15"/>
        <v>0</v>
      </c>
      <c r="U217" s="97">
        <f t="shared" si="16"/>
        <v>0</v>
      </c>
      <c r="V217" s="97">
        <f t="shared" si="17"/>
        <v>0</v>
      </c>
      <c r="W217" s="161"/>
      <c r="X217" s="161"/>
    </row>
    <row r="218" spans="1:24" ht="17.25" customHeight="1">
      <c r="A218" s="110" t="str">
        <f>+BASE!B222</f>
        <v>23XXR207</v>
      </c>
      <c r="B218" s="106" t="s">
        <v>40</v>
      </c>
      <c r="C218" s="111">
        <f t="shared" si="3"/>
        <v>0</v>
      </c>
      <c r="D218" s="111">
        <f t="shared" si="4"/>
        <v>0</v>
      </c>
      <c r="E218" s="111">
        <f t="shared" si="5"/>
        <v>0</v>
      </c>
      <c r="F218" s="111">
        <f t="shared" si="6"/>
        <v>0</v>
      </c>
      <c r="G218" s="111">
        <f t="shared" si="7"/>
        <v>0</v>
      </c>
      <c r="H218" s="111"/>
      <c r="I218" s="97">
        <f t="shared" si="18"/>
        <v>0</v>
      </c>
      <c r="J218" s="97">
        <f t="shared" si="8"/>
        <v>0</v>
      </c>
      <c r="K218" s="97">
        <f t="shared" si="9"/>
        <v>0</v>
      </c>
      <c r="L218" s="97">
        <f t="shared" si="10"/>
        <v>0</v>
      </c>
      <c r="M218" s="97">
        <f t="shared" si="11"/>
        <v>0</v>
      </c>
      <c r="N218" s="111"/>
      <c r="O218" s="110"/>
      <c r="P218" s="112">
        <f t="shared" si="12"/>
        <v>0</v>
      </c>
      <c r="Q218" s="106">
        <f>BASE!A222</f>
        <v>207</v>
      </c>
      <c r="R218" s="97">
        <f t="shared" si="13"/>
        <v>0</v>
      </c>
      <c r="S218" s="97">
        <f t="shared" si="14"/>
        <v>0</v>
      </c>
      <c r="T218" s="97">
        <f t="shared" si="15"/>
        <v>0</v>
      </c>
      <c r="U218" s="97">
        <f t="shared" si="16"/>
        <v>0</v>
      </c>
      <c r="V218" s="97">
        <f t="shared" si="17"/>
        <v>0</v>
      </c>
      <c r="W218" s="161"/>
      <c r="X218" s="161"/>
    </row>
    <row r="219" spans="1:24" ht="17.25" customHeight="1">
      <c r="A219" s="110" t="str">
        <f>+BASE!B223</f>
        <v>23XXR208</v>
      </c>
      <c r="B219" s="106" t="s">
        <v>40</v>
      </c>
      <c r="C219" s="111">
        <f t="shared" si="3"/>
        <v>0</v>
      </c>
      <c r="D219" s="111">
        <f t="shared" si="4"/>
        <v>0</v>
      </c>
      <c r="E219" s="111">
        <f t="shared" si="5"/>
        <v>0</v>
      </c>
      <c r="F219" s="111">
        <f t="shared" si="6"/>
        <v>0</v>
      </c>
      <c r="G219" s="111">
        <f t="shared" si="7"/>
        <v>0</v>
      </c>
      <c r="H219" s="111"/>
      <c r="I219" s="97">
        <f t="shared" si="18"/>
        <v>0</v>
      </c>
      <c r="J219" s="97">
        <f t="shared" si="8"/>
        <v>0</v>
      </c>
      <c r="K219" s="97">
        <f t="shared" si="9"/>
        <v>0</v>
      </c>
      <c r="L219" s="97">
        <f t="shared" si="10"/>
        <v>0</v>
      </c>
      <c r="M219" s="97">
        <f t="shared" si="11"/>
        <v>0</v>
      </c>
      <c r="N219" s="111"/>
      <c r="O219" s="110"/>
      <c r="P219" s="112">
        <f t="shared" si="12"/>
        <v>0</v>
      </c>
      <c r="Q219" s="106">
        <f>BASE!A223</f>
        <v>208</v>
      </c>
      <c r="R219" s="97">
        <f t="shared" si="13"/>
        <v>0</v>
      </c>
      <c r="S219" s="97">
        <f t="shared" si="14"/>
        <v>0</v>
      </c>
      <c r="T219" s="97">
        <f t="shared" si="15"/>
        <v>0</v>
      </c>
      <c r="U219" s="97">
        <f t="shared" si="16"/>
        <v>0</v>
      </c>
      <c r="V219" s="97">
        <f t="shared" si="17"/>
        <v>0</v>
      </c>
      <c r="W219" s="161"/>
      <c r="X219" s="161"/>
    </row>
    <row r="220" spans="1:24" ht="17.25" customHeight="1">
      <c r="A220" s="110" t="str">
        <f>+BASE!B224</f>
        <v>23XXR209</v>
      </c>
      <c r="B220" s="106" t="s">
        <v>40</v>
      </c>
      <c r="C220" s="111">
        <f t="shared" si="3"/>
        <v>0</v>
      </c>
      <c r="D220" s="111">
        <f t="shared" si="4"/>
        <v>0</v>
      </c>
      <c r="E220" s="111">
        <f t="shared" si="5"/>
        <v>0</v>
      </c>
      <c r="F220" s="111">
        <f t="shared" si="6"/>
        <v>0</v>
      </c>
      <c r="G220" s="111">
        <f t="shared" si="7"/>
        <v>0</v>
      </c>
      <c r="H220" s="111"/>
      <c r="I220" s="97">
        <f t="shared" si="18"/>
        <v>0</v>
      </c>
      <c r="J220" s="97">
        <f t="shared" si="8"/>
        <v>0</v>
      </c>
      <c r="K220" s="97">
        <f t="shared" si="9"/>
        <v>0</v>
      </c>
      <c r="L220" s="97">
        <f t="shared" si="10"/>
        <v>0</v>
      </c>
      <c r="M220" s="97">
        <f t="shared" si="11"/>
        <v>0</v>
      </c>
      <c r="N220" s="111"/>
      <c r="O220" s="110"/>
      <c r="P220" s="112">
        <f t="shared" si="12"/>
        <v>0</v>
      </c>
      <c r="Q220" s="106">
        <f>BASE!A224</f>
        <v>209</v>
      </c>
      <c r="R220" s="97">
        <f t="shared" si="13"/>
        <v>0</v>
      </c>
      <c r="S220" s="97">
        <f t="shared" si="14"/>
        <v>0</v>
      </c>
      <c r="T220" s="97">
        <f t="shared" si="15"/>
        <v>0</v>
      </c>
      <c r="U220" s="97">
        <f t="shared" si="16"/>
        <v>0</v>
      </c>
      <c r="V220" s="97">
        <f t="shared" si="17"/>
        <v>0</v>
      </c>
      <c r="W220" s="161"/>
      <c r="X220" s="161"/>
    </row>
    <row r="221" spans="1:24" ht="17.25" customHeight="1">
      <c r="A221" s="110" t="str">
        <f>+BASE!B225</f>
        <v>23XXR210</v>
      </c>
      <c r="B221" s="106" t="s">
        <v>40</v>
      </c>
      <c r="C221" s="111">
        <f t="shared" si="3"/>
        <v>0</v>
      </c>
      <c r="D221" s="111">
        <f t="shared" si="4"/>
        <v>0</v>
      </c>
      <c r="E221" s="111">
        <f t="shared" si="5"/>
        <v>0</v>
      </c>
      <c r="F221" s="111">
        <f t="shared" si="6"/>
        <v>0</v>
      </c>
      <c r="G221" s="111">
        <f t="shared" si="7"/>
        <v>0</v>
      </c>
      <c r="H221" s="111"/>
      <c r="I221" s="97">
        <f t="shared" si="18"/>
        <v>0</v>
      </c>
      <c r="J221" s="97">
        <f t="shared" si="8"/>
        <v>0</v>
      </c>
      <c r="K221" s="97">
        <f t="shared" si="9"/>
        <v>0</v>
      </c>
      <c r="L221" s="97">
        <f t="shared" si="10"/>
        <v>0</v>
      </c>
      <c r="M221" s="97">
        <f t="shared" si="11"/>
        <v>0</v>
      </c>
      <c r="N221" s="111"/>
      <c r="O221" s="110"/>
      <c r="P221" s="112">
        <f t="shared" si="12"/>
        <v>0</v>
      </c>
      <c r="Q221" s="106">
        <f>BASE!A225</f>
        <v>210</v>
      </c>
      <c r="R221" s="97">
        <f t="shared" si="13"/>
        <v>0</v>
      </c>
      <c r="S221" s="97">
        <f t="shared" si="14"/>
        <v>0</v>
      </c>
      <c r="T221" s="97">
        <f t="shared" si="15"/>
        <v>0</v>
      </c>
      <c r="U221" s="97">
        <f t="shared" si="16"/>
        <v>0</v>
      </c>
      <c r="V221" s="97">
        <f t="shared" si="17"/>
        <v>0</v>
      </c>
      <c r="W221" s="161"/>
      <c r="X221" s="161"/>
    </row>
    <row r="222" spans="1:24" ht="17.25" customHeight="1">
      <c r="A222" s="110" t="str">
        <f>+BASE!B226</f>
        <v>23XXR211</v>
      </c>
      <c r="B222" s="106" t="s">
        <v>40</v>
      </c>
      <c r="C222" s="111">
        <f t="shared" si="3"/>
        <v>0</v>
      </c>
      <c r="D222" s="111">
        <f t="shared" si="4"/>
        <v>0</v>
      </c>
      <c r="E222" s="111">
        <f t="shared" si="5"/>
        <v>0</v>
      </c>
      <c r="F222" s="111">
        <f t="shared" si="6"/>
        <v>0</v>
      </c>
      <c r="G222" s="111">
        <f t="shared" si="7"/>
        <v>0</v>
      </c>
      <c r="H222" s="111"/>
      <c r="I222" s="97">
        <f t="shared" si="18"/>
        <v>0</v>
      </c>
      <c r="J222" s="97">
        <f t="shared" si="8"/>
        <v>0</v>
      </c>
      <c r="K222" s="97">
        <f t="shared" si="9"/>
        <v>0</v>
      </c>
      <c r="L222" s="97">
        <f t="shared" si="10"/>
        <v>0</v>
      </c>
      <c r="M222" s="97">
        <f t="shared" si="11"/>
        <v>0</v>
      </c>
      <c r="N222" s="111"/>
      <c r="O222" s="110"/>
      <c r="P222" s="112">
        <f t="shared" si="12"/>
        <v>0</v>
      </c>
      <c r="Q222" s="106">
        <f>BASE!A226</f>
        <v>211</v>
      </c>
      <c r="R222" s="97">
        <f t="shared" si="13"/>
        <v>0</v>
      </c>
      <c r="S222" s="97">
        <f t="shared" si="14"/>
        <v>0</v>
      </c>
      <c r="T222" s="97">
        <f t="shared" si="15"/>
        <v>0</v>
      </c>
      <c r="U222" s="97">
        <f t="shared" si="16"/>
        <v>0</v>
      </c>
      <c r="V222" s="97">
        <f t="shared" si="17"/>
        <v>0</v>
      </c>
      <c r="W222" s="161"/>
      <c r="X222" s="161"/>
    </row>
    <row r="223" spans="1:24" ht="17.25" customHeight="1">
      <c r="A223" s="110" t="str">
        <f>+BASE!B227</f>
        <v>23XXR212</v>
      </c>
      <c r="B223" s="106" t="s">
        <v>40</v>
      </c>
      <c r="C223" s="111">
        <f t="shared" si="3"/>
        <v>0</v>
      </c>
      <c r="D223" s="111">
        <f t="shared" si="4"/>
        <v>0</v>
      </c>
      <c r="E223" s="111">
        <f t="shared" si="5"/>
        <v>0</v>
      </c>
      <c r="F223" s="111">
        <f t="shared" si="6"/>
        <v>0</v>
      </c>
      <c r="G223" s="111">
        <f t="shared" si="7"/>
        <v>0</v>
      </c>
      <c r="H223" s="111"/>
      <c r="I223" s="97">
        <f t="shared" si="18"/>
        <v>0</v>
      </c>
      <c r="J223" s="97">
        <f t="shared" si="8"/>
        <v>0</v>
      </c>
      <c r="K223" s="97">
        <f t="shared" si="9"/>
        <v>0</v>
      </c>
      <c r="L223" s="97">
        <f t="shared" si="10"/>
        <v>0</v>
      </c>
      <c r="M223" s="97">
        <f t="shared" si="11"/>
        <v>0</v>
      </c>
      <c r="N223" s="111"/>
      <c r="O223" s="110"/>
      <c r="P223" s="112">
        <f t="shared" si="12"/>
        <v>0</v>
      </c>
      <c r="Q223" s="106">
        <f>BASE!A227</f>
        <v>212</v>
      </c>
      <c r="R223" s="97">
        <f t="shared" si="13"/>
        <v>0</v>
      </c>
      <c r="S223" s="97">
        <f t="shared" si="14"/>
        <v>0</v>
      </c>
      <c r="T223" s="97">
        <f t="shared" si="15"/>
        <v>0</v>
      </c>
      <c r="U223" s="97">
        <f t="shared" si="16"/>
        <v>0</v>
      </c>
      <c r="V223" s="97">
        <f t="shared" si="17"/>
        <v>0</v>
      </c>
      <c r="W223" s="161"/>
      <c r="X223" s="161"/>
    </row>
    <row r="224" spans="1:24" ht="17.25" customHeight="1">
      <c r="A224" s="110" t="str">
        <f>+BASE!B228</f>
        <v>23XXR213</v>
      </c>
      <c r="B224" s="106" t="s">
        <v>40</v>
      </c>
      <c r="C224" s="111">
        <f t="shared" si="3"/>
        <v>0</v>
      </c>
      <c r="D224" s="111">
        <f t="shared" si="4"/>
        <v>0</v>
      </c>
      <c r="E224" s="111">
        <f t="shared" si="5"/>
        <v>0</v>
      </c>
      <c r="F224" s="111">
        <f t="shared" si="6"/>
        <v>0</v>
      </c>
      <c r="G224" s="111">
        <f t="shared" si="7"/>
        <v>0</v>
      </c>
      <c r="H224" s="111"/>
      <c r="I224" s="97">
        <f t="shared" si="18"/>
        <v>0</v>
      </c>
      <c r="J224" s="97">
        <f t="shared" si="8"/>
        <v>0</v>
      </c>
      <c r="K224" s="97">
        <f t="shared" si="9"/>
        <v>0</v>
      </c>
      <c r="L224" s="97">
        <f t="shared" si="10"/>
        <v>0</v>
      </c>
      <c r="M224" s="97">
        <f t="shared" si="11"/>
        <v>0</v>
      </c>
      <c r="N224" s="111"/>
      <c r="O224" s="110"/>
      <c r="P224" s="112">
        <f t="shared" si="12"/>
        <v>0</v>
      </c>
      <c r="Q224" s="106">
        <f>BASE!A228</f>
        <v>213</v>
      </c>
      <c r="R224" s="97">
        <f t="shared" si="13"/>
        <v>0</v>
      </c>
      <c r="S224" s="97">
        <f t="shared" si="14"/>
        <v>0</v>
      </c>
      <c r="T224" s="97">
        <f t="shared" si="15"/>
        <v>0</v>
      </c>
      <c r="U224" s="97">
        <f t="shared" si="16"/>
        <v>0</v>
      </c>
      <c r="V224" s="97">
        <f t="shared" si="17"/>
        <v>0</v>
      </c>
      <c r="W224" s="161"/>
      <c r="X224" s="161"/>
    </row>
    <row r="225" spans="1:24" ht="17.25" customHeight="1">
      <c r="A225" s="110" t="str">
        <f>+BASE!B229</f>
        <v>23XXR214</v>
      </c>
      <c r="B225" s="106" t="s">
        <v>40</v>
      </c>
      <c r="C225" s="111">
        <f t="shared" si="3"/>
        <v>0</v>
      </c>
      <c r="D225" s="111">
        <f t="shared" si="4"/>
        <v>0</v>
      </c>
      <c r="E225" s="111">
        <f t="shared" si="5"/>
        <v>0</v>
      </c>
      <c r="F225" s="111">
        <f t="shared" si="6"/>
        <v>0</v>
      </c>
      <c r="G225" s="111">
        <f t="shared" si="7"/>
        <v>0</v>
      </c>
      <c r="H225" s="111"/>
      <c r="I225" s="97">
        <f t="shared" si="18"/>
        <v>0</v>
      </c>
      <c r="J225" s="97">
        <f t="shared" si="8"/>
        <v>0</v>
      </c>
      <c r="K225" s="97">
        <f t="shared" si="9"/>
        <v>0</v>
      </c>
      <c r="L225" s="97">
        <f t="shared" si="10"/>
        <v>0</v>
      </c>
      <c r="M225" s="97">
        <f t="shared" si="11"/>
        <v>0</v>
      </c>
      <c r="N225" s="111"/>
      <c r="O225" s="110"/>
      <c r="P225" s="112">
        <f t="shared" si="12"/>
        <v>0</v>
      </c>
      <c r="Q225" s="106">
        <f>BASE!A229</f>
        <v>214</v>
      </c>
      <c r="R225" s="97">
        <f t="shared" si="13"/>
        <v>0</v>
      </c>
      <c r="S225" s="97">
        <f t="shared" si="14"/>
        <v>0</v>
      </c>
      <c r="T225" s="97">
        <f t="shared" si="15"/>
        <v>0</v>
      </c>
      <c r="U225" s="97">
        <f t="shared" si="16"/>
        <v>0</v>
      </c>
      <c r="V225" s="97">
        <f t="shared" si="17"/>
        <v>0</v>
      </c>
      <c r="W225" s="161"/>
      <c r="X225" s="161"/>
    </row>
    <row r="226" spans="1:24" ht="17.25" customHeight="1">
      <c r="A226" s="110" t="str">
        <f>+BASE!B230</f>
        <v>23XXR215</v>
      </c>
      <c r="B226" s="106" t="s">
        <v>40</v>
      </c>
      <c r="C226" s="111">
        <f t="shared" si="3"/>
        <v>0</v>
      </c>
      <c r="D226" s="111">
        <f t="shared" si="4"/>
        <v>0</v>
      </c>
      <c r="E226" s="111">
        <f t="shared" si="5"/>
        <v>0</v>
      </c>
      <c r="F226" s="111">
        <f t="shared" si="6"/>
        <v>0</v>
      </c>
      <c r="G226" s="111">
        <f t="shared" si="7"/>
        <v>0</v>
      </c>
      <c r="H226" s="111"/>
      <c r="I226" s="97">
        <f t="shared" si="18"/>
        <v>0</v>
      </c>
      <c r="J226" s="97">
        <f t="shared" si="8"/>
        <v>0</v>
      </c>
      <c r="K226" s="97">
        <f t="shared" si="9"/>
        <v>0</v>
      </c>
      <c r="L226" s="97">
        <f t="shared" si="10"/>
        <v>0</v>
      </c>
      <c r="M226" s="97">
        <f t="shared" si="11"/>
        <v>0</v>
      </c>
      <c r="N226" s="111"/>
      <c r="O226" s="110"/>
      <c r="P226" s="112">
        <f t="shared" si="12"/>
        <v>0</v>
      </c>
      <c r="Q226" s="106">
        <f>BASE!A230</f>
        <v>215</v>
      </c>
      <c r="R226" s="97">
        <f t="shared" si="13"/>
        <v>0</v>
      </c>
      <c r="S226" s="97">
        <f t="shared" si="14"/>
        <v>0</v>
      </c>
      <c r="T226" s="97">
        <f t="shared" si="15"/>
        <v>0</v>
      </c>
      <c r="U226" s="97">
        <f t="shared" si="16"/>
        <v>0</v>
      </c>
      <c r="V226" s="97">
        <f t="shared" si="17"/>
        <v>0</v>
      </c>
      <c r="W226" s="161"/>
      <c r="X226" s="161"/>
    </row>
    <row r="227" spans="1:24" ht="17.25" customHeight="1">
      <c r="A227" s="110" t="str">
        <f>+BASE!B231</f>
        <v>23XXR216</v>
      </c>
      <c r="B227" s="106" t="s">
        <v>40</v>
      </c>
      <c r="C227" s="111">
        <f t="shared" si="3"/>
        <v>0</v>
      </c>
      <c r="D227" s="111">
        <f t="shared" si="4"/>
        <v>0</v>
      </c>
      <c r="E227" s="111">
        <f t="shared" si="5"/>
        <v>0</v>
      </c>
      <c r="F227" s="111">
        <f t="shared" si="6"/>
        <v>0</v>
      </c>
      <c r="G227" s="111">
        <f t="shared" si="7"/>
        <v>0</v>
      </c>
      <c r="H227" s="111"/>
      <c r="I227" s="97">
        <f t="shared" si="18"/>
        <v>0</v>
      </c>
      <c r="J227" s="97">
        <f t="shared" si="8"/>
        <v>0</v>
      </c>
      <c r="K227" s="97">
        <f t="shared" si="9"/>
        <v>0</v>
      </c>
      <c r="L227" s="97">
        <f t="shared" si="10"/>
        <v>0</v>
      </c>
      <c r="M227" s="97">
        <f t="shared" si="11"/>
        <v>0</v>
      </c>
      <c r="N227" s="111"/>
      <c r="O227" s="110"/>
      <c r="P227" s="112">
        <f t="shared" si="12"/>
        <v>0</v>
      </c>
      <c r="Q227" s="106">
        <f>BASE!A231</f>
        <v>216</v>
      </c>
      <c r="R227" s="97">
        <f t="shared" si="13"/>
        <v>0</v>
      </c>
      <c r="S227" s="97">
        <f t="shared" si="14"/>
        <v>0</v>
      </c>
      <c r="T227" s="97">
        <f t="shared" si="15"/>
        <v>0</v>
      </c>
      <c r="U227" s="97">
        <f t="shared" si="16"/>
        <v>0</v>
      </c>
      <c r="V227" s="97">
        <f t="shared" si="17"/>
        <v>0</v>
      </c>
      <c r="W227" s="161"/>
      <c r="X227" s="161"/>
    </row>
    <row r="228" spans="1:24" ht="17.25" customHeight="1">
      <c r="A228" s="110" t="str">
        <f>+BASE!B232</f>
        <v>23XXR217</v>
      </c>
      <c r="B228" s="106" t="s">
        <v>40</v>
      </c>
      <c r="C228" s="111">
        <f t="shared" si="3"/>
        <v>0</v>
      </c>
      <c r="D228" s="111">
        <f t="shared" si="4"/>
        <v>0</v>
      </c>
      <c r="E228" s="111">
        <f t="shared" si="5"/>
        <v>0</v>
      </c>
      <c r="F228" s="111">
        <f t="shared" si="6"/>
        <v>0</v>
      </c>
      <c r="G228" s="111">
        <f t="shared" si="7"/>
        <v>0</v>
      </c>
      <c r="H228" s="111"/>
      <c r="I228" s="97">
        <f t="shared" si="18"/>
        <v>0</v>
      </c>
      <c r="J228" s="97">
        <f t="shared" si="8"/>
        <v>0</v>
      </c>
      <c r="K228" s="97">
        <f t="shared" si="9"/>
        <v>0</v>
      </c>
      <c r="L228" s="97">
        <f t="shared" si="10"/>
        <v>0</v>
      </c>
      <c r="M228" s="97">
        <f t="shared" si="11"/>
        <v>0</v>
      </c>
      <c r="N228" s="111"/>
      <c r="O228" s="110"/>
      <c r="P228" s="112">
        <f t="shared" si="12"/>
        <v>0</v>
      </c>
      <c r="Q228" s="106">
        <f>BASE!A232</f>
        <v>217</v>
      </c>
      <c r="R228" s="97">
        <f t="shared" si="13"/>
        <v>0</v>
      </c>
      <c r="S228" s="97">
        <f t="shared" si="14"/>
        <v>0</v>
      </c>
      <c r="T228" s="97">
        <f t="shared" si="15"/>
        <v>0</v>
      </c>
      <c r="U228" s="97">
        <f t="shared" si="16"/>
        <v>0</v>
      </c>
      <c r="V228" s="97">
        <f t="shared" si="17"/>
        <v>0</v>
      </c>
      <c r="W228" s="161"/>
      <c r="X228" s="161"/>
    </row>
    <row r="229" spans="1:24" ht="17.25" customHeight="1">
      <c r="A229" s="110" t="str">
        <f>+BASE!B233</f>
        <v>23XXR218</v>
      </c>
      <c r="B229" s="106" t="s">
        <v>40</v>
      </c>
      <c r="C229" s="111">
        <f t="shared" si="3"/>
        <v>0</v>
      </c>
      <c r="D229" s="111">
        <f t="shared" si="4"/>
        <v>0</v>
      </c>
      <c r="E229" s="111">
        <f t="shared" si="5"/>
        <v>0</v>
      </c>
      <c r="F229" s="111">
        <f t="shared" si="6"/>
        <v>0</v>
      </c>
      <c r="G229" s="111">
        <f t="shared" si="7"/>
        <v>0</v>
      </c>
      <c r="H229" s="111"/>
      <c r="I229" s="97">
        <f t="shared" si="18"/>
        <v>0</v>
      </c>
      <c r="J229" s="97">
        <f t="shared" si="8"/>
        <v>0</v>
      </c>
      <c r="K229" s="97">
        <f t="shared" si="9"/>
        <v>0</v>
      </c>
      <c r="L229" s="97">
        <f t="shared" si="10"/>
        <v>0</v>
      </c>
      <c r="M229" s="97">
        <f t="shared" si="11"/>
        <v>0</v>
      </c>
      <c r="N229" s="111"/>
      <c r="O229" s="110"/>
      <c r="P229" s="112">
        <f t="shared" si="12"/>
        <v>0</v>
      </c>
      <c r="Q229" s="106">
        <f>BASE!A233</f>
        <v>218</v>
      </c>
      <c r="R229" s="97">
        <f t="shared" si="13"/>
        <v>0</v>
      </c>
      <c r="S229" s="97">
        <f t="shared" si="14"/>
        <v>0</v>
      </c>
      <c r="T229" s="97">
        <f t="shared" si="15"/>
        <v>0</v>
      </c>
      <c r="U229" s="97">
        <f t="shared" si="16"/>
        <v>0</v>
      </c>
      <c r="V229" s="97">
        <f t="shared" si="17"/>
        <v>0</v>
      </c>
      <c r="W229" s="161"/>
      <c r="X229" s="161"/>
    </row>
    <row r="230" spans="1:24" ht="17.25" customHeight="1">
      <c r="A230" s="110" t="str">
        <f>+BASE!B234</f>
        <v>23XXR219</v>
      </c>
      <c r="B230" s="106" t="s">
        <v>40</v>
      </c>
      <c r="C230" s="111">
        <f t="shared" si="3"/>
        <v>0</v>
      </c>
      <c r="D230" s="111">
        <f t="shared" si="4"/>
        <v>0</v>
      </c>
      <c r="E230" s="111">
        <f t="shared" si="5"/>
        <v>0</v>
      </c>
      <c r="F230" s="111">
        <f t="shared" si="6"/>
        <v>0</v>
      </c>
      <c r="G230" s="111">
        <f t="shared" si="7"/>
        <v>0</v>
      </c>
      <c r="H230" s="111"/>
      <c r="I230" s="97">
        <f t="shared" si="18"/>
        <v>0</v>
      </c>
      <c r="J230" s="97">
        <f t="shared" si="8"/>
        <v>0</v>
      </c>
      <c r="K230" s="97">
        <f t="shared" si="9"/>
        <v>0</v>
      </c>
      <c r="L230" s="97">
        <f t="shared" si="10"/>
        <v>0</v>
      </c>
      <c r="M230" s="97">
        <f t="shared" si="11"/>
        <v>0</v>
      </c>
      <c r="N230" s="111"/>
      <c r="O230" s="110"/>
      <c r="P230" s="112">
        <f t="shared" si="12"/>
        <v>0</v>
      </c>
      <c r="Q230" s="106">
        <f>BASE!A234</f>
        <v>219</v>
      </c>
      <c r="R230" s="97">
        <f t="shared" si="13"/>
        <v>0</v>
      </c>
      <c r="S230" s="97">
        <f t="shared" si="14"/>
        <v>0</v>
      </c>
      <c r="T230" s="97">
        <f t="shared" si="15"/>
        <v>0</v>
      </c>
      <c r="U230" s="97">
        <f t="shared" si="16"/>
        <v>0</v>
      </c>
      <c r="V230" s="97">
        <f t="shared" si="17"/>
        <v>0</v>
      </c>
      <c r="W230" s="161"/>
      <c r="X230" s="161"/>
    </row>
    <row r="231" spans="1:24" ht="17.25" customHeight="1">
      <c r="A231" s="110" t="str">
        <f>+BASE!B235</f>
        <v>23XXR220</v>
      </c>
      <c r="B231" s="106" t="s">
        <v>40</v>
      </c>
      <c r="C231" s="111">
        <f t="shared" si="3"/>
        <v>0</v>
      </c>
      <c r="D231" s="111">
        <f t="shared" si="4"/>
        <v>0</v>
      </c>
      <c r="E231" s="111">
        <f t="shared" si="5"/>
        <v>0</v>
      </c>
      <c r="F231" s="111">
        <f t="shared" si="6"/>
        <v>0</v>
      </c>
      <c r="G231" s="111">
        <f t="shared" si="7"/>
        <v>0</v>
      </c>
      <c r="H231" s="111"/>
      <c r="I231" s="97">
        <f t="shared" si="18"/>
        <v>0</v>
      </c>
      <c r="J231" s="97">
        <f t="shared" si="8"/>
        <v>0</v>
      </c>
      <c r="K231" s="97">
        <f t="shared" si="9"/>
        <v>0</v>
      </c>
      <c r="L231" s="97">
        <f t="shared" si="10"/>
        <v>0</v>
      </c>
      <c r="M231" s="97">
        <f t="shared" si="11"/>
        <v>0</v>
      </c>
      <c r="N231" s="111"/>
      <c r="O231" s="110"/>
      <c r="P231" s="112">
        <f t="shared" si="12"/>
        <v>0</v>
      </c>
      <c r="Q231" s="106">
        <f>BASE!A235</f>
        <v>220</v>
      </c>
      <c r="R231" s="97">
        <f t="shared" si="13"/>
        <v>0</v>
      </c>
      <c r="S231" s="97">
        <f t="shared" si="14"/>
        <v>0</v>
      </c>
      <c r="T231" s="97">
        <f t="shared" si="15"/>
        <v>0</v>
      </c>
      <c r="U231" s="97">
        <f t="shared" si="16"/>
        <v>0</v>
      </c>
      <c r="V231" s="97">
        <f t="shared" si="17"/>
        <v>0</v>
      </c>
      <c r="W231" s="161"/>
      <c r="X231" s="161"/>
    </row>
    <row r="232" spans="1:24" ht="17.25" customHeight="1">
      <c r="A232" s="110" t="str">
        <f>+BASE!B236</f>
        <v>23XXR221</v>
      </c>
      <c r="B232" s="106" t="s">
        <v>40</v>
      </c>
      <c r="C232" s="111">
        <f t="shared" si="3"/>
        <v>0</v>
      </c>
      <c r="D232" s="111">
        <f t="shared" si="4"/>
        <v>0</v>
      </c>
      <c r="E232" s="111">
        <f t="shared" si="5"/>
        <v>0</v>
      </c>
      <c r="F232" s="111">
        <f t="shared" si="6"/>
        <v>0</v>
      </c>
      <c r="G232" s="111">
        <f t="shared" si="7"/>
        <v>0</v>
      </c>
      <c r="H232" s="111"/>
      <c r="I232" s="97">
        <f t="shared" si="18"/>
        <v>0</v>
      </c>
      <c r="J232" s="97">
        <f t="shared" si="8"/>
        <v>0</v>
      </c>
      <c r="K232" s="97">
        <f t="shared" si="9"/>
        <v>0</v>
      </c>
      <c r="L232" s="97">
        <f t="shared" si="10"/>
        <v>0</v>
      </c>
      <c r="M232" s="97">
        <f t="shared" si="11"/>
        <v>0</v>
      </c>
      <c r="N232" s="111"/>
      <c r="O232" s="110"/>
      <c r="P232" s="112">
        <f t="shared" si="12"/>
        <v>0</v>
      </c>
      <c r="Q232" s="106">
        <f>BASE!A236</f>
        <v>221</v>
      </c>
      <c r="R232" s="97">
        <f t="shared" si="13"/>
        <v>0</v>
      </c>
      <c r="S232" s="97">
        <f t="shared" si="14"/>
        <v>0</v>
      </c>
      <c r="T232" s="97">
        <f t="shared" si="15"/>
        <v>0</v>
      </c>
      <c r="U232" s="97">
        <f t="shared" si="16"/>
        <v>0</v>
      </c>
      <c r="V232" s="97">
        <f t="shared" si="17"/>
        <v>0</v>
      </c>
      <c r="W232" s="161"/>
      <c r="X232" s="161"/>
    </row>
    <row r="233" spans="1:24" ht="17.25" customHeight="1">
      <c r="A233" s="110" t="str">
        <f>+BASE!B237</f>
        <v>23XXR222</v>
      </c>
      <c r="B233" s="106" t="s">
        <v>40</v>
      </c>
      <c r="C233" s="111">
        <f t="shared" si="3"/>
        <v>0</v>
      </c>
      <c r="D233" s="111">
        <f t="shared" si="4"/>
        <v>0</v>
      </c>
      <c r="E233" s="111">
        <f t="shared" si="5"/>
        <v>0</v>
      </c>
      <c r="F233" s="111">
        <f t="shared" si="6"/>
        <v>0</v>
      </c>
      <c r="G233" s="111">
        <f t="shared" si="7"/>
        <v>0</v>
      </c>
      <c r="H233" s="111"/>
      <c r="I233" s="97">
        <f t="shared" si="18"/>
        <v>0</v>
      </c>
      <c r="J233" s="97">
        <f t="shared" si="8"/>
        <v>0</v>
      </c>
      <c r="K233" s="97">
        <f t="shared" si="9"/>
        <v>0</v>
      </c>
      <c r="L233" s="97">
        <f t="shared" si="10"/>
        <v>0</v>
      </c>
      <c r="M233" s="97">
        <f t="shared" si="11"/>
        <v>0</v>
      </c>
      <c r="N233" s="111"/>
      <c r="O233" s="110"/>
      <c r="P233" s="112">
        <f t="shared" si="12"/>
        <v>0</v>
      </c>
      <c r="Q233" s="106">
        <f>BASE!A237</f>
        <v>222</v>
      </c>
      <c r="R233" s="97">
        <f t="shared" si="13"/>
        <v>0</v>
      </c>
      <c r="S233" s="97">
        <f t="shared" si="14"/>
        <v>0</v>
      </c>
      <c r="T233" s="97">
        <f t="shared" si="15"/>
        <v>0</v>
      </c>
      <c r="U233" s="97">
        <f t="shared" si="16"/>
        <v>0</v>
      </c>
      <c r="V233" s="97">
        <f t="shared" si="17"/>
        <v>0</v>
      </c>
      <c r="W233" s="161"/>
      <c r="X233" s="161"/>
    </row>
    <row r="234" spans="1:24" ht="17.25" customHeight="1">
      <c r="A234" s="110" t="str">
        <f>+BASE!B238</f>
        <v>23XXR223</v>
      </c>
      <c r="B234" s="106" t="s">
        <v>40</v>
      </c>
      <c r="C234" s="111">
        <f t="shared" si="3"/>
        <v>0</v>
      </c>
      <c r="D234" s="111">
        <f t="shared" si="4"/>
        <v>0</v>
      </c>
      <c r="E234" s="111">
        <f t="shared" si="5"/>
        <v>0</v>
      </c>
      <c r="F234" s="111">
        <f t="shared" si="6"/>
        <v>0</v>
      </c>
      <c r="G234" s="111">
        <f t="shared" si="7"/>
        <v>0</v>
      </c>
      <c r="H234" s="111"/>
      <c r="I234" s="97">
        <f t="shared" si="18"/>
        <v>0</v>
      </c>
      <c r="J234" s="97">
        <f t="shared" si="8"/>
        <v>0</v>
      </c>
      <c r="K234" s="97">
        <f t="shared" si="9"/>
        <v>0</v>
      </c>
      <c r="L234" s="97">
        <f t="shared" si="10"/>
        <v>0</v>
      </c>
      <c r="M234" s="97">
        <f t="shared" si="11"/>
        <v>0</v>
      </c>
      <c r="N234" s="111"/>
      <c r="O234" s="110"/>
      <c r="P234" s="112">
        <f t="shared" si="12"/>
        <v>0</v>
      </c>
      <c r="Q234" s="106">
        <f>BASE!A238</f>
        <v>223</v>
      </c>
      <c r="R234" s="97">
        <f t="shared" si="13"/>
        <v>0</v>
      </c>
      <c r="S234" s="97">
        <f t="shared" si="14"/>
        <v>0</v>
      </c>
      <c r="T234" s="97">
        <f t="shared" si="15"/>
        <v>0</v>
      </c>
      <c r="U234" s="97">
        <f t="shared" si="16"/>
        <v>0</v>
      </c>
      <c r="V234" s="97">
        <f t="shared" si="17"/>
        <v>0</v>
      </c>
      <c r="W234" s="161"/>
      <c r="X234" s="161"/>
    </row>
    <row r="235" spans="1:24" ht="17.25" customHeight="1">
      <c r="A235" s="110" t="str">
        <f>+BASE!B239</f>
        <v>23XXR224</v>
      </c>
      <c r="B235" s="106" t="s">
        <v>40</v>
      </c>
      <c r="C235" s="111">
        <f t="shared" si="3"/>
        <v>0</v>
      </c>
      <c r="D235" s="111">
        <f t="shared" si="4"/>
        <v>0</v>
      </c>
      <c r="E235" s="111">
        <f t="shared" si="5"/>
        <v>0</v>
      </c>
      <c r="F235" s="111">
        <f t="shared" si="6"/>
        <v>0</v>
      </c>
      <c r="G235" s="111">
        <f t="shared" si="7"/>
        <v>0</v>
      </c>
      <c r="H235" s="111"/>
      <c r="I235" s="97">
        <f t="shared" si="18"/>
        <v>0</v>
      </c>
      <c r="J235" s="97">
        <f t="shared" si="8"/>
        <v>0</v>
      </c>
      <c r="K235" s="97">
        <f t="shared" si="9"/>
        <v>0</v>
      </c>
      <c r="L235" s="97">
        <f t="shared" si="10"/>
        <v>0</v>
      </c>
      <c r="M235" s="97">
        <f t="shared" si="11"/>
        <v>0</v>
      </c>
      <c r="N235" s="111"/>
      <c r="O235" s="110"/>
      <c r="P235" s="112">
        <f t="shared" si="12"/>
        <v>0</v>
      </c>
      <c r="Q235" s="106">
        <f>BASE!A239</f>
        <v>224</v>
      </c>
      <c r="R235" s="97">
        <f t="shared" si="13"/>
        <v>0</v>
      </c>
      <c r="S235" s="97">
        <f t="shared" si="14"/>
        <v>0</v>
      </c>
      <c r="T235" s="97">
        <f t="shared" si="15"/>
        <v>0</v>
      </c>
      <c r="U235" s="97">
        <f t="shared" si="16"/>
        <v>0</v>
      </c>
      <c r="V235" s="97">
        <f t="shared" si="17"/>
        <v>0</v>
      </c>
      <c r="W235" s="161"/>
      <c r="X235" s="161"/>
    </row>
    <row r="236" spans="1:24" ht="17.25" customHeight="1">
      <c r="A236" s="110" t="str">
        <f>+BASE!B240</f>
        <v>23XXR225</v>
      </c>
      <c r="B236" s="106" t="s">
        <v>40</v>
      </c>
      <c r="C236" s="111">
        <f t="shared" si="3"/>
        <v>0</v>
      </c>
      <c r="D236" s="111">
        <f t="shared" si="4"/>
        <v>0</v>
      </c>
      <c r="E236" s="111">
        <f t="shared" si="5"/>
        <v>0</v>
      </c>
      <c r="F236" s="111">
        <f t="shared" si="6"/>
        <v>0</v>
      </c>
      <c r="G236" s="111">
        <f t="shared" si="7"/>
        <v>0</v>
      </c>
      <c r="H236" s="111"/>
      <c r="I236" s="97">
        <f t="shared" si="18"/>
        <v>0</v>
      </c>
      <c r="J236" s="97">
        <f t="shared" si="8"/>
        <v>0</v>
      </c>
      <c r="K236" s="97">
        <f t="shared" si="9"/>
        <v>0</v>
      </c>
      <c r="L236" s="97">
        <f t="shared" si="10"/>
        <v>0</v>
      </c>
      <c r="M236" s="97">
        <f t="shared" si="11"/>
        <v>0</v>
      </c>
      <c r="N236" s="111"/>
      <c r="O236" s="110"/>
      <c r="P236" s="112">
        <f t="shared" si="12"/>
        <v>0</v>
      </c>
      <c r="Q236" s="106">
        <f>BASE!A240</f>
        <v>225</v>
      </c>
      <c r="R236" s="97">
        <f t="shared" si="13"/>
        <v>0</v>
      </c>
      <c r="S236" s="97">
        <f t="shared" si="14"/>
        <v>0</v>
      </c>
      <c r="T236" s="97">
        <f t="shared" si="15"/>
        <v>0</v>
      </c>
      <c r="U236" s="97">
        <f t="shared" si="16"/>
        <v>0</v>
      </c>
      <c r="V236" s="97">
        <f t="shared" si="17"/>
        <v>0</v>
      </c>
      <c r="W236" s="161"/>
      <c r="X236" s="161"/>
    </row>
    <row r="237" spans="1:24" ht="17.25" customHeight="1">
      <c r="A237" s="110" t="str">
        <f>+BASE!B241</f>
        <v>23XXR226</v>
      </c>
      <c r="B237" s="106" t="s">
        <v>40</v>
      </c>
      <c r="C237" s="111">
        <f t="shared" si="3"/>
        <v>0</v>
      </c>
      <c r="D237" s="111">
        <f t="shared" si="4"/>
        <v>0</v>
      </c>
      <c r="E237" s="111">
        <f t="shared" si="5"/>
        <v>0</v>
      </c>
      <c r="F237" s="111">
        <f t="shared" si="6"/>
        <v>0</v>
      </c>
      <c r="G237" s="111">
        <f t="shared" si="7"/>
        <v>0</v>
      </c>
      <c r="H237" s="111"/>
      <c r="I237" s="97">
        <f t="shared" si="18"/>
        <v>0</v>
      </c>
      <c r="J237" s="97">
        <f t="shared" si="8"/>
        <v>0</v>
      </c>
      <c r="K237" s="97">
        <f t="shared" si="9"/>
        <v>0</v>
      </c>
      <c r="L237" s="97">
        <f t="shared" si="10"/>
        <v>0</v>
      </c>
      <c r="M237" s="97">
        <f t="shared" si="11"/>
        <v>0</v>
      </c>
      <c r="N237" s="111"/>
      <c r="O237" s="110"/>
      <c r="P237" s="112">
        <f t="shared" si="12"/>
        <v>0</v>
      </c>
      <c r="Q237" s="106">
        <f>BASE!A241</f>
        <v>226</v>
      </c>
      <c r="R237" s="97">
        <f t="shared" si="13"/>
        <v>0</v>
      </c>
      <c r="S237" s="97">
        <f t="shared" si="14"/>
        <v>0</v>
      </c>
      <c r="T237" s="97">
        <f t="shared" si="15"/>
        <v>0</v>
      </c>
      <c r="U237" s="97">
        <f t="shared" si="16"/>
        <v>0</v>
      </c>
      <c r="V237" s="97">
        <f t="shared" si="17"/>
        <v>0</v>
      </c>
      <c r="W237" s="161"/>
      <c r="X237" s="161"/>
    </row>
    <row r="238" spans="1:24" ht="17.25" customHeight="1">
      <c r="A238" s="110" t="str">
        <f>+BASE!B242</f>
        <v>23XXR227</v>
      </c>
      <c r="B238" s="106" t="s">
        <v>40</v>
      </c>
      <c r="C238" s="111">
        <f t="shared" si="3"/>
        <v>0</v>
      </c>
      <c r="D238" s="111">
        <f t="shared" si="4"/>
        <v>0</v>
      </c>
      <c r="E238" s="111">
        <f t="shared" si="5"/>
        <v>0</v>
      </c>
      <c r="F238" s="111">
        <f t="shared" si="6"/>
        <v>0</v>
      </c>
      <c r="G238" s="111">
        <f t="shared" si="7"/>
        <v>0</v>
      </c>
      <c r="H238" s="111"/>
      <c r="I238" s="97">
        <f t="shared" si="18"/>
        <v>0</v>
      </c>
      <c r="J238" s="97">
        <f t="shared" si="8"/>
        <v>0</v>
      </c>
      <c r="K238" s="97">
        <f t="shared" si="9"/>
        <v>0</v>
      </c>
      <c r="L238" s="97">
        <f t="shared" si="10"/>
        <v>0</v>
      </c>
      <c r="M238" s="97">
        <f t="shared" si="11"/>
        <v>0</v>
      </c>
      <c r="N238" s="111"/>
      <c r="O238" s="110"/>
      <c r="P238" s="112">
        <f t="shared" si="12"/>
        <v>0</v>
      </c>
      <c r="Q238" s="106">
        <f>BASE!A242</f>
        <v>227</v>
      </c>
      <c r="R238" s="97">
        <f t="shared" si="13"/>
        <v>0</v>
      </c>
      <c r="S238" s="97">
        <f t="shared" si="14"/>
        <v>0</v>
      </c>
      <c r="T238" s="97">
        <f t="shared" si="15"/>
        <v>0</v>
      </c>
      <c r="U238" s="97">
        <f t="shared" si="16"/>
        <v>0</v>
      </c>
      <c r="V238" s="97">
        <f t="shared" si="17"/>
        <v>0</v>
      </c>
      <c r="W238" s="161"/>
      <c r="X238" s="161"/>
    </row>
    <row r="239" spans="1:24" ht="17.25" customHeight="1">
      <c r="A239" s="110" t="str">
        <f>+BASE!B243</f>
        <v>23XXR228</v>
      </c>
      <c r="B239" s="106" t="s">
        <v>40</v>
      </c>
      <c r="C239" s="111">
        <f t="shared" si="3"/>
        <v>0</v>
      </c>
      <c r="D239" s="111">
        <f t="shared" si="4"/>
        <v>0</v>
      </c>
      <c r="E239" s="111">
        <f t="shared" si="5"/>
        <v>0</v>
      </c>
      <c r="F239" s="111">
        <f t="shared" si="6"/>
        <v>0</v>
      </c>
      <c r="G239" s="111">
        <f t="shared" si="7"/>
        <v>0</v>
      </c>
      <c r="H239" s="111"/>
      <c r="I239" s="97">
        <f t="shared" si="18"/>
        <v>0</v>
      </c>
      <c r="J239" s="97">
        <f t="shared" si="8"/>
        <v>0</v>
      </c>
      <c r="K239" s="97">
        <f t="shared" si="9"/>
        <v>0</v>
      </c>
      <c r="L239" s="97">
        <f t="shared" si="10"/>
        <v>0</v>
      </c>
      <c r="M239" s="97">
        <f t="shared" si="11"/>
        <v>0</v>
      </c>
      <c r="N239" s="111"/>
      <c r="O239" s="110"/>
      <c r="P239" s="112">
        <f t="shared" si="12"/>
        <v>0</v>
      </c>
      <c r="Q239" s="106">
        <f>BASE!A243</f>
        <v>228</v>
      </c>
      <c r="R239" s="97">
        <f t="shared" si="13"/>
        <v>0</v>
      </c>
      <c r="S239" s="97">
        <f t="shared" si="14"/>
        <v>0</v>
      </c>
      <c r="T239" s="97">
        <f t="shared" si="15"/>
        <v>0</v>
      </c>
      <c r="U239" s="97">
        <f t="shared" si="16"/>
        <v>0</v>
      </c>
      <c r="V239" s="97">
        <f t="shared" si="17"/>
        <v>0</v>
      </c>
      <c r="W239" s="161"/>
      <c r="X239" s="161"/>
    </row>
    <row r="240" spans="1:24" ht="17.25" customHeight="1">
      <c r="A240" s="110" t="str">
        <f>+BASE!B244</f>
        <v>23XXR229</v>
      </c>
      <c r="B240" s="106" t="s">
        <v>40</v>
      </c>
      <c r="C240" s="111">
        <f t="shared" si="3"/>
        <v>0</v>
      </c>
      <c r="D240" s="111">
        <f t="shared" si="4"/>
        <v>0</v>
      </c>
      <c r="E240" s="111">
        <f t="shared" si="5"/>
        <v>0</v>
      </c>
      <c r="F240" s="111">
        <f t="shared" si="6"/>
        <v>0</v>
      </c>
      <c r="G240" s="111">
        <f t="shared" si="7"/>
        <v>0</v>
      </c>
      <c r="H240" s="111"/>
      <c r="I240" s="97">
        <f t="shared" si="18"/>
        <v>0</v>
      </c>
      <c r="J240" s="97">
        <f t="shared" si="8"/>
        <v>0</v>
      </c>
      <c r="K240" s="97">
        <f t="shared" si="9"/>
        <v>0</v>
      </c>
      <c r="L240" s="97">
        <f t="shared" si="10"/>
        <v>0</v>
      </c>
      <c r="M240" s="97">
        <f t="shared" si="11"/>
        <v>0</v>
      </c>
      <c r="N240" s="111"/>
      <c r="O240" s="110"/>
      <c r="P240" s="112">
        <f t="shared" si="12"/>
        <v>0</v>
      </c>
      <c r="Q240" s="106">
        <f>BASE!A244</f>
        <v>229</v>
      </c>
      <c r="R240" s="97">
        <f t="shared" si="13"/>
        <v>0</v>
      </c>
      <c r="S240" s="97">
        <f t="shared" si="14"/>
        <v>0</v>
      </c>
      <c r="T240" s="97">
        <f t="shared" si="15"/>
        <v>0</v>
      </c>
      <c r="U240" s="97">
        <f t="shared" si="16"/>
        <v>0</v>
      </c>
      <c r="V240" s="97">
        <f t="shared" si="17"/>
        <v>0</v>
      </c>
      <c r="W240" s="161"/>
      <c r="X240" s="161"/>
    </row>
    <row r="241" spans="1:24" ht="17.25" customHeight="1">
      <c r="A241" s="110" t="str">
        <f>+BASE!B245</f>
        <v>23XXR230</v>
      </c>
      <c r="B241" s="106" t="s">
        <v>40</v>
      </c>
      <c r="C241" s="111">
        <f t="shared" si="3"/>
        <v>0</v>
      </c>
      <c r="D241" s="111">
        <f t="shared" si="4"/>
        <v>0</v>
      </c>
      <c r="E241" s="111">
        <f t="shared" si="5"/>
        <v>0</v>
      </c>
      <c r="F241" s="111">
        <f t="shared" si="6"/>
        <v>0</v>
      </c>
      <c r="G241" s="111">
        <f t="shared" si="7"/>
        <v>0</v>
      </c>
      <c r="H241" s="111"/>
      <c r="I241" s="97">
        <f t="shared" si="18"/>
        <v>0</v>
      </c>
      <c r="J241" s="97">
        <f t="shared" si="8"/>
        <v>0</v>
      </c>
      <c r="K241" s="97">
        <f t="shared" si="9"/>
        <v>0</v>
      </c>
      <c r="L241" s="97">
        <f t="shared" si="10"/>
        <v>0</v>
      </c>
      <c r="M241" s="97">
        <f t="shared" si="11"/>
        <v>0</v>
      </c>
      <c r="N241" s="111"/>
      <c r="O241" s="110"/>
      <c r="P241" s="112">
        <f t="shared" si="12"/>
        <v>0</v>
      </c>
      <c r="Q241" s="106">
        <f>BASE!A245</f>
        <v>230</v>
      </c>
      <c r="R241" s="97">
        <f t="shared" si="13"/>
        <v>0</v>
      </c>
      <c r="S241" s="97">
        <f t="shared" si="14"/>
        <v>0</v>
      </c>
      <c r="T241" s="97">
        <f t="shared" si="15"/>
        <v>0</v>
      </c>
      <c r="U241" s="97">
        <f t="shared" si="16"/>
        <v>0</v>
      </c>
      <c r="V241" s="97">
        <f t="shared" si="17"/>
        <v>0</v>
      </c>
      <c r="W241" s="161"/>
      <c r="X241" s="161"/>
    </row>
    <row r="242" spans="1:24" ht="17.25" customHeight="1">
      <c r="A242" s="110" t="str">
        <f>+BASE!B246</f>
        <v>23XXR231</v>
      </c>
      <c r="B242" s="106" t="s">
        <v>40</v>
      </c>
      <c r="C242" s="111">
        <f t="shared" si="3"/>
        <v>0</v>
      </c>
      <c r="D242" s="111">
        <f t="shared" si="4"/>
        <v>0</v>
      </c>
      <c r="E242" s="111">
        <f t="shared" si="5"/>
        <v>0</v>
      </c>
      <c r="F242" s="111">
        <f t="shared" si="6"/>
        <v>0</v>
      </c>
      <c r="G242" s="111">
        <f t="shared" si="7"/>
        <v>0</v>
      </c>
      <c r="H242" s="111"/>
      <c r="I242" s="97">
        <f t="shared" si="18"/>
        <v>0</v>
      </c>
      <c r="J242" s="97">
        <f t="shared" si="8"/>
        <v>0</v>
      </c>
      <c r="K242" s="97">
        <f t="shared" si="9"/>
        <v>0</v>
      </c>
      <c r="L242" s="97">
        <f t="shared" si="10"/>
        <v>0</v>
      </c>
      <c r="M242" s="97">
        <f t="shared" si="11"/>
        <v>0</v>
      </c>
      <c r="N242" s="111"/>
      <c r="O242" s="110"/>
      <c r="P242" s="112">
        <f t="shared" si="12"/>
        <v>0</v>
      </c>
      <c r="Q242" s="106">
        <f>BASE!A246</f>
        <v>231</v>
      </c>
      <c r="R242" s="97">
        <f t="shared" si="13"/>
        <v>0</v>
      </c>
      <c r="S242" s="97">
        <f t="shared" si="14"/>
        <v>0</v>
      </c>
      <c r="T242" s="97">
        <f t="shared" si="15"/>
        <v>0</v>
      </c>
      <c r="U242" s="97">
        <f t="shared" si="16"/>
        <v>0</v>
      </c>
      <c r="V242" s="97">
        <f t="shared" si="17"/>
        <v>0</v>
      </c>
      <c r="W242" s="161"/>
      <c r="X242" s="161"/>
    </row>
    <row r="243" spans="1:24" ht="17.25" customHeight="1">
      <c r="A243" s="110" t="str">
        <f>+BASE!B247</f>
        <v>23XXR232</v>
      </c>
      <c r="B243" s="106" t="s">
        <v>40</v>
      </c>
      <c r="C243" s="111">
        <f t="shared" si="3"/>
        <v>0</v>
      </c>
      <c r="D243" s="111">
        <f t="shared" si="4"/>
        <v>0</v>
      </c>
      <c r="E243" s="111">
        <f t="shared" si="5"/>
        <v>0</v>
      </c>
      <c r="F243" s="111">
        <f t="shared" si="6"/>
        <v>0</v>
      </c>
      <c r="G243" s="111">
        <f t="shared" si="7"/>
        <v>0</v>
      </c>
      <c r="H243" s="111"/>
      <c r="I243" s="97">
        <f t="shared" si="18"/>
        <v>0</v>
      </c>
      <c r="J243" s="97">
        <f t="shared" si="8"/>
        <v>0</v>
      </c>
      <c r="K243" s="97">
        <f t="shared" si="9"/>
        <v>0</v>
      </c>
      <c r="L243" s="97">
        <f t="shared" si="10"/>
        <v>0</v>
      </c>
      <c r="M243" s="97">
        <f t="shared" si="11"/>
        <v>0</v>
      </c>
      <c r="N243" s="111"/>
      <c r="O243" s="110"/>
      <c r="P243" s="112">
        <f t="shared" si="12"/>
        <v>0</v>
      </c>
      <c r="Q243" s="106">
        <f>BASE!A247</f>
        <v>232</v>
      </c>
      <c r="R243" s="97">
        <f t="shared" si="13"/>
        <v>0</v>
      </c>
      <c r="S243" s="97">
        <f t="shared" si="14"/>
        <v>0</v>
      </c>
      <c r="T243" s="97">
        <f t="shared" si="15"/>
        <v>0</v>
      </c>
      <c r="U243" s="97">
        <f t="shared" si="16"/>
        <v>0</v>
      </c>
      <c r="V243" s="97">
        <f t="shared" si="17"/>
        <v>0</v>
      </c>
      <c r="W243" s="161"/>
      <c r="X243" s="161"/>
    </row>
    <row r="244" spans="1:24" ht="17.25" customHeight="1">
      <c r="A244" s="110" t="str">
        <f>+BASE!B248</f>
        <v>23XXR233</v>
      </c>
      <c r="B244" s="106" t="s">
        <v>40</v>
      </c>
      <c r="C244" s="111">
        <f t="shared" si="3"/>
        <v>0</v>
      </c>
      <c r="D244" s="111">
        <f t="shared" si="4"/>
        <v>0</v>
      </c>
      <c r="E244" s="111">
        <f t="shared" si="5"/>
        <v>0</v>
      </c>
      <c r="F244" s="111">
        <f t="shared" si="6"/>
        <v>0</v>
      </c>
      <c r="G244" s="111">
        <f t="shared" si="7"/>
        <v>0</v>
      </c>
      <c r="H244" s="111"/>
      <c r="I244" s="97">
        <f t="shared" si="18"/>
        <v>0</v>
      </c>
      <c r="J244" s="97">
        <f t="shared" si="8"/>
        <v>0</v>
      </c>
      <c r="K244" s="97">
        <f t="shared" si="9"/>
        <v>0</v>
      </c>
      <c r="L244" s="97">
        <f t="shared" si="10"/>
        <v>0</v>
      </c>
      <c r="M244" s="97">
        <f t="shared" si="11"/>
        <v>0</v>
      </c>
      <c r="N244" s="111"/>
      <c r="O244" s="110"/>
      <c r="P244" s="112">
        <f t="shared" si="12"/>
        <v>0</v>
      </c>
      <c r="Q244" s="106">
        <f>BASE!A248</f>
        <v>233</v>
      </c>
      <c r="R244" s="97">
        <f t="shared" si="13"/>
        <v>0</v>
      </c>
      <c r="S244" s="97">
        <f t="shared" si="14"/>
        <v>0</v>
      </c>
      <c r="T244" s="97">
        <f t="shared" si="15"/>
        <v>0</v>
      </c>
      <c r="U244" s="97">
        <f t="shared" si="16"/>
        <v>0</v>
      </c>
      <c r="V244" s="97">
        <f t="shared" si="17"/>
        <v>0</v>
      </c>
      <c r="W244" s="161"/>
      <c r="X244" s="161"/>
    </row>
    <row r="245" spans="1:24" ht="17.25" customHeight="1">
      <c r="A245" s="110" t="str">
        <f>+BASE!B249</f>
        <v>23XXR234</v>
      </c>
      <c r="B245" s="106" t="s">
        <v>40</v>
      </c>
      <c r="C245" s="111">
        <f t="shared" si="3"/>
        <v>0</v>
      </c>
      <c r="D245" s="111">
        <f t="shared" si="4"/>
        <v>0</v>
      </c>
      <c r="E245" s="111">
        <f t="shared" si="5"/>
        <v>0</v>
      </c>
      <c r="F245" s="111">
        <f t="shared" si="6"/>
        <v>0</v>
      </c>
      <c r="G245" s="111">
        <f t="shared" si="7"/>
        <v>0</v>
      </c>
      <c r="H245" s="111"/>
      <c r="I245" s="97">
        <f t="shared" si="18"/>
        <v>0</v>
      </c>
      <c r="J245" s="97">
        <f t="shared" si="8"/>
        <v>0</v>
      </c>
      <c r="K245" s="97">
        <f t="shared" si="9"/>
        <v>0</v>
      </c>
      <c r="L245" s="97">
        <f t="shared" si="10"/>
        <v>0</v>
      </c>
      <c r="M245" s="97">
        <f t="shared" si="11"/>
        <v>0</v>
      </c>
      <c r="N245" s="111"/>
      <c r="O245" s="110"/>
      <c r="P245" s="112">
        <f t="shared" si="12"/>
        <v>0</v>
      </c>
      <c r="Q245" s="106">
        <f>BASE!A249</f>
        <v>234</v>
      </c>
      <c r="R245" s="97">
        <f t="shared" si="13"/>
        <v>0</v>
      </c>
      <c r="S245" s="97">
        <f t="shared" si="14"/>
        <v>0</v>
      </c>
      <c r="T245" s="97">
        <f t="shared" si="15"/>
        <v>0</v>
      </c>
      <c r="U245" s="97">
        <f t="shared" si="16"/>
        <v>0</v>
      </c>
      <c r="V245" s="97">
        <f t="shared" si="17"/>
        <v>0</v>
      </c>
      <c r="W245" s="161"/>
      <c r="X245" s="161"/>
    </row>
    <row r="246" spans="1:24" ht="17.25" customHeight="1">
      <c r="A246" s="110" t="str">
        <f>+BASE!B250</f>
        <v>23XXR235</v>
      </c>
      <c r="B246" s="106" t="s">
        <v>40</v>
      </c>
      <c r="C246" s="111">
        <f t="shared" si="3"/>
        <v>0</v>
      </c>
      <c r="D246" s="111">
        <f t="shared" si="4"/>
        <v>0</v>
      </c>
      <c r="E246" s="111">
        <f t="shared" si="5"/>
        <v>0</v>
      </c>
      <c r="F246" s="111">
        <f t="shared" si="6"/>
        <v>0</v>
      </c>
      <c r="G246" s="111">
        <f t="shared" si="7"/>
        <v>0</v>
      </c>
      <c r="H246" s="111"/>
      <c r="I246" s="97">
        <f t="shared" si="18"/>
        <v>0</v>
      </c>
      <c r="J246" s="97">
        <f t="shared" si="8"/>
        <v>0</v>
      </c>
      <c r="K246" s="97">
        <f t="shared" si="9"/>
        <v>0</v>
      </c>
      <c r="L246" s="97">
        <f t="shared" si="10"/>
        <v>0</v>
      </c>
      <c r="M246" s="97">
        <f t="shared" si="11"/>
        <v>0</v>
      </c>
      <c r="N246" s="111"/>
      <c r="O246" s="110"/>
      <c r="P246" s="112">
        <f t="shared" si="12"/>
        <v>0</v>
      </c>
      <c r="Q246" s="106">
        <f>BASE!A250</f>
        <v>235</v>
      </c>
      <c r="R246" s="97">
        <f t="shared" si="13"/>
        <v>0</v>
      </c>
      <c r="S246" s="97">
        <f t="shared" si="14"/>
        <v>0</v>
      </c>
      <c r="T246" s="97">
        <f t="shared" si="15"/>
        <v>0</v>
      </c>
      <c r="U246" s="97">
        <f t="shared" si="16"/>
        <v>0</v>
      </c>
      <c r="V246" s="97">
        <f t="shared" si="17"/>
        <v>0</v>
      </c>
      <c r="W246" s="161"/>
      <c r="X246" s="161"/>
    </row>
    <row r="247" spans="1:24" ht="17.25" customHeight="1">
      <c r="A247" s="110" t="str">
        <f>+BASE!B251</f>
        <v>23XXR236</v>
      </c>
      <c r="B247" s="106" t="s">
        <v>40</v>
      </c>
      <c r="C247" s="111">
        <f t="shared" si="3"/>
        <v>0</v>
      </c>
      <c r="D247" s="111">
        <f t="shared" si="4"/>
        <v>0</v>
      </c>
      <c r="E247" s="111">
        <f t="shared" si="5"/>
        <v>0</v>
      </c>
      <c r="F247" s="111">
        <f t="shared" si="6"/>
        <v>0</v>
      </c>
      <c r="G247" s="111">
        <f t="shared" si="7"/>
        <v>0</v>
      </c>
      <c r="H247" s="111"/>
      <c r="I247" s="97">
        <f t="shared" si="18"/>
        <v>0</v>
      </c>
      <c r="J247" s="97">
        <f t="shared" si="8"/>
        <v>0</v>
      </c>
      <c r="K247" s="97">
        <f t="shared" si="9"/>
        <v>0</v>
      </c>
      <c r="L247" s="97">
        <f t="shared" si="10"/>
        <v>0</v>
      </c>
      <c r="M247" s="97">
        <f t="shared" si="11"/>
        <v>0</v>
      </c>
      <c r="N247" s="111"/>
      <c r="O247" s="110"/>
      <c r="P247" s="112">
        <f t="shared" si="12"/>
        <v>0</v>
      </c>
      <c r="Q247" s="106">
        <f>BASE!A251</f>
        <v>236</v>
      </c>
      <c r="R247" s="97">
        <f t="shared" si="13"/>
        <v>0</v>
      </c>
      <c r="S247" s="97">
        <f t="shared" si="14"/>
        <v>0</v>
      </c>
      <c r="T247" s="97">
        <f t="shared" si="15"/>
        <v>0</v>
      </c>
      <c r="U247" s="97">
        <f t="shared" si="16"/>
        <v>0</v>
      </c>
      <c r="V247" s="97">
        <f t="shared" si="17"/>
        <v>0</v>
      </c>
      <c r="W247" s="161"/>
      <c r="X247" s="161"/>
    </row>
    <row r="248" spans="1:24" ht="17.25" customHeight="1">
      <c r="A248" s="110" t="str">
        <f>+BASE!B252</f>
        <v>23XXR237</v>
      </c>
      <c r="B248" s="106" t="s">
        <v>40</v>
      </c>
      <c r="C248" s="111">
        <f t="shared" si="3"/>
        <v>0</v>
      </c>
      <c r="D248" s="111">
        <f t="shared" si="4"/>
        <v>0</v>
      </c>
      <c r="E248" s="111">
        <f t="shared" si="5"/>
        <v>0</v>
      </c>
      <c r="F248" s="111">
        <f t="shared" si="6"/>
        <v>0</v>
      </c>
      <c r="G248" s="111">
        <f t="shared" si="7"/>
        <v>0</v>
      </c>
      <c r="H248" s="111"/>
      <c r="I248" s="97">
        <f t="shared" si="18"/>
        <v>0</v>
      </c>
      <c r="J248" s="97">
        <f t="shared" si="8"/>
        <v>0</v>
      </c>
      <c r="K248" s="97">
        <f t="shared" si="9"/>
        <v>0</v>
      </c>
      <c r="L248" s="97">
        <f t="shared" si="10"/>
        <v>0</v>
      </c>
      <c r="M248" s="97">
        <f t="shared" si="11"/>
        <v>0</v>
      </c>
      <c r="N248" s="111"/>
      <c r="O248" s="110"/>
      <c r="P248" s="112">
        <f t="shared" si="12"/>
        <v>0</v>
      </c>
      <c r="Q248" s="106">
        <f>BASE!A252</f>
        <v>237</v>
      </c>
      <c r="R248" s="97">
        <f t="shared" si="13"/>
        <v>0</v>
      </c>
      <c r="S248" s="97">
        <f t="shared" si="14"/>
        <v>0</v>
      </c>
      <c r="T248" s="97">
        <f t="shared" si="15"/>
        <v>0</v>
      </c>
      <c r="U248" s="97">
        <f t="shared" si="16"/>
        <v>0</v>
      </c>
      <c r="V248" s="97">
        <f t="shared" si="17"/>
        <v>0</v>
      </c>
      <c r="W248" s="161"/>
      <c r="X248" s="161"/>
    </row>
    <row r="249" spans="1:24" ht="17.25" customHeight="1">
      <c r="A249" s="110" t="str">
        <f>+BASE!B253</f>
        <v>23XXR238</v>
      </c>
      <c r="B249" s="106" t="s">
        <v>40</v>
      </c>
      <c r="C249" s="111">
        <f t="shared" si="3"/>
        <v>0</v>
      </c>
      <c r="D249" s="111">
        <f t="shared" si="4"/>
        <v>0</v>
      </c>
      <c r="E249" s="111">
        <f t="shared" si="5"/>
        <v>0</v>
      </c>
      <c r="F249" s="111">
        <f t="shared" si="6"/>
        <v>0</v>
      </c>
      <c r="G249" s="111">
        <f t="shared" si="7"/>
        <v>0</v>
      </c>
      <c r="H249" s="111"/>
      <c r="I249" s="97">
        <f t="shared" si="18"/>
        <v>0</v>
      </c>
      <c r="J249" s="97">
        <f t="shared" si="8"/>
        <v>0</v>
      </c>
      <c r="K249" s="97">
        <f t="shared" si="9"/>
        <v>0</v>
      </c>
      <c r="L249" s="97">
        <f t="shared" si="10"/>
        <v>0</v>
      </c>
      <c r="M249" s="97">
        <f t="shared" si="11"/>
        <v>0</v>
      </c>
      <c r="N249" s="111"/>
      <c r="O249" s="110"/>
      <c r="P249" s="112">
        <f t="shared" si="12"/>
        <v>0</v>
      </c>
      <c r="Q249" s="106">
        <f>BASE!A253</f>
        <v>238</v>
      </c>
      <c r="R249" s="97">
        <f t="shared" si="13"/>
        <v>0</v>
      </c>
      <c r="S249" s="97">
        <f t="shared" si="14"/>
        <v>0</v>
      </c>
      <c r="T249" s="97">
        <f t="shared" si="15"/>
        <v>0</v>
      </c>
      <c r="U249" s="97">
        <f t="shared" si="16"/>
        <v>0</v>
      </c>
      <c r="V249" s="97">
        <f t="shared" si="17"/>
        <v>0</v>
      </c>
      <c r="W249" s="161"/>
      <c r="X249" s="161"/>
    </row>
    <row r="250" spans="1:24" ht="17.25" customHeight="1">
      <c r="A250" s="110" t="str">
        <f>+BASE!B254</f>
        <v>23XXR239</v>
      </c>
      <c r="B250" s="106" t="s">
        <v>40</v>
      </c>
      <c r="C250" s="111">
        <f t="shared" si="3"/>
        <v>0</v>
      </c>
      <c r="D250" s="111">
        <f t="shared" si="4"/>
        <v>0</v>
      </c>
      <c r="E250" s="111">
        <f t="shared" si="5"/>
        <v>0</v>
      </c>
      <c r="F250" s="111">
        <f t="shared" si="6"/>
        <v>0</v>
      </c>
      <c r="G250" s="111">
        <f t="shared" si="7"/>
        <v>0</v>
      </c>
      <c r="H250" s="111"/>
      <c r="I250" s="97">
        <f t="shared" si="18"/>
        <v>0</v>
      </c>
      <c r="J250" s="97">
        <f t="shared" si="8"/>
        <v>0</v>
      </c>
      <c r="K250" s="97">
        <f t="shared" si="9"/>
        <v>0</v>
      </c>
      <c r="L250" s="97">
        <f t="shared" si="10"/>
        <v>0</v>
      </c>
      <c r="M250" s="97">
        <f t="shared" si="11"/>
        <v>0</v>
      </c>
      <c r="N250" s="111"/>
      <c r="O250" s="110"/>
      <c r="P250" s="112">
        <f t="shared" si="12"/>
        <v>0</v>
      </c>
      <c r="Q250" s="106">
        <f>BASE!A254</f>
        <v>239</v>
      </c>
      <c r="R250" s="97">
        <f t="shared" si="13"/>
        <v>0</v>
      </c>
      <c r="S250" s="97">
        <f t="shared" si="14"/>
        <v>0</v>
      </c>
      <c r="T250" s="97">
        <f t="shared" si="15"/>
        <v>0</v>
      </c>
      <c r="U250" s="97">
        <f t="shared" si="16"/>
        <v>0</v>
      </c>
      <c r="V250" s="97">
        <f t="shared" si="17"/>
        <v>0</v>
      </c>
      <c r="W250" s="161"/>
      <c r="X250" s="161"/>
    </row>
    <row r="251" spans="1:24" ht="17.25" customHeight="1">
      <c r="A251" s="110" t="str">
        <f>+BASE!B255</f>
        <v>23XXR240</v>
      </c>
      <c r="B251" s="106" t="s">
        <v>40</v>
      </c>
      <c r="C251" s="111">
        <f t="shared" si="3"/>
        <v>0</v>
      </c>
      <c r="D251" s="111">
        <f t="shared" si="4"/>
        <v>0</v>
      </c>
      <c r="E251" s="111">
        <f t="shared" si="5"/>
        <v>0</v>
      </c>
      <c r="F251" s="111">
        <f t="shared" si="6"/>
        <v>0</v>
      </c>
      <c r="G251" s="111">
        <f t="shared" si="7"/>
        <v>0</v>
      </c>
      <c r="H251" s="111"/>
      <c r="I251" s="97">
        <f t="shared" si="18"/>
        <v>0</v>
      </c>
      <c r="J251" s="97">
        <f t="shared" si="8"/>
        <v>0</v>
      </c>
      <c r="K251" s="97">
        <f t="shared" si="9"/>
        <v>0</v>
      </c>
      <c r="L251" s="97">
        <f t="shared" si="10"/>
        <v>0</v>
      </c>
      <c r="M251" s="97">
        <f t="shared" si="11"/>
        <v>0</v>
      </c>
      <c r="N251" s="111"/>
      <c r="O251" s="110"/>
      <c r="P251" s="112">
        <f t="shared" si="12"/>
        <v>0</v>
      </c>
      <c r="Q251" s="106">
        <f>BASE!A255</f>
        <v>240</v>
      </c>
      <c r="R251" s="97">
        <f t="shared" si="13"/>
        <v>0</v>
      </c>
      <c r="S251" s="97">
        <f t="shared" si="14"/>
        <v>0</v>
      </c>
      <c r="T251" s="97">
        <f t="shared" si="15"/>
        <v>0</v>
      </c>
      <c r="U251" s="97">
        <f t="shared" si="16"/>
        <v>0</v>
      </c>
      <c r="V251" s="97">
        <f t="shared" si="17"/>
        <v>0</v>
      </c>
      <c r="W251" s="161"/>
      <c r="X251" s="161"/>
    </row>
    <row r="252" spans="1:24" ht="17.25" customHeight="1">
      <c r="A252" s="110" t="str">
        <f>+BASE!B256</f>
        <v>23XXR241</v>
      </c>
      <c r="B252" s="106" t="s">
        <v>40</v>
      </c>
      <c r="C252" s="111">
        <f t="shared" si="3"/>
        <v>0</v>
      </c>
      <c r="D252" s="111">
        <f t="shared" si="4"/>
        <v>0</v>
      </c>
      <c r="E252" s="111">
        <f t="shared" si="5"/>
        <v>0</v>
      </c>
      <c r="F252" s="111">
        <f t="shared" si="6"/>
        <v>0</v>
      </c>
      <c r="G252" s="111">
        <f t="shared" si="7"/>
        <v>0</v>
      </c>
      <c r="H252" s="97"/>
      <c r="I252" s="97">
        <f t="shared" si="18"/>
        <v>0</v>
      </c>
      <c r="J252" s="97">
        <f t="shared" si="8"/>
        <v>0</v>
      </c>
      <c r="K252" s="97">
        <f t="shared" si="9"/>
        <v>0</v>
      </c>
      <c r="L252" s="97">
        <f t="shared" si="10"/>
        <v>0</v>
      </c>
      <c r="M252" s="97">
        <f t="shared" si="11"/>
        <v>0</v>
      </c>
      <c r="N252" s="97"/>
      <c r="O252" s="97"/>
      <c r="P252" s="112">
        <f t="shared" si="12"/>
        <v>0</v>
      </c>
      <c r="Q252" s="106">
        <f>BASE!A256</f>
        <v>241</v>
      </c>
      <c r="R252" s="97">
        <f t="shared" si="13"/>
        <v>0</v>
      </c>
      <c r="S252" s="97">
        <f t="shared" si="14"/>
        <v>0</v>
      </c>
      <c r="T252" s="97">
        <f t="shared" si="15"/>
        <v>0</v>
      </c>
      <c r="U252" s="97">
        <f t="shared" si="16"/>
        <v>0</v>
      </c>
      <c r="V252" s="97">
        <f t="shared" si="17"/>
        <v>0</v>
      </c>
      <c r="W252" s="161"/>
      <c r="X252" s="161"/>
    </row>
    <row r="253" spans="1:24" ht="17.25" customHeight="1">
      <c r="A253" s="110" t="str">
        <f>+BASE!B257</f>
        <v>23XXR242</v>
      </c>
      <c r="B253" s="106" t="s">
        <v>40</v>
      </c>
      <c r="C253" s="111">
        <f t="shared" ref="C253:C316" si="19">IF($O$7="2T+1P", W253/5, IF($O$7="3T+1P",W253/5, IF($O$7="3.5T+0.5P",W253/5, " ")))</f>
        <v>0</v>
      </c>
      <c r="D253" s="111">
        <f t="shared" ref="D253:D316" si="20">IF($O$7="2T+1P", W253/5, IF($O$7="3T+1P",W253/5, IF($O$7="3.5T+0.5P",W253/5, " ")))</f>
        <v>0</v>
      </c>
      <c r="E253" s="111">
        <f t="shared" ref="E253:E316" si="21">IF($O$7="2T+1P", W253/5, IF($O$7="3T+1P",W253/5, IF($O$7="3.5T+0.5P",W253/5, " ")))</f>
        <v>0</v>
      </c>
      <c r="F253" s="111">
        <f t="shared" ref="F253:F316" si="22">IF($O$7="2T+1P", W253/5, IF($O$7="3T+1P",W253/5, IF($O$7="3.5T+0.5P",W253/5, " ")))</f>
        <v>0</v>
      </c>
      <c r="G253" s="111">
        <f t="shared" ref="G253:G316" si="23">IF($O$7="2T+1P", W253/5, IF($O$7="3T+1P",W253/5, IF($O$7="3.5T+0.5P",W253/5, " ")))</f>
        <v>0</v>
      </c>
      <c r="H253" s="97"/>
      <c r="I253" s="97">
        <f t="shared" ref="I253:I316" si="24">IF($O$7="2T+1P", X253/5, IF($O$7="3T+1P",X253/5, IF($O$7="3.5T+0.5P",X253/5, " ")))</f>
        <v>0</v>
      </c>
      <c r="J253" s="97">
        <f t="shared" ref="J253:J316" si="25">IF($O$7="2T+1P", X253/5, IF($O$7="3T+1P",X253/5, IF($O$7="3.5T+0.5P",X253/5, " ")))</f>
        <v>0</v>
      </c>
      <c r="K253" s="97">
        <f t="shared" ref="K253:K316" si="26">IF($O$7="2T+1P", X253/5, IF($O$7="3T+1P",X253/5, IF($O$7="3.5T+0.5P",X253/5, " ")))</f>
        <v>0</v>
      </c>
      <c r="L253" s="97">
        <f t="shared" ref="L253:L316" si="27">IF($O$7="2T+1P", X253/5, IF($O$7="3T+1P",X253/5, IF($O$7="3.5T+0.5P",X253/5, " ")))</f>
        <v>0</v>
      </c>
      <c r="M253" s="97">
        <f t="shared" ref="M253:M316" si="28">IF($O$7="2T+1P", X253/5, IF($O$7="3T+1P",X253/5, IF($O$7="3.5T+0.5P",X253/5, " ")))</f>
        <v>0</v>
      </c>
      <c r="N253" s="97"/>
      <c r="O253" s="97"/>
      <c r="P253" s="112">
        <f t="shared" ref="P253:P316" si="29">SUM(C253:O253)</f>
        <v>0</v>
      </c>
      <c r="Q253" s="106">
        <f>BASE!A257</f>
        <v>242</v>
      </c>
      <c r="R253" s="97">
        <f t="shared" ref="R253:R316" si="30">SUMIF($C$11:$O$11,1,C253:O253)</f>
        <v>0</v>
      </c>
      <c r="S253" s="97">
        <f t="shared" ref="S253:S316" si="31">SUMIF($C$11:$O$11,2,D253:P253)</f>
        <v>0</v>
      </c>
      <c r="T253" s="97">
        <f t="shared" ref="T253:T316" si="32">SUMIF($C$11:$O$11,3,E253:Q253)</f>
        <v>0</v>
      </c>
      <c r="U253" s="97">
        <f t="shared" ref="U253:U316" si="33">SUMIF($C$11:$O$11,4,C253:O253)</f>
        <v>0</v>
      </c>
      <c r="V253" s="97">
        <f t="shared" ref="V253:V316" si="34">SUMIF($C$11:$O$11,5,C253:O253)</f>
        <v>0</v>
      </c>
      <c r="W253" s="161"/>
      <c r="X253" s="161"/>
    </row>
    <row r="254" spans="1:24" ht="17.25" customHeight="1">
      <c r="A254" s="110" t="str">
        <f>+BASE!B258</f>
        <v>23XXR243</v>
      </c>
      <c r="B254" s="106" t="s">
        <v>40</v>
      </c>
      <c r="C254" s="111">
        <f t="shared" si="19"/>
        <v>0</v>
      </c>
      <c r="D254" s="111">
        <f t="shared" si="20"/>
        <v>0</v>
      </c>
      <c r="E254" s="111">
        <f t="shared" si="21"/>
        <v>0</v>
      </c>
      <c r="F254" s="111">
        <f t="shared" si="22"/>
        <v>0</v>
      </c>
      <c r="G254" s="111">
        <f t="shared" si="23"/>
        <v>0</v>
      </c>
      <c r="H254" s="97"/>
      <c r="I254" s="97">
        <f t="shared" si="24"/>
        <v>0</v>
      </c>
      <c r="J254" s="97">
        <f t="shared" si="25"/>
        <v>0</v>
      </c>
      <c r="K254" s="97">
        <f t="shared" si="26"/>
        <v>0</v>
      </c>
      <c r="L254" s="97">
        <f t="shared" si="27"/>
        <v>0</v>
      </c>
      <c r="M254" s="97">
        <f t="shared" si="28"/>
        <v>0</v>
      </c>
      <c r="N254" s="97"/>
      <c r="O254" s="97"/>
      <c r="P254" s="112">
        <f t="shared" si="29"/>
        <v>0</v>
      </c>
      <c r="Q254" s="106">
        <f>BASE!A258</f>
        <v>243</v>
      </c>
      <c r="R254" s="97">
        <f t="shared" si="30"/>
        <v>0</v>
      </c>
      <c r="S254" s="97">
        <f t="shared" si="31"/>
        <v>0</v>
      </c>
      <c r="T254" s="97">
        <f t="shared" si="32"/>
        <v>0</v>
      </c>
      <c r="U254" s="97">
        <f t="shared" si="33"/>
        <v>0</v>
      </c>
      <c r="V254" s="97">
        <f t="shared" si="34"/>
        <v>0</v>
      </c>
      <c r="W254" s="161"/>
      <c r="X254" s="161"/>
    </row>
    <row r="255" spans="1:24" ht="17.25" customHeight="1">
      <c r="A255" s="110" t="str">
        <f>+BASE!B259</f>
        <v>23XXR244</v>
      </c>
      <c r="B255" s="106" t="s">
        <v>40</v>
      </c>
      <c r="C255" s="111">
        <f t="shared" si="19"/>
        <v>0</v>
      </c>
      <c r="D255" s="111">
        <f t="shared" si="20"/>
        <v>0</v>
      </c>
      <c r="E255" s="111">
        <f t="shared" si="21"/>
        <v>0</v>
      </c>
      <c r="F255" s="111">
        <f t="shared" si="22"/>
        <v>0</v>
      </c>
      <c r="G255" s="111">
        <f t="shared" si="23"/>
        <v>0</v>
      </c>
      <c r="H255" s="97"/>
      <c r="I255" s="97">
        <f t="shared" si="24"/>
        <v>0</v>
      </c>
      <c r="J255" s="97">
        <f t="shared" si="25"/>
        <v>0</v>
      </c>
      <c r="K255" s="97">
        <f t="shared" si="26"/>
        <v>0</v>
      </c>
      <c r="L255" s="97">
        <f t="shared" si="27"/>
        <v>0</v>
      </c>
      <c r="M255" s="97">
        <f t="shared" si="28"/>
        <v>0</v>
      </c>
      <c r="N255" s="97"/>
      <c r="O255" s="97"/>
      <c r="P255" s="112">
        <f t="shared" si="29"/>
        <v>0</v>
      </c>
      <c r="Q255" s="106">
        <f>BASE!A259</f>
        <v>244</v>
      </c>
      <c r="R255" s="97">
        <f t="shared" si="30"/>
        <v>0</v>
      </c>
      <c r="S255" s="97">
        <f t="shared" si="31"/>
        <v>0</v>
      </c>
      <c r="T255" s="97">
        <f t="shared" si="32"/>
        <v>0</v>
      </c>
      <c r="U255" s="97">
        <f t="shared" si="33"/>
        <v>0</v>
      </c>
      <c r="V255" s="97">
        <f t="shared" si="34"/>
        <v>0</v>
      </c>
      <c r="W255" s="161"/>
      <c r="X255" s="161"/>
    </row>
    <row r="256" spans="1:24" ht="17.25" customHeight="1">
      <c r="A256" s="110" t="str">
        <f>+BASE!B260</f>
        <v>23XXR245</v>
      </c>
      <c r="B256" s="106" t="s">
        <v>40</v>
      </c>
      <c r="C256" s="111">
        <f t="shared" si="19"/>
        <v>0</v>
      </c>
      <c r="D256" s="111">
        <f t="shared" si="20"/>
        <v>0</v>
      </c>
      <c r="E256" s="111">
        <f t="shared" si="21"/>
        <v>0</v>
      </c>
      <c r="F256" s="111">
        <f t="shared" si="22"/>
        <v>0</v>
      </c>
      <c r="G256" s="111">
        <f t="shared" si="23"/>
        <v>0</v>
      </c>
      <c r="H256" s="97"/>
      <c r="I256" s="97">
        <f t="shared" si="24"/>
        <v>0</v>
      </c>
      <c r="J256" s="97">
        <f t="shared" si="25"/>
        <v>0</v>
      </c>
      <c r="K256" s="97">
        <f t="shared" si="26"/>
        <v>0</v>
      </c>
      <c r="L256" s="97">
        <f t="shared" si="27"/>
        <v>0</v>
      </c>
      <c r="M256" s="97">
        <f t="shared" si="28"/>
        <v>0</v>
      </c>
      <c r="N256" s="97"/>
      <c r="O256" s="97"/>
      <c r="P256" s="112">
        <f t="shared" si="29"/>
        <v>0</v>
      </c>
      <c r="Q256" s="106">
        <f>BASE!A260</f>
        <v>245</v>
      </c>
      <c r="R256" s="97">
        <f t="shared" si="30"/>
        <v>0</v>
      </c>
      <c r="S256" s="97">
        <f t="shared" si="31"/>
        <v>0</v>
      </c>
      <c r="T256" s="97">
        <f t="shared" si="32"/>
        <v>0</v>
      </c>
      <c r="U256" s="97">
        <f t="shared" si="33"/>
        <v>0</v>
      </c>
      <c r="V256" s="97">
        <f t="shared" si="34"/>
        <v>0</v>
      </c>
      <c r="W256" s="161"/>
      <c r="X256" s="161"/>
    </row>
    <row r="257" spans="1:24" ht="17.25" customHeight="1">
      <c r="A257" s="110" t="str">
        <f>+BASE!B261</f>
        <v>23XXR246</v>
      </c>
      <c r="B257" s="106" t="s">
        <v>40</v>
      </c>
      <c r="C257" s="111">
        <f t="shared" si="19"/>
        <v>0</v>
      </c>
      <c r="D257" s="111">
        <f t="shared" si="20"/>
        <v>0</v>
      </c>
      <c r="E257" s="111">
        <f t="shared" si="21"/>
        <v>0</v>
      </c>
      <c r="F257" s="111">
        <f t="shared" si="22"/>
        <v>0</v>
      </c>
      <c r="G257" s="111">
        <f t="shared" si="23"/>
        <v>0</v>
      </c>
      <c r="H257" s="97"/>
      <c r="I257" s="97">
        <f t="shared" si="24"/>
        <v>0</v>
      </c>
      <c r="J257" s="97">
        <f t="shared" si="25"/>
        <v>0</v>
      </c>
      <c r="K257" s="97">
        <f t="shared" si="26"/>
        <v>0</v>
      </c>
      <c r="L257" s="97">
        <f t="shared" si="27"/>
        <v>0</v>
      </c>
      <c r="M257" s="97">
        <f t="shared" si="28"/>
        <v>0</v>
      </c>
      <c r="N257" s="97"/>
      <c r="O257" s="97"/>
      <c r="P257" s="112">
        <f t="shared" si="29"/>
        <v>0</v>
      </c>
      <c r="Q257" s="106">
        <f>BASE!A261</f>
        <v>246</v>
      </c>
      <c r="R257" s="97">
        <f t="shared" si="30"/>
        <v>0</v>
      </c>
      <c r="S257" s="97">
        <f t="shared" si="31"/>
        <v>0</v>
      </c>
      <c r="T257" s="97">
        <f t="shared" si="32"/>
        <v>0</v>
      </c>
      <c r="U257" s="97">
        <f t="shared" si="33"/>
        <v>0</v>
      </c>
      <c r="V257" s="97">
        <f t="shared" si="34"/>
        <v>0</v>
      </c>
      <c r="W257" s="161"/>
      <c r="X257" s="161"/>
    </row>
    <row r="258" spans="1:24" ht="17.25" customHeight="1">
      <c r="A258" s="110" t="str">
        <f>+BASE!B262</f>
        <v>23XXR247</v>
      </c>
      <c r="B258" s="106" t="s">
        <v>40</v>
      </c>
      <c r="C258" s="111">
        <f t="shared" si="19"/>
        <v>0</v>
      </c>
      <c r="D258" s="111">
        <f t="shared" si="20"/>
        <v>0</v>
      </c>
      <c r="E258" s="111">
        <f t="shared" si="21"/>
        <v>0</v>
      </c>
      <c r="F258" s="111">
        <f t="shared" si="22"/>
        <v>0</v>
      </c>
      <c r="G258" s="111">
        <f t="shared" si="23"/>
        <v>0</v>
      </c>
      <c r="H258" s="97"/>
      <c r="I258" s="97">
        <f t="shared" si="24"/>
        <v>0</v>
      </c>
      <c r="J258" s="97">
        <f t="shared" si="25"/>
        <v>0</v>
      </c>
      <c r="K258" s="97">
        <f t="shared" si="26"/>
        <v>0</v>
      </c>
      <c r="L258" s="97">
        <f t="shared" si="27"/>
        <v>0</v>
      </c>
      <c r="M258" s="97">
        <f t="shared" si="28"/>
        <v>0</v>
      </c>
      <c r="N258" s="97"/>
      <c r="O258" s="97"/>
      <c r="P258" s="112">
        <f t="shared" si="29"/>
        <v>0</v>
      </c>
      <c r="Q258" s="106">
        <f>BASE!A262</f>
        <v>247</v>
      </c>
      <c r="R258" s="97">
        <f t="shared" si="30"/>
        <v>0</v>
      </c>
      <c r="S258" s="97">
        <f t="shared" si="31"/>
        <v>0</v>
      </c>
      <c r="T258" s="97">
        <f t="shared" si="32"/>
        <v>0</v>
      </c>
      <c r="U258" s="97">
        <f t="shared" si="33"/>
        <v>0</v>
      </c>
      <c r="V258" s="97">
        <f t="shared" si="34"/>
        <v>0</v>
      </c>
      <c r="W258" s="161"/>
      <c r="X258" s="161"/>
    </row>
    <row r="259" spans="1:24" ht="17.25" customHeight="1">
      <c r="A259" s="110" t="str">
        <f>+BASE!B263</f>
        <v>23XXR248</v>
      </c>
      <c r="B259" s="106" t="s">
        <v>40</v>
      </c>
      <c r="C259" s="111">
        <f t="shared" si="19"/>
        <v>0</v>
      </c>
      <c r="D259" s="111">
        <f t="shared" si="20"/>
        <v>0</v>
      </c>
      <c r="E259" s="111">
        <f t="shared" si="21"/>
        <v>0</v>
      </c>
      <c r="F259" s="111">
        <f t="shared" si="22"/>
        <v>0</v>
      </c>
      <c r="G259" s="111">
        <f t="shared" si="23"/>
        <v>0</v>
      </c>
      <c r="H259" s="97"/>
      <c r="I259" s="97">
        <f t="shared" si="24"/>
        <v>0</v>
      </c>
      <c r="J259" s="97">
        <f t="shared" si="25"/>
        <v>0</v>
      </c>
      <c r="K259" s="97">
        <f t="shared" si="26"/>
        <v>0</v>
      </c>
      <c r="L259" s="97">
        <f t="shared" si="27"/>
        <v>0</v>
      </c>
      <c r="M259" s="97">
        <f t="shared" si="28"/>
        <v>0</v>
      </c>
      <c r="N259" s="97"/>
      <c r="O259" s="97"/>
      <c r="P259" s="112">
        <f t="shared" si="29"/>
        <v>0</v>
      </c>
      <c r="Q259" s="106">
        <f>BASE!A263</f>
        <v>248</v>
      </c>
      <c r="R259" s="97">
        <f t="shared" si="30"/>
        <v>0</v>
      </c>
      <c r="S259" s="97">
        <f t="shared" si="31"/>
        <v>0</v>
      </c>
      <c r="T259" s="97">
        <f t="shared" si="32"/>
        <v>0</v>
      </c>
      <c r="U259" s="97">
        <f t="shared" si="33"/>
        <v>0</v>
      </c>
      <c r="V259" s="97">
        <f t="shared" si="34"/>
        <v>0</v>
      </c>
      <c r="W259" s="161"/>
      <c r="X259" s="161"/>
    </row>
    <row r="260" spans="1:24" ht="17.25" customHeight="1">
      <c r="A260" s="110" t="str">
        <f>+BASE!B264</f>
        <v>23XXR249</v>
      </c>
      <c r="B260" s="106" t="s">
        <v>40</v>
      </c>
      <c r="C260" s="111">
        <f t="shared" si="19"/>
        <v>0</v>
      </c>
      <c r="D260" s="111">
        <f t="shared" si="20"/>
        <v>0</v>
      </c>
      <c r="E260" s="111">
        <f t="shared" si="21"/>
        <v>0</v>
      </c>
      <c r="F260" s="111">
        <f t="shared" si="22"/>
        <v>0</v>
      </c>
      <c r="G260" s="111">
        <f t="shared" si="23"/>
        <v>0</v>
      </c>
      <c r="H260" s="97"/>
      <c r="I260" s="97">
        <f t="shared" si="24"/>
        <v>0</v>
      </c>
      <c r="J260" s="97">
        <f t="shared" si="25"/>
        <v>0</v>
      </c>
      <c r="K260" s="97">
        <f t="shared" si="26"/>
        <v>0</v>
      </c>
      <c r="L260" s="97">
        <f t="shared" si="27"/>
        <v>0</v>
      </c>
      <c r="M260" s="97">
        <f t="shared" si="28"/>
        <v>0</v>
      </c>
      <c r="N260" s="97"/>
      <c r="O260" s="97"/>
      <c r="P260" s="112">
        <f t="shared" si="29"/>
        <v>0</v>
      </c>
      <c r="Q260" s="106">
        <f>BASE!A264</f>
        <v>249</v>
      </c>
      <c r="R260" s="97">
        <f t="shared" si="30"/>
        <v>0</v>
      </c>
      <c r="S260" s="97">
        <f t="shared" si="31"/>
        <v>0</v>
      </c>
      <c r="T260" s="97">
        <f t="shared" si="32"/>
        <v>0</v>
      </c>
      <c r="U260" s="97">
        <f t="shared" si="33"/>
        <v>0</v>
      </c>
      <c r="V260" s="97">
        <f t="shared" si="34"/>
        <v>0</v>
      </c>
      <c r="W260" s="161"/>
      <c r="X260" s="161"/>
    </row>
    <row r="261" spans="1:24" ht="17.25" customHeight="1">
      <c r="A261" s="110" t="str">
        <f>+BASE!B265</f>
        <v>23XXR250</v>
      </c>
      <c r="B261" s="106" t="s">
        <v>40</v>
      </c>
      <c r="C261" s="111">
        <f t="shared" si="19"/>
        <v>0</v>
      </c>
      <c r="D261" s="111">
        <f t="shared" si="20"/>
        <v>0</v>
      </c>
      <c r="E261" s="111">
        <f t="shared" si="21"/>
        <v>0</v>
      </c>
      <c r="F261" s="111">
        <f t="shared" si="22"/>
        <v>0</v>
      </c>
      <c r="G261" s="111">
        <f t="shared" si="23"/>
        <v>0</v>
      </c>
      <c r="H261" s="97"/>
      <c r="I261" s="97">
        <f t="shared" si="24"/>
        <v>0</v>
      </c>
      <c r="J261" s="97">
        <f t="shared" si="25"/>
        <v>0</v>
      </c>
      <c r="K261" s="97">
        <f t="shared" si="26"/>
        <v>0</v>
      </c>
      <c r="L261" s="97">
        <f t="shared" si="27"/>
        <v>0</v>
      </c>
      <c r="M261" s="97">
        <f t="shared" si="28"/>
        <v>0</v>
      </c>
      <c r="N261" s="97"/>
      <c r="O261" s="97"/>
      <c r="P261" s="112">
        <f t="shared" si="29"/>
        <v>0</v>
      </c>
      <c r="Q261" s="106">
        <f>BASE!A265</f>
        <v>250</v>
      </c>
      <c r="R261" s="97">
        <f t="shared" si="30"/>
        <v>0</v>
      </c>
      <c r="S261" s="97">
        <f t="shared" si="31"/>
        <v>0</v>
      </c>
      <c r="T261" s="97">
        <f t="shared" si="32"/>
        <v>0</v>
      </c>
      <c r="U261" s="97">
        <f t="shared" si="33"/>
        <v>0</v>
      </c>
      <c r="V261" s="97">
        <f t="shared" si="34"/>
        <v>0</v>
      </c>
      <c r="W261" s="161"/>
      <c r="X261" s="161"/>
    </row>
    <row r="262" spans="1:24" ht="17.25" customHeight="1">
      <c r="A262" s="110" t="str">
        <f>+BASE!B266</f>
        <v>23XXR251</v>
      </c>
      <c r="B262" s="106" t="s">
        <v>40</v>
      </c>
      <c r="C262" s="111">
        <f t="shared" si="19"/>
        <v>0</v>
      </c>
      <c r="D262" s="111">
        <f t="shared" si="20"/>
        <v>0</v>
      </c>
      <c r="E262" s="111">
        <f t="shared" si="21"/>
        <v>0</v>
      </c>
      <c r="F262" s="111">
        <f t="shared" si="22"/>
        <v>0</v>
      </c>
      <c r="G262" s="111">
        <f t="shared" si="23"/>
        <v>0</v>
      </c>
      <c r="H262" s="97"/>
      <c r="I262" s="97">
        <f t="shared" si="24"/>
        <v>0</v>
      </c>
      <c r="J262" s="97">
        <f t="shared" si="25"/>
        <v>0</v>
      </c>
      <c r="K262" s="97">
        <f t="shared" si="26"/>
        <v>0</v>
      </c>
      <c r="L262" s="97">
        <f t="shared" si="27"/>
        <v>0</v>
      </c>
      <c r="M262" s="97">
        <f t="shared" si="28"/>
        <v>0</v>
      </c>
      <c r="N262" s="97"/>
      <c r="O262" s="97"/>
      <c r="P262" s="112">
        <f t="shared" si="29"/>
        <v>0</v>
      </c>
      <c r="Q262" s="106">
        <f>BASE!A266</f>
        <v>251</v>
      </c>
      <c r="R262" s="97">
        <f t="shared" si="30"/>
        <v>0</v>
      </c>
      <c r="S262" s="97">
        <f t="shared" si="31"/>
        <v>0</v>
      </c>
      <c r="T262" s="97">
        <f t="shared" si="32"/>
        <v>0</v>
      </c>
      <c r="U262" s="97">
        <f t="shared" si="33"/>
        <v>0</v>
      </c>
      <c r="V262" s="97">
        <f t="shared" si="34"/>
        <v>0</v>
      </c>
      <c r="W262" s="161"/>
      <c r="X262" s="161"/>
    </row>
    <row r="263" spans="1:24" ht="17.25" customHeight="1">
      <c r="A263" s="110" t="str">
        <f>+BASE!B267</f>
        <v>23XXR252</v>
      </c>
      <c r="B263" s="106" t="s">
        <v>40</v>
      </c>
      <c r="C263" s="111">
        <f t="shared" si="19"/>
        <v>0</v>
      </c>
      <c r="D263" s="111">
        <f t="shared" si="20"/>
        <v>0</v>
      </c>
      <c r="E263" s="111">
        <f t="shared" si="21"/>
        <v>0</v>
      </c>
      <c r="F263" s="111">
        <f t="shared" si="22"/>
        <v>0</v>
      </c>
      <c r="G263" s="111">
        <f t="shared" si="23"/>
        <v>0</v>
      </c>
      <c r="H263" s="97"/>
      <c r="I263" s="97">
        <f t="shared" si="24"/>
        <v>0</v>
      </c>
      <c r="J263" s="97">
        <f t="shared" si="25"/>
        <v>0</v>
      </c>
      <c r="K263" s="97">
        <f t="shared" si="26"/>
        <v>0</v>
      </c>
      <c r="L263" s="97">
        <f t="shared" si="27"/>
        <v>0</v>
      </c>
      <c r="M263" s="97">
        <f t="shared" si="28"/>
        <v>0</v>
      </c>
      <c r="N263" s="97"/>
      <c r="O263" s="97"/>
      <c r="P263" s="112">
        <f t="shared" si="29"/>
        <v>0</v>
      </c>
      <c r="Q263" s="106">
        <f>BASE!A267</f>
        <v>252</v>
      </c>
      <c r="R263" s="97">
        <f t="shared" si="30"/>
        <v>0</v>
      </c>
      <c r="S263" s="97">
        <f t="shared" si="31"/>
        <v>0</v>
      </c>
      <c r="T263" s="97">
        <f t="shared" si="32"/>
        <v>0</v>
      </c>
      <c r="U263" s="97">
        <f t="shared" si="33"/>
        <v>0</v>
      </c>
      <c r="V263" s="97">
        <f t="shared" si="34"/>
        <v>0</v>
      </c>
      <c r="W263" s="161"/>
      <c r="X263" s="161"/>
    </row>
    <row r="264" spans="1:24" ht="17.25" customHeight="1">
      <c r="A264" s="110" t="str">
        <f>+BASE!B268</f>
        <v>23XXR253</v>
      </c>
      <c r="B264" s="106" t="s">
        <v>40</v>
      </c>
      <c r="C264" s="111">
        <f t="shared" si="19"/>
        <v>0</v>
      </c>
      <c r="D264" s="111">
        <f t="shared" si="20"/>
        <v>0</v>
      </c>
      <c r="E264" s="111">
        <f t="shared" si="21"/>
        <v>0</v>
      </c>
      <c r="F264" s="111">
        <f t="shared" si="22"/>
        <v>0</v>
      </c>
      <c r="G264" s="111">
        <f t="shared" si="23"/>
        <v>0</v>
      </c>
      <c r="H264" s="97"/>
      <c r="I264" s="97">
        <f t="shared" si="24"/>
        <v>0</v>
      </c>
      <c r="J264" s="97">
        <f t="shared" si="25"/>
        <v>0</v>
      </c>
      <c r="K264" s="97">
        <f t="shared" si="26"/>
        <v>0</v>
      </c>
      <c r="L264" s="97">
        <f t="shared" si="27"/>
        <v>0</v>
      </c>
      <c r="M264" s="97">
        <f t="shared" si="28"/>
        <v>0</v>
      </c>
      <c r="N264" s="97"/>
      <c r="O264" s="97"/>
      <c r="P264" s="112">
        <f t="shared" si="29"/>
        <v>0</v>
      </c>
      <c r="Q264" s="106">
        <f>BASE!A268</f>
        <v>253</v>
      </c>
      <c r="R264" s="97">
        <f t="shared" si="30"/>
        <v>0</v>
      </c>
      <c r="S264" s="97">
        <f t="shared" si="31"/>
        <v>0</v>
      </c>
      <c r="T264" s="97">
        <f t="shared" si="32"/>
        <v>0</v>
      </c>
      <c r="U264" s="97">
        <f t="shared" si="33"/>
        <v>0</v>
      </c>
      <c r="V264" s="97">
        <f t="shared" si="34"/>
        <v>0</v>
      </c>
      <c r="W264" s="161"/>
      <c r="X264" s="161"/>
    </row>
    <row r="265" spans="1:24" ht="17.25" customHeight="1">
      <c r="A265" s="110" t="str">
        <f>+BASE!B269</f>
        <v>23XXR254</v>
      </c>
      <c r="B265" s="106" t="s">
        <v>40</v>
      </c>
      <c r="C265" s="111">
        <f t="shared" si="19"/>
        <v>0</v>
      </c>
      <c r="D265" s="111">
        <f t="shared" si="20"/>
        <v>0</v>
      </c>
      <c r="E265" s="111">
        <f t="shared" si="21"/>
        <v>0</v>
      </c>
      <c r="F265" s="111">
        <f t="shared" si="22"/>
        <v>0</v>
      </c>
      <c r="G265" s="111">
        <f t="shared" si="23"/>
        <v>0</v>
      </c>
      <c r="H265" s="97"/>
      <c r="I265" s="97">
        <f t="shared" si="24"/>
        <v>0</v>
      </c>
      <c r="J265" s="97">
        <f t="shared" si="25"/>
        <v>0</v>
      </c>
      <c r="K265" s="97">
        <f t="shared" si="26"/>
        <v>0</v>
      </c>
      <c r="L265" s="97">
        <f t="shared" si="27"/>
        <v>0</v>
      </c>
      <c r="M265" s="97">
        <f t="shared" si="28"/>
        <v>0</v>
      </c>
      <c r="N265" s="97"/>
      <c r="O265" s="97"/>
      <c r="P265" s="112">
        <f t="shared" si="29"/>
        <v>0</v>
      </c>
      <c r="Q265" s="106">
        <f>BASE!A269</f>
        <v>254</v>
      </c>
      <c r="R265" s="97">
        <f t="shared" si="30"/>
        <v>0</v>
      </c>
      <c r="S265" s="97">
        <f t="shared" si="31"/>
        <v>0</v>
      </c>
      <c r="T265" s="97">
        <f t="shared" si="32"/>
        <v>0</v>
      </c>
      <c r="U265" s="97">
        <f t="shared" si="33"/>
        <v>0</v>
      </c>
      <c r="V265" s="97">
        <f t="shared" si="34"/>
        <v>0</v>
      </c>
      <c r="W265" s="161"/>
      <c r="X265" s="161"/>
    </row>
    <row r="266" spans="1:24" ht="17.25" customHeight="1">
      <c r="A266" s="110" t="str">
        <f>+BASE!B270</f>
        <v>23XXR255</v>
      </c>
      <c r="B266" s="106" t="s">
        <v>40</v>
      </c>
      <c r="C266" s="111">
        <f t="shared" si="19"/>
        <v>0</v>
      </c>
      <c r="D266" s="111">
        <f t="shared" si="20"/>
        <v>0</v>
      </c>
      <c r="E266" s="111">
        <f t="shared" si="21"/>
        <v>0</v>
      </c>
      <c r="F266" s="111">
        <f t="shared" si="22"/>
        <v>0</v>
      </c>
      <c r="G266" s="111">
        <f t="shared" si="23"/>
        <v>0</v>
      </c>
      <c r="H266" s="97"/>
      <c r="I266" s="97">
        <f t="shared" si="24"/>
        <v>0</v>
      </c>
      <c r="J266" s="97">
        <f t="shared" si="25"/>
        <v>0</v>
      </c>
      <c r="K266" s="97">
        <f t="shared" si="26"/>
        <v>0</v>
      </c>
      <c r="L266" s="97">
        <f t="shared" si="27"/>
        <v>0</v>
      </c>
      <c r="M266" s="97">
        <f t="shared" si="28"/>
        <v>0</v>
      </c>
      <c r="N266" s="97"/>
      <c r="O266" s="97"/>
      <c r="P266" s="112">
        <f t="shared" si="29"/>
        <v>0</v>
      </c>
      <c r="Q266" s="106">
        <f>BASE!A270</f>
        <v>255</v>
      </c>
      <c r="R266" s="97">
        <f t="shared" si="30"/>
        <v>0</v>
      </c>
      <c r="S266" s="97">
        <f t="shared" si="31"/>
        <v>0</v>
      </c>
      <c r="T266" s="97">
        <f t="shared" si="32"/>
        <v>0</v>
      </c>
      <c r="U266" s="97">
        <f t="shared" si="33"/>
        <v>0</v>
      </c>
      <c r="V266" s="97">
        <f t="shared" si="34"/>
        <v>0</v>
      </c>
      <c r="W266" s="161"/>
      <c r="X266" s="161"/>
    </row>
    <row r="267" spans="1:24" ht="17.25" customHeight="1">
      <c r="A267" s="110" t="str">
        <f>+BASE!B271</f>
        <v>23XXR256</v>
      </c>
      <c r="B267" s="106" t="s">
        <v>40</v>
      </c>
      <c r="C267" s="111">
        <f t="shared" si="19"/>
        <v>0</v>
      </c>
      <c r="D267" s="111">
        <f t="shared" si="20"/>
        <v>0</v>
      </c>
      <c r="E267" s="111">
        <f t="shared" si="21"/>
        <v>0</v>
      </c>
      <c r="F267" s="111">
        <f t="shared" si="22"/>
        <v>0</v>
      </c>
      <c r="G267" s="111">
        <f t="shared" si="23"/>
        <v>0</v>
      </c>
      <c r="H267" s="97"/>
      <c r="I267" s="97">
        <f t="shared" si="24"/>
        <v>0</v>
      </c>
      <c r="J267" s="97">
        <f t="shared" si="25"/>
        <v>0</v>
      </c>
      <c r="K267" s="97">
        <f t="shared" si="26"/>
        <v>0</v>
      </c>
      <c r="L267" s="97">
        <f t="shared" si="27"/>
        <v>0</v>
      </c>
      <c r="M267" s="97">
        <f t="shared" si="28"/>
        <v>0</v>
      </c>
      <c r="N267" s="97"/>
      <c r="O267" s="97"/>
      <c r="P267" s="112">
        <f t="shared" si="29"/>
        <v>0</v>
      </c>
      <c r="Q267" s="106">
        <f>BASE!A271</f>
        <v>256</v>
      </c>
      <c r="R267" s="97">
        <f t="shared" si="30"/>
        <v>0</v>
      </c>
      <c r="S267" s="97">
        <f t="shared" si="31"/>
        <v>0</v>
      </c>
      <c r="T267" s="97">
        <f t="shared" si="32"/>
        <v>0</v>
      </c>
      <c r="U267" s="97">
        <f t="shared" si="33"/>
        <v>0</v>
      </c>
      <c r="V267" s="97">
        <f t="shared" si="34"/>
        <v>0</v>
      </c>
      <c r="W267" s="161"/>
      <c r="X267" s="161"/>
    </row>
    <row r="268" spans="1:24" ht="17.25" customHeight="1">
      <c r="A268" s="110" t="str">
        <f>+BASE!B272</f>
        <v>23XXR257</v>
      </c>
      <c r="B268" s="106" t="s">
        <v>40</v>
      </c>
      <c r="C268" s="111">
        <f t="shared" si="19"/>
        <v>0</v>
      </c>
      <c r="D268" s="111">
        <f t="shared" si="20"/>
        <v>0</v>
      </c>
      <c r="E268" s="111">
        <f t="shared" si="21"/>
        <v>0</v>
      </c>
      <c r="F268" s="111">
        <f t="shared" si="22"/>
        <v>0</v>
      </c>
      <c r="G268" s="111">
        <f t="shared" si="23"/>
        <v>0</v>
      </c>
      <c r="H268" s="97"/>
      <c r="I268" s="97">
        <f t="shared" si="24"/>
        <v>0</v>
      </c>
      <c r="J268" s="97">
        <f t="shared" si="25"/>
        <v>0</v>
      </c>
      <c r="K268" s="97">
        <f t="shared" si="26"/>
        <v>0</v>
      </c>
      <c r="L268" s="97">
        <f t="shared" si="27"/>
        <v>0</v>
      </c>
      <c r="M268" s="97">
        <f t="shared" si="28"/>
        <v>0</v>
      </c>
      <c r="N268" s="97"/>
      <c r="O268" s="97"/>
      <c r="P268" s="112">
        <f t="shared" si="29"/>
        <v>0</v>
      </c>
      <c r="Q268" s="106">
        <f>BASE!A272</f>
        <v>257</v>
      </c>
      <c r="R268" s="97">
        <f t="shared" si="30"/>
        <v>0</v>
      </c>
      <c r="S268" s="97">
        <f t="shared" si="31"/>
        <v>0</v>
      </c>
      <c r="T268" s="97">
        <f t="shared" si="32"/>
        <v>0</v>
      </c>
      <c r="U268" s="97">
        <f t="shared" si="33"/>
        <v>0</v>
      </c>
      <c r="V268" s="97">
        <f t="shared" si="34"/>
        <v>0</v>
      </c>
      <c r="W268" s="161"/>
      <c r="X268" s="161"/>
    </row>
    <row r="269" spans="1:24" ht="17.25" customHeight="1">
      <c r="A269" s="110" t="str">
        <f>+BASE!B273</f>
        <v>23XXR258</v>
      </c>
      <c r="B269" s="106" t="s">
        <v>40</v>
      </c>
      <c r="C269" s="111">
        <f t="shared" si="19"/>
        <v>0</v>
      </c>
      <c r="D269" s="111">
        <f t="shared" si="20"/>
        <v>0</v>
      </c>
      <c r="E269" s="111">
        <f t="shared" si="21"/>
        <v>0</v>
      </c>
      <c r="F269" s="111">
        <f t="shared" si="22"/>
        <v>0</v>
      </c>
      <c r="G269" s="111">
        <f t="shared" si="23"/>
        <v>0</v>
      </c>
      <c r="H269" s="97"/>
      <c r="I269" s="97">
        <f t="shared" si="24"/>
        <v>0</v>
      </c>
      <c r="J269" s="97">
        <f t="shared" si="25"/>
        <v>0</v>
      </c>
      <c r="K269" s="97">
        <f t="shared" si="26"/>
        <v>0</v>
      </c>
      <c r="L269" s="97">
        <f t="shared" si="27"/>
        <v>0</v>
      </c>
      <c r="M269" s="97">
        <f t="shared" si="28"/>
        <v>0</v>
      </c>
      <c r="N269" s="97"/>
      <c r="O269" s="97"/>
      <c r="P269" s="112">
        <f t="shared" si="29"/>
        <v>0</v>
      </c>
      <c r="Q269" s="106">
        <f>BASE!A273</f>
        <v>258</v>
      </c>
      <c r="R269" s="97">
        <f t="shared" si="30"/>
        <v>0</v>
      </c>
      <c r="S269" s="97">
        <f t="shared" si="31"/>
        <v>0</v>
      </c>
      <c r="T269" s="97">
        <f t="shared" si="32"/>
        <v>0</v>
      </c>
      <c r="U269" s="97">
        <f t="shared" si="33"/>
        <v>0</v>
      </c>
      <c r="V269" s="97">
        <f t="shared" si="34"/>
        <v>0</v>
      </c>
      <c r="W269" s="161"/>
      <c r="X269" s="161"/>
    </row>
    <row r="270" spans="1:24" ht="17.25" customHeight="1">
      <c r="A270" s="110" t="str">
        <f>+BASE!B274</f>
        <v>23XXR259</v>
      </c>
      <c r="B270" s="106" t="s">
        <v>40</v>
      </c>
      <c r="C270" s="111">
        <f t="shared" si="19"/>
        <v>0</v>
      </c>
      <c r="D270" s="111">
        <f t="shared" si="20"/>
        <v>0</v>
      </c>
      <c r="E270" s="111">
        <f t="shared" si="21"/>
        <v>0</v>
      </c>
      <c r="F270" s="111">
        <f t="shared" si="22"/>
        <v>0</v>
      </c>
      <c r="G270" s="111">
        <f t="shared" si="23"/>
        <v>0</v>
      </c>
      <c r="H270" s="97"/>
      <c r="I270" s="97">
        <f t="shared" si="24"/>
        <v>0</v>
      </c>
      <c r="J270" s="97">
        <f t="shared" si="25"/>
        <v>0</v>
      </c>
      <c r="K270" s="97">
        <f t="shared" si="26"/>
        <v>0</v>
      </c>
      <c r="L270" s="97">
        <f t="shared" si="27"/>
        <v>0</v>
      </c>
      <c r="M270" s="97">
        <f t="shared" si="28"/>
        <v>0</v>
      </c>
      <c r="N270" s="97"/>
      <c r="O270" s="97"/>
      <c r="P270" s="112">
        <f t="shared" si="29"/>
        <v>0</v>
      </c>
      <c r="Q270" s="106">
        <f>BASE!A274</f>
        <v>259</v>
      </c>
      <c r="R270" s="97">
        <f t="shared" si="30"/>
        <v>0</v>
      </c>
      <c r="S270" s="97">
        <f t="shared" si="31"/>
        <v>0</v>
      </c>
      <c r="T270" s="97">
        <f t="shared" si="32"/>
        <v>0</v>
      </c>
      <c r="U270" s="97">
        <f t="shared" si="33"/>
        <v>0</v>
      </c>
      <c r="V270" s="97">
        <f t="shared" si="34"/>
        <v>0</v>
      </c>
      <c r="W270" s="161"/>
      <c r="X270" s="161"/>
    </row>
    <row r="271" spans="1:24" ht="17.25" customHeight="1">
      <c r="A271" s="110" t="str">
        <f>+BASE!B275</f>
        <v>23XXR260</v>
      </c>
      <c r="B271" s="106" t="s">
        <v>40</v>
      </c>
      <c r="C271" s="111">
        <f t="shared" si="19"/>
        <v>0</v>
      </c>
      <c r="D271" s="111">
        <f t="shared" si="20"/>
        <v>0</v>
      </c>
      <c r="E271" s="111">
        <f t="shared" si="21"/>
        <v>0</v>
      </c>
      <c r="F271" s="111">
        <f t="shared" si="22"/>
        <v>0</v>
      </c>
      <c r="G271" s="111">
        <f t="shared" si="23"/>
        <v>0</v>
      </c>
      <c r="H271" s="97"/>
      <c r="I271" s="97">
        <f t="shared" si="24"/>
        <v>0</v>
      </c>
      <c r="J271" s="97">
        <f t="shared" si="25"/>
        <v>0</v>
      </c>
      <c r="K271" s="97">
        <f t="shared" si="26"/>
        <v>0</v>
      </c>
      <c r="L271" s="97">
        <f t="shared" si="27"/>
        <v>0</v>
      </c>
      <c r="M271" s="97">
        <f t="shared" si="28"/>
        <v>0</v>
      </c>
      <c r="N271" s="97"/>
      <c r="O271" s="97"/>
      <c r="P271" s="112">
        <f t="shared" si="29"/>
        <v>0</v>
      </c>
      <c r="Q271" s="106">
        <f>BASE!A275</f>
        <v>260</v>
      </c>
      <c r="R271" s="97">
        <f t="shared" si="30"/>
        <v>0</v>
      </c>
      <c r="S271" s="97">
        <f t="shared" si="31"/>
        <v>0</v>
      </c>
      <c r="T271" s="97">
        <f t="shared" si="32"/>
        <v>0</v>
      </c>
      <c r="U271" s="97">
        <f t="shared" si="33"/>
        <v>0</v>
      </c>
      <c r="V271" s="97">
        <f t="shared" si="34"/>
        <v>0</v>
      </c>
      <c r="W271" s="161"/>
      <c r="X271" s="161"/>
    </row>
    <row r="272" spans="1:24" ht="17.25" customHeight="1">
      <c r="A272" s="110" t="str">
        <f>+BASE!B276</f>
        <v>23XXR261</v>
      </c>
      <c r="B272" s="106" t="s">
        <v>40</v>
      </c>
      <c r="C272" s="111">
        <f t="shared" si="19"/>
        <v>0</v>
      </c>
      <c r="D272" s="111">
        <f t="shared" si="20"/>
        <v>0</v>
      </c>
      <c r="E272" s="111">
        <f t="shared" si="21"/>
        <v>0</v>
      </c>
      <c r="F272" s="111">
        <f t="shared" si="22"/>
        <v>0</v>
      </c>
      <c r="G272" s="111">
        <f t="shared" si="23"/>
        <v>0</v>
      </c>
      <c r="H272" s="97"/>
      <c r="I272" s="97">
        <f t="shared" si="24"/>
        <v>0</v>
      </c>
      <c r="J272" s="97">
        <f t="shared" si="25"/>
        <v>0</v>
      </c>
      <c r="K272" s="97">
        <f t="shared" si="26"/>
        <v>0</v>
      </c>
      <c r="L272" s="97">
        <f t="shared" si="27"/>
        <v>0</v>
      </c>
      <c r="M272" s="97">
        <f t="shared" si="28"/>
        <v>0</v>
      </c>
      <c r="N272" s="97"/>
      <c r="O272" s="97"/>
      <c r="P272" s="112">
        <f t="shared" si="29"/>
        <v>0</v>
      </c>
      <c r="Q272" s="106">
        <f>BASE!A276</f>
        <v>261</v>
      </c>
      <c r="R272" s="97">
        <f t="shared" si="30"/>
        <v>0</v>
      </c>
      <c r="S272" s="97">
        <f t="shared" si="31"/>
        <v>0</v>
      </c>
      <c r="T272" s="97">
        <f t="shared" si="32"/>
        <v>0</v>
      </c>
      <c r="U272" s="97">
        <f t="shared" si="33"/>
        <v>0</v>
      </c>
      <c r="V272" s="97">
        <f t="shared" si="34"/>
        <v>0</v>
      </c>
      <c r="W272" s="161"/>
      <c r="X272" s="161"/>
    </row>
    <row r="273" spans="1:24" ht="17.25" customHeight="1">
      <c r="A273" s="110" t="str">
        <f>+BASE!B277</f>
        <v>23XXR262</v>
      </c>
      <c r="B273" s="106" t="s">
        <v>40</v>
      </c>
      <c r="C273" s="111">
        <f t="shared" si="19"/>
        <v>0</v>
      </c>
      <c r="D273" s="111">
        <f t="shared" si="20"/>
        <v>0</v>
      </c>
      <c r="E273" s="111">
        <f t="shared" si="21"/>
        <v>0</v>
      </c>
      <c r="F273" s="111">
        <f t="shared" si="22"/>
        <v>0</v>
      </c>
      <c r="G273" s="111">
        <f t="shared" si="23"/>
        <v>0</v>
      </c>
      <c r="H273" s="97"/>
      <c r="I273" s="97">
        <f t="shared" si="24"/>
        <v>0</v>
      </c>
      <c r="J273" s="97">
        <f t="shared" si="25"/>
        <v>0</v>
      </c>
      <c r="K273" s="97">
        <f t="shared" si="26"/>
        <v>0</v>
      </c>
      <c r="L273" s="97">
        <f t="shared" si="27"/>
        <v>0</v>
      </c>
      <c r="M273" s="97">
        <f t="shared" si="28"/>
        <v>0</v>
      </c>
      <c r="N273" s="97"/>
      <c r="O273" s="97"/>
      <c r="P273" s="112">
        <f t="shared" si="29"/>
        <v>0</v>
      </c>
      <c r="Q273" s="106">
        <f>BASE!A277</f>
        <v>262</v>
      </c>
      <c r="R273" s="97">
        <f t="shared" si="30"/>
        <v>0</v>
      </c>
      <c r="S273" s="97">
        <f t="shared" si="31"/>
        <v>0</v>
      </c>
      <c r="T273" s="97">
        <f t="shared" si="32"/>
        <v>0</v>
      </c>
      <c r="U273" s="97">
        <f t="shared" si="33"/>
        <v>0</v>
      </c>
      <c r="V273" s="97">
        <f t="shared" si="34"/>
        <v>0</v>
      </c>
      <c r="W273" s="161"/>
      <c r="X273" s="161"/>
    </row>
    <row r="274" spans="1:24" ht="17.25" customHeight="1">
      <c r="A274" s="110" t="str">
        <f>+BASE!B278</f>
        <v>23XXR263</v>
      </c>
      <c r="B274" s="106" t="s">
        <v>40</v>
      </c>
      <c r="C274" s="111">
        <f t="shared" si="19"/>
        <v>0</v>
      </c>
      <c r="D274" s="111">
        <f t="shared" si="20"/>
        <v>0</v>
      </c>
      <c r="E274" s="111">
        <f t="shared" si="21"/>
        <v>0</v>
      </c>
      <c r="F274" s="111">
        <f t="shared" si="22"/>
        <v>0</v>
      </c>
      <c r="G274" s="111">
        <f t="shared" si="23"/>
        <v>0</v>
      </c>
      <c r="H274" s="97"/>
      <c r="I274" s="97">
        <f t="shared" si="24"/>
        <v>0</v>
      </c>
      <c r="J274" s="97">
        <f t="shared" si="25"/>
        <v>0</v>
      </c>
      <c r="K274" s="97">
        <f t="shared" si="26"/>
        <v>0</v>
      </c>
      <c r="L274" s="97">
        <f t="shared" si="27"/>
        <v>0</v>
      </c>
      <c r="M274" s="97">
        <f t="shared" si="28"/>
        <v>0</v>
      </c>
      <c r="N274" s="97"/>
      <c r="O274" s="97"/>
      <c r="P274" s="112">
        <f t="shared" si="29"/>
        <v>0</v>
      </c>
      <c r="Q274" s="106">
        <f>BASE!A278</f>
        <v>263</v>
      </c>
      <c r="R274" s="97">
        <f t="shared" si="30"/>
        <v>0</v>
      </c>
      <c r="S274" s="97">
        <f t="shared" si="31"/>
        <v>0</v>
      </c>
      <c r="T274" s="97">
        <f t="shared" si="32"/>
        <v>0</v>
      </c>
      <c r="U274" s="97">
        <f t="shared" si="33"/>
        <v>0</v>
      </c>
      <c r="V274" s="97">
        <f t="shared" si="34"/>
        <v>0</v>
      </c>
      <c r="W274" s="161"/>
      <c r="X274" s="161"/>
    </row>
    <row r="275" spans="1:24" ht="17.25" customHeight="1">
      <c r="A275" s="110" t="str">
        <f>+BASE!B279</f>
        <v>23XXR264</v>
      </c>
      <c r="B275" s="106" t="s">
        <v>40</v>
      </c>
      <c r="C275" s="111">
        <f t="shared" si="19"/>
        <v>0</v>
      </c>
      <c r="D275" s="111">
        <f t="shared" si="20"/>
        <v>0</v>
      </c>
      <c r="E275" s="111">
        <f t="shared" si="21"/>
        <v>0</v>
      </c>
      <c r="F275" s="111">
        <f t="shared" si="22"/>
        <v>0</v>
      </c>
      <c r="G275" s="111">
        <f t="shared" si="23"/>
        <v>0</v>
      </c>
      <c r="H275" s="97"/>
      <c r="I275" s="97">
        <f t="shared" si="24"/>
        <v>0</v>
      </c>
      <c r="J275" s="97">
        <f t="shared" si="25"/>
        <v>0</v>
      </c>
      <c r="K275" s="97">
        <f t="shared" si="26"/>
        <v>0</v>
      </c>
      <c r="L275" s="97">
        <f t="shared" si="27"/>
        <v>0</v>
      </c>
      <c r="M275" s="97">
        <f t="shared" si="28"/>
        <v>0</v>
      </c>
      <c r="N275" s="97"/>
      <c r="O275" s="97"/>
      <c r="P275" s="112">
        <f t="shared" si="29"/>
        <v>0</v>
      </c>
      <c r="Q275" s="106">
        <f>BASE!A279</f>
        <v>264</v>
      </c>
      <c r="R275" s="97">
        <f t="shared" si="30"/>
        <v>0</v>
      </c>
      <c r="S275" s="97">
        <f t="shared" si="31"/>
        <v>0</v>
      </c>
      <c r="T275" s="97">
        <f t="shared" si="32"/>
        <v>0</v>
      </c>
      <c r="U275" s="97">
        <f t="shared" si="33"/>
        <v>0</v>
      </c>
      <c r="V275" s="97">
        <f t="shared" si="34"/>
        <v>0</v>
      </c>
      <c r="W275" s="161"/>
      <c r="X275" s="161"/>
    </row>
    <row r="276" spans="1:24" ht="17.25" customHeight="1">
      <c r="A276" s="110" t="str">
        <f>+BASE!B280</f>
        <v>23XXR265</v>
      </c>
      <c r="B276" s="106" t="s">
        <v>40</v>
      </c>
      <c r="C276" s="111">
        <f t="shared" si="19"/>
        <v>0</v>
      </c>
      <c r="D276" s="111">
        <f t="shared" si="20"/>
        <v>0</v>
      </c>
      <c r="E276" s="111">
        <f t="shared" si="21"/>
        <v>0</v>
      </c>
      <c r="F276" s="111">
        <f t="shared" si="22"/>
        <v>0</v>
      </c>
      <c r="G276" s="111">
        <f t="shared" si="23"/>
        <v>0</v>
      </c>
      <c r="H276" s="97"/>
      <c r="I276" s="97">
        <f t="shared" si="24"/>
        <v>0</v>
      </c>
      <c r="J276" s="97">
        <f t="shared" si="25"/>
        <v>0</v>
      </c>
      <c r="K276" s="97">
        <f t="shared" si="26"/>
        <v>0</v>
      </c>
      <c r="L276" s="97">
        <f t="shared" si="27"/>
        <v>0</v>
      </c>
      <c r="M276" s="97">
        <f t="shared" si="28"/>
        <v>0</v>
      </c>
      <c r="N276" s="97"/>
      <c r="O276" s="97"/>
      <c r="P276" s="112">
        <f t="shared" si="29"/>
        <v>0</v>
      </c>
      <c r="Q276" s="106">
        <f>BASE!A280</f>
        <v>265</v>
      </c>
      <c r="R276" s="97">
        <f t="shared" si="30"/>
        <v>0</v>
      </c>
      <c r="S276" s="97">
        <f t="shared" si="31"/>
        <v>0</v>
      </c>
      <c r="T276" s="97">
        <f t="shared" si="32"/>
        <v>0</v>
      </c>
      <c r="U276" s="97">
        <f t="shared" si="33"/>
        <v>0</v>
      </c>
      <c r="V276" s="97">
        <f t="shared" si="34"/>
        <v>0</v>
      </c>
      <c r="W276" s="161"/>
      <c r="X276" s="161"/>
    </row>
    <row r="277" spans="1:24" ht="17.25" customHeight="1">
      <c r="A277" s="110" t="str">
        <f>+BASE!B281</f>
        <v>23XXR266</v>
      </c>
      <c r="B277" s="106" t="s">
        <v>40</v>
      </c>
      <c r="C277" s="111">
        <f t="shared" si="19"/>
        <v>0</v>
      </c>
      <c r="D277" s="111">
        <f t="shared" si="20"/>
        <v>0</v>
      </c>
      <c r="E277" s="111">
        <f t="shared" si="21"/>
        <v>0</v>
      </c>
      <c r="F277" s="111">
        <f t="shared" si="22"/>
        <v>0</v>
      </c>
      <c r="G277" s="111">
        <f t="shared" si="23"/>
        <v>0</v>
      </c>
      <c r="H277" s="97"/>
      <c r="I277" s="97">
        <f t="shared" si="24"/>
        <v>0</v>
      </c>
      <c r="J277" s="97">
        <f t="shared" si="25"/>
        <v>0</v>
      </c>
      <c r="K277" s="97">
        <f t="shared" si="26"/>
        <v>0</v>
      </c>
      <c r="L277" s="97">
        <f t="shared" si="27"/>
        <v>0</v>
      </c>
      <c r="M277" s="97">
        <f t="shared" si="28"/>
        <v>0</v>
      </c>
      <c r="N277" s="97"/>
      <c r="O277" s="97"/>
      <c r="P277" s="112">
        <f t="shared" si="29"/>
        <v>0</v>
      </c>
      <c r="Q277" s="106">
        <f>BASE!A281</f>
        <v>266</v>
      </c>
      <c r="R277" s="97">
        <f t="shared" si="30"/>
        <v>0</v>
      </c>
      <c r="S277" s="97">
        <f t="shared" si="31"/>
        <v>0</v>
      </c>
      <c r="T277" s="97">
        <f t="shared" si="32"/>
        <v>0</v>
      </c>
      <c r="U277" s="97">
        <f t="shared" si="33"/>
        <v>0</v>
      </c>
      <c r="V277" s="97">
        <f t="shared" si="34"/>
        <v>0</v>
      </c>
      <c r="W277" s="161"/>
      <c r="X277" s="161"/>
    </row>
    <row r="278" spans="1:24" ht="17.25" customHeight="1">
      <c r="A278" s="110" t="str">
        <f>+BASE!B282</f>
        <v>23XXR267</v>
      </c>
      <c r="B278" s="106" t="s">
        <v>40</v>
      </c>
      <c r="C278" s="111">
        <f t="shared" si="19"/>
        <v>0</v>
      </c>
      <c r="D278" s="111">
        <f t="shared" si="20"/>
        <v>0</v>
      </c>
      <c r="E278" s="111">
        <f t="shared" si="21"/>
        <v>0</v>
      </c>
      <c r="F278" s="111">
        <f t="shared" si="22"/>
        <v>0</v>
      </c>
      <c r="G278" s="111">
        <f t="shared" si="23"/>
        <v>0</v>
      </c>
      <c r="H278" s="97"/>
      <c r="I278" s="97">
        <f t="shared" si="24"/>
        <v>0</v>
      </c>
      <c r="J278" s="97">
        <f t="shared" si="25"/>
        <v>0</v>
      </c>
      <c r="K278" s="97">
        <f t="shared" si="26"/>
        <v>0</v>
      </c>
      <c r="L278" s="97">
        <f t="shared" si="27"/>
        <v>0</v>
      </c>
      <c r="M278" s="97">
        <f t="shared" si="28"/>
        <v>0</v>
      </c>
      <c r="N278" s="97"/>
      <c r="O278" s="97"/>
      <c r="P278" s="112">
        <f t="shared" si="29"/>
        <v>0</v>
      </c>
      <c r="Q278" s="106">
        <f>BASE!A282</f>
        <v>267</v>
      </c>
      <c r="R278" s="97">
        <f t="shared" si="30"/>
        <v>0</v>
      </c>
      <c r="S278" s="97">
        <f t="shared" si="31"/>
        <v>0</v>
      </c>
      <c r="T278" s="97">
        <f t="shared" si="32"/>
        <v>0</v>
      </c>
      <c r="U278" s="97">
        <f t="shared" si="33"/>
        <v>0</v>
      </c>
      <c r="V278" s="97">
        <f t="shared" si="34"/>
        <v>0</v>
      </c>
      <c r="W278" s="161"/>
      <c r="X278" s="161"/>
    </row>
    <row r="279" spans="1:24" ht="17.25" customHeight="1">
      <c r="A279" s="110" t="str">
        <f>+BASE!B283</f>
        <v>23XXR268</v>
      </c>
      <c r="B279" s="106" t="s">
        <v>40</v>
      </c>
      <c r="C279" s="111">
        <f t="shared" si="19"/>
        <v>0</v>
      </c>
      <c r="D279" s="111">
        <f t="shared" si="20"/>
        <v>0</v>
      </c>
      <c r="E279" s="111">
        <f t="shared" si="21"/>
        <v>0</v>
      </c>
      <c r="F279" s="111">
        <f t="shared" si="22"/>
        <v>0</v>
      </c>
      <c r="G279" s="111">
        <f t="shared" si="23"/>
        <v>0</v>
      </c>
      <c r="H279" s="97"/>
      <c r="I279" s="97">
        <f t="shared" si="24"/>
        <v>0</v>
      </c>
      <c r="J279" s="97">
        <f t="shared" si="25"/>
        <v>0</v>
      </c>
      <c r="K279" s="97">
        <f t="shared" si="26"/>
        <v>0</v>
      </c>
      <c r="L279" s="97">
        <f t="shared" si="27"/>
        <v>0</v>
      </c>
      <c r="M279" s="97">
        <f t="shared" si="28"/>
        <v>0</v>
      </c>
      <c r="N279" s="97"/>
      <c r="O279" s="97"/>
      <c r="P279" s="112">
        <f t="shared" si="29"/>
        <v>0</v>
      </c>
      <c r="Q279" s="106">
        <f>BASE!A283</f>
        <v>268</v>
      </c>
      <c r="R279" s="97">
        <f t="shared" si="30"/>
        <v>0</v>
      </c>
      <c r="S279" s="97">
        <f t="shared" si="31"/>
        <v>0</v>
      </c>
      <c r="T279" s="97">
        <f t="shared" si="32"/>
        <v>0</v>
      </c>
      <c r="U279" s="97">
        <f t="shared" si="33"/>
        <v>0</v>
      </c>
      <c r="V279" s="97">
        <f t="shared" si="34"/>
        <v>0</v>
      </c>
      <c r="W279" s="161"/>
      <c r="X279" s="161"/>
    </row>
    <row r="280" spans="1:24" ht="17.25" customHeight="1">
      <c r="A280" s="110" t="str">
        <f>+BASE!B284</f>
        <v>23XXR269</v>
      </c>
      <c r="B280" s="106" t="s">
        <v>40</v>
      </c>
      <c r="C280" s="111">
        <f t="shared" si="19"/>
        <v>0</v>
      </c>
      <c r="D280" s="111">
        <f t="shared" si="20"/>
        <v>0</v>
      </c>
      <c r="E280" s="111">
        <f t="shared" si="21"/>
        <v>0</v>
      </c>
      <c r="F280" s="111">
        <f t="shared" si="22"/>
        <v>0</v>
      </c>
      <c r="G280" s="111">
        <f t="shared" si="23"/>
        <v>0</v>
      </c>
      <c r="H280" s="97"/>
      <c r="I280" s="97">
        <f t="shared" si="24"/>
        <v>0</v>
      </c>
      <c r="J280" s="97">
        <f t="shared" si="25"/>
        <v>0</v>
      </c>
      <c r="K280" s="97">
        <f t="shared" si="26"/>
        <v>0</v>
      </c>
      <c r="L280" s="97">
        <f t="shared" si="27"/>
        <v>0</v>
      </c>
      <c r="M280" s="97">
        <f t="shared" si="28"/>
        <v>0</v>
      </c>
      <c r="N280" s="97"/>
      <c r="O280" s="97"/>
      <c r="P280" s="112">
        <f t="shared" si="29"/>
        <v>0</v>
      </c>
      <c r="Q280" s="106">
        <f>BASE!A284</f>
        <v>269</v>
      </c>
      <c r="R280" s="97">
        <f t="shared" si="30"/>
        <v>0</v>
      </c>
      <c r="S280" s="97">
        <f t="shared" si="31"/>
        <v>0</v>
      </c>
      <c r="T280" s="97">
        <f t="shared" si="32"/>
        <v>0</v>
      </c>
      <c r="U280" s="97">
        <f t="shared" si="33"/>
        <v>0</v>
      </c>
      <c r="V280" s="97">
        <f t="shared" si="34"/>
        <v>0</v>
      </c>
      <c r="W280" s="161"/>
      <c r="X280" s="161"/>
    </row>
    <row r="281" spans="1:24" ht="17.25" customHeight="1">
      <c r="A281" s="110" t="str">
        <f>+BASE!B285</f>
        <v>23XXR270</v>
      </c>
      <c r="B281" s="106" t="s">
        <v>40</v>
      </c>
      <c r="C281" s="111">
        <f t="shared" si="19"/>
        <v>0</v>
      </c>
      <c r="D281" s="111">
        <f t="shared" si="20"/>
        <v>0</v>
      </c>
      <c r="E281" s="111">
        <f t="shared" si="21"/>
        <v>0</v>
      </c>
      <c r="F281" s="111">
        <f t="shared" si="22"/>
        <v>0</v>
      </c>
      <c r="G281" s="111">
        <f t="shared" si="23"/>
        <v>0</v>
      </c>
      <c r="H281" s="97"/>
      <c r="I281" s="97">
        <f t="shared" si="24"/>
        <v>0</v>
      </c>
      <c r="J281" s="97">
        <f t="shared" si="25"/>
        <v>0</v>
      </c>
      <c r="K281" s="97">
        <f t="shared" si="26"/>
        <v>0</v>
      </c>
      <c r="L281" s="97">
        <f t="shared" si="27"/>
        <v>0</v>
      </c>
      <c r="M281" s="97">
        <f t="shared" si="28"/>
        <v>0</v>
      </c>
      <c r="N281" s="97"/>
      <c r="O281" s="97"/>
      <c r="P281" s="112">
        <f t="shared" si="29"/>
        <v>0</v>
      </c>
      <c r="Q281" s="106">
        <f>BASE!A285</f>
        <v>270</v>
      </c>
      <c r="R281" s="97">
        <f t="shared" si="30"/>
        <v>0</v>
      </c>
      <c r="S281" s="97">
        <f t="shared" si="31"/>
        <v>0</v>
      </c>
      <c r="T281" s="97">
        <f t="shared" si="32"/>
        <v>0</v>
      </c>
      <c r="U281" s="97">
        <f t="shared" si="33"/>
        <v>0</v>
      </c>
      <c r="V281" s="97">
        <f t="shared" si="34"/>
        <v>0</v>
      </c>
      <c r="W281" s="161"/>
      <c r="X281" s="161"/>
    </row>
    <row r="282" spans="1:24" ht="17.25" customHeight="1">
      <c r="A282" s="110" t="str">
        <f>+BASE!B286</f>
        <v>23XXR271</v>
      </c>
      <c r="B282" s="106" t="s">
        <v>40</v>
      </c>
      <c r="C282" s="111">
        <f t="shared" si="19"/>
        <v>0</v>
      </c>
      <c r="D282" s="111">
        <f t="shared" si="20"/>
        <v>0</v>
      </c>
      <c r="E282" s="111">
        <f t="shared" si="21"/>
        <v>0</v>
      </c>
      <c r="F282" s="111">
        <f t="shared" si="22"/>
        <v>0</v>
      </c>
      <c r="G282" s="111">
        <f t="shared" si="23"/>
        <v>0</v>
      </c>
      <c r="H282" s="97"/>
      <c r="I282" s="97">
        <f t="shared" si="24"/>
        <v>0</v>
      </c>
      <c r="J282" s="97">
        <f t="shared" si="25"/>
        <v>0</v>
      </c>
      <c r="K282" s="97">
        <f t="shared" si="26"/>
        <v>0</v>
      </c>
      <c r="L282" s="97">
        <f t="shared" si="27"/>
        <v>0</v>
      </c>
      <c r="M282" s="97">
        <f t="shared" si="28"/>
        <v>0</v>
      </c>
      <c r="N282" s="97"/>
      <c r="O282" s="97"/>
      <c r="P282" s="112">
        <f t="shared" si="29"/>
        <v>0</v>
      </c>
      <c r="Q282" s="106">
        <f>BASE!A286</f>
        <v>271</v>
      </c>
      <c r="R282" s="97">
        <f t="shared" si="30"/>
        <v>0</v>
      </c>
      <c r="S282" s="97">
        <f t="shared" si="31"/>
        <v>0</v>
      </c>
      <c r="T282" s="97">
        <f t="shared" si="32"/>
        <v>0</v>
      </c>
      <c r="U282" s="97">
        <f t="shared" si="33"/>
        <v>0</v>
      </c>
      <c r="V282" s="97">
        <f t="shared" si="34"/>
        <v>0</v>
      </c>
      <c r="W282" s="161"/>
      <c r="X282" s="161"/>
    </row>
    <row r="283" spans="1:24" ht="17.25" customHeight="1">
      <c r="A283" s="110" t="str">
        <f>+BASE!B287</f>
        <v>23XXR272</v>
      </c>
      <c r="B283" s="106" t="s">
        <v>40</v>
      </c>
      <c r="C283" s="111">
        <f t="shared" si="19"/>
        <v>0</v>
      </c>
      <c r="D283" s="111">
        <f t="shared" si="20"/>
        <v>0</v>
      </c>
      <c r="E283" s="111">
        <f t="shared" si="21"/>
        <v>0</v>
      </c>
      <c r="F283" s="111">
        <f t="shared" si="22"/>
        <v>0</v>
      </c>
      <c r="G283" s="111">
        <f t="shared" si="23"/>
        <v>0</v>
      </c>
      <c r="H283" s="97"/>
      <c r="I283" s="97">
        <f t="shared" si="24"/>
        <v>0</v>
      </c>
      <c r="J283" s="97">
        <f t="shared" si="25"/>
        <v>0</v>
      </c>
      <c r="K283" s="97">
        <f t="shared" si="26"/>
        <v>0</v>
      </c>
      <c r="L283" s="97">
        <f t="shared" si="27"/>
        <v>0</v>
      </c>
      <c r="M283" s="97">
        <f t="shared" si="28"/>
        <v>0</v>
      </c>
      <c r="N283" s="97"/>
      <c r="O283" s="97"/>
      <c r="P283" s="112">
        <f t="shared" si="29"/>
        <v>0</v>
      </c>
      <c r="Q283" s="106">
        <f>BASE!A287</f>
        <v>272</v>
      </c>
      <c r="R283" s="97">
        <f t="shared" si="30"/>
        <v>0</v>
      </c>
      <c r="S283" s="97">
        <f t="shared" si="31"/>
        <v>0</v>
      </c>
      <c r="T283" s="97">
        <f t="shared" si="32"/>
        <v>0</v>
      </c>
      <c r="U283" s="97">
        <f t="shared" si="33"/>
        <v>0</v>
      </c>
      <c r="V283" s="97">
        <f t="shared" si="34"/>
        <v>0</v>
      </c>
      <c r="W283" s="161"/>
      <c r="X283" s="161"/>
    </row>
    <row r="284" spans="1:24" ht="17.25" customHeight="1">
      <c r="A284" s="110" t="str">
        <f>+BASE!B288</f>
        <v>23XXR273</v>
      </c>
      <c r="B284" s="106" t="s">
        <v>40</v>
      </c>
      <c r="C284" s="111">
        <f t="shared" si="19"/>
        <v>0</v>
      </c>
      <c r="D284" s="111">
        <f t="shared" si="20"/>
        <v>0</v>
      </c>
      <c r="E284" s="111">
        <f t="shared" si="21"/>
        <v>0</v>
      </c>
      <c r="F284" s="111">
        <f t="shared" si="22"/>
        <v>0</v>
      </c>
      <c r="G284" s="111">
        <f t="shared" si="23"/>
        <v>0</v>
      </c>
      <c r="H284" s="97"/>
      <c r="I284" s="97">
        <f t="shared" si="24"/>
        <v>0</v>
      </c>
      <c r="J284" s="97">
        <f t="shared" si="25"/>
        <v>0</v>
      </c>
      <c r="K284" s="97">
        <f t="shared" si="26"/>
        <v>0</v>
      </c>
      <c r="L284" s="97">
        <f t="shared" si="27"/>
        <v>0</v>
      </c>
      <c r="M284" s="97">
        <f t="shared" si="28"/>
        <v>0</v>
      </c>
      <c r="N284" s="97"/>
      <c r="O284" s="97"/>
      <c r="P284" s="112">
        <f t="shared" si="29"/>
        <v>0</v>
      </c>
      <c r="Q284" s="106">
        <f>BASE!A288</f>
        <v>273</v>
      </c>
      <c r="R284" s="97">
        <f t="shared" si="30"/>
        <v>0</v>
      </c>
      <c r="S284" s="97">
        <f t="shared" si="31"/>
        <v>0</v>
      </c>
      <c r="T284" s="97">
        <f t="shared" si="32"/>
        <v>0</v>
      </c>
      <c r="U284" s="97">
        <f t="shared" si="33"/>
        <v>0</v>
      </c>
      <c r="V284" s="97">
        <f t="shared" si="34"/>
        <v>0</v>
      </c>
      <c r="W284" s="161"/>
      <c r="X284" s="161"/>
    </row>
    <row r="285" spans="1:24" ht="17.25" customHeight="1">
      <c r="A285" s="110" t="str">
        <f>+BASE!B289</f>
        <v>23XXR274</v>
      </c>
      <c r="B285" s="106" t="s">
        <v>40</v>
      </c>
      <c r="C285" s="111">
        <f t="shared" si="19"/>
        <v>0</v>
      </c>
      <c r="D285" s="111">
        <f t="shared" si="20"/>
        <v>0</v>
      </c>
      <c r="E285" s="111">
        <f t="shared" si="21"/>
        <v>0</v>
      </c>
      <c r="F285" s="111">
        <f t="shared" si="22"/>
        <v>0</v>
      </c>
      <c r="G285" s="111">
        <f t="shared" si="23"/>
        <v>0</v>
      </c>
      <c r="H285" s="97"/>
      <c r="I285" s="97">
        <f t="shared" si="24"/>
        <v>0</v>
      </c>
      <c r="J285" s="97">
        <f t="shared" si="25"/>
        <v>0</v>
      </c>
      <c r="K285" s="97">
        <f t="shared" si="26"/>
        <v>0</v>
      </c>
      <c r="L285" s="97">
        <f t="shared" si="27"/>
        <v>0</v>
      </c>
      <c r="M285" s="97">
        <f t="shared" si="28"/>
        <v>0</v>
      </c>
      <c r="N285" s="97"/>
      <c r="O285" s="97"/>
      <c r="P285" s="112">
        <f t="shared" si="29"/>
        <v>0</v>
      </c>
      <c r="Q285" s="106">
        <f>BASE!A289</f>
        <v>274</v>
      </c>
      <c r="R285" s="97">
        <f t="shared" si="30"/>
        <v>0</v>
      </c>
      <c r="S285" s="97">
        <f t="shared" si="31"/>
        <v>0</v>
      </c>
      <c r="T285" s="97">
        <f t="shared" si="32"/>
        <v>0</v>
      </c>
      <c r="U285" s="97">
        <f t="shared" si="33"/>
        <v>0</v>
      </c>
      <c r="V285" s="97">
        <f t="shared" si="34"/>
        <v>0</v>
      </c>
      <c r="W285" s="161"/>
      <c r="X285" s="161"/>
    </row>
    <row r="286" spans="1:24" ht="17.25" customHeight="1">
      <c r="A286" s="110" t="str">
        <f>+BASE!B290</f>
        <v>23XXR275</v>
      </c>
      <c r="B286" s="106" t="s">
        <v>40</v>
      </c>
      <c r="C286" s="111">
        <f t="shared" si="19"/>
        <v>0</v>
      </c>
      <c r="D286" s="111">
        <f t="shared" si="20"/>
        <v>0</v>
      </c>
      <c r="E286" s="111">
        <f t="shared" si="21"/>
        <v>0</v>
      </c>
      <c r="F286" s="111">
        <f t="shared" si="22"/>
        <v>0</v>
      </c>
      <c r="G286" s="111">
        <f t="shared" si="23"/>
        <v>0</v>
      </c>
      <c r="H286" s="97"/>
      <c r="I286" s="97">
        <f t="shared" si="24"/>
        <v>0</v>
      </c>
      <c r="J286" s="97">
        <f t="shared" si="25"/>
        <v>0</v>
      </c>
      <c r="K286" s="97">
        <f t="shared" si="26"/>
        <v>0</v>
      </c>
      <c r="L286" s="97">
        <f t="shared" si="27"/>
        <v>0</v>
      </c>
      <c r="M286" s="97">
        <f t="shared" si="28"/>
        <v>0</v>
      </c>
      <c r="N286" s="97"/>
      <c r="O286" s="97"/>
      <c r="P286" s="112">
        <f t="shared" si="29"/>
        <v>0</v>
      </c>
      <c r="Q286" s="106">
        <f>BASE!A290</f>
        <v>275</v>
      </c>
      <c r="R286" s="97">
        <f t="shared" si="30"/>
        <v>0</v>
      </c>
      <c r="S286" s="97">
        <f t="shared" si="31"/>
        <v>0</v>
      </c>
      <c r="T286" s="97">
        <f t="shared" si="32"/>
        <v>0</v>
      </c>
      <c r="U286" s="97">
        <f t="shared" si="33"/>
        <v>0</v>
      </c>
      <c r="V286" s="97">
        <f t="shared" si="34"/>
        <v>0</v>
      </c>
      <c r="W286" s="161"/>
      <c r="X286" s="161"/>
    </row>
    <row r="287" spans="1:24" ht="17.25" customHeight="1">
      <c r="A287" s="110" t="str">
        <f>+BASE!B291</f>
        <v>23XXR276</v>
      </c>
      <c r="B287" s="106" t="s">
        <v>40</v>
      </c>
      <c r="C287" s="111">
        <f t="shared" si="19"/>
        <v>0</v>
      </c>
      <c r="D287" s="111">
        <f t="shared" si="20"/>
        <v>0</v>
      </c>
      <c r="E287" s="111">
        <f t="shared" si="21"/>
        <v>0</v>
      </c>
      <c r="F287" s="111">
        <f t="shared" si="22"/>
        <v>0</v>
      </c>
      <c r="G287" s="111">
        <f t="shared" si="23"/>
        <v>0</v>
      </c>
      <c r="H287" s="97"/>
      <c r="I287" s="97">
        <f t="shared" si="24"/>
        <v>0</v>
      </c>
      <c r="J287" s="97">
        <f t="shared" si="25"/>
        <v>0</v>
      </c>
      <c r="K287" s="97">
        <f t="shared" si="26"/>
        <v>0</v>
      </c>
      <c r="L287" s="97">
        <f t="shared" si="27"/>
        <v>0</v>
      </c>
      <c r="M287" s="97">
        <f t="shared" si="28"/>
        <v>0</v>
      </c>
      <c r="N287" s="97"/>
      <c r="O287" s="97"/>
      <c r="P287" s="112">
        <f t="shared" si="29"/>
        <v>0</v>
      </c>
      <c r="Q287" s="106">
        <f>BASE!A291</f>
        <v>276</v>
      </c>
      <c r="R287" s="97">
        <f t="shared" si="30"/>
        <v>0</v>
      </c>
      <c r="S287" s="97">
        <f t="shared" si="31"/>
        <v>0</v>
      </c>
      <c r="T287" s="97">
        <f t="shared" si="32"/>
        <v>0</v>
      </c>
      <c r="U287" s="97">
        <f t="shared" si="33"/>
        <v>0</v>
      </c>
      <c r="V287" s="97">
        <f t="shared" si="34"/>
        <v>0</v>
      </c>
      <c r="W287" s="161"/>
      <c r="X287" s="161"/>
    </row>
    <row r="288" spans="1:24" ht="17.25" customHeight="1">
      <c r="A288" s="110" t="str">
        <f>+BASE!B292</f>
        <v>23XXR277</v>
      </c>
      <c r="B288" s="106" t="s">
        <v>40</v>
      </c>
      <c r="C288" s="111">
        <f t="shared" si="19"/>
        <v>0</v>
      </c>
      <c r="D288" s="111">
        <f t="shared" si="20"/>
        <v>0</v>
      </c>
      <c r="E288" s="111">
        <f t="shared" si="21"/>
        <v>0</v>
      </c>
      <c r="F288" s="111">
        <f t="shared" si="22"/>
        <v>0</v>
      </c>
      <c r="G288" s="111">
        <f t="shared" si="23"/>
        <v>0</v>
      </c>
      <c r="H288" s="97"/>
      <c r="I288" s="97">
        <f t="shared" si="24"/>
        <v>0</v>
      </c>
      <c r="J288" s="97">
        <f t="shared" si="25"/>
        <v>0</v>
      </c>
      <c r="K288" s="97">
        <f t="shared" si="26"/>
        <v>0</v>
      </c>
      <c r="L288" s="97">
        <f t="shared" si="27"/>
        <v>0</v>
      </c>
      <c r="M288" s="97">
        <f t="shared" si="28"/>
        <v>0</v>
      </c>
      <c r="N288" s="97"/>
      <c r="O288" s="97"/>
      <c r="P288" s="112">
        <f t="shared" si="29"/>
        <v>0</v>
      </c>
      <c r="Q288" s="106">
        <f>BASE!A292</f>
        <v>277</v>
      </c>
      <c r="R288" s="97">
        <f t="shared" si="30"/>
        <v>0</v>
      </c>
      <c r="S288" s="97">
        <f t="shared" si="31"/>
        <v>0</v>
      </c>
      <c r="T288" s="97">
        <f t="shared" si="32"/>
        <v>0</v>
      </c>
      <c r="U288" s="97">
        <f t="shared" si="33"/>
        <v>0</v>
      </c>
      <c r="V288" s="97">
        <f t="shared" si="34"/>
        <v>0</v>
      </c>
      <c r="W288" s="161"/>
      <c r="X288" s="161"/>
    </row>
    <row r="289" spans="1:24" ht="17.25" customHeight="1">
      <c r="A289" s="110" t="str">
        <f>+BASE!B293</f>
        <v>23XXR278</v>
      </c>
      <c r="B289" s="106" t="s">
        <v>40</v>
      </c>
      <c r="C289" s="111">
        <f t="shared" si="19"/>
        <v>0</v>
      </c>
      <c r="D289" s="111">
        <f t="shared" si="20"/>
        <v>0</v>
      </c>
      <c r="E289" s="111">
        <f t="shared" si="21"/>
        <v>0</v>
      </c>
      <c r="F289" s="111">
        <f t="shared" si="22"/>
        <v>0</v>
      </c>
      <c r="G289" s="111">
        <f t="shared" si="23"/>
        <v>0</v>
      </c>
      <c r="H289" s="97"/>
      <c r="I289" s="97">
        <f t="shared" si="24"/>
        <v>0</v>
      </c>
      <c r="J289" s="97">
        <f t="shared" si="25"/>
        <v>0</v>
      </c>
      <c r="K289" s="97">
        <f t="shared" si="26"/>
        <v>0</v>
      </c>
      <c r="L289" s="97">
        <f t="shared" si="27"/>
        <v>0</v>
      </c>
      <c r="M289" s="97">
        <f t="shared" si="28"/>
        <v>0</v>
      </c>
      <c r="N289" s="97"/>
      <c r="O289" s="97"/>
      <c r="P289" s="112">
        <f t="shared" si="29"/>
        <v>0</v>
      </c>
      <c r="Q289" s="106">
        <f>BASE!A293</f>
        <v>278</v>
      </c>
      <c r="R289" s="97">
        <f t="shared" si="30"/>
        <v>0</v>
      </c>
      <c r="S289" s="97">
        <f t="shared" si="31"/>
        <v>0</v>
      </c>
      <c r="T289" s="97">
        <f t="shared" si="32"/>
        <v>0</v>
      </c>
      <c r="U289" s="97">
        <f t="shared" si="33"/>
        <v>0</v>
      </c>
      <c r="V289" s="97">
        <f t="shared" si="34"/>
        <v>0</v>
      </c>
      <c r="W289" s="161"/>
      <c r="X289" s="161"/>
    </row>
    <row r="290" spans="1:24" ht="17.25" customHeight="1">
      <c r="A290" s="110" t="str">
        <f>+BASE!B294</f>
        <v>23XXR279</v>
      </c>
      <c r="B290" s="106" t="s">
        <v>40</v>
      </c>
      <c r="C290" s="111">
        <f t="shared" si="19"/>
        <v>0</v>
      </c>
      <c r="D290" s="111">
        <f t="shared" si="20"/>
        <v>0</v>
      </c>
      <c r="E290" s="111">
        <f t="shared" si="21"/>
        <v>0</v>
      </c>
      <c r="F290" s="111">
        <f t="shared" si="22"/>
        <v>0</v>
      </c>
      <c r="G290" s="111">
        <f t="shared" si="23"/>
        <v>0</v>
      </c>
      <c r="H290" s="97"/>
      <c r="I290" s="97">
        <f t="shared" si="24"/>
        <v>0</v>
      </c>
      <c r="J290" s="97">
        <f t="shared" si="25"/>
        <v>0</v>
      </c>
      <c r="K290" s="97">
        <f t="shared" si="26"/>
        <v>0</v>
      </c>
      <c r="L290" s="97">
        <f t="shared" si="27"/>
        <v>0</v>
      </c>
      <c r="M290" s="97">
        <f t="shared" si="28"/>
        <v>0</v>
      </c>
      <c r="N290" s="97"/>
      <c r="O290" s="97"/>
      <c r="P290" s="112">
        <f t="shared" si="29"/>
        <v>0</v>
      </c>
      <c r="Q290" s="106">
        <f>BASE!A294</f>
        <v>279</v>
      </c>
      <c r="R290" s="97">
        <f t="shared" si="30"/>
        <v>0</v>
      </c>
      <c r="S290" s="97">
        <f t="shared" si="31"/>
        <v>0</v>
      </c>
      <c r="T290" s="97">
        <f t="shared" si="32"/>
        <v>0</v>
      </c>
      <c r="U290" s="97">
        <f t="shared" si="33"/>
        <v>0</v>
      </c>
      <c r="V290" s="97">
        <f t="shared" si="34"/>
        <v>0</v>
      </c>
      <c r="W290" s="161"/>
      <c r="X290" s="161"/>
    </row>
    <row r="291" spans="1:24" ht="17.25" customHeight="1">
      <c r="A291" s="110" t="str">
        <f>+BASE!B295</f>
        <v>23XXR280</v>
      </c>
      <c r="B291" s="106" t="s">
        <v>40</v>
      </c>
      <c r="C291" s="111">
        <f t="shared" si="19"/>
        <v>0</v>
      </c>
      <c r="D291" s="111">
        <f t="shared" si="20"/>
        <v>0</v>
      </c>
      <c r="E291" s="111">
        <f t="shared" si="21"/>
        <v>0</v>
      </c>
      <c r="F291" s="111">
        <f t="shared" si="22"/>
        <v>0</v>
      </c>
      <c r="G291" s="111">
        <f t="shared" si="23"/>
        <v>0</v>
      </c>
      <c r="H291" s="97"/>
      <c r="I291" s="97">
        <f t="shared" si="24"/>
        <v>0</v>
      </c>
      <c r="J291" s="97">
        <f t="shared" si="25"/>
        <v>0</v>
      </c>
      <c r="K291" s="97">
        <f t="shared" si="26"/>
        <v>0</v>
      </c>
      <c r="L291" s="97">
        <f t="shared" si="27"/>
        <v>0</v>
      </c>
      <c r="M291" s="97">
        <f t="shared" si="28"/>
        <v>0</v>
      </c>
      <c r="N291" s="97"/>
      <c r="O291" s="97"/>
      <c r="P291" s="112">
        <f t="shared" si="29"/>
        <v>0</v>
      </c>
      <c r="Q291" s="106">
        <f>BASE!A295</f>
        <v>280</v>
      </c>
      <c r="R291" s="97">
        <f t="shared" si="30"/>
        <v>0</v>
      </c>
      <c r="S291" s="97">
        <f t="shared" si="31"/>
        <v>0</v>
      </c>
      <c r="T291" s="97">
        <f t="shared" si="32"/>
        <v>0</v>
      </c>
      <c r="U291" s="97">
        <f t="shared" si="33"/>
        <v>0</v>
      </c>
      <c r="V291" s="97">
        <f t="shared" si="34"/>
        <v>0</v>
      </c>
      <c r="W291" s="161"/>
      <c r="X291" s="161"/>
    </row>
    <row r="292" spans="1:24" ht="17.25" customHeight="1">
      <c r="A292" s="110" t="str">
        <f>+BASE!B296</f>
        <v>23XXR281</v>
      </c>
      <c r="B292" s="106" t="s">
        <v>40</v>
      </c>
      <c r="C292" s="111">
        <f t="shared" si="19"/>
        <v>0</v>
      </c>
      <c r="D292" s="111">
        <f t="shared" si="20"/>
        <v>0</v>
      </c>
      <c r="E292" s="111">
        <f t="shared" si="21"/>
        <v>0</v>
      </c>
      <c r="F292" s="111">
        <f t="shared" si="22"/>
        <v>0</v>
      </c>
      <c r="G292" s="111">
        <f t="shared" si="23"/>
        <v>0</v>
      </c>
      <c r="H292" s="97"/>
      <c r="I292" s="97">
        <f t="shared" si="24"/>
        <v>0</v>
      </c>
      <c r="J292" s="97">
        <f t="shared" si="25"/>
        <v>0</v>
      </c>
      <c r="K292" s="97">
        <f t="shared" si="26"/>
        <v>0</v>
      </c>
      <c r="L292" s="97">
        <f t="shared" si="27"/>
        <v>0</v>
      </c>
      <c r="M292" s="97">
        <f t="shared" si="28"/>
        <v>0</v>
      </c>
      <c r="N292" s="97"/>
      <c r="O292" s="97"/>
      <c r="P292" s="112">
        <f t="shared" si="29"/>
        <v>0</v>
      </c>
      <c r="Q292" s="106">
        <f>BASE!A296</f>
        <v>281</v>
      </c>
      <c r="R292" s="97">
        <f t="shared" si="30"/>
        <v>0</v>
      </c>
      <c r="S292" s="97">
        <f t="shared" si="31"/>
        <v>0</v>
      </c>
      <c r="T292" s="97">
        <f t="shared" si="32"/>
        <v>0</v>
      </c>
      <c r="U292" s="97">
        <f t="shared" si="33"/>
        <v>0</v>
      </c>
      <c r="V292" s="97">
        <f t="shared" si="34"/>
        <v>0</v>
      </c>
      <c r="W292" s="161"/>
      <c r="X292" s="161"/>
    </row>
    <row r="293" spans="1:24" ht="17.25" customHeight="1">
      <c r="A293" s="110" t="str">
        <f>+BASE!B297</f>
        <v>23XXR282</v>
      </c>
      <c r="B293" s="106" t="s">
        <v>40</v>
      </c>
      <c r="C293" s="111">
        <f t="shared" si="19"/>
        <v>0</v>
      </c>
      <c r="D293" s="111">
        <f t="shared" si="20"/>
        <v>0</v>
      </c>
      <c r="E293" s="111">
        <f t="shared" si="21"/>
        <v>0</v>
      </c>
      <c r="F293" s="111">
        <f t="shared" si="22"/>
        <v>0</v>
      </c>
      <c r="G293" s="111">
        <f t="shared" si="23"/>
        <v>0</v>
      </c>
      <c r="H293" s="97"/>
      <c r="I293" s="97">
        <f t="shared" si="24"/>
        <v>0</v>
      </c>
      <c r="J293" s="97">
        <f t="shared" si="25"/>
        <v>0</v>
      </c>
      <c r="K293" s="97">
        <f t="shared" si="26"/>
        <v>0</v>
      </c>
      <c r="L293" s="97">
        <f t="shared" si="27"/>
        <v>0</v>
      </c>
      <c r="M293" s="97">
        <f t="shared" si="28"/>
        <v>0</v>
      </c>
      <c r="N293" s="97"/>
      <c r="O293" s="97"/>
      <c r="P293" s="112">
        <f t="shared" si="29"/>
        <v>0</v>
      </c>
      <c r="Q293" s="106">
        <f>BASE!A297</f>
        <v>282</v>
      </c>
      <c r="R293" s="97">
        <f t="shared" si="30"/>
        <v>0</v>
      </c>
      <c r="S293" s="97">
        <f t="shared" si="31"/>
        <v>0</v>
      </c>
      <c r="T293" s="97">
        <f t="shared" si="32"/>
        <v>0</v>
      </c>
      <c r="U293" s="97">
        <f t="shared" si="33"/>
        <v>0</v>
      </c>
      <c r="V293" s="97">
        <f t="shared" si="34"/>
        <v>0</v>
      </c>
      <c r="W293" s="161"/>
      <c r="X293" s="161"/>
    </row>
    <row r="294" spans="1:24" ht="17.25" customHeight="1">
      <c r="A294" s="110" t="str">
        <f>+BASE!B298</f>
        <v>23XXR283</v>
      </c>
      <c r="B294" s="106" t="s">
        <v>40</v>
      </c>
      <c r="C294" s="111">
        <f t="shared" si="19"/>
        <v>0</v>
      </c>
      <c r="D294" s="111">
        <f t="shared" si="20"/>
        <v>0</v>
      </c>
      <c r="E294" s="111">
        <f t="shared" si="21"/>
        <v>0</v>
      </c>
      <c r="F294" s="111">
        <f t="shared" si="22"/>
        <v>0</v>
      </c>
      <c r="G294" s="111">
        <f t="shared" si="23"/>
        <v>0</v>
      </c>
      <c r="H294" s="97"/>
      <c r="I294" s="97">
        <f t="shared" si="24"/>
        <v>0</v>
      </c>
      <c r="J294" s="97">
        <f t="shared" si="25"/>
        <v>0</v>
      </c>
      <c r="K294" s="97">
        <f t="shared" si="26"/>
        <v>0</v>
      </c>
      <c r="L294" s="97">
        <f t="shared" si="27"/>
        <v>0</v>
      </c>
      <c r="M294" s="97">
        <f t="shared" si="28"/>
        <v>0</v>
      </c>
      <c r="N294" s="97"/>
      <c r="O294" s="97"/>
      <c r="P294" s="112">
        <f t="shared" si="29"/>
        <v>0</v>
      </c>
      <c r="Q294" s="106">
        <f>BASE!A298</f>
        <v>283</v>
      </c>
      <c r="R294" s="97">
        <f t="shared" si="30"/>
        <v>0</v>
      </c>
      <c r="S294" s="97">
        <f t="shared" si="31"/>
        <v>0</v>
      </c>
      <c r="T294" s="97">
        <f t="shared" si="32"/>
        <v>0</v>
      </c>
      <c r="U294" s="97">
        <f t="shared" si="33"/>
        <v>0</v>
      </c>
      <c r="V294" s="97">
        <f t="shared" si="34"/>
        <v>0</v>
      </c>
      <c r="W294" s="161"/>
      <c r="X294" s="161"/>
    </row>
    <row r="295" spans="1:24" ht="17.25" customHeight="1">
      <c r="A295" s="110" t="str">
        <f>+BASE!B299</f>
        <v>23XXR284</v>
      </c>
      <c r="B295" s="106" t="s">
        <v>40</v>
      </c>
      <c r="C295" s="111">
        <f t="shared" si="19"/>
        <v>0</v>
      </c>
      <c r="D295" s="111">
        <f t="shared" si="20"/>
        <v>0</v>
      </c>
      <c r="E295" s="111">
        <f t="shared" si="21"/>
        <v>0</v>
      </c>
      <c r="F295" s="111">
        <f t="shared" si="22"/>
        <v>0</v>
      </c>
      <c r="G295" s="111">
        <f t="shared" si="23"/>
        <v>0</v>
      </c>
      <c r="H295" s="97"/>
      <c r="I295" s="97">
        <f t="shared" si="24"/>
        <v>0</v>
      </c>
      <c r="J295" s="97">
        <f t="shared" si="25"/>
        <v>0</v>
      </c>
      <c r="K295" s="97">
        <f t="shared" si="26"/>
        <v>0</v>
      </c>
      <c r="L295" s="97">
        <f t="shared" si="27"/>
        <v>0</v>
      </c>
      <c r="M295" s="97">
        <f t="shared" si="28"/>
        <v>0</v>
      </c>
      <c r="N295" s="97"/>
      <c r="O295" s="97"/>
      <c r="P295" s="112">
        <f t="shared" si="29"/>
        <v>0</v>
      </c>
      <c r="Q295" s="106">
        <f>BASE!A299</f>
        <v>284</v>
      </c>
      <c r="R295" s="97">
        <f t="shared" si="30"/>
        <v>0</v>
      </c>
      <c r="S295" s="97">
        <f t="shared" si="31"/>
        <v>0</v>
      </c>
      <c r="T295" s="97">
        <f t="shared" si="32"/>
        <v>0</v>
      </c>
      <c r="U295" s="97">
        <f t="shared" si="33"/>
        <v>0</v>
      </c>
      <c r="V295" s="97">
        <f t="shared" si="34"/>
        <v>0</v>
      </c>
      <c r="W295" s="161"/>
      <c r="X295" s="161"/>
    </row>
    <row r="296" spans="1:24" ht="17.25" customHeight="1">
      <c r="A296" s="110" t="str">
        <f>+BASE!B300</f>
        <v>23XXR285</v>
      </c>
      <c r="B296" s="106" t="s">
        <v>40</v>
      </c>
      <c r="C296" s="111">
        <f t="shared" si="19"/>
        <v>0</v>
      </c>
      <c r="D296" s="111">
        <f t="shared" si="20"/>
        <v>0</v>
      </c>
      <c r="E296" s="111">
        <f t="shared" si="21"/>
        <v>0</v>
      </c>
      <c r="F296" s="111">
        <f t="shared" si="22"/>
        <v>0</v>
      </c>
      <c r="G296" s="111">
        <f t="shared" si="23"/>
        <v>0</v>
      </c>
      <c r="H296" s="97"/>
      <c r="I296" s="97">
        <f t="shared" si="24"/>
        <v>0</v>
      </c>
      <c r="J296" s="97">
        <f t="shared" si="25"/>
        <v>0</v>
      </c>
      <c r="K296" s="97">
        <f t="shared" si="26"/>
        <v>0</v>
      </c>
      <c r="L296" s="97">
        <f t="shared" si="27"/>
        <v>0</v>
      </c>
      <c r="M296" s="97">
        <f t="shared" si="28"/>
        <v>0</v>
      </c>
      <c r="N296" s="97"/>
      <c r="O296" s="97"/>
      <c r="P296" s="112">
        <f t="shared" si="29"/>
        <v>0</v>
      </c>
      <c r="Q296" s="106">
        <f>BASE!A300</f>
        <v>285</v>
      </c>
      <c r="R296" s="97">
        <f t="shared" si="30"/>
        <v>0</v>
      </c>
      <c r="S296" s="97">
        <f t="shared" si="31"/>
        <v>0</v>
      </c>
      <c r="T296" s="97">
        <f t="shared" si="32"/>
        <v>0</v>
      </c>
      <c r="U296" s="97">
        <f t="shared" si="33"/>
        <v>0</v>
      </c>
      <c r="V296" s="97">
        <f t="shared" si="34"/>
        <v>0</v>
      </c>
      <c r="W296" s="161"/>
      <c r="X296" s="161"/>
    </row>
    <row r="297" spans="1:24" ht="17.25" customHeight="1">
      <c r="A297" s="110" t="str">
        <f>+BASE!B301</f>
        <v>23XXR286</v>
      </c>
      <c r="B297" s="106" t="s">
        <v>40</v>
      </c>
      <c r="C297" s="111">
        <f t="shared" si="19"/>
        <v>0</v>
      </c>
      <c r="D297" s="111">
        <f t="shared" si="20"/>
        <v>0</v>
      </c>
      <c r="E297" s="111">
        <f t="shared" si="21"/>
        <v>0</v>
      </c>
      <c r="F297" s="111">
        <f t="shared" si="22"/>
        <v>0</v>
      </c>
      <c r="G297" s="111">
        <f t="shared" si="23"/>
        <v>0</v>
      </c>
      <c r="H297" s="97"/>
      <c r="I297" s="97">
        <f t="shared" si="24"/>
        <v>0</v>
      </c>
      <c r="J297" s="97">
        <f t="shared" si="25"/>
        <v>0</v>
      </c>
      <c r="K297" s="97">
        <f t="shared" si="26"/>
        <v>0</v>
      </c>
      <c r="L297" s="97">
        <f t="shared" si="27"/>
        <v>0</v>
      </c>
      <c r="M297" s="97">
        <f t="shared" si="28"/>
        <v>0</v>
      </c>
      <c r="N297" s="97"/>
      <c r="O297" s="97"/>
      <c r="P297" s="112">
        <f t="shared" si="29"/>
        <v>0</v>
      </c>
      <c r="Q297" s="106">
        <f>BASE!A301</f>
        <v>286</v>
      </c>
      <c r="R297" s="97">
        <f t="shared" si="30"/>
        <v>0</v>
      </c>
      <c r="S297" s="97">
        <f t="shared" si="31"/>
        <v>0</v>
      </c>
      <c r="T297" s="97">
        <f t="shared" si="32"/>
        <v>0</v>
      </c>
      <c r="U297" s="97">
        <f t="shared" si="33"/>
        <v>0</v>
      </c>
      <c r="V297" s="97">
        <f t="shared" si="34"/>
        <v>0</v>
      </c>
      <c r="W297" s="161"/>
      <c r="X297" s="161"/>
    </row>
    <row r="298" spans="1:24" ht="17.25" customHeight="1">
      <c r="A298" s="110" t="str">
        <f>+BASE!B302</f>
        <v>23XXR287</v>
      </c>
      <c r="B298" s="106" t="s">
        <v>40</v>
      </c>
      <c r="C298" s="111">
        <f t="shared" si="19"/>
        <v>0</v>
      </c>
      <c r="D298" s="111">
        <f t="shared" si="20"/>
        <v>0</v>
      </c>
      <c r="E298" s="111">
        <f t="shared" si="21"/>
        <v>0</v>
      </c>
      <c r="F298" s="111">
        <f t="shared" si="22"/>
        <v>0</v>
      </c>
      <c r="G298" s="111">
        <f t="shared" si="23"/>
        <v>0</v>
      </c>
      <c r="H298" s="97"/>
      <c r="I298" s="97">
        <f t="shared" si="24"/>
        <v>0</v>
      </c>
      <c r="J298" s="97">
        <f t="shared" si="25"/>
        <v>0</v>
      </c>
      <c r="K298" s="97">
        <f t="shared" si="26"/>
        <v>0</v>
      </c>
      <c r="L298" s="97">
        <f t="shared" si="27"/>
        <v>0</v>
      </c>
      <c r="M298" s="97">
        <f t="shared" si="28"/>
        <v>0</v>
      </c>
      <c r="N298" s="97"/>
      <c r="O298" s="97"/>
      <c r="P298" s="112">
        <f t="shared" si="29"/>
        <v>0</v>
      </c>
      <c r="Q298" s="106">
        <f>BASE!A302</f>
        <v>287</v>
      </c>
      <c r="R298" s="97">
        <f t="shared" si="30"/>
        <v>0</v>
      </c>
      <c r="S298" s="97">
        <f t="shared" si="31"/>
        <v>0</v>
      </c>
      <c r="T298" s="97">
        <f t="shared" si="32"/>
        <v>0</v>
      </c>
      <c r="U298" s="97">
        <f t="shared" si="33"/>
        <v>0</v>
      </c>
      <c r="V298" s="97">
        <f t="shared" si="34"/>
        <v>0</v>
      </c>
      <c r="W298" s="161"/>
      <c r="X298" s="161"/>
    </row>
    <row r="299" spans="1:24" ht="17.25" customHeight="1">
      <c r="A299" s="110" t="str">
        <f>+BASE!B303</f>
        <v>23XXR288</v>
      </c>
      <c r="B299" s="106" t="s">
        <v>40</v>
      </c>
      <c r="C299" s="111">
        <f t="shared" si="19"/>
        <v>0</v>
      </c>
      <c r="D299" s="111">
        <f t="shared" si="20"/>
        <v>0</v>
      </c>
      <c r="E299" s="111">
        <f t="shared" si="21"/>
        <v>0</v>
      </c>
      <c r="F299" s="111">
        <f t="shared" si="22"/>
        <v>0</v>
      </c>
      <c r="G299" s="111">
        <f t="shared" si="23"/>
        <v>0</v>
      </c>
      <c r="H299" s="97"/>
      <c r="I299" s="97">
        <f t="shared" si="24"/>
        <v>0</v>
      </c>
      <c r="J299" s="97">
        <f t="shared" si="25"/>
        <v>0</v>
      </c>
      <c r="K299" s="97">
        <f t="shared" si="26"/>
        <v>0</v>
      </c>
      <c r="L299" s="97">
        <f t="shared" si="27"/>
        <v>0</v>
      </c>
      <c r="M299" s="97">
        <f t="shared" si="28"/>
        <v>0</v>
      </c>
      <c r="N299" s="97"/>
      <c r="O299" s="97"/>
      <c r="P299" s="112">
        <f t="shared" si="29"/>
        <v>0</v>
      </c>
      <c r="Q299" s="106">
        <f>BASE!A303</f>
        <v>288</v>
      </c>
      <c r="R299" s="97">
        <f t="shared" si="30"/>
        <v>0</v>
      </c>
      <c r="S299" s="97">
        <f t="shared" si="31"/>
        <v>0</v>
      </c>
      <c r="T299" s="97">
        <f t="shared" si="32"/>
        <v>0</v>
      </c>
      <c r="U299" s="97">
        <f t="shared" si="33"/>
        <v>0</v>
      </c>
      <c r="V299" s="97">
        <f t="shared" si="34"/>
        <v>0</v>
      </c>
      <c r="W299" s="161"/>
      <c r="X299" s="161"/>
    </row>
    <row r="300" spans="1:24" ht="17.25" customHeight="1">
      <c r="A300" s="110" t="str">
        <f>+BASE!B304</f>
        <v>23XXR289</v>
      </c>
      <c r="B300" s="106" t="s">
        <v>40</v>
      </c>
      <c r="C300" s="111">
        <f t="shared" si="19"/>
        <v>0</v>
      </c>
      <c r="D300" s="111">
        <f t="shared" si="20"/>
        <v>0</v>
      </c>
      <c r="E300" s="111">
        <f t="shared" si="21"/>
        <v>0</v>
      </c>
      <c r="F300" s="111">
        <f t="shared" si="22"/>
        <v>0</v>
      </c>
      <c r="G300" s="111">
        <f t="shared" si="23"/>
        <v>0</v>
      </c>
      <c r="H300" s="97"/>
      <c r="I300" s="97">
        <f t="shared" si="24"/>
        <v>0</v>
      </c>
      <c r="J300" s="97">
        <f t="shared" si="25"/>
        <v>0</v>
      </c>
      <c r="K300" s="97">
        <f t="shared" si="26"/>
        <v>0</v>
      </c>
      <c r="L300" s="97">
        <f t="shared" si="27"/>
        <v>0</v>
      </c>
      <c r="M300" s="97">
        <f t="shared" si="28"/>
        <v>0</v>
      </c>
      <c r="N300" s="97"/>
      <c r="O300" s="97"/>
      <c r="P300" s="112">
        <f t="shared" si="29"/>
        <v>0</v>
      </c>
      <c r="Q300" s="106">
        <f>BASE!A304</f>
        <v>289</v>
      </c>
      <c r="R300" s="97">
        <f t="shared" si="30"/>
        <v>0</v>
      </c>
      <c r="S300" s="97">
        <f t="shared" si="31"/>
        <v>0</v>
      </c>
      <c r="T300" s="97">
        <f t="shared" si="32"/>
        <v>0</v>
      </c>
      <c r="U300" s="97">
        <f t="shared" si="33"/>
        <v>0</v>
      </c>
      <c r="V300" s="97">
        <f t="shared" si="34"/>
        <v>0</v>
      </c>
      <c r="W300" s="161"/>
      <c r="X300" s="161"/>
    </row>
    <row r="301" spans="1:24" ht="17.25" customHeight="1">
      <c r="A301" s="110" t="str">
        <f>+BASE!B305</f>
        <v>23XXR290</v>
      </c>
      <c r="B301" s="106" t="s">
        <v>40</v>
      </c>
      <c r="C301" s="111">
        <f t="shared" si="19"/>
        <v>0</v>
      </c>
      <c r="D301" s="111">
        <f t="shared" si="20"/>
        <v>0</v>
      </c>
      <c r="E301" s="111">
        <f t="shared" si="21"/>
        <v>0</v>
      </c>
      <c r="F301" s="111">
        <f t="shared" si="22"/>
        <v>0</v>
      </c>
      <c r="G301" s="111">
        <f t="shared" si="23"/>
        <v>0</v>
      </c>
      <c r="H301" s="97"/>
      <c r="I301" s="97">
        <f t="shared" si="24"/>
        <v>0</v>
      </c>
      <c r="J301" s="97">
        <f t="shared" si="25"/>
        <v>0</v>
      </c>
      <c r="K301" s="97">
        <f t="shared" si="26"/>
        <v>0</v>
      </c>
      <c r="L301" s="97">
        <f t="shared" si="27"/>
        <v>0</v>
      </c>
      <c r="M301" s="97">
        <f t="shared" si="28"/>
        <v>0</v>
      </c>
      <c r="N301" s="97"/>
      <c r="O301" s="97"/>
      <c r="P301" s="112">
        <f t="shared" si="29"/>
        <v>0</v>
      </c>
      <c r="Q301" s="106">
        <f>BASE!A305</f>
        <v>290</v>
      </c>
      <c r="R301" s="97">
        <f t="shared" si="30"/>
        <v>0</v>
      </c>
      <c r="S301" s="97">
        <f t="shared" si="31"/>
        <v>0</v>
      </c>
      <c r="T301" s="97">
        <f t="shared" si="32"/>
        <v>0</v>
      </c>
      <c r="U301" s="97">
        <f t="shared" si="33"/>
        <v>0</v>
      </c>
      <c r="V301" s="97">
        <f t="shared" si="34"/>
        <v>0</v>
      </c>
      <c r="W301" s="161"/>
      <c r="X301" s="161"/>
    </row>
    <row r="302" spans="1:24" ht="17.25" customHeight="1">
      <c r="A302" s="110" t="str">
        <f>+BASE!B306</f>
        <v>23XXR291</v>
      </c>
      <c r="B302" s="106" t="s">
        <v>40</v>
      </c>
      <c r="C302" s="111">
        <f t="shared" si="19"/>
        <v>0</v>
      </c>
      <c r="D302" s="111">
        <f t="shared" si="20"/>
        <v>0</v>
      </c>
      <c r="E302" s="111">
        <f t="shared" si="21"/>
        <v>0</v>
      </c>
      <c r="F302" s="111">
        <f t="shared" si="22"/>
        <v>0</v>
      </c>
      <c r="G302" s="111">
        <f t="shared" si="23"/>
        <v>0</v>
      </c>
      <c r="H302" s="97"/>
      <c r="I302" s="97">
        <f t="shared" si="24"/>
        <v>0</v>
      </c>
      <c r="J302" s="97">
        <f t="shared" si="25"/>
        <v>0</v>
      </c>
      <c r="K302" s="97">
        <f t="shared" si="26"/>
        <v>0</v>
      </c>
      <c r="L302" s="97">
        <f t="shared" si="27"/>
        <v>0</v>
      </c>
      <c r="M302" s="97">
        <f t="shared" si="28"/>
        <v>0</v>
      </c>
      <c r="N302" s="97"/>
      <c r="O302" s="97"/>
      <c r="P302" s="112">
        <f t="shared" si="29"/>
        <v>0</v>
      </c>
      <c r="Q302" s="106">
        <f>BASE!A306</f>
        <v>291</v>
      </c>
      <c r="R302" s="97">
        <f t="shared" si="30"/>
        <v>0</v>
      </c>
      <c r="S302" s="97">
        <f t="shared" si="31"/>
        <v>0</v>
      </c>
      <c r="T302" s="97">
        <f t="shared" si="32"/>
        <v>0</v>
      </c>
      <c r="U302" s="97">
        <f t="shared" si="33"/>
        <v>0</v>
      </c>
      <c r="V302" s="97">
        <f t="shared" si="34"/>
        <v>0</v>
      </c>
      <c r="W302" s="161"/>
      <c r="X302" s="161"/>
    </row>
    <row r="303" spans="1:24" ht="17.25" customHeight="1">
      <c r="A303" s="110" t="str">
        <f>+BASE!B307</f>
        <v>23XXR292</v>
      </c>
      <c r="B303" s="106" t="s">
        <v>40</v>
      </c>
      <c r="C303" s="111">
        <f t="shared" si="19"/>
        <v>0</v>
      </c>
      <c r="D303" s="111">
        <f t="shared" si="20"/>
        <v>0</v>
      </c>
      <c r="E303" s="111">
        <f t="shared" si="21"/>
        <v>0</v>
      </c>
      <c r="F303" s="111">
        <f t="shared" si="22"/>
        <v>0</v>
      </c>
      <c r="G303" s="111">
        <f t="shared" si="23"/>
        <v>0</v>
      </c>
      <c r="H303" s="97"/>
      <c r="I303" s="97">
        <f t="shared" si="24"/>
        <v>0</v>
      </c>
      <c r="J303" s="97">
        <f t="shared" si="25"/>
        <v>0</v>
      </c>
      <c r="K303" s="97">
        <f t="shared" si="26"/>
        <v>0</v>
      </c>
      <c r="L303" s="97">
        <f t="shared" si="27"/>
        <v>0</v>
      </c>
      <c r="M303" s="97">
        <f t="shared" si="28"/>
        <v>0</v>
      </c>
      <c r="N303" s="97"/>
      <c r="O303" s="97"/>
      <c r="P303" s="112">
        <f t="shared" si="29"/>
        <v>0</v>
      </c>
      <c r="Q303" s="106">
        <f>BASE!A307</f>
        <v>292</v>
      </c>
      <c r="R303" s="97">
        <f t="shared" si="30"/>
        <v>0</v>
      </c>
      <c r="S303" s="97">
        <f t="shared" si="31"/>
        <v>0</v>
      </c>
      <c r="T303" s="97">
        <f t="shared" si="32"/>
        <v>0</v>
      </c>
      <c r="U303" s="97">
        <f t="shared" si="33"/>
        <v>0</v>
      </c>
      <c r="V303" s="97">
        <f t="shared" si="34"/>
        <v>0</v>
      </c>
      <c r="W303" s="161"/>
      <c r="X303" s="161"/>
    </row>
    <row r="304" spans="1:24" ht="17.25" customHeight="1">
      <c r="A304" s="110" t="str">
        <f>+BASE!B308</f>
        <v>23XXR293</v>
      </c>
      <c r="B304" s="106" t="s">
        <v>40</v>
      </c>
      <c r="C304" s="111">
        <f t="shared" si="19"/>
        <v>0</v>
      </c>
      <c r="D304" s="111">
        <f t="shared" si="20"/>
        <v>0</v>
      </c>
      <c r="E304" s="111">
        <f t="shared" si="21"/>
        <v>0</v>
      </c>
      <c r="F304" s="111">
        <f t="shared" si="22"/>
        <v>0</v>
      </c>
      <c r="G304" s="111">
        <f t="shared" si="23"/>
        <v>0</v>
      </c>
      <c r="H304" s="97"/>
      <c r="I304" s="97">
        <f t="shared" si="24"/>
        <v>0</v>
      </c>
      <c r="J304" s="97">
        <f t="shared" si="25"/>
        <v>0</v>
      </c>
      <c r="K304" s="97">
        <f t="shared" si="26"/>
        <v>0</v>
      </c>
      <c r="L304" s="97">
        <f t="shared" si="27"/>
        <v>0</v>
      </c>
      <c r="M304" s="97">
        <f t="shared" si="28"/>
        <v>0</v>
      </c>
      <c r="N304" s="97"/>
      <c r="O304" s="97"/>
      <c r="P304" s="112">
        <f t="shared" si="29"/>
        <v>0</v>
      </c>
      <c r="Q304" s="106">
        <f>BASE!A308</f>
        <v>293</v>
      </c>
      <c r="R304" s="97">
        <f t="shared" si="30"/>
        <v>0</v>
      </c>
      <c r="S304" s="97">
        <f t="shared" si="31"/>
        <v>0</v>
      </c>
      <c r="T304" s="97">
        <f t="shared" si="32"/>
        <v>0</v>
      </c>
      <c r="U304" s="97">
        <f t="shared" si="33"/>
        <v>0</v>
      </c>
      <c r="V304" s="97">
        <f t="shared" si="34"/>
        <v>0</v>
      </c>
      <c r="W304" s="161"/>
      <c r="X304" s="161"/>
    </row>
    <row r="305" spans="1:24" ht="17.25" customHeight="1">
      <c r="A305" s="110" t="str">
        <f>+BASE!B309</f>
        <v>23XXR294</v>
      </c>
      <c r="B305" s="106" t="s">
        <v>40</v>
      </c>
      <c r="C305" s="111">
        <f t="shared" si="19"/>
        <v>0</v>
      </c>
      <c r="D305" s="111">
        <f t="shared" si="20"/>
        <v>0</v>
      </c>
      <c r="E305" s="111">
        <f t="shared" si="21"/>
        <v>0</v>
      </c>
      <c r="F305" s="111">
        <f t="shared" si="22"/>
        <v>0</v>
      </c>
      <c r="G305" s="111">
        <f t="shared" si="23"/>
        <v>0</v>
      </c>
      <c r="H305" s="97"/>
      <c r="I305" s="97">
        <f t="shared" si="24"/>
        <v>0</v>
      </c>
      <c r="J305" s="97">
        <f t="shared" si="25"/>
        <v>0</v>
      </c>
      <c r="K305" s="97">
        <f t="shared" si="26"/>
        <v>0</v>
      </c>
      <c r="L305" s="97">
        <f t="shared" si="27"/>
        <v>0</v>
      </c>
      <c r="M305" s="97">
        <f t="shared" si="28"/>
        <v>0</v>
      </c>
      <c r="N305" s="97"/>
      <c r="O305" s="97"/>
      <c r="P305" s="112">
        <f t="shared" si="29"/>
        <v>0</v>
      </c>
      <c r="Q305" s="106">
        <f>BASE!A309</f>
        <v>294</v>
      </c>
      <c r="R305" s="97">
        <f t="shared" si="30"/>
        <v>0</v>
      </c>
      <c r="S305" s="97">
        <f t="shared" si="31"/>
        <v>0</v>
      </c>
      <c r="T305" s="97">
        <f t="shared" si="32"/>
        <v>0</v>
      </c>
      <c r="U305" s="97">
        <f t="shared" si="33"/>
        <v>0</v>
      </c>
      <c r="V305" s="97">
        <f t="shared" si="34"/>
        <v>0</v>
      </c>
      <c r="W305" s="161"/>
      <c r="X305" s="161"/>
    </row>
    <row r="306" spans="1:24" ht="17.25" customHeight="1">
      <c r="A306" s="110" t="str">
        <f>+BASE!B310</f>
        <v>23XXR295</v>
      </c>
      <c r="B306" s="106" t="s">
        <v>40</v>
      </c>
      <c r="C306" s="111">
        <f t="shared" si="19"/>
        <v>0</v>
      </c>
      <c r="D306" s="111">
        <f t="shared" si="20"/>
        <v>0</v>
      </c>
      <c r="E306" s="111">
        <f t="shared" si="21"/>
        <v>0</v>
      </c>
      <c r="F306" s="111">
        <f t="shared" si="22"/>
        <v>0</v>
      </c>
      <c r="G306" s="111">
        <f t="shared" si="23"/>
        <v>0</v>
      </c>
      <c r="H306" s="97"/>
      <c r="I306" s="97">
        <f t="shared" si="24"/>
        <v>0</v>
      </c>
      <c r="J306" s="97">
        <f t="shared" si="25"/>
        <v>0</v>
      </c>
      <c r="K306" s="97">
        <f t="shared" si="26"/>
        <v>0</v>
      </c>
      <c r="L306" s="97">
        <f t="shared" si="27"/>
        <v>0</v>
      </c>
      <c r="M306" s="97">
        <f t="shared" si="28"/>
        <v>0</v>
      </c>
      <c r="N306" s="97"/>
      <c r="O306" s="97"/>
      <c r="P306" s="112">
        <f t="shared" si="29"/>
        <v>0</v>
      </c>
      <c r="Q306" s="106">
        <f>BASE!A310</f>
        <v>295</v>
      </c>
      <c r="R306" s="97">
        <f t="shared" si="30"/>
        <v>0</v>
      </c>
      <c r="S306" s="97">
        <f t="shared" si="31"/>
        <v>0</v>
      </c>
      <c r="T306" s="97">
        <f t="shared" si="32"/>
        <v>0</v>
      </c>
      <c r="U306" s="97">
        <f t="shared" si="33"/>
        <v>0</v>
      </c>
      <c r="V306" s="97">
        <f t="shared" si="34"/>
        <v>0</v>
      </c>
      <c r="W306" s="161"/>
      <c r="X306" s="161"/>
    </row>
    <row r="307" spans="1:24" ht="17.25" customHeight="1">
      <c r="A307" s="110" t="str">
        <f>+BASE!B311</f>
        <v>23XXR296</v>
      </c>
      <c r="B307" s="106" t="s">
        <v>40</v>
      </c>
      <c r="C307" s="111">
        <f t="shared" si="19"/>
        <v>0</v>
      </c>
      <c r="D307" s="111">
        <f t="shared" si="20"/>
        <v>0</v>
      </c>
      <c r="E307" s="111">
        <f t="shared" si="21"/>
        <v>0</v>
      </c>
      <c r="F307" s="111">
        <f t="shared" si="22"/>
        <v>0</v>
      </c>
      <c r="G307" s="111">
        <f t="shared" si="23"/>
        <v>0</v>
      </c>
      <c r="H307" s="97"/>
      <c r="I307" s="97">
        <f t="shared" si="24"/>
        <v>0</v>
      </c>
      <c r="J307" s="97">
        <f t="shared" si="25"/>
        <v>0</v>
      </c>
      <c r="K307" s="97">
        <f t="shared" si="26"/>
        <v>0</v>
      </c>
      <c r="L307" s="97">
        <f t="shared" si="27"/>
        <v>0</v>
      </c>
      <c r="M307" s="97">
        <f t="shared" si="28"/>
        <v>0</v>
      </c>
      <c r="N307" s="97"/>
      <c r="O307" s="97"/>
      <c r="P307" s="112">
        <f t="shared" si="29"/>
        <v>0</v>
      </c>
      <c r="Q307" s="106">
        <f>BASE!A311</f>
        <v>296</v>
      </c>
      <c r="R307" s="97">
        <f t="shared" si="30"/>
        <v>0</v>
      </c>
      <c r="S307" s="97">
        <f t="shared" si="31"/>
        <v>0</v>
      </c>
      <c r="T307" s="97">
        <f t="shared" si="32"/>
        <v>0</v>
      </c>
      <c r="U307" s="97">
        <f t="shared" si="33"/>
        <v>0</v>
      </c>
      <c r="V307" s="97">
        <f t="shared" si="34"/>
        <v>0</v>
      </c>
      <c r="W307" s="161"/>
      <c r="X307" s="161"/>
    </row>
    <row r="308" spans="1:24" ht="17.25" customHeight="1">
      <c r="A308" s="110" t="str">
        <f>+BASE!B312</f>
        <v>23XXR297</v>
      </c>
      <c r="B308" s="106" t="s">
        <v>40</v>
      </c>
      <c r="C308" s="111">
        <f t="shared" si="19"/>
        <v>0</v>
      </c>
      <c r="D308" s="111">
        <f t="shared" si="20"/>
        <v>0</v>
      </c>
      <c r="E308" s="111">
        <f t="shared" si="21"/>
        <v>0</v>
      </c>
      <c r="F308" s="111">
        <f t="shared" si="22"/>
        <v>0</v>
      </c>
      <c r="G308" s="111">
        <f t="shared" si="23"/>
        <v>0</v>
      </c>
      <c r="H308" s="97"/>
      <c r="I308" s="97">
        <f t="shared" si="24"/>
        <v>0</v>
      </c>
      <c r="J308" s="97">
        <f t="shared" si="25"/>
        <v>0</v>
      </c>
      <c r="K308" s="97">
        <f t="shared" si="26"/>
        <v>0</v>
      </c>
      <c r="L308" s="97">
        <f t="shared" si="27"/>
        <v>0</v>
      </c>
      <c r="M308" s="97">
        <f t="shared" si="28"/>
        <v>0</v>
      </c>
      <c r="N308" s="97"/>
      <c r="O308" s="97"/>
      <c r="P308" s="112">
        <f t="shared" si="29"/>
        <v>0</v>
      </c>
      <c r="Q308" s="106">
        <f>BASE!A312</f>
        <v>297</v>
      </c>
      <c r="R308" s="97">
        <f t="shared" si="30"/>
        <v>0</v>
      </c>
      <c r="S308" s="97">
        <f t="shared" si="31"/>
        <v>0</v>
      </c>
      <c r="T308" s="97">
        <f t="shared" si="32"/>
        <v>0</v>
      </c>
      <c r="U308" s="97">
        <f t="shared" si="33"/>
        <v>0</v>
      </c>
      <c r="V308" s="97">
        <f t="shared" si="34"/>
        <v>0</v>
      </c>
      <c r="W308" s="161"/>
      <c r="X308" s="161"/>
    </row>
    <row r="309" spans="1:24" ht="17.25" customHeight="1">
      <c r="A309" s="110" t="str">
        <f>+BASE!B313</f>
        <v>23XXR298</v>
      </c>
      <c r="B309" s="106" t="s">
        <v>40</v>
      </c>
      <c r="C309" s="111">
        <f t="shared" si="19"/>
        <v>0</v>
      </c>
      <c r="D309" s="111">
        <f t="shared" si="20"/>
        <v>0</v>
      </c>
      <c r="E309" s="111">
        <f t="shared" si="21"/>
        <v>0</v>
      </c>
      <c r="F309" s="111">
        <f t="shared" si="22"/>
        <v>0</v>
      </c>
      <c r="G309" s="111">
        <f t="shared" si="23"/>
        <v>0</v>
      </c>
      <c r="H309" s="97"/>
      <c r="I309" s="97">
        <f t="shared" si="24"/>
        <v>0</v>
      </c>
      <c r="J309" s="97">
        <f t="shared" si="25"/>
        <v>0</v>
      </c>
      <c r="K309" s="97">
        <f t="shared" si="26"/>
        <v>0</v>
      </c>
      <c r="L309" s="97">
        <f t="shared" si="27"/>
        <v>0</v>
      </c>
      <c r="M309" s="97">
        <f t="shared" si="28"/>
        <v>0</v>
      </c>
      <c r="N309" s="97"/>
      <c r="O309" s="97"/>
      <c r="P309" s="112">
        <f t="shared" si="29"/>
        <v>0</v>
      </c>
      <c r="Q309" s="106">
        <f>BASE!A313</f>
        <v>298</v>
      </c>
      <c r="R309" s="97">
        <f t="shared" si="30"/>
        <v>0</v>
      </c>
      <c r="S309" s="97">
        <f t="shared" si="31"/>
        <v>0</v>
      </c>
      <c r="T309" s="97">
        <f t="shared" si="32"/>
        <v>0</v>
      </c>
      <c r="U309" s="97">
        <f t="shared" si="33"/>
        <v>0</v>
      </c>
      <c r="V309" s="97">
        <f t="shared" si="34"/>
        <v>0</v>
      </c>
      <c r="W309" s="161"/>
      <c r="X309" s="161"/>
    </row>
    <row r="310" spans="1:24" ht="17.25" customHeight="1">
      <c r="A310" s="110" t="str">
        <f>+BASE!B314</f>
        <v>23XXR299</v>
      </c>
      <c r="B310" s="106" t="s">
        <v>40</v>
      </c>
      <c r="C310" s="111">
        <f t="shared" si="19"/>
        <v>0</v>
      </c>
      <c r="D310" s="111">
        <f t="shared" si="20"/>
        <v>0</v>
      </c>
      <c r="E310" s="111">
        <f t="shared" si="21"/>
        <v>0</v>
      </c>
      <c r="F310" s="111">
        <f t="shared" si="22"/>
        <v>0</v>
      </c>
      <c r="G310" s="111">
        <f t="shared" si="23"/>
        <v>0</v>
      </c>
      <c r="H310" s="97"/>
      <c r="I310" s="97">
        <f t="shared" si="24"/>
        <v>0</v>
      </c>
      <c r="J310" s="97">
        <f t="shared" si="25"/>
        <v>0</v>
      </c>
      <c r="K310" s="97">
        <f t="shared" si="26"/>
        <v>0</v>
      </c>
      <c r="L310" s="97">
        <f t="shared" si="27"/>
        <v>0</v>
      </c>
      <c r="M310" s="97">
        <f t="shared" si="28"/>
        <v>0</v>
      </c>
      <c r="N310" s="97"/>
      <c r="O310" s="97"/>
      <c r="P310" s="112">
        <f t="shared" si="29"/>
        <v>0</v>
      </c>
      <c r="Q310" s="106">
        <f>BASE!A314</f>
        <v>299</v>
      </c>
      <c r="R310" s="97">
        <f t="shared" si="30"/>
        <v>0</v>
      </c>
      <c r="S310" s="97">
        <f t="shared" si="31"/>
        <v>0</v>
      </c>
      <c r="T310" s="97">
        <f t="shared" si="32"/>
        <v>0</v>
      </c>
      <c r="U310" s="97">
        <f t="shared" si="33"/>
        <v>0</v>
      </c>
      <c r="V310" s="97">
        <f t="shared" si="34"/>
        <v>0</v>
      </c>
      <c r="W310" s="161"/>
      <c r="X310" s="161"/>
    </row>
    <row r="311" spans="1:24" ht="17.25" customHeight="1">
      <c r="A311" s="110" t="str">
        <f>+BASE!B315</f>
        <v>23XXR300</v>
      </c>
      <c r="B311" s="106" t="s">
        <v>40</v>
      </c>
      <c r="C311" s="111">
        <f t="shared" si="19"/>
        <v>0</v>
      </c>
      <c r="D311" s="111">
        <f t="shared" si="20"/>
        <v>0</v>
      </c>
      <c r="E311" s="111">
        <f t="shared" si="21"/>
        <v>0</v>
      </c>
      <c r="F311" s="111">
        <f t="shared" si="22"/>
        <v>0</v>
      </c>
      <c r="G311" s="111">
        <f t="shared" si="23"/>
        <v>0</v>
      </c>
      <c r="H311" s="97"/>
      <c r="I311" s="97">
        <f t="shared" si="24"/>
        <v>0</v>
      </c>
      <c r="J311" s="97">
        <f t="shared" si="25"/>
        <v>0</v>
      </c>
      <c r="K311" s="97">
        <f t="shared" si="26"/>
        <v>0</v>
      </c>
      <c r="L311" s="97">
        <f t="shared" si="27"/>
        <v>0</v>
      </c>
      <c r="M311" s="97">
        <f t="shared" si="28"/>
        <v>0</v>
      </c>
      <c r="N311" s="97"/>
      <c r="O311" s="97"/>
      <c r="P311" s="112">
        <f t="shared" si="29"/>
        <v>0</v>
      </c>
      <c r="Q311" s="106">
        <f>BASE!A315</f>
        <v>300</v>
      </c>
      <c r="R311" s="97">
        <f t="shared" si="30"/>
        <v>0</v>
      </c>
      <c r="S311" s="97">
        <f t="shared" si="31"/>
        <v>0</v>
      </c>
      <c r="T311" s="97">
        <f t="shared" si="32"/>
        <v>0</v>
      </c>
      <c r="U311" s="97">
        <f t="shared" si="33"/>
        <v>0</v>
      </c>
      <c r="V311" s="97">
        <f t="shared" si="34"/>
        <v>0</v>
      </c>
      <c r="W311" s="161"/>
      <c r="X311" s="161"/>
    </row>
    <row r="312" spans="1:24" ht="17.25" customHeight="1">
      <c r="A312" s="110" t="str">
        <f>+BASE!B316</f>
        <v>23XXR301</v>
      </c>
      <c r="B312" s="106" t="s">
        <v>40</v>
      </c>
      <c r="C312" s="111">
        <f t="shared" si="19"/>
        <v>0</v>
      </c>
      <c r="D312" s="111">
        <f t="shared" si="20"/>
        <v>0</v>
      </c>
      <c r="E312" s="111">
        <f t="shared" si="21"/>
        <v>0</v>
      </c>
      <c r="F312" s="111">
        <f t="shared" si="22"/>
        <v>0</v>
      </c>
      <c r="G312" s="111">
        <f t="shared" si="23"/>
        <v>0</v>
      </c>
      <c r="H312" s="97"/>
      <c r="I312" s="97">
        <f t="shared" si="24"/>
        <v>0</v>
      </c>
      <c r="J312" s="97">
        <f t="shared" si="25"/>
        <v>0</v>
      </c>
      <c r="K312" s="97">
        <f t="shared" si="26"/>
        <v>0</v>
      </c>
      <c r="L312" s="97">
        <f t="shared" si="27"/>
        <v>0</v>
      </c>
      <c r="M312" s="97">
        <f t="shared" si="28"/>
        <v>0</v>
      </c>
      <c r="N312" s="97"/>
      <c r="O312" s="97"/>
      <c r="P312" s="112">
        <f t="shared" si="29"/>
        <v>0</v>
      </c>
      <c r="Q312" s="106">
        <f>BASE!A316</f>
        <v>301</v>
      </c>
      <c r="R312" s="97">
        <f t="shared" si="30"/>
        <v>0</v>
      </c>
      <c r="S312" s="97">
        <f t="shared" si="31"/>
        <v>0</v>
      </c>
      <c r="T312" s="97">
        <f t="shared" si="32"/>
        <v>0</v>
      </c>
      <c r="U312" s="97">
        <f t="shared" si="33"/>
        <v>0</v>
      </c>
      <c r="V312" s="97">
        <f t="shared" si="34"/>
        <v>0</v>
      </c>
      <c r="W312" s="161"/>
      <c r="X312" s="161"/>
    </row>
    <row r="313" spans="1:24" ht="17.25" customHeight="1">
      <c r="A313" s="110" t="str">
        <f>+BASE!B317</f>
        <v>23XXR302</v>
      </c>
      <c r="B313" s="106" t="s">
        <v>40</v>
      </c>
      <c r="C313" s="111">
        <f t="shared" si="19"/>
        <v>0</v>
      </c>
      <c r="D313" s="111">
        <f t="shared" si="20"/>
        <v>0</v>
      </c>
      <c r="E313" s="111">
        <f t="shared" si="21"/>
        <v>0</v>
      </c>
      <c r="F313" s="111">
        <f t="shared" si="22"/>
        <v>0</v>
      </c>
      <c r="G313" s="111">
        <f t="shared" si="23"/>
        <v>0</v>
      </c>
      <c r="H313" s="97"/>
      <c r="I313" s="97">
        <f t="shared" si="24"/>
        <v>0</v>
      </c>
      <c r="J313" s="97">
        <f t="shared" si="25"/>
        <v>0</v>
      </c>
      <c r="K313" s="97">
        <f t="shared" si="26"/>
        <v>0</v>
      </c>
      <c r="L313" s="97">
        <f t="shared" si="27"/>
        <v>0</v>
      </c>
      <c r="M313" s="97">
        <f t="shared" si="28"/>
        <v>0</v>
      </c>
      <c r="N313" s="97"/>
      <c r="O313" s="97"/>
      <c r="P313" s="112">
        <f t="shared" si="29"/>
        <v>0</v>
      </c>
      <c r="Q313" s="106">
        <f>BASE!A317</f>
        <v>302</v>
      </c>
      <c r="R313" s="97">
        <f t="shared" si="30"/>
        <v>0</v>
      </c>
      <c r="S313" s="97">
        <f t="shared" si="31"/>
        <v>0</v>
      </c>
      <c r="T313" s="97">
        <f t="shared" si="32"/>
        <v>0</v>
      </c>
      <c r="U313" s="97">
        <f t="shared" si="33"/>
        <v>0</v>
      </c>
      <c r="V313" s="97">
        <f t="shared" si="34"/>
        <v>0</v>
      </c>
      <c r="W313" s="161"/>
      <c r="X313" s="161"/>
    </row>
    <row r="314" spans="1:24" ht="17.25" customHeight="1">
      <c r="A314" s="110" t="str">
        <f>+BASE!B318</f>
        <v>23XXR303</v>
      </c>
      <c r="B314" s="106" t="s">
        <v>40</v>
      </c>
      <c r="C314" s="111">
        <f t="shared" si="19"/>
        <v>0</v>
      </c>
      <c r="D314" s="111">
        <f t="shared" si="20"/>
        <v>0</v>
      </c>
      <c r="E314" s="111">
        <f t="shared" si="21"/>
        <v>0</v>
      </c>
      <c r="F314" s="111">
        <f t="shared" si="22"/>
        <v>0</v>
      </c>
      <c r="G314" s="111">
        <f t="shared" si="23"/>
        <v>0</v>
      </c>
      <c r="H314" s="97"/>
      <c r="I314" s="97">
        <f t="shared" si="24"/>
        <v>0</v>
      </c>
      <c r="J314" s="97">
        <f t="shared" si="25"/>
        <v>0</v>
      </c>
      <c r="K314" s="97">
        <f t="shared" si="26"/>
        <v>0</v>
      </c>
      <c r="L314" s="97">
        <f t="shared" si="27"/>
        <v>0</v>
      </c>
      <c r="M314" s="97">
        <f t="shared" si="28"/>
        <v>0</v>
      </c>
      <c r="N314" s="97"/>
      <c r="O314" s="97"/>
      <c r="P314" s="112">
        <f t="shared" si="29"/>
        <v>0</v>
      </c>
      <c r="Q314" s="106">
        <f>BASE!A318</f>
        <v>303</v>
      </c>
      <c r="R314" s="97">
        <f t="shared" si="30"/>
        <v>0</v>
      </c>
      <c r="S314" s="97">
        <f t="shared" si="31"/>
        <v>0</v>
      </c>
      <c r="T314" s="97">
        <f t="shared" si="32"/>
        <v>0</v>
      </c>
      <c r="U314" s="97">
        <f t="shared" si="33"/>
        <v>0</v>
      </c>
      <c r="V314" s="97">
        <f t="shared" si="34"/>
        <v>0</v>
      </c>
      <c r="W314" s="161"/>
      <c r="X314" s="161"/>
    </row>
    <row r="315" spans="1:24" ht="17.25" customHeight="1">
      <c r="A315" s="110" t="str">
        <f>+BASE!B319</f>
        <v>23XXR304</v>
      </c>
      <c r="B315" s="106" t="s">
        <v>40</v>
      </c>
      <c r="C315" s="111">
        <f t="shared" si="19"/>
        <v>0</v>
      </c>
      <c r="D315" s="111">
        <f t="shared" si="20"/>
        <v>0</v>
      </c>
      <c r="E315" s="111">
        <f t="shared" si="21"/>
        <v>0</v>
      </c>
      <c r="F315" s="111">
        <f t="shared" si="22"/>
        <v>0</v>
      </c>
      <c r="G315" s="111">
        <f t="shared" si="23"/>
        <v>0</v>
      </c>
      <c r="H315" s="97"/>
      <c r="I315" s="97">
        <f t="shared" si="24"/>
        <v>0</v>
      </c>
      <c r="J315" s="97">
        <f t="shared" si="25"/>
        <v>0</v>
      </c>
      <c r="K315" s="97">
        <f t="shared" si="26"/>
        <v>0</v>
      </c>
      <c r="L315" s="97">
        <f t="shared" si="27"/>
        <v>0</v>
      </c>
      <c r="M315" s="97">
        <f t="shared" si="28"/>
        <v>0</v>
      </c>
      <c r="N315" s="97"/>
      <c r="O315" s="97"/>
      <c r="P315" s="112">
        <f t="shared" si="29"/>
        <v>0</v>
      </c>
      <c r="Q315" s="106">
        <f>BASE!A319</f>
        <v>304</v>
      </c>
      <c r="R315" s="97">
        <f t="shared" si="30"/>
        <v>0</v>
      </c>
      <c r="S315" s="97">
        <f t="shared" si="31"/>
        <v>0</v>
      </c>
      <c r="T315" s="97">
        <f t="shared" si="32"/>
        <v>0</v>
      </c>
      <c r="U315" s="97">
        <f t="shared" si="33"/>
        <v>0</v>
      </c>
      <c r="V315" s="97">
        <f t="shared" si="34"/>
        <v>0</v>
      </c>
      <c r="W315" s="161"/>
      <c r="X315" s="161"/>
    </row>
    <row r="316" spans="1:24" ht="17.25" customHeight="1">
      <c r="A316" s="110" t="str">
        <f>+BASE!B320</f>
        <v>23XXR305</v>
      </c>
      <c r="B316" s="106" t="s">
        <v>40</v>
      </c>
      <c r="C316" s="111">
        <f t="shared" si="19"/>
        <v>0</v>
      </c>
      <c r="D316" s="111">
        <f t="shared" si="20"/>
        <v>0</v>
      </c>
      <c r="E316" s="111">
        <f t="shared" si="21"/>
        <v>0</v>
      </c>
      <c r="F316" s="111">
        <f t="shared" si="22"/>
        <v>0</v>
      </c>
      <c r="G316" s="111">
        <f t="shared" si="23"/>
        <v>0</v>
      </c>
      <c r="H316" s="97"/>
      <c r="I316" s="97">
        <f t="shared" si="24"/>
        <v>0</v>
      </c>
      <c r="J316" s="97">
        <f t="shared" si="25"/>
        <v>0</v>
      </c>
      <c r="K316" s="97">
        <f t="shared" si="26"/>
        <v>0</v>
      </c>
      <c r="L316" s="97">
        <f t="shared" si="27"/>
        <v>0</v>
      </c>
      <c r="M316" s="97">
        <f t="shared" si="28"/>
        <v>0</v>
      </c>
      <c r="N316" s="97"/>
      <c r="O316" s="97"/>
      <c r="P316" s="112">
        <f t="shared" si="29"/>
        <v>0</v>
      </c>
      <c r="Q316" s="106">
        <f>BASE!A320</f>
        <v>305</v>
      </c>
      <c r="R316" s="97">
        <f t="shared" si="30"/>
        <v>0</v>
      </c>
      <c r="S316" s="97">
        <f t="shared" si="31"/>
        <v>0</v>
      </c>
      <c r="T316" s="97">
        <f t="shared" si="32"/>
        <v>0</v>
      </c>
      <c r="U316" s="97">
        <f t="shared" si="33"/>
        <v>0</v>
      </c>
      <c r="V316" s="97">
        <f t="shared" si="34"/>
        <v>0</v>
      </c>
      <c r="W316" s="161"/>
      <c r="X316" s="161"/>
    </row>
    <row r="317" spans="1:24" ht="17.25" customHeight="1">
      <c r="A317" s="110" t="str">
        <f>+BASE!B321</f>
        <v>23XXR306</v>
      </c>
      <c r="B317" s="106" t="s">
        <v>40</v>
      </c>
      <c r="C317" s="111">
        <f t="shared" ref="C317:C380" si="35">IF($O$7="2T+1P", W317/5, IF($O$7="3T+1P",W317/5, IF($O$7="3.5T+0.5P",W317/5, " ")))</f>
        <v>0</v>
      </c>
      <c r="D317" s="111">
        <f t="shared" ref="D317:D380" si="36">IF($O$7="2T+1P", W317/5, IF($O$7="3T+1P",W317/5, IF($O$7="3.5T+0.5P",W317/5, " ")))</f>
        <v>0</v>
      </c>
      <c r="E317" s="111">
        <f t="shared" ref="E317:E380" si="37">IF($O$7="2T+1P", W317/5, IF($O$7="3T+1P",W317/5, IF($O$7="3.5T+0.5P",W317/5, " ")))</f>
        <v>0</v>
      </c>
      <c r="F317" s="111">
        <f t="shared" ref="F317:F380" si="38">IF($O$7="2T+1P", W317/5, IF($O$7="3T+1P",W317/5, IF($O$7="3.5T+0.5P",W317/5, " ")))</f>
        <v>0</v>
      </c>
      <c r="G317" s="111">
        <f t="shared" ref="G317:G380" si="39">IF($O$7="2T+1P", W317/5, IF($O$7="3T+1P",W317/5, IF($O$7="3.5T+0.5P",W317/5, " ")))</f>
        <v>0</v>
      </c>
      <c r="H317" s="97"/>
      <c r="I317" s="97">
        <f t="shared" ref="I317:I380" si="40">IF($O$7="2T+1P", X317/5, IF($O$7="3T+1P",X317/5, IF($O$7="3.5T+0.5P",X317/5, " ")))</f>
        <v>0</v>
      </c>
      <c r="J317" s="97">
        <f t="shared" ref="J317:J380" si="41">IF($O$7="2T+1P", X317/5, IF($O$7="3T+1P",X317/5, IF($O$7="3.5T+0.5P",X317/5, " ")))</f>
        <v>0</v>
      </c>
      <c r="K317" s="97">
        <f t="shared" ref="K317:K380" si="42">IF($O$7="2T+1P", X317/5, IF($O$7="3T+1P",X317/5, IF($O$7="3.5T+0.5P",X317/5, " ")))</f>
        <v>0</v>
      </c>
      <c r="L317" s="97">
        <f t="shared" ref="L317:L380" si="43">IF($O$7="2T+1P", X317/5, IF($O$7="3T+1P",X317/5, IF($O$7="3.5T+0.5P",X317/5, " ")))</f>
        <v>0</v>
      </c>
      <c r="M317" s="97">
        <f t="shared" ref="M317:M380" si="44">IF($O$7="2T+1P", X317/5, IF($O$7="3T+1P",X317/5, IF($O$7="3.5T+0.5P",X317/5, " ")))</f>
        <v>0</v>
      </c>
      <c r="N317" s="97"/>
      <c r="O317" s="97"/>
      <c r="P317" s="112">
        <f t="shared" ref="P317:P380" si="45">SUM(C317:O317)</f>
        <v>0</v>
      </c>
      <c r="Q317" s="106">
        <f>BASE!A321</f>
        <v>306</v>
      </c>
      <c r="R317" s="97">
        <f t="shared" ref="R317:R380" si="46">SUMIF($C$11:$O$11,1,C317:O317)</f>
        <v>0</v>
      </c>
      <c r="S317" s="97">
        <f t="shared" ref="S317:S380" si="47">SUMIF($C$11:$O$11,2,D317:P317)</f>
        <v>0</v>
      </c>
      <c r="T317" s="97">
        <f t="shared" ref="T317:T380" si="48">SUMIF($C$11:$O$11,3,E317:Q317)</f>
        <v>0</v>
      </c>
      <c r="U317" s="97">
        <f t="shared" ref="U317:U380" si="49">SUMIF($C$11:$O$11,4,C317:O317)</f>
        <v>0</v>
      </c>
      <c r="V317" s="97">
        <f t="shared" ref="V317:V380" si="50">SUMIF($C$11:$O$11,5,C317:O317)</f>
        <v>0</v>
      </c>
      <c r="W317" s="161"/>
      <c r="X317" s="161"/>
    </row>
    <row r="318" spans="1:24" ht="17.25" customHeight="1">
      <c r="A318" s="110" t="str">
        <f>+BASE!B322</f>
        <v>23XXR307</v>
      </c>
      <c r="B318" s="106" t="s">
        <v>40</v>
      </c>
      <c r="C318" s="111">
        <f t="shared" si="35"/>
        <v>0</v>
      </c>
      <c r="D318" s="111">
        <f t="shared" si="36"/>
        <v>0</v>
      </c>
      <c r="E318" s="111">
        <f t="shared" si="37"/>
        <v>0</v>
      </c>
      <c r="F318" s="111">
        <f t="shared" si="38"/>
        <v>0</v>
      </c>
      <c r="G318" s="111">
        <f t="shared" si="39"/>
        <v>0</v>
      </c>
      <c r="H318" s="97"/>
      <c r="I318" s="97">
        <f t="shared" si="40"/>
        <v>0</v>
      </c>
      <c r="J318" s="97">
        <f t="shared" si="41"/>
        <v>0</v>
      </c>
      <c r="K318" s="97">
        <f t="shared" si="42"/>
        <v>0</v>
      </c>
      <c r="L318" s="97">
        <f t="shared" si="43"/>
        <v>0</v>
      </c>
      <c r="M318" s="97">
        <f t="shared" si="44"/>
        <v>0</v>
      </c>
      <c r="N318" s="97"/>
      <c r="O318" s="97"/>
      <c r="P318" s="112">
        <f t="shared" si="45"/>
        <v>0</v>
      </c>
      <c r="Q318" s="106">
        <f>BASE!A322</f>
        <v>307</v>
      </c>
      <c r="R318" s="97">
        <f t="shared" si="46"/>
        <v>0</v>
      </c>
      <c r="S318" s="97">
        <f t="shared" si="47"/>
        <v>0</v>
      </c>
      <c r="T318" s="97">
        <f t="shared" si="48"/>
        <v>0</v>
      </c>
      <c r="U318" s="97">
        <f t="shared" si="49"/>
        <v>0</v>
      </c>
      <c r="V318" s="97">
        <f t="shared" si="50"/>
        <v>0</v>
      </c>
      <c r="W318" s="161"/>
      <c r="X318" s="161"/>
    </row>
    <row r="319" spans="1:24" ht="17.25" customHeight="1">
      <c r="A319" s="110" t="str">
        <f>+BASE!B323</f>
        <v>23XXR308</v>
      </c>
      <c r="B319" s="106" t="s">
        <v>40</v>
      </c>
      <c r="C319" s="111">
        <f t="shared" si="35"/>
        <v>0</v>
      </c>
      <c r="D319" s="111">
        <f t="shared" si="36"/>
        <v>0</v>
      </c>
      <c r="E319" s="111">
        <f t="shared" si="37"/>
        <v>0</v>
      </c>
      <c r="F319" s="111">
        <f t="shared" si="38"/>
        <v>0</v>
      </c>
      <c r="G319" s="111">
        <f t="shared" si="39"/>
        <v>0</v>
      </c>
      <c r="H319" s="97"/>
      <c r="I319" s="97">
        <f t="shared" si="40"/>
        <v>0</v>
      </c>
      <c r="J319" s="97">
        <f t="shared" si="41"/>
        <v>0</v>
      </c>
      <c r="K319" s="97">
        <f t="shared" si="42"/>
        <v>0</v>
      </c>
      <c r="L319" s="97">
        <f t="shared" si="43"/>
        <v>0</v>
      </c>
      <c r="M319" s="97">
        <f t="shared" si="44"/>
        <v>0</v>
      </c>
      <c r="N319" s="97"/>
      <c r="O319" s="97"/>
      <c r="P319" s="112">
        <f t="shared" si="45"/>
        <v>0</v>
      </c>
      <c r="Q319" s="106">
        <f>BASE!A323</f>
        <v>308</v>
      </c>
      <c r="R319" s="97">
        <f t="shared" si="46"/>
        <v>0</v>
      </c>
      <c r="S319" s="97">
        <f t="shared" si="47"/>
        <v>0</v>
      </c>
      <c r="T319" s="97">
        <f t="shared" si="48"/>
        <v>0</v>
      </c>
      <c r="U319" s="97">
        <f t="shared" si="49"/>
        <v>0</v>
      </c>
      <c r="V319" s="97">
        <f t="shared" si="50"/>
        <v>0</v>
      </c>
      <c r="W319" s="161"/>
      <c r="X319" s="161"/>
    </row>
    <row r="320" spans="1:24" ht="17.25" customHeight="1">
      <c r="A320" s="110" t="str">
        <f>+BASE!B324</f>
        <v>23XXR309</v>
      </c>
      <c r="B320" s="106" t="s">
        <v>40</v>
      </c>
      <c r="C320" s="111">
        <f t="shared" si="35"/>
        <v>0</v>
      </c>
      <c r="D320" s="111">
        <f t="shared" si="36"/>
        <v>0</v>
      </c>
      <c r="E320" s="111">
        <f t="shared" si="37"/>
        <v>0</v>
      </c>
      <c r="F320" s="111">
        <f t="shared" si="38"/>
        <v>0</v>
      </c>
      <c r="G320" s="111">
        <f t="shared" si="39"/>
        <v>0</v>
      </c>
      <c r="H320" s="97"/>
      <c r="I320" s="97">
        <f t="shared" si="40"/>
        <v>0</v>
      </c>
      <c r="J320" s="97">
        <f t="shared" si="41"/>
        <v>0</v>
      </c>
      <c r="K320" s="97">
        <f t="shared" si="42"/>
        <v>0</v>
      </c>
      <c r="L320" s="97">
        <f t="shared" si="43"/>
        <v>0</v>
      </c>
      <c r="M320" s="97">
        <f t="shared" si="44"/>
        <v>0</v>
      </c>
      <c r="N320" s="97"/>
      <c r="O320" s="97"/>
      <c r="P320" s="112">
        <f t="shared" si="45"/>
        <v>0</v>
      </c>
      <c r="Q320" s="106">
        <f>BASE!A324</f>
        <v>309</v>
      </c>
      <c r="R320" s="97">
        <f t="shared" si="46"/>
        <v>0</v>
      </c>
      <c r="S320" s="97">
        <f t="shared" si="47"/>
        <v>0</v>
      </c>
      <c r="T320" s="97">
        <f t="shared" si="48"/>
        <v>0</v>
      </c>
      <c r="U320" s="97">
        <f t="shared" si="49"/>
        <v>0</v>
      </c>
      <c r="V320" s="97">
        <f t="shared" si="50"/>
        <v>0</v>
      </c>
      <c r="W320" s="161"/>
      <c r="X320" s="161"/>
    </row>
    <row r="321" spans="1:24" ht="17.25" customHeight="1">
      <c r="A321" s="110" t="str">
        <f>+BASE!B325</f>
        <v>23XXR310</v>
      </c>
      <c r="B321" s="106" t="s">
        <v>40</v>
      </c>
      <c r="C321" s="111">
        <f t="shared" si="35"/>
        <v>0</v>
      </c>
      <c r="D321" s="111">
        <f t="shared" si="36"/>
        <v>0</v>
      </c>
      <c r="E321" s="111">
        <f t="shared" si="37"/>
        <v>0</v>
      </c>
      <c r="F321" s="111">
        <f t="shared" si="38"/>
        <v>0</v>
      </c>
      <c r="G321" s="111">
        <f t="shared" si="39"/>
        <v>0</v>
      </c>
      <c r="H321" s="97"/>
      <c r="I321" s="97">
        <f t="shared" si="40"/>
        <v>0</v>
      </c>
      <c r="J321" s="97">
        <f t="shared" si="41"/>
        <v>0</v>
      </c>
      <c r="K321" s="97">
        <f t="shared" si="42"/>
        <v>0</v>
      </c>
      <c r="L321" s="97">
        <f t="shared" si="43"/>
        <v>0</v>
      </c>
      <c r="M321" s="97">
        <f t="shared" si="44"/>
        <v>0</v>
      </c>
      <c r="N321" s="97"/>
      <c r="O321" s="97"/>
      <c r="P321" s="112">
        <f t="shared" si="45"/>
        <v>0</v>
      </c>
      <c r="Q321" s="106">
        <f>BASE!A325</f>
        <v>310</v>
      </c>
      <c r="R321" s="97">
        <f t="shared" si="46"/>
        <v>0</v>
      </c>
      <c r="S321" s="97">
        <f t="shared" si="47"/>
        <v>0</v>
      </c>
      <c r="T321" s="97">
        <f t="shared" si="48"/>
        <v>0</v>
      </c>
      <c r="U321" s="97">
        <f t="shared" si="49"/>
        <v>0</v>
      </c>
      <c r="V321" s="97">
        <f t="shared" si="50"/>
        <v>0</v>
      </c>
      <c r="W321" s="161"/>
      <c r="X321" s="161"/>
    </row>
    <row r="322" spans="1:24" ht="17.25" customHeight="1">
      <c r="A322" s="110" t="str">
        <f>+BASE!B326</f>
        <v>23XXR311</v>
      </c>
      <c r="B322" s="106" t="s">
        <v>40</v>
      </c>
      <c r="C322" s="111">
        <f t="shared" si="35"/>
        <v>0</v>
      </c>
      <c r="D322" s="111">
        <f t="shared" si="36"/>
        <v>0</v>
      </c>
      <c r="E322" s="111">
        <f t="shared" si="37"/>
        <v>0</v>
      </c>
      <c r="F322" s="111">
        <f t="shared" si="38"/>
        <v>0</v>
      </c>
      <c r="G322" s="111">
        <f t="shared" si="39"/>
        <v>0</v>
      </c>
      <c r="H322" s="97"/>
      <c r="I322" s="97">
        <f t="shared" si="40"/>
        <v>0</v>
      </c>
      <c r="J322" s="97">
        <f t="shared" si="41"/>
        <v>0</v>
      </c>
      <c r="K322" s="97">
        <f t="shared" si="42"/>
        <v>0</v>
      </c>
      <c r="L322" s="97">
        <f t="shared" si="43"/>
        <v>0</v>
      </c>
      <c r="M322" s="97">
        <f t="shared" si="44"/>
        <v>0</v>
      </c>
      <c r="N322" s="97"/>
      <c r="O322" s="97"/>
      <c r="P322" s="112">
        <f t="shared" si="45"/>
        <v>0</v>
      </c>
      <c r="Q322" s="106">
        <f>BASE!A326</f>
        <v>311</v>
      </c>
      <c r="R322" s="97">
        <f t="shared" si="46"/>
        <v>0</v>
      </c>
      <c r="S322" s="97">
        <f t="shared" si="47"/>
        <v>0</v>
      </c>
      <c r="T322" s="97">
        <f t="shared" si="48"/>
        <v>0</v>
      </c>
      <c r="U322" s="97">
        <f t="shared" si="49"/>
        <v>0</v>
      </c>
      <c r="V322" s="97">
        <f t="shared" si="50"/>
        <v>0</v>
      </c>
      <c r="W322" s="161"/>
      <c r="X322" s="161"/>
    </row>
    <row r="323" spans="1:24" ht="17.25" customHeight="1">
      <c r="A323" s="110" t="str">
        <f>+BASE!B327</f>
        <v>23XXR312</v>
      </c>
      <c r="B323" s="106" t="s">
        <v>40</v>
      </c>
      <c r="C323" s="111">
        <f t="shared" si="35"/>
        <v>0</v>
      </c>
      <c r="D323" s="111">
        <f t="shared" si="36"/>
        <v>0</v>
      </c>
      <c r="E323" s="111">
        <f t="shared" si="37"/>
        <v>0</v>
      </c>
      <c r="F323" s="111">
        <f t="shared" si="38"/>
        <v>0</v>
      </c>
      <c r="G323" s="111">
        <f t="shared" si="39"/>
        <v>0</v>
      </c>
      <c r="H323" s="97"/>
      <c r="I323" s="97">
        <f t="shared" si="40"/>
        <v>0</v>
      </c>
      <c r="J323" s="97">
        <f t="shared" si="41"/>
        <v>0</v>
      </c>
      <c r="K323" s="97">
        <f t="shared" si="42"/>
        <v>0</v>
      </c>
      <c r="L323" s="97">
        <f t="shared" si="43"/>
        <v>0</v>
      </c>
      <c r="M323" s="97">
        <f t="shared" si="44"/>
        <v>0</v>
      </c>
      <c r="N323" s="97"/>
      <c r="O323" s="97"/>
      <c r="P323" s="112">
        <f t="shared" si="45"/>
        <v>0</v>
      </c>
      <c r="Q323" s="106">
        <f>BASE!A327</f>
        <v>312</v>
      </c>
      <c r="R323" s="97">
        <f t="shared" si="46"/>
        <v>0</v>
      </c>
      <c r="S323" s="97">
        <f t="shared" si="47"/>
        <v>0</v>
      </c>
      <c r="T323" s="97">
        <f t="shared" si="48"/>
        <v>0</v>
      </c>
      <c r="U323" s="97">
        <f t="shared" si="49"/>
        <v>0</v>
      </c>
      <c r="V323" s="97">
        <f t="shared" si="50"/>
        <v>0</v>
      </c>
      <c r="W323" s="161"/>
      <c r="X323" s="161"/>
    </row>
    <row r="324" spans="1:24" ht="17.25" customHeight="1">
      <c r="A324" s="110" t="str">
        <f>+BASE!B328</f>
        <v>23XXR313</v>
      </c>
      <c r="B324" s="106" t="s">
        <v>40</v>
      </c>
      <c r="C324" s="111">
        <f t="shared" si="35"/>
        <v>0</v>
      </c>
      <c r="D324" s="111">
        <f t="shared" si="36"/>
        <v>0</v>
      </c>
      <c r="E324" s="111">
        <f t="shared" si="37"/>
        <v>0</v>
      </c>
      <c r="F324" s="111">
        <f t="shared" si="38"/>
        <v>0</v>
      </c>
      <c r="G324" s="111">
        <f t="shared" si="39"/>
        <v>0</v>
      </c>
      <c r="H324" s="97"/>
      <c r="I324" s="97">
        <f t="shared" si="40"/>
        <v>0</v>
      </c>
      <c r="J324" s="97">
        <f t="shared" si="41"/>
        <v>0</v>
      </c>
      <c r="K324" s="97">
        <f t="shared" si="42"/>
        <v>0</v>
      </c>
      <c r="L324" s="97">
        <f t="shared" si="43"/>
        <v>0</v>
      </c>
      <c r="M324" s="97">
        <f t="shared" si="44"/>
        <v>0</v>
      </c>
      <c r="N324" s="97"/>
      <c r="O324" s="97"/>
      <c r="P324" s="112">
        <f t="shared" si="45"/>
        <v>0</v>
      </c>
      <c r="Q324" s="106">
        <f>BASE!A328</f>
        <v>313</v>
      </c>
      <c r="R324" s="97">
        <f t="shared" si="46"/>
        <v>0</v>
      </c>
      <c r="S324" s="97">
        <f t="shared" si="47"/>
        <v>0</v>
      </c>
      <c r="T324" s="97">
        <f t="shared" si="48"/>
        <v>0</v>
      </c>
      <c r="U324" s="97">
        <f t="shared" si="49"/>
        <v>0</v>
      </c>
      <c r="V324" s="97">
        <f t="shared" si="50"/>
        <v>0</v>
      </c>
      <c r="W324" s="161"/>
      <c r="X324" s="161"/>
    </row>
    <row r="325" spans="1:24" ht="17.25" customHeight="1">
      <c r="A325" s="110" t="str">
        <f>+BASE!B329</f>
        <v>23XXR314</v>
      </c>
      <c r="B325" s="106" t="s">
        <v>40</v>
      </c>
      <c r="C325" s="111">
        <f t="shared" si="35"/>
        <v>0</v>
      </c>
      <c r="D325" s="111">
        <f t="shared" si="36"/>
        <v>0</v>
      </c>
      <c r="E325" s="111">
        <f t="shared" si="37"/>
        <v>0</v>
      </c>
      <c r="F325" s="111">
        <f t="shared" si="38"/>
        <v>0</v>
      </c>
      <c r="G325" s="111">
        <f t="shared" si="39"/>
        <v>0</v>
      </c>
      <c r="H325" s="97"/>
      <c r="I325" s="97">
        <f t="shared" si="40"/>
        <v>0</v>
      </c>
      <c r="J325" s="97">
        <f t="shared" si="41"/>
        <v>0</v>
      </c>
      <c r="K325" s="97">
        <f t="shared" si="42"/>
        <v>0</v>
      </c>
      <c r="L325" s="97">
        <f t="shared" si="43"/>
        <v>0</v>
      </c>
      <c r="M325" s="97">
        <f t="shared" si="44"/>
        <v>0</v>
      </c>
      <c r="N325" s="97"/>
      <c r="O325" s="97"/>
      <c r="P325" s="112">
        <f t="shared" si="45"/>
        <v>0</v>
      </c>
      <c r="Q325" s="106">
        <f>BASE!A329</f>
        <v>314</v>
      </c>
      <c r="R325" s="97">
        <f t="shared" si="46"/>
        <v>0</v>
      </c>
      <c r="S325" s="97">
        <f t="shared" si="47"/>
        <v>0</v>
      </c>
      <c r="T325" s="97">
        <f t="shared" si="48"/>
        <v>0</v>
      </c>
      <c r="U325" s="97">
        <f t="shared" si="49"/>
        <v>0</v>
      </c>
      <c r="V325" s="97">
        <f t="shared" si="50"/>
        <v>0</v>
      </c>
      <c r="W325" s="161"/>
      <c r="X325" s="161"/>
    </row>
    <row r="326" spans="1:24" ht="17.25" customHeight="1">
      <c r="A326" s="110" t="str">
        <f>+BASE!B330</f>
        <v>23XXR315</v>
      </c>
      <c r="B326" s="106" t="s">
        <v>40</v>
      </c>
      <c r="C326" s="111">
        <f t="shared" si="35"/>
        <v>0</v>
      </c>
      <c r="D326" s="111">
        <f t="shared" si="36"/>
        <v>0</v>
      </c>
      <c r="E326" s="111">
        <f t="shared" si="37"/>
        <v>0</v>
      </c>
      <c r="F326" s="111">
        <f t="shared" si="38"/>
        <v>0</v>
      </c>
      <c r="G326" s="111">
        <f t="shared" si="39"/>
        <v>0</v>
      </c>
      <c r="H326" s="97"/>
      <c r="I326" s="97">
        <f t="shared" si="40"/>
        <v>0</v>
      </c>
      <c r="J326" s="97">
        <f t="shared" si="41"/>
        <v>0</v>
      </c>
      <c r="K326" s="97">
        <f t="shared" si="42"/>
        <v>0</v>
      </c>
      <c r="L326" s="97">
        <f t="shared" si="43"/>
        <v>0</v>
      </c>
      <c r="M326" s="97">
        <f t="shared" si="44"/>
        <v>0</v>
      </c>
      <c r="N326" s="97"/>
      <c r="O326" s="97"/>
      <c r="P326" s="112">
        <f t="shared" si="45"/>
        <v>0</v>
      </c>
      <c r="Q326" s="106">
        <f>BASE!A330</f>
        <v>315</v>
      </c>
      <c r="R326" s="97">
        <f t="shared" si="46"/>
        <v>0</v>
      </c>
      <c r="S326" s="97">
        <f t="shared" si="47"/>
        <v>0</v>
      </c>
      <c r="T326" s="97">
        <f t="shared" si="48"/>
        <v>0</v>
      </c>
      <c r="U326" s="97">
        <f t="shared" si="49"/>
        <v>0</v>
      </c>
      <c r="V326" s="97">
        <f t="shared" si="50"/>
        <v>0</v>
      </c>
      <c r="W326" s="161"/>
      <c r="X326" s="161"/>
    </row>
    <row r="327" spans="1:24" ht="17.25" customHeight="1">
      <c r="A327" s="110" t="str">
        <f>+BASE!B331</f>
        <v>23XXR316</v>
      </c>
      <c r="B327" s="106" t="s">
        <v>40</v>
      </c>
      <c r="C327" s="111">
        <f t="shared" si="35"/>
        <v>0</v>
      </c>
      <c r="D327" s="111">
        <f t="shared" si="36"/>
        <v>0</v>
      </c>
      <c r="E327" s="111">
        <f t="shared" si="37"/>
        <v>0</v>
      </c>
      <c r="F327" s="111">
        <f t="shared" si="38"/>
        <v>0</v>
      </c>
      <c r="G327" s="111">
        <f t="shared" si="39"/>
        <v>0</v>
      </c>
      <c r="H327" s="97"/>
      <c r="I327" s="97">
        <f t="shared" si="40"/>
        <v>0</v>
      </c>
      <c r="J327" s="97">
        <f t="shared" si="41"/>
        <v>0</v>
      </c>
      <c r="K327" s="97">
        <f t="shared" si="42"/>
        <v>0</v>
      </c>
      <c r="L327" s="97">
        <f t="shared" si="43"/>
        <v>0</v>
      </c>
      <c r="M327" s="97">
        <f t="shared" si="44"/>
        <v>0</v>
      </c>
      <c r="N327" s="97"/>
      <c r="O327" s="97"/>
      <c r="P327" s="112">
        <f t="shared" si="45"/>
        <v>0</v>
      </c>
      <c r="Q327" s="106">
        <f>BASE!A331</f>
        <v>316</v>
      </c>
      <c r="R327" s="97">
        <f t="shared" si="46"/>
        <v>0</v>
      </c>
      <c r="S327" s="97">
        <f t="shared" si="47"/>
        <v>0</v>
      </c>
      <c r="T327" s="97">
        <f t="shared" si="48"/>
        <v>0</v>
      </c>
      <c r="U327" s="97">
        <f t="shared" si="49"/>
        <v>0</v>
      </c>
      <c r="V327" s="97">
        <f t="shared" si="50"/>
        <v>0</v>
      </c>
      <c r="W327" s="161"/>
      <c r="X327" s="161"/>
    </row>
    <row r="328" spans="1:24" ht="17.25" customHeight="1">
      <c r="A328" s="110" t="str">
        <f>+BASE!B332</f>
        <v>23XXR317</v>
      </c>
      <c r="B328" s="106" t="s">
        <v>40</v>
      </c>
      <c r="C328" s="111">
        <f t="shared" si="35"/>
        <v>0</v>
      </c>
      <c r="D328" s="111">
        <f t="shared" si="36"/>
        <v>0</v>
      </c>
      <c r="E328" s="111">
        <f t="shared" si="37"/>
        <v>0</v>
      </c>
      <c r="F328" s="111">
        <f t="shared" si="38"/>
        <v>0</v>
      </c>
      <c r="G328" s="111">
        <f t="shared" si="39"/>
        <v>0</v>
      </c>
      <c r="H328" s="97"/>
      <c r="I328" s="97">
        <f t="shared" si="40"/>
        <v>0</v>
      </c>
      <c r="J328" s="97">
        <f t="shared" si="41"/>
        <v>0</v>
      </c>
      <c r="K328" s="97">
        <f t="shared" si="42"/>
        <v>0</v>
      </c>
      <c r="L328" s="97">
        <f t="shared" si="43"/>
        <v>0</v>
      </c>
      <c r="M328" s="97">
        <f t="shared" si="44"/>
        <v>0</v>
      </c>
      <c r="N328" s="97"/>
      <c r="O328" s="97"/>
      <c r="P328" s="112">
        <f t="shared" si="45"/>
        <v>0</v>
      </c>
      <c r="Q328" s="106">
        <f>BASE!A332</f>
        <v>317</v>
      </c>
      <c r="R328" s="97">
        <f t="shared" si="46"/>
        <v>0</v>
      </c>
      <c r="S328" s="97">
        <f t="shared" si="47"/>
        <v>0</v>
      </c>
      <c r="T328" s="97">
        <f t="shared" si="48"/>
        <v>0</v>
      </c>
      <c r="U328" s="97">
        <f t="shared" si="49"/>
        <v>0</v>
      </c>
      <c r="V328" s="97">
        <f t="shared" si="50"/>
        <v>0</v>
      </c>
      <c r="W328" s="161"/>
      <c r="X328" s="161"/>
    </row>
    <row r="329" spans="1:24" ht="17.25" customHeight="1">
      <c r="A329" s="110" t="str">
        <f>+BASE!B333</f>
        <v>23XXR318</v>
      </c>
      <c r="B329" s="106" t="s">
        <v>40</v>
      </c>
      <c r="C329" s="111">
        <f t="shared" si="35"/>
        <v>0</v>
      </c>
      <c r="D329" s="111">
        <f t="shared" si="36"/>
        <v>0</v>
      </c>
      <c r="E329" s="111">
        <f t="shared" si="37"/>
        <v>0</v>
      </c>
      <c r="F329" s="111">
        <f t="shared" si="38"/>
        <v>0</v>
      </c>
      <c r="G329" s="111">
        <f t="shared" si="39"/>
        <v>0</v>
      </c>
      <c r="H329" s="97"/>
      <c r="I329" s="97">
        <f t="shared" si="40"/>
        <v>0</v>
      </c>
      <c r="J329" s="97">
        <f t="shared" si="41"/>
        <v>0</v>
      </c>
      <c r="K329" s="97">
        <f t="shared" si="42"/>
        <v>0</v>
      </c>
      <c r="L329" s="97">
        <f t="shared" si="43"/>
        <v>0</v>
      </c>
      <c r="M329" s="97">
        <f t="shared" si="44"/>
        <v>0</v>
      </c>
      <c r="N329" s="97"/>
      <c r="O329" s="97"/>
      <c r="P329" s="112">
        <f t="shared" si="45"/>
        <v>0</v>
      </c>
      <c r="Q329" s="106">
        <f>BASE!A333</f>
        <v>318</v>
      </c>
      <c r="R329" s="97">
        <f t="shared" si="46"/>
        <v>0</v>
      </c>
      <c r="S329" s="97">
        <f t="shared" si="47"/>
        <v>0</v>
      </c>
      <c r="T329" s="97">
        <f t="shared" si="48"/>
        <v>0</v>
      </c>
      <c r="U329" s="97">
        <f t="shared" si="49"/>
        <v>0</v>
      </c>
      <c r="V329" s="97">
        <f t="shared" si="50"/>
        <v>0</v>
      </c>
      <c r="W329" s="161"/>
      <c r="X329" s="161"/>
    </row>
    <row r="330" spans="1:24" ht="17.25" customHeight="1">
      <c r="A330" s="110" t="str">
        <f>+BASE!B334</f>
        <v>23XXR319</v>
      </c>
      <c r="B330" s="106" t="s">
        <v>40</v>
      </c>
      <c r="C330" s="111">
        <f t="shared" si="35"/>
        <v>0</v>
      </c>
      <c r="D330" s="111">
        <f t="shared" si="36"/>
        <v>0</v>
      </c>
      <c r="E330" s="111">
        <f t="shared" si="37"/>
        <v>0</v>
      </c>
      <c r="F330" s="111">
        <f t="shared" si="38"/>
        <v>0</v>
      </c>
      <c r="G330" s="111">
        <f t="shared" si="39"/>
        <v>0</v>
      </c>
      <c r="H330" s="97"/>
      <c r="I330" s="97">
        <f t="shared" si="40"/>
        <v>0</v>
      </c>
      <c r="J330" s="97">
        <f t="shared" si="41"/>
        <v>0</v>
      </c>
      <c r="K330" s="97">
        <f t="shared" si="42"/>
        <v>0</v>
      </c>
      <c r="L330" s="97">
        <f t="shared" si="43"/>
        <v>0</v>
      </c>
      <c r="M330" s="97">
        <f t="shared" si="44"/>
        <v>0</v>
      </c>
      <c r="N330" s="97"/>
      <c r="O330" s="97"/>
      <c r="P330" s="112">
        <f t="shared" si="45"/>
        <v>0</v>
      </c>
      <c r="Q330" s="106">
        <f>BASE!A334</f>
        <v>319</v>
      </c>
      <c r="R330" s="97">
        <f t="shared" si="46"/>
        <v>0</v>
      </c>
      <c r="S330" s="97">
        <f t="shared" si="47"/>
        <v>0</v>
      </c>
      <c r="T330" s="97">
        <f t="shared" si="48"/>
        <v>0</v>
      </c>
      <c r="U330" s="97">
        <f t="shared" si="49"/>
        <v>0</v>
      </c>
      <c r="V330" s="97">
        <f t="shared" si="50"/>
        <v>0</v>
      </c>
      <c r="W330" s="161"/>
      <c r="X330" s="161"/>
    </row>
    <row r="331" spans="1:24" ht="17.25" customHeight="1">
      <c r="A331" s="110" t="str">
        <f>+BASE!B335</f>
        <v>23XXR320</v>
      </c>
      <c r="B331" s="106" t="s">
        <v>40</v>
      </c>
      <c r="C331" s="111">
        <f t="shared" si="35"/>
        <v>0</v>
      </c>
      <c r="D331" s="111">
        <f t="shared" si="36"/>
        <v>0</v>
      </c>
      <c r="E331" s="111">
        <f t="shared" si="37"/>
        <v>0</v>
      </c>
      <c r="F331" s="111">
        <f t="shared" si="38"/>
        <v>0</v>
      </c>
      <c r="G331" s="111">
        <f t="shared" si="39"/>
        <v>0</v>
      </c>
      <c r="H331" s="97"/>
      <c r="I331" s="97">
        <f t="shared" si="40"/>
        <v>0</v>
      </c>
      <c r="J331" s="97">
        <f t="shared" si="41"/>
        <v>0</v>
      </c>
      <c r="K331" s="97">
        <f t="shared" si="42"/>
        <v>0</v>
      </c>
      <c r="L331" s="97">
        <f t="shared" si="43"/>
        <v>0</v>
      </c>
      <c r="M331" s="97">
        <f t="shared" si="44"/>
        <v>0</v>
      </c>
      <c r="N331" s="97"/>
      <c r="O331" s="97"/>
      <c r="P331" s="112">
        <f t="shared" si="45"/>
        <v>0</v>
      </c>
      <c r="Q331" s="106">
        <f>BASE!A335</f>
        <v>320</v>
      </c>
      <c r="R331" s="97">
        <f t="shared" si="46"/>
        <v>0</v>
      </c>
      <c r="S331" s="97">
        <f t="shared" si="47"/>
        <v>0</v>
      </c>
      <c r="T331" s="97">
        <f t="shared" si="48"/>
        <v>0</v>
      </c>
      <c r="U331" s="97">
        <f t="shared" si="49"/>
        <v>0</v>
      </c>
      <c r="V331" s="97">
        <f t="shared" si="50"/>
        <v>0</v>
      </c>
      <c r="W331" s="161"/>
      <c r="X331" s="161"/>
    </row>
    <row r="332" spans="1:24" ht="17.25" customHeight="1">
      <c r="A332" s="110" t="str">
        <f>+BASE!B336</f>
        <v>23XXR321</v>
      </c>
      <c r="B332" s="106" t="s">
        <v>40</v>
      </c>
      <c r="C332" s="111">
        <f t="shared" si="35"/>
        <v>0</v>
      </c>
      <c r="D332" s="111">
        <f t="shared" si="36"/>
        <v>0</v>
      </c>
      <c r="E332" s="111">
        <f t="shared" si="37"/>
        <v>0</v>
      </c>
      <c r="F332" s="111">
        <f t="shared" si="38"/>
        <v>0</v>
      </c>
      <c r="G332" s="111">
        <f t="shared" si="39"/>
        <v>0</v>
      </c>
      <c r="H332" s="97"/>
      <c r="I332" s="97">
        <f t="shared" si="40"/>
        <v>0</v>
      </c>
      <c r="J332" s="97">
        <f t="shared" si="41"/>
        <v>0</v>
      </c>
      <c r="K332" s="97">
        <f t="shared" si="42"/>
        <v>0</v>
      </c>
      <c r="L332" s="97">
        <f t="shared" si="43"/>
        <v>0</v>
      </c>
      <c r="M332" s="97">
        <f t="shared" si="44"/>
        <v>0</v>
      </c>
      <c r="N332" s="97"/>
      <c r="O332" s="97"/>
      <c r="P332" s="112">
        <f t="shared" si="45"/>
        <v>0</v>
      </c>
      <c r="Q332" s="106">
        <f>BASE!A336</f>
        <v>321</v>
      </c>
      <c r="R332" s="97">
        <f t="shared" si="46"/>
        <v>0</v>
      </c>
      <c r="S332" s="97">
        <f t="shared" si="47"/>
        <v>0</v>
      </c>
      <c r="T332" s="97">
        <f t="shared" si="48"/>
        <v>0</v>
      </c>
      <c r="U332" s="97">
        <f t="shared" si="49"/>
        <v>0</v>
      </c>
      <c r="V332" s="97">
        <f t="shared" si="50"/>
        <v>0</v>
      </c>
      <c r="W332" s="161"/>
      <c r="X332" s="161"/>
    </row>
    <row r="333" spans="1:24" ht="17.25" customHeight="1">
      <c r="A333" s="110" t="str">
        <f>+BASE!B337</f>
        <v>23XXR322</v>
      </c>
      <c r="B333" s="106" t="s">
        <v>40</v>
      </c>
      <c r="C333" s="111">
        <f t="shared" si="35"/>
        <v>0</v>
      </c>
      <c r="D333" s="111">
        <f t="shared" si="36"/>
        <v>0</v>
      </c>
      <c r="E333" s="111">
        <f t="shared" si="37"/>
        <v>0</v>
      </c>
      <c r="F333" s="111">
        <f t="shared" si="38"/>
        <v>0</v>
      </c>
      <c r="G333" s="111">
        <f t="shared" si="39"/>
        <v>0</v>
      </c>
      <c r="H333" s="97"/>
      <c r="I333" s="97">
        <f t="shared" si="40"/>
        <v>0</v>
      </c>
      <c r="J333" s="97">
        <f t="shared" si="41"/>
        <v>0</v>
      </c>
      <c r="K333" s="97">
        <f t="shared" si="42"/>
        <v>0</v>
      </c>
      <c r="L333" s="97">
        <f t="shared" si="43"/>
        <v>0</v>
      </c>
      <c r="M333" s="97">
        <f t="shared" si="44"/>
        <v>0</v>
      </c>
      <c r="N333" s="97"/>
      <c r="O333" s="97"/>
      <c r="P333" s="112">
        <f t="shared" si="45"/>
        <v>0</v>
      </c>
      <c r="Q333" s="106">
        <f>BASE!A337</f>
        <v>322</v>
      </c>
      <c r="R333" s="97">
        <f t="shared" si="46"/>
        <v>0</v>
      </c>
      <c r="S333" s="97">
        <f t="shared" si="47"/>
        <v>0</v>
      </c>
      <c r="T333" s="97">
        <f t="shared" si="48"/>
        <v>0</v>
      </c>
      <c r="U333" s="97">
        <f t="shared" si="49"/>
        <v>0</v>
      </c>
      <c r="V333" s="97">
        <f t="shared" si="50"/>
        <v>0</v>
      </c>
      <c r="W333" s="161"/>
      <c r="X333" s="161"/>
    </row>
    <row r="334" spans="1:24" ht="17.25" customHeight="1">
      <c r="A334" s="110" t="str">
        <f>+BASE!B338</f>
        <v>23XXR323</v>
      </c>
      <c r="B334" s="106" t="s">
        <v>40</v>
      </c>
      <c r="C334" s="111">
        <f t="shared" si="35"/>
        <v>0</v>
      </c>
      <c r="D334" s="111">
        <f t="shared" si="36"/>
        <v>0</v>
      </c>
      <c r="E334" s="111">
        <f t="shared" si="37"/>
        <v>0</v>
      </c>
      <c r="F334" s="111">
        <f t="shared" si="38"/>
        <v>0</v>
      </c>
      <c r="G334" s="111">
        <f t="shared" si="39"/>
        <v>0</v>
      </c>
      <c r="H334" s="97"/>
      <c r="I334" s="97">
        <f t="shared" si="40"/>
        <v>0</v>
      </c>
      <c r="J334" s="97">
        <f t="shared" si="41"/>
        <v>0</v>
      </c>
      <c r="K334" s="97">
        <f t="shared" si="42"/>
        <v>0</v>
      </c>
      <c r="L334" s="97">
        <f t="shared" si="43"/>
        <v>0</v>
      </c>
      <c r="M334" s="97">
        <f t="shared" si="44"/>
        <v>0</v>
      </c>
      <c r="N334" s="97"/>
      <c r="O334" s="97"/>
      <c r="P334" s="112">
        <f t="shared" si="45"/>
        <v>0</v>
      </c>
      <c r="Q334" s="106">
        <f>BASE!A338</f>
        <v>323</v>
      </c>
      <c r="R334" s="97">
        <f t="shared" si="46"/>
        <v>0</v>
      </c>
      <c r="S334" s="97">
        <f t="shared" si="47"/>
        <v>0</v>
      </c>
      <c r="T334" s="97">
        <f t="shared" si="48"/>
        <v>0</v>
      </c>
      <c r="U334" s="97">
        <f t="shared" si="49"/>
        <v>0</v>
      </c>
      <c r="V334" s="97">
        <f t="shared" si="50"/>
        <v>0</v>
      </c>
      <c r="W334" s="161"/>
      <c r="X334" s="161"/>
    </row>
    <row r="335" spans="1:24" ht="17.25" customHeight="1">
      <c r="A335" s="110" t="str">
        <f>+BASE!B339</f>
        <v>23XXR324</v>
      </c>
      <c r="B335" s="106" t="s">
        <v>40</v>
      </c>
      <c r="C335" s="111">
        <f t="shared" si="35"/>
        <v>0</v>
      </c>
      <c r="D335" s="111">
        <f t="shared" si="36"/>
        <v>0</v>
      </c>
      <c r="E335" s="111">
        <f t="shared" si="37"/>
        <v>0</v>
      </c>
      <c r="F335" s="111">
        <f t="shared" si="38"/>
        <v>0</v>
      </c>
      <c r="G335" s="111">
        <f t="shared" si="39"/>
        <v>0</v>
      </c>
      <c r="H335" s="97"/>
      <c r="I335" s="97">
        <f t="shared" si="40"/>
        <v>0</v>
      </c>
      <c r="J335" s="97">
        <f t="shared" si="41"/>
        <v>0</v>
      </c>
      <c r="K335" s="97">
        <f t="shared" si="42"/>
        <v>0</v>
      </c>
      <c r="L335" s="97">
        <f t="shared" si="43"/>
        <v>0</v>
      </c>
      <c r="M335" s="97">
        <f t="shared" si="44"/>
        <v>0</v>
      </c>
      <c r="N335" s="97"/>
      <c r="O335" s="97"/>
      <c r="P335" s="112">
        <f t="shared" si="45"/>
        <v>0</v>
      </c>
      <c r="Q335" s="106">
        <f>BASE!A339</f>
        <v>324</v>
      </c>
      <c r="R335" s="97">
        <f t="shared" si="46"/>
        <v>0</v>
      </c>
      <c r="S335" s="97">
        <f t="shared" si="47"/>
        <v>0</v>
      </c>
      <c r="T335" s="97">
        <f t="shared" si="48"/>
        <v>0</v>
      </c>
      <c r="U335" s="97">
        <f t="shared" si="49"/>
        <v>0</v>
      </c>
      <c r="V335" s="97">
        <f t="shared" si="50"/>
        <v>0</v>
      </c>
      <c r="W335" s="161"/>
      <c r="X335" s="161"/>
    </row>
    <row r="336" spans="1:24" ht="17.25" customHeight="1">
      <c r="A336" s="110" t="str">
        <f>+BASE!B340</f>
        <v>23XXR325</v>
      </c>
      <c r="B336" s="106" t="s">
        <v>40</v>
      </c>
      <c r="C336" s="111">
        <f t="shared" si="35"/>
        <v>0</v>
      </c>
      <c r="D336" s="111">
        <f t="shared" si="36"/>
        <v>0</v>
      </c>
      <c r="E336" s="111">
        <f t="shared" si="37"/>
        <v>0</v>
      </c>
      <c r="F336" s="111">
        <f t="shared" si="38"/>
        <v>0</v>
      </c>
      <c r="G336" s="111">
        <f t="shared" si="39"/>
        <v>0</v>
      </c>
      <c r="H336" s="97"/>
      <c r="I336" s="97">
        <f t="shared" si="40"/>
        <v>0</v>
      </c>
      <c r="J336" s="97">
        <f t="shared" si="41"/>
        <v>0</v>
      </c>
      <c r="K336" s="97">
        <f t="shared" si="42"/>
        <v>0</v>
      </c>
      <c r="L336" s="97">
        <f t="shared" si="43"/>
        <v>0</v>
      </c>
      <c r="M336" s="97">
        <f t="shared" si="44"/>
        <v>0</v>
      </c>
      <c r="N336" s="97"/>
      <c r="O336" s="97"/>
      <c r="P336" s="112">
        <f t="shared" si="45"/>
        <v>0</v>
      </c>
      <c r="Q336" s="106">
        <f>BASE!A340</f>
        <v>325</v>
      </c>
      <c r="R336" s="97">
        <f t="shared" si="46"/>
        <v>0</v>
      </c>
      <c r="S336" s="97">
        <f t="shared" si="47"/>
        <v>0</v>
      </c>
      <c r="T336" s="97">
        <f t="shared" si="48"/>
        <v>0</v>
      </c>
      <c r="U336" s="97">
        <f t="shared" si="49"/>
        <v>0</v>
      </c>
      <c r="V336" s="97">
        <f t="shared" si="50"/>
        <v>0</v>
      </c>
      <c r="W336" s="161"/>
      <c r="X336" s="161"/>
    </row>
    <row r="337" spans="1:24" ht="17.25" customHeight="1">
      <c r="A337" s="110" t="str">
        <f>+BASE!B341</f>
        <v>23XXR326</v>
      </c>
      <c r="B337" s="106" t="s">
        <v>40</v>
      </c>
      <c r="C337" s="111">
        <f t="shared" si="35"/>
        <v>0</v>
      </c>
      <c r="D337" s="111">
        <f t="shared" si="36"/>
        <v>0</v>
      </c>
      <c r="E337" s="111">
        <f t="shared" si="37"/>
        <v>0</v>
      </c>
      <c r="F337" s="111">
        <f t="shared" si="38"/>
        <v>0</v>
      </c>
      <c r="G337" s="111">
        <f t="shared" si="39"/>
        <v>0</v>
      </c>
      <c r="H337" s="97"/>
      <c r="I337" s="97">
        <f t="shared" si="40"/>
        <v>0</v>
      </c>
      <c r="J337" s="97">
        <f t="shared" si="41"/>
        <v>0</v>
      </c>
      <c r="K337" s="97">
        <f t="shared" si="42"/>
        <v>0</v>
      </c>
      <c r="L337" s="97">
        <f t="shared" si="43"/>
        <v>0</v>
      </c>
      <c r="M337" s="97">
        <f t="shared" si="44"/>
        <v>0</v>
      </c>
      <c r="N337" s="97"/>
      <c r="O337" s="97"/>
      <c r="P337" s="112">
        <f t="shared" si="45"/>
        <v>0</v>
      </c>
      <c r="Q337" s="106">
        <f>BASE!A341</f>
        <v>326</v>
      </c>
      <c r="R337" s="97">
        <f t="shared" si="46"/>
        <v>0</v>
      </c>
      <c r="S337" s="97">
        <f t="shared" si="47"/>
        <v>0</v>
      </c>
      <c r="T337" s="97">
        <f t="shared" si="48"/>
        <v>0</v>
      </c>
      <c r="U337" s="97">
        <f t="shared" si="49"/>
        <v>0</v>
      </c>
      <c r="V337" s="97">
        <f t="shared" si="50"/>
        <v>0</v>
      </c>
      <c r="W337" s="161"/>
      <c r="X337" s="161"/>
    </row>
    <row r="338" spans="1:24" ht="17.25" customHeight="1">
      <c r="A338" s="110" t="str">
        <f>+BASE!B342</f>
        <v>23XXR327</v>
      </c>
      <c r="B338" s="106" t="s">
        <v>40</v>
      </c>
      <c r="C338" s="111">
        <f t="shared" si="35"/>
        <v>0</v>
      </c>
      <c r="D338" s="111">
        <f t="shared" si="36"/>
        <v>0</v>
      </c>
      <c r="E338" s="111">
        <f t="shared" si="37"/>
        <v>0</v>
      </c>
      <c r="F338" s="111">
        <f t="shared" si="38"/>
        <v>0</v>
      </c>
      <c r="G338" s="111">
        <f t="shared" si="39"/>
        <v>0</v>
      </c>
      <c r="H338" s="97"/>
      <c r="I338" s="97">
        <f t="shared" si="40"/>
        <v>0</v>
      </c>
      <c r="J338" s="97">
        <f t="shared" si="41"/>
        <v>0</v>
      </c>
      <c r="K338" s="97">
        <f t="shared" si="42"/>
        <v>0</v>
      </c>
      <c r="L338" s="97">
        <f t="shared" si="43"/>
        <v>0</v>
      </c>
      <c r="M338" s="97">
        <f t="shared" si="44"/>
        <v>0</v>
      </c>
      <c r="N338" s="97"/>
      <c r="O338" s="97"/>
      <c r="P338" s="112">
        <f t="shared" si="45"/>
        <v>0</v>
      </c>
      <c r="Q338" s="106">
        <f>BASE!A342</f>
        <v>327</v>
      </c>
      <c r="R338" s="97">
        <f t="shared" si="46"/>
        <v>0</v>
      </c>
      <c r="S338" s="97">
        <f t="shared" si="47"/>
        <v>0</v>
      </c>
      <c r="T338" s="97">
        <f t="shared" si="48"/>
        <v>0</v>
      </c>
      <c r="U338" s="97">
        <f t="shared" si="49"/>
        <v>0</v>
      </c>
      <c r="V338" s="97">
        <f t="shared" si="50"/>
        <v>0</v>
      </c>
      <c r="W338" s="161"/>
      <c r="X338" s="161"/>
    </row>
    <row r="339" spans="1:24" ht="17.25" customHeight="1">
      <c r="A339" s="110" t="str">
        <f>+BASE!B343</f>
        <v>23XXR328</v>
      </c>
      <c r="B339" s="106" t="s">
        <v>40</v>
      </c>
      <c r="C339" s="111">
        <f t="shared" si="35"/>
        <v>0</v>
      </c>
      <c r="D339" s="111">
        <f t="shared" si="36"/>
        <v>0</v>
      </c>
      <c r="E339" s="111">
        <f t="shared" si="37"/>
        <v>0</v>
      </c>
      <c r="F339" s="111">
        <f t="shared" si="38"/>
        <v>0</v>
      </c>
      <c r="G339" s="111">
        <f t="shared" si="39"/>
        <v>0</v>
      </c>
      <c r="H339" s="97"/>
      <c r="I339" s="97">
        <f t="shared" si="40"/>
        <v>0</v>
      </c>
      <c r="J339" s="97">
        <f t="shared" si="41"/>
        <v>0</v>
      </c>
      <c r="K339" s="97">
        <f t="shared" si="42"/>
        <v>0</v>
      </c>
      <c r="L339" s="97">
        <f t="shared" si="43"/>
        <v>0</v>
      </c>
      <c r="M339" s="97">
        <f t="shared" si="44"/>
        <v>0</v>
      </c>
      <c r="N339" s="97"/>
      <c r="O339" s="97"/>
      <c r="P339" s="112">
        <f t="shared" si="45"/>
        <v>0</v>
      </c>
      <c r="Q339" s="106">
        <f>BASE!A343</f>
        <v>328</v>
      </c>
      <c r="R339" s="97">
        <f t="shared" si="46"/>
        <v>0</v>
      </c>
      <c r="S339" s="97">
        <f t="shared" si="47"/>
        <v>0</v>
      </c>
      <c r="T339" s="97">
        <f t="shared" si="48"/>
        <v>0</v>
      </c>
      <c r="U339" s="97">
        <f t="shared" si="49"/>
        <v>0</v>
      </c>
      <c r="V339" s="97">
        <f t="shared" si="50"/>
        <v>0</v>
      </c>
      <c r="W339" s="161"/>
      <c r="X339" s="161"/>
    </row>
    <row r="340" spans="1:24" ht="17.25" customHeight="1">
      <c r="A340" s="110" t="str">
        <f>+BASE!B344</f>
        <v>23XXR329</v>
      </c>
      <c r="B340" s="106" t="s">
        <v>40</v>
      </c>
      <c r="C340" s="111">
        <f t="shared" si="35"/>
        <v>0</v>
      </c>
      <c r="D340" s="111">
        <f t="shared" si="36"/>
        <v>0</v>
      </c>
      <c r="E340" s="111">
        <f t="shared" si="37"/>
        <v>0</v>
      </c>
      <c r="F340" s="111">
        <f t="shared" si="38"/>
        <v>0</v>
      </c>
      <c r="G340" s="111">
        <f t="shared" si="39"/>
        <v>0</v>
      </c>
      <c r="H340" s="97"/>
      <c r="I340" s="97">
        <f t="shared" si="40"/>
        <v>0</v>
      </c>
      <c r="J340" s="97">
        <f t="shared" si="41"/>
        <v>0</v>
      </c>
      <c r="K340" s="97">
        <f t="shared" si="42"/>
        <v>0</v>
      </c>
      <c r="L340" s="97">
        <f t="shared" si="43"/>
        <v>0</v>
      </c>
      <c r="M340" s="97">
        <f t="shared" si="44"/>
        <v>0</v>
      </c>
      <c r="N340" s="97"/>
      <c r="O340" s="97"/>
      <c r="P340" s="112">
        <f t="shared" si="45"/>
        <v>0</v>
      </c>
      <c r="Q340" s="106">
        <f>BASE!A344</f>
        <v>329</v>
      </c>
      <c r="R340" s="97">
        <f t="shared" si="46"/>
        <v>0</v>
      </c>
      <c r="S340" s="97">
        <f t="shared" si="47"/>
        <v>0</v>
      </c>
      <c r="T340" s="97">
        <f t="shared" si="48"/>
        <v>0</v>
      </c>
      <c r="U340" s="97">
        <f t="shared" si="49"/>
        <v>0</v>
      </c>
      <c r="V340" s="97">
        <f t="shared" si="50"/>
        <v>0</v>
      </c>
      <c r="W340" s="161"/>
      <c r="X340" s="161"/>
    </row>
    <row r="341" spans="1:24" ht="17.25" customHeight="1">
      <c r="A341" s="110" t="str">
        <f>+BASE!B345</f>
        <v>23XXR330</v>
      </c>
      <c r="B341" s="106" t="s">
        <v>40</v>
      </c>
      <c r="C341" s="111">
        <f t="shared" si="35"/>
        <v>0</v>
      </c>
      <c r="D341" s="111">
        <f t="shared" si="36"/>
        <v>0</v>
      </c>
      <c r="E341" s="111">
        <f t="shared" si="37"/>
        <v>0</v>
      </c>
      <c r="F341" s="111">
        <f t="shared" si="38"/>
        <v>0</v>
      </c>
      <c r="G341" s="111">
        <f t="shared" si="39"/>
        <v>0</v>
      </c>
      <c r="H341" s="97"/>
      <c r="I341" s="97">
        <f t="shared" si="40"/>
        <v>0</v>
      </c>
      <c r="J341" s="97">
        <f t="shared" si="41"/>
        <v>0</v>
      </c>
      <c r="K341" s="97">
        <f t="shared" si="42"/>
        <v>0</v>
      </c>
      <c r="L341" s="97">
        <f t="shared" si="43"/>
        <v>0</v>
      </c>
      <c r="M341" s="97">
        <f t="shared" si="44"/>
        <v>0</v>
      </c>
      <c r="N341" s="97"/>
      <c r="O341" s="97"/>
      <c r="P341" s="112">
        <f t="shared" si="45"/>
        <v>0</v>
      </c>
      <c r="Q341" s="106">
        <f>BASE!A345</f>
        <v>330</v>
      </c>
      <c r="R341" s="97">
        <f t="shared" si="46"/>
        <v>0</v>
      </c>
      <c r="S341" s="97">
        <f t="shared" si="47"/>
        <v>0</v>
      </c>
      <c r="T341" s="97">
        <f t="shared" si="48"/>
        <v>0</v>
      </c>
      <c r="U341" s="97">
        <f t="shared" si="49"/>
        <v>0</v>
      </c>
      <c r="V341" s="97">
        <f t="shared" si="50"/>
        <v>0</v>
      </c>
      <c r="W341" s="161"/>
      <c r="X341" s="161"/>
    </row>
    <row r="342" spans="1:24" ht="17.25" customHeight="1">
      <c r="A342" s="110" t="str">
        <f>+BASE!B346</f>
        <v>23XXR331</v>
      </c>
      <c r="B342" s="106" t="s">
        <v>40</v>
      </c>
      <c r="C342" s="111">
        <f t="shared" si="35"/>
        <v>0</v>
      </c>
      <c r="D342" s="111">
        <f t="shared" si="36"/>
        <v>0</v>
      </c>
      <c r="E342" s="111">
        <f t="shared" si="37"/>
        <v>0</v>
      </c>
      <c r="F342" s="111">
        <f t="shared" si="38"/>
        <v>0</v>
      </c>
      <c r="G342" s="111">
        <f t="shared" si="39"/>
        <v>0</v>
      </c>
      <c r="H342" s="97"/>
      <c r="I342" s="97">
        <f t="shared" si="40"/>
        <v>0</v>
      </c>
      <c r="J342" s="97">
        <f t="shared" si="41"/>
        <v>0</v>
      </c>
      <c r="K342" s="97">
        <f t="shared" si="42"/>
        <v>0</v>
      </c>
      <c r="L342" s="97">
        <f t="shared" si="43"/>
        <v>0</v>
      </c>
      <c r="M342" s="97">
        <f t="shared" si="44"/>
        <v>0</v>
      </c>
      <c r="N342" s="97"/>
      <c r="O342" s="97"/>
      <c r="P342" s="112">
        <f t="shared" si="45"/>
        <v>0</v>
      </c>
      <c r="Q342" s="106">
        <f>BASE!A346</f>
        <v>331</v>
      </c>
      <c r="R342" s="97">
        <f t="shared" si="46"/>
        <v>0</v>
      </c>
      <c r="S342" s="97">
        <f t="shared" si="47"/>
        <v>0</v>
      </c>
      <c r="T342" s="97">
        <f t="shared" si="48"/>
        <v>0</v>
      </c>
      <c r="U342" s="97">
        <f t="shared" si="49"/>
        <v>0</v>
      </c>
      <c r="V342" s="97">
        <f t="shared" si="50"/>
        <v>0</v>
      </c>
      <c r="W342" s="161"/>
      <c r="X342" s="161"/>
    </row>
    <row r="343" spans="1:24" ht="17.25" customHeight="1">
      <c r="A343" s="110" t="str">
        <f>+BASE!B347</f>
        <v>23XXR332</v>
      </c>
      <c r="B343" s="106" t="s">
        <v>40</v>
      </c>
      <c r="C343" s="111">
        <f t="shared" si="35"/>
        <v>0</v>
      </c>
      <c r="D343" s="111">
        <f t="shared" si="36"/>
        <v>0</v>
      </c>
      <c r="E343" s="111">
        <f t="shared" si="37"/>
        <v>0</v>
      </c>
      <c r="F343" s="111">
        <f t="shared" si="38"/>
        <v>0</v>
      </c>
      <c r="G343" s="111">
        <f t="shared" si="39"/>
        <v>0</v>
      </c>
      <c r="H343" s="97"/>
      <c r="I343" s="97">
        <f t="shared" si="40"/>
        <v>0</v>
      </c>
      <c r="J343" s="97">
        <f t="shared" si="41"/>
        <v>0</v>
      </c>
      <c r="K343" s="97">
        <f t="shared" si="42"/>
        <v>0</v>
      </c>
      <c r="L343" s="97">
        <f t="shared" si="43"/>
        <v>0</v>
      </c>
      <c r="M343" s="97">
        <f t="shared" si="44"/>
        <v>0</v>
      </c>
      <c r="N343" s="97"/>
      <c r="O343" s="97"/>
      <c r="P343" s="112">
        <f t="shared" si="45"/>
        <v>0</v>
      </c>
      <c r="Q343" s="106">
        <f>BASE!A347</f>
        <v>332</v>
      </c>
      <c r="R343" s="97">
        <f t="shared" si="46"/>
        <v>0</v>
      </c>
      <c r="S343" s="97">
        <f t="shared" si="47"/>
        <v>0</v>
      </c>
      <c r="T343" s="97">
        <f t="shared" si="48"/>
        <v>0</v>
      </c>
      <c r="U343" s="97">
        <f t="shared" si="49"/>
        <v>0</v>
      </c>
      <c r="V343" s="97">
        <f t="shared" si="50"/>
        <v>0</v>
      </c>
      <c r="W343" s="161"/>
      <c r="X343" s="161"/>
    </row>
    <row r="344" spans="1:24" ht="17.25" customHeight="1">
      <c r="A344" s="110" t="str">
        <f>+BASE!B348</f>
        <v>23XXR333</v>
      </c>
      <c r="B344" s="106" t="s">
        <v>40</v>
      </c>
      <c r="C344" s="111">
        <f t="shared" si="35"/>
        <v>0</v>
      </c>
      <c r="D344" s="111">
        <f t="shared" si="36"/>
        <v>0</v>
      </c>
      <c r="E344" s="111">
        <f t="shared" si="37"/>
        <v>0</v>
      </c>
      <c r="F344" s="111">
        <f t="shared" si="38"/>
        <v>0</v>
      </c>
      <c r="G344" s="111">
        <f t="shared" si="39"/>
        <v>0</v>
      </c>
      <c r="H344" s="97"/>
      <c r="I344" s="97">
        <f t="shared" si="40"/>
        <v>0</v>
      </c>
      <c r="J344" s="97">
        <f t="shared" si="41"/>
        <v>0</v>
      </c>
      <c r="K344" s="97">
        <f t="shared" si="42"/>
        <v>0</v>
      </c>
      <c r="L344" s="97">
        <f t="shared" si="43"/>
        <v>0</v>
      </c>
      <c r="M344" s="97">
        <f t="shared" si="44"/>
        <v>0</v>
      </c>
      <c r="N344" s="97"/>
      <c r="O344" s="97"/>
      <c r="P344" s="112">
        <f t="shared" si="45"/>
        <v>0</v>
      </c>
      <c r="Q344" s="106">
        <f>BASE!A348</f>
        <v>333</v>
      </c>
      <c r="R344" s="97">
        <f t="shared" si="46"/>
        <v>0</v>
      </c>
      <c r="S344" s="97">
        <f t="shared" si="47"/>
        <v>0</v>
      </c>
      <c r="T344" s="97">
        <f t="shared" si="48"/>
        <v>0</v>
      </c>
      <c r="U344" s="97">
        <f t="shared" si="49"/>
        <v>0</v>
      </c>
      <c r="V344" s="97">
        <f t="shared" si="50"/>
        <v>0</v>
      </c>
      <c r="W344" s="161"/>
      <c r="X344" s="161"/>
    </row>
    <row r="345" spans="1:24" ht="17.25" customHeight="1">
      <c r="A345" s="110" t="str">
        <f>+BASE!B349</f>
        <v>23XXR334</v>
      </c>
      <c r="B345" s="106" t="s">
        <v>40</v>
      </c>
      <c r="C345" s="111">
        <f t="shared" si="35"/>
        <v>0</v>
      </c>
      <c r="D345" s="111">
        <f t="shared" si="36"/>
        <v>0</v>
      </c>
      <c r="E345" s="111">
        <f t="shared" si="37"/>
        <v>0</v>
      </c>
      <c r="F345" s="111">
        <f t="shared" si="38"/>
        <v>0</v>
      </c>
      <c r="G345" s="111">
        <f t="shared" si="39"/>
        <v>0</v>
      </c>
      <c r="H345" s="97"/>
      <c r="I345" s="97">
        <f t="shared" si="40"/>
        <v>0</v>
      </c>
      <c r="J345" s="97">
        <f t="shared" si="41"/>
        <v>0</v>
      </c>
      <c r="K345" s="97">
        <f t="shared" si="42"/>
        <v>0</v>
      </c>
      <c r="L345" s="97">
        <f t="shared" si="43"/>
        <v>0</v>
      </c>
      <c r="M345" s="97">
        <f t="shared" si="44"/>
        <v>0</v>
      </c>
      <c r="N345" s="97"/>
      <c r="O345" s="97"/>
      <c r="P345" s="112">
        <f t="shared" si="45"/>
        <v>0</v>
      </c>
      <c r="Q345" s="106">
        <f>BASE!A349</f>
        <v>334</v>
      </c>
      <c r="R345" s="97">
        <f t="shared" si="46"/>
        <v>0</v>
      </c>
      <c r="S345" s="97">
        <f t="shared" si="47"/>
        <v>0</v>
      </c>
      <c r="T345" s="97">
        <f t="shared" si="48"/>
        <v>0</v>
      </c>
      <c r="U345" s="97">
        <f t="shared" si="49"/>
        <v>0</v>
      </c>
      <c r="V345" s="97">
        <f t="shared" si="50"/>
        <v>0</v>
      </c>
      <c r="W345" s="161"/>
      <c r="X345" s="161"/>
    </row>
    <row r="346" spans="1:24" ht="17.25" customHeight="1">
      <c r="A346" s="110" t="str">
        <f>+BASE!B350</f>
        <v>23XXR335</v>
      </c>
      <c r="B346" s="106" t="s">
        <v>40</v>
      </c>
      <c r="C346" s="111">
        <f t="shared" si="35"/>
        <v>0</v>
      </c>
      <c r="D346" s="111">
        <f t="shared" si="36"/>
        <v>0</v>
      </c>
      <c r="E346" s="111">
        <f t="shared" si="37"/>
        <v>0</v>
      </c>
      <c r="F346" s="111">
        <f t="shared" si="38"/>
        <v>0</v>
      </c>
      <c r="G346" s="111">
        <f t="shared" si="39"/>
        <v>0</v>
      </c>
      <c r="H346" s="97"/>
      <c r="I346" s="97">
        <f t="shared" si="40"/>
        <v>0</v>
      </c>
      <c r="J346" s="97">
        <f t="shared" si="41"/>
        <v>0</v>
      </c>
      <c r="K346" s="97">
        <f t="shared" si="42"/>
        <v>0</v>
      </c>
      <c r="L346" s="97">
        <f t="shared" si="43"/>
        <v>0</v>
      </c>
      <c r="M346" s="97">
        <f t="shared" si="44"/>
        <v>0</v>
      </c>
      <c r="N346" s="97"/>
      <c r="O346" s="97"/>
      <c r="P346" s="112">
        <f t="shared" si="45"/>
        <v>0</v>
      </c>
      <c r="Q346" s="106">
        <f>BASE!A350</f>
        <v>335</v>
      </c>
      <c r="R346" s="97">
        <f t="shared" si="46"/>
        <v>0</v>
      </c>
      <c r="S346" s="97">
        <f t="shared" si="47"/>
        <v>0</v>
      </c>
      <c r="T346" s="97">
        <f t="shared" si="48"/>
        <v>0</v>
      </c>
      <c r="U346" s="97">
        <f t="shared" si="49"/>
        <v>0</v>
      </c>
      <c r="V346" s="97">
        <f t="shared" si="50"/>
        <v>0</v>
      </c>
      <c r="W346" s="161"/>
      <c r="X346" s="161"/>
    </row>
    <row r="347" spans="1:24" ht="17.25" customHeight="1">
      <c r="A347" s="110" t="str">
        <f>+BASE!B351</f>
        <v>23XXR336</v>
      </c>
      <c r="B347" s="106" t="s">
        <v>40</v>
      </c>
      <c r="C347" s="111">
        <f t="shared" si="35"/>
        <v>0</v>
      </c>
      <c r="D347" s="111">
        <f t="shared" si="36"/>
        <v>0</v>
      </c>
      <c r="E347" s="111">
        <f t="shared" si="37"/>
        <v>0</v>
      </c>
      <c r="F347" s="111">
        <f t="shared" si="38"/>
        <v>0</v>
      </c>
      <c r="G347" s="111">
        <f t="shared" si="39"/>
        <v>0</v>
      </c>
      <c r="H347" s="97"/>
      <c r="I347" s="97">
        <f t="shared" si="40"/>
        <v>0</v>
      </c>
      <c r="J347" s="97">
        <f t="shared" si="41"/>
        <v>0</v>
      </c>
      <c r="K347" s="97">
        <f t="shared" si="42"/>
        <v>0</v>
      </c>
      <c r="L347" s="97">
        <f t="shared" si="43"/>
        <v>0</v>
      </c>
      <c r="M347" s="97">
        <f t="shared" si="44"/>
        <v>0</v>
      </c>
      <c r="N347" s="97"/>
      <c r="O347" s="97"/>
      <c r="P347" s="112">
        <f t="shared" si="45"/>
        <v>0</v>
      </c>
      <c r="Q347" s="106">
        <f>BASE!A351</f>
        <v>336</v>
      </c>
      <c r="R347" s="97">
        <f t="shared" si="46"/>
        <v>0</v>
      </c>
      <c r="S347" s="97">
        <f t="shared" si="47"/>
        <v>0</v>
      </c>
      <c r="T347" s="97">
        <f t="shared" si="48"/>
        <v>0</v>
      </c>
      <c r="U347" s="97">
        <f t="shared" si="49"/>
        <v>0</v>
      </c>
      <c r="V347" s="97">
        <f t="shared" si="50"/>
        <v>0</v>
      </c>
      <c r="W347" s="161"/>
      <c r="X347" s="161"/>
    </row>
    <row r="348" spans="1:24" ht="17.25" customHeight="1">
      <c r="A348" s="110" t="str">
        <f>+BASE!B352</f>
        <v>23XXR337</v>
      </c>
      <c r="B348" s="106" t="s">
        <v>40</v>
      </c>
      <c r="C348" s="111">
        <f t="shared" si="35"/>
        <v>0</v>
      </c>
      <c r="D348" s="111">
        <f t="shared" si="36"/>
        <v>0</v>
      </c>
      <c r="E348" s="111">
        <f t="shared" si="37"/>
        <v>0</v>
      </c>
      <c r="F348" s="111">
        <f t="shared" si="38"/>
        <v>0</v>
      </c>
      <c r="G348" s="111">
        <f t="shared" si="39"/>
        <v>0</v>
      </c>
      <c r="H348" s="97"/>
      <c r="I348" s="97">
        <f t="shared" si="40"/>
        <v>0</v>
      </c>
      <c r="J348" s="97">
        <f t="shared" si="41"/>
        <v>0</v>
      </c>
      <c r="K348" s="97">
        <f t="shared" si="42"/>
        <v>0</v>
      </c>
      <c r="L348" s="97">
        <f t="shared" si="43"/>
        <v>0</v>
      </c>
      <c r="M348" s="97">
        <f t="shared" si="44"/>
        <v>0</v>
      </c>
      <c r="N348" s="97"/>
      <c r="O348" s="97"/>
      <c r="P348" s="112">
        <f t="shared" si="45"/>
        <v>0</v>
      </c>
      <c r="Q348" s="106">
        <f>BASE!A352</f>
        <v>337</v>
      </c>
      <c r="R348" s="97">
        <f t="shared" si="46"/>
        <v>0</v>
      </c>
      <c r="S348" s="97">
        <f t="shared" si="47"/>
        <v>0</v>
      </c>
      <c r="T348" s="97">
        <f t="shared" si="48"/>
        <v>0</v>
      </c>
      <c r="U348" s="97">
        <f t="shared" si="49"/>
        <v>0</v>
      </c>
      <c r="V348" s="97">
        <f t="shared" si="50"/>
        <v>0</v>
      </c>
      <c r="W348" s="161"/>
      <c r="X348" s="161"/>
    </row>
    <row r="349" spans="1:24" ht="17.25" customHeight="1">
      <c r="A349" s="110" t="str">
        <f>+BASE!B353</f>
        <v>23XXR338</v>
      </c>
      <c r="B349" s="106" t="s">
        <v>40</v>
      </c>
      <c r="C349" s="111">
        <f t="shared" si="35"/>
        <v>0</v>
      </c>
      <c r="D349" s="111">
        <f t="shared" si="36"/>
        <v>0</v>
      </c>
      <c r="E349" s="111">
        <f t="shared" si="37"/>
        <v>0</v>
      </c>
      <c r="F349" s="111">
        <f t="shared" si="38"/>
        <v>0</v>
      </c>
      <c r="G349" s="111">
        <f t="shared" si="39"/>
        <v>0</v>
      </c>
      <c r="H349" s="97"/>
      <c r="I349" s="97">
        <f t="shared" si="40"/>
        <v>0</v>
      </c>
      <c r="J349" s="97">
        <f t="shared" si="41"/>
        <v>0</v>
      </c>
      <c r="K349" s="97">
        <f t="shared" si="42"/>
        <v>0</v>
      </c>
      <c r="L349" s="97">
        <f t="shared" si="43"/>
        <v>0</v>
      </c>
      <c r="M349" s="97">
        <f t="shared" si="44"/>
        <v>0</v>
      </c>
      <c r="N349" s="97"/>
      <c r="O349" s="97"/>
      <c r="P349" s="112">
        <f t="shared" si="45"/>
        <v>0</v>
      </c>
      <c r="Q349" s="106">
        <f>BASE!A353</f>
        <v>338</v>
      </c>
      <c r="R349" s="97">
        <f t="shared" si="46"/>
        <v>0</v>
      </c>
      <c r="S349" s="97">
        <f t="shared" si="47"/>
        <v>0</v>
      </c>
      <c r="T349" s="97">
        <f t="shared" si="48"/>
        <v>0</v>
      </c>
      <c r="U349" s="97">
        <f t="shared" si="49"/>
        <v>0</v>
      </c>
      <c r="V349" s="97">
        <f t="shared" si="50"/>
        <v>0</v>
      </c>
      <c r="W349" s="161"/>
      <c r="X349" s="161"/>
    </row>
    <row r="350" spans="1:24" ht="17.25" customHeight="1">
      <c r="A350" s="110" t="str">
        <f>+BASE!B354</f>
        <v>23XXR339</v>
      </c>
      <c r="B350" s="106" t="s">
        <v>40</v>
      </c>
      <c r="C350" s="111">
        <f t="shared" si="35"/>
        <v>0</v>
      </c>
      <c r="D350" s="111">
        <f t="shared" si="36"/>
        <v>0</v>
      </c>
      <c r="E350" s="111">
        <f t="shared" si="37"/>
        <v>0</v>
      </c>
      <c r="F350" s="111">
        <f t="shared" si="38"/>
        <v>0</v>
      </c>
      <c r="G350" s="111">
        <f t="shared" si="39"/>
        <v>0</v>
      </c>
      <c r="H350" s="97"/>
      <c r="I350" s="97">
        <f t="shared" si="40"/>
        <v>0</v>
      </c>
      <c r="J350" s="97">
        <f t="shared" si="41"/>
        <v>0</v>
      </c>
      <c r="K350" s="97">
        <f t="shared" si="42"/>
        <v>0</v>
      </c>
      <c r="L350" s="97">
        <f t="shared" si="43"/>
        <v>0</v>
      </c>
      <c r="M350" s="97">
        <f t="shared" si="44"/>
        <v>0</v>
      </c>
      <c r="N350" s="97"/>
      <c r="O350" s="97"/>
      <c r="P350" s="112">
        <f t="shared" si="45"/>
        <v>0</v>
      </c>
      <c r="Q350" s="106">
        <f>BASE!A354</f>
        <v>339</v>
      </c>
      <c r="R350" s="97">
        <f t="shared" si="46"/>
        <v>0</v>
      </c>
      <c r="S350" s="97">
        <f t="shared" si="47"/>
        <v>0</v>
      </c>
      <c r="T350" s="97">
        <f t="shared" si="48"/>
        <v>0</v>
      </c>
      <c r="U350" s="97">
        <f t="shared" si="49"/>
        <v>0</v>
      </c>
      <c r="V350" s="97">
        <f t="shared" si="50"/>
        <v>0</v>
      </c>
      <c r="W350" s="161"/>
      <c r="X350" s="161"/>
    </row>
    <row r="351" spans="1:24" ht="17.25" customHeight="1">
      <c r="A351" s="110" t="str">
        <f>+BASE!B355</f>
        <v>23XXR340</v>
      </c>
      <c r="B351" s="106" t="s">
        <v>40</v>
      </c>
      <c r="C351" s="111">
        <f t="shared" si="35"/>
        <v>0</v>
      </c>
      <c r="D351" s="111">
        <f t="shared" si="36"/>
        <v>0</v>
      </c>
      <c r="E351" s="111">
        <f t="shared" si="37"/>
        <v>0</v>
      </c>
      <c r="F351" s="111">
        <f t="shared" si="38"/>
        <v>0</v>
      </c>
      <c r="G351" s="111">
        <f t="shared" si="39"/>
        <v>0</v>
      </c>
      <c r="H351" s="97"/>
      <c r="I351" s="97">
        <f t="shared" si="40"/>
        <v>0</v>
      </c>
      <c r="J351" s="97">
        <f t="shared" si="41"/>
        <v>0</v>
      </c>
      <c r="K351" s="97">
        <f t="shared" si="42"/>
        <v>0</v>
      </c>
      <c r="L351" s="97">
        <f t="shared" si="43"/>
        <v>0</v>
      </c>
      <c r="M351" s="97">
        <f t="shared" si="44"/>
        <v>0</v>
      </c>
      <c r="N351" s="97"/>
      <c r="O351" s="97"/>
      <c r="P351" s="112">
        <f t="shared" si="45"/>
        <v>0</v>
      </c>
      <c r="Q351" s="106">
        <f>BASE!A355</f>
        <v>340</v>
      </c>
      <c r="R351" s="97">
        <f t="shared" si="46"/>
        <v>0</v>
      </c>
      <c r="S351" s="97">
        <f t="shared" si="47"/>
        <v>0</v>
      </c>
      <c r="T351" s="97">
        <f t="shared" si="48"/>
        <v>0</v>
      </c>
      <c r="U351" s="97">
        <f t="shared" si="49"/>
        <v>0</v>
      </c>
      <c r="V351" s="97">
        <f t="shared" si="50"/>
        <v>0</v>
      </c>
      <c r="W351" s="161"/>
      <c r="X351" s="161"/>
    </row>
    <row r="352" spans="1:24" ht="17.25" customHeight="1">
      <c r="A352" s="110" t="str">
        <f>+BASE!B356</f>
        <v>23XXR341</v>
      </c>
      <c r="B352" s="106" t="s">
        <v>40</v>
      </c>
      <c r="C352" s="111">
        <f t="shared" si="35"/>
        <v>0</v>
      </c>
      <c r="D352" s="111">
        <f t="shared" si="36"/>
        <v>0</v>
      </c>
      <c r="E352" s="111">
        <f t="shared" si="37"/>
        <v>0</v>
      </c>
      <c r="F352" s="111">
        <f t="shared" si="38"/>
        <v>0</v>
      </c>
      <c r="G352" s="111">
        <f t="shared" si="39"/>
        <v>0</v>
      </c>
      <c r="H352" s="97"/>
      <c r="I352" s="97">
        <f t="shared" si="40"/>
        <v>0</v>
      </c>
      <c r="J352" s="97">
        <f t="shared" si="41"/>
        <v>0</v>
      </c>
      <c r="K352" s="97">
        <f t="shared" si="42"/>
        <v>0</v>
      </c>
      <c r="L352" s="97">
        <f t="shared" si="43"/>
        <v>0</v>
      </c>
      <c r="M352" s="97">
        <f t="shared" si="44"/>
        <v>0</v>
      </c>
      <c r="N352" s="97"/>
      <c r="O352" s="97"/>
      <c r="P352" s="112">
        <f t="shared" si="45"/>
        <v>0</v>
      </c>
      <c r="Q352" s="106">
        <f>BASE!A356</f>
        <v>341</v>
      </c>
      <c r="R352" s="97">
        <f t="shared" si="46"/>
        <v>0</v>
      </c>
      <c r="S352" s="97">
        <f t="shared" si="47"/>
        <v>0</v>
      </c>
      <c r="T352" s="97">
        <f t="shared" si="48"/>
        <v>0</v>
      </c>
      <c r="U352" s="97">
        <f t="shared" si="49"/>
        <v>0</v>
      </c>
      <c r="V352" s="97">
        <f t="shared" si="50"/>
        <v>0</v>
      </c>
      <c r="W352" s="161"/>
      <c r="X352" s="161"/>
    </row>
    <row r="353" spans="1:24" ht="17.25" customHeight="1">
      <c r="A353" s="110" t="str">
        <f>+BASE!B357</f>
        <v>23XXR342</v>
      </c>
      <c r="B353" s="106" t="s">
        <v>40</v>
      </c>
      <c r="C353" s="111">
        <f t="shared" si="35"/>
        <v>0</v>
      </c>
      <c r="D353" s="111">
        <f t="shared" si="36"/>
        <v>0</v>
      </c>
      <c r="E353" s="111">
        <f t="shared" si="37"/>
        <v>0</v>
      </c>
      <c r="F353" s="111">
        <f t="shared" si="38"/>
        <v>0</v>
      </c>
      <c r="G353" s="111">
        <f t="shared" si="39"/>
        <v>0</v>
      </c>
      <c r="H353" s="97"/>
      <c r="I353" s="97">
        <f t="shared" si="40"/>
        <v>0</v>
      </c>
      <c r="J353" s="97">
        <f t="shared" si="41"/>
        <v>0</v>
      </c>
      <c r="K353" s="97">
        <f t="shared" si="42"/>
        <v>0</v>
      </c>
      <c r="L353" s="97">
        <f t="shared" si="43"/>
        <v>0</v>
      </c>
      <c r="M353" s="97">
        <f t="shared" si="44"/>
        <v>0</v>
      </c>
      <c r="N353" s="97"/>
      <c r="O353" s="97"/>
      <c r="P353" s="112">
        <f t="shared" si="45"/>
        <v>0</v>
      </c>
      <c r="Q353" s="106">
        <f>BASE!A357</f>
        <v>342</v>
      </c>
      <c r="R353" s="97">
        <f t="shared" si="46"/>
        <v>0</v>
      </c>
      <c r="S353" s="97">
        <f t="shared" si="47"/>
        <v>0</v>
      </c>
      <c r="T353" s="97">
        <f t="shared" si="48"/>
        <v>0</v>
      </c>
      <c r="U353" s="97">
        <f t="shared" si="49"/>
        <v>0</v>
      </c>
      <c r="V353" s="97">
        <f t="shared" si="50"/>
        <v>0</v>
      </c>
      <c r="W353" s="161"/>
      <c r="X353" s="161"/>
    </row>
    <row r="354" spans="1:24" ht="17.25" customHeight="1">
      <c r="A354" s="110" t="str">
        <f>+BASE!B358</f>
        <v>23XXR343</v>
      </c>
      <c r="B354" s="106" t="s">
        <v>40</v>
      </c>
      <c r="C354" s="111">
        <f t="shared" si="35"/>
        <v>0</v>
      </c>
      <c r="D354" s="111">
        <f t="shared" si="36"/>
        <v>0</v>
      </c>
      <c r="E354" s="111">
        <f t="shared" si="37"/>
        <v>0</v>
      </c>
      <c r="F354" s="111">
        <f t="shared" si="38"/>
        <v>0</v>
      </c>
      <c r="G354" s="111">
        <f t="shared" si="39"/>
        <v>0</v>
      </c>
      <c r="H354" s="97"/>
      <c r="I354" s="97">
        <f t="shared" si="40"/>
        <v>0</v>
      </c>
      <c r="J354" s="97">
        <f t="shared" si="41"/>
        <v>0</v>
      </c>
      <c r="K354" s="97">
        <f t="shared" si="42"/>
        <v>0</v>
      </c>
      <c r="L354" s="97">
        <f t="shared" si="43"/>
        <v>0</v>
      </c>
      <c r="M354" s="97">
        <f t="shared" si="44"/>
        <v>0</v>
      </c>
      <c r="N354" s="97"/>
      <c r="O354" s="97"/>
      <c r="P354" s="112">
        <f t="shared" si="45"/>
        <v>0</v>
      </c>
      <c r="Q354" s="106">
        <f>BASE!A358</f>
        <v>343</v>
      </c>
      <c r="R354" s="97">
        <f t="shared" si="46"/>
        <v>0</v>
      </c>
      <c r="S354" s="97">
        <f t="shared" si="47"/>
        <v>0</v>
      </c>
      <c r="T354" s="97">
        <f t="shared" si="48"/>
        <v>0</v>
      </c>
      <c r="U354" s="97">
        <f t="shared" si="49"/>
        <v>0</v>
      </c>
      <c r="V354" s="97">
        <f t="shared" si="50"/>
        <v>0</v>
      </c>
      <c r="W354" s="161"/>
      <c r="X354" s="161"/>
    </row>
    <row r="355" spans="1:24" ht="17.25" customHeight="1">
      <c r="A355" s="110" t="str">
        <f>+BASE!B359</f>
        <v>23XXR344</v>
      </c>
      <c r="B355" s="106" t="s">
        <v>40</v>
      </c>
      <c r="C355" s="111">
        <f t="shared" si="35"/>
        <v>0</v>
      </c>
      <c r="D355" s="111">
        <f t="shared" si="36"/>
        <v>0</v>
      </c>
      <c r="E355" s="111">
        <f t="shared" si="37"/>
        <v>0</v>
      </c>
      <c r="F355" s="111">
        <f t="shared" si="38"/>
        <v>0</v>
      </c>
      <c r="G355" s="111">
        <f t="shared" si="39"/>
        <v>0</v>
      </c>
      <c r="H355" s="97"/>
      <c r="I355" s="97">
        <f t="shared" si="40"/>
        <v>0</v>
      </c>
      <c r="J355" s="97">
        <f t="shared" si="41"/>
        <v>0</v>
      </c>
      <c r="K355" s="97">
        <f t="shared" si="42"/>
        <v>0</v>
      </c>
      <c r="L355" s="97">
        <f t="shared" si="43"/>
        <v>0</v>
      </c>
      <c r="M355" s="97">
        <f t="shared" si="44"/>
        <v>0</v>
      </c>
      <c r="N355" s="97"/>
      <c r="O355" s="97"/>
      <c r="P355" s="112">
        <f t="shared" si="45"/>
        <v>0</v>
      </c>
      <c r="Q355" s="106">
        <f>BASE!A359</f>
        <v>344</v>
      </c>
      <c r="R355" s="97">
        <f t="shared" si="46"/>
        <v>0</v>
      </c>
      <c r="S355" s="97">
        <f t="shared" si="47"/>
        <v>0</v>
      </c>
      <c r="T355" s="97">
        <f t="shared" si="48"/>
        <v>0</v>
      </c>
      <c r="U355" s="97">
        <f t="shared" si="49"/>
        <v>0</v>
      </c>
      <c r="V355" s="97">
        <f t="shared" si="50"/>
        <v>0</v>
      </c>
      <c r="W355" s="161"/>
      <c r="X355" s="161"/>
    </row>
    <row r="356" spans="1:24" ht="17.25" customHeight="1">
      <c r="A356" s="110" t="str">
        <f>+BASE!B360</f>
        <v>23XXR345</v>
      </c>
      <c r="B356" s="106" t="s">
        <v>40</v>
      </c>
      <c r="C356" s="111">
        <f t="shared" si="35"/>
        <v>0</v>
      </c>
      <c r="D356" s="111">
        <f t="shared" si="36"/>
        <v>0</v>
      </c>
      <c r="E356" s="111">
        <f t="shared" si="37"/>
        <v>0</v>
      </c>
      <c r="F356" s="111">
        <f t="shared" si="38"/>
        <v>0</v>
      </c>
      <c r="G356" s="111">
        <f t="shared" si="39"/>
        <v>0</v>
      </c>
      <c r="H356" s="97"/>
      <c r="I356" s="97">
        <f t="shared" si="40"/>
        <v>0</v>
      </c>
      <c r="J356" s="97">
        <f t="shared" si="41"/>
        <v>0</v>
      </c>
      <c r="K356" s="97">
        <f t="shared" si="42"/>
        <v>0</v>
      </c>
      <c r="L356" s="97">
        <f t="shared" si="43"/>
        <v>0</v>
      </c>
      <c r="M356" s="97">
        <f t="shared" si="44"/>
        <v>0</v>
      </c>
      <c r="N356" s="97"/>
      <c r="O356" s="97"/>
      <c r="P356" s="112">
        <f t="shared" si="45"/>
        <v>0</v>
      </c>
      <c r="Q356" s="106">
        <f>BASE!A360</f>
        <v>345</v>
      </c>
      <c r="R356" s="97">
        <f t="shared" si="46"/>
        <v>0</v>
      </c>
      <c r="S356" s="97">
        <f t="shared" si="47"/>
        <v>0</v>
      </c>
      <c r="T356" s="97">
        <f t="shared" si="48"/>
        <v>0</v>
      </c>
      <c r="U356" s="97">
        <f t="shared" si="49"/>
        <v>0</v>
      </c>
      <c r="V356" s="97">
        <f t="shared" si="50"/>
        <v>0</v>
      </c>
      <c r="W356" s="161"/>
      <c r="X356" s="161"/>
    </row>
    <row r="357" spans="1:24" ht="17.25" customHeight="1">
      <c r="A357" s="110" t="str">
        <f>+BASE!B361</f>
        <v>23XXR346</v>
      </c>
      <c r="B357" s="106" t="s">
        <v>40</v>
      </c>
      <c r="C357" s="111">
        <f t="shared" si="35"/>
        <v>0</v>
      </c>
      <c r="D357" s="111">
        <f t="shared" si="36"/>
        <v>0</v>
      </c>
      <c r="E357" s="111">
        <f t="shared" si="37"/>
        <v>0</v>
      </c>
      <c r="F357" s="111">
        <f t="shared" si="38"/>
        <v>0</v>
      </c>
      <c r="G357" s="111">
        <f t="shared" si="39"/>
        <v>0</v>
      </c>
      <c r="H357" s="97"/>
      <c r="I357" s="97">
        <f t="shared" si="40"/>
        <v>0</v>
      </c>
      <c r="J357" s="97">
        <f t="shared" si="41"/>
        <v>0</v>
      </c>
      <c r="K357" s="97">
        <f t="shared" si="42"/>
        <v>0</v>
      </c>
      <c r="L357" s="97">
        <f t="shared" si="43"/>
        <v>0</v>
      </c>
      <c r="M357" s="97">
        <f t="shared" si="44"/>
        <v>0</v>
      </c>
      <c r="N357" s="97"/>
      <c r="O357" s="97"/>
      <c r="P357" s="112">
        <f t="shared" si="45"/>
        <v>0</v>
      </c>
      <c r="Q357" s="106">
        <f>BASE!A361</f>
        <v>346</v>
      </c>
      <c r="R357" s="97">
        <f t="shared" si="46"/>
        <v>0</v>
      </c>
      <c r="S357" s="97">
        <f t="shared" si="47"/>
        <v>0</v>
      </c>
      <c r="T357" s="97">
        <f t="shared" si="48"/>
        <v>0</v>
      </c>
      <c r="U357" s="97">
        <f t="shared" si="49"/>
        <v>0</v>
      </c>
      <c r="V357" s="97">
        <f t="shared" si="50"/>
        <v>0</v>
      </c>
      <c r="W357" s="161"/>
      <c r="X357" s="161"/>
    </row>
    <row r="358" spans="1:24" ht="17.25" customHeight="1">
      <c r="A358" s="110" t="str">
        <f>+BASE!B362</f>
        <v>23XXR347</v>
      </c>
      <c r="B358" s="106" t="s">
        <v>40</v>
      </c>
      <c r="C358" s="111">
        <f t="shared" si="35"/>
        <v>0</v>
      </c>
      <c r="D358" s="111">
        <f t="shared" si="36"/>
        <v>0</v>
      </c>
      <c r="E358" s="111">
        <f t="shared" si="37"/>
        <v>0</v>
      </c>
      <c r="F358" s="111">
        <f t="shared" si="38"/>
        <v>0</v>
      </c>
      <c r="G358" s="111">
        <f t="shared" si="39"/>
        <v>0</v>
      </c>
      <c r="H358" s="97"/>
      <c r="I358" s="97">
        <f t="shared" si="40"/>
        <v>0</v>
      </c>
      <c r="J358" s="97">
        <f t="shared" si="41"/>
        <v>0</v>
      </c>
      <c r="K358" s="97">
        <f t="shared" si="42"/>
        <v>0</v>
      </c>
      <c r="L358" s="97">
        <f t="shared" si="43"/>
        <v>0</v>
      </c>
      <c r="M358" s="97">
        <f t="shared" si="44"/>
        <v>0</v>
      </c>
      <c r="N358" s="97"/>
      <c r="O358" s="97"/>
      <c r="P358" s="112">
        <f t="shared" si="45"/>
        <v>0</v>
      </c>
      <c r="Q358" s="106">
        <f>BASE!A362</f>
        <v>347</v>
      </c>
      <c r="R358" s="97">
        <f t="shared" si="46"/>
        <v>0</v>
      </c>
      <c r="S358" s="97">
        <f t="shared" si="47"/>
        <v>0</v>
      </c>
      <c r="T358" s="97">
        <f t="shared" si="48"/>
        <v>0</v>
      </c>
      <c r="U358" s="97">
        <f t="shared" si="49"/>
        <v>0</v>
      </c>
      <c r="V358" s="97">
        <f t="shared" si="50"/>
        <v>0</v>
      </c>
      <c r="W358" s="161"/>
      <c r="X358" s="161"/>
    </row>
    <row r="359" spans="1:24" ht="17.25" customHeight="1">
      <c r="A359" s="110" t="str">
        <f>+BASE!B363</f>
        <v>23XXR348</v>
      </c>
      <c r="B359" s="106" t="s">
        <v>40</v>
      </c>
      <c r="C359" s="111">
        <f t="shared" si="35"/>
        <v>0</v>
      </c>
      <c r="D359" s="111">
        <f t="shared" si="36"/>
        <v>0</v>
      </c>
      <c r="E359" s="111">
        <f t="shared" si="37"/>
        <v>0</v>
      </c>
      <c r="F359" s="111">
        <f t="shared" si="38"/>
        <v>0</v>
      </c>
      <c r="G359" s="111">
        <f t="shared" si="39"/>
        <v>0</v>
      </c>
      <c r="H359" s="97"/>
      <c r="I359" s="97">
        <f t="shared" si="40"/>
        <v>0</v>
      </c>
      <c r="J359" s="97">
        <f t="shared" si="41"/>
        <v>0</v>
      </c>
      <c r="K359" s="97">
        <f t="shared" si="42"/>
        <v>0</v>
      </c>
      <c r="L359" s="97">
        <f t="shared" si="43"/>
        <v>0</v>
      </c>
      <c r="M359" s="97">
        <f t="shared" si="44"/>
        <v>0</v>
      </c>
      <c r="N359" s="97"/>
      <c r="O359" s="97"/>
      <c r="P359" s="112">
        <f t="shared" si="45"/>
        <v>0</v>
      </c>
      <c r="Q359" s="106">
        <f>BASE!A363</f>
        <v>348</v>
      </c>
      <c r="R359" s="97">
        <f t="shared" si="46"/>
        <v>0</v>
      </c>
      <c r="S359" s="97">
        <f t="shared" si="47"/>
        <v>0</v>
      </c>
      <c r="T359" s="97">
        <f t="shared" si="48"/>
        <v>0</v>
      </c>
      <c r="U359" s="97">
        <f t="shared" si="49"/>
        <v>0</v>
      </c>
      <c r="V359" s="97">
        <f t="shared" si="50"/>
        <v>0</v>
      </c>
      <c r="W359" s="161"/>
      <c r="X359" s="161"/>
    </row>
    <row r="360" spans="1:24" ht="17.25" customHeight="1">
      <c r="A360" s="110" t="str">
        <f>+BASE!B364</f>
        <v>23XXR349</v>
      </c>
      <c r="B360" s="106" t="s">
        <v>40</v>
      </c>
      <c r="C360" s="111">
        <f t="shared" si="35"/>
        <v>0</v>
      </c>
      <c r="D360" s="111">
        <f t="shared" si="36"/>
        <v>0</v>
      </c>
      <c r="E360" s="111">
        <f t="shared" si="37"/>
        <v>0</v>
      </c>
      <c r="F360" s="111">
        <f t="shared" si="38"/>
        <v>0</v>
      </c>
      <c r="G360" s="111">
        <f t="shared" si="39"/>
        <v>0</v>
      </c>
      <c r="H360" s="97"/>
      <c r="I360" s="97">
        <f t="shared" si="40"/>
        <v>0</v>
      </c>
      <c r="J360" s="97">
        <f t="shared" si="41"/>
        <v>0</v>
      </c>
      <c r="K360" s="97">
        <f t="shared" si="42"/>
        <v>0</v>
      </c>
      <c r="L360" s="97">
        <f t="shared" si="43"/>
        <v>0</v>
      </c>
      <c r="M360" s="97">
        <f t="shared" si="44"/>
        <v>0</v>
      </c>
      <c r="N360" s="97"/>
      <c r="O360" s="97"/>
      <c r="P360" s="112">
        <f t="shared" si="45"/>
        <v>0</v>
      </c>
      <c r="Q360" s="106">
        <f>BASE!A364</f>
        <v>349</v>
      </c>
      <c r="R360" s="97">
        <f t="shared" si="46"/>
        <v>0</v>
      </c>
      <c r="S360" s="97">
        <f t="shared" si="47"/>
        <v>0</v>
      </c>
      <c r="T360" s="97">
        <f t="shared" si="48"/>
        <v>0</v>
      </c>
      <c r="U360" s="97">
        <f t="shared" si="49"/>
        <v>0</v>
      </c>
      <c r="V360" s="97">
        <f t="shared" si="50"/>
        <v>0</v>
      </c>
      <c r="W360" s="161"/>
      <c r="X360" s="161"/>
    </row>
    <row r="361" spans="1:24" ht="17.25" customHeight="1">
      <c r="A361" s="110" t="str">
        <f>+BASE!B365</f>
        <v>23XXR350</v>
      </c>
      <c r="B361" s="106" t="s">
        <v>40</v>
      </c>
      <c r="C361" s="111">
        <f t="shared" si="35"/>
        <v>0</v>
      </c>
      <c r="D361" s="111">
        <f t="shared" si="36"/>
        <v>0</v>
      </c>
      <c r="E361" s="111">
        <f t="shared" si="37"/>
        <v>0</v>
      </c>
      <c r="F361" s="111">
        <f t="shared" si="38"/>
        <v>0</v>
      </c>
      <c r="G361" s="111">
        <f t="shared" si="39"/>
        <v>0</v>
      </c>
      <c r="H361" s="97"/>
      <c r="I361" s="97">
        <f t="shared" si="40"/>
        <v>0</v>
      </c>
      <c r="J361" s="97">
        <f t="shared" si="41"/>
        <v>0</v>
      </c>
      <c r="K361" s="97">
        <f t="shared" si="42"/>
        <v>0</v>
      </c>
      <c r="L361" s="97">
        <f t="shared" si="43"/>
        <v>0</v>
      </c>
      <c r="M361" s="97">
        <f t="shared" si="44"/>
        <v>0</v>
      </c>
      <c r="N361" s="97"/>
      <c r="O361" s="97"/>
      <c r="P361" s="112">
        <f t="shared" si="45"/>
        <v>0</v>
      </c>
      <c r="Q361" s="106">
        <f>BASE!A365</f>
        <v>350</v>
      </c>
      <c r="R361" s="97">
        <f t="shared" si="46"/>
        <v>0</v>
      </c>
      <c r="S361" s="97">
        <f t="shared" si="47"/>
        <v>0</v>
      </c>
      <c r="T361" s="97">
        <f t="shared" si="48"/>
        <v>0</v>
      </c>
      <c r="U361" s="97">
        <f t="shared" si="49"/>
        <v>0</v>
      </c>
      <c r="V361" s="97">
        <f t="shared" si="50"/>
        <v>0</v>
      </c>
      <c r="W361" s="161"/>
      <c r="X361" s="161"/>
    </row>
    <row r="362" spans="1:24" ht="17.25" customHeight="1">
      <c r="A362" s="110" t="str">
        <f>+BASE!B366</f>
        <v>23XXR351</v>
      </c>
      <c r="B362" s="106" t="s">
        <v>40</v>
      </c>
      <c r="C362" s="111">
        <f t="shared" si="35"/>
        <v>0</v>
      </c>
      <c r="D362" s="111">
        <f t="shared" si="36"/>
        <v>0</v>
      </c>
      <c r="E362" s="111">
        <f t="shared" si="37"/>
        <v>0</v>
      </c>
      <c r="F362" s="111">
        <f t="shared" si="38"/>
        <v>0</v>
      </c>
      <c r="G362" s="111">
        <f t="shared" si="39"/>
        <v>0</v>
      </c>
      <c r="H362" s="97"/>
      <c r="I362" s="97">
        <f t="shared" si="40"/>
        <v>0</v>
      </c>
      <c r="J362" s="97">
        <f t="shared" si="41"/>
        <v>0</v>
      </c>
      <c r="K362" s="97">
        <f t="shared" si="42"/>
        <v>0</v>
      </c>
      <c r="L362" s="97">
        <f t="shared" si="43"/>
        <v>0</v>
      </c>
      <c r="M362" s="97">
        <f t="shared" si="44"/>
        <v>0</v>
      </c>
      <c r="N362" s="97"/>
      <c r="O362" s="97"/>
      <c r="P362" s="112">
        <f t="shared" si="45"/>
        <v>0</v>
      </c>
      <c r="Q362" s="106">
        <f>BASE!A366</f>
        <v>351</v>
      </c>
      <c r="R362" s="97">
        <f t="shared" si="46"/>
        <v>0</v>
      </c>
      <c r="S362" s="97">
        <f t="shared" si="47"/>
        <v>0</v>
      </c>
      <c r="T362" s="97">
        <f t="shared" si="48"/>
        <v>0</v>
      </c>
      <c r="U362" s="97">
        <f t="shared" si="49"/>
        <v>0</v>
      </c>
      <c r="V362" s="97">
        <f t="shared" si="50"/>
        <v>0</v>
      </c>
      <c r="W362" s="161"/>
      <c r="X362" s="161"/>
    </row>
    <row r="363" spans="1:24" ht="17.25" customHeight="1">
      <c r="A363" s="110" t="str">
        <f>+BASE!B367</f>
        <v>23XXR352</v>
      </c>
      <c r="B363" s="106" t="s">
        <v>40</v>
      </c>
      <c r="C363" s="111">
        <f t="shared" si="35"/>
        <v>0</v>
      </c>
      <c r="D363" s="111">
        <f t="shared" si="36"/>
        <v>0</v>
      </c>
      <c r="E363" s="111">
        <f t="shared" si="37"/>
        <v>0</v>
      </c>
      <c r="F363" s="111">
        <f t="shared" si="38"/>
        <v>0</v>
      </c>
      <c r="G363" s="111">
        <f t="shared" si="39"/>
        <v>0</v>
      </c>
      <c r="H363" s="97"/>
      <c r="I363" s="97">
        <f t="shared" si="40"/>
        <v>0</v>
      </c>
      <c r="J363" s="97">
        <f t="shared" si="41"/>
        <v>0</v>
      </c>
      <c r="K363" s="97">
        <f t="shared" si="42"/>
        <v>0</v>
      </c>
      <c r="L363" s="97">
        <f t="shared" si="43"/>
        <v>0</v>
      </c>
      <c r="M363" s="97">
        <f t="shared" si="44"/>
        <v>0</v>
      </c>
      <c r="N363" s="97"/>
      <c r="O363" s="97"/>
      <c r="P363" s="112">
        <f t="shared" si="45"/>
        <v>0</v>
      </c>
      <c r="Q363" s="106">
        <f>BASE!A367</f>
        <v>352</v>
      </c>
      <c r="R363" s="97">
        <f t="shared" si="46"/>
        <v>0</v>
      </c>
      <c r="S363" s="97">
        <f t="shared" si="47"/>
        <v>0</v>
      </c>
      <c r="T363" s="97">
        <f t="shared" si="48"/>
        <v>0</v>
      </c>
      <c r="U363" s="97">
        <f t="shared" si="49"/>
        <v>0</v>
      </c>
      <c r="V363" s="97">
        <f t="shared" si="50"/>
        <v>0</v>
      </c>
      <c r="W363" s="161"/>
      <c r="X363" s="161"/>
    </row>
    <row r="364" spans="1:24" ht="17.25" customHeight="1">
      <c r="A364" s="110" t="str">
        <f>+BASE!B368</f>
        <v>23XXR353</v>
      </c>
      <c r="B364" s="106" t="s">
        <v>40</v>
      </c>
      <c r="C364" s="111">
        <f t="shared" si="35"/>
        <v>0</v>
      </c>
      <c r="D364" s="111">
        <f t="shared" si="36"/>
        <v>0</v>
      </c>
      <c r="E364" s="111">
        <f t="shared" si="37"/>
        <v>0</v>
      </c>
      <c r="F364" s="111">
        <f t="shared" si="38"/>
        <v>0</v>
      </c>
      <c r="G364" s="111">
        <f t="shared" si="39"/>
        <v>0</v>
      </c>
      <c r="H364" s="97"/>
      <c r="I364" s="97">
        <f t="shared" si="40"/>
        <v>0</v>
      </c>
      <c r="J364" s="97">
        <f t="shared" si="41"/>
        <v>0</v>
      </c>
      <c r="K364" s="97">
        <f t="shared" si="42"/>
        <v>0</v>
      </c>
      <c r="L364" s="97">
        <f t="shared" si="43"/>
        <v>0</v>
      </c>
      <c r="M364" s="97">
        <f t="shared" si="44"/>
        <v>0</v>
      </c>
      <c r="N364" s="97"/>
      <c r="O364" s="97"/>
      <c r="P364" s="112">
        <f t="shared" si="45"/>
        <v>0</v>
      </c>
      <c r="Q364" s="106">
        <f>BASE!A368</f>
        <v>353</v>
      </c>
      <c r="R364" s="97">
        <f t="shared" si="46"/>
        <v>0</v>
      </c>
      <c r="S364" s="97">
        <f t="shared" si="47"/>
        <v>0</v>
      </c>
      <c r="T364" s="97">
        <f t="shared" si="48"/>
        <v>0</v>
      </c>
      <c r="U364" s="97">
        <f t="shared" si="49"/>
        <v>0</v>
      </c>
      <c r="V364" s="97">
        <f t="shared" si="50"/>
        <v>0</v>
      </c>
      <c r="W364" s="161"/>
      <c r="X364" s="161"/>
    </row>
    <row r="365" spans="1:24" ht="17.25" customHeight="1">
      <c r="A365" s="110" t="str">
        <f>+BASE!B369</f>
        <v>23XXR354</v>
      </c>
      <c r="B365" s="106" t="s">
        <v>40</v>
      </c>
      <c r="C365" s="111">
        <f t="shared" si="35"/>
        <v>0</v>
      </c>
      <c r="D365" s="111">
        <f t="shared" si="36"/>
        <v>0</v>
      </c>
      <c r="E365" s="111">
        <f t="shared" si="37"/>
        <v>0</v>
      </c>
      <c r="F365" s="111">
        <f t="shared" si="38"/>
        <v>0</v>
      </c>
      <c r="G365" s="111">
        <f t="shared" si="39"/>
        <v>0</v>
      </c>
      <c r="H365" s="97"/>
      <c r="I365" s="97">
        <f t="shared" si="40"/>
        <v>0</v>
      </c>
      <c r="J365" s="97">
        <f t="shared" si="41"/>
        <v>0</v>
      </c>
      <c r="K365" s="97">
        <f t="shared" si="42"/>
        <v>0</v>
      </c>
      <c r="L365" s="97">
        <f t="shared" si="43"/>
        <v>0</v>
      </c>
      <c r="M365" s="97">
        <f t="shared" si="44"/>
        <v>0</v>
      </c>
      <c r="N365" s="97"/>
      <c r="O365" s="97"/>
      <c r="P365" s="112">
        <f t="shared" si="45"/>
        <v>0</v>
      </c>
      <c r="Q365" s="106">
        <f>BASE!A369</f>
        <v>354</v>
      </c>
      <c r="R365" s="97">
        <f t="shared" si="46"/>
        <v>0</v>
      </c>
      <c r="S365" s="97">
        <f t="shared" si="47"/>
        <v>0</v>
      </c>
      <c r="T365" s="97">
        <f t="shared" si="48"/>
        <v>0</v>
      </c>
      <c r="U365" s="97">
        <f t="shared" si="49"/>
        <v>0</v>
      </c>
      <c r="V365" s="97">
        <f t="shared" si="50"/>
        <v>0</v>
      </c>
      <c r="W365" s="161"/>
      <c r="X365" s="161"/>
    </row>
    <row r="366" spans="1:24" ht="17.25" customHeight="1">
      <c r="A366" s="110" t="str">
        <f>+BASE!B370</f>
        <v>23XXR355</v>
      </c>
      <c r="B366" s="106" t="s">
        <v>40</v>
      </c>
      <c r="C366" s="111">
        <f t="shared" si="35"/>
        <v>0</v>
      </c>
      <c r="D366" s="111">
        <f t="shared" si="36"/>
        <v>0</v>
      </c>
      <c r="E366" s="111">
        <f t="shared" si="37"/>
        <v>0</v>
      </c>
      <c r="F366" s="111">
        <f t="shared" si="38"/>
        <v>0</v>
      </c>
      <c r="G366" s="111">
        <f t="shared" si="39"/>
        <v>0</v>
      </c>
      <c r="H366" s="97"/>
      <c r="I366" s="97">
        <f t="shared" si="40"/>
        <v>0</v>
      </c>
      <c r="J366" s="97">
        <f t="shared" si="41"/>
        <v>0</v>
      </c>
      <c r="K366" s="97">
        <f t="shared" si="42"/>
        <v>0</v>
      </c>
      <c r="L366" s="97">
        <f t="shared" si="43"/>
        <v>0</v>
      </c>
      <c r="M366" s="97">
        <f t="shared" si="44"/>
        <v>0</v>
      </c>
      <c r="N366" s="97"/>
      <c r="O366" s="97"/>
      <c r="P366" s="112">
        <f t="shared" si="45"/>
        <v>0</v>
      </c>
      <c r="Q366" s="106">
        <f>BASE!A370</f>
        <v>355</v>
      </c>
      <c r="R366" s="97">
        <f t="shared" si="46"/>
        <v>0</v>
      </c>
      <c r="S366" s="97">
        <f t="shared" si="47"/>
        <v>0</v>
      </c>
      <c r="T366" s="97">
        <f t="shared" si="48"/>
        <v>0</v>
      </c>
      <c r="U366" s="97">
        <f t="shared" si="49"/>
        <v>0</v>
      </c>
      <c r="V366" s="97">
        <f t="shared" si="50"/>
        <v>0</v>
      </c>
      <c r="W366" s="161"/>
      <c r="X366" s="161"/>
    </row>
    <row r="367" spans="1:24" ht="17.25" customHeight="1">
      <c r="A367" s="110" t="str">
        <f>+BASE!B371</f>
        <v>23XXR356</v>
      </c>
      <c r="B367" s="106" t="s">
        <v>40</v>
      </c>
      <c r="C367" s="111">
        <f t="shared" si="35"/>
        <v>0</v>
      </c>
      <c r="D367" s="111">
        <f t="shared" si="36"/>
        <v>0</v>
      </c>
      <c r="E367" s="111">
        <f t="shared" si="37"/>
        <v>0</v>
      </c>
      <c r="F367" s="111">
        <f t="shared" si="38"/>
        <v>0</v>
      </c>
      <c r="G367" s="111">
        <f t="shared" si="39"/>
        <v>0</v>
      </c>
      <c r="H367" s="97"/>
      <c r="I367" s="97">
        <f t="shared" si="40"/>
        <v>0</v>
      </c>
      <c r="J367" s="97">
        <f t="shared" si="41"/>
        <v>0</v>
      </c>
      <c r="K367" s="97">
        <f t="shared" si="42"/>
        <v>0</v>
      </c>
      <c r="L367" s="97">
        <f t="shared" si="43"/>
        <v>0</v>
      </c>
      <c r="M367" s="97">
        <f t="shared" si="44"/>
        <v>0</v>
      </c>
      <c r="N367" s="97"/>
      <c r="O367" s="97"/>
      <c r="P367" s="112">
        <f t="shared" si="45"/>
        <v>0</v>
      </c>
      <c r="Q367" s="106">
        <f>BASE!A371</f>
        <v>356</v>
      </c>
      <c r="R367" s="97">
        <f t="shared" si="46"/>
        <v>0</v>
      </c>
      <c r="S367" s="97">
        <f t="shared" si="47"/>
        <v>0</v>
      </c>
      <c r="T367" s="97">
        <f t="shared" si="48"/>
        <v>0</v>
      </c>
      <c r="U367" s="97">
        <f t="shared" si="49"/>
        <v>0</v>
      </c>
      <c r="V367" s="97">
        <f t="shared" si="50"/>
        <v>0</v>
      </c>
      <c r="W367" s="161"/>
      <c r="X367" s="161"/>
    </row>
    <row r="368" spans="1:24" ht="17.25" customHeight="1">
      <c r="A368" s="110" t="str">
        <f>+BASE!B372</f>
        <v>23XXR357</v>
      </c>
      <c r="B368" s="106" t="s">
        <v>40</v>
      </c>
      <c r="C368" s="111">
        <f t="shared" si="35"/>
        <v>0</v>
      </c>
      <c r="D368" s="111">
        <f t="shared" si="36"/>
        <v>0</v>
      </c>
      <c r="E368" s="111">
        <f t="shared" si="37"/>
        <v>0</v>
      </c>
      <c r="F368" s="111">
        <f t="shared" si="38"/>
        <v>0</v>
      </c>
      <c r="G368" s="111">
        <f t="shared" si="39"/>
        <v>0</v>
      </c>
      <c r="H368" s="97"/>
      <c r="I368" s="97">
        <f t="shared" si="40"/>
        <v>0</v>
      </c>
      <c r="J368" s="97">
        <f t="shared" si="41"/>
        <v>0</v>
      </c>
      <c r="K368" s="97">
        <f t="shared" si="42"/>
        <v>0</v>
      </c>
      <c r="L368" s="97">
        <f t="shared" si="43"/>
        <v>0</v>
      </c>
      <c r="M368" s="97">
        <f t="shared" si="44"/>
        <v>0</v>
      </c>
      <c r="N368" s="97"/>
      <c r="O368" s="97"/>
      <c r="P368" s="112">
        <f t="shared" si="45"/>
        <v>0</v>
      </c>
      <c r="Q368" s="106">
        <f>BASE!A372</f>
        <v>357</v>
      </c>
      <c r="R368" s="97">
        <f t="shared" si="46"/>
        <v>0</v>
      </c>
      <c r="S368" s="97">
        <f t="shared" si="47"/>
        <v>0</v>
      </c>
      <c r="T368" s="97">
        <f t="shared" si="48"/>
        <v>0</v>
      </c>
      <c r="U368" s="97">
        <f t="shared" si="49"/>
        <v>0</v>
      </c>
      <c r="V368" s="97">
        <f t="shared" si="50"/>
        <v>0</v>
      </c>
      <c r="W368" s="161"/>
      <c r="X368" s="161"/>
    </row>
    <row r="369" spans="1:24" ht="17.25" customHeight="1">
      <c r="A369" s="110" t="str">
        <f>+BASE!B373</f>
        <v>23XXR358</v>
      </c>
      <c r="B369" s="106" t="s">
        <v>40</v>
      </c>
      <c r="C369" s="111">
        <f t="shared" si="35"/>
        <v>0</v>
      </c>
      <c r="D369" s="111">
        <f t="shared" si="36"/>
        <v>0</v>
      </c>
      <c r="E369" s="111">
        <f t="shared" si="37"/>
        <v>0</v>
      </c>
      <c r="F369" s="111">
        <f t="shared" si="38"/>
        <v>0</v>
      </c>
      <c r="G369" s="111">
        <f t="shared" si="39"/>
        <v>0</v>
      </c>
      <c r="H369" s="97"/>
      <c r="I369" s="97">
        <f t="shared" si="40"/>
        <v>0</v>
      </c>
      <c r="J369" s="97">
        <f t="shared" si="41"/>
        <v>0</v>
      </c>
      <c r="K369" s="97">
        <f t="shared" si="42"/>
        <v>0</v>
      </c>
      <c r="L369" s="97">
        <f t="shared" si="43"/>
        <v>0</v>
      </c>
      <c r="M369" s="97">
        <f t="shared" si="44"/>
        <v>0</v>
      </c>
      <c r="N369" s="97"/>
      <c r="O369" s="97"/>
      <c r="P369" s="112">
        <f t="shared" si="45"/>
        <v>0</v>
      </c>
      <c r="Q369" s="106">
        <f>BASE!A373</f>
        <v>358</v>
      </c>
      <c r="R369" s="97">
        <f t="shared" si="46"/>
        <v>0</v>
      </c>
      <c r="S369" s="97">
        <f t="shared" si="47"/>
        <v>0</v>
      </c>
      <c r="T369" s="97">
        <f t="shared" si="48"/>
        <v>0</v>
      </c>
      <c r="U369" s="97">
        <f t="shared" si="49"/>
        <v>0</v>
      </c>
      <c r="V369" s="97">
        <f t="shared" si="50"/>
        <v>0</v>
      </c>
      <c r="W369" s="161"/>
      <c r="X369" s="161"/>
    </row>
    <row r="370" spans="1:24" ht="17.25" customHeight="1">
      <c r="A370" s="110" t="str">
        <f>+BASE!B374</f>
        <v>23XXR359</v>
      </c>
      <c r="B370" s="106" t="s">
        <v>40</v>
      </c>
      <c r="C370" s="111">
        <f t="shared" si="35"/>
        <v>0</v>
      </c>
      <c r="D370" s="111">
        <f t="shared" si="36"/>
        <v>0</v>
      </c>
      <c r="E370" s="111">
        <f t="shared" si="37"/>
        <v>0</v>
      </c>
      <c r="F370" s="111">
        <f t="shared" si="38"/>
        <v>0</v>
      </c>
      <c r="G370" s="111">
        <f t="shared" si="39"/>
        <v>0</v>
      </c>
      <c r="H370" s="97"/>
      <c r="I370" s="97">
        <f t="shared" si="40"/>
        <v>0</v>
      </c>
      <c r="J370" s="97">
        <f t="shared" si="41"/>
        <v>0</v>
      </c>
      <c r="K370" s="97">
        <f t="shared" si="42"/>
        <v>0</v>
      </c>
      <c r="L370" s="97">
        <f t="shared" si="43"/>
        <v>0</v>
      </c>
      <c r="M370" s="97">
        <f t="shared" si="44"/>
        <v>0</v>
      </c>
      <c r="N370" s="97"/>
      <c r="O370" s="97"/>
      <c r="P370" s="112">
        <f t="shared" si="45"/>
        <v>0</v>
      </c>
      <c r="Q370" s="106">
        <f>BASE!A374</f>
        <v>359</v>
      </c>
      <c r="R370" s="97">
        <f t="shared" si="46"/>
        <v>0</v>
      </c>
      <c r="S370" s="97">
        <f t="shared" si="47"/>
        <v>0</v>
      </c>
      <c r="T370" s="97">
        <f t="shared" si="48"/>
        <v>0</v>
      </c>
      <c r="U370" s="97">
        <f t="shared" si="49"/>
        <v>0</v>
      </c>
      <c r="V370" s="97">
        <f t="shared" si="50"/>
        <v>0</v>
      </c>
      <c r="W370" s="161"/>
      <c r="X370" s="161"/>
    </row>
    <row r="371" spans="1:24" ht="17.25" customHeight="1">
      <c r="A371" s="110" t="str">
        <f>+BASE!B375</f>
        <v>23XXR360</v>
      </c>
      <c r="B371" s="106" t="s">
        <v>40</v>
      </c>
      <c r="C371" s="111">
        <f t="shared" si="35"/>
        <v>0</v>
      </c>
      <c r="D371" s="111">
        <f t="shared" si="36"/>
        <v>0</v>
      </c>
      <c r="E371" s="111">
        <f t="shared" si="37"/>
        <v>0</v>
      </c>
      <c r="F371" s="111">
        <f t="shared" si="38"/>
        <v>0</v>
      </c>
      <c r="G371" s="111">
        <f t="shared" si="39"/>
        <v>0</v>
      </c>
      <c r="H371" s="97"/>
      <c r="I371" s="97">
        <f t="shared" si="40"/>
        <v>0</v>
      </c>
      <c r="J371" s="97">
        <f t="shared" si="41"/>
        <v>0</v>
      </c>
      <c r="K371" s="97">
        <f t="shared" si="42"/>
        <v>0</v>
      </c>
      <c r="L371" s="97">
        <f t="shared" si="43"/>
        <v>0</v>
      </c>
      <c r="M371" s="97">
        <f t="shared" si="44"/>
        <v>0</v>
      </c>
      <c r="N371" s="97"/>
      <c r="O371" s="97"/>
      <c r="P371" s="112">
        <f t="shared" si="45"/>
        <v>0</v>
      </c>
      <c r="Q371" s="106">
        <f>BASE!A375</f>
        <v>360</v>
      </c>
      <c r="R371" s="97">
        <f t="shared" si="46"/>
        <v>0</v>
      </c>
      <c r="S371" s="97">
        <f t="shared" si="47"/>
        <v>0</v>
      </c>
      <c r="T371" s="97">
        <f t="shared" si="48"/>
        <v>0</v>
      </c>
      <c r="U371" s="97">
        <f t="shared" si="49"/>
        <v>0</v>
      </c>
      <c r="V371" s="97">
        <f t="shared" si="50"/>
        <v>0</v>
      </c>
      <c r="W371" s="161"/>
      <c r="X371" s="161"/>
    </row>
    <row r="372" spans="1:24" ht="17.25" customHeight="1">
      <c r="A372" s="110" t="str">
        <f>+BASE!B376</f>
        <v>23XXR361</v>
      </c>
      <c r="B372" s="106" t="s">
        <v>40</v>
      </c>
      <c r="C372" s="111">
        <f t="shared" si="35"/>
        <v>0</v>
      </c>
      <c r="D372" s="111">
        <f t="shared" si="36"/>
        <v>0</v>
      </c>
      <c r="E372" s="111">
        <f t="shared" si="37"/>
        <v>0</v>
      </c>
      <c r="F372" s="111">
        <f t="shared" si="38"/>
        <v>0</v>
      </c>
      <c r="G372" s="111">
        <f t="shared" si="39"/>
        <v>0</v>
      </c>
      <c r="H372" s="97"/>
      <c r="I372" s="97">
        <f t="shared" si="40"/>
        <v>0</v>
      </c>
      <c r="J372" s="97">
        <f t="shared" si="41"/>
        <v>0</v>
      </c>
      <c r="K372" s="97">
        <f t="shared" si="42"/>
        <v>0</v>
      </c>
      <c r="L372" s="97">
        <f t="shared" si="43"/>
        <v>0</v>
      </c>
      <c r="M372" s="97">
        <f t="shared" si="44"/>
        <v>0</v>
      </c>
      <c r="N372" s="97"/>
      <c r="O372" s="97"/>
      <c r="P372" s="112">
        <f t="shared" si="45"/>
        <v>0</v>
      </c>
      <c r="Q372" s="106">
        <f>BASE!A376</f>
        <v>361</v>
      </c>
      <c r="R372" s="97">
        <f t="shared" si="46"/>
        <v>0</v>
      </c>
      <c r="S372" s="97">
        <f t="shared" si="47"/>
        <v>0</v>
      </c>
      <c r="T372" s="97">
        <f t="shared" si="48"/>
        <v>0</v>
      </c>
      <c r="U372" s="97">
        <f t="shared" si="49"/>
        <v>0</v>
      </c>
      <c r="V372" s="97">
        <f t="shared" si="50"/>
        <v>0</v>
      </c>
      <c r="W372" s="161"/>
      <c r="X372" s="161"/>
    </row>
    <row r="373" spans="1:24" ht="17.25" customHeight="1">
      <c r="A373" s="110" t="str">
        <f>+BASE!B377</f>
        <v>23XXR362</v>
      </c>
      <c r="B373" s="106" t="s">
        <v>40</v>
      </c>
      <c r="C373" s="111">
        <f t="shared" si="35"/>
        <v>0</v>
      </c>
      <c r="D373" s="111">
        <f t="shared" si="36"/>
        <v>0</v>
      </c>
      <c r="E373" s="111">
        <f t="shared" si="37"/>
        <v>0</v>
      </c>
      <c r="F373" s="111">
        <f t="shared" si="38"/>
        <v>0</v>
      </c>
      <c r="G373" s="111">
        <f t="shared" si="39"/>
        <v>0</v>
      </c>
      <c r="H373" s="97"/>
      <c r="I373" s="97">
        <f t="shared" si="40"/>
        <v>0</v>
      </c>
      <c r="J373" s="97">
        <f t="shared" si="41"/>
        <v>0</v>
      </c>
      <c r="K373" s="97">
        <f t="shared" si="42"/>
        <v>0</v>
      </c>
      <c r="L373" s="97">
        <f t="shared" si="43"/>
        <v>0</v>
      </c>
      <c r="M373" s="97">
        <f t="shared" si="44"/>
        <v>0</v>
      </c>
      <c r="N373" s="97"/>
      <c r="O373" s="97"/>
      <c r="P373" s="112">
        <f t="shared" si="45"/>
        <v>0</v>
      </c>
      <c r="Q373" s="106">
        <f>BASE!A377</f>
        <v>362</v>
      </c>
      <c r="R373" s="97">
        <f t="shared" si="46"/>
        <v>0</v>
      </c>
      <c r="S373" s="97">
        <f t="shared" si="47"/>
        <v>0</v>
      </c>
      <c r="T373" s="97">
        <f t="shared" si="48"/>
        <v>0</v>
      </c>
      <c r="U373" s="97">
        <f t="shared" si="49"/>
        <v>0</v>
      </c>
      <c r="V373" s="97">
        <f t="shared" si="50"/>
        <v>0</v>
      </c>
      <c r="W373" s="161"/>
      <c r="X373" s="161"/>
    </row>
    <row r="374" spans="1:24" ht="17.25" customHeight="1">
      <c r="A374" s="110" t="str">
        <f>+BASE!B378</f>
        <v>23XXR363</v>
      </c>
      <c r="B374" s="106" t="s">
        <v>40</v>
      </c>
      <c r="C374" s="111">
        <f t="shared" si="35"/>
        <v>0</v>
      </c>
      <c r="D374" s="111">
        <f t="shared" si="36"/>
        <v>0</v>
      </c>
      <c r="E374" s="111">
        <f t="shared" si="37"/>
        <v>0</v>
      </c>
      <c r="F374" s="111">
        <f t="shared" si="38"/>
        <v>0</v>
      </c>
      <c r="G374" s="111">
        <f t="shared" si="39"/>
        <v>0</v>
      </c>
      <c r="H374" s="97"/>
      <c r="I374" s="97">
        <f t="shared" si="40"/>
        <v>0</v>
      </c>
      <c r="J374" s="97">
        <f t="shared" si="41"/>
        <v>0</v>
      </c>
      <c r="K374" s="97">
        <f t="shared" si="42"/>
        <v>0</v>
      </c>
      <c r="L374" s="97">
        <f t="shared" si="43"/>
        <v>0</v>
      </c>
      <c r="M374" s="97">
        <f t="shared" si="44"/>
        <v>0</v>
      </c>
      <c r="N374" s="97"/>
      <c r="O374" s="97"/>
      <c r="P374" s="112">
        <f t="shared" si="45"/>
        <v>0</v>
      </c>
      <c r="Q374" s="106">
        <f>BASE!A378</f>
        <v>363</v>
      </c>
      <c r="R374" s="97">
        <f t="shared" si="46"/>
        <v>0</v>
      </c>
      <c r="S374" s="97">
        <f t="shared" si="47"/>
        <v>0</v>
      </c>
      <c r="T374" s="97">
        <f t="shared" si="48"/>
        <v>0</v>
      </c>
      <c r="U374" s="97">
        <f t="shared" si="49"/>
        <v>0</v>
      </c>
      <c r="V374" s="97">
        <f t="shared" si="50"/>
        <v>0</v>
      </c>
      <c r="W374" s="161"/>
      <c r="X374" s="161"/>
    </row>
    <row r="375" spans="1:24" ht="17.25" customHeight="1">
      <c r="A375" s="110" t="str">
        <f>+BASE!B379</f>
        <v>23XXR364</v>
      </c>
      <c r="B375" s="106" t="s">
        <v>40</v>
      </c>
      <c r="C375" s="111">
        <f t="shared" si="35"/>
        <v>0</v>
      </c>
      <c r="D375" s="111">
        <f t="shared" si="36"/>
        <v>0</v>
      </c>
      <c r="E375" s="111">
        <f t="shared" si="37"/>
        <v>0</v>
      </c>
      <c r="F375" s="111">
        <f t="shared" si="38"/>
        <v>0</v>
      </c>
      <c r="G375" s="111">
        <f t="shared" si="39"/>
        <v>0</v>
      </c>
      <c r="H375" s="97"/>
      <c r="I375" s="97">
        <f t="shared" si="40"/>
        <v>0</v>
      </c>
      <c r="J375" s="97">
        <f t="shared" si="41"/>
        <v>0</v>
      </c>
      <c r="K375" s="97">
        <f t="shared" si="42"/>
        <v>0</v>
      </c>
      <c r="L375" s="97">
        <f t="shared" si="43"/>
        <v>0</v>
      </c>
      <c r="M375" s="97">
        <f t="shared" si="44"/>
        <v>0</v>
      </c>
      <c r="N375" s="97"/>
      <c r="O375" s="97"/>
      <c r="P375" s="112">
        <f t="shared" si="45"/>
        <v>0</v>
      </c>
      <c r="Q375" s="106">
        <f>BASE!A379</f>
        <v>364</v>
      </c>
      <c r="R375" s="97">
        <f t="shared" si="46"/>
        <v>0</v>
      </c>
      <c r="S375" s="97">
        <f t="shared" si="47"/>
        <v>0</v>
      </c>
      <c r="T375" s="97">
        <f t="shared" si="48"/>
        <v>0</v>
      </c>
      <c r="U375" s="97">
        <f t="shared" si="49"/>
        <v>0</v>
      </c>
      <c r="V375" s="97">
        <f t="shared" si="50"/>
        <v>0</v>
      </c>
      <c r="W375" s="161"/>
      <c r="X375" s="161"/>
    </row>
    <row r="376" spans="1:24" ht="17.25" customHeight="1">
      <c r="A376" s="110" t="str">
        <f>+BASE!B380</f>
        <v>23XXR365</v>
      </c>
      <c r="B376" s="106" t="s">
        <v>40</v>
      </c>
      <c r="C376" s="111">
        <f t="shared" si="35"/>
        <v>0</v>
      </c>
      <c r="D376" s="111">
        <f t="shared" si="36"/>
        <v>0</v>
      </c>
      <c r="E376" s="111">
        <f t="shared" si="37"/>
        <v>0</v>
      </c>
      <c r="F376" s="111">
        <f t="shared" si="38"/>
        <v>0</v>
      </c>
      <c r="G376" s="111">
        <f t="shared" si="39"/>
        <v>0</v>
      </c>
      <c r="H376" s="97"/>
      <c r="I376" s="97">
        <f t="shared" si="40"/>
        <v>0</v>
      </c>
      <c r="J376" s="97">
        <f t="shared" si="41"/>
        <v>0</v>
      </c>
      <c r="K376" s="97">
        <f t="shared" si="42"/>
        <v>0</v>
      </c>
      <c r="L376" s="97">
        <f t="shared" si="43"/>
        <v>0</v>
      </c>
      <c r="M376" s="97">
        <f t="shared" si="44"/>
        <v>0</v>
      </c>
      <c r="N376" s="97"/>
      <c r="O376" s="97"/>
      <c r="P376" s="112">
        <f t="shared" si="45"/>
        <v>0</v>
      </c>
      <c r="Q376" s="106">
        <f>BASE!A380</f>
        <v>365</v>
      </c>
      <c r="R376" s="97">
        <f t="shared" si="46"/>
        <v>0</v>
      </c>
      <c r="S376" s="97">
        <f t="shared" si="47"/>
        <v>0</v>
      </c>
      <c r="T376" s="97">
        <f t="shared" si="48"/>
        <v>0</v>
      </c>
      <c r="U376" s="97">
        <f t="shared" si="49"/>
        <v>0</v>
      </c>
      <c r="V376" s="97">
        <f t="shared" si="50"/>
        <v>0</v>
      </c>
      <c r="W376" s="161"/>
      <c r="X376" s="161"/>
    </row>
    <row r="377" spans="1:24" ht="17.25" customHeight="1">
      <c r="A377" s="110" t="str">
        <f>+BASE!B381</f>
        <v>23XXR366</v>
      </c>
      <c r="B377" s="106" t="s">
        <v>40</v>
      </c>
      <c r="C377" s="111">
        <f t="shared" si="35"/>
        <v>0</v>
      </c>
      <c r="D377" s="111">
        <f t="shared" si="36"/>
        <v>0</v>
      </c>
      <c r="E377" s="111">
        <f t="shared" si="37"/>
        <v>0</v>
      </c>
      <c r="F377" s="111">
        <f t="shared" si="38"/>
        <v>0</v>
      </c>
      <c r="G377" s="111">
        <f t="shared" si="39"/>
        <v>0</v>
      </c>
      <c r="H377" s="97"/>
      <c r="I377" s="97">
        <f t="shared" si="40"/>
        <v>0</v>
      </c>
      <c r="J377" s="97">
        <f t="shared" si="41"/>
        <v>0</v>
      </c>
      <c r="K377" s="97">
        <f t="shared" si="42"/>
        <v>0</v>
      </c>
      <c r="L377" s="97">
        <f t="shared" si="43"/>
        <v>0</v>
      </c>
      <c r="M377" s="97">
        <f t="shared" si="44"/>
        <v>0</v>
      </c>
      <c r="N377" s="97"/>
      <c r="O377" s="97"/>
      <c r="P377" s="112">
        <f t="shared" si="45"/>
        <v>0</v>
      </c>
      <c r="Q377" s="106">
        <f>BASE!A381</f>
        <v>366</v>
      </c>
      <c r="R377" s="97">
        <f t="shared" si="46"/>
        <v>0</v>
      </c>
      <c r="S377" s="97">
        <f t="shared" si="47"/>
        <v>0</v>
      </c>
      <c r="T377" s="97">
        <f t="shared" si="48"/>
        <v>0</v>
      </c>
      <c r="U377" s="97">
        <f t="shared" si="49"/>
        <v>0</v>
      </c>
      <c r="V377" s="97">
        <f t="shared" si="50"/>
        <v>0</v>
      </c>
      <c r="W377" s="161"/>
      <c r="X377" s="161"/>
    </row>
    <row r="378" spans="1:24" ht="17.25" customHeight="1">
      <c r="A378" s="110" t="str">
        <f>+BASE!B382</f>
        <v>23XXR367</v>
      </c>
      <c r="B378" s="106" t="s">
        <v>40</v>
      </c>
      <c r="C378" s="111">
        <f t="shared" si="35"/>
        <v>0</v>
      </c>
      <c r="D378" s="111">
        <f t="shared" si="36"/>
        <v>0</v>
      </c>
      <c r="E378" s="111">
        <f t="shared" si="37"/>
        <v>0</v>
      </c>
      <c r="F378" s="111">
        <f t="shared" si="38"/>
        <v>0</v>
      </c>
      <c r="G378" s="111">
        <f t="shared" si="39"/>
        <v>0</v>
      </c>
      <c r="H378" s="97"/>
      <c r="I378" s="97">
        <f t="shared" si="40"/>
        <v>0</v>
      </c>
      <c r="J378" s="97">
        <f t="shared" si="41"/>
        <v>0</v>
      </c>
      <c r="K378" s="97">
        <f t="shared" si="42"/>
        <v>0</v>
      </c>
      <c r="L378" s="97">
        <f t="shared" si="43"/>
        <v>0</v>
      </c>
      <c r="M378" s="97">
        <f t="shared" si="44"/>
        <v>0</v>
      </c>
      <c r="N378" s="97"/>
      <c r="O378" s="97"/>
      <c r="P378" s="112">
        <f t="shared" si="45"/>
        <v>0</v>
      </c>
      <c r="Q378" s="106">
        <f>BASE!A382</f>
        <v>367</v>
      </c>
      <c r="R378" s="97">
        <f t="shared" si="46"/>
        <v>0</v>
      </c>
      <c r="S378" s="97">
        <f t="shared" si="47"/>
        <v>0</v>
      </c>
      <c r="T378" s="97">
        <f t="shared" si="48"/>
        <v>0</v>
      </c>
      <c r="U378" s="97">
        <f t="shared" si="49"/>
        <v>0</v>
      </c>
      <c r="V378" s="97">
        <f t="shared" si="50"/>
        <v>0</v>
      </c>
      <c r="W378" s="161"/>
      <c r="X378" s="161"/>
    </row>
    <row r="379" spans="1:24" ht="17.25" customHeight="1">
      <c r="A379" s="110" t="str">
        <f>+BASE!B383</f>
        <v>23XXR368</v>
      </c>
      <c r="B379" s="106" t="s">
        <v>40</v>
      </c>
      <c r="C379" s="111">
        <f t="shared" si="35"/>
        <v>0</v>
      </c>
      <c r="D379" s="111">
        <f t="shared" si="36"/>
        <v>0</v>
      </c>
      <c r="E379" s="111">
        <f t="shared" si="37"/>
        <v>0</v>
      </c>
      <c r="F379" s="111">
        <f t="shared" si="38"/>
        <v>0</v>
      </c>
      <c r="G379" s="111">
        <f t="shared" si="39"/>
        <v>0</v>
      </c>
      <c r="H379" s="97"/>
      <c r="I379" s="97">
        <f t="shared" si="40"/>
        <v>0</v>
      </c>
      <c r="J379" s="97">
        <f t="shared" si="41"/>
        <v>0</v>
      </c>
      <c r="K379" s="97">
        <f t="shared" si="42"/>
        <v>0</v>
      </c>
      <c r="L379" s="97">
        <f t="shared" si="43"/>
        <v>0</v>
      </c>
      <c r="M379" s="97">
        <f t="shared" si="44"/>
        <v>0</v>
      </c>
      <c r="N379" s="97"/>
      <c r="O379" s="97"/>
      <c r="P379" s="112">
        <f t="shared" si="45"/>
        <v>0</v>
      </c>
      <c r="Q379" s="106">
        <f>BASE!A383</f>
        <v>368</v>
      </c>
      <c r="R379" s="97">
        <f t="shared" si="46"/>
        <v>0</v>
      </c>
      <c r="S379" s="97">
        <f t="shared" si="47"/>
        <v>0</v>
      </c>
      <c r="T379" s="97">
        <f t="shared" si="48"/>
        <v>0</v>
      </c>
      <c r="U379" s="97">
        <f t="shared" si="49"/>
        <v>0</v>
      </c>
      <c r="V379" s="97">
        <f t="shared" si="50"/>
        <v>0</v>
      </c>
      <c r="W379" s="161"/>
      <c r="X379" s="161"/>
    </row>
    <row r="380" spans="1:24" ht="17.25" customHeight="1">
      <c r="A380" s="110" t="str">
        <f>+BASE!B384</f>
        <v>23XXR369</v>
      </c>
      <c r="B380" s="106" t="s">
        <v>40</v>
      </c>
      <c r="C380" s="111">
        <f t="shared" si="35"/>
        <v>0</v>
      </c>
      <c r="D380" s="111">
        <f t="shared" si="36"/>
        <v>0</v>
      </c>
      <c r="E380" s="111">
        <f t="shared" si="37"/>
        <v>0</v>
      </c>
      <c r="F380" s="111">
        <f t="shared" si="38"/>
        <v>0</v>
      </c>
      <c r="G380" s="111">
        <f t="shared" si="39"/>
        <v>0</v>
      </c>
      <c r="H380" s="97"/>
      <c r="I380" s="97">
        <f t="shared" si="40"/>
        <v>0</v>
      </c>
      <c r="J380" s="97">
        <f t="shared" si="41"/>
        <v>0</v>
      </c>
      <c r="K380" s="97">
        <f t="shared" si="42"/>
        <v>0</v>
      </c>
      <c r="L380" s="97">
        <f t="shared" si="43"/>
        <v>0</v>
      </c>
      <c r="M380" s="97">
        <f t="shared" si="44"/>
        <v>0</v>
      </c>
      <c r="N380" s="97"/>
      <c r="O380" s="97"/>
      <c r="P380" s="112">
        <f t="shared" si="45"/>
        <v>0</v>
      </c>
      <c r="Q380" s="106">
        <f>BASE!A384</f>
        <v>369</v>
      </c>
      <c r="R380" s="97">
        <f t="shared" si="46"/>
        <v>0</v>
      </c>
      <c r="S380" s="97">
        <f t="shared" si="47"/>
        <v>0</v>
      </c>
      <c r="T380" s="97">
        <f t="shared" si="48"/>
        <v>0</v>
      </c>
      <c r="U380" s="97">
        <f t="shared" si="49"/>
        <v>0</v>
      </c>
      <c r="V380" s="97">
        <f t="shared" si="50"/>
        <v>0</v>
      </c>
      <c r="W380" s="161"/>
      <c r="X380" s="161"/>
    </row>
    <row r="381" spans="1:24" ht="17.25" customHeight="1">
      <c r="A381" s="110" t="str">
        <f>+BASE!B385</f>
        <v>23XXR370</v>
      </c>
      <c r="B381" s="106" t="s">
        <v>40</v>
      </c>
      <c r="C381" s="111">
        <f t="shared" ref="C381:C444" si="51">IF($O$7="2T+1P", W381/5, IF($O$7="3T+1P",W381/5, IF($O$7="3.5T+0.5P",W381/5, " ")))</f>
        <v>0</v>
      </c>
      <c r="D381" s="111">
        <f t="shared" ref="D381:D444" si="52">IF($O$7="2T+1P", W381/5, IF($O$7="3T+1P",W381/5, IF($O$7="3.5T+0.5P",W381/5, " ")))</f>
        <v>0</v>
      </c>
      <c r="E381" s="111">
        <f t="shared" ref="E381:E444" si="53">IF($O$7="2T+1P", W381/5, IF($O$7="3T+1P",W381/5, IF($O$7="3.5T+0.5P",W381/5, " ")))</f>
        <v>0</v>
      </c>
      <c r="F381" s="111">
        <f t="shared" ref="F381:F444" si="54">IF($O$7="2T+1P", W381/5, IF($O$7="3T+1P",W381/5, IF($O$7="3.5T+0.5P",W381/5, " ")))</f>
        <v>0</v>
      </c>
      <c r="G381" s="111">
        <f t="shared" ref="G381:G444" si="55">IF($O$7="2T+1P", W381/5, IF($O$7="3T+1P",W381/5, IF($O$7="3.5T+0.5P",W381/5, " ")))</f>
        <v>0</v>
      </c>
      <c r="H381" s="97"/>
      <c r="I381" s="97">
        <f t="shared" ref="I381:I444" si="56">IF($O$7="2T+1P", X381/5, IF($O$7="3T+1P",X381/5, IF($O$7="3.5T+0.5P",X381/5, " ")))</f>
        <v>0</v>
      </c>
      <c r="J381" s="97">
        <f t="shared" ref="J381:J444" si="57">IF($O$7="2T+1P", X381/5, IF($O$7="3T+1P",X381/5, IF($O$7="3.5T+0.5P",X381/5, " ")))</f>
        <v>0</v>
      </c>
      <c r="K381" s="97">
        <f t="shared" ref="K381:K444" si="58">IF($O$7="2T+1P", X381/5, IF($O$7="3T+1P",X381/5, IF($O$7="3.5T+0.5P",X381/5, " ")))</f>
        <v>0</v>
      </c>
      <c r="L381" s="97">
        <f t="shared" ref="L381:L444" si="59">IF($O$7="2T+1P", X381/5, IF($O$7="3T+1P",X381/5, IF($O$7="3.5T+0.5P",X381/5, " ")))</f>
        <v>0</v>
      </c>
      <c r="M381" s="97">
        <f t="shared" ref="M381:M444" si="60">IF($O$7="2T+1P", X381/5, IF($O$7="3T+1P",X381/5, IF($O$7="3.5T+0.5P",X381/5, " ")))</f>
        <v>0</v>
      </c>
      <c r="N381" s="97"/>
      <c r="O381" s="97"/>
      <c r="P381" s="112">
        <f t="shared" ref="P381:P444" si="61">SUM(C381:O381)</f>
        <v>0</v>
      </c>
      <c r="Q381" s="106">
        <f>BASE!A385</f>
        <v>370</v>
      </c>
      <c r="R381" s="97">
        <f t="shared" ref="R381:R444" si="62">SUMIF($C$11:$O$11,1,C381:O381)</f>
        <v>0</v>
      </c>
      <c r="S381" s="97">
        <f t="shared" ref="S381:S444" si="63">SUMIF($C$11:$O$11,2,D381:P381)</f>
        <v>0</v>
      </c>
      <c r="T381" s="97">
        <f t="shared" ref="T381:T444" si="64">SUMIF($C$11:$O$11,3,E381:Q381)</f>
        <v>0</v>
      </c>
      <c r="U381" s="97">
        <f t="shared" ref="U381:U444" si="65">SUMIF($C$11:$O$11,4,C381:O381)</f>
        <v>0</v>
      </c>
      <c r="V381" s="97">
        <f t="shared" ref="V381:V444" si="66">SUMIF($C$11:$O$11,5,C381:O381)</f>
        <v>0</v>
      </c>
      <c r="W381" s="161"/>
      <c r="X381" s="161"/>
    </row>
    <row r="382" spans="1:24" ht="17.25" customHeight="1">
      <c r="A382" s="110" t="str">
        <f>+BASE!B386</f>
        <v>23XXR371</v>
      </c>
      <c r="B382" s="106" t="s">
        <v>40</v>
      </c>
      <c r="C382" s="111">
        <f t="shared" si="51"/>
        <v>0</v>
      </c>
      <c r="D382" s="111">
        <f t="shared" si="52"/>
        <v>0</v>
      </c>
      <c r="E382" s="111">
        <f t="shared" si="53"/>
        <v>0</v>
      </c>
      <c r="F382" s="111">
        <f t="shared" si="54"/>
        <v>0</v>
      </c>
      <c r="G382" s="111">
        <f t="shared" si="55"/>
        <v>0</v>
      </c>
      <c r="H382" s="97"/>
      <c r="I382" s="97">
        <f t="shared" si="56"/>
        <v>0</v>
      </c>
      <c r="J382" s="97">
        <f t="shared" si="57"/>
        <v>0</v>
      </c>
      <c r="K382" s="97">
        <f t="shared" si="58"/>
        <v>0</v>
      </c>
      <c r="L382" s="97">
        <f t="shared" si="59"/>
        <v>0</v>
      </c>
      <c r="M382" s="97">
        <f t="shared" si="60"/>
        <v>0</v>
      </c>
      <c r="N382" s="97"/>
      <c r="O382" s="97"/>
      <c r="P382" s="112">
        <f t="shared" si="61"/>
        <v>0</v>
      </c>
      <c r="Q382" s="106">
        <f>BASE!A386</f>
        <v>371</v>
      </c>
      <c r="R382" s="97">
        <f t="shared" si="62"/>
        <v>0</v>
      </c>
      <c r="S382" s="97">
        <f t="shared" si="63"/>
        <v>0</v>
      </c>
      <c r="T382" s="97">
        <f t="shared" si="64"/>
        <v>0</v>
      </c>
      <c r="U382" s="97">
        <f t="shared" si="65"/>
        <v>0</v>
      </c>
      <c r="V382" s="97">
        <f t="shared" si="66"/>
        <v>0</v>
      </c>
      <c r="W382" s="161"/>
      <c r="X382" s="161"/>
    </row>
    <row r="383" spans="1:24" ht="17.25" customHeight="1">
      <c r="A383" s="110" t="str">
        <f>+BASE!B387</f>
        <v>23XXR372</v>
      </c>
      <c r="B383" s="106" t="s">
        <v>40</v>
      </c>
      <c r="C383" s="111">
        <f t="shared" si="51"/>
        <v>0</v>
      </c>
      <c r="D383" s="111">
        <f t="shared" si="52"/>
        <v>0</v>
      </c>
      <c r="E383" s="111">
        <f t="shared" si="53"/>
        <v>0</v>
      </c>
      <c r="F383" s="111">
        <f t="shared" si="54"/>
        <v>0</v>
      </c>
      <c r="G383" s="111">
        <f t="shared" si="55"/>
        <v>0</v>
      </c>
      <c r="H383" s="97"/>
      <c r="I383" s="97">
        <f t="shared" si="56"/>
        <v>0</v>
      </c>
      <c r="J383" s="97">
        <f t="shared" si="57"/>
        <v>0</v>
      </c>
      <c r="K383" s="97">
        <f t="shared" si="58"/>
        <v>0</v>
      </c>
      <c r="L383" s="97">
        <f t="shared" si="59"/>
        <v>0</v>
      </c>
      <c r="M383" s="97">
        <f t="shared" si="60"/>
        <v>0</v>
      </c>
      <c r="N383" s="97"/>
      <c r="O383" s="97"/>
      <c r="P383" s="112">
        <f t="shared" si="61"/>
        <v>0</v>
      </c>
      <c r="Q383" s="106">
        <f>BASE!A387</f>
        <v>372</v>
      </c>
      <c r="R383" s="97">
        <f t="shared" si="62"/>
        <v>0</v>
      </c>
      <c r="S383" s="97">
        <f t="shared" si="63"/>
        <v>0</v>
      </c>
      <c r="T383" s="97">
        <f t="shared" si="64"/>
        <v>0</v>
      </c>
      <c r="U383" s="97">
        <f t="shared" si="65"/>
        <v>0</v>
      </c>
      <c r="V383" s="97">
        <f t="shared" si="66"/>
        <v>0</v>
      </c>
      <c r="W383" s="161"/>
      <c r="X383" s="161"/>
    </row>
    <row r="384" spans="1:24" ht="17.25" customHeight="1">
      <c r="A384" s="110" t="str">
        <f>+BASE!B388</f>
        <v>23XXR373</v>
      </c>
      <c r="B384" s="106" t="s">
        <v>40</v>
      </c>
      <c r="C384" s="111">
        <f t="shared" si="51"/>
        <v>0</v>
      </c>
      <c r="D384" s="111">
        <f t="shared" si="52"/>
        <v>0</v>
      </c>
      <c r="E384" s="111">
        <f t="shared" si="53"/>
        <v>0</v>
      </c>
      <c r="F384" s="111">
        <f t="shared" si="54"/>
        <v>0</v>
      </c>
      <c r="G384" s="111">
        <f t="shared" si="55"/>
        <v>0</v>
      </c>
      <c r="H384" s="97"/>
      <c r="I384" s="97">
        <f t="shared" si="56"/>
        <v>0</v>
      </c>
      <c r="J384" s="97">
        <f t="shared" si="57"/>
        <v>0</v>
      </c>
      <c r="K384" s="97">
        <f t="shared" si="58"/>
        <v>0</v>
      </c>
      <c r="L384" s="97">
        <f t="shared" si="59"/>
        <v>0</v>
      </c>
      <c r="M384" s="97">
        <f t="shared" si="60"/>
        <v>0</v>
      </c>
      <c r="N384" s="97"/>
      <c r="O384" s="97"/>
      <c r="P384" s="112">
        <f t="shared" si="61"/>
        <v>0</v>
      </c>
      <c r="Q384" s="106">
        <f>BASE!A388</f>
        <v>373</v>
      </c>
      <c r="R384" s="97">
        <f t="shared" si="62"/>
        <v>0</v>
      </c>
      <c r="S384" s="97">
        <f t="shared" si="63"/>
        <v>0</v>
      </c>
      <c r="T384" s="97">
        <f t="shared" si="64"/>
        <v>0</v>
      </c>
      <c r="U384" s="97">
        <f t="shared" si="65"/>
        <v>0</v>
      </c>
      <c r="V384" s="97">
        <f t="shared" si="66"/>
        <v>0</v>
      </c>
      <c r="W384" s="161"/>
      <c r="X384" s="161"/>
    </row>
    <row r="385" spans="1:24" ht="17.25" customHeight="1">
      <c r="A385" s="110" t="str">
        <f>+BASE!B389</f>
        <v>23XXR374</v>
      </c>
      <c r="B385" s="106" t="s">
        <v>40</v>
      </c>
      <c r="C385" s="111">
        <f t="shared" si="51"/>
        <v>0</v>
      </c>
      <c r="D385" s="111">
        <f t="shared" si="52"/>
        <v>0</v>
      </c>
      <c r="E385" s="111">
        <f t="shared" si="53"/>
        <v>0</v>
      </c>
      <c r="F385" s="111">
        <f t="shared" si="54"/>
        <v>0</v>
      </c>
      <c r="G385" s="111">
        <f t="shared" si="55"/>
        <v>0</v>
      </c>
      <c r="H385" s="97"/>
      <c r="I385" s="97">
        <f t="shared" si="56"/>
        <v>0</v>
      </c>
      <c r="J385" s="97">
        <f t="shared" si="57"/>
        <v>0</v>
      </c>
      <c r="K385" s="97">
        <f t="shared" si="58"/>
        <v>0</v>
      </c>
      <c r="L385" s="97">
        <f t="shared" si="59"/>
        <v>0</v>
      </c>
      <c r="M385" s="97">
        <f t="shared" si="60"/>
        <v>0</v>
      </c>
      <c r="N385" s="97"/>
      <c r="O385" s="97"/>
      <c r="P385" s="112">
        <f t="shared" si="61"/>
        <v>0</v>
      </c>
      <c r="Q385" s="106">
        <f>BASE!A389</f>
        <v>374</v>
      </c>
      <c r="R385" s="97">
        <f t="shared" si="62"/>
        <v>0</v>
      </c>
      <c r="S385" s="97">
        <f t="shared" si="63"/>
        <v>0</v>
      </c>
      <c r="T385" s="97">
        <f t="shared" si="64"/>
        <v>0</v>
      </c>
      <c r="U385" s="97">
        <f t="shared" si="65"/>
        <v>0</v>
      </c>
      <c r="V385" s="97">
        <f t="shared" si="66"/>
        <v>0</v>
      </c>
      <c r="W385" s="161"/>
      <c r="X385" s="161"/>
    </row>
    <row r="386" spans="1:24" ht="17.25" customHeight="1">
      <c r="A386" s="110" t="str">
        <f>+BASE!B390</f>
        <v>23XXR375</v>
      </c>
      <c r="B386" s="106" t="s">
        <v>40</v>
      </c>
      <c r="C386" s="111">
        <f t="shared" si="51"/>
        <v>0</v>
      </c>
      <c r="D386" s="111">
        <f t="shared" si="52"/>
        <v>0</v>
      </c>
      <c r="E386" s="111">
        <f t="shared" si="53"/>
        <v>0</v>
      </c>
      <c r="F386" s="111">
        <f t="shared" si="54"/>
        <v>0</v>
      </c>
      <c r="G386" s="111">
        <f t="shared" si="55"/>
        <v>0</v>
      </c>
      <c r="H386" s="97"/>
      <c r="I386" s="97">
        <f t="shared" si="56"/>
        <v>0</v>
      </c>
      <c r="J386" s="97">
        <f t="shared" si="57"/>
        <v>0</v>
      </c>
      <c r="K386" s="97">
        <f t="shared" si="58"/>
        <v>0</v>
      </c>
      <c r="L386" s="97">
        <f t="shared" si="59"/>
        <v>0</v>
      </c>
      <c r="M386" s="97">
        <f t="shared" si="60"/>
        <v>0</v>
      </c>
      <c r="N386" s="97"/>
      <c r="O386" s="97"/>
      <c r="P386" s="112">
        <f t="shared" si="61"/>
        <v>0</v>
      </c>
      <c r="Q386" s="106">
        <f>BASE!A390</f>
        <v>375</v>
      </c>
      <c r="R386" s="97">
        <f t="shared" si="62"/>
        <v>0</v>
      </c>
      <c r="S386" s="97">
        <f t="shared" si="63"/>
        <v>0</v>
      </c>
      <c r="T386" s="97">
        <f t="shared" si="64"/>
        <v>0</v>
      </c>
      <c r="U386" s="97">
        <f t="shared" si="65"/>
        <v>0</v>
      </c>
      <c r="V386" s="97">
        <f t="shared" si="66"/>
        <v>0</v>
      </c>
      <c r="W386" s="161"/>
      <c r="X386" s="161"/>
    </row>
    <row r="387" spans="1:24" ht="17.25" customHeight="1">
      <c r="A387" s="110" t="str">
        <f>+BASE!B391</f>
        <v>23XXR376</v>
      </c>
      <c r="B387" s="106" t="s">
        <v>40</v>
      </c>
      <c r="C387" s="111">
        <f t="shared" si="51"/>
        <v>0</v>
      </c>
      <c r="D387" s="111">
        <f t="shared" si="52"/>
        <v>0</v>
      </c>
      <c r="E387" s="111">
        <f t="shared" si="53"/>
        <v>0</v>
      </c>
      <c r="F387" s="111">
        <f t="shared" si="54"/>
        <v>0</v>
      </c>
      <c r="G387" s="111">
        <f t="shared" si="55"/>
        <v>0</v>
      </c>
      <c r="H387" s="97"/>
      <c r="I387" s="97">
        <f t="shared" si="56"/>
        <v>0</v>
      </c>
      <c r="J387" s="97">
        <f t="shared" si="57"/>
        <v>0</v>
      </c>
      <c r="K387" s="97">
        <f t="shared" si="58"/>
        <v>0</v>
      </c>
      <c r="L387" s="97">
        <f t="shared" si="59"/>
        <v>0</v>
      </c>
      <c r="M387" s="97">
        <f t="shared" si="60"/>
        <v>0</v>
      </c>
      <c r="N387" s="97"/>
      <c r="O387" s="97"/>
      <c r="P387" s="112">
        <f t="shared" si="61"/>
        <v>0</v>
      </c>
      <c r="Q387" s="106">
        <f>BASE!A391</f>
        <v>376</v>
      </c>
      <c r="R387" s="97">
        <f t="shared" si="62"/>
        <v>0</v>
      </c>
      <c r="S387" s="97">
        <f t="shared" si="63"/>
        <v>0</v>
      </c>
      <c r="T387" s="97">
        <f t="shared" si="64"/>
        <v>0</v>
      </c>
      <c r="U387" s="97">
        <f t="shared" si="65"/>
        <v>0</v>
      </c>
      <c r="V387" s="97">
        <f t="shared" si="66"/>
        <v>0</v>
      </c>
      <c r="W387" s="161"/>
      <c r="X387" s="161"/>
    </row>
    <row r="388" spans="1:24" ht="17.25" customHeight="1">
      <c r="A388" s="110" t="str">
        <f>+BASE!B392</f>
        <v>23XXR377</v>
      </c>
      <c r="B388" s="106" t="s">
        <v>40</v>
      </c>
      <c r="C388" s="111">
        <f t="shared" si="51"/>
        <v>0</v>
      </c>
      <c r="D388" s="111">
        <f t="shared" si="52"/>
        <v>0</v>
      </c>
      <c r="E388" s="111">
        <f t="shared" si="53"/>
        <v>0</v>
      </c>
      <c r="F388" s="111">
        <f t="shared" si="54"/>
        <v>0</v>
      </c>
      <c r="G388" s="111">
        <f t="shared" si="55"/>
        <v>0</v>
      </c>
      <c r="H388" s="97"/>
      <c r="I388" s="97">
        <f t="shared" si="56"/>
        <v>0</v>
      </c>
      <c r="J388" s="97">
        <f t="shared" si="57"/>
        <v>0</v>
      </c>
      <c r="K388" s="97">
        <f t="shared" si="58"/>
        <v>0</v>
      </c>
      <c r="L388" s="97">
        <f t="shared" si="59"/>
        <v>0</v>
      </c>
      <c r="M388" s="97">
        <f t="shared" si="60"/>
        <v>0</v>
      </c>
      <c r="N388" s="97"/>
      <c r="O388" s="97"/>
      <c r="P388" s="112">
        <f t="shared" si="61"/>
        <v>0</v>
      </c>
      <c r="Q388" s="106">
        <f>BASE!A392</f>
        <v>377</v>
      </c>
      <c r="R388" s="97">
        <f t="shared" si="62"/>
        <v>0</v>
      </c>
      <c r="S388" s="97">
        <f t="shared" si="63"/>
        <v>0</v>
      </c>
      <c r="T388" s="97">
        <f t="shared" si="64"/>
        <v>0</v>
      </c>
      <c r="U388" s="97">
        <f t="shared" si="65"/>
        <v>0</v>
      </c>
      <c r="V388" s="97">
        <f t="shared" si="66"/>
        <v>0</v>
      </c>
      <c r="W388" s="161"/>
      <c r="X388" s="161"/>
    </row>
    <row r="389" spans="1:24" ht="17.25" customHeight="1">
      <c r="A389" s="110" t="str">
        <f>+BASE!B393</f>
        <v>23XXR378</v>
      </c>
      <c r="B389" s="106" t="s">
        <v>40</v>
      </c>
      <c r="C389" s="111">
        <f t="shared" si="51"/>
        <v>0</v>
      </c>
      <c r="D389" s="111">
        <f t="shared" si="52"/>
        <v>0</v>
      </c>
      <c r="E389" s="111">
        <f t="shared" si="53"/>
        <v>0</v>
      </c>
      <c r="F389" s="111">
        <f t="shared" si="54"/>
        <v>0</v>
      </c>
      <c r="G389" s="111">
        <f t="shared" si="55"/>
        <v>0</v>
      </c>
      <c r="H389" s="97"/>
      <c r="I389" s="97">
        <f t="shared" si="56"/>
        <v>0</v>
      </c>
      <c r="J389" s="97">
        <f t="shared" si="57"/>
        <v>0</v>
      </c>
      <c r="K389" s="97">
        <f t="shared" si="58"/>
        <v>0</v>
      </c>
      <c r="L389" s="97">
        <f t="shared" si="59"/>
        <v>0</v>
      </c>
      <c r="M389" s="97">
        <f t="shared" si="60"/>
        <v>0</v>
      </c>
      <c r="N389" s="97"/>
      <c r="O389" s="97"/>
      <c r="P389" s="112">
        <f t="shared" si="61"/>
        <v>0</v>
      </c>
      <c r="Q389" s="106">
        <f>BASE!A393</f>
        <v>378</v>
      </c>
      <c r="R389" s="97">
        <f t="shared" si="62"/>
        <v>0</v>
      </c>
      <c r="S389" s="97">
        <f t="shared" si="63"/>
        <v>0</v>
      </c>
      <c r="T389" s="97">
        <f t="shared" si="64"/>
        <v>0</v>
      </c>
      <c r="U389" s="97">
        <f t="shared" si="65"/>
        <v>0</v>
      </c>
      <c r="V389" s="97">
        <f t="shared" si="66"/>
        <v>0</v>
      </c>
      <c r="W389" s="161"/>
      <c r="X389" s="161"/>
    </row>
    <row r="390" spans="1:24" ht="17.25" customHeight="1">
      <c r="A390" s="110" t="str">
        <f>+BASE!B394</f>
        <v>23XXR379</v>
      </c>
      <c r="B390" s="106" t="s">
        <v>40</v>
      </c>
      <c r="C390" s="111">
        <f t="shared" si="51"/>
        <v>0</v>
      </c>
      <c r="D390" s="111">
        <f t="shared" si="52"/>
        <v>0</v>
      </c>
      <c r="E390" s="111">
        <f t="shared" si="53"/>
        <v>0</v>
      </c>
      <c r="F390" s="111">
        <f t="shared" si="54"/>
        <v>0</v>
      </c>
      <c r="G390" s="111">
        <f t="shared" si="55"/>
        <v>0</v>
      </c>
      <c r="H390" s="97"/>
      <c r="I390" s="97">
        <f t="shared" si="56"/>
        <v>0</v>
      </c>
      <c r="J390" s="97">
        <f t="shared" si="57"/>
        <v>0</v>
      </c>
      <c r="K390" s="97">
        <f t="shared" si="58"/>
        <v>0</v>
      </c>
      <c r="L390" s="97">
        <f t="shared" si="59"/>
        <v>0</v>
      </c>
      <c r="M390" s="97">
        <f t="shared" si="60"/>
        <v>0</v>
      </c>
      <c r="N390" s="97"/>
      <c r="O390" s="97"/>
      <c r="P390" s="112">
        <f t="shared" si="61"/>
        <v>0</v>
      </c>
      <c r="Q390" s="106">
        <f>BASE!A394</f>
        <v>379</v>
      </c>
      <c r="R390" s="97">
        <f t="shared" si="62"/>
        <v>0</v>
      </c>
      <c r="S390" s="97">
        <f t="shared" si="63"/>
        <v>0</v>
      </c>
      <c r="T390" s="97">
        <f t="shared" si="64"/>
        <v>0</v>
      </c>
      <c r="U390" s="97">
        <f t="shared" si="65"/>
        <v>0</v>
      </c>
      <c r="V390" s="97">
        <f t="shared" si="66"/>
        <v>0</v>
      </c>
      <c r="W390" s="161"/>
      <c r="X390" s="161"/>
    </row>
    <row r="391" spans="1:24" ht="17.25" customHeight="1">
      <c r="A391" s="110" t="str">
        <f>+BASE!B395</f>
        <v>23XXR380</v>
      </c>
      <c r="B391" s="106" t="s">
        <v>40</v>
      </c>
      <c r="C391" s="111">
        <f t="shared" si="51"/>
        <v>0</v>
      </c>
      <c r="D391" s="111">
        <f t="shared" si="52"/>
        <v>0</v>
      </c>
      <c r="E391" s="111">
        <f t="shared" si="53"/>
        <v>0</v>
      </c>
      <c r="F391" s="111">
        <f t="shared" si="54"/>
        <v>0</v>
      </c>
      <c r="G391" s="111">
        <f t="shared" si="55"/>
        <v>0</v>
      </c>
      <c r="H391" s="97"/>
      <c r="I391" s="97">
        <f t="shared" si="56"/>
        <v>0</v>
      </c>
      <c r="J391" s="97">
        <f t="shared" si="57"/>
        <v>0</v>
      </c>
      <c r="K391" s="97">
        <f t="shared" si="58"/>
        <v>0</v>
      </c>
      <c r="L391" s="97">
        <f t="shared" si="59"/>
        <v>0</v>
      </c>
      <c r="M391" s="97">
        <f t="shared" si="60"/>
        <v>0</v>
      </c>
      <c r="N391" s="97"/>
      <c r="O391" s="97"/>
      <c r="P391" s="112">
        <f t="shared" si="61"/>
        <v>0</v>
      </c>
      <c r="Q391" s="106">
        <f>BASE!A395</f>
        <v>380</v>
      </c>
      <c r="R391" s="97">
        <f t="shared" si="62"/>
        <v>0</v>
      </c>
      <c r="S391" s="97">
        <f t="shared" si="63"/>
        <v>0</v>
      </c>
      <c r="T391" s="97">
        <f t="shared" si="64"/>
        <v>0</v>
      </c>
      <c r="U391" s="97">
        <f t="shared" si="65"/>
        <v>0</v>
      </c>
      <c r="V391" s="97">
        <f t="shared" si="66"/>
        <v>0</v>
      </c>
      <c r="W391" s="161"/>
      <c r="X391" s="161"/>
    </row>
    <row r="392" spans="1:24" ht="17.25" customHeight="1">
      <c r="A392" s="110" t="str">
        <f>+BASE!B396</f>
        <v>23XXR381</v>
      </c>
      <c r="B392" s="106" t="s">
        <v>40</v>
      </c>
      <c r="C392" s="111">
        <f t="shared" si="51"/>
        <v>0</v>
      </c>
      <c r="D392" s="111">
        <f t="shared" si="52"/>
        <v>0</v>
      </c>
      <c r="E392" s="111">
        <f t="shared" si="53"/>
        <v>0</v>
      </c>
      <c r="F392" s="111">
        <f t="shared" si="54"/>
        <v>0</v>
      </c>
      <c r="G392" s="111">
        <f t="shared" si="55"/>
        <v>0</v>
      </c>
      <c r="H392" s="97"/>
      <c r="I392" s="97">
        <f t="shared" si="56"/>
        <v>0</v>
      </c>
      <c r="J392" s="97">
        <f t="shared" si="57"/>
        <v>0</v>
      </c>
      <c r="K392" s="97">
        <f t="shared" si="58"/>
        <v>0</v>
      </c>
      <c r="L392" s="97">
        <f t="shared" si="59"/>
        <v>0</v>
      </c>
      <c r="M392" s="97">
        <f t="shared" si="60"/>
        <v>0</v>
      </c>
      <c r="N392" s="97"/>
      <c r="O392" s="97"/>
      <c r="P392" s="112">
        <f t="shared" si="61"/>
        <v>0</v>
      </c>
      <c r="Q392" s="106">
        <f>BASE!A396</f>
        <v>381</v>
      </c>
      <c r="R392" s="97">
        <f t="shared" si="62"/>
        <v>0</v>
      </c>
      <c r="S392" s="97">
        <f t="shared" si="63"/>
        <v>0</v>
      </c>
      <c r="T392" s="97">
        <f t="shared" si="64"/>
        <v>0</v>
      </c>
      <c r="U392" s="97">
        <f t="shared" si="65"/>
        <v>0</v>
      </c>
      <c r="V392" s="97">
        <f t="shared" si="66"/>
        <v>0</v>
      </c>
      <c r="W392" s="161"/>
      <c r="X392" s="161"/>
    </row>
    <row r="393" spans="1:24" ht="17.25" customHeight="1">
      <c r="A393" s="110" t="str">
        <f>+BASE!B397</f>
        <v>23XXR382</v>
      </c>
      <c r="B393" s="106" t="s">
        <v>40</v>
      </c>
      <c r="C393" s="111">
        <f t="shared" si="51"/>
        <v>0</v>
      </c>
      <c r="D393" s="111">
        <f t="shared" si="52"/>
        <v>0</v>
      </c>
      <c r="E393" s="111">
        <f t="shared" si="53"/>
        <v>0</v>
      </c>
      <c r="F393" s="111">
        <f t="shared" si="54"/>
        <v>0</v>
      </c>
      <c r="G393" s="111">
        <f t="shared" si="55"/>
        <v>0</v>
      </c>
      <c r="H393" s="97"/>
      <c r="I393" s="97">
        <f t="shared" si="56"/>
        <v>0</v>
      </c>
      <c r="J393" s="97">
        <f t="shared" si="57"/>
        <v>0</v>
      </c>
      <c r="K393" s="97">
        <f t="shared" si="58"/>
        <v>0</v>
      </c>
      <c r="L393" s="97">
        <f t="shared" si="59"/>
        <v>0</v>
      </c>
      <c r="M393" s="97">
        <f t="shared" si="60"/>
        <v>0</v>
      </c>
      <c r="N393" s="97"/>
      <c r="O393" s="97"/>
      <c r="P393" s="112">
        <f t="shared" si="61"/>
        <v>0</v>
      </c>
      <c r="Q393" s="106">
        <f>BASE!A397</f>
        <v>382</v>
      </c>
      <c r="R393" s="97">
        <f t="shared" si="62"/>
        <v>0</v>
      </c>
      <c r="S393" s="97">
        <f t="shared" si="63"/>
        <v>0</v>
      </c>
      <c r="T393" s="97">
        <f t="shared" si="64"/>
        <v>0</v>
      </c>
      <c r="U393" s="97">
        <f t="shared" si="65"/>
        <v>0</v>
      </c>
      <c r="V393" s="97">
        <f t="shared" si="66"/>
        <v>0</v>
      </c>
      <c r="W393" s="161"/>
      <c r="X393" s="161"/>
    </row>
    <row r="394" spans="1:24" ht="17.25" customHeight="1">
      <c r="A394" s="110" t="str">
        <f>+BASE!B398</f>
        <v>23XXR383</v>
      </c>
      <c r="B394" s="106" t="s">
        <v>40</v>
      </c>
      <c r="C394" s="111">
        <f t="shared" si="51"/>
        <v>0</v>
      </c>
      <c r="D394" s="111">
        <f t="shared" si="52"/>
        <v>0</v>
      </c>
      <c r="E394" s="111">
        <f t="shared" si="53"/>
        <v>0</v>
      </c>
      <c r="F394" s="111">
        <f t="shared" si="54"/>
        <v>0</v>
      </c>
      <c r="G394" s="111">
        <f t="shared" si="55"/>
        <v>0</v>
      </c>
      <c r="H394" s="97"/>
      <c r="I394" s="97">
        <f t="shared" si="56"/>
        <v>0</v>
      </c>
      <c r="J394" s="97">
        <f t="shared" si="57"/>
        <v>0</v>
      </c>
      <c r="K394" s="97">
        <f t="shared" si="58"/>
        <v>0</v>
      </c>
      <c r="L394" s="97">
        <f t="shared" si="59"/>
        <v>0</v>
      </c>
      <c r="M394" s="97">
        <f t="shared" si="60"/>
        <v>0</v>
      </c>
      <c r="N394" s="97"/>
      <c r="O394" s="97"/>
      <c r="P394" s="112">
        <f t="shared" si="61"/>
        <v>0</v>
      </c>
      <c r="Q394" s="106">
        <f>BASE!A398</f>
        <v>383</v>
      </c>
      <c r="R394" s="97">
        <f t="shared" si="62"/>
        <v>0</v>
      </c>
      <c r="S394" s="97">
        <f t="shared" si="63"/>
        <v>0</v>
      </c>
      <c r="T394" s="97">
        <f t="shared" si="64"/>
        <v>0</v>
      </c>
      <c r="U394" s="97">
        <f t="shared" si="65"/>
        <v>0</v>
      </c>
      <c r="V394" s="97">
        <f t="shared" si="66"/>
        <v>0</v>
      </c>
      <c r="W394" s="161"/>
      <c r="X394" s="161"/>
    </row>
    <row r="395" spans="1:24" ht="17.25" customHeight="1">
      <c r="A395" s="110" t="str">
        <f>+BASE!B399</f>
        <v>23XXR384</v>
      </c>
      <c r="B395" s="106" t="s">
        <v>40</v>
      </c>
      <c r="C395" s="111">
        <f t="shared" si="51"/>
        <v>0</v>
      </c>
      <c r="D395" s="111">
        <f t="shared" si="52"/>
        <v>0</v>
      </c>
      <c r="E395" s="111">
        <f t="shared" si="53"/>
        <v>0</v>
      </c>
      <c r="F395" s="111">
        <f t="shared" si="54"/>
        <v>0</v>
      </c>
      <c r="G395" s="111">
        <f t="shared" si="55"/>
        <v>0</v>
      </c>
      <c r="H395" s="97"/>
      <c r="I395" s="97">
        <f t="shared" si="56"/>
        <v>0</v>
      </c>
      <c r="J395" s="97">
        <f t="shared" si="57"/>
        <v>0</v>
      </c>
      <c r="K395" s="97">
        <f t="shared" si="58"/>
        <v>0</v>
      </c>
      <c r="L395" s="97">
        <f t="shared" si="59"/>
        <v>0</v>
      </c>
      <c r="M395" s="97">
        <f t="shared" si="60"/>
        <v>0</v>
      </c>
      <c r="N395" s="97"/>
      <c r="O395" s="97"/>
      <c r="P395" s="112">
        <f t="shared" si="61"/>
        <v>0</v>
      </c>
      <c r="Q395" s="106">
        <f>BASE!A399</f>
        <v>384</v>
      </c>
      <c r="R395" s="97">
        <f t="shared" si="62"/>
        <v>0</v>
      </c>
      <c r="S395" s="97">
        <f t="shared" si="63"/>
        <v>0</v>
      </c>
      <c r="T395" s="97">
        <f t="shared" si="64"/>
        <v>0</v>
      </c>
      <c r="U395" s="97">
        <f t="shared" si="65"/>
        <v>0</v>
      </c>
      <c r="V395" s="97">
        <f t="shared" si="66"/>
        <v>0</v>
      </c>
      <c r="W395" s="161"/>
      <c r="X395" s="161"/>
    </row>
    <row r="396" spans="1:24" ht="17.25" customHeight="1">
      <c r="A396" s="110" t="str">
        <f>+BASE!B400</f>
        <v>23XXR385</v>
      </c>
      <c r="B396" s="106" t="s">
        <v>40</v>
      </c>
      <c r="C396" s="111">
        <f t="shared" si="51"/>
        <v>0</v>
      </c>
      <c r="D396" s="111">
        <f t="shared" si="52"/>
        <v>0</v>
      </c>
      <c r="E396" s="111">
        <f t="shared" si="53"/>
        <v>0</v>
      </c>
      <c r="F396" s="111">
        <f t="shared" si="54"/>
        <v>0</v>
      </c>
      <c r="G396" s="111">
        <f t="shared" si="55"/>
        <v>0</v>
      </c>
      <c r="H396" s="97"/>
      <c r="I396" s="97">
        <f t="shared" si="56"/>
        <v>0</v>
      </c>
      <c r="J396" s="97">
        <f t="shared" si="57"/>
        <v>0</v>
      </c>
      <c r="K396" s="97">
        <f t="shared" si="58"/>
        <v>0</v>
      </c>
      <c r="L396" s="97">
        <f t="shared" si="59"/>
        <v>0</v>
      </c>
      <c r="M396" s="97">
        <f t="shared" si="60"/>
        <v>0</v>
      </c>
      <c r="N396" s="97"/>
      <c r="O396" s="97"/>
      <c r="P396" s="112">
        <f t="shared" si="61"/>
        <v>0</v>
      </c>
      <c r="Q396" s="106">
        <f>BASE!A400</f>
        <v>385</v>
      </c>
      <c r="R396" s="97">
        <f t="shared" si="62"/>
        <v>0</v>
      </c>
      <c r="S396" s="97">
        <f t="shared" si="63"/>
        <v>0</v>
      </c>
      <c r="T396" s="97">
        <f t="shared" si="64"/>
        <v>0</v>
      </c>
      <c r="U396" s="97">
        <f t="shared" si="65"/>
        <v>0</v>
      </c>
      <c r="V396" s="97">
        <f t="shared" si="66"/>
        <v>0</v>
      </c>
      <c r="W396" s="161"/>
      <c r="X396" s="161"/>
    </row>
    <row r="397" spans="1:24" ht="17.25" customHeight="1">
      <c r="A397" s="110" t="str">
        <f>+BASE!B401</f>
        <v>23XXR386</v>
      </c>
      <c r="B397" s="106" t="s">
        <v>40</v>
      </c>
      <c r="C397" s="111">
        <f t="shared" si="51"/>
        <v>0</v>
      </c>
      <c r="D397" s="111">
        <f t="shared" si="52"/>
        <v>0</v>
      </c>
      <c r="E397" s="111">
        <f t="shared" si="53"/>
        <v>0</v>
      </c>
      <c r="F397" s="111">
        <f t="shared" si="54"/>
        <v>0</v>
      </c>
      <c r="G397" s="111">
        <f t="shared" si="55"/>
        <v>0</v>
      </c>
      <c r="H397" s="97"/>
      <c r="I397" s="97">
        <f t="shared" si="56"/>
        <v>0</v>
      </c>
      <c r="J397" s="97">
        <f t="shared" si="57"/>
        <v>0</v>
      </c>
      <c r="K397" s="97">
        <f t="shared" si="58"/>
        <v>0</v>
      </c>
      <c r="L397" s="97">
        <f t="shared" si="59"/>
        <v>0</v>
      </c>
      <c r="M397" s="97">
        <f t="shared" si="60"/>
        <v>0</v>
      </c>
      <c r="N397" s="97"/>
      <c r="O397" s="97"/>
      <c r="P397" s="112">
        <f t="shared" si="61"/>
        <v>0</v>
      </c>
      <c r="Q397" s="106">
        <f>BASE!A401</f>
        <v>386</v>
      </c>
      <c r="R397" s="97">
        <f t="shared" si="62"/>
        <v>0</v>
      </c>
      <c r="S397" s="97">
        <f t="shared" si="63"/>
        <v>0</v>
      </c>
      <c r="T397" s="97">
        <f t="shared" si="64"/>
        <v>0</v>
      </c>
      <c r="U397" s="97">
        <f t="shared" si="65"/>
        <v>0</v>
      </c>
      <c r="V397" s="97">
        <f t="shared" si="66"/>
        <v>0</v>
      </c>
      <c r="W397" s="161"/>
      <c r="X397" s="161"/>
    </row>
    <row r="398" spans="1:24" ht="17.25" customHeight="1">
      <c r="A398" s="110" t="str">
        <f>+BASE!B402</f>
        <v>23XXR387</v>
      </c>
      <c r="B398" s="106" t="s">
        <v>40</v>
      </c>
      <c r="C398" s="111">
        <f t="shared" si="51"/>
        <v>0</v>
      </c>
      <c r="D398" s="111">
        <f t="shared" si="52"/>
        <v>0</v>
      </c>
      <c r="E398" s="111">
        <f t="shared" si="53"/>
        <v>0</v>
      </c>
      <c r="F398" s="111">
        <f t="shared" si="54"/>
        <v>0</v>
      </c>
      <c r="G398" s="111">
        <f t="shared" si="55"/>
        <v>0</v>
      </c>
      <c r="H398" s="97"/>
      <c r="I398" s="97">
        <f t="shared" si="56"/>
        <v>0</v>
      </c>
      <c r="J398" s="97">
        <f t="shared" si="57"/>
        <v>0</v>
      </c>
      <c r="K398" s="97">
        <f t="shared" si="58"/>
        <v>0</v>
      </c>
      <c r="L398" s="97">
        <f t="shared" si="59"/>
        <v>0</v>
      </c>
      <c r="M398" s="97">
        <f t="shared" si="60"/>
        <v>0</v>
      </c>
      <c r="N398" s="97"/>
      <c r="O398" s="97"/>
      <c r="P398" s="112">
        <f t="shared" si="61"/>
        <v>0</v>
      </c>
      <c r="Q398" s="106">
        <f>BASE!A402</f>
        <v>387</v>
      </c>
      <c r="R398" s="97">
        <f t="shared" si="62"/>
        <v>0</v>
      </c>
      <c r="S398" s="97">
        <f t="shared" si="63"/>
        <v>0</v>
      </c>
      <c r="T398" s="97">
        <f t="shared" si="64"/>
        <v>0</v>
      </c>
      <c r="U398" s="97">
        <f t="shared" si="65"/>
        <v>0</v>
      </c>
      <c r="V398" s="97">
        <f t="shared" si="66"/>
        <v>0</v>
      </c>
      <c r="W398" s="161"/>
      <c r="X398" s="161"/>
    </row>
    <row r="399" spans="1:24" ht="17.25" customHeight="1">
      <c r="A399" s="110" t="str">
        <f>+BASE!B403</f>
        <v>23XXR388</v>
      </c>
      <c r="B399" s="106" t="s">
        <v>40</v>
      </c>
      <c r="C399" s="111">
        <f t="shared" si="51"/>
        <v>0</v>
      </c>
      <c r="D399" s="111">
        <f t="shared" si="52"/>
        <v>0</v>
      </c>
      <c r="E399" s="111">
        <f t="shared" si="53"/>
        <v>0</v>
      </c>
      <c r="F399" s="111">
        <f t="shared" si="54"/>
        <v>0</v>
      </c>
      <c r="G399" s="111">
        <f t="shared" si="55"/>
        <v>0</v>
      </c>
      <c r="H399" s="97"/>
      <c r="I399" s="97">
        <f t="shared" si="56"/>
        <v>0</v>
      </c>
      <c r="J399" s="97">
        <f t="shared" si="57"/>
        <v>0</v>
      </c>
      <c r="K399" s="97">
        <f t="shared" si="58"/>
        <v>0</v>
      </c>
      <c r="L399" s="97">
        <f t="shared" si="59"/>
        <v>0</v>
      </c>
      <c r="M399" s="97">
        <f t="shared" si="60"/>
        <v>0</v>
      </c>
      <c r="N399" s="97"/>
      <c r="O399" s="97"/>
      <c r="P399" s="112">
        <f t="shared" si="61"/>
        <v>0</v>
      </c>
      <c r="Q399" s="106">
        <f>BASE!A403</f>
        <v>388</v>
      </c>
      <c r="R399" s="97">
        <f t="shared" si="62"/>
        <v>0</v>
      </c>
      <c r="S399" s="97">
        <f t="shared" si="63"/>
        <v>0</v>
      </c>
      <c r="T399" s="97">
        <f t="shared" si="64"/>
        <v>0</v>
      </c>
      <c r="U399" s="97">
        <f t="shared" si="65"/>
        <v>0</v>
      </c>
      <c r="V399" s="97">
        <f t="shared" si="66"/>
        <v>0</v>
      </c>
      <c r="W399" s="161"/>
      <c r="X399" s="161"/>
    </row>
    <row r="400" spans="1:24" ht="17.25" customHeight="1">
      <c r="A400" s="110" t="str">
        <f>+BASE!B404</f>
        <v>23XXR389</v>
      </c>
      <c r="B400" s="106" t="s">
        <v>40</v>
      </c>
      <c r="C400" s="111">
        <f t="shared" si="51"/>
        <v>0</v>
      </c>
      <c r="D400" s="111">
        <f t="shared" si="52"/>
        <v>0</v>
      </c>
      <c r="E400" s="111">
        <f t="shared" si="53"/>
        <v>0</v>
      </c>
      <c r="F400" s="111">
        <f t="shared" si="54"/>
        <v>0</v>
      </c>
      <c r="G400" s="111">
        <f t="shared" si="55"/>
        <v>0</v>
      </c>
      <c r="H400" s="97"/>
      <c r="I400" s="97">
        <f t="shared" si="56"/>
        <v>0</v>
      </c>
      <c r="J400" s="97">
        <f t="shared" si="57"/>
        <v>0</v>
      </c>
      <c r="K400" s="97">
        <f t="shared" si="58"/>
        <v>0</v>
      </c>
      <c r="L400" s="97">
        <f t="shared" si="59"/>
        <v>0</v>
      </c>
      <c r="M400" s="97">
        <f t="shared" si="60"/>
        <v>0</v>
      </c>
      <c r="N400" s="97"/>
      <c r="O400" s="97"/>
      <c r="P400" s="112">
        <f t="shared" si="61"/>
        <v>0</v>
      </c>
      <c r="Q400" s="106">
        <f>BASE!A404</f>
        <v>389</v>
      </c>
      <c r="R400" s="97">
        <f t="shared" si="62"/>
        <v>0</v>
      </c>
      <c r="S400" s="97">
        <f t="shared" si="63"/>
        <v>0</v>
      </c>
      <c r="T400" s="97">
        <f t="shared" si="64"/>
        <v>0</v>
      </c>
      <c r="U400" s="97">
        <f t="shared" si="65"/>
        <v>0</v>
      </c>
      <c r="V400" s="97">
        <f t="shared" si="66"/>
        <v>0</v>
      </c>
      <c r="W400" s="161"/>
      <c r="X400" s="161"/>
    </row>
    <row r="401" spans="1:24" ht="17.25" customHeight="1">
      <c r="A401" s="110" t="str">
        <f>+BASE!B405</f>
        <v>23XXR390</v>
      </c>
      <c r="B401" s="106" t="s">
        <v>40</v>
      </c>
      <c r="C401" s="111">
        <f t="shared" si="51"/>
        <v>0</v>
      </c>
      <c r="D401" s="111">
        <f t="shared" si="52"/>
        <v>0</v>
      </c>
      <c r="E401" s="111">
        <f t="shared" si="53"/>
        <v>0</v>
      </c>
      <c r="F401" s="111">
        <f t="shared" si="54"/>
        <v>0</v>
      </c>
      <c r="G401" s="111">
        <f t="shared" si="55"/>
        <v>0</v>
      </c>
      <c r="H401" s="97"/>
      <c r="I401" s="97">
        <f t="shared" si="56"/>
        <v>0</v>
      </c>
      <c r="J401" s="97">
        <f t="shared" si="57"/>
        <v>0</v>
      </c>
      <c r="K401" s="97">
        <f t="shared" si="58"/>
        <v>0</v>
      </c>
      <c r="L401" s="97">
        <f t="shared" si="59"/>
        <v>0</v>
      </c>
      <c r="M401" s="97">
        <f t="shared" si="60"/>
        <v>0</v>
      </c>
      <c r="N401" s="97"/>
      <c r="O401" s="97"/>
      <c r="P401" s="112">
        <f t="shared" si="61"/>
        <v>0</v>
      </c>
      <c r="Q401" s="106">
        <f>BASE!A405</f>
        <v>390</v>
      </c>
      <c r="R401" s="97">
        <f t="shared" si="62"/>
        <v>0</v>
      </c>
      <c r="S401" s="97">
        <f t="shared" si="63"/>
        <v>0</v>
      </c>
      <c r="T401" s="97">
        <f t="shared" si="64"/>
        <v>0</v>
      </c>
      <c r="U401" s="97">
        <f t="shared" si="65"/>
        <v>0</v>
      </c>
      <c r="V401" s="97">
        <f t="shared" si="66"/>
        <v>0</v>
      </c>
      <c r="W401" s="161"/>
      <c r="X401" s="161"/>
    </row>
    <row r="402" spans="1:24" ht="17.25" customHeight="1">
      <c r="A402" s="110" t="str">
        <f>+BASE!B406</f>
        <v>23XXR391</v>
      </c>
      <c r="B402" s="106" t="s">
        <v>40</v>
      </c>
      <c r="C402" s="111">
        <f t="shared" si="51"/>
        <v>0</v>
      </c>
      <c r="D402" s="111">
        <f t="shared" si="52"/>
        <v>0</v>
      </c>
      <c r="E402" s="111">
        <f t="shared" si="53"/>
        <v>0</v>
      </c>
      <c r="F402" s="111">
        <f t="shared" si="54"/>
        <v>0</v>
      </c>
      <c r="G402" s="111">
        <f t="shared" si="55"/>
        <v>0</v>
      </c>
      <c r="H402" s="97"/>
      <c r="I402" s="97">
        <f t="shared" si="56"/>
        <v>0</v>
      </c>
      <c r="J402" s="97">
        <f t="shared" si="57"/>
        <v>0</v>
      </c>
      <c r="K402" s="97">
        <f t="shared" si="58"/>
        <v>0</v>
      </c>
      <c r="L402" s="97">
        <f t="shared" si="59"/>
        <v>0</v>
      </c>
      <c r="M402" s="97">
        <f t="shared" si="60"/>
        <v>0</v>
      </c>
      <c r="N402" s="97"/>
      <c r="O402" s="97"/>
      <c r="P402" s="112">
        <f t="shared" si="61"/>
        <v>0</v>
      </c>
      <c r="Q402" s="106">
        <f>BASE!A406</f>
        <v>391</v>
      </c>
      <c r="R402" s="97">
        <f t="shared" si="62"/>
        <v>0</v>
      </c>
      <c r="S402" s="97">
        <f t="shared" si="63"/>
        <v>0</v>
      </c>
      <c r="T402" s="97">
        <f t="shared" si="64"/>
        <v>0</v>
      </c>
      <c r="U402" s="97">
        <f t="shared" si="65"/>
        <v>0</v>
      </c>
      <c r="V402" s="97">
        <f t="shared" si="66"/>
        <v>0</v>
      </c>
      <c r="W402" s="161"/>
      <c r="X402" s="161"/>
    </row>
    <row r="403" spans="1:24" ht="17.25" customHeight="1">
      <c r="A403" s="110" t="str">
        <f>+BASE!B407</f>
        <v>23XXR392</v>
      </c>
      <c r="B403" s="106" t="s">
        <v>40</v>
      </c>
      <c r="C403" s="111">
        <f t="shared" si="51"/>
        <v>0</v>
      </c>
      <c r="D403" s="111">
        <f t="shared" si="52"/>
        <v>0</v>
      </c>
      <c r="E403" s="111">
        <f t="shared" si="53"/>
        <v>0</v>
      </c>
      <c r="F403" s="111">
        <f t="shared" si="54"/>
        <v>0</v>
      </c>
      <c r="G403" s="111">
        <f t="shared" si="55"/>
        <v>0</v>
      </c>
      <c r="H403" s="97"/>
      <c r="I403" s="97">
        <f t="shared" si="56"/>
        <v>0</v>
      </c>
      <c r="J403" s="97">
        <f t="shared" si="57"/>
        <v>0</v>
      </c>
      <c r="K403" s="97">
        <f t="shared" si="58"/>
        <v>0</v>
      </c>
      <c r="L403" s="97">
        <f t="shared" si="59"/>
        <v>0</v>
      </c>
      <c r="M403" s="97">
        <f t="shared" si="60"/>
        <v>0</v>
      </c>
      <c r="N403" s="97"/>
      <c r="O403" s="97"/>
      <c r="P403" s="112">
        <f t="shared" si="61"/>
        <v>0</v>
      </c>
      <c r="Q403" s="106">
        <f>BASE!A407</f>
        <v>392</v>
      </c>
      <c r="R403" s="97">
        <f t="shared" si="62"/>
        <v>0</v>
      </c>
      <c r="S403" s="97">
        <f t="shared" si="63"/>
        <v>0</v>
      </c>
      <c r="T403" s="97">
        <f t="shared" si="64"/>
        <v>0</v>
      </c>
      <c r="U403" s="97">
        <f t="shared" si="65"/>
        <v>0</v>
      </c>
      <c r="V403" s="97">
        <f t="shared" si="66"/>
        <v>0</v>
      </c>
      <c r="W403" s="161"/>
      <c r="X403" s="161"/>
    </row>
    <row r="404" spans="1:24" ht="17.25" customHeight="1">
      <c r="A404" s="110" t="str">
        <f>+BASE!B408</f>
        <v>23XXR393</v>
      </c>
      <c r="B404" s="106" t="s">
        <v>40</v>
      </c>
      <c r="C404" s="111">
        <f t="shared" si="51"/>
        <v>0</v>
      </c>
      <c r="D404" s="111">
        <f t="shared" si="52"/>
        <v>0</v>
      </c>
      <c r="E404" s="111">
        <f t="shared" si="53"/>
        <v>0</v>
      </c>
      <c r="F404" s="111">
        <f t="shared" si="54"/>
        <v>0</v>
      </c>
      <c r="G404" s="111">
        <f t="shared" si="55"/>
        <v>0</v>
      </c>
      <c r="H404" s="97"/>
      <c r="I404" s="97">
        <f t="shared" si="56"/>
        <v>0</v>
      </c>
      <c r="J404" s="97">
        <f t="shared" si="57"/>
        <v>0</v>
      </c>
      <c r="K404" s="97">
        <f t="shared" si="58"/>
        <v>0</v>
      </c>
      <c r="L404" s="97">
        <f t="shared" si="59"/>
        <v>0</v>
      </c>
      <c r="M404" s="97">
        <f t="shared" si="60"/>
        <v>0</v>
      </c>
      <c r="N404" s="97"/>
      <c r="O404" s="97"/>
      <c r="P404" s="112">
        <f t="shared" si="61"/>
        <v>0</v>
      </c>
      <c r="Q404" s="106">
        <f>BASE!A408</f>
        <v>393</v>
      </c>
      <c r="R404" s="97">
        <f t="shared" si="62"/>
        <v>0</v>
      </c>
      <c r="S404" s="97">
        <f t="shared" si="63"/>
        <v>0</v>
      </c>
      <c r="T404" s="97">
        <f t="shared" si="64"/>
        <v>0</v>
      </c>
      <c r="U404" s="97">
        <f t="shared" si="65"/>
        <v>0</v>
      </c>
      <c r="V404" s="97">
        <f t="shared" si="66"/>
        <v>0</v>
      </c>
      <c r="W404" s="161"/>
      <c r="X404" s="161"/>
    </row>
    <row r="405" spans="1:24" ht="17.25" customHeight="1">
      <c r="A405" s="110" t="str">
        <f>+BASE!B409</f>
        <v>23XXR394</v>
      </c>
      <c r="B405" s="106" t="s">
        <v>40</v>
      </c>
      <c r="C405" s="111">
        <f t="shared" si="51"/>
        <v>0</v>
      </c>
      <c r="D405" s="111">
        <f t="shared" si="52"/>
        <v>0</v>
      </c>
      <c r="E405" s="111">
        <f t="shared" si="53"/>
        <v>0</v>
      </c>
      <c r="F405" s="111">
        <f t="shared" si="54"/>
        <v>0</v>
      </c>
      <c r="G405" s="111">
        <f t="shared" si="55"/>
        <v>0</v>
      </c>
      <c r="H405" s="97"/>
      <c r="I405" s="97">
        <f t="shared" si="56"/>
        <v>0</v>
      </c>
      <c r="J405" s="97">
        <f t="shared" si="57"/>
        <v>0</v>
      </c>
      <c r="K405" s="97">
        <f t="shared" si="58"/>
        <v>0</v>
      </c>
      <c r="L405" s="97">
        <f t="shared" si="59"/>
        <v>0</v>
      </c>
      <c r="M405" s="97">
        <f t="shared" si="60"/>
        <v>0</v>
      </c>
      <c r="N405" s="97"/>
      <c r="O405" s="97"/>
      <c r="P405" s="112">
        <f t="shared" si="61"/>
        <v>0</v>
      </c>
      <c r="Q405" s="106">
        <f>BASE!A409</f>
        <v>394</v>
      </c>
      <c r="R405" s="97">
        <f t="shared" si="62"/>
        <v>0</v>
      </c>
      <c r="S405" s="97">
        <f t="shared" si="63"/>
        <v>0</v>
      </c>
      <c r="T405" s="97">
        <f t="shared" si="64"/>
        <v>0</v>
      </c>
      <c r="U405" s="97">
        <f t="shared" si="65"/>
        <v>0</v>
      </c>
      <c r="V405" s="97">
        <f t="shared" si="66"/>
        <v>0</v>
      </c>
      <c r="W405" s="161"/>
      <c r="X405" s="161"/>
    </row>
    <row r="406" spans="1:24" ht="17.25" customHeight="1">
      <c r="A406" s="110" t="str">
        <f>+BASE!B410</f>
        <v>23XXR395</v>
      </c>
      <c r="B406" s="106" t="s">
        <v>40</v>
      </c>
      <c r="C406" s="111">
        <f t="shared" si="51"/>
        <v>0</v>
      </c>
      <c r="D406" s="111">
        <f t="shared" si="52"/>
        <v>0</v>
      </c>
      <c r="E406" s="111">
        <f t="shared" si="53"/>
        <v>0</v>
      </c>
      <c r="F406" s="111">
        <f t="shared" si="54"/>
        <v>0</v>
      </c>
      <c r="G406" s="111">
        <f t="shared" si="55"/>
        <v>0</v>
      </c>
      <c r="H406" s="97"/>
      <c r="I406" s="97">
        <f t="shared" si="56"/>
        <v>0</v>
      </c>
      <c r="J406" s="97">
        <f t="shared" si="57"/>
        <v>0</v>
      </c>
      <c r="K406" s="97">
        <f t="shared" si="58"/>
        <v>0</v>
      </c>
      <c r="L406" s="97">
        <f t="shared" si="59"/>
        <v>0</v>
      </c>
      <c r="M406" s="97">
        <f t="shared" si="60"/>
        <v>0</v>
      </c>
      <c r="N406" s="97"/>
      <c r="O406" s="97"/>
      <c r="P406" s="112">
        <f t="shared" si="61"/>
        <v>0</v>
      </c>
      <c r="Q406" s="106">
        <f>BASE!A410</f>
        <v>395</v>
      </c>
      <c r="R406" s="97">
        <f t="shared" si="62"/>
        <v>0</v>
      </c>
      <c r="S406" s="97">
        <f t="shared" si="63"/>
        <v>0</v>
      </c>
      <c r="T406" s="97">
        <f t="shared" si="64"/>
        <v>0</v>
      </c>
      <c r="U406" s="97">
        <f t="shared" si="65"/>
        <v>0</v>
      </c>
      <c r="V406" s="97">
        <f t="shared" si="66"/>
        <v>0</v>
      </c>
      <c r="W406" s="161"/>
      <c r="X406" s="161"/>
    </row>
    <row r="407" spans="1:24" ht="17.25" customHeight="1">
      <c r="A407" s="110" t="str">
        <f>+BASE!B411</f>
        <v>23XXR396</v>
      </c>
      <c r="B407" s="106" t="s">
        <v>40</v>
      </c>
      <c r="C407" s="111">
        <f t="shared" si="51"/>
        <v>0</v>
      </c>
      <c r="D407" s="111">
        <f t="shared" si="52"/>
        <v>0</v>
      </c>
      <c r="E407" s="111">
        <f t="shared" si="53"/>
        <v>0</v>
      </c>
      <c r="F407" s="111">
        <f t="shared" si="54"/>
        <v>0</v>
      </c>
      <c r="G407" s="111">
        <f t="shared" si="55"/>
        <v>0</v>
      </c>
      <c r="H407" s="97"/>
      <c r="I407" s="97">
        <f t="shared" si="56"/>
        <v>0</v>
      </c>
      <c r="J407" s="97">
        <f t="shared" si="57"/>
        <v>0</v>
      </c>
      <c r="K407" s="97">
        <f t="shared" si="58"/>
        <v>0</v>
      </c>
      <c r="L407" s="97">
        <f t="shared" si="59"/>
        <v>0</v>
      </c>
      <c r="M407" s="97">
        <f t="shared" si="60"/>
        <v>0</v>
      </c>
      <c r="N407" s="97"/>
      <c r="O407" s="97"/>
      <c r="P407" s="112">
        <f t="shared" si="61"/>
        <v>0</v>
      </c>
      <c r="Q407" s="106">
        <f>BASE!A411</f>
        <v>396</v>
      </c>
      <c r="R407" s="97">
        <f t="shared" si="62"/>
        <v>0</v>
      </c>
      <c r="S407" s="97">
        <f t="shared" si="63"/>
        <v>0</v>
      </c>
      <c r="T407" s="97">
        <f t="shared" si="64"/>
        <v>0</v>
      </c>
      <c r="U407" s="97">
        <f t="shared" si="65"/>
        <v>0</v>
      </c>
      <c r="V407" s="97">
        <f t="shared" si="66"/>
        <v>0</v>
      </c>
      <c r="W407" s="161"/>
      <c r="X407" s="161"/>
    </row>
    <row r="408" spans="1:24" ht="17.25" customHeight="1">
      <c r="A408" s="110" t="str">
        <f>+BASE!B412</f>
        <v>23XXR397</v>
      </c>
      <c r="B408" s="106" t="s">
        <v>40</v>
      </c>
      <c r="C408" s="111">
        <f t="shared" si="51"/>
        <v>0</v>
      </c>
      <c r="D408" s="111">
        <f t="shared" si="52"/>
        <v>0</v>
      </c>
      <c r="E408" s="111">
        <f t="shared" si="53"/>
        <v>0</v>
      </c>
      <c r="F408" s="111">
        <f t="shared" si="54"/>
        <v>0</v>
      </c>
      <c r="G408" s="111">
        <f t="shared" si="55"/>
        <v>0</v>
      </c>
      <c r="H408" s="97"/>
      <c r="I408" s="97">
        <f t="shared" si="56"/>
        <v>0</v>
      </c>
      <c r="J408" s="97">
        <f t="shared" si="57"/>
        <v>0</v>
      </c>
      <c r="K408" s="97">
        <f t="shared" si="58"/>
        <v>0</v>
      </c>
      <c r="L408" s="97">
        <f t="shared" si="59"/>
        <v>0</v>
      </c>
      <c r="M408" s="97">
        <f t="shared" si="60"/>
        <v>0</v>
      </c>
      <c r="N408" s="97"/>
      <c r="O408" s="97"/>
      <c r="P408" s="112">
        <f t="shared" si="61"/>
        <v>0</v>
      </c>
      <c r="Q408" s="106">
        <f>BASE!A412</f>
        <v>397</v>
      </c>
      <c r="R408" s="97">
        <f t="shared" si="62"/>
        <v>0</v>
      </c>
      <c r="S408" s="97">
        <f t="shared" si="63"/>
        <v>0</v>
      </c>
      <c r="T408" s="97">
        <f t="shared" si="64"/>
        <v>0</v>
      </c>
      <c r="U408" s="97">
        <f t="shared" si="65"/>
        <v>0</v>
      </c>
      <c r="V408" s="97">
        <f t="shared" si="66"/>
        <v>0</v>
      </c>
      <c r="W408" s="161"/>
      <c r="X408" s="161"/>
    </row>
    <row r="409" spans="1:24" ht="17.25" customHeight="1">
      <c r="A409" s="110" t="str">
        <f>+BASE!B413</f>
        <v>23XXR398</v>
      </c>
      <c r="B409" s="106" t="s">
        <v>40</v>
      </c>
      <c r="C409" s="111">
        <f t="shared" si="51"/>
        <v>0</v>
      </c>
      <c r="D409" s="111">
        <f t="shared" si="52"/>
        <v>0</v>
      </c>
      <c r="E409" s="111">
        <f t="shared" si="53"/>
        <v>0</v>
      </c>
      <c r="F409" s="111">
        <f t="shared" si="54"/>
        <v>0</v>
      </c>
      <c r="G409" s="111">
        <f t="shared" si="55"/>
        <v>0</v>
      </c>
      <c r="H409" s="97"/>
      <c r="I409" s="97">
        <f t="shared" si="56"/>
        <v>0</v>
      </c>
      <c r="J409" s="97">
        <f t="shared" si="57"/>
        <v>0</v>
      </c>
      <c r="K409" s="97">
        <f t="shared" si="58"/>
        <v>0</v>
      </c>
      <c r="L409" s="97">
        <f t="shared" si="59"/>
        <v>0</v>
      </c>
      <c r="M409" s="97">
        <f t="shared" si="60"/>
        <v>0</v>
      </c>
      <c r="N409" s="97"/>
      <c r="O409" s="97"/>
      <c r="P409" s="112">
        <f t="shared" si="61"/>
        <v>0</v>
      </c>
      <c r="Q409" s="106">
        <f>BASE!A413</f>
        <v>398</v>
      </c>
      <c r="R409" s="97">
        <f t="shared" si="62"/>
        <v>0</v>
      </c>
      <c r="S409" s="97">
        <f t="shared" si="63"/>
        <v>0</v>
      </c>
      <c r="T409" s="97">
        <f t="shared" si="64"/>
        <v>0</v>
      </c>
      <c r="U409" s="97">
        <f t="shared" si="65"/>
        <v>0</v>
      </c>
      <c r="V409" s="97">
        <f t="shared" si="66"/>
        <v>0</v>
      </c>
      <c r="W409" s="161"/>
      <c r="X409" s="161"/>
    </row>
    <row r="410" spans="1:24" ht="17.25" customHeight="1">
      <c r="A410" s="110" t="str">
        <f>+BASE!B414</f>
        <v>23XXR399</v>
      </c>
      <c r="B410" s="106" t="s">
        <v>40</v>
      </c>
      <c r="C410" s="111">
        <f t="shared" si="51"/>
        <v>0</v>
      </c>
      <c r="D410" s="111">
        <f t="shared" si="52"/>
        <v>0</v>
      </c>
      <c r="E410" s="111">
        <f t="shared" si="53"/>
        <v>0</v>
      </c>
      <c r="F410" s="111">
        <f t="shared" si="54"/>
        <v>0</v>
      </c>
      <c r="G410" s="111">
        <f t="shared" si="55"/>
        <v>0</v>
      </c>
      <c r="H410" s="97"/>
      <c r="I410" s="97">
        <f t="shared" si="56"/>
        <v>0</v>
      </c>
      <c r="J410" s="97">
        <f t="shared" si="57"/>
        <v>0</v>
      </c>
      <c r="K410" s="97">
        <f t="shared" si="58"/>
        <v>0</v>
      </c>
      <c r="L410" s="97">
        <f t="shared" si="59"/>
        <v>0</v>
      </c>
      <c r="M410" s="97">
        <f t="shared" si="60"/>
        <v>0</v>
      </c>
      <c r="N410" s="97"/>
      <c r="O410" s="97"/>
      <c r="P410" s="112">
        <f t="shared" si="61"/>
        <v>0</v>
      </c>
      <c r="Q410" s="106">
        <f>BASE!A414</f>
        <v>399</v>
      </c>
      <c r="R410" s="97">
        <f t="shared" si="62"/>
        <v>0</v>
      </c>
      <c r="S410" s="97">
        <f t="shared" si="63"/>
        <v>0</v>
      </c>
      <c r="T410" s="97">
        <f t="shared" si="64"/>
        <v>0</v>
      </c>
      <c r="U410" s="97">
        <f t="shared" si="65"/>
        <v>0</v>
      </c>
      <c r="V410" s="97">
        <f t="shared" si="66"/>
        <v>0</v>
      </c>
      <c r="W410" s="161"/>
      <c r="X410" s="161"/>
    </row>
    <row r="411" spans="1:24" ht="17.25" customHeight="1">
      <c r="A411" s="110" t="str">
        <f>+BASE!B415</f>
        <v>23XXR400</v>
      </c>
      <c r="B411" s="106" t="s">
        <v>40</v>
      </c>
      <c r="C411" s="111">
        <f t="shared" si="51"/>
        <v>0</v>
      </c>
      <c r="D411" s="111">
        <f t="shared" si="52"/>
        <v>0</v>
      </c>
      <c r="E411" s="111">
        <f t="shared" si="53"/>
        <v>0</v>
      </c>
      <c r="F411" s="111">
        <f t="shared" si="54"/>
        <v>0</v>
      </c>
      <c r="G411" s="111">
        <f t="shared" si="55"/>
        <v>0</v>
      </c>
      <c r="H411" s="97"/>
      <c r="I411" s="97">
        <f t="shared" si="56"/>
        <v>0</v>
      </c>
      <c r="J411" s="97">
        <f t="shared" si="57"/>
        <v>0</v>
      </c>
      <c r="K411" s="97">
        <f t="shared" si="58"/>
        <v>0</v>
      </c>
      <c r="L411" s="97">
        <f t="shared" si="59"/>
        <v>0</v>
      </c>
      <c r="M411" s="97">
        <f t="shared" si="60"/>
        <v>0</v>
      </c>
      <c r="N411" s="97"/>
      <c r="O411" s="97"/>
      <c r="P411" s="112">
        <f t="shared" si="61"/>
        <v>0</v>
      </c>
      <c r="Q411" s="106">
        <f>BASE!A415</f>
        <v>400</v>
      </c>
      <c r="R411" s="97">
        <f t="shared" si="62"/>
        <v>0</v>
      </c>
      <c r="S411" s="97">
        <f t="shared" si="63"/>
        <v>0</v>
      </c>
      <c r="T411" s="97">
        <f t="shared" si="64"/>
        <v>0</v>
      </c>
      <c r="U411" s="97">
        <f t="shared" si="65"/>
        <v>0</v>
      </c>
      <c r="V411" s="97">
        <f t="shared" si="66"/>
        <v>0</v>
      </c>
      <c r="W411" s="161"/>
      <c r="X411" s="161"/>
    </row>
    <row r="412" spans="1:24" ht="17.25" customHeight="1">
      <c r="A412" s="110" t="str">
        <f>+BASE!B416</f>
        <v>23XXR401</v>
      </c>
      <c r="B412" s="106" t="s">
        <v>40</v>
      </c>
      <c r="C412" s="111">
        <f t="shared" si="51"/>
        <v>0</v>
      </c>
      <c r="D412" s="111">
        <f t="shared" si="52"/>
        <v>0</v>
      </c>
      <c r="E412" s="111">
        <f t="shared" si="53"/>
        <v>0</v>
      </c>
      <c r="F412" s="111">
        <f t="shared" si="54"/>
        <v>0</v>
      </c>
      <c r="G412" s="111">
        <f t="shared" si="55"/>
        <v>0</v>
      </c>
      <c r="H412" s="97"/>
      <c r="I412" s="97">
        <f t="shared" si="56"/>
        <v>0</v>
      </c>
      <c r="J412" s="97">
        <f t="shared" si="57"/>
        <v>0</v>
      </c>
      <c r="K412" s="97">
        <f t="shared" si="58"/>
        <v>0</v>
      </c>
      <c r="L412" s="97">
        <f t="shared" si="59"/>
        <v>0</v>
      </c>
      <c r="M412" s="97">
        <f t="shared" si="60"/>
        <v>0</v>
      </c>
      <c r="N412" s="97"/>
      <c r="O412" s="97"/>
      <c r="P412" s="112">
        <f t="shared" si="61"/>
        <v>0</v>
      </c>
      <c r="Q412" s="106">
        <f>BASE!A416</f>
        <v>401</v>
      </c>
      <c r="R412" s="97">
        <f t="shared" si="62"/>
        <v>0</v>
      </c>
      <c r="S412" s="97">
        <f t="shared" si="63"/>
        <v>0</v>
      </c>
      <c r="T412" s="97">
        <f t="shared" si="64"/>
        <v>0</v>
      </c>
      <c r="U412" s="97">
        <f t="shared" si="65"/>
        <v>0</v>
      </c>
      <c r="V412" s="97">
        <f t="shared" si="66"/>
        <v>0</v>
      </c>
      <c r="W412" s="161"/>
      <c r="X412" s="161"/>
    </row>
    <row r="413" spans="1:24" ht="17.25" customHeight="1">
      <c r="A413" s="110" t="str">
        <f>+BASE!B417</f>
        <v>23XXR402</v>
      </c>
      <c r="B413" s="106" t="s">
        <v>40</v>
      </c>
      <c r="C413" s="111">
        <f t="shared" si="51"/>
        <v>0</v>
      </c>
      <c r="D413" s="111">
        <f t="shared" si="52"/>
        <v>0</v>
      </c>
      <c r="E413" s="111">
        <f t="shared" si="53"/>
        <v>0</v>
      </c>
      <c r="F413" s="111">
        <f t="shared" si="54"/>
        <v>0</v>
      </c>
      <c r="G413" s="111">
        <f t="shared" si="55"/>
        <v>0</v>
      </c>
      <c r="H413" s="97"/>
      <c r="I413" s="97">
        <f t="shared" si="56"/>
        <v>0</v>
      </c>
      <c r="J413" s="97">
        <f t="shared" si="57"/>
        <v>0</v>
      </c>
      <c r="K413" s="97">
        <f t="shared" si="58"/>
        <v>0</v>
      </c>
      <c r="L413" s="97">
        <f t="shared" si="59"/>
        <v>0</v>
      </c>
      <c r="M413" s="97">
        <f t="shared" si="60"/>
        <v>0</v>
      </c>
      <c r="N413" s="97"/>
      <c r="O413" s="97"/>
      <c r="P413" s="112">
        <f t="shared" si="61"/>
        <v>0</v>
      </c>
      <c r="Q413" s="106">
        <f>BASE!A417</f>
        <v>402</v>
      </c>
      <c r="R413" s="97">
        <f t="shared" si="62"/>
        <v>0</v>
      </c>
      <c r="S413" s="97">
        <f t="shared" si="63"/>
        <v>0</v>
      </c>
      <c r="T413" s="97">
        <f t="shared" si="64"/>
        <v>0</v>
      </c>
      <c r="U413" s="97">
        <f t="shared" si="65"/>
        <v>0</v>
      </c>
      <c r="V413" s="97">
        <f t="shared" si="66"/>
        <v>0</v>
      </c>
      <c r="W413" s="161"/>
      <c r="X413" s="161"/>
    </row>
    <row r="414" spans="1:24" ht="17.25" customHeight="1">
      <c r="A414" s="110" t="str">
        <f>+BASE!B418</f>
        <v>23XXR403</v>
      </c>
      <c r="B414" s="106" t="s">
        <v>40</v>
      </c>
      <c r="C414" s="111">
        <f t="shared" si="51"/>
        <v>0</v>
      </c>
      <c r="D414" s="111">
        <f t="shared" si="52"/>
        <v>0</v>
      </c>
      <c r="E414" s="111">
        <f t="shared" si="53"/>
        <v>0</v>
      </c>
      <c r="F414" s="111">
        <f t="shared" si="54"/>
        <v>0</v>
      </c>
      <c r="G414" s="111">
        <f t="shared" si="55"/>
        <v>0</v>
      </c>
      <c r="H414" s="97"/>
      <c r="I414" s="97">
        <f t="shared" si="56"/>
        <v>0</v>
      </c>
      <c r="J414" s="97">
        <f t="shared" si="57"/>
        <v>0</v>
      </c>
      <c r="K414" s="97">
        <f t="shared" si="58"/>
        <v>0</v>
      </c>
      <c r="L414" s="97">
        <f t="shared" si="59"/>
        <v>0</v>
      </c>
      <c r="M414" s="97">
        <f t="shared" si="60"/>
        <v>0</v>
      </c>
      <c r="N414" s="97"/>
      <c r="O414" s="97"/>
      <c r="P414" s="112">
        <f t="shared" si="61"/>
        <v>0</v>
      </c>
      <c r="Q414" s="106">
        <f>BASE!A418</f>
        <v>403</v>
      </c>
      <c r="R414" s="97">
        <f t="shared" si="62"/>
        <v>0</v>
      </c>
      <c r="S414" s="97">
        <f t="shared" si="63"/>
        <v>0</v>
      </c>
      <c r="T414" s="97">
        <f t="shared" si="64"/>
        <v>0</v>
      </c>
      <c r="U414" s="97">
        <f t="shared" si="65"/>
        <v>0</v>
      </c>
      <c r="V414" s="97">
        <f t="shared" si="66"/>
        <v>0</v>
      </c>
      <c r="W414" s="161"/>
      <c r="X414" s="161"/>
    </row>
    <row r="415" spans="1:24" ht="15.75" customHeight="1">
      <c r="A415" s="110" t="str">
        <f>+BASE!B419</f>
        <v>23XXR404</v>
      </c>
      <c r="B415" s="106" t="s">
        <v>40</v>
      </c>
      <c r="C415" s="111">
        <f t="shared" si="51"/>
        <v>0</v>
      </c>
      <c r="D415" s="111">
        <f t="shared" si="52"/>
        <v>0</v>
      </c>
      <c r="E415" s="111">
        <f t="shared" si="53"/>
        <v>0</v>
      </c>
      <c r="F415" s="111">
        <f t="shared" si="54"/>
        <v>0</v>
      </c>
      <c r="G415" s="111">
        <f t="shared" si="55"/>
        <v>0</v>
      </c>
      <c r="H415" s="90"/>
      <c r="I415" s="97">
        <f t="shared" si="56"/>
        <v>0</v>
      </c>
      <c r="J415" s="97">
        <f t="shared" si="57"/>
        <v>0</v>
      </c>
      <c r="K415" s="97">
        <f t="shared" si="58"/>
        <v>0</v>
      </c>
      <c r="L415" s="97">
        <f t="shared" si="59"/>
        <v>0</v>
      </c>
      <c r="M415" s="97">
        <f t="shared" si="60"/>
        <v>0</v>
      </c>
      <c r="N415" s="90"/>
      <c r="O415" s="90"/>
      <c r="P415" s="112">
        <f t="shared" si="61"/>
        <v>0</v>
      </c>
      <c r="Q415" s="106">
        <f>BASE!A419</f>
        <v>404</v>
      </c>
      <c r="R415" s="97">
        <f t="shared" si="62"/>
        <v>0</v>
      </c>
      <c r="S415" s="97">
        <f t="shared" si="63"/>
        <v>0</v>
      </c>
      <c r="T415" s="97">
        <f t="shared" si="64"/>
        <v>0</v>
      </c>
      <c r="U415" s="97">
        <f t="shared" si="65"/>
        <v>0</v>
      </c>
      <c r="V415" s="97">
        <f t="shared" si="66"/>
        <v>0</v>
      </c>
      <c r="W415" s="161"/>
      <c r="X415" s="161"/>
    </row>
    <row r="416" spans="1:24" ht="15.75" customHeight="1">
      <c r="A416" s="110" t="str">
        <f>+BASE!B420</f>
        <v>23XXR405</v>
      </c>
      <c r="B416" s="106" t="s">
        <v>40</v>
      </c>
      <c r="C416" s="111">
        <f t="shared" si="51"/>
        <v>0</v>
      </c>
      <c r="D416" s="111">
        <f t="shared" si="52"/>
        <v>0</v>
      </c>
      <c r="E416" s="111">
        <f t="shared" si="53"/>
        <v>0</v>
      </c>
      <c r="F416" s="111">
        <f t="shared" si="54"/>
        <v>0</v>
      </c>
      <c r="G416" s="111">
        <f t="shared" si="55"/>
        <v>0</v>
      </c>
      <c r="H416" s="90"/>
      <c r="I416" s="97">
        <f t="shared" si="56"/>
        <v>0</v>
      </c>
      <c r="J416" s="97">
        <f t="shared" si="57"/>
        <v>0</v>
      </c>
      <c r="K416" s="97">
        <f t="shared" si="58"/>
        <v>0</v>
      </c>
      <c r="L416" s="97">
        <f t="shared" si="59"/>
        <v>0</v>
      </c>
      <c r="M416" s="97">
        <f t="shared" si="60"/>
        <v>0</v>
      </c>
      <c r="N416" s="90"/>
      <c r="O416" s="90"/>
      <c r="P416" s="112">
        <f t="shared" si="61"/>
        <v>0</v>
      </c>
      <c r="Q416" s="106">
        <f>BASE!A420</f>
        <v>405</v>
      </c>
      <c r="R416" s="97">
        <f t="shared" si="62"/>
        <v>0</v>
      </c>
      <c r="S416" s="97">
        <f t="shared" si="63"/>
        <v>0</v>
      </c>
      <c r="T416" s="97">
        <f t="shared" si="64"/>
        <v>0</v>
      </c>
      <c r="U416" s="97">
        <f t="shared" si="65"/>
        <v>0</v>
      </c>
      <c r="V416" s="97">
        <f t="shared" si="66"/>
        <v>0</v>
      </c>
      <c r="W416" s="161"/>
      <c r="X416" s="161"/>
    </row>
    <row r="417" spans="1:24" ht="15.75" customHeight="1">
      <c r="A417" s="110" t="str">
        <f>+BASE!B421</f>
        <v>23XXR406</v>
      </c>
      <c r="B417" s="106" t="s">
        <v>40</v>
      </c>
      <c r="C417" s="111">
        <f t="shared" si="51"/>
        <v>0</v>
      </c>
      <c r="D417" s="111">
        <f t="shared" si="52"/>
        <v>0</v>
      </c>
      <c r="E417" s="111">
        <f t="shared" si="53"/>
        <v>0</v>
      </c>
      <c r="F417" s="111">
        <f t="shared" si="54"/>
        <v>0</v>
      </c>
      <c r="G417" s="111">
        <f t="shared" si="55"/>
        <v>0</v>
      </c>
      <c r="H417" s="90"/>
      <c r="I417" s="97">
        <f t="shared" si="56"/>
        <v>0</v>
      </c>
      <c r="J417" s="97">
        <f t="shared" si="57"/>
        <v>0</v>
      </c>
      <c r="K417" s="97">
        <f t="shared" si="58"/>
        <v>0</v>
      </c>
      <c r="L417" s="97">
        <f t="shared" si="59"/>
        <v>0</v>
      </c>
      <c r="M417" s="97">
        <f t="shared" si="60"/>
        <v>0</v>
      </c>
      <c r="N417" s="90"/>
      <c r="O417" s="90"/>
      <c r="P417" s="112">
        <f t="shared" si="61"/>
        <v>0</v>
      </c>
      <c r="Q417" s="106">
        <f>BASE!A421</f>
        <v>406</v>
      </c>
      <c r="R417" s="97">
        <f t="shared" si="62"/>
        <v>0</v>
      </c>
      <c r="S417" s="97">
        <f t="shared" si="63"/>
        <v>0</v>
      </c>
      <c r="T417" s="97">
        <f t="shared" si="64"/>
        <v>0</v>
      </c>
      <c r="U417" s="97">
        <f t="shared" si="65"/>
        <v>0</v>
      </c>
      <c r="V417" s="97">
        <f t="shared" si="66"/>
        <v>0</v>
      </c>
      <c r="W417" s="161"/>
      <c r="X417" s="161"/>
    </row>
    <row r="418" spans="1:24" ht="15.75" customHeight="1">
      <c r="A418" s="110" t="str">
        <f>+BASE!B422</f>
        <v>23XXR407</v>
      </c>
      <c r="B418" s="106" t="s">
        <v>40</v>
      </c>
      <c r="C418" s="111">
        <f t="shared" si="51"/>
        <v>0</v>
      </c>
      <c r="D418" s="111">
        <f t="shared" si="52"/>
        <v>0</v>
      </c>
      <c r="E418" s="111">
        <f t="shared" si="53"/>
        <v>0</v>
      </c>
      <c r="F418" s="111">
        <f t="shared" si="54"/>
        <v>0</v>
      </c>
      <c r="G418" s="111">
        <f t="shared" si="55"/>
        <v>0</v>
      </c>
      <c r="H418" s="90"/>
      <c r="I418" s="97">
        <f t="shared" si="56"/>
        <v>0</v>
      </c>
      <c r="J418" s="97">
        <f t="shared" si="57"/>
        <v>0</v>
      </c>
      <c r="K418" s="97">
        <f t="shared" si="58"/>
        <v>0</v>
      </c>
      <c r="L418" s="97">
        <f t="shared" si="59"/>
        <v>0</v>
      </c>
      <c r="M418" s="97">
        <f t="shared" si="60"/>
        <v>0</v>
      </c>
      <c r="N418" s="90"/>
      <c r="O418" s="90"/>
      <c r="P418" s="112">
        <f t="shared" si="61"/>
        <v>0</v>
      </c>
      <c r="Q418" s="106">
        <f>BASE!A422</f>
        <v>407</v>
      </c>
      <c r="R418" s="97">
        <f t="shared" si="62"/>
        <v>0</v>
      </c>
      <c r="S418" s="97">
        <f t="shared" si="63"/>
        <v>0</v>
      </c>
      <c r="T418" s="97">
        <f t="shared" si="64"/>
        <v>0</v>
      </c>
      <c r="U418" s="97">
        <f t="shared" si="65"/>
        <v>0</v>
      </c>
      <c r="V418" s="97">
        <f t="shared" si="66"/>
        <v>0</v>
      </c>
      <c r="W418" s="161"/>
      <c r="X418" s="161"/>
    </row>
    <row r="419" spans="1:24" ht="15.75" customHeight="1">
      <c r="A419" s="110" t="str">
        <f>+BASE!B423</f>
        <v>23XXR408</v>
      </c>
      <c r="B419" s="106" t="s">
        <v>40</v>
      </c>
      <c r="C419" s="111">
        <f t="shared" si="51"/>
        <v>0</v>
      </c>
      <c r="D419" s="111">
        <f t="shared" si="52"/>
        <v>0</v>
      </c>
      <c r="E419" s="111">
        <f t="shared" si="53"/>
        <v>0</v>
      </c>
      <c r="F419" s="111">
        <f t="shared" si="54"/>
        <v>0</v>
      </c>
      <c r="G419" s="111">
        <f t="shared" si="55"/>
        <v>0</v>
      </c>
      <c r="H419" s="90"/>
      <c r="I419" s="97">
        <f t="shared" si="56"/>
        <v>0</v>
      </c>
      <c r="J419" s="97">
        <f t="shared" si="57"/>
        <v>0</v>
      </c>
      <c r="K419" s="97">
        <f t="shared" si="58"/>
        <v>0</v>
      </c>
      <c r="L419" s="97">
        <f t="shared" si="59"/>
        <v>0</v>
      </c>
      <c r="M419" s="97">
        <f t="shared" si="60"/>
        <v>0</v>
      </c>
      <c r="N419" s="90"/>
      <c r="O419" s="90"/>
      <c r="P419" s="112">
        <f t="shared" si="61"/>
        <v>0</v>
      </c>
      <c r="Q419" s="106">
        <f>BASE!A423</f>
        <v>408</v>
      </c>
      <c r="R419" s="97">
        <f t="shared" si="62"/>
        <v>0</v>
      </c>
      <c r="S419" s="97">
        <f t="shared" si="63"/>
        <v>0</v>
      </c>
      <c r="T419" s="97">
        <f t="shared" si="64"/>
        <v>0</v>
      </c>
      <c r="U419" s="97">
        <f t="shared" si="65"/>
        <v>0</v>
      </c>
      <c r="V419" s="97">
        <f t="shared" si="66"/>
        <v>0</v>
      </c>
      <c r="W419" s="161"/>
      <c r="X419" s="161"/>
    </row>
    <row r="420" spans="1:24" ht="15.75" customHeight="1">
      <c r="A420" s="110" t="str">
        <f>+BASE!B424</f>
        <v>23XXR409</v>
      </c>
      <c r="B420" s="106" t="s">
        <v>40</v>
      </c>
      <c r="C420" s="111">
        <f t="shared" si="51"/>
        <v>0</v>
      </c>
      <c r="D420" s="111">
        <f t="shared" si="52"/>
        <v>0</v>
      </c>
      <c r="E420" s="111">
        <f t="shared" si="53"/>
        <v>0</v>
      </c>
      <c r="F420" s="111">
        <f t="shared" si="54"/>
        <v>0</v>
      </c>
      <c r="G420" s="111">
        <f t="shared" si="55"/>
        <v>0</v>
      </c>
      <c r="H420" s="90"/>
      <c r="I420" s="97">
        <f t="shared" si="56"/>
        <v>0</v>
      </c>
      <c r="J420" s="97">
        <f t="shared" si="57"/>
        <v>0</v>
      </c>
      <c r="K420" s="97">
        <f t="shared" si="58"/>
        <v>0</v>
      </c>
      <c r="L420" s="97">
        <f t="shared" si="59"/>
        <v>0</v>
      </c>
      <c r="M420" s="97">
        <f t="shared" si="60"/>
        <v>0</v>
      </c>
      <c r="N420" s="90"/>
      <c r="O420" s="90"/>
      <c r="P420" s="112">
        <f t="shared" si="61"/>
        <v>0</v>
      </c>
      <c r="Q420" s="106">
        <f>BASE!A424</f>
        <v>409</v>
      </c>
      <c r="R420" s="97">
        <f t="shared" si="62"/>
        <v>0</v>
      </c>
      <c r="S420" s="97">
        <f t="shared" si="63"/>
        <v>0</v>
      </c>
      <c r="T420" s="97">
        <f t="shared" si="64"/>
        <v>0</v>
      </c>
      <c r="U420" s="97">
        <f t="shared" si="65"/>
        <v>0</v>
      </c>
      <c r="V420" s="97">
        <f t="shared" si="66"/>
        <v>0</v>
      </c>
      <c r="W420" s="161"/>
      <c r="X420" s="161"/>
    </row>
    <row r="421" spans="1:24" ht="15.75" customHeight="1">
      <c r="A421" s="110" t="str">
        <f>+BASE!B425</f>
        <v>23XXR410</v>
      </c>
      <c r="B421" s="106" t="s">
        <v>40</v>
      </c>
      <c r="C421" s="111">
        <f t="shared" si="51"/>
        <v>0</v>
      </c>
      <c r="D421" s="111">
        <f t="shared" si="52"/>
        <v>0</v>
      </c>
      <c r="E421" s="111">
        <f t="shared" si="53"/>
        <v>0</v>
      </c>
      <c r="F421" s="111">
        <f t="shared" si="54"/>
        <v>0</v>
      </c>
      <c r="G421" s="111">
        <f t="shared" si="55"/>
        <v>0</v>
      </c>
      <c r="H421" s="90"/>
      <c r="I421" s="97">
        <f t="shared" si="56"/>
        <v>0</v>
      </c>
      <c r="J421" s="97">
        <f t="shared" si="57"/>
        <v>0</v>
      </c>
      <c r="K421" s="97">
        <f t="shared" si="58"/>
        <v>0</v>
      </c>
      <c r="L421" s="97">
        <f t="shared" si="59"/>
        <v>0</v>
      </c>
      <c r="M421" s="97">
        <f t="shared" si="60"/>
        <v>0</v>
      </c>
      <c r="N421" s="90"/>
      <c r="O421" s="90"/>
      <c r="P421" s="112">
        <f t="shared" si="61"/>
        <v>0</v>
      </c>
      <c r="Q421" s="106">
        <f>BASE!A425</f>
        <v>410</v>
      </c>
      <c r="R421" s="97">
        <f t="shared" si="62"/>
        <v>0</v>
      </c>
      <c r="S421" s="97">
        <f t="shared" si="63"/>
        <v>0</v>
      </c>
      <c r="T421" s="97">
        <f t="shared" si="64"/>
        <v>0</v>
      </c>
      <c r="U421" s="97">
        <f t="shared" si="65"/>
        <v>0</v>
      </c>
      <c r="V421" s="97">
        <f t="shared" si="66"/>
        <v>0</v>
      </c>
      <c r="W421" s="161"/>
      <c r="X421" s="161"/>
    </row>
    <row r="422" spans="1:24" ht="15.75" customHeight="1">
      <c r="A422" s="110" t="str">
        <f>+BASE!B426</f>
        <v>23XXR411</v>
      </c>
      <c r="B422" s="106" t="s">
        <v>40</v>
      </c>
      <c r="C422" s="111">
        <f t="shared" si="51"/>
        <v>0</v>
      </c>
      <c r="D422" s="111">
        <f t="shared" si="52"/>
        <v>0</v>
      </c>
      <c r="E422" s="111">
        <f t="shared" si="53"/>
        <v>0</v>
      </c>
      <c r="F422" s="111">
        <f t="shared" si="54"/>
        <v>0</v>
      </c>
      <c r="G422" s="111">
        <f t="shared" si="55"/>
        <v>0</v>
      </c>
      <c r="H422" s="90"/>
      <c r="I422" s="97">
        <f t="shared" si="56"/>
        <v>0</v>
      </c>
      <c r="J422" s="97">
        <f t="shared" si="57"/>
        <v>0</v>
      </c>
      <c r="K422" s="97">
        <f t="shared" si="58"/>
        <v>0</v>
      </c>
      <c r="L422" s="97">
        <f t="shared" si="59"/>
        <v>0</v>
      </c>
      <c r="M422" s="97">
        <f t="shared" si="60"/>
        <v>0</v>
      </c>
      <c r="N422" s="90"/>
      <c r="O422" s="90"/>
      <c r="P422" s="112">
        <f t="shared" si="61"/>
        <v>0</v>
      </c>
      <c r="Q422" s="106">
        <f>BASE!A426</f>
        <v>411</v>
      </c>
      <c r="R422" s="97">
        <f t="shared" si="62"/>
        <v>0</v>
      </c>
      <c r="S422" s="97">
        <f t="shared" si="63"/>
        <v>0</v>
      </c>
      <c r="T422" s="97">
        <f t="shared" si="64"/>
        <v>0</v>
      </c>
      <c r="U422" s="97">
        <f t="shared" si="65"/>
        <v>0</v>
      </c>
      <c r="V422" s="97">
        <f t="shared" si="66"/>
        <v>0</v>
      </c>
      <c r="W422" s="161"/>
      <c r="X422" s="161"/>
    </row>
    <row r="423" spans="1:24" ht="15.75" customHeight="1">
      <c r="A423" s="110" t="str">
        <f>+BASE!B427</f>
        <v>23XXR412</v>
      </c>
      <c r="B423" s="106" t="s">
        <v>40</v>
      </c>
      <c r="C423" s="111">
        <f t="shared" si="51"/>
        <v>0</v>
      </c>
      <c r="D423" s="111">
        <f t="shared" si="52"/>
        <v>0</v>
      </c>
      <c r="E423" s="111">
        <f t="shared" si="53"/>
        <v>0</v>
      </c>
      <c r="F423" s="111">
        <f t="shared" si="54"/>
        <v>0</v>
      </c>
      <c r="G423" s="111">
        <f t="shared" si="55"/>
        <v>0</v>
      </c>
      <c r="H423" s="90"/>
      <c r="I423" s="97">
        <f t="shared" si="56"/>
        <v>0</v>
      </c>
      <c r="J423" s="97">
        <f t="shared" si="57"/>
        <v>0</v>
      </c>
      <c r="K423" s="97">
        <f t="shared" si="58"/>
        <v>0</v>
      </c>
      <c r="L423" s="97">
        <f t="shared" si="59"/>
        <v>0</v>
      </c>
      <c r="M423" s="97">
        <f t="shared" si="60"/>
        <v>0</v>
      </c>
      <c r="N423" s="90"/>
      <c r="O423" s="90"/>
      <c r="P423" s="112">
        <f t="shared" si="61"/>
        <v>0</v>
      </c>
      <c r="Q423" s="106">
        <f>BASE!A427</f>
        <v>412</v>
      </c>
      <c r="R423" s="97">
        <f t="shared" si="62"/>
        <v>0</v>
      </c>
      <c r="S423" s="97">
        <f t="shared" si="63"/>
        <v>0</v>
      </c>
      <c r="T423" s="97">
        <f t="shared" si="64"/>
        <v>0</v>
      </c>
      <c r="U423" s="97">
        <f t="shared" si="65"/>
        <v>0</v>
      </c>
      <c r="V423" s="97">
        <f t="shared" si="66"/>
        <v>0</v>
      </c>
      <c r="W423" s="161"/>
      <c r="X423" s="161"/>
    </row>
    <row r="424" spans="1:24" ht="15.75" customHeight="1">
      <c r="A424" s="110" t="str">
        <f>+BASE!B428</f>
        <v>23XXR413</v>
      </c>
      <c r="B424" s="106" t="s">
        <v>40</v>
      </c>
      <c r="C424" s="111">
        <f t="shared" si="51"/>
        <v>0</v>
      </c>
      <c r="D424" s="111">
        <f t="shared" si="52"/>
        <v>0</v>
      </c>
      <c r="E424" s="111">
        <f t="shared" si="53"/>
        <v>0</v>
      </c>
      <c r="F424" s="111">
        <f t="shared" si="54"/>
        <v>0</v>
      </c>
      <c r="G424" s="111">
        <f t="shared" si="55"/>
        <v>0</v>
      </c>
      <c r="H424" s="90"/>
      <c r="I424" s="97">
        <f t="shared" si="56"/>
        <v>0</v>
      </c>
      <c r="J424" s="97">
        <f t="shared" si="57"/>
        <v>0</v>
      </c>
      <c r="K424" s="97">
        <f t="shared" si="58"/>
        <v>0</v>
      </c>
      <c r="L424" s="97">
        <f t="shared" si="59"/>
        <v>0</v>
      </c>
      <c r="M424" s="97">
        <f t="shared" si="60"/>
        <v>0</v>
      </c>
      <c r="N424" s="90"/>
      <c r="O424" s="90"/>
      <c r="P424" s="112">
        <f t="shared" si="61"/>
        <v>0</v>
      </c>
      <c r="Q424" s="106">
        <f>BASE!A428</f>
        <v>413</v>
      </c>
      <c r="R424" s="97">
        <f t="shared" si="62"/>
        <v>0</v>
      </c>
      <c r="S424" s="97">
        <f t="shared" si="63"/>
        <v>0</v>
      </c>
      <c r="T424" s="97">
        <f t="shared" si="64"/>
        <v>0</v>
      </c>
      <c r="U424" s="97">
        <f t="shared" si="65"/>
        <v>0</v>
      </c>
      <c r="V424" s="97">
        <f t="shared" si="66"/>
        <v>0</v>
      </c>
      <c r="W424" s="161"/>
      <c r="X424" s="161"/>
    </row>
    <row r="425" spans="1:24" ht="15.75" customHeight="1">
      <c r="A425" s="110" t="str">
        <f>+BASE!B429</f>
        <v>23XXR414</v>
      </c>
      <c r="B425" s="106" t="s">
        <v>40</v>
      </c>
      <c r="C425" s="111">
        <f t="shared" si="51"/>
        <v>0</v>
      </c>
      <c r="D425" s="111">
        <f t="shared" si="52"/>
        <v>0</v>
      </c>
      <c r="E425" s="111">
        <f t="shared" si="53"/>
        <v>0</v>
      </c>
      <c r="F425" s="111">
        <f t="shared" si="54"/>
        <v>0</v>
      </c>
      <c r="G425" s="111">
        <f t="shared" si="55"/>
        <v>0</v>
      </c>
      <c r="H425" s="90"/>
      <c r="I425" s="97">
        <f t="shared" si="56"/>
        <v>0</v>
      </c>
      <c r="J425" s="97">
        <f t="shared" si="57"/>
        <v>0</v>
      </c>
      <c r="K425" s="97">
        <f t="shared" si="58"/>
        <v>0</v>
      </c>
      <c r="L425" s="97">
        <f t="shared" si="59"/>
        <v>0</v>
      </c>
      <c r="M425" s="97">
        <f t="shared" si="60"/>
        <v>0</v>
      </c>
      <c r="N425" s="90"/>
      <c r="O425" s="90"/>
      <c r="P425" s="112">
        <f t="shared" si="61"/>
        <v>0</v>
      </c>
      <c r="Q425" s="106">
        <f>BASE!A429</f>
        <v>414</v>
      </c>
      <c r="R425" s="97">
        <f t="shared" si="62"/>
        <v>0</v>
      </c>
      <c r="S425" s="97">
        <f t="shared" si="63"/>
        <v>0</v>
      </c>
      <c r="T425" s="97">
        <f t="shared" si="64"/>
        <v>0</v>
      </c>
      <c r="U425" s="97">
        <f t="shared" si="65"/>
        <v>0</v>
      </c>
      <c r="V425" s="97">
        <f t="shared" si="66"/>
        <v>0</v>
      </c>
      <c r="W425" s="161"/>
      <c r="X425" s="161"/>
    </row>
    <row r="426" spans="1:24" ht="15.75" customHeight="1">
      <c r="A426" s="110" t="str">
        <f>+BASE!B430</f>
        <v>23XXR415</v>
      </c>
      <c r="B426" s="106" t="s">
        <v>40</v>
      </c>
      <c r="C426" s="111">
        <f t="shared" si="51"/>
        <v>0</v>
      </c>
      <c r="D426" s="111">
        <f t="shared" si="52"/>
        <v>0</v>
      </c>
      <c r="E426" s="111">
        <f t="shared" si="53"/>
        <v>0</v>
      </c>
      <c r="F426" s="111">
        <f t="shared" si="54"/>
        <v>0</v>
      </c>
      <c r="G426" s="111">
        <f t="shared" si="55"/>
        <v>0</v>
      </c>
      <c r="H426" s="90"/>
      <c r="I426" s="97">
        <f t="shared" si="56"/>
        <v>0</v>
      </c>
      <c r="J426" s="97">
        <f t="shared" si="57"/>
        <v>0</v>
      </c>
      <c r="K426" s="97">
        <f t="shared" si="58"/>
        <v>0</v>
      </c>
      <c r="L426" s="97">
        <f t="shared" si="59"/>
        <v>0</v>
      </c>
      <c r="M426" s="97">
        <f t="shared" si="60"/>
        <v>0</v>
      </c>
      <c r="N426" s="90"/>
      <c r="O426" s="90"/>
      <c r="P426" s="112">
        <f t="shared" si="61"/>
        <v>0</v>
      </c>
      <c r="Q426" s="106">
        <f>BASE!A430</f>
        <v>415</v>
      </c>
      <c r="R426" s="97">
        <f t="shared" si="62"/>
        <v>0</v>
      </c>
      <c r="S426" s="97">
        <f t="shared" si="63"/>
        <v>0</v>
      </c>
      <c r="T426" s="97">
        <f t="shared" si="64"/>
        <v>0</v>
      </c>
      <c r="U426" s="97">
        <f t="shared" si="65"/>
        <v>0</v>
      </c>
      <c r="V426" s="97">
        <f t="shared" si="66"/>
        <v>0</v>
      </c>
      <c r="W426" s="161"/>
      <c r="X426" s="161"/>
    </row>
    <row r="427" spans="1:24" ht="15.75" customHeight="1">
      <c r="A427" s="110" t="str">
        <f>+BASE!B431</f>
        <v>23XXR416</v>
      </c>
      <c r="B427" s="106" t="s">
        <v>40</v>
      </c>
      <c r="C427" s="111">
        <f t="shared" si="51"/>
        <v>0</v>
      </c>
      <c r="D427" s="111">
        <f t="shared" si="52"/>
        <v>0</v>
      </c>
      <c r="E427" s="111">
        <f t="shared" si="53"/>
        <v>0</v>
      </c>
      <c r="F427" s="111">
        <f t="shared" si="54"/>
        <v>0</v>
      </c>
      <c r="G427" s="111">
        <f t="shared" si="55"/>
        <v>0</v>
      </c>
      <c r="H427" s="90"/>
      <c r="I427" s="97">
        <f t="shared" si="56"/>
        <v>0</v>
      </c>
      <c r="J427" s="97">
        <f t="shared" si="57"/>
        <v>0</v>
      </c>
      <c r="K427" s="97">
        <f t="shared" si="58"/>
        <v>0</v>
      </c>
      <c r="L427" s="97">
        <f t="shared" si="59"/>
        <v>0</v>
      </c>
      <c r="M427" s="97">
        <f t="shared" si="60"/>
        <v>0</v>
      </c>
      <c r="N427" s="90"/>
      <c r="O427" s="90"/>
      <c r="P427" s="112">
        <f t="shared" si="61"/>
        <v>0</v>
      </c>
      <c r="Q427" s="106">
        <f>BASE!A431</f>
        <v>416</v>
      </c>
      <c r="R427" s="97">
        <f t="shared" si="62"/>
        <v>0</v>
      </c>
      <c r="S427" s="97">
        <f t="shared" si="63"/>
        <v>0</v>
      </c>
      <c r="T427" s="97">
        <f t="shared" si="64"/>
        <v>0</v>
      </c>
      <c r="U427" s="97">
        <f t="shared" si="65"/>
        <v>0</v>
      </c>
      <c r="V427" s="97">
        <f t="shared" si="66"/>
        <v>0</v>
      </c>
      <c r="W427" s="161"/>
      <c r="X427" s="161"/>
    </row>
    <row r="428" spans="1:24" ht="15.75" customHeight="1">
      <c r="A428" s="110" t="str">
        <f>+BASE!B432</f>
        <v>23XXR417</v>
      </c>
      <c r="B428" s="106" t="s">
        <v>40</v>
      </c>
      <c r="C428" s="111">
        <f t="shared" si="51"/>
        <v>0</v>
      </c>
      <c r="D428" s="111">
        <f t="shared" si="52"/>
        <v>0</v>
      </c>
      <c r="E428" s="111">
        <f t="shared" si="53"/>
        <v>0</v>
      </c>
      <c r="F428" s="111">
        <f t="shared" si="54"/>
        <v>0</v>
      </c>
      <c r="G428" s="111">
        <f t="shared" si="55"/>
        <v>0</v>
      </c>
      <c r="H428" s="90"/>
      <c r="I428" s="97">
        <f t="shared" si="56"/>
        <v>0</v>
      </c>
      <c r="J428" s="97">
        <f t="shared" si="57"/>
        <v>0</v>
      </c>
      <c r="K428" s="97">
        <f t="shared" si="58"/>
        <v>0</v>
      </c>
      <c r="L428" s="97">
        <f t="shared" si="59"/>
        <v>0</v>
      </c>
      <c r="M428" s="97">
        <f t="shared" si="60"/>
        <v>0</v>
      </c>
      <c r="N428" s="90"/>
      <c r="O428" s="90"/>
      <c r="P428" s="112">
        <f t="shared" si="61"/>
        <v>0</v>
      </c>
      <c r="Q428" s="106">
        <f>BASE!A432</f>
        <v>417</v>
      </c>
      <c r="R428" s="97">
        <f t="shared" si="62"/>
        <v>0</v>
      </c>
      <c r="S428" s="97">
        <f t="shared" si="63"/>
        <v>0</v>
      </c>
      <c r="T428" s="97">
        <f t="shared" si="64"/>
        <v>0</v>
      </c>
      <c r="U428" s="97">
        <f t="shared" si="65"/>
        <v>0</v>
      </c>
      <c r="V428" s="97">
        <f t="shared" si="66"/>
        <v>0</v>
      </c>
      <c r="W428" s="161"/>
      <c r="X428" s="161"/>
    </row>
    <row r="429" spans="1:24" ht="15.75" customHeight="1">
      <c r="A429" s="110" t="str">
        <f>+BASE!B433</f>
        <v>23XXR418</v>
      </c>
      <c r="B429" s="106" t="s">
        <v>40</v>
      </c>
      <c r="C429" s="111">
        <f t="shared" si="51"/>
        <v>0</v>
      </c>
      <c r="D429" s="111">
        <f t="shared" si="52"/>
        <v>0</v>
      </c>
      <c r="E429" s="111">
        <f t="shared" si="53"/>
        <v>0</v>
      </c>
      <c r="F429" s="111">
        <f t="shared" si="54"/>
        <v>0</v>
      </c>
      <c r="G429" s="111">
        <f t="shared" si="55"/>
        <v>0</v>
      </c>
      <c r="H429" s="90"/>
      <c r="I429" s="97">
        <f t="shared" si="56"/>
        <v>0</v>
      </c>
      <c r="J429" s="97">
        <f t="shared" si="57"/>
        <v>0</v>
      </c>
      <c r="K429" s="97">
        <f t="shared" si="58"/>
        <v>0</v>
      </c>
      <c r="L429" s="97">
        <f t="shared" si="59"/>
        <v>0</v>
      </c>
      <c r="M429" s="97">
        <f t="shared" si="60"/>
        <v>0</v>
      </c>
      <c r="N429" s="90"/>
      <c r="O429" s="90"/>
      <c r="P429" s="112">
        <f t="shared" si="61"/>
        <v>0</v>
      </c>
      <c r="Q429" s="106">
        <f>BASE!A433</f>
        <v>418</v>
      </c>
      <c r="R429" s="97">
        <f t="shared" si="62"/>
        <v>0</v>
      </c>
      <c r="S429" s="97">
        <f t="shared" si="63"/>
        <v>0</v>
      </c>
      <c r="T429" s="97">
        <f t="shared" si="64"/>
        <v>0</v>
      </c>
      <c r="U429" s="97">
        <f t="shared" si="65"/>
        <v>0</v>
      </c>
      <c r="V429" s="97">
        <f t="shared" si="66"/>
        <v>0</v>
      </c>
      <c r="W429" s="161"/>
      <c r="X429" s="161"/>
    </row>
    <row r="430" spans="1:24" ht="15.75" customHeight="1">
      <c r="A430" s="110" t="str">
        <f>+BASE!B434</f>
        <v>23XXR419</v>
      </c>
      <c r="B430" s="106" t="s">
        <v>40</v>
      </c>
      <c r="C430" s="111">
        <f t="shared" si="51"/>
        <v>0</v>
      </c>
      <c r="D430" s="111">
        <f t="shared" si="52"/>
        <v>0</v>
      </c>
      <c r="E430" s="111">
        <f t="shared" si="53"/>
        <v>0</v>
      </c>
      <c r="F430" s="111">
        <f t="shared" si="54"/>
        <v>0</v>
      </c>
      <c r="G430" s="111">
        <f t="shared" si="55"/>
        <v>0</v>
      </c>
      <c r="H430" s="90"/>
      <c r="I430" s="97">
        <f t="shared" si="56"/>
        <v>0</v>
      </c>
      <c r="J430" s="97">
        <f t="shared" si="57"/>
        <v>0</v>
      </c>
      <c r="K430" s="97">
        <f t="shared" si="58"/>
        <v>0</v>
      </c>
      <c r="L430" s="97">
        <f t="shared" si="59"/>
        <v>0</v>
      </c>
      <c r="M430" s="97">
        <f t="shared" si="60"/>
        <v>0</v>
      </c>
      <c r="N430" s="90"/>
      <c r="O430" s="90"/>
      <c r="P430" s="112">
        <f t="shared" si="61"/>
        <v>0</v>
      </c>
      <c r="Q430" s="106">
        <f>BASE!A434</f>
        <v>419</v>
      </c>
      <c r="R430" s="97">
        <f t="shared" si="62"/>
        <v>0</v>
      </c>
      <c r="S430" s="97">
        <f t="shared" si="63"/>
        <v>0</v>
      </c>
      <c r="T430" s="97">
        <f t="shared" si="64"/>
        <v>0</v>
      </c>
      <c r="U430" s="97">
        <f t="shared" si="65"/>
        <v>0</v>
      </c>
      <c r="V430" s="97">
        <f t="shared" si="66"/>
        <v>0</v>
      </c>
      <c r="W430" s="161"/>
      <c r="X430" s="161"/>
    </row>
    <row r="431" spans="1:24" ht="15.75" customHeight="1">
      <c r="A431" s="110" t="str">
        <f>+BASE!B435</f>
        <v>23XXR420</v>
      </c>
      <c r="B431" s="106" t="s">
        <v>40</v>
      </c>
      <c r="C431" s="111">
        <f t="shared" si="51"/>
        <v>0</v>
      </c>
      <c r="D431" s="111">
        <f t="shared" si="52"/>
        <v>0</v>
      </c>
      <c r="E431" s="111">
        <f t="shared" si="53"/>
        <v>0</v>
      </c>
      <c r="F431" s="111">
        <f t="shared" si="54"/>
        <v>0</v>
      </c>
      <c r="G431" s="111">
        <f t="shared" si="55"/>
        <v>0</v>
      </c>
      <c r="H431" s="90"/>
      <c r="I431" s="97">
        <f t="shared" si="56"/>
        <v>0</v>
      </c>
      <c r="J431" s="97">
        <f t="shared" si="57"/>
        <v>0</v>
      </c>
      <c r="K431" s="97">
        <f t="shared" si="58"/>
        <v>0</v>
      </c>
      <c r="L431" s="97">
        <f t="shared" si="59"/>
        <v>0</v>
      </c>
      <c r="M431" s="97">
        <f t="shared" si="60"/>
        <v>0</v>
      </c>
      <c r="N431" s="90"/>
      <c r="O431" s="90"/>
      <c r="P431" s="112">
        <f t="shared" si="61"/>
        <v>0</v>
      </c>
      <c r="Q431" s="106">
        <f>BASE!A435</f>
        <v>420</v>
      </c>
      <c r="R431" s="97">
        <f t="shared" si="62"/>
        <v>0</v>
      </c>
      <c r="S431" s="97">
        <f t="shared" si="63"/>
        <v>0</v>
      </c>
      <c r="T431" s="97">
        <f t="shared" si="64"/>
        <v>0</v>
      </c>
      <c r="U431" s="97">
        <f t="shared" si="65"/>
        <v>0</v>
      </c>
      <c r="V431" s="97">
        <f t="shared" si="66"/>
        <v>0</v>
      </c>
      <c r="W431" s="161"/>
      <c r="X431" s="161"/>
    </row>
    <row r="432" spans="1:24" ht="15.75" customHeight="1">
      <c r="A432" s="110" t="str">
        <f>+BASE!B436</f>
        <v>23XXR421</v>
      </c>
      <c r="B432" s="106" t="s">
        <v>40</v>
      </c>
      <c r="C432" s="111">
        <f t="shared" si="51"/>
        <v>0</v>
      </c>
      <c r="D432" s="111">
        <f t="shared" si="52"/>
        <v>0</v>
      </c>
      <c r="E432" s="111">
        <f t="shared" si="53"/>
        <v>0</v>
      </c>
      <c r="F432" s="111">
        <f t="shared" si="54"/>
        <v>0</v>
      </c>
      <c r="G432" s="111">
        <f t="shared" si="55"/>
        <v>0</v>
      </c>
      <c r="H432" s="90"/>
      <c r="I432" s="97">
        <f t="shared" si="56"/>
        <v>0</v>
      </c>
      <c r="J432" s="97">
        <f t="shared" si="57"/>
        <v>0</v>
      </c>
      <c r="K432" s="97">
        <f t="shared" si="58"/>
        <v>0</v>
      </c>
      <c r="L432" s="97">
        <f t="shared" si="59"/>
        <v>0</v>
      </c>
      <c r="M432" s="97">
        <f t="shared" si="60"/>
        <v>0</v>
      </c>
      <c r="N432" s="90"/>
      <c r="O432" s="90"/>
      <c r="P432" s="112">
        <f t="shared" si="61"/>
        <v>0</v>
      </c>
      <c r="Q432" s="106">
        <f>BASE!A436</f>
        <v>421</v>
      </c>
      <c r="R432" s="97">
        <f t="shared" si="62"/>
        <v>0</v>
      </c>
      <c r="S432" s="97">
        <f t="shared" si="63"/>
        <v>0</v>
      </c>
      <c r="T432" s="97">
        <f t="shared" si="64"/>
        <v>0</v>
      </c>
      <c r="U432" s="97">
        <f t="shared" si="65"/>
        <v>0</v>
      </c>
      <c r="V432" s="97">
        <f t="shared" si="66"/>
        <v>0</v>
      </c>
      <c r="W432" s="161"/>
      <c r="X432" s="161"/>
    </row>
    <row r="433" spans="1:24" ht="15.75" customHeight="1">
      <c r="A433" s="110">
        <f>+BASE!B437</f>
        <v>0</v>
      </c>
      <c r="B433" s="106" t="s">
        <v>40</v>
      </c>
      <c r="C433" s="111">
        <f t="shared" si="51"/>
        <v>0</v>
      </c>
      <c r="D433" s="111">
        <f t="shared" si="52"/>
        <v>0</v>
      </c>
      <c r="E433" s="111">
        <f t="shared" si="53"/>
        <v>0</v>
      </c>
      <c r="F433" s="111">
        <f t="shared" si="54"/>
        <v>0</v>
      </c>
      <c r="G433" s="111">
        <f t="shared" si="55"/>
        <v>0</v>
      </c>
      <c r="H433" s="90"/>
      <c r="I433" s="97">
        <f t="shared" si="56"/>
        <v>0</v>
      </c>
      <c r="J433" s="97">
        <f t="shared" si="57"/>
        <v>0</v>
      </c>
      <c r="K433" s="97">
        <f t="shared" si="58"/>
        <v>0</v>
      </c>
      <c r="L433" s="97">
        <f t="shared" si="59"/>
        <v>0</v>
      </c>
      <c r="M433" s="97">
        <f t="shared" si="60"/>
        <v>0</v>
      </c>
      <c r="N433" s="90"/>
      <c r="O433" s="90"/>
      <c r="P433" s="112">
        <f t="shared" si="61"/>
        <v>0</v>
      </c>
      <c r="Q433" s="106">
        <f>BASE!A437</f>
        <v>422</v>
      </c>
      <c r="R433" s="97">
        <f t="shared" si="62"/>
        <v>0</v>
      </c>
      <c r="S433" s="97">
        <f t="shared" si="63"/>
        <v>0</v>
      </c>
      <c r="T433" s="97">
        <f t="shared" si="64"/>
        <v>0</v>
      </c>
      <c r="U433" s="97">
        <f t="shared" si="65"/>
        <v>0</v>
      </c>
      <c r="V433" s="97">
        <f t="shared" si="66"/>
        <v>0</v>
      </c>
      <c r="W433" s="161"/>
      <c r="X433" s="161"/>
    </row>
    <row r="434" spans="1:24" ht="15.75" customHeight="1">
      <c r="A434" s="110">
        <f>+BASE!B438</f>
        <v>0</v>
      </c>
      <c r="B434" s="106" t="s">
        <v>40</v>
      </c>
      <c r="C434" s="111">
        <f t="shared" si="51"/>
        <v>0</v>
      </c>
      <c r="D434" s="111">
        <f t="shared" si="52"/>
        <v>0</v>
      </c>
      <c r="E434" s="111">
        <f t="shared" si="53"/>
        <v>0</v>
      </c>
      <c r="F434" s="111">
        <f t="shared" si="54"/>
        <v>0</v>
      </c>
      <c r="G434" s="111">
        <f t="shared" si="55"/>
        <v>0</v>
      </c>
      <c r="H434" s="90"/>
      <c r="I434" s="97">
        <f t="shared" si="56"/>
        <v>0</v>
      </c>
      <c r="J434" s="97">
        <f t="shared" si="57"/>
        <v>0</v>
      </c>
      <c r="K434" s="97">
        <f t="shared" si="58"/>
        <v>0</v>
      </c>
      <c r="L434" s="97">
        <f t="shared" si="59"/>
        <v>0</v>
      </c>
      <c r="M434" s="97">
        <f t="shared" si="60"/>
        <v>0</v>
      </c>
      <c r="N434" s="90"/>
      <c r="O434" s="90"/>
      <c r="P434" s="112">
        <f t="shared" si="61"/>
        <v>0</v>
      </c>
      <c r="Q434" s="106">
        <f>BASE!A438</f>
        <v>423</v>
      </c>
      <c r="R434" s="97">
        <f t="shared" si="62"/>
        <v>0</v>
      </c>
      <c r="S434" s="97">
        <f t="shared" si="63"/>
        <v>0</v>
      </c>
      <c r="T434" s="97">
        <f t="shared" si="64"/>
        <v>0</v>
      </c>
      <c r="U434" s="97">
        <f t="shared" si="65"/>
        <v>0</v>
      </c>
      <c r="V434" s="97">
        <f t="shared" si="66"/>
        <v>0</v>
      </c>
      <c r="W434" s="161"/>
      <c r="X434" s="161"/>
    </row>
    <row r="435" spans="1:24" ht="15.75" customHeight="1">
      <c r="A435" s="110">
        <f>+BASE!B439</f>
        <v>0</v>
      </c>
      <c r="B435" s="106" t="s">
        <v>40</v>
      </c>
      <c r="C435" s="111">
        <f t="shared" si="51"/>
        <v>0</v>
      </c>
      <c r="D435" s="111">
        <f t="shared" si="52"/>
        <v>0</v>
      </c>
      <c r="E435" s="111">
        <f t="shared" si="53"/>
        <v>0</v>
      </c>
      <c r="F435" s="111">
        <f t="shared" si="54"/>
        <v>0</v>
      </c>
      <c r="G435" s="111">
        <f t="shared" si="55"/>
        <v>0</v>
      </c>
      <c r="H435" s="90"/>
      <c r="I435" s="97">
        <f t="shared" si="56"/>
        <v>0</v>
      </c>
      <c r="J435" s="97">
        <f t="shared" si="57"/>
        <v>0</v>
      </c>
      <c r="K435" s="97">
        <f t="shared" si="58"/>
        <v>0</v>
      </c>
      <c r="L435" s="97">
        <f t="shared" si="59"/>
        <v>0</v>
      </c>
      <c r="M435" s="97">
        <f t="shared" si="60"/>
        <v>0</v>
      </c>
      <c r="N435" s="90"/>
      <c r="O435" s="90"/>
      <c r="P435" s="112">
        <f t="shared" si="61"/>
        <v>0</v>
      </c>
      <c r="Q435" s="106">
        <f>BASE!A439</f>
        <v>424</v>
      </c>
      <c r="R435" s="97">
        <f t="shared" si="62"/>
        <v>0</v>
      </c>
      <c r="S435" s="97">
        <f t="shared" si="63"/>
        <v>0</v>
      </c>
      <c r="T435" s="97">
        <f t="shared" si="64"/>
        <v>0</v>
      </c>
      <c r="U435" s="97">
        <f t="shared" si="65"/>
        <v>0</v>
      </c>
      <c r="V435" s="97">
        <f t="shared" si="66"/>
        <v>0</v>
      </c>
      <c r="W435" s="161"/>
      <c r="X435" s="161"/>
    </row>
    <row r="436" spans="1:24" ht="15.75" customHeight="1">
      <c r="A436" s="110">
        <f>+BASE!B440</f>
        <v>0</v>
      </c>
      <c r="B436" s="106" t="s">
        <v>40</v>
      </c>
      <c r="C436" s="111">
        <f t="shared" si="51"/>
        <v>0</v>
      </c>
      <c r="D436" s="111">
        <f t="shared" si="52"/>
        <v>0</v>
      </c>
      <c r="E436" s="111">
        <f t="shared" si="53"/>
        <v>0</v>
      </c>
      <c r="F436" s="111">
        <f t="shared" si="54"/>
        <v>0</v>
      </c>
      <c r="G436" s="111">
        <f t="shared" si="55"/>
        <v>0</v>
      </c>
      <c r="H436" s="90"/>
      <c r="I436" s="97">
        <f t="shared" si="56"/>
        <v>0</v>
      </c>
      <c r="J436" s="97">
        <f t="shared" si="57"/>
        <v>0</v>
      </c>
      <c r="K436" s="97">
        <f t="shared" si="58"/>
        <v>0</v>
      </c>
      <c r="L436" s="97">
        <f t="shared" si="59"/>
        <v>0</v>
      </c>
      <c r="M436" s="97">
        <f t="shared" si="60"/>
        <v>0</v>
      </c>
      <c r="N436" s="90"/>
      <c r="O436" s="90"/>
      <c r="P436" s="112">
        <f t="shared" si="61"/>
        <v>0</v>
      </c>
      <c r="Q436" s="106">
        <f>BASE!A440</f>
        <v>425</v>
      </c>
      <c r="R436" s="97">
        <f t="shared" si="62"/>
        <v>0</v>
      </c>
      <c r="S436" s="97">
        <f t="shared" si="63"/>
        <v>0</v>
      </c>
      <c r="T436" s="97">
        <f t="shared" si="64"/>
        <v>0</v>
      </c>
      <c r="U436" s="97">
        <f t="shared" si="65"/>
        <v>0</v>
      </c>
      <c r="V436" s="97">
        <f t="shared" si="66"/>
        <v>0</v>
      </c>
      <c r="W436" s="161"/>
      <c r="X436" s="161"/>
    </row>
    <row r="437" spans="1:24" ht="15.75" customHeight="1">
      <c r="A437" s="110">
        <f>+BASE!B441</f>
        <v>0</v>
      </c>
      <c r="B437" s="106" t="s">
        <v>40</v>
      </c>
      <c r="C437" s="111">
        <f t="shared" si="51"/>
        <v>0</v>
      </c>
      <c r="D437" s="111">
        <f t="shared" si="52"/>
        <v>0</v>
      </c>
      <c r="E437" s="111">
        <f t="shared" si="53"/>
        <v>0</v>
      </c>
      <c r="F437" s="111">
        <f t="shared" si="54"/>
        <v>0</v>
      </c>
      <c r="G437" s="111">
        <f t="shared" si="55"/>
        <v>0</v>
      </c>
      <c r="H437" s="90"/>
      <c r="I437" s="97">
        <f t="shared" si="56"/>
        <v>0</v>
      </c>
      <c r="J437" s="97">
        <f t="shared" si="57"/>
        <v>0</v>
      </c>
      <c r="K437" s="97">
        <f t="shared" si="58"/>
        <v>0</v>
      </c>
      <c r="L437" s="97">
        <f t="shared" si="59"/>
        <v>0</v>
      </c>
      <c r="M437" s="97">
        <f t="shared" si="60"/>
        <v>0</v>
      </c>
      <c r="N437" s="90"/>
      <c r="O437" s="90"/>
      <c r="P437" s="112">
        <f t="shared" si="61"/>
        <v>0</v>
      </c>
      <c r="Q437" s="106">
        <f>BASE!A441</f>
        <v>426</v>
      </c>
      <c r="R437" s="97">
        <f t="shared" si="62"/>
        <v>0</v>
      </c>
      <c r="S437" s="97">
        <f t="shared" si="63"/>
        <v>0</v>
      </c>
      <c r="T437" s="97">
        <f t="shared" si="64"/>
        <v>0</v>
      </c>
      <c r="U437" s="97">
        <f t="shared" si="65"/>
        <v>0</v>
      </c>
      <c r="V437" s="97">
        <f t="shared" si="66"/>
        <v>0</v>
      </c>
      <c r="W437" s="161"/>
      <c r="X437" s="161"/>
    </row>
    <row r="438" spans="1:24" ht="15.75" customHeight="1">
      <c r="A438" s="110">
        <f>+BASE!B442</f>
        <v>0</v>
      </c>
      <c r="B438" s="106" t="s">
        <v>40</v>
      </c>
      <c r="C438" s="111">
        <f t="shared" si="51"/>
        <v>0</v>
      </c>
      <c r="D438" s="111">
        <f t="shared" si="52"/>
        <v>0</v>
      </c>
      <c r="E438" s="111">
        <f t="shared" si="53"/>
        <v>0</v>
      </c>
      <c r="F438" s="111">
        <f t="shared" si="54"/>
        <v>0</v>
      </c>
      <c r="G438" s="111">
        <f t="shared" si="55"/>
        <v>0</v>
      </c>
      <c r="H438" s="90"/>
      <c r="I438" s="97">
        <f t="shared" si="56"/>
        <v>0</v>
      </c>
      <c r="J438" s="97">
        <f t="shared" si="57"/>
        <v>0</v>
      </c>
      <c r="K438" s="97">
        <f t="shared" si="58"/>
        <v>0</v>
      </c>
      <c r="L438" s="97">
        <f t="shared" si="59"/>
        <v>0</v>
      </c>
      <c r="M438" s="97">
        <f t="shared" si="60"/>
        <v>0</v>
      </c>
      <c r="N438" s="90"/>
      <c r="O438" s="90"/>
      <c r="P438" s="112">
        <f t="shared" si="61"/>
        <v>0</v>
      </c>
      <c r="Q438" s="106">
        <f>BASE!A442</f>
        <v>427</v>
      </c>
      <c r="R438" s="97">
        <f t="shared" si="62"/>
        <v>0</v>
      </c>
      <c r="S438" s="97">
        <f t="shared" si="63"/>
        <v>0</v>
      </c>
      <c r="T438" s="97">
        <f t="shared" si="64"/>
        <v>0</v>
      </c>
      <c r="U438" s="97">
        <f t="shared" si="65"/>
        <v>0</v>
      </c>
      <c r="V438" s="97">
        <f t="shared" si="66"/>
        <v>0</v>
      </c>
      <c r="W438" s="161"/>
      <c r="X438" s="161"/>
    </row>
    <row r="439" spans="1:24" ht="15.75" customHeight="1">
      <c r="A439" s="110">
        <f>+BASE!B443</f>
        <v>0</v>
      </c>
      <c r="B439" s="106" t="s">
        <v>40</v>
      </c>
      <c r="C439" s="111">
        <f t="shared" si="51"/>
        <v>0</v>
      </c>
      <c r="D439" s="111">
        <f t="shared" si="52"/>
        <v>0</v>
      </c>
      <c r="E439" s="111">
        <f t="shared" si="53"/>
        <v>0</v>
      </c>
      <c r="F439" s="111">
        <f t="shared" si="54"/>
        <v>0</v>
      </c>
      <c r="G439" s="111">
        <f t="shared" si="55"/>
        <v>0</v>
      </c>
      <c r="H439" s="90"/>
      <c r="I439" s="97">
        <f t="shared" si="56"/>
        <v>0</v>
      </c>
      <c r="J439" s="97">
        <f t="shared" si="57"/>
        <v>0</v>
      </c>
      <c r="K439" s="97">
        <f t="shared" si="58"/>
        <v>0</v>
      </c>
      <c r="L439" s="97">
        <f t="shared" si="59"/>
        <v>0</v>
      </c>
      <c r="M439" s="97">
        <f t="shared" si="60"/>
        <v>0</v>
      </c>
      <c r="N439" s="90"/>
      <c r="O439" s="90"/>
      <c r="P439" s="112">
        <f t="shared" si="61"/>
        <v>0</v>
      </c>
      <c r="Q439" s="106">
        <f>BASE!A443</f>
        <v>428</v>
      </c>
      <c r="R439" s="97">
        <f t="shared" si="62"/>
        <v>0</v>
      </c>
      <c r="S439" s="97">
        <f t="shared" si="63"/>
        <v>0</v>
      </c>
      <c r="T439" s="97">
        <f t="shared" si="64"/>
        <v>0</v>
      </c>
      <c r="U439" s="97">
        <f t="shared" si="65"/>
        <v>0</v>
      </c>
      <c r="V439" s="97">
        <f t="shared" si="66"/>
        <v>0</v>
      </c>
      <c r="W439" s="161"/>
      <c r="X439" s="161"/>
    </row>
    <row r="440" spans="1:24" ht="15.75" customHeight="1">
      <c r="A440" s="110">
        <f>+BASE!B444</f>
        <v>0</v>
      </c>
      <c r="B440" s="106" t="s">
        <v>40</v>
      </c>
      <c r="C440" s="111">
        <f t="shared" si="51"/>
        <v>0</v>
      </c>
      <c r="D440" s="111">
        <f t="shared" si="52"/>
        <v>0</v>
      </c>
      <c r="E440" s="111">
        <f t="shared" si="53"/>
        <v>0</v>
      </c>
      <c r="F440" s="111">
        <f t="shared" si="54"/>
        <v>0</v>
      </c>
      <c r="G440" s="111">
        <f t="shared" si="55"/>
        <v>0</v>
      </c>
      <c r="H440" s="90"/>
      <c r="I440" s="97">
        <f t="shared" si="56"/>
        <v>0</v>
      </c>
      <c r="J440" s="97">
        <f t="shared" si="57"/>
        <v>0</v>
      </c>
      <c r="K440" s="97">
        <f t="shared" si="58"/>
        <v>0</v>
      </c>
      <c r="L440" s="97">
        <f t="shared" si="59"/>
        <v>0</v>
      </c>
      <c r="M440" s="97">
        <f t="shared" si="60"/>
        <v>0</v>
      </c>
      <c r="N440" s="90"/>
      <c r="O440" s="90"/>
      <c r="P440" s="112">
        <f t="shared" si="61"/>
        <v>0</v>
      </c>
      <c r="Q440" s="106">
        <f>BASE!A444</f>
        <v>429</v>
      </c>
      <c r="R440" s="97">
        <f t="shared" si="62"/>
        <v>0</v>
      </c>
      <c r="S440" s="97">
        <f t="shared" si="63"/>
        <v>0</v>
      </c>
      <c r="T440" s="97">
        <f t="shared" si="64"/>
        <v>0</v>
      </c>
      <c r="U440" s="97">
        <f t="shared" si="65"/>
        <v>0</v>
      </c>
      <c r="V440" s="97">
        <f t="shared" si="66"/>
        <v>0</v>
      </c>
      <c r="W440" s="161"/>
      <c r="X440" s="161"/>
    </row>
    <row r="441" spans="1:24" ht="15.75" customHeight="1">
      <c r="A441" s="110">
        <f>+BASE!B445</f>
        <v>0</v>
      </c>
      <c r="B441" s="106" t="s">
        <v>40</v>
      </c>
      <c r="C441" s="111">
        <f t="shared" si="51"/>
        <v>0</v>
      </c>
      <c r="D441" s="111">
        <f t="shared" si="52"/>
        <v>0</v>
      </c>
      <c r="E441" s="111">
        <f t="shared" si="53"/>
        <v>0</v>
      </c>
      <c r="F441" s="111">
        <f t="shared" si="54"/>
        <v>0</v>
      </c>
      <c r="G441" s="111">
        <f t="shared" si="55"/>
        <v>0</v>
      </c>
      <c r="H441" s="90"/>
      <c r="I441" s="97">
        <f t="shared" si="56"/>
        <v>0</v>
      </c>
      <c r="J441" s="97">
        <f t="shared" si="57"/>
        <v>0</v>
      </c>
      <c r="K441" s="97">
        <f t="shared" si="58"/>
        <v>0</v>
      </c>
      <c r="L441" s="97">
        <f t="shared" si="59"/>
        <v>0</v>
      </c>
      <c r="M441" s="97">
        <f t="shared" si="60"/>
        <v>0</v>
      </c>
      <c r="N441" s="90"/>
      <c r="O441" s="90"/>
      <c r="P441" s="112">
        <f t="shared" si="61"/>
        <v>0</v>
      </c>
      <c r="Q441" s="106">
        <f>BASE!A445</f>
        <v>430</v>
      </c>
      <c r="R441" s="97">
        <f t="shared" si="62"/>
        <v>0</v>
      </c>
      <c r="S441" s="97">
        <f t="shared" si="63"/>
        <v>0</v>
      </c>
      <c r="T441" s="97">
        <f t="shared" si="64"/>
        <v>0</v>
      </c>
      <c r="U441" s="97">
        <f t="shared" si="65"/>
        <v>0</v>
      </c>
      <c r="V441" s="97">
        <f t="shared" si="66"/>
        <v>0</v>
      </c>
      <c r="W441" s="161"/>
      <c r="X441" s="161"/>
    </row>
    <row r="442" spans="1:24" ht="15.75" customHeight="1">
      <c r="A442" s="110">
        <f>+BASE!B446</f>
        <v>0</v>
      </c>
      <c r="B442" s="106" t="s">
        <v>40</v>
      </c>
      <c r="C442" s="111">
        <f t="shared" si="51"/>
        <v>0</v>
      </c>
      <c r="D442" s="111">
        <f t="shared" si="52"/>
        <v>0</v>
      </c>
      <c r="E442" s="111">
        <f t="shared" si="53"/>
        <v>0</v>
      </c>
      <c r="F442" s="111">
        <f t="shared" si="54"/>
        <v>0</v>
      </c>
      <c r="G442" s="111">
        <f t="shared" si="55"/>
        <v>0</v>
      </c>
      <c r="H442" s="90"/>
      <c r="I442" s="97">
        <f t="shared" si="56"/>
        <v>0</v>
      </c>
      <c r="J442" s="97">
        <f t="shared" si="57"/>
        <v>0</v>
      </c>
      <c r="K442" s="97">
        <f t="shared" si="58"/>
        <v>0</v>
      </c>
      <c r="L442" s="97">
        <f t="shared" si="59"/>
        <v>0</v>
      </c>
      <c r="M442" s="97">
        <f t="shared" si="60"/>
        <v>0</v>
      </c>
      <c r="N442" s="90"/>
      <c r="O442" s="90"/>
      <c r="P442" s="112">
        <f t="shared" si="61"/>
        <v>0</v>
      </c>
      <c r="Q442" s="106">
        <f>BASE!A446</f>
        <v>431</v>
      </c>
      <c r="R442" s="97">
        <f t="shared" si="62"/>
        <v>0</v>
      </c>
      <c r="S442" s="97">
        <f t="shared" si="63"/>
        <v>0</v>
      </c>
      <c r="T442" s="97">
        <f t="shared" si="64"/>
        <v>0</v>
      </c>
      <c r="U442" s="97">
        <f t="shared" si="65"/>
        <v>0</v>
      </c>
      <c r="V442" s="97">
        <f t="shared" si="66"/>
        <v>0</v>
      </c>
      <c r="W442" s="161"/>
      <c r="X442" s="161"/>
    </row>
    <row r="443" spans="1:24" ht="15.75" customHeight="1">
      <c r="A443" s="110">
        <f>+BASE!B447</f>
        <v>0</v>
      </c>
      <c r="B443" s="106" t="s">
        <v>40</v>
      </c>
      <c r="C443" s="111">
        <f t="shared" si="51"/>
        <v>0</v>
      </c>
      <c r="D443" s="111">
        <f t="shared" si="52"/>
        <v>0</v>
      </c>
      <c r="E443" s="111">
        <f t="shared" si="53"/>
        <v>0</v>
      </c>
      <c r="F443" s="111">
        <f t="shared" si="54"/>
        <v>0</v>
      </c>
      <c r="G443" s="111">
        <f t="shared" si="55"/>
        <v>0</v>
      </c>
      <c r="H443" s="90"/>
      <c r="I443" s="97">
        <f t="shared" si="56"/>
        <v>0</v>
      </c>
      <c r="J443" s="97">
        <f t="shared" si="57"/>
        <v>0</v>
      </c>
      <c r="K443" s="97">
        <f t="shared" si="58"/>
        <v>0</v>
      </c>
      <c r="L443" s="97">
        <f t="shared" si="59"/>
        <v>0</v>
      </c>
      <c r="M443" s="97">
        <f t="shared" si="60"/>
        <v>0</v>
      </c>
      <c r="N443" s="90"/>
      <c r="O443" s="90"/>
      <c r="P443" s="112">
        <f t="shared" si="61"/>
        <v>0</v>
      </c>
      <c r="Q443" s="106">
        <f>BASE!A447</f>
        <v>432</v>
      </c>
      <c r="R443" s="97">
        <f t="shared" si="62"/>
        <v>0</v>
      </c>
      <c r="S443" s="97">
        <f t="shared" si="63"/>
        <v>0</v>
      </c>
      <c r="T443" s="97">
        <f t="shared" si="64"/>
        <v>0</v>
      </c>
      <c r="U443" s="97">
        <f t="shared" si="65"/>
        <v>0</v>
      </c>
      <c r="V443" s="97">
        <f t="shared" si="66"/>
        <v>0</v>
      </c>
      <c r="W443" s="161"/>
      <c r="X443" s="161"/>
    </row>
    <row r="444" spans="1:24" ht="15.75" customHeight="1">
      <c r="A444" s="110">
        <f>+BASE!B448</f>
        <v>0</v>
      </c>
      <c r="B444" s="106" t="s">
        <v>40</v>
      </c>
      <c r="C444" s="111">
        <f t="shared" si="51"/>
        <v>0</v>
      </c>
      <c r="D444" s="111">
        <f t="shared" si="52"/>
        <v>0</v>
      </c>
      <c r="E444" s="111">
        <f t="shared" si="53"/>
        <v>0</v>
      </c>
      <c r="F444" s="111">
        <f t="shared" si="54"/>
        <v>0</v>
      </c>
      <c r="G444" s="111">
        <f t="shared" si="55"/>
        <v>0</v>
      </c>
      <c r="H444" s="90"/>
      <c r="I444" s="97">
        <f t="shared" si="56"/>
        <v>0</v>
      </c>
      <c r="J444" s="97">
        <f t="shared" si="57"/>
        <v>0</v>
      </c>
      <c r="K444" s="97">
        <f t="shared" si="58"/>
        <v>0</v>
      </c>
      <c r="L444" s="97">
        <f t="shared" si="59"/>
        <v>0</v>
      </c>
      <c r="M444" s="97">
        <f t="shared" si="60"/>
        <v>0</v>
      </c>
      <c r="N444" s="90"/>
      <c r="O444" s="90"/>
      <c r="P444" s="112">
        <f t="shared" si="61"/>
        <v>0</v>
      </c>
      <c r="Q444" s="106">
        <f>BASE!A448</f>
        <v>433</v>
      </c>
      <c r="R444" s="97">
        <f t="shared" si="62"/>
        <v>0</v>
      </c>
      <c r="S444" s="97">
        <f t="shared" si="63"/>
        <v>0</v>
      </c>
      <c r="T444" s="97">
        <f t="shared" si="64"/>
        <v>0</v>
      </c>
      <c r="U444" s="97">
        <f t="shared" si="65"/>
        <v>0</v>
      </c>
      <c r="V444" s="97">
        <f t="shared" si="66"/>
        <v>0</v>
      </c>
      <c r="W444" s="161"/>
      <c r="X444" s="161"/>
    </row>
    <row r="445" spans="1:24" ht="15.75" customHeight="1">
      <c r="A445" s="110">
        <f>+BASE!B449</f>
        <v>0</v>
      </c>
      <c r="B445" s="106" t="s">
        <v>40</v>
      </c>
      <c r="C445" s="111">
        <f t="shared" ref="C445:C461" si="67">IF($O$7="2T+1P", W445/5, IF($O$7="3T+1P",W445/5, IF($O$7="3.5T+0.5P",W445/5, " ")))</f>
        <v>0</v>
      </c>
      <c r="D445" s="111">
        <f t="shared" ref="D445:D461" si="68">IF($O$7="2T+1P", W445/5, IF($O$7="3T+1P",W445/5, IF($O$7="3.5T+0.5P",W445/5, " ")))</f>
        <v>0</v>
      </c>
      <c r="E445" s="111">
        <f t="shared" ref="E445:E461" si="69">IF($O$7="2T+1P", W445/5, IF($O$7="3T+1P",W445/5, IF($O$7="3.5T+0.5P",W445/5, " ")))</f>
        <v>0</v>
      </c>
      <c r="F445" s="111">
        <f t="shared" ref="F445:F461" si="70">IF($O$7="2T+1P", W445/5, IF($O$7="3T+1P",W445/5, IF($O$7="3.5T+0.5P",W445/5, " ")))</f>
        <v>0</v>
      </c>
      <c r="G445" s="111">
        <f t="shared" ref="G445:G461" si="71">IF($O$7="2T+1P", W445/5, IF($O$7="3T+1P",W445/5, IF($O$7="3.5T+0.5P",W445/5, " ")))</f>
        <v>0</v>
      </c>
      <c r="H445" s="90"/>
      <c r="I445" s="97">
        <f t="shared" ref="I445:I461" si="72">IF($O$7="2T+1P", X445/5, IF($O$7="3T+1P",X445/5, IF($O$7="3.5T+0.5P",X445/5, " ")))</f>
        <v>0</v>
      </c>
      <c r="J445" s="97">
        <f t="shared" ref="J445:J461" si="73">IF($O$7="2T+1P", X445/5, IF($O$7="3T+1P",X445/5, IF($O$7="3.5T+0.5P",X445/5, " ")))</f>
        <v>0</v>
      </c>
      <c r="K445" s="97">
        <f t="shared" ref="K445:K461" si="74">IF($O$7="2T+1P", X445/5, IF($O$7="3T+1P",X445/5, IF($O$7="3.5T+0.5P",X445/5, " ")))</f>
        <v>0</v>
      </c>
      <c r="L445" s="97">
        <f t="shared" ref="L445:L461" si="75">IF($O$7="2T+1P", X445/5, IF($O$7="3T+1P",X445/5, IF($O$7="3.5T+0.5P",X445/5, " ")))</f>
        <v>0</v>
      </c>
      <c r="M445" s="97">
        <f t="shared" ref="M445:M461" si="76">IF($O$7="2T+1P", X445/5, IF($O$7="3T+1P",X445/5, IF($O$7="3.5T+0.5P",X445/5, " ")))</f>
        <v>0</v>
      </c>
      <c r="N445" s="90"/>
      <c r="O445" s="90"/>
      <c r="P445" s="112">
        <f t="shared" ref="P445:P461" si="77">SUM(C445:O445)</f>
        <v>0</v>
      </c>
      <c r="Q445" s="106">
        <f>BASE!A449</f>
        <v>434</v>
      </c>
      <c r="R445" s="97">
        <f t="shared" ref="R445:R461" si="78">SUMIF($C$11:$O$11,1,C445:O445)</f>
        <v>0</v>
      </c>
      <c r="S445" s="97">
        <f t="shared" ref="S445:S461" si="79">SUMIF($C$11:$O$11,2,D445:P445)</f>
        <v>0</v>
      </c>
      <c r="T445" s="97">
        <f t="shared" ref="T445:T461" si="80">SUMIF($C$11:$O$11,3,E445:Q445)</f>
        <v>0</v>
      </c>
      <c r="U445" s="97">
        <f t="shared" ref="U445:U461" si="81">SUMIF($C$11:$O$11,4,C445:O445)</f>
        <v>0</v>
      </c>
      <c r="V445" s="97">
        <f t="shared" ref="V445:V461" si="82">SUMIF($C$11:$O$11,5,C445:O445)</f>
        <v>0</v>
      </c>
      <c r="W445" s="161"/>
      <c r="X445" s="161"/>
    </row>
    <row r="446" spans="1:24" ht="15.75" customHeight="1">
      <c r="A446" s="110">
        <f>+BASE!B450</f>
        <v>0</v>
      </c>
      <c r="B446" s="106" t="s">
        <v>40</v>
      </c>
      <c r="C446" s="111">
        <f t="shared" si="67"/>
        <v>0</v>
      </c>
      <c r="D446" s="111">
        <f t="shared" si="68"/>
        <v>0</v>
      </c>
      <c r="E446" s="111">
        <f t="shared" si="69"/>
        <v>0</v>
      </c>
      <c r="F446" s="111">
        <f t="shared" si="70"/>
        <v>0</v>
      </c>
      <c r="G446" s="111">
        <f t="shared" si="71"/>
        <v>0</v>
      </c>
      <c r="H446" s="90"/>
      <c r="I446" s="97">
        <f t="shared" si="72"/>
        <v>0</v>
      </c>
      <c r="J446" s="97">
        <f t="shared" si="73"/>
        <v>0</v>
      </c>
      <c r="K446" s="97">
        <f t="shared" si="74"/>
        <v>0</v>
      </c>
      <c r="L446" s="97">
        <f t="shared" si="75"/>
        <v>0</v>
      </c>
      <c r="M446" s="97">
        <f t="shared" si="76"/>
        <v>0</v>
      </c>
      <c r="N446" s="90"/>
      <c r="O446" s="90"/>
      <c r="P446" s="112">
        <f t="shared" si="77"/>
        <v>0</v>
      </c>
      <c r="Q446" s="106">
        <f>BASE!A450</f>
        <v>435</v>
      </c>
      <c r="R446" s="97">
        <f t="shared" si="78"/>
        <v>0</v>
      </c>
      <c r="S446" s="97">
        <f t="shared" si="79"/>
        <v>0</v>
      </c>
      <c r="T446" s="97">
        <f t="shared" si="80"/>
        <v>0</v>
      </c>
      <c r="U446" s="97">
        <f t="shared" si="81"/>
        <v>0</v>
      </c>
      <c r="V446" s="97">
        <f t="shared" si="82"/>
        <v>0</v>
      </c>
      <c r="W446" s="161"/>
      <c r="X446" s="161"/>
    </row>
    <row r="447" spans="1:24" ht="15.75" customHeight="1">
      <c r="A447" s="110">
        <f>+BASE!B451</f>
        <v>0</v>
      </c>
      <c r="B447" s="106" t="s">
        <v>40</v>
      </c>
      <c r="C447" s="111">
        <f t="shared" si="67"/>
        <v>0</v>
      </c>
      <c r="D447" s="111">
        <f t="shared" si="68"/>
        <v>0</v>
      </c>
      <c r="E447" s="111">
        <f t="shared" si="69"/>
        <v>0</v>
      </c>
      <c r="F447" s="111">
        <f t="shared" si="70"/>
        <v>0</v>
      </c>
      <c r="G447" s="111">
        <f t="shared" si="71"/>
        <v>0</v>
      </c>
      <c r="H447" s="90"/>
      <c r="I447" s="97">
        <f t="shared" si="72"/>
        <v>0</v>
      </c>
      <c r="J447" s="97">
        <f t="shared" si="73"/>
        <v>0</v>
      </c>
      <c r="K447" s="97">
        <f t="shared" si="74"/>
        <v>0</v>
      </c>
      <c r="L447" s="97">
        <f t="shared" si="75"/>
        <v>0</v>
      </c>
      <c r="M447" s="97">
        <f t="shared" si="76"/>
        <v>0</v>
      </c>
      <c r="N447" s="90"/>
      <c r="O447" s="90"/>
      <c r="P447" s="112">
        <f t="shared" si="77"/>
        <v>0</v>
      </c>
      <c r="Q447" s="106">
        <f>BASE!A451</f>
        <v>436</v>
      </c>
      <c r="R447" s="97">
        <f t="shared" si="78"/>
        <v>0</v>
      </c>
      <c r="S447" s="97">
        <f t="shared" si="79"/>
        <v>0</v>
      </c>
      <c r="T447" s="97">
        <f t="shared" si="80"/>
        <v>0</v>
      </c>
      <c r="U447" s="97">
        <f t="shared" si="81"/>
        <v>0</v>
      </c>
      <c r="V447" s="97">
        <f t="shared" si="82"/>
        <v>0</v>
      </c>
      <c r="W447" s="161"/>
      <c r="X447" s="161"/>
    </row>
    <row r="448" spans="1:24" ht="15.75" customHeight="1">
      <c r="A448" s="110">
        <f>+BASE!B452</f>
        <v>0</v>
      </c>
      <c r="B448" s="106" t="s">
        <v>40</v>
      </c>
      <c r="C448" s="111">
        <f t="shared" si="67"/>
        <v>0</v>
      </c>
      <c r="D448" s="111">
        <f t="shared" si="68"/>
        <v>0</v>
      </c>
      <c r="E448" s="111">
        <f t="shared" si="69"/>
        <v>0</v>
      </c>
      <c r="F448" s="111">
        <f t="shared" si="70"/>
        <v>0</v>
      </c>
      <c r="G448" s="111">
        <f t="shared" si="71"/>
        <v>0</v>
      </c>
      <c r="H448" s="90"/>
      <c r="I448" s="97">
        <f t="shared" si="72"/>
        <v>0</v>
      </c>
      <c r="J448" s="97">
        <f t="shared" si="73"/>
        <v>0</v>
      </c>
      <c r="K448" s="97">
        <f t="shared" si="74"/>
        <v>0</v>
      </c>
      <c r="L448" s="97">
        <f t="shared" si="75"/>
        <v>0</v>
      </c>
      <c r="M448" s="97">
        <f t="shared" si="76"/>
        <v>0</v>
      </c>
      <c r="N448" s="90"/>
      <c r="O448" s="90"/>
      <c r="P448" s="112">
        <f t="shared" si="77"/>
        <v>0</v>
      </c>
      <c r="Q448" s="106">
        <f>BASE!A452</f>
        <v>437</v>
      </c>
      <c r="R448" s="97">
        <f t="shared" si="78"/>
        <v>0</v>
      </c>
      <c r="S448" s="97">
        <f t="shared" si="79"/>
        <v>0</v>
      </c>
      <c r="T448" s="97">
        <f t="shared" si="80"/>
        <v>0</v>
      </c>
      <c r="U448" s="97">
        <f t="shared" si="81"/>
        <v>0</v>
      </c>
      <c r="V448" s="97">
        <f t="shared" si="82"/>
        <v>0</v>
      </c>
      <c r="W448" s="161"/>
      <c r="X448" s="161"/>
    </row>
    <row r="449" spans="1:24" ht="15.75" customHeight="1">
      <c r="A449" s="110">
        <f>+BASE!B453</f>
        <v>0</v>
      </c>
      <c r="B449" s="106" t="s">
        <v>40</v>
      </c>
      <c r="C449" s="111">
        <f t="shared" si="67"/>
        <v>0</v>
      </c>
      <c r="D449" s="111">
        <f t="shared" si="68"/>
        <v>0</v>
      </c>
      <c r="E449" s="111">
        <f t="shared" si="69"/>
        <v>0</v>
      </c>
      <c r="F449" s="111">
        <f t="shared" si="70"/>
        <v>0</v>
      </c>
      <c r="G449" s="111">
        <f t="shared" si="71"/>
        <v>0</v>
      </c>
      <c r="H449" s="90"/>
      <c r="I449" s="97">
        <f t="shared" si="72"/>
        <v>0</v>
      </c>
      <c r="J449" s="97">
        <f t="shared" si="73"/>
        <v>0</v>
      </c>
      <c r="K449" s="97">
        <f t="shared" si="74"/>
        <v>0</v>
      </c>
      <c r="L449" s="97">
        <f t="shared" si="75"/>
        <v>0</v>
      </c>
      <c r="M449" s="97">
        <f t="shared" si="76"/>
        <v>0</v>
      </c>
      <c r="N449" s="90"/>
      <c r="O449" s="90"/>
      <c r="P449" s="112">
        <f t="shared" si="77"/>
        <v>0</v>
      </c>
      <c r="Q449" s="106">
        <f>BASE!A453</f>
        <v>438</v>
      </c>
      <c r="R449" s="97">
        <f t="shared" si="78"/>
        <v>0</v>
      </c>
      <c r="S449" s="97">
        <f t="shared" si="79"/>
        <v>0</v>
      </c>
      <c r="T449" s="97">
        <f t="shared" si="80"/>
        <v>0</v>
      </c>
      <c r="U449" s="97">
        <f t="shared" si="81"/>
        <v>0</v>
      </c>
      <c r="V449" s="97">
        <f t="shared" si="82"/>
        <v>0</v>
      </c>
      <c r="W449" s="161"/>
      <c r="X449" s="161"/>
    </row>
    <row r="450" spans="1:24" ht="15.75" customHeight="1">
      <c r="A450" s="110">
        <f>+BASE!B454</f>
        <v>0</v>
      </c>
      <c r="B450" s="106" t="s">
        <v>40</v>
      </c>
      <c r="C450" s="111">
        <f t="shared" si="67"/>
        <v>0</v>
      </c>
      <c r="D450" s="111">
        <f t="shared" si="68"/>
        <v>0</v>
      </c>
      <c r="E450" s="111">
        <f t="shared" si="69"/>
        <v>0</v>
      </c>
      <c r="F450" s="111">
        <f t="shared" si="70"/>
        <v>0</v>
      </c>
      <c r="G450" s="111">
        <f t="shared" si="71"/>
        <v>0</v>
      </c>
      <c r="H450" s="90"/>
      <c r="I450" s="97">
        <f t="shared" si="72"/>
        <v>0</v>
      </c>
      <c r="J450" s="97">
        <f t="shared" si="73"/>
        <v>0</v>
      </c>
      <c r="K450" s="97">
        <f t="shared" si="74"/>
        <v>0</v>
      </c>
      <c r="L450" s="97">
        <f t="shared" si="75"/>
        <v>0</v>
      </c>
      <c r="M450" s="97">
        <f t="shared" si="76"/>
        <v>0</v>
      </c>
      <c r="N450" s="90"/>
      <c r="O450" s="90"/>
      <c r="P450" s="112">
        <f t="shared" si="77"/>
        <v>0</v>
      </c>
      <c r="Q450" s="106">
        <f>BASE!A454</f>
        <v>439</v>
      </c>
      <c r="R450" s="97">
        <f t="shared" si="78"/>
        <v>0</v>
      </c>
      <c r="S450" s="97">
        <f t="shared" si="79"/>
        <v>0</v>
      </c>
      <c r="T450" s="97">
        <f t="shared" si="80"/>
        <v>0</v>
      </c>
      <c r="U450" s="97">
        <f t="shared" si="81"/>
        <v>0</v>
      </c>
      <c r="V450" s="97">
        <f t="shared" si="82"/>
        <v>0</v>
      </c>
      <c r="W450" s="161"/>
      <c r="X450" s="161"/>
    </row>
    <row r="451" spans="1:24" ht="15.75" customHeight="1">
      <c r="A451" s="110">
        <f>+BASE!B455</f>
        <v>0</v>
      </c>
      <c r="B451" s="106" t="s">
        <v>40</v>
      </c>
      <c r="C451" s="111">
        <f t="shared" si="67"/>
        <v>0</v>
      </c>
      <c r="D451" s="111">
        <f t="shared" si="68"/>
        <v>0</v>
      </c>
      <c r="E451" s="111">
        <f t="shared" si="69"/>
        <v>0</v>
      </c>
      <c r="F451" s="111">
        <f t="shared" si="70"/>
        <v>0</v>
      </c>
      <c r="G451" s="111">
        <f t="shared" si="71"/>
        <v>0</v>
      </c>
      <c r="H451" s="90"/>
      <c r="I451" s="97">
        <f t="shared" si="72"/>
        <v>0</v>
      </c>
      <c r="J451" s="97">
        <f t="shared" si="73"/>
        <v>0</v>
      </c>
      <c r="K451" s="97">
        <f t="shared" si="74"/>
        <v>0</v>
      </c>
      <c r="L451" s="97">
        <f t="shared" si="75"/>
        <v>0</v>
      </c>
      <c r="M451" s="97">
        <f t="shared" si="76"/>
        <v>0</v>
      </c>
      <c r="N451" s="90"/>
      <c r="O451" s="90"/>
      <c r="P451" s="112">
        <f t="shared" si="77"/>
        <v>0</v>
      </c>
      <c r="Q451" s="106">
        <f>BASE!A455</f>
        <v>440</v>
      </c>
      <c r="R451" s="97">
        <f t="shared" si="78"/>
        <v>0</v>
      </c>
      <c r="S451" s="97">
        <f t="shared" si="79"/>
        <v>0</v>
      </c>
      <c r="T451" s="97">
        <f t="shared" si="80"/>
        <v>0</v>
      </c>
      <c r="U451" s="97">
        <f t="shared" si="81"/>
        <v>0</v>
      </c>
      <c r="V451" s="97">
        <f t="shared" si="82"/>
        <v>0</v>
      </c>
      <c r="W451" s="161"/>
      <c r="X451" s="161"/>
    </row>
    <row r="452" spans="1:24" ht="15.75" customHeight="1">
      <c r="A452" s="110">
        <f>+BASE!B456</f>
        <v>0</v>
      </c>
      <c r="B452" s="106" t="s">
        <v>40</v>
      </c>
      <c r="C452" s="111">
        <f t="shared" si="67"/>
        <v>0</v>
      </c>
      <c r="D452" s="111">
        <f t="shared" si="68"/>
        <v>0</v>
      </c>
      <c r="E452" s="111">
        <f t="shared" si="69"/>
        <v>0</v>
      </c>
      <c r="F452" s="111">
        <f t="shared" si="70"/>
        <v>0</v>
      </c>
      <c r="G452" s="111">
        <f t="shared" si="71"/>
        <v>0</v>
      </c>
      <c r="H452" s="90"/>
      <c r="I452" s="97">
        <f t="shared" si="72"/>
        <v>0</v>
      </c>
      <c r="J452" s="97">
        <f t="shared" si="73"/>
        <v>0</v>
      </c>
      <c r="K452" s="97">
        <f t="shared" si="74"/>
        <v>0</v>
      </c>
      <c r="L452" s="97">
        <f t="shared" si="75"/>
        <v>0</v>
      </c>
      <c r="M452" s="97">
        <f t="shared" si="76"/>
        <v>0</v>
      </c>
      <c r="N452" s="90"/>
      <c r="O452" s="90"/>
      <c r="P452" s="112">
        <f t="shared" si="77"/>
        <v>0</v>
      </c>
      <c r="Q452" s="106">
        <f>BASE!A456</f>
        <v>441</v>
      </c>
      <c r="R452" s="97">
        <f t="shared" si="78"/>
        <v>0</v>
      </c>
      <c r="S452" s="97">
        <f t="shared" si="79"/>
        <v>0</v>
      </c>
      <c r="T452" s="97">
        <f t="shared" si="80"/>
        <v>0</v>
      </c>
      <c r="U452" s="97">
        <f t="shared" si="81"/>
        <v>0</v>
      </c>
      <c r="V452" s="97">
        <f t="shared" si="82"/>
        <v>0</v>
      </c>
      <c r="W452" s="161"/>
      <c r="X452" s="161"/>
    </row>
    <row r="453" spans="1:24" ht="15.75" customHeight="1">
      <c r="A453" s="110">
        <f>+BASE!B457</f>
        <v>0</v>
      </c>
      <c r="B453" s="106" t="s">
        <v>40</v>
      </c>
      <c r="C453" s="111">
        <f t="shared" si="67"/>
        <v>0</v>
      </c>
      <c r="D453" s="111">
        <f t="shared" si="68"/>
        <v>0</v>
      </c>
      <c r="E453" s="111">
        <f t="shared" si="69"/>
        <v>0</v>
      </c>
      <c r="F453" s="111">
        <f t="shared" si="70"/>
        <v>0</v>
      </c>
      <c r="G453" s="111">
        <f t="shared" si="71"/>
        <v>0</v>
      </c>
      <c r="H453" s="90"/>
      <c r="I453" s="97">
        <f t="shared" si="72"/>
        <v>0</v>
      </c>
      <c r="J453" s="97">
        <f t="shared" si="73"/>
        <v>0</v>
      </c>
      <c r="K453" s="97">
        <f t="shared" si="74"/>
        <v>0</v>
      </c>
      <c r="L453" s="97">
        <f t="shared" si="75"/>
        <v>0</v>
      </c>
      <c r="M453" s="97">
        <f t="shared" si="76"/>
        <v>0</v>
      </c>
      <c r="N453" s="90"/>
      <c r="O453" s="90"/>
      <c r="P453" s="112">
        <f t="shared" si="77"/>
        <v>0</v>
      </c>
      <c r="Q453" s="106">
        <f>BASE!A457</f>
        <v>442</v>
      </c>
      <c r="R453" s="97">
        <f t="shared" si="78"/>
        <v>0</v>
      </c>
      <c r="S453" s="97">
        <f t="shared" si="79"/>
        <v>0</v>
      </c>
      <c r="T453" s="97">
        <f t="shared" si="80"/>
        <v>0</v>
      </c>
      <c r="U453" s="97">
        <f t="shared" si="81"/>
        <v>0</v>
      </c>
      <c r="V453" s="97">
        <f t="shared" si="82"/>
        <v>0</v>
      </c>
      <c r="W453" s="161"/>
      <c r="X453" s="161"/>
    </row>
    <row r="454" spans="1:24" ht="15.75" customHeight="1">
      <c r="A454" s="110">
        <f>+BASE!B458</f>
        <v>0</v>
      </c>
      <c r="B454" s="106" t="s">
        <v>40</v>
      </c>
      <c r="C454" s="111">
        <f t="shared" si="67"/>
        <v>0</v>
      </c>
      <c r="D454" s="111">
        <f t="shared" si="68"/>
        <v>0</v>
      </c>
      <c r="E454" s="111">
        <f t="shared" si="69"/>
        <v>0</v>
      </c>
      <c r="F454" s="111">
        <f t="shared" si="70"/>
        <v>0</v>
      </c>
      <c r="G454" s="111">
        <f t="shared" si="71"/>
        <v>0</v>
      </c>
      <c r="H454" s="90"/>
      <c r="I454" s="97">
        <f t="shared" si="72"/>
        <v>0</v>
      </c>
      <c r="J454" s="97">
        <f t="shared" si="73"/>
        <v>0</v>
      </c>
      <c r="K454" s="97">
        <f t="shared" si="74"/>
        <v>0</v>
      </c>
      <c r="L454" s="97">
        <f t="shared" si="75"/>
        <v>0</v>
      </c>
      <c r="M454" s="97">
        <f t="shared" si="76"/>
        <v>0</v>
      </c>
      <c r="N454" s="90"/>
      <c r="O454" s="90"/>
      <c r="P454" s="112">
        <f t="shared" si="77"/>
        <v>0</v>
      </c>
      <c r="Q454" s="106">
        <f>BASE!A458</f>
        <v>443</v>
      </c>
      <c r="R454" s="97">
        <f t="shared" si="78"/>
        <v>0</v>
      </c>
      <c r="S454" s="97">
        <f t="shared" si="79"/>
        <v>0</v>
      </c>
      <c r="T454" s="97">
        <f t="shared" si="80"/>
        <v>0</v>
      </c>
      <c r="U454" s="97">
        <f t="shared" si="81"/>
        <v>0</v>
      </c>
      <c r="V454" s="97">
        <f t="shared" si="82"/>
        <v>0</v>
      </c>
      <c r="W454" s="161"/>
      <c r="X454" s="161"/>
    </row>
    <row r="455" spans="1:24" ht="15.75" customHeight="1">
      <c r="A455" s="110">
        <f>+BASE!B459</f>
        <v>0</v>
      </c>
      <c r="B455" s="106" t="s">
        <v>40</v>
      </c>
      <c r="C455" s="111">
        <f t="shared" si="67"/>
        <v>0</v>
      </c>
      <c r="D455" s="111">
        <f t="shared" si="68"/>
        <v>0</v>
      </c>
      <c r="E455" s="111">
        <f t="shared" si="69"/>
        <v>0</v>
      </c>
      <c r="F455" s="111">
        <f t="shared" si="70"/>
        <v>0</v>
      </c>
      <c r="G455" s="111">
        <f t="shared" si="71"/>
        <v>0</v>
      </c>
      <c r="H455" s="90"/>
      <c r="I455" s="97">
        <f t="shared" si="72"/>
        <v>0</v>
      </c>
      <c r="J455" s="97">
        <f t="shared" si="73"/>
        <v>0</v>
      </c>
      <c r="K455" s="97">
        <f t="shared" si="74"/>
        <v>0</v>
      </c>
      <c r="L455" s="97">
        <f t="shared" si="75"/>
        <v>0</v>
      </c>
      <c r="M455" s="97">
        <f t="shared" si="76"/>
        <v>0</v>
      </c>
      <c r="N455" s="90"/>
      <c r="O455" s="90"/>
      <c r="P455" s="112">
        <f t="shared" si="77"/>
        <v>0</v>
      </c>
      <c r="Q455" s="106">
        <f>BASE!A459</f>
        <v>444</v>
      </c>
      <c r="R455" s="97">
        <f t="shared" si="78"/>
        <v>0</v>
      </c>
      <c r="S455" s="97">
        <f t="shared" si="79"/>
        <v>0</v>
      </c>
      <c r="T455" s="97">
        <f t="shared" si="80"/>
        <v>0</v>
      </c>
      <c r="U455" s="97">
        <f t="shared" si="81"/>
        <v>0</v>
      </c>
      <c r="V455" s="97">
        <f t="shared" si="82"/>
        <v>0</v>
      </c>
      <c r="W455" s="161"/>
      <c r="X455" s="161"/>
    </row>
    <row r="456" spans="1:24" ht="15.75" customHeight="1">
      <c r="A456" s="110">
        <f>+BASE!B460</f>
        <v>0</v>
      </c>
      <c r="B456" s="106" t="s">
        <v>40</v>
      </c>
      <c r="C456" s="111">
        <f t="shared" si="67"/>
        <v>0</v>
      </c>
      <c r="D456" s="111">
        <f t="shared" si="68"/>
        <v>0</v>
      </c>
      <c r="E456" s="111">
        <f t="shared" si="69"/>
        <v>0</v>
      </c>
      <c r="F456" s="111">
        <f t="shared" si="70"/>
        <v>0</v>
      </c>
      <c r="G456" s="111">
        <f t="shared" si="71"/>
        <v>0</v>
      </c>
      <c r="H456" s="90"/>
      <c r="I456" s="97">
        <f t="shared" si="72"/>
        <v>0</v>
      </c>
      <c r="J456" s="97">
        <f t="shared" si="73"/>
        <v>0</v>
      </c>
      <c r="K456" s="97">
        <f t="shared" si="74"/>
        <v>0</v>
      </c>
      <c r="L456" s="97">
        <f t="shared" si="75"/>
        <v>0</v>
      </c>
      <c r="M456" s="97">
        <f t="shared" si="76"/>
        <v>0</v>
      </c>
      <c r="N456" s="90"/>
      <c r="O456" s="90"/>
      <c r="P456" s="112">
        <f t="shared" si="77"/>
        <v>0</v>
      </c>
      <c r="Q456" s="106">
        <f>BASE!A460</f>
        <v>445</v>
      </c>
      <c r="R456" s="97">
        <f t="shared" si="78"/>
        <v>0</v>
      </c>
      <c r="S456" s="97">
        <f t="shared" si="79"/>
        <v>0</v>
      </c>
      <c r="T456" s="97">
        <f t="shared" si="80"/>
        <v>0</v>
      </c>
      <c r="U456" s="97">
        <f t="shared" si="81"/>
        <v>0</v>
      </c>
      <c r="V456" s="97">
        <f t="shared" si="82"/>
        <v>0</v>
      </c>
      <c r="W456" s="161"/>
      <c r="X456" s="161"/>
    </row>
    <row r="457" spans="1:24" ht="15.75" customHeight="1">
      <c r="A457" s="110">
        <f>+BASE!B461</f>
        <v>0</v>
      </c>
      <c r="B457" s="106" t="s">
        <v>40</v>
      </c>
      <c r="C457" s="111">
        <f t="shared" si="67"/>
        <v>0</v>
      </c>
      <c r="D457" s="111">
        <f t="shared" si="68"/>
        <v>0</v>
      </c>
      <c r="E457" s="111">
        <f t="shared" si="69"/>
        <v>0</v>
      </c>
      <c r="F457" s="111">
        <f t="shared" si="70"/>
        <v>0</v>
      </c>
      <c r="G457" s="111">
        <f t="shared" si="71"/>
        <v>0</v>
      </c>
      <c r="H457" s="90"/>
      <c r="I457" s="97">
        <f t="shared" si="72"/>
        <v>0</v>
      </c>
      <c r="J457" s="97">
        <f t="shared" si="73"/>
        <v>0</v>
      </c>
      <c r="K457" s="97">
        <f t="shared" si="74"/>
        <v>0</v>
      </c>
      <c r="L457" s="97">
        <f t="shared" si="75"/>
        <v>0</v>
      </c>
      <c r="M457" s="97">
        <f t="shared" si="76"/>
        <v>0</v>
      </c>
      <c r="N457" s="90"/>
      <c r="O457" s="90"/>
      <c r="P457" s="112">
        <f t="shared" si="77"/>
        <v>0</v>
      </c>
      <c r="Q457" s="106">
        <f>BASE!A461</f>
        <v>446</v>
      </c>
      <c r="R457" s="97">
        <f t="shared" si="78"/>
        <v>0</v>
      </c>
      <c r="S457" s="97">
        <f t="shared" si="79"/>
        <v>0</v>
      </c>
      <c r="T457" s="97">
        <f t="shared" si="80"/>
        <v>0</v>
      </c>
      <c r="U457" s="97">
        <f t="shared" si="81"/>
        <v>0</v>
      </c>
      <c r="V457" s="97">
        <f t="shared" si="82"/>
        <v>0</v>
      </c>
      <c r="W457" s="161"/>
      <c r="X457" s="161"/>
    </row>
    <row r="458" spans="1:24" ht="15.75" customHeight="1">
      <c r="A458" s="110">
        <f>+BASE!B462</f>
        <v>0</v>
      </c>
      <c r="B458" s="106" t="s">
        <v>40</v>
      </c>
      <c r="C458" s="111">
        <f t="shared" si="67"/>
        <v>0</v>
      </c>
      <c r="D458" s="111">
        <f t="shared" si="68"/>
        <v>0</v>
      </c>
      <c r="E458" s="111">
        <f t="shared" si="69"/>
        <v>0</v>
      </c>
      <c r="F458" s="111">
        <f t="shared" si="70"/>
        <v>0</v>
      </c>
      <c r="G458" s="111">
        <f t="shared" si="71"/>
        <v>0</v>
      </c>
      <c r="H458" s="90"/>
      <c r="I458" s="97">
        <f t="shared" si="72"/>
        <v>0</v>
      </c>
      <c r="J458" s="97">
        <f t="shared" si="73"/>
        <v>0</v>
      </c>
      <c r="K458" s="97">
        <f t="shared" si="74"/>
        <v>0</v>
      </c>
      <c r="L458" s="97">
        <f t="shared" si="75"/>
        <v>0</v>
      </c>
      <c r="M458" s="97">
        <f t="shared" si="76"/>
        <v>0</v>
      </c>
      <c r="N458" s="90"/>
      <c r="O458" s="90"/>
      <c r="P458" s="112">
        <f t="shared" si="77"/>
        <v>0</v>
      </c>
      <c r="Q458" s="106">
        <f>BASE!A462</f>
        <v>447</v>
      </c>
      <c r="R458" s="97">
        <f t="shared" si="78"/>
        <v>0</v>
      </c>
      <c r="S458" s="97">
        <f t="shared" si="79"/>
        <v>0</v>
      </c>
      <c r="T458" s="97">
        <f t="shared" si="80"/>
        <v>0</v>
      </c>
      <c r="U458" s="97">
        <f t="shared" si="81"/>
        <v>0</v>
      </c>
      <c r="V458" s="97">
        <f t="shared" si="82"/>
        <v>0</v>
      </c>
      <c r="W458" s="161"/>
      <c r="X458" s="161"/>
    </row>
    <row r="459" spans="1:24" ht="15.75" customHeight="1">
      <c r="A459" s="110">
        <f>+BASE!B463</f>
        <v>0</v>
      </c>
      <c r="B459" s="106" t="s">
        <v>40</v>
      </c>
      <c r="C459" s="111">
        <f t="shared" si="67"/>
        <v>0</v>
      </c>
      <c r="D459" s="111">
        <f t="shared" si="68"/>
        <v>0</v>
      </c>
      <c r="E459" s="111">
        <f t="shared" si="69"/>
        <v>0</v>
      </c>
      <c r="F459" s="111">
        <f t="shared" si="70"/>
        <v>0</v>
      </c>
      <c r="G459" s="111">
        <f t="shared" si="71"/>
        <v>0</v>
      </c>
      <c r="H459" s="90"/>
      <c r="I459" s="97">
        <f t="shared" si="72"/>
        <v>0</v>
      </c>
      <c r="J459" s="97">
        <f t="shared" si="73"/>
        <v>0</v>
      </c>
      <c r="K459" s="97">
        <f t="shared" si="74"/>
        <v>0</v>
      </c>
      <c r="L459" s="97">
        <f t="shared" si="75"/>
        <v>0</v>
      </c>
      <c r="M459" s="97">
        <f t="shared" si="76"/>
        <v>0</v>
      </c>
      <c r="N459" s="90"/>
      <c r="O459" s="90"/>
      <c r="P459" s="112">
        <f t="shared" si="77"/>
        <v>0</v>
      </c>
      <c r="Q459" s="106">
        <f>BASE!A463</f>
        <v>448</v>
      </c>
      <c r="R459" s="97">
        <f t="shared" si="78"/>
        <v>0</v>
      </c>
      <c r="S459" s="97">
        <f t="shared" si="79"/>
        <v>0</v>
      </c>
      <c r="T459" s="97">
        <f t="shared" si="80"/>
        <v>0</v>
      </c>
      <c r="U459" s="97">
        <f t="shared" si="81"/>
        <v>0</v>
      </c>
      <c r="V459" s="97">
        <f t="shared" si="82"/>
        <v>0</v>
      </c>
      <c r="W459" s="161"/>
      <c r="X459" s="161"/>
    </row>
    <row r="460" spans="1:24" ht="15.75" customHeight="1">
      <c r="A460" s="110">
        <f>+BASE!B464</f>
        <v>0</v>
      </c>
      <c r="B460" s="106" t="s">
        <v>40</v>
      </c>
      <c r="C460" s="111">
        <f t="shared" si="67"/>
        <v>0</v>
      </c>
      <c r="D460" s="111">
        <f t="shared" si="68"/>
        <v>0</v>
      </c>
      <c r="E460" s="111">
        <f t="shared" si="69"/>
        <v>0</v>
      </c>
      <c r="F460" s="111">
        <f t="shared" si="70"/>
        <v>0</v>
      </c>
      <c r="G460" s="111">
        <f t="shared" si="71"/>
        <v>0</v>
      </c>
      <c r="H460" s="90"/>
      <c r="I460" s="97">
        <f t="shared" si="72"/>
        <v>0</v>
      </c>
      <c r="J460" s="97">
        <f t="shared" si="73"/>
        <v>0</v>
      </c>
      <c r="K460" s="97">
        <f t="shared" si="74"/>
        <v>0</v>
      </c>
      <c r="L460" s="97">
        <f t="shared" si="75"/>
        <v>0</v>
      </c>
      <c r="M460" s="97">
        <f t="shared" si="76"/>
        <v>0</v>
      </c>
      <c r="N460" s="90"/>
      <c r="O460" s="90"/>
      <c r="P460" s="112">
        <f t="shared" si="77"/>
        <v>0</v>
      </c>
      <c r="Q460" s="106">
        <f>BASE!A464</f>
        <v>449</v>
      </c>
      <c r="R460" s="97">
        <f t="shared" si="78"/>
        <v>0</v>
      </c>
      <c r="S460" s="97">
        <f t="shared" si="79"/>
        <v>0</v>
      </c>
      <c r="T460" s="97">
        <f t="shared" si="80"/>
        <v>0</v>
      </c>
      <c r="U460" s="97">
        <f t="shared" si="81"/>
        <v>0</v>
      </c>
      <c r="V460" s="97">
        <f t="shared" si="82"/>
        <v>0</v>
      </c>
      <c r="W460" s="161"/>
      <c r="X460" s="161"/>
    </row>
    <row r="461" spans="1:24" ht="15.75" customHeight="1">
      <c r="A461" s="110">
        <f>+BASE!B465</f>
        <v>0</v>
      </c>
      <c r="B461" s="106" t="s">
        <v>40</v>
      </c>
      <c r="C461" s="111">
        <f t="shared" si="67"/>
        <v>0</v>
      </c>
      <c r="D461" s="111">
        <f t="shared" si="68"/>
        <v>0</v>
      </c>
      <c r="E461" s="111">
        <f t="shared" si="69"/>
        <v>0</v>
      </c>
      <c r="F461" s="111">
        <f t="shared" si="70"/>
        <v>0</v>
      </c>
      <c r="G461" s="111">
        <f t="shared" si="71"/>
        <v>0</v>
      </c>
      <c r="H461" s="90"/>
      <c r="I461" s="97">
        <f t="shared" si="72"/>
        <v>0</v>
      </c>
      <c r="J461" s="97">
        <f t="shared" si="73"/>
        <v>0</v>
      </c>
      <c r="K461" s="97">
        <f t="shared" si="74"/>
        <v>0</v>
      </c>
      <c r="L461" s="97">
        <f t="shared" si="75"/>
        <v>0</v>
      </c>
      <c r="M461" s="97">
        <f t="shared" si="76"/>
        <v>0</v>
      </c>
      <c r="N461" s="90"/>
      <c r="O461" s="90"/>
      <c r="P461" s="112">
        <f t="shared" si="77"/>
        <v>0</v>
      </c>
      <c r="Q461" s="106">
        <f>BASE!A465</f>
        <v>450</v>
      </c>
      <c r="R461" s="97">
        <f t="shared" si="78"/>
        <v>0</v>
      </c>
      <c r="S461" s="97">
        <f t="shared" si="79"/>
        <v>0</v>
      </c>
      <c r="T461" s="97">
        <f t="shared" si="80"/>
        <v>0</v>
      </c>
      <c r="U461" s="97">
        <f t="shared" si="81"/>
        <v>0</v>
      </c>
      <c r="V461" s="97">
        <f t="shared" si="82"/>
        <v>0</v>
      </c>
      <c r="W461" s="161"/>
      <c r="X461" s="161"/>
    </row>
    <row r="462" spans="1:24" ht="15.75" customHeight="1"/>
    <row r="463" spans="1:24" ht="15.75" customHeight="1"/>
    <row r="464" spans="1:2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sheetProtection sheet="1" objects="1" scenarios="1" deleteColumns="0" deleteRows="0"/>
  <mergeCells count="35">
    <mergeCell ref="A9:A11"/>
    <mergeCell ref="C9:G9"/>
    <mergeCell ref="I9:M9"/>
    <mergeCell ref="P9:P11"/>
    <mergeCell ref="Q9:Q11"/>
    <mergeCell ref="R11:V11"/>
    <mergeCell ref="K6:N6"/>
    <mergeCell ref="O6:P6"/>
    <mergeCell ref="Q6:R6"/>
    <mergeCell ref="S6:T6"/>
    <mergeCell ref="S7:V7"/>
    <mergeCell ref="C7:F7"/>
    <mergeCell ref="G7:I7"/>
    <mergeCell ref="K7:N7"/>
    <mergeCell ref="O7:P7"/>
    <mergeCell ref="Q7:R7"/>
    <mergeCell ref="C6:F6"/>
    <mergeCell ref="G6:H6"/>
    <mergeCell ref="I6:J6"/>
    <mergeCell ref="O4:P4"/>
    <mergeCell ref="Q4:R4"/>
    <mergeCell ref="Q5:R5"/>
    <mergeCell ref="S5:V5"/>
    <mergeCell ref="A1:P1"/>
    <mergeCell ref="Q1:V1"/>
    <mergeCell ref="A2:P2"/>
    <mergeCell ref="Q2:V2"/>
    <mergeCell ref="A3:P3"/>
    <mergeCell ref="Q3:V3"/>
    <mergeCell ref="C4:F4"/>
    <mergeCell ref="S4:V4"/>
    <mergeCell ref="G4:K4"/>
    <mergeCell ref="L4:N4"/>
    <mergeCell ref="C5:F5"/>
    <mergeCell ref="G5:P5"/>
  </mergeCells>
  <dataValidations count="3">
    <dataValidation type="custom" allowBlank="1" showErrorMessage="1" sqref="W12:W461">
      <formula1>IF($O$7="2T+1P", W12&lt;=15, IF($O$7="3T+1P", W12&lt;=15, IF($O$7="3.5T+0.5P", W12&lt;=10, TRUE)))</formula1>
    </dataValidation>
    <dataValidation type="custom" allowBlank="1" showErrorMessage="1" sqref="X12:X461">
      <formula1>IF($O$7="2T+1P", X12&lt;=10, IF($O$7="3T+1P", X12&lt;=10, IF($O$7="3.5T+0.5P", X12&lt;=0, TRUE)))</formula1>
    </dataValidation>
    <dataValidation allowBlank="1" showErrorMessage="1" sqref="O7:P7"/>
  </dataValidations>
  <printOptions horizontalCentered="1"/>
  <pageMargins left="0.43307086614173229" right="0.19685039370078741" top="0.51181102362204722" bottom="0.51181102362204722" header="0" footer="0"/>
  <pageSetup paperSize="9" orientation="portrait"/>
  <rowBreaks count="4" manualBreakCount="4">
    <brk id="59" man="1"/>
    <brk id="43" man="1"/>
    <brk id="139" man="1"/>
    <brk id="107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W1210"/>
  <sheetViews>
    <sheetView topLeftCell="A429" zoomScale="85" zoomScaleNormal="85" workbookViewId="0">
      <selection activeCell="G455" sqref="G455"/>
    </sheetView>
  </sheetViews>
  <sheetFormatPr defaultColWidth="14.42578125" defaultRowHeight="15" customHeight="1"/>
  <cols>
    <col min="1" max="1" width="18.85546875" customWidth="1"/>
    <col min="2" max="5" width="8.7109375" customWidth="1"/>
    <col min="6" max="6" width="9.7109375" customWidth="1"/>
    <col min="7" max="7" width="8.7109375" customWidth="1"/>
    <col min="8" max="8" width="6.5703125" customWidth="1"/>
    <col min="9" max="23" width="9.140625" customWidth="1"/>
  </cols>
  <sheetData>
    <row r="1" spans="1:23" ht="21" customHeight="1">
      <c r="A1" s="313">
        <f>BASE!A7</f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ht="24" customHeight="1">
      <c r="A2" s="313" t="str">
        <f>BASE!A8</f>
        <v>DEPARTMENT OF __________________________________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24" customHeight="1">
      <c r="A3" s="313" t="str">
        <f>BASE!A9</f>
        <v>THEORY CUM PRACTICAL COURSE OUTCOME ANALYSIS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38.25" customHeight="1">
      <c r="A4" s="54" t="str">
        <f>BASE!A11</f>
        <v>Name of Faculty(s)</v>
      </c>
      <c r="B4" s="55" t="s">
        <v>40</v>
      </c>
      <c r="C4" s="285">
        <f>BASE!D11</f>
        <v>1</v>
      </c>
      <c r="D4" s="190"/>
      <c r="E4" s="285">
        <f>BASE!G11</f>
        <v>1</v>
      </c>
      <c r="F4" s="189"/>
      <c r="G4" s="190"/>
      <c r="H4" s="285">
        <f>BASE!J11</f>
        <v>1</v>
      </c>
      <c r="I4" s="190"/>
      <c r="J4" s="297">
        <f>BASE!M11</f>
        <v>1</v>
      </c>
      <c r="K4" s="190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 ht="38.25" customHeight="1">
      <c r="A5" s="54" t="str">
        <f>BASE!A12</f>
        <v>Course Code and Name</v>
      </c>
      <c r="B5" s="55" t="s">
        <v>40</v>
      </c>
      <c r="C5" s="275" t="str">
        <f>BASE!D12</f>
        <v>22ABXCXX</v>
      </c>
      <c r="D5" s="190"/>
      <c r="E5" s="285" t="str">
        <f>BASE!G12</f>
        <v>XXXXXXXX XXXXX XXXXXXXX</v>
      </c>
      <c r="F5" s="189"/>
      <c r="G5" s="189"/>
      <c r="H5" s="189"/>
      <c r="I5" s="189"/>
      <c r="J5" s="189"/>
      <c r="K5" s="190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3" ht="38.25" customHeight="1">
      <c r="A6" s="54" t="str">
        <f>BASE!A13</f>
        <v>Branch / Year / Semester</v>
      </c>
      <c r="B6" s="55" t="s">
        <v>40</v>
      </c>
      <c r="C6" s="275" t="str">
        <f>BASE!D13</f>
        <v>abcd</v>
      </c>
      <c r="D6" s="189"/>
      <c r="E6" s="190"/>
      <c r="F6" s="55">
        <f>BASE!H13</f>
        <v>1</v>
      </c>
      <c r="G6" s="55" t="str">
        <f>BASE!L13</f>
        <v>IV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 ht="39" customHeight="1">
      <c r="A7" s="54" t="s">
        <v>75</v>
      </c>
      <c r="B7" s="55">
        <f>+BASE!I22</f>
        <v>421</v>
      </c>
      <c r="C7" s="275" t="s">
        <v>76</v>
      </c>
      <c r="D7" s="189"/>
      <c r="E7" s="189"/>
      <c r="F7" s="190"/>
      <c r="G7" s="55">
        <f>+BASE!$N$22</f>
        <v>21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 ht="17.25" customHeight="1">
      <c r="A8" s="56"/>
      <c r="B8" s="16"/>
      <c r="C8" s="57" t="s">
        <v>77</v>
      </c>
      <c r="D8" s="58" t="s">
        <v>78</v>
      </c>
      <c r="E8" s="58" t="s">
        <v>79</v>
      </c>
      <c r="F8" s="58" t="s">
        <v>80</v>
      </c>
      <c r="G8" s="58" t="s">
        <v>81</v>
      </c>
      <c r="H8" s="1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 ht="54">
      <c r="A9" s="59" t="s">
        <v>82</v>
      </c>
      <c r="B9" s="16"/>
      <c r="C9" s="60">
        <f>'CAT-1'!T10+'CAT- 2'!T10+'CAT-3'!T10+'Tut-Ass-OA'!T10+'LAB Asseement'!R10</f>
        <v>49</v>
      </c>
      <c r="D9" s="60">
        <f>'CAT-1'!U10+'CAT- 2'!U10+'CAT-3'!U10+'Tut-Ass-OA'!U10+'LAB Asseement'!S10</f>
        <v>53</v>
      </c>
      <c r="E9" s="60">
        <f>'CAT-1'!V10+'CAT- 2'!V10+'CAT-3'!V10+'Tut-Ass-OA'!V10+'LAB Asseement'!T10</f>
        <v>39</v>
      </c>
      <c r="F9" s="60">
        <f>'CAT-1'!W10+'CAT- 2'!W10+'CAT-3'!W10+'Tut-Ass-OA'!W10+'LAB Asseement'!U10</f>
        <v>37</v>
      </c>
      <c r="G9" s="60">
        <f>'CAT-1'!X10+'CAT- 2'!X10+'CAT-3'!X10+'Tut-Ass-OA'!X10+'LAB Asseement'!V10</f>
        <v>37</v>
      </c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 ht="36" customHeight="1">
      <c r="A10" s="59" t="s">
        <v>83</v>
      </c>
      <c r="B10" s="61"/>
      <c r="C10" s="314"/>
      <c r="D10" s="189"/>
      <c r="E10" s="189"/>
      <c r="F10" s="189"/>
      <c r="G10" s="315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 ht="16.5" customHeight="1">
      <c r="A11" s="62" t="str">
        <f>BASE!B16</f>
        <v>23XXR001</v>
      </c>
      <c r="B11" s="121" t="s">
        <v>40</v>
      </c>
      <c r="C11" s="60">
        <f>'CAT-1'!T12+'CAT- 2'!T12+'CAT-3'!T12+'Tut-Ass-OA'!T12+'LAB Asseement'!R12</f>
        <v>0</v>
      </c>
      <c r="D11" s="60">
        <f>'CAT-1'!U12+'CAT- 2'!U12+'CAT-3'!U12+'Tut-Ass-OA'!U12+'LAB Asseement'!S12</f>
        <v>0</v>
      </c>
      <c r="E11" s="60">
        <f>'CAT-1'!V12+'CAT- 2'!V12+'CAT-3'!V12+'Tut-Ass-OA'!V12+'LAB Asseement'!T12</f>
        <v>0</v>
      </c>
      <c r="F11" s="60">
        <f>'CAT-1'!W12+'CAT- 2'!W12+'CAT-3'!W12+'Tut-Ass-OA'!W12+'LAB Asseement'!U12</f>
        <v>0</v>
      </c>
      <c r="G11" s="60">
        <f>'CAT-1'!X12+'CAT- 2'!X12+'CAT-3'!X12+'Tut-Ass-OA'!X12+'LAB Asseement'!V12</f>
        <v>0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16.5" customHeight="1">
      <c r="A12" s="62" t="str">
        <f>BASE!B17</f>
        <v>23XXR002</v>
      </c>
      <c r="B12" s="121" t="s">
        <v>40</v>
      </c>
      <c r="C12" s="60">
        <f>'CAT-1'!T13+'CAT- 2'!T13+'CAT-3'!T13+'Tut-Ass-OA'!T13+'LAB Asseement'!R13</f>
        <v>0</v>
      </c>
      <c r="D12" s="60">
        <f>'CAT-1'!U13+'CAT- 2'!U13+'CAT-3'!U13+'Tut-Ass-OA'!U13+'LAB Asseement'!S13</f>
        <v>0</v>
      </c>
      <c r="E12" s="60">
        <f>'CAT-1'!V13+'CAT- 2'!V13+'CAT-3'!V13+'Tut-Ass-OA'!V13+'LAB Asseement'!T13</f>
        <v>0</v>
      </c>
      <c r="F12" s="60">
        <f>'CAT-1'!W13+'CAT- 2'!W13+'CAT-3'!W13+'Tut-Ass-OA'!W13+'LAB Asseement'!U13</f>
        <v>0</v>
      </c>
      <c r="G12" s="60">
        <f>'CAT-1'!X13+'CAT- 2'!X13+'CAT-3'!X13+'Tut-Ass-OA'!X13+'LAB Asseement'!V13</f>
        <v>0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16.5" customHeight="1">
      <c r="A13" s="62" t="str">
        <f>BASE!B18</f>
        <v>23XXR003</v>
      </c>
      <c r="B13" s="121" t="s">
        <v>40</v>
      </c>
      <c r="C13" s="60">
        <f>'CAT-1'!T14+'CAT- 2'!T14+'CAT-3'!T14+'Tut-Ass-OA'!T14+'LAB Asseement'!R14</f>
        <v>0</v>
      </c>
      <c r="D13" s="60">
        <f>'CAT-1'!U14+'CAT- 2'!U14+'CAT-3'!U14+'Tut-Ass-OA'!U14+'LAB Asseement'!S14</f>
        <v>0</v>
      </c>
      <c r="E13" s="60">
        <f>'CAT-1'!V14+'CAT- 2'!V14+'CAT-3'!V14+'Tut-Ass-OA'!V14+'LAB Asseement'!T14</f>
        <v>0</v>
      </c>
      <c r="F13" s="60">
        <f>'CAT-1'!W14+'CAT- 2'!W14+'CAT-3'!W14+'Tut-Ass-OA'!W14+'LAB Asseement'!U14</f>
        <v>0</v>
      </c>
      <c r="G13" s="60">
        <f>'CAT-1'!X14+'CAT- 2'!X14+'CAT-3'!X14+'Tut-Ass-OA'!X14+'LAB Asseement'!V14</f>
        <v>0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16.5" customHeight="1">
      <c r="A14" s="62" t="str">
        <f>BASE!B19</f>
        <v>23XXR004</v>
      </c>
      <c r="B14" s="121" t="s">
        <v>40</v>
      </c>
      <c r="C14" s="60">
        <f>'CAT-1'!T15+'CAT- 2'!T15+'CAT-3'!T15+'Tut-Ass-OA'!T15+'LAB Asseement'!R15</f>
        <v>0</v>
      </c>
      <c r="D14" s="60">
        <f>'CAT-1'!U15+'CAT- 2'!U15+'CAT-3'!U15+'Tut-Ass-OA'!U15+'LAB Asseement'!S15</f>
        <v>0</v>
      </c>
      <c r="E14" s="60">
        <f>'CAT-1'!V15+'CAT- 2'!V15+'CAT-3'!V15+'Tut-Ass-OA'!V15+'LAB Asseement'!T15</f>
        <v>0</v>
      </c>
      <c r="F14" s="60">
        <f>'CAT-1'!W15+'CAT- 2'!W15+'CAT-3'!W15+'Tut-Ass-OA'!W15+'LAB Asseement'!U15</f>
        <v>0</v>
      </c>
      <c r="G14" s="60">
        <f>'CAT-1'!X15+'CAT- 2'!X15+'CAT-3'!X15+'Tut-Ass-OA'!X15+'LAB Asseement'!V15</f>
        <v>0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16.5" customHeight="1">
      <c r="A15" s="62" t="str">
        <f>BASE!B20</f>
        <v>23XXR005</v>
      </c>
      <c r="B15" s="121" t="s">
        <v>40</v>
      </c>
      <c r="C15" s="60">
        <f>'CAT-1'!T16+'CAT- 2'!T16+'CAT-3'!T16+'Tut-Ass-OA'!T16+'LAB Asseement'!R16</f>
        <v>0</v>
      </c>
      <c r="D15" s="60">
        <f>'CAT-1'!U16+'CAT- 2'!U16+'CAT-3'!U16+'Tut-Ass-OA'!U16+'LAB Asseement'!S16</f>
        <v>0</v>
      </c>
      <c r="E15" s="60">
        <f>'CAT-1'!V16+'CAT- 2'!V16+'CAT-3'!V16+'Tut-Ass-OA'!V16+'LAB Asseement'!T16</f>
        <v>0</v>
      </c>
      <c r="F15" s="60">
        <f>'CAT-1'!W16+'CAT- 2'!W16+'CAT-3'!W16+'Tut-Ass-OA'!W16+'LAB Asseement'!U16</f>
        <v>0</v>
      </c>
      <c r="G15" s="60">
        <f>'CAT-1'!X16+'CAT- 2'!X16+'CAT-3'!X16+'Tut-Ass-OA'!X16+'LAB Asseement'!V16</f>
        <v>0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6.5" customHeight="1">
      <c r="A16" s="62" t="str">
        <f>BASE!B21</f>
        <v>23XXR006</v>
      </c>
      <c r="B16" s="121" t="s">
        <v>40</v>
      </c>
      <c r="C16" s="60">
        <f>'CAT-1'!T17+'CAT- 2'!T17+'CAT-3'!T17+'Tut-Ass-OA'!T17+'LAB Asseement'!R17</f>
        <v>0</v>
      </c>
      <c r="D16" s="60">
        <f>'CAT-1'!U17+'CAT- 2'!U17+'CAT-3'!U17+'Tut-Ass-OA'!U17+'LAB Asseement'!S17</f>
        <v>0</v>
      </c>
      <c r="E16" s="60">
        <f>'CAT-1'!V17+'CAT- 2'!V17+'CAT-3'!V17+'Tut-Ass-OA'!V17+'LAB Asseement'!T17</f>
        <v>0</v>
      </c>
      <c r="F16" s="60">
        <f>'CAT-1'!W17+'CAT- 2'!W17+'CAT-3'!W17+'Tut-Ass-OA'!W17+'LAB Asseement'!U17</f>
        <v>0</v>
      </c>
      <c r="G16" s="60">
        <f>'CAT-1'!X17+'CAT- 2'!X17+'CAT-3'!X17+'Tut-Ass-OA'!X17+'LAB Asseement'!V17</f>
        <v>0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16.5" customHeight="1">
      <c r="A17" s="62" t="str">
        <f>BASE!B22</f>
        <v>23XXR007</v>
      </c>
      <c r="B17" s="121" t="s">
        <v>40</v>
      </c>
      <c r="C17" s="60">
        <f>'CAT-1'!T18+'CAT- 2'!T18+'CAT-3'!T18+'Tut-Ass-OA'!T18+'LAB Asseement'!R18</f>
        <v>0</v>
      </c>
      <c r="D17" s="60">
        <f>'CAT-1'!U18+'CAT- 2'!U18+'CAT-3'!U18+'Tut-Ass-OA'!U18+'LAB Asseement'!S18</f>
        <v>0</v>
      </c>
      <c r="E17" s="60">
        <f>'CAT-1'!V18+'CAT- 2'!V18+'CAT-3'!V18+'Tut-Ass-OA'!V18+'LAB Asseement'!T18</f>
        <v>0</v>
      </c>
      <c r="F17" s="60">
        <f>'CAT-1'!W18+'CAT- 2'!W18+'CAT-3'!W18+'Tut-Ass-OA'!W18+'LAB Asseement'!U18</f>
        <v>0</v>
      </c>
      <c r="G17" s="60">
        <f>'CAT-1'!X18+'CAT- 2'!X18+'CAT-3'!X18+'Tut-Ass-OA'!X18+'LAB Asseement'!V18</f>
        <v>0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16.5" customHeight="1">
      <c r="A18" s="62" t="str">
        <f>BASE!B23</f>
        <v>23XXR008</v>
      </c>
      <c r="B18" s="121" t="s">
        <v>40</v>
      </c>
      <c r="C18" s="60">
        <f>'CAT-1'!T19+'CAT- 2'!T19+'CAT-3'!T19+'Tut-Ass-OA'!T19+'LAB Asseement'!R19</f>
        <v>0</v>
      </c>
      <c r="D18" s="60">
        <f>'CAT-1'!U19+'CAT- 2'!U19+'CAT-3'!U19+'Tut-Ass-OA'!U19+'LAB Asseement'!S19</f>
        <v>0</v>
      </c>
      <c r="E18" s="60">
        <f>'CAT-1'!V19+'CAT- 2'!V19+'CAT-3'!V19+'Tut-Ass-OA'!V19+'LAB Asseement'!T19</f>
        <v>0</v>
      </c>
      <c r="F18" s="60">
        <f>'CAT-1'!W19+'CAT- 2'!W19+'CAT-3'!W19+'Tut-Ass-OA'!W19+'LAB Asseement'!U19</f>
        <v>0</v>
      </c>
      <c r="G18" s="60">
        <f>'CAT-1'!X19+'CAT- 2'!X19+'CAT-3'!X19+'Tut-Ass-OA'!X19+'LAB Asseement'!V19</f>
        <v>0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16.5" customHeight="1">
      <c r="A19" s="62" t="str">
        <f>BASE!B24</f>
        <v>23XXR009</v>
      </c>
      <c r="B19" s="121" t="s">
        <v>40</v>
      </c>
      <c r="C19" s="60">
        <f>'CAT-1'!T20+'CAT- 2'!T20+'CAT-3'!T20+'Tut-Ass-OA'!T20+'LAB Asseement'!R20</f>
        <v>0</v>
      </c>
      <c r="D19" s="60">
        <f>'CAT-1'!U20+'CAT- 2'!U20+'CAT-3'!U20+'Tut-Ass-OA'!U20+'LAB Asseement'!S20</f>
        <v>0</v>
      </c>
      <c r="E19" s="60">
        <f>'CAT-1'!V20+'CAT- 2'!V20+'CAT-3'!V20+'Tut-Ass-OA'!V20+'LAB Asseement'!T20</f>
        <v>0</v>
      </c>
      <c r="F19" s="60">
        <f>'CAT-1'!W20+'CAT- 2'!W20+'CAT-3'!W20+'Tut-Ass-OA'!W20+'LAB Asseement'!U20</f>
        <v>0</v>
      </c>
      <c r="G19" s="60">
        <f>'CAT-1'!X20+'CAT- 2'!X20+'CAT-3'!X20+'Tut-Ass-OA'!X20+'LAB Asseement'!V20</f>
        <v>0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16.5" customHeight="1">
      <c r="A20" s="62" t="str">
        <f>BASE!B25</f>
        <v>23XXR010</v>
      </c>
      <c r="B20" s="121" t="s">
        <v>40</v>
      </c>
      <c r="C20" s="60">
        <f>'CAT-1'!T21+'CAT- 2'!T21+'CAT-3'!T21+'Tut-Ass-OA'!T21+'LAB Asseement'!R21</f>
        <v>0</v>
      </c>
      <c r="D20" s="60">
        <f>'CAT-1'!U21+'CAT- 2'!U21+'CAT-3'!U21+'Tut-Ass-OA'!U21+'LAB Asseement'!S21</f>
        <v>0</v>
      </c>
      <c r="E20" s="60">
        <f>'CAT-1'!V21+'CAT- 2'!V21+'CAT-3'!V21+'Tut-Ass-OA'!V21+'LAB Asseement'!T21</f>
        <v>0</v>
      </c>
      <c r="F20" s="60">
        <f>'CAT-1'!W21+'CAT- 2'!W21+'CAT-3'!W21+'Tut-Ass-OA'!W21+'LAB Asseement'!U21</f>
        <v>0</v>
      </c>
      <c r="G20" s="60">
        <f>'CAT-1'!X21+'CAT- 2'!X21+'CAT-3'!X21+'Tut-Ass-OA'!X21+'LAB Asseement'!V21</f>
        <v>0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16.5" customHeight="1">
      <c r="A21" s="62" t="str">
        <f>BASE!B26</f>
        <v>23XXR011</v>
      </c>
      <c r="B21" s="121" t="s">
        <v>40</v>
      </c>
      <c r="C21" s="60">
        <f>'CAT-1'!T22+'CAT- 2'!T22+'CAT-3'!T22+'Tut-Ass-OA'!T22+'LAB Asseement'!R22</f>
        <v>0</v>
      </c>
      <c r="D21" s="60">
        <f>'CAT-1'!U22+'CAT- 2'!U22+'CAT-3'!U22+'Tut-Ass-OA'!U22+'LAB Asseement'!S22</f>
        <v>0</v>
      </c>
      <c r="E21" s="60">
        <f>'CAT-1'!V22+'CAT- 2'!V22+'CAT-3'!V22+'Tut-Ass-OA'!V22+'LAB Asseement'!T22</f>
        <v>0</v>
      </c>
      <c r="F21" s="60">
        <f>'CAT-1'!W22+'CAT- 2'!W22+'CAT-3'!W22+'Tut-Ass-OA'!W22+'LAB Asseement'!U22</f>
        <v>0</v>
      </c>
      <c r="G21" s="60">
        <f>'CAT-1'!X22+'CAT- 2'!X22+'CAT-3'!X22+'Tut-Ass-OA'!X22+'LAB Asseement'!V22</f>
        <v>0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16.5" customHeight="1">
      <c r="A22" s="62" t="str">
        <f>BASE!B27</f>
        <v>23XXR012</v>
      </c>
      <c r="B22" s="121" t="s">
        <v>40</v>
      </c>
      <c r="C22" s="60">
        <f>'CAT-1'!T23+'CAT- 2'!T23+'CAT-3'!T23+'Tut-Ass-OA'!T23+'LAB Asseement'!R23</f>
        <v>0</v>
      </c>
      <c r="D22" s="60">
        <f>'CAT-1'!U23+'CAT- 2'!U23+'CAT-3'!U23+'Tut-Ass-OA'!U23+'LAB Asseement'!S23</f>
        <v>0</v>
      </c>
      <c r="E22" s="60">
        <f>'CAT-1'!V23+'CAT- 2'!V23+'CAT-3'!V23+'Tut-Ass-OA'!V23+'LAB Asseement'!T23</f>
        <v>0</v>
      </c>
      <c r="F22" s="60">
        <f>'CAT-1'!W23+'CAT- 2'!W23+'CAT-3'!W23+'Tut-Ass-OA'!W23+'LAB Asseement'!U23</f>
        <v>0</v>
      </c>
      <c r="G22" s="60">
        <f>'CAT-1'!X23+'CAT- 2'!X23+'CAT-3'!X23+'Tut-Ass-OA'!X23+'LAB Asseement'!V23</f>
        <v>0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6.5" customHeight="1">
      <c r="A23" s="62" t="str">
        <f>BASE!B28</f>
        <v>23XXR013</v>
      </c>
      <c r="B23" s="121" t="s">
        <v>40</v>
      </c>
      <c r="C23" s="60">
        <f>'CAT-1'!T24+'CAT- 2'!T24+'CAT-3'!T24+'Tut-Ass-OA'!T24+'LAB Asseement'!R24</f>
        <v>0</v>
      </c>
      <c r="D23" s="60">
        <f>'CAT-1'!U24+'CAT- 2'!U24+'CAT-3'!U24+'Tut-Ass-OA'!U24+'LAB Asseement'!S24</f>
        <v>0</v>
      </c>
      <c r="E23" s="60">
        <f>'CAT-1'!V24+'CAT- 2'!V24+'CAT-3'!V24+'Tut-Ass-OA'!V24+'LAB Asseement'!T24</f>
        <v>0</v>
      </c>
      <c r="F23" s="60">
        <f>'CAT-1'!W24+'CAT- 2'!W24+'CAT-3'!W24+'Tut-Ass-OA'!W24+'LAB Asseement'!U24</f>
        <v>0</v>
      </c>
      <c r="G23" s="60">
        <f>'CAT-1'!X24+'CAT- 2'!X24+'CAT-3'!X24+'Tut-Ass-OA'!X24+'LAB Asseement'!V24</f>
        <v>0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6.5" customHeight="1">
      <c r="A24" s="62" t="str">
        <f>BASE!B29</f>
        <v>23XXR014</v>
      </c>
      <c r="B24" s="121" t="s">
        <v>40</v>
      </c>
      <c r="C24" s="60">
        <f>'CAT-1'!T25+'CAT- 2'!T25+'CAT-3'!T25+'Tut-Ass-OA'!T25+'LAB Asseement'!R25</f>
        <v>0</v>
      </c>
      <c r="D24" s="60">
        <f>'CAT-1'!U25+'CAT- 2'!U25+'CAT-3'!U25+'Tut-Ass-OA'!U25+'LAB Asseement'!S25</f>
        <v>0</v>
      </c>
      <c r="E24" s="60">
        <f>'CAT-1'!V25+'CAT- 2'!V25+'CAT-3'!V25+'Tut-Ass-OA'!V25+'LAB Asseement'!T25</f>
        <v>0</v>
      </c>
      <c r="F24" s="60">
        <f>'CAT-1'!W25+'CAT- 2'!W25+'CAT-3'!W25+'Tut-Ass-OA'!W25+'LAB Asseement'!U25</f>
        <v>0</v>
      </c>
      <c r="G24" s="60">
        <f>'CAT-1'!X25+'CAT- 2'!X25+'CAT-3'!X25+'Tut-Ass-OA'!X25+'LAB Asseement'!V25</f>
        <v>0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16.5" customHeight="1">
      <c r="A25" s="62" t="str">
        <f>BASE!B30</f>
        <v>23XXR015</v>
      </c>
      <c r="B25" s="121" t="s">
        <v>40</v>
      </c>
      <c r="C25" s="60">
        <f>'CAT-1'!T26+'CAT- 2'!T26+'CAT-3'!T26+'Tut-Ass-OA'!T26+'LAB Asseement'!R26</f>
        <v>0</v>
      </c>
      <c r="D25" s="60">
        <f>'CAT-1'!U26+'CAT- 2'!U26+'CAT-3'!U26+'Tut-Ass-OA'!U26+'LAB Asseement'!S26</f>
        <v>0</v>
      </c>
      <c r="E25" s="60">
        <f>'CAT-1'!V26+'CAT- 2'!V26+'CAT-3'!V26+'Tut-Ass-OA'!V26+'LAB Asseement'!T26</f>
        <v>0</v>
      </c>
      <c r="F25" s="60">
        <f>'CAT-1'!W26+'CAT- 2'!W26+'CAT-3'!W26+'Tut-Ass-OA'!W26+'LAB Asseement'!U26</f>
        <v>0</v>
      </c>
      <c r="G25" s="60">
        <f>'CAT-1'!X26+'CAT- 2'!X26+'CAT-3'!X26+'Tut-Ass-OA'!X26+'LAB Asseement'!V26</f>
        <v>0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16.5" customHeight="1">
      <c r="A26" s="62" t="str">
        <f>BASE!B31</f>
        <v>23XXR016</v>
      </c>
      <c r="B26" s="121" t="s">
        <v>40</v>
      </c>
      <c r="C26" s="60">
        <f>'CAT-1'!T27+'CAT- 2'!T27+'CAT-3'!T27+'Tut-Ass-OA'!T27+'LAB Asseement'!R27</f>
        <v>0</v>
      </c>
      <c r="D26" s="60">
        <f>'CAT-1'!U27+'CAT- 2'!U27+'CAT-3'!U27+'Tut-Ass-OA'!U27+'LAB Asseement'!S27</f>
        <v>0</v>
      </c>
      <c r="E26" s="60">
        <f>'CAT-1'!V27+'CAT- 2'!V27+'CAT-3'!V27+'Tut-Ass-OA'!V27+'LAB Asseement'!T27</f>
        <v>0</v>
      </c>
      <c r="F26" s="60">
        <f>'CAT-1'!W27+'CAT- 2'!W27+'CAT-3'!W27+'Tut-Ass-OA'!W27+'LAB Asseement'!U27</f>
        <v>0</v>
      </c>
      <c r="G26" s="60">
        <f>'CAT-1'!X27+'CAT- 2'!X27+'CAT-3'!X27+'Tut-Ass-OA'!X27+'LAB Asseement'!V27</f>
        <v>0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6.5" customHeight="1">
      <c r="A27" s="62" t="str">
        <f>BASE!B32</f>
        <v>23XXR017</v>
      </c>
      <c r="B27" s="121" t="s">
        <v>40</v>
      </c>
      <c r="C27" s="60">
        <f>'CAT-1'!T28+'CAT- 2'!T28+'CAT-3'!T28+'Tut-Ass-OA'!T28+'LAB Asseement'!R28</f>
        <v>0</v>
      </c>
      <c r="D27" s="60">
        <f>'CAT-1'!U28+'CAT- 2'!U28+'CAT-3'!U28+'Tut-Ass-OA'!U28+'LAB Asseement'!S28</f>
        <v>0</v>
      </c>
      <c r="E27" s="60">
        <f>'CAT-1'!V28+'CAT- 2'!V28+'CAT-3'!V28+'Tut-Ass-OA'!V28+'LAB Asseement'!T28</f>
        <v>0</v>
      </c>
      <c r="F27" s="60">
        <f>'CAT-1'!W28+'CAT- 2'!W28+'CAT-3'!W28+'Tut-Ass-OA'!W28+'LAB Asseement'!U28</f>
        <v>0</v>
      </c>
      <c r="G27" s="60">
        <f>'CAT-1'!X28+'CAT- 2'!X28+'CAT-3'!X28+'Tut-Ass-OA'!X28+'LAB Asseement'!V28</f>
        <v>0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6.5" customHeight="1">
      <c r="A28" s="62" t="str">
        <f>BASE!B33</f>
        <v>23XXR018</v>
      </c>
      <c r="B28" s="121" t="s">
        <v>40</v>
      </c>
      <c r="C28" s="60">
        <f>'CAT-1'!T29+'CAT- 2'!T29+'CAT-3'!T29+'Tut-Ass-OA'!T29+'LAB Asseement'!R29</f>
        <v>0</v>
      </c>
      <c r="D28" s="60">
        <f>'CAT-1'!U29+'CAT- 2'!U29+'CAT-3'!U29+'Tut-Ass-OA'!U29+'LAB Asseement'!S29</f>
        <v>0</v>
      </c>
      <c r="E28" s="60">
        <f>'CAT-1'!V29+'CAT- 2'!V29+'CAT-3'!V29+'Tut-Ass-OA'!V29+'LAB Asseement'!T29</f>
        <v>0</v>
      </c>
      <c r="F28" s="60">
        <f>'CAT-1'!W29+'CAT- 2'!W29+'CAT-3'!W29+'Tut-Ass-OA'!W29+'LAB Asseement'!U29</f>
        <v>0</v>
      </c>
      <c r="G28" s="60">
        <f>'CAT-1'!X29+'CAT- 2'!X29+'CAT-3'!X29+'Tut-Ass-OA'!X29+'LAB Asseement'!V29</f>
        <v>0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6.5" customHeight="1">
      <c r="A29" s="62" t="str">
        <f>BASE!B34</f>
        <v>23XXR019</v>
      </c>
      <c r="B29" s="121" t="s">
        <v>40</v>
      </c>
      <c r="C29" s="60">
        <f>'CAT-1'!T30+'CAT- 2'!T30+'CAT-3'!T30+'Tut-Ass-OA'!T30+'LAB Asseement'!R30</f>
        <v>0</v>
      </c>
      <c r="D29" s="60">
        <f>'CAT-1'!U30+'CAT- 2'!U30+'CAT-3'!U30+'Tut-Ass-OA'!U30+'LAB Asseement'!S30</f>
        <v>0</v>
      </c>
      <c r="E29" s="60">
        <f>'CAT-1'!V30+'CAT- 2'!V30+'CAT-3'!V30+'Tut-Ass-OA'!V30+'LAB Asseement'!T30</f>
        <v>0</v>
      </c>
      <c r="F29" s="60">
        <f>'CAT-1'!W30+'CAT- 2'!W30+'CAT-3'!W30+'Tut-Ass-OA'!W30+'LAB Asseement'!U30</f>
        <v>0</v>
      </c>
      <c r="G29" s="60">
        <f>'CAT-1'!X30+'CAT- 2'!X30+'CAT-3'!X30+'Tut-Ass-OA'!X30+'LAB Asseement'!V30</f>
        <v>0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16.5" customHeight="1">
      <c r="A30" s="62" t="str">
        <f>BASE!B35</f>
        <v>23XXR020</v>
      </c>
      <c r="B30" s="121" t="s">
        <v>40</v>
      </c>
      <c r="C30" s="60">
        <f>'CAT-1'!T31+'CAT- 2'!T31+'CAT-3'!T31+'Tut-Ass-OA'!T31+'LAB Asseement'!R31</f>
        <v>0</v>
      </c>
      <c r="D30" s="60">
        <f>'CAT-1'!U31+'CAT- 2'!U31+'CAT-3'!U31+'Tut-Ass-OA'!U31+'LAB Asseement'!S31</f>
        <v>0</v>
      </c>
      <c r="E30" s="60">
        <f>'CAT-1'!V31+'CAT- 2'!V31+'CAT-3'!V31+'Tut-Ass-OA'!V31+'LAB Asseement'!T31</f>
        <v>0</v>
      </c>
      <c r="F30" s="60">
        <f>'CAT-1'!W31+'CAT- 2'!W31+'CAT-3'!W31+'Tut-Ass-OA'!W31+'LAB Asseement'!U31</f>
        <v>0</v>
      </c>
      <c r="G30" s="60">
        <f>'CAT-1'!X31+'CAT- 2'!X31+'CAT-3'!X31+'Tut-Ass-OA'!X31+'LAB Asseement'!V31</f>
        <v>0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 ht="16.5" customHeight="1">
      <c r="A31" s="62" t="str">
        <f>BASE!B36</f>
        <v>23XXR021</v>
      </c>
      <c r="B31" s="121" t="s">
        <v>40</v>
      </c>
      <c r="C31" s="60">
        <f>'CAT-1'!T32+'CAT- 2'!T32+'CAT-3'!T32+'Tut-Ass-OA'!T32+'LAB Asseement'!R32</f>
        <v>0</v>
      </c>
      <c r="D31" s="60">
        <f>'CAT-1'!U32+'CAT- 2'!U32+'CAT-3'!U32+'Tut-Ass-OA'!U32+'LAB Asseement'!S32</f>
        <v>0</v>
      </c>
      <c r="E31" s="60">
        <f>'CAT-1'!V32+'CAT- 2'!V32+'CAT-3'!V32+'Tut-Ass-OA'!V32+'LAB Asseement'!T32</f>
        <v>0</v>
      </c>
      <c r="F31" s="60">
        <f>'CAT-1'!W32+'CAT- 2'!W32+'CAT-3'!W32+'Tut-Ass-OA'!W32+'LAB Asseement'!U32</f>
        <v>0</v>
      </c>
      <c r="G31" s="60">
        <f>'CAT-1'!X32+'CAT- 2'!X32+'CAT-3'!X32+'Tut-Ass-OA'!X32+'LAB Asseement'!V32</f>
        <v>0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16.5" customHeight="1">
      <c r="A32" s="62" t="str">
        <f>BASE!B37</f>
        <v>23XXR022</v>
      </c>
      <c r="B32" s="121" t="s">
        <v>40</v>
      </c>
      <c r="C32" s="60">
        <f>'CAT-1'!T33+'CAT- 2'!T33+'CAT-3'!T33+'Tut-Ass-OA'!T33+'LAB Asseement'!R33</f>
        <v>0</v>
      </c>
      <c r="D32" s="60">
        <f>'CAT-1'!U33+'CAT- 2'!U33+'CAT-3'!U33+'Tut-Ass-OA'!U33+'LAB Asseement'!S33</f>
        <v>0</v>
      </c>
      <c r="E32" s="60">
        <f>'CAT-1'!V33+'CAT- 2'!V33+'CAT-3'!V33+'Tut-Ass-OA'!V33+'LAB Asseement'!T33</f>
        <v>0</v>
      </c>
      <c r="F32" s="60">
        <f>'CAT-1'!W33+'CAT- 2'!W33+'CAT-3'!W33+'Tut-Ass-OA'!W33+'LAB Asseement'!U33</f>
        <v>0</v>
      </c>
      <c r="G32" s="60">
        <f>'CAT-1'!X33+'CAT- 2'!X33+'CAT-3'!X33+'Tut-Ass-OA'!X33+'LAB Asseement'!V33</f>
        <v>0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16.5" customHeight="1">
      <c r="A33" s="62" t="str">
        <f>BASE!B38</f>
        <v>23XXR023</v>
      </c>
      <c r="B33" s="121" t="s">
        <v>40</v>
      </c>
      <c r="C33" s="60">
        <f>'CAT-1'!T34+'CAT- 2'!T34+'CAT-3'!T34+'Tut-Ass-OA'!T34+'LAB Asseement'!R34</f>
        <v>0</v>
      </c>
      <c r="D33" s="60">
        <f>'CAT-1'!U34+'CAT- 2'!U34+'CAT-3'!U34+'Tut-Ass-OA'!U34+'LAB Asseement'!S34</f>
        <v>0</v>
      </c>
      <c r="E33" s="60">
        <f>'CAT-1'!V34+'CAT- 2'!V34+'CAT-3'!V34+'Tut-Ass-OA'!V34+'LAB Asseement'!T34</f>
        <v>0</v>
      </c>
      <c r="F33" s="60">
        <f>'CAT-1'!W34+'CAT- 2'!W34+'CAT-3'!W34+'Tut-Ass-OA'!W34+'LAB Asseement'!U34</f>
        <v>0</v>
      </c>
      <c r="G33" s="60">
        <f>'CAT-1'!X34+'CAT- 2'!X34+'CAT-3'!X34+'Tut-Ass-OA'!X34+'LAB Asseement'!V34</f>
        <v>0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ht="16.5" customHeight="1">
      <c r="A34" s="62" t="str">
        <f>BASE!B39</f>
        <v>23XXR024</v>
      </c>
      <c r="B34" s="121" t="s">
        <v>40</v>
      </c>
      <c r="C34" s="60">
        <f>'CAT-1'!T35+'CAT- 2'!T35+'CAT-3'!T35+'Tut-Ass-OA'!T35+'LAB Asseement'!R35</f>
        <v>0</v>
      </c>
      <c r="D34" s="60">
        <f>'CAT-1'!U35+'CAT- 2'!U35+'CAT-3'!U35+'Tut-Ass-OA'!U35+'LAB Asseement'!S35</f>
        <v>0</v>
      </c>
      <c r="E34" s="60">
        <f>'CAT-1'!V35+'CAT- 2'!V35+'CAT-3'!V35+'Tut-Ass-OA'!V35+'LAB Asseement'!T35</f>
        <v>0</v>
      </c>
      <c r="F34" s="60">
        <f>'CAT-1'!W35+'CAT- 2'!W35+'CAT-3'!W35+'Tut-Ass-OA'!W35+'LAB Asseement'!U35</f>
        <v>0</v>
      </c>
      <c r="G34" s="60">
        <f>'CAT-1'!X35+'CAT- 2'!X35+'CAT-3'!X35+'Tut-Ass-OA'!X35+'LAB Asseement'!V35</f>
        <v>0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23" ht="16.5" customHeight="1">
      <c r="A35" s="62" t="str">
        <f>BASE!B40</f>
        <v>23XXR025</v>
      </c>
      <c r="B35" s="121" t="s">
        <v>40</v>
      </c>
      <c r="C35" s="60">
        <f>'CAT-1'!T36+'CAT- 2'!T36+'CAT-3'!T36+'Tut-Ass-OA'!T36+'LAB Asseement'!R36</f>
        <v>0</v>
      </c>
      <c r="D35" s="60">
        <f>'CAT-1'!U36+'CAT- 2'!U36+'CAT-3'!U36+'Tut-Ass-OA'!U36+'LAB Asseement'!S36</f>
        <v>0</v>
      </c>
      <c r="E35" s="60">
        <f>'CAT-1'!V36+'CAT- 2'!V36+'CAT-3'!V36+'Tut-Ass-OA'!V36+'LAB Asseement'!T36</f>
        <v>0</v>
      </c>
      <c r="F35" s="60">
        <f>'CAT-1'!W36+'CAT- 2'!W36+'CAT-3'!W36+'Tut-Ass-OA'!W36+'LAB Asseement'!U36</f>
        <v>0</v>
      </c>
      <c r="G35" s="60">
        <f>'CAT-1'!X36+'CAT- 2'!X36+'CAT-3'!X36+'Tut-Ass-OA'!X36+'LAB Asseement'!V36</f>
        <v>0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1:23" ht="16.5" customHeight="1">
      <c r="A36" s="62" t="str">
        <f>BASE!B41</f>
        <v>23XXR026</v>
      </c>
      <c r="B36" s="121" t="s">
        <v>40</v>
      </c>
      <c r="C36" s="60">
        <f>'CAT-1'!T37+'CAT- 2'!T37+'CAT-3'!T37+'Tut-Ass-OA'!T37+'LAB Asseement'!R37</f>
        <v>0</v>
      </c>
      <c r="D36" s="60">
        <f>'CAT-1'!U37+'CAT- 2'!U37+'CAT-3'!U37+'Tut-Ass-OA'!U37+'LAB Asseement'!S37</f>
        <v>0</v>
      </c>
      <c r="E36" s="60">
        <f>'CAT-1'!V37+'CAT- 2'!V37+'CAT-3'!V37+'Tut-Ass-OA'!V37+'LAB Asseement'!T37</f>
        <v>0</v>
      </c>
      <c r="F36" s="60">
        <f>'CAT-1'!W37+'CAT- 2'!W37+'CAT-3'!W37+'Tut-Ass-OA'!W37+'LAB Asseement'!U37</f>
        <v>0</v>
      </c>
      <c r="G36" s="60">
        <f>'CAT-1'!X37+'CAT- 2'!X37+'CAT-3'!X37+'Tut-Ass-OA'!X37+'LAB Asseement'!V37</f>
        <v>0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ht="16.5" customHeight="1">
      <c r="A37" s="62" t="str">
        <f>BASE!B42</f>
        <v>23XXR027</v>
      </c>
      <c r="B37" s="121" t="s">
        <v>40</v>
      </c>
      <c r="C37" s="60">
        <f>'CAT-1'!T38+'CAT- 2'!T38+'CAT-3'!T38+'Tut-Ass-OA'!T38+'LAB Asseement'!R38</f>
        <v>0</v>
      </c>
      <c r="D37" s="60">
        <f>'CAT-1'!U38+'CAT- 2'!U38+'CAT-3'!U38+'Tut-Ass-OA'!U38+'LAB Asseement'!S38</f>
        <v>0</v>
      </c>
      <c r="E37" s="60">
        <f>'CAT-1'!V38+'CAT- 2'!V38+'CAT-3'!V38+'Tut-Ass-OA'!V38+'LAB Asseement'!T38</f>
        <v>0</v>
      </c>
      <c r="F37" s="60">
        <f>'CAT-1'!W38+'CAT- 2'!W38+'CAT-3'!W38+'Tut-Ass-OA'!W38+'LAB Asseement'!U38</f>
        <v>0</v>
      </c>
      <c r="G37" s="60">
        <f>'CAT-1'!X38+'CAT- 2'!X38+'CAT-3'!X38+'Tut-Ass-OA'!X38+'LAB Asseement'!V38</f>
        <v>0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ht="16.5" customHeight="1">
      <c r="A38" s="62" t="str">
        <f>BASE!B43</f>
        <v>23XXR028</v>
      </c>
      <c r="B38" s="121" t="s">
        <v>40</v>
      </c>
      <c r="C38" s="60">
        <f>'CAT-1'!T39+'CAT- 2'!T39+'CAT-3'!T39+'Tut-Ass-OA'!T39+'LAB Asseement'!R39</f>
        <v>0</v>
      </c>
      <c r="D38" s="60">
        <f>'CAT-1'!U39+'CAT- 2'!U39+'CAT-3'!U39+'Tut-Ass-OA'!U39+'LAB Asseement'!S39</f>
        <v>0</v>
      </c>
      <c r="E38" s="60">
        <f>'CAT-1'!V39+'CAT- 2'!V39+'CAT-3'!V39+'Tut-Ass-OA'!V39+'LAB Asseement'!T39</f>
        <v>0</v>
      </c>
      <c r="F38" s="60">
        <f>'CAT-1'!W39+'CAT- 2'!W39+'CAT-3'!W39+'Tut-Ass-OA'!W39+'LAB Asseement'!U39</f>
        <v>0</v>
      </c>
      <c r="G38" s="60">
        <f>'CAT-1'!X39+'CAT- 2'!X39+'CAT-3'!X39+'Tut-Ass-OA'!X39+'LAB Asseement'!V39</f>
        <v>0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ht="16.5" customHeight="1">
      <c r="A39" s="62" t="str">
        <f>BASE!B44</f>
        <v>23XXR029</v>
      </c>
      <c r="B39" s="121" t="s">
        <v>40</v>
      </c>
      <c r="C39" s="60">
        <f>'CAT-1'!T40+'CAT- 2'!T40+'CAT-3'!T40+'Tut-Ass-OA'!T40+'LAB Asseement'!R40</f>
        <v>0</v>
      </c>
      <c r="D39" s="60">
        <f>'CAT-1'!U40+'CAT- 2'!U40+'CAT-3'!U40+'Tut-Ass-OA'!U40+'LAB Asseement'!S40</f>
        <v>0</v>
      </c>
      <c r="E39" s="60">
        <f>'CAT-1'!V40+'CAT- 2'!V40+'CAT-3'!V40+'Tut-Ass-OA'!V40+'LAB Asseement'!T40</f>
        <v>0</v>
      </c>
      <c r="F39" s="60">
        <f>'CAT-1'!W40+'CAT- 2'!W40+'CAT-3'!W40+'Tut-Ass-OA'!W40+'LAB Asseement'!U40</f>
        <v>0</v>
      </c>
      <c r="G39" s="60">
        <f>'CAT-1'!X40+'CAT- 2'!X40+'CAT-3'!X40+'Tut-Ass-OA'!X40+'LAB Asseement'!V40</f>
        <v>0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ht="16.5" customHeight="1">
      <c r="A40" s="62" t="str">
        <f>BASE!B45</f>
        <v>23XXR030</v>
      </c>
      <c r="B40" s="121" t="s">
        <v>40</v>
      </c>
      <c r="C40" s="60">
        <f>'CAT-1'!T41+'CAT- 2'!T41+'CAT-3'!T41+'Tut-Ass-OA'!T41+'LAB Asseement'!R41</f>
        <v>0</v>
      </c>
      <c r="D40" s="60">
        <f>'CAT-1'!U41+'CAT- 2'!U41+'CAT-3'!U41+'Tut-Ass-OA'!U41+'LAB Asseement'!S41</f>
        <v>0</v>
      </c>
      <c r="E40" s="60">
        <f>'CAT-1'!V41+'CAT- 2'!V41+'CAT-3'!V41+'Tut-Ass-OA'!V41+'LAB Asseement'!T41</f>
        <v>0</v>
      </c>
      <c r="F40" s="60">
        <f>'CAT-1'!W41+'CAT- 2'!W41+'CAT-3'!W41+'Tut-Ass-OA'!W41+'LAB Asseement'!U41</f>
        <v>0</v>
      </c>
      <c r="G40" s="60">
        <f>'CAT-1'!X41+'CAT- 2'!X41+'CAT-3'!X41+'Tut-Ass-OA'!X41+'LAB Asseement'!V41</f>
        <v>0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ht="16.5" customHeight="1">
      <c r="A41" s="62" t="str">
        <f>BASE!B46</f>
        <v>23XXR031</v>
      </c>
      <c r="B41" s="121" t="s">
        <v>40</v>
      </c>
      <c r="C41" s="60">
        <f>'CAT-1'!T42+'CAT- 2'!T42+'CAT-3'!T42+'Tut-Ass-OA'!T42+'LAB Asseement'!R42</f>
        <v>0</v>
      </c>
      <c r="D41" s="60">
        <f>'CAT-1'!U42+'CAT- 2'!U42+'CAT-3'!U42+'Tut-Ass-OA'!U42+'LAB Asseement'!S42</f>
        <v>0</v>
      </c>
      <c r="E41" s="60">
        <f>'CAT-1'!V42+'CAT- 2'!V42+'CAT-3'!V42+'Tut-Ass-OA'!V42+'LAB Asseement'!T42</f>
        <v>0</v>
      </c>
      <c r="F41" s="60">
        <f>'CAT-1'!W42+'CAT- 2'!W42+'CAT-3'!W42+'Tut-Ass-OA'!W42+'LAB Asseement'!U42</f>
        <v>0</v>
      </c>
      <c r="G41" s="60">
        <f>'CAT-1'!X42+'CAT- 2'!X42+'CAT-3'!X42+'Tut-Ass-OA'!X42+'LAB Asseement'!V42</f>
        <v>0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ht="16.5" customHeight="1">
      <c r="A42" s="62" t="str">
        <f>BASE!B47</f>
        <v>23XXR032</v>
      </c>
      <c r="B42" s="121" t="s">
        <v>40</v>
      </c>
      <c r="C42" s="60">
        <f>'CAT-1'!T43+'CAT- 2'!T43+'CAT-3'!T43+'Tut-Ass-OA'!T43+'LAB Asseement'!R43</f>
        <v>0</v>
      </c>
      <c r="D42" s="60">
        <f>'CAT-1'!U43+'CAT- 2'!U43+'CAT-3'!U43+'Tut-Ass-OA'!U43+'LAB Asseement'!S43</f>
        <v>0</v>
      </c>
      <c r="E42" s="60">
        <f>'CAT-1'!V43+'CAT- 2'!V43+'CAT-3'!V43+'Tut-Ass-OA'!V43+'LAB Asseement'!T43</f>
        <v>0</v>
      </c>
      <c r="F42" s="60">
        <f>'CAT-1'!W43+'CAT- 2'!W43+'CAT-3'!W43+'Tut-Ass-OA'!W43+'LAB Asseement'!U43</f>
        <v>0</v>
      </c>
      <c r="G42" s="60">
        <f>'CAT-1'!X43+'CAT- 2'!X43+'CAT-3'!X43+'Tut-Ass-OA'!X43+'LAB Asseement'!V43</f>
        <v>0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ht="16.5" customHeight="1">
      <c r="A43" s="62" t="str">
        <f>BASE!B48</f>
        <v>23XXR033</v>
      </c>
      <c r="B43" s="121" t="s">
        <v>40</v>
      </c>
      <c r="C43" s="60">
        <f>'CAT-1'!T44+'CAT- 2'!T44+'CAT-3'!T44+'Tut-Ass-OA'!T44+'LAB Asseement'!R44</f>
        <v>0</v>
      </c>
      <c r="D43" s="60">
        <f>'CAT-1'!U44+'CAT- 2'!U44+'CAT-3'!U44+'Tut-Ass-OA'!U44+'LAB Asseement'!S44</f>
        <v>0</v>
      </c>
      <c r="E43" s="60">
        <f>'CAT-1'!V44+'CAT- 2'!V44+'CAT-3'!V44+'Tut-Ass-OA'!V44+'LAB Asseement'!T44</f>
        <v>0</v>
      </c>
      <c r="F43" s="60">
        <f>'CAT-1'!W44+'CAT- 2'!W44+'CAT-3'!W44+'Tut-Ass-OA'!W44+'LAB Asseement'!U44</f>
        <v>0</v>
      </c>
      <c r="G43" s="60">
        <f>'CAT-1'!X44+'CAT- 2'!X44+'CAT-3'!X44+'Tut-Ass-OA'!X44+'LAB Asseement'!V44</f>
        <v>0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16.5" customHeight="1">
      <c r="A44" s="62" t="str">
        <f>BASE!B49</f>
        <v>23XXR034</v>
      </c>
      <c r="B44" s="121" t="s">
        <v>40</v>
      </c>
      <c r="C44" s="60">
        <f>'CAT-1'!T45+'CAT- 2'!T45+'CAT-3'!T45+'Tut-Ass-OA'!T45+'LAB Asseement'!R45</f>
        <v>0</v>
      </c>
      <c r="D44" s="60">
        <f>'CAT-1'!U45+'CAT- 2'!U45+'CAT-3'!U45+'Tut-Ass-OA'!U45+'LAB Asseement'!S45</f>
        <v>0</v>
      </c>
      <c r="E44" s="60">
        <f>'CAT-1'!V45+'CAT- 2'!V45+'CAT-3'!V45+'Tut-Ass-OA'!V45+'LAB Asseement'!T45</f>
        <v>0</v>
      </c>
      <c r="F44" s="60">
        <f>'CAT-1'!W45+'CAT- 2'!W45+'CAT-3'!W45+'Tut-Ass-OA'!W45+'LAB Asseement'!U45</f>
        <v>0</v>
      </c>
      <c r="G44" s="60">
        <f>'CAT-1'!X45+'CAT- 2'!X45+'CAT-3'!X45+'Tut-Ass-OA'!X45+'LAB Asseement'!V45</f>
        <v>0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ht="16.5" customHeight="1">
      <c r="A45" s="62" t="str">
        <f>BASE!B50</f>
        <v>23XXR035</v>
      </c>
      <c r="B45" s="121" t="s">
        <v>40</v>
      </c>
      <c r="C45" s="60">
        <f>'CAT-1'!T46+'CAT- 2'!T46+'CAT-3'!T46+'Tut-Ass-OA'!T46+'LAB Asseement'!R46</f>
        <v>0</v>
      </c>
      <c r="D45" s="60">
        <f>'CAT-1'!U46+'CAT- 2'!U46+'CAT-3'!U46+'Tut-Ass-OA'!U46+'LAB Asseement'!S46</f>
        <v>0</v>
      </c>
      <c r="E45" s="60">
        <f>'CAT-1'!V46+'CAT- 2'!V46+'CAT-3'!V46+'Tut-Ass-OA'!V46+'LAB Asseement'!T46</f>
        <v>0</v>
      </c>
      <c r="F45" s="60">
        <f>'CAT-1'!W46+'CAT- 2'!W46+'CAT-3'!W46+'Tut-Ass-OA'!W46+'LAB Asseement'!U46</f>
        <v>0</v>
      </c>
      <c r="G45" s="60">
        <f>'CAT-1'!X46+'CAT- 2'!X46+'CAT-3'!X46+'Tut-Ass-OA'!X46+'LAB Asseement'!V46</f>
        <v>0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16.5" customHeight="1">
      <c r="A46" s="62" t="str">
        <f>BASE!B51</f>
        <v>23XXR036</v>
      </c>
      <c r="B46" s="121" t="s">
        <v>40</v>
      </c>
      <c r="C46" s="60">
        <f>'CAT-1'!T47+'CAT- 2'!T47+'CAT-3'!T47+'Tut-Ass-OA'!T47+'LAB Asseement'!R47</f>
        <v>0</v>
      </c>
      <c r="D46" s="60">
        <f>'CAT-1'!U47+'CAT- 2'!U47+'CAT-3'!U47+'Tut-Ass-OA'!U47+'LAB Asseement'!S47</f>
        <v>0</v>
      </c>
      <c r="E46" s="60">
        <f>'CAT-1'!V47+'CAT- 2'!V47+'CAT-3'!V47+'Tut-Ass-OA'!V47+'LAB Asseement'!T47</f>
        <v>0</v>
      </c>
      <c r="F46" s="60">
        <f>'CAT-1'!W47+'CAT- 2'!W47+'CAT-3'!W47+'Tut-Ass-OA'!W47+'LAB Asseement'!U47</f>
        <v>0</v>
      </c>
      <c r="G46" s="60">
        <f>'CAT-1'!X47+'CAT- 2'!X47+'CAT-3'!X47+'Tut-Ass-OA'!X47+'LAB Asseement'!V47</f>
        <v>0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ht="16.5" customHeight="1">
      <c r="A47" s="62" t="str">
        <f>BASE!B52</f>
        <v>23XXR037</v>
      </c>
      <c r="B47" s="121" t="s">
        <v>40</v>
      </c>
      <c r="C47" s="60">
        <f>'CAT-1'!T48+'CAT- 2'!T48+'CAT-3'!T48+'Tut-Ass-OA'!T48+'LAB Asseement'!R48</f>
        <v>0</v>
      </c>
      <c r="D47" s="60">
        <f>'CAT-1'!U48+'CAT- 2'!U48+'CAT-3'!U48+'Tut-Ass-OA'!U48+'LAB Asseement'!S48</f>
        <v>0</v>
      </c>
      <c r="E47" s="60">
        <f>'CAT-1'!V48+'CAT- 2'!V48+'CAT-3'!V48+'Tut-Ass-OA'!V48+'LAB Asseement'!T48</f>
        <v>0</v>
      </c>
      <c r="F47" s="60">
        <f>'CAT-1'!W48+'CAT- 2'!W48+'CAT-3'!W48+'Tut-Ass-OA'!W48+'LAB Asseement'!U48</f>
        <v>0</v>
      </c>
      <c r="G47" s="60">
        <f>'CAT-1'!X48+'CAT- 2'!X48+'CAT-3'!X48+'Tut-Ass-OA'!X48+'LAB Asseement'!V48</f>
        <v>0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ht="16.5" customHeight="1">
      <c r="A48" s="62" t="str">
        <f>BASE!B53</f>
        <v>23XXR038</v>
      </c>
      <c r="B48" s="121" t="s">
        <v>40</v>
      </c>
      <c r="C48" s="60">
        <f>'CAT-1'!T49+'CAT- 2'!T49+'CAT-3'!T49+'Tut-Ass-OA'!T49+'LAB Asseement'!R49</f>
        <v>0</v>
      </c>
      <c r="D48" s="60">
        <f>'CAT-1'!U49+'CAT- 2'!U49+'CAT-3'!U49+'Tut-Ass-OA'!U49+'LAB Asseement'!S49</f>
        <v>0</v>
      </c>
      <c r="E48" s="60">
        <f>'CAT-1'!V49+'CAT- 2'!V49+'CAT-3'!V49+'Tut-Ass-OA'!V49+'LAB Asseement'!T49</f>
        <v>0</v>
      </c>
      <c r="F48" s="60">
        <f>'CAT-1'!W49+'CAT- 2'!W49+'CAT-3'!W49+'Tut-Ass-OA'!W49+'LAB Asseement'!U49</f>
        <v>0</v>
      </c>
      <c r="G48" s="60">
        <f>'CAT-1'!X49+'CAT- 2'!X49+'CAT-3'!X49+'Tut-Ass-OA'!X49+'LAB Asseement'!V49</f>
        <v>0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ht="16.5" customHeight="1">
      <c r="A49" s="62" t="str">
        <f>BASE!B54</f>
        <v>23XXR039</v>
      </c>
      <c r="B49" s="121" t="s">
        <v>40</v>
      </c>
      <c r="C49" s="60">
        <f>'CAT-1'!T50+'CAT- 2'!T50+'CAT-3'!T50+'Tut-Ass-OA'!T50+'LAB Asseement'!R50</f>
        <v>0</v>
      </c>
      <c r="D49" s="60">
        <f>'CAT-1'!U50+'CAT- 2'!U50+'CAT-3'!U50+'Tut-Ass-OA'!U50+'LAB Asseement'!S50</f>
        <v>0</v>
      </c>
      <c r="E49" s="60">
        <f>'CAT-1'!V50+'CAT- 2'!V50+'CAT-3'!V50+'Tut-Ass-OA'!V50+'LAB Asseement'!T50</f>
        <v>0</v>
      </c>
      <c r="F49" s="60">
        <f>'CAT-1'!W50+'CAT- 2'!W50+'CAT-3'!W50+'Tut-Ass-OA'!W50+'LAB Asseement'!U50</f>
        <v>0</v>
      </c>
      <c r="G49" s="60">
        <f>'CAT-1'!X50+'CAT- 2'!X50+'CAT-3'!X50+'Tut-Ass-OA'!X50+'LAB Asseement'!V50</f>
        <v>0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ht="16.5" customHeight="1">
      <c r="A50" s="62" t="str">
        <f>BASE!B55</f>
        <v>23XXR040</v>
      </c>
      <c r="B50" s="121" t="s">
        <v>40</v>
      </c>
      <c r="C50" s="60">
        <f>'CAT-1'!T51+'CAT- 2'!T51+'CAT-3'!T51+'Tut-Ass-OA'!T51+'LAB Asseement'!R51</f>
        <v>0</v>
      </c>
      <c r="D50" s="60">
        <f>'CAT-1'!U51+'CAT- 2'!U51+'CAT-3'!U51+'Tut-Ass-OA'!U51+'LAB Asseement'!S51</f>
        <v>0</v>
      </c>
      <c r="E50" s="60">
        <f>'CAT-1'!V51+'CAT- 2'!V51+'CAT-3'!V51+'Tut-Ass-OA'!V51+'LAB Asseement'!T51</f>
        <v>0</v>
      </c>
      <c r="F50" s="60">
        <f>'CAT-1'!W51+'CAT- 2'!W51+'CAT-3'!W51+'Tut-Ass-OA'!W51+'LAB Asseement'!U51</f>
        <v>0</v>
      </c>
      <c r="G50" s="60">
        <f>'CAT-1'!X51+'CAT- 2'!X51+'CAT-3'!X51+'Tut-Ass-OA'!X51+'LAB Asseement'!V51</f>
        <v>0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ht="16.5" customHeight="1">
      <c r="A51" s="62" t="str">
        <f>BASE!B56</f>
        <v>23XXR041</v>
      </c>
      <c r="B51" s="121" t="s">
        <v>40</v>
      </c>
      <c r="C51" s="60">
        <f>'CAT-1'!T52+'CAT- 2'!T52+'CAT-3'!T52+'Tut-Ass-OA'!T52+'LAB Asseement'!R52</f>
        <v>0</v>
      </c>
      <c r="D51" s="60">
        <f>'CAT-1'!U52+'CAT- 2'!U52+'CAT-3'!U52+'Tut-Ass-OA'!U52+'LAB Asseement'!S52</f>
        <v>0</v>
      </c>
      <c r="E51" s="60">
        <f>'CAT-1'!V52+'CAT- 2'!V52+'CAT-3'!V52+'Tut-Ass-OA'!V52+'LAB Asseement'!T52</f>
        <v>0</v>
      </c>
      <c r="F51" s="60">
        <f>'CAT-1'!W52+'CAT- 2'!W52+'CAT-3'!W52+'Tut-Ass-OA'!W52+'LAB Asseement'!U52</f>
        <v>0</v>
      </c>
      <c r="G51" s="60">
        <f>'CAT-1'!X52+'CAT- 2'!X52+'CAT-3'!X52+'Tut-Ass-OA'!X52+'LAB Asseement'!V52</f>
        <v>0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ht="16.5" customHeight="1">
      <c r="A52" s="62" t="str">
        <f>BASE!B57</f>
        <v>23XXR042</v>
      </c>
      <c r="B52" s="121" t="s">
        <v>40</v>
      </c>
      <c r="C52" s="60">
        <f>'CAT-1'!T53+'CAT- 2'!T53+'CAT-3'!T53+'Tut-Ass-OA'!T53+'LAB Asseement'!R53</f>
        <v>0</v>
      </c>
      <c r="D52" s="60">
        <f>'CAT-1'!U53+'CAT- 2'!U53+'CAT-3'!U53+'Tut-Ass-OA'!U53+'LAB Asseement'!S53</f>
        <v>0</v>
      </c>
      <c r="E52" s="60">
        <f>'CAT-1'!V53+'CAT- 2'!V53+'CAT-3'!V53+'Tut-Ass-OA'!V53+'LAB Asseement'!T53</f>
        <v>0</v>
      </c>
      <c r="F52" s="60">
        <f>'CAT-1'!W53+'CAT- 2'!W53+'CAT-3'!W53+'Tut-Ass-OA'!W53+'LAB Asseement'!U53</f>
        <v>0</v>
      </c>
      <c r="G52" s="60">
        <f>'CAT-1'!X53+'CAT- 2'!X53+'CAT-3'!X53+'Tut-Ass-OA'!X53+'LAB Asseement'!V53</f>
        <v>0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ht="16.5" customHeight="1">
      <c r="A53" s="62" t="str">
        <f>BASE!B58</f>
        <v>23XXR043</v>
      </c>
      <c r="B53" s="121" t="s">
        <v>40</v>
      </c>
      <c r="C53" s="60">
        <f>'CAT-1'!T54+'CAT- 2'!T54+'CAT-3'!T54+'Tut-Ass-OA'!T54+'LAB Asseement'!R54</f>
        <v>0</v>
      </c>
      <c r="D53" s="60">
        <f>'CAT-1'!U54+'CAT- 2'!U54+'CAT-3'!U54+'Tut-Ass-OA'!U54+'LAB Asseement'!S54</f>
        <v>0</v>
      </c>
      <c r="E53" s="60">
        <f>'CAT-1'!V54+'CAT- 2'!V54+'CAT-3'!V54+'Tut-Ass-OA'!V54+'LAB Asseement'!T54</f>
        <v>0</v>
      </c>
      <c r="F53" s="60">
        <f>'CAT-1'!W54+'CAT- 2'!W54+'CAT-3'!W54+'Tut-Ass-OA'!W54+'LAB Asseement'!U54</f>
        <v>0</v>
      </c>
      <c r="G53" s="60">
        <f>'CAT-1'!X54+'CAT- 2'!X54+'CAT-3'!X54+'Tut-Ass-OA'!X54+'LAB Asseement'!V54</f>
        <v>0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ht="16.5" customHeight="1">
      <c r="A54" s="62" t="str">
        <f>BASE!B59</f>
        <v>23XXR044</v>
      </c>
      <c r="B54" s="121" t="s">
        <v>40</v>
      </c>
      <c r="C54" s="60">
        <f>'CAT-1'!T55+'CAT- 2'!T55+'CAT-3'!T55+'Tut-Ass-OA'!T55+'LAB Asseement'!R55</f>
        <v>0</v>
      </c>
      <c r="D54" s="60">
        <f>'CAT-1'!U55+'CAT- 2'!U55+'CAT-3'!U55+'Tut-Ass-OA'!U55+'LAB Asseement'!S55</f>
        <v>0</v>
      </c>
      <c r="E54" s="60">
        <f>'CAT-1'!V55+'CAT- 2'!V55+'CAT-3'!V55+'Tut-Ass-OA'!V55+'LAB Asseement'!T55</f>
        <v>0</v>
      </c>
      <c r="F54" s="60">
        <f>'CAT-1'!W55+'CAT- 2'!W55+'CAT-3'!W55+'Tut-Ass-OA'!W55+'LAB Asseement'!U55</f>
        <v>0</v>
      </c>
      <c r="G54" s="60">
        <f>'CAT-1'!X55+'CAT- 2'!X55+'CAT-3'!X55+'Tut-Ass-OA'!X55+'LAB Asseement'!V55</f>
        <v>0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ht="16.5" customHeight="1">
      <c r="A55" s="62" t="str">
        <f>BASE!B60</f>
        <v>23XXR045</v>
      </c>
      <c r="B55" s="121" t="s">
        <v>40</v>
      </c>
      <c r="C55" s="60">
        <f>'CAT-1'!T56+'CAT- 2'!T56+'CAT-3'!T56+'Tut-Ass-OA'!T56+'LAB Asseement'!R56</f>
        <v>0</v>
      </c>
      <c r="D55" s="60">
        <f>'CAT-1'!U56+'CAT- 2'!U56+'CAT-3'!U56+'Tut-Ass-OA'!U56+'LAB Asseement'!S56</f>
        <v>0</v>
      </c>
      <c r="E55" s="60">
        <f>'CAT-1'!V56+'CAT- 2'!V56+'CAT-3'!V56+'Tut-Ass-OA'!V56+'LAB Asseement'!T56</f>
        <v>0</v>
      </c>
      <c r="F55" s="60">
        <f>'CAT-1'!W56+'CAT- 2'!W56+'CAT-3'!W56+'Tut-Ass-OA'!W56+'LAB Asseement'!U56</f>
        <v>0</v>
      </c>
      <c r="G55" s="60">
        <f>'CAT-1'!X56+'CAT- 2'!X56+'CAT-3'!X56+'Tut-Ass-OA'!X56+'LAB Asseement'!V56</f>
        <v>0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ht="16.5" customHeight="1">
      <c r="A56" s="62" t="str">
        <f>BASE!B61</f>
        <v>23XXR046</v>
      </c>
      <c r="B56" s="121" t="s">
        <v>40</v>
      </c>
      <c r="C56" s="60">
        <f>'CAT-1'!T57+'CAT- 2'!T57+'CAT-3'!T57+'Tut-Ass-OA'!T57+'LAB Asseement'!R57</f>
        <v>0</v>
      </c>
      <c r="D56" s="60">
        <f>'CAT-1'!U57+'CAT- 2'!U57+'CAT-3'!U57+'Tut-Ass-OA'!U57+'LAB Asseement'!S57</f>
        <v>0</v>
      </c>
      <c r="E56" s="60">
        <f>'CAT-1'!V57+'CAT- 2'!V57+'CAT-3'!V57+'Tut-Ass-OA'!V57+'LAB Asseement'!T57</f>
        <v>0</v>
      </c>
      <c r="F56" s="60">
        <f>'CAT-1'!W57+'CAT- 2'!W57+'CAT-3'!W57+'Tut-Ass-OA'!W57+'LAB Asseement'!U57</f>
        <v>0</v>
      </c>
      <c r="G56" s="60">
        <f>'CAT-1'!X57+'CAT- 2'!X57+'CAT-3'!X57+'Tut-Ass-OA'!X57+'LAB Asseement'!V57</f>
        <v>0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3" ht="16.5" customHeight="1">
      <c r="A57" s="62" t="str">
        <f>BASE!B62</f>
        <v>23XXR047</v>
      </c>
      <c r="B57" s="121" t="s">
        <v>40</v>
      </c>
      <c r="C57" s="60">
        <f>'CAT-1'!T58+'CAT- 2'!T58+'CAT-3'!T58+'Tut-Ass-OA'!T58+'LAB Asseement'!R58</f>
        <v>0</v>
      </c>
      <c r="D57" s="60">
        <f>'CAT-1'!U58+'CAT- 2'!U58+'CAT-3'!U58+'Tut-Ass-OA'!U58+'LAB Asseement'!S58</f>
        <v>0</v>
      </c>
      <c r="E57" s="60">
        <f>'CAT-1'!V58+'CAT- 2'!V58+'CAT-3'!V58+'Tut-Ass-OA'!V58+'LAB Asseement'!T58</f>
        <v>0</v>
      </c>
      <c r="F57" s="60">
        <f>'CAT-1'!W58+'CAT- 2'!W58+'CAT-3'!W58+'Tut-Ass-OA'!W58+'LAB Asseement'!U58</f>
        <v>0</v>
      </c>
      <c r="G57" s="60">
        <f>'CAT-1'!X58+'CAT- 2'!X58+'CAT-3'!X58+'Tut-Ass-OA'!X58+'LAB Asseement'!V58</f>
        <v>0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1:23" ht="16.5" customHeight="1">
      <c r="A58" s="62" t="str">
        <f>BASE!B63</f>
        <v>23XXR048</v>
      </c>
      <c r="B58" s="121" t="s">
        <v>40</v>
      </c>
      <c r="C58" s="60">
        <f>'CAT-1'!T59+'CAT- 2'!T59+'CAT-3'!T59+'Tut-Ass-OA'!T59+'LAB Asseement'!R59</f>
        <v>0</v>
      </c>
      <c r="D58" s="60">
        <f>'CAT-1'!U59+'CAT- 2'!U59+'CAT-3'!U59+'Tut-Ass-OA'!U59+'LAB Asseement'!S59</f>
        <v>0</v>
      </c>
      <c r="E58" s="60">
        <f>'CAT-1'!V59+'CAT- 2'!V59+'CAT-3'!V59+'Tut-Ass-OA'!V59+'LAB Asseement'!T59</f>
        <v>0</v>
      </c>
      <c r="F58" s="60">
        <f>'CAT-1'!W59+'CAT- 2'!W59+'CAT-3'!W59+'Tut-Ass-OA'!W59+'LAB Asseement'!U59</f>
        <v>0</v>
      </c>
      <c r="G58" s="60">
        <f>'CAT-1'!X59+'CAT- 2'!X59+'CAT-3'!X59+'Tut-Ass-OA'!X59+'LAB Asseement'!V59</f>
        <v>0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1:23" ht="16.5" customHeight="1">
      <c r="A59" s="62" t="str">
        <f>BASE!B64</f>
        <v>23XXR049</v>
      </c>
      <c r="B59" s="121" t="s">
        <v>40</v>
      </c>
      <c r="C59" s="60">
        <f>'CAT-1'!T60+'CAT- 2'!T60+'CAT-3'!T60+'Tut-Ass-OA'!T60+'LAB Asseement'!R60</f>
        <v>0</v>
      </c>
      <c r="D59" s="60">
        <f>'CAT-1'!U60+'CAT- 2'!U60+'CAT-3'!U60+'Tut-Ass-OA'!U60+'LAB Asseement'!S60</f>
        <v>0</v>
      </c>
      <c r="E59" s="60">
        <f>'CAT-1'!V60+'CAT- 2'!V60+'CAT-3'!V60+'Tut-Ass-OA'!V60+'LAB Asseement'!T60</f>
        <v>0</v>
      </c>
      <c r="F59" s="60">
        <f>'CAT-1'!W60+'CAT- 2'!W60+'CAT-3'!W60+'Tut-Ass-OA'!W60+'LAB Asseement'!U60</f>
        <v>0</v>
      </c>
      <c r="G59" s="60">
        <f>'CAT-1'!X60+'CAT- 2'!X60+'CAT-3'!X60+'Tut-Ass-OA'!X60+'LAB Asseement'!V60</f>
        <v>0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ht="16.5" customHeight="1">
      <c r="A60" s="62" t="str">
        <f>BASE!B65</f>
        <v>23XXR050</v>
      </c>
      <c r="B60" s="121" t="s">
        <v>40</v>
      </c>
      <c r="C60" s="60">
        <f>'CAT-1'!T61+'CAT- 2'!T61+'CAT-3'!T61+'Tut-Ass-OA'!T61+'LAB Asseement'!R61</f>
        <v>0</v>
      </c>
      <c r="D60" s="60">
        <f>'CAT-1'!U61+'CAT- 2'!U61+'CAT-3'!U61+'Tut-Ass-OA'!U61+'LAB Asseement'!S61</f>
        <v>0</v>
      </c>
      <c r="E60" s="60">
        <f>'CAT-1'!V61+'CAT- 2'!V61+'CAT-3'!V61+'Tut-Ass-OA'!V61+'LAB Asseement'!T61</f>
        <v>0</v>
      </c>
      <c r="F60" s="60">
        <f>'CAT-1'!W61+'CAT- 2'!W61+'CAT-3'!W61+'Tut-Ass-OA'!W61+'LAB Asseement'!U61</f>
        <v>0</v>
      </c>
      <c r="G60" s="60">
        <f>'CAT-1'!X61+'CAT- 2'!X61+'CAT-3'!X61+'Tut-Ass-OA'!X61+'LAB Asseement'!V61</f>
        <v>0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1:23" ht="16.5" customHeight="1">
      <c r="A61" s="62" t="str">
        <f>BASE!B66</f>
        <v>23XXR051</v>
      </c>
      <c r="B61" s="121" t="s">
        <v>40</v>
      </c>
      <c r="C61" s="60">
        <f>'CAT-1'!T62+'CAT- 2'!T62+'CAT-3'!T62+'Tut-Ass-OA'!T62+'LAB Asseement'!R62</f>
        <v>0</v>
      </c>
      <c r="D61" s="60">
        <f>'CAT-1'!U62+'CAT- 2'!U62+'CAT-3'!U62+'Tut-Ass-OA'!U62+'LAB Asseement'!S62</f>
        <v>0</v>
      </c>
      <c r="E61" s="60">
        <f>'CAT-1'!V62+'CAT- 2'!V62+'CAT-3'!V62+'Tut-Ass-OA'!V62+'LAB Asseement'!T62</f>
        <v>0</v>
      </c>
      <c r="F61" s="60">
        <f>'CAT-1'!W62+'CAT- 2'!W62+'CAT-3'!W62+'Tut-Ass-OA'!W62+'LAB Asseement'!U62</f>
        <v>0</v>
      </c>
      <c r="G61" s="60">
        <f>'CAT-1'!X62+'CAT- 2'!X62+'CAT-3'!X62+'Tut-Ass-OA'!X62+'LAB Asseement'!V62</f>
        <v>0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1:23" ht="16.5" customHeight="1">
      <c r="A62" s="62" t="str">
        <f>BASE!B67</f>
        <v>23XXR052</v>
      </c>
      <c r="B62" s="121" t="s">
        <v>40</v>
      </c>
      <c r="C62" s="60">
        <f>'CAT-1'!T63+'CAT- 2'!T63+'CAT-3'!T63+'Tut-Ass-OA'!T63+'LAB Asseement'!R63</f>
        <v>0</v>
      </c>
      <c r="D62" s="60">
        <f>'CAT-1'!U63+'CAT- 2'!U63+'CAT-3'!U63+'Tut-Ass-OA'!U63+'LAB Asseement'!S63</f>
        <v>0</v>
      </c>
      <c r="E62" s="60">
        <f>'CAT-1'!V63+'CAT- 2'!V63+'CAT-3'!V63+'Tut-Ass-OA'!V63+'LAB Asseement'!T63</f>
        <v>0</v>
      </c>
      <c r="F62" s="60">
        <f>'CAT-1'!W63+'CAT- 2'!W63+'CAT-3'!W63+'Tut-Ass-OA'!W63+'LAB Asseement'!U63</f>
        <v>0</v>
      </c>
      <c r="G62" s="60">
        <f>'CAT-1'!X63+'CAT- 2'!X63+'CAT-3'!X63+'Tut-Ass-OA'!X63+'LAB Asseement'!V63</f>
        <v>0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1:23" ht="16.5" customHeight="1">
      <c r="A63" s="62" t="str">
        <f>BASE!B68</f>
        <v>23XXR053</v>
      </c>
      <c r="B63" s="121" t="s">
        <v>40</v>
      </c>
      <c r="C63" s="60">
        <f>'CAT-1'!T64+'CAT- 2'!T64+'CAT-3'!T64+'Tut-Ass-OA'!T64+'LAB Asseement'!R64</f>
        <v>0</v>
      </c>
      <c r="D63" s="60">
        <f>'CAT-1'!U64+'CAT- 2'!U64+'CAT-3'!U64+'Tut-Ass-OA'!U64+'LAB Asseement'!S64</f>
        <v>0</v>
      </c>
      <c r="E63" s="60">
        <f>'CAT-1'!V64+'CAT- 2'!V64+'CAT-3'!V64+'Tut-Ass-OA'!V64+'LAB Asseement'!T64</f>
        <v>0</v>
      </c>
      <c r="F63" s="60">
        <f>'CAT-1'!W64+'CAT- 2'!W64+'CAT-3'!W64+'Tut-Ass-OA'!W64+'LAB Asseement'!U64</f>
        <v>0</v>
      </c>
      <c r="G63" s="60">
        <f>'CAT-1'!X64+'CAT- 2'!X64+'CAT-3'!X64+'Tut-Ass-OA'!X64+'LAB Asseement'!V64</f>
        <v>0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ht="16.5" customHeight="1">
      <c r="A64" s="62" t="str">
        <f>BASE!B69</f>
        <v>23XXR054</v>
      </c>
      <c r="B64" s="121" t="s">
        <v>40</v>
      </c>
      <c r="C64" s="60">
        <f>'CAT-1'!T65+'CAT- 2'!T65+'CAT-3'!T65+'Tut-Ass-OA'!T65+'LAB Asseement'!R65</f>
        <v>0</v>
      </c>
      <c r="D64" s="60">
        <f>'CAT-1'!U65+'CAT- 2'!U65+'CAT-3'!U65+'Tut-Ass-OA'!U65+'LAB Asseement'!S65</f>
        <v>0</v>
      </c>
      <c r="E64" s="60">
        <f>'CAT-1'!V65+'CAT- 2'!V65+'CAT-3'!V65+'Tut-Ass-OA'!V65+'LAB Asseement'!T65</f>
        <v>0</v>
      </c>
      <c r="F64" s="60">
        <f>'CAT-1'!W65+'CAT- 2'!W65+'CAT-3'!W65+'Tut-Ass-OA'!W65+'LAB Asseement'!U65</f>
        <v>0</v>
      </c>
      <c r="G64" s="60">
        <f>'CAT-1'!X65+'CAT- 2'!X65+'CAT-3'!X65+'Tut-Ass-OA'!X65+'LAB Asseement'!V65</f>
        <v>0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1:23" ht="16.5" customHeight="1">
      <c r="A65" s="62" t="str">
        <f>BASE!B70</f>
        <v>23XXR055</v>
      </c>
      <c r="B65" s="121" t="s">
        <v>40</v>
      </c>
      <c r="C65" s="60">
        <f>'CAT-1'!T66+'CAT- 2'!T66+'CAT-3'!T66+'Tut-Ass-OA'!T66+'LAB Asseement'!R66</f>
        <v>0</v>
      </c>
      <c r="D65" s="60">
        <f>'CAT-1'!U66+'CAT- 2'!U66+'CAT-3'!U66+'Tut-Ass-OA'!U66+'LAB Asseement'!S66</f>
        <v>0</v>
      </c>
      <c r="E65" s="60">
        <f>'CAT-1'!V66+'CAT- 2'!V66+'CAT-3'!V66+'Tut-Ass-OA'!V66+'LAB Asseement'!T66</f>
        <v>0</v>
      </c>
      <c r="F65" s="60">
        <f>'CAT-1'!W66+'CAT- 2'!W66+'CAT-3'!W66+'Tut-Ass-OA'!W66+'LAB Asseement'!U66</f>
        <v>0</v>
      </c>
      <c r="G65" s="60">
        <f>'CAT-1'!X66+'CAT- 2'!X66+'CAT-3'!X66+'Tut-Ass-OA'!X66+'LAB Asseement'!V66</f>
        <v>0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1:23" ht="16.5" customHeight="1">
      <c r="A66" s="62" t="str">
        <f>BASE!B71</f>
        <v>23XXR056</v>
      </c>
      <c r="B66" s="121" t="s">
        <v>40</v>
      </c>
      <c r="C66" s="60">
        <f>'CAT-1'!T67+'CAT- 2'!T67+'CAT-3'!T67+'Tut-Ass-OA'!T67+'LAB Asseement'!R67</f>
        <v>0</v>
      </c>
      <c r="D66" s="60">
        <f>'CAT-1'!U67+'CAT- 2'!U67+'CAT-3'!U67+'Tut-Ass-OA'!U67+'LAB Asseement'!S67</f>
        <v>0</v>
      </c>
      <c r="E66" s="60">
        <f>'CAT-1'!V67+'CAT- 2'!V67+'CAT-3'!V67+'Tut-Ass-OA'!V67+'LAB Asseement'!T67</f>
        <v>0</v>
      </c>
      <c r="F66" s="60">
        <f>'CAT-1'!W67+'CAT- 2'!W67+'CAT-3'!W67+'Tut-Ass-OA'!W67+'LAB Asseement'!U67</f>
        <v>0</v>
      </c>
      <c r="G66" s="60">
        <f>'CAT-1'!X67+'CAT- 2'!X67+'CAT-3'!X67+'Tut-Ass-OA'!X67+'LAB Asseement'!V67</f>
        <v>0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:23" ht="16.5" customHeight="1">
      <c r="A67" s="62" t="str">
        <f>BASE!B72</f>
        <v>23XXR057</v>
      </c>
      <c r="B67" s="121" t="s">
        <v>40</v>
      </c>
      <c r="C67" s="60">
        <f>'CAT-1'!T68+'CAT- 2'!T68+'CAT-3'!T68+'Tut-Ass-OA'!T68+'LAB Asseement'!R68</f>
        <v>0</v>
      </c>
      <c r="D67" s="60">
        <f>'CAT-1'!U68+'CAT- 2'!U68+'CAT-3'!U68+'Tut-Ass-OA'!U68+'LAB Asseement'!S68</f>
        <v>0</v>
      </c>
      <c r="E67" s="60">
        <f>'CAT-1'!V68+'CAT- 2'!V68+'CAT-3'!V68+'Tut-Ass-OA'!V68+'LAB Asseement'!T68</f>
        <v>0</v>
      </c>
      <c r="F67" s="60">
        <f>'CAT-1'!W68+'CAT- 2'!W68+'CAT-3'!W68+'Tut-Ass-OA'!W68+'LAB Asseement'!U68</f>
        <v>0</v>
      </c>
      <c r="G67" s="60">
        <f>'CAT-1'!X68+'CAT- 2'!X68+'CAT-3'!X68+'Tut-Ass-OA'!X68+'LAB Asseement'!V68</f>
        <v>0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ht="16.5" customHeight="1">
      <c r="A68" s="62" t="str">
        <f>BASE!B73</f>
        <v>23XXR058</v>
      </c>
      <c r="B68" s="121" t="s">
        <v>40</v>
      </c>
      <c r="C68" s="60">
        <f>'CAT-1'!T69+'CAT- 2'!T69+'CAT-3'!T69+'Tut-Ass-OA'!T69+'LAB Asseement'!R69</f>
        <v>0</v>
      </c>
      <c r="D68" s="60">
        <f>'CAT-1'!U69+'CAT- 2'!U69+'CAT-3'!U69+'Tut-Ass-OA'!U69+'LAB Asseement'!S69</f>
        <v>0</v>
      </c>
      <c r="E68" s="60">
        <f>'CAT-1'!V69+'CAT- 2'!V69+'CAT-3'!V69+'Tut-Ass-OA'!V69+'LAB Asseement'!T69</f>
        <v>0</v>
      </c>
      <c r="F68" s="60">
        <f>'CAT-1'!W69+'CAT- 2'!W69+'CAT-3'!W69+'Tut-Ass-OA'!W69+'LAB Asseement'!U69</f>
        <v>0</v>
      </c>
      <c r="G68" s="60">
        <f>'CAT-1'!X69+'CAT- 2'!X69+'CAT-3'!X69+'Tut-Ass-OA'!X69+'LAB Asseement'!V69</f>
        <v>0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ht="16.5" customHeight="1">
      <c r="A69" s="62" t="str">
        <f>BASE!B74</f>
        <v>23XXR059</v>
      </c>
      <c r="B69" s="121" t="s">
        <v>40</v>
      </c>
      <c r="C69" s="60">
        <f>'CAT-1'!T70+'CAT- 2'!T70+'CAT-3'!T70+'Tut-Ass-OA'!T70+'LAB Asseement'!R70</f>
        <v>0</v>
      </c>
      <c r="D69" s="60">
        <f>'CAT-1'!U70+'CAT- 2'!U70+'CAT-3'!U70+'Tut-Ass-OA'!U70+'LAB Asseement'!S70</f>
        <v>0</v>
      </c>
      <c r="E69" s="60">
        <f>'CAT-1'!V70+'CAT- 2'!V70+'CAT-3'!V70+'Tut-Ass-OA'!V70+'LAB Asseement'!T70</f>
        <v>0</v>
      </c>
      <c r="F69" s="60">
        <f>'CAT-1'!W70+'CAT- 2'!W70+'CAT-3'!W70+'Tut-Ass-OA'!W70+'LAB Asseement'!U70</f>
        <v>0</v>
      </c>
      <c r="G69" s="60">
        <f>'CAT-1'!X70+'CAT- 2'!X70+'CAT-3'!X70+'Tut-Ass-OA'!X70+'LAB Asseement'!V70</f>
        <v>0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ht="16.5" customHeight="1">
      <c r="A70" s="62" t="str">
        <f>BASE!B75</f>
        <v>23XXR060</v>
      </c>
      <c r="B70" s="121" t="s">
        <v>40</v>
      </c>
      <c r="C70" s="60">
        <f>'CAT-1'!T71+'CAT- 2'!T71+'CAT-3'!T71+'Tut-Ass-OA'!T71+'LAB Asseement'!R71</f>
        <v>0</v>
      </c>
      <c r="D70" s="60">
        <f>'CAT-1'!U71+'CAT- 2'!U71+'CAT-3'!U71+'Tut-Ass-OA'!U71+'LAB Asseement'!S71</f>
        <v>0</v>
      </c>
      <c r="E70" s="60">
        <f>'CAT-1'!V71+'CAT- 2'!V71+'CAT-3'!V71+'Tut-Ass-OA'!V71+'LAB Asseement'!T71</f>
        <v>0</v>
      </c>
      <c r="F70" s="60">
        <f>'CAT-1'!W71+'CAT- 2'!W71+'CAT-3'!W71+'Tut-Ass-OA'!W71+'LAB Asseement'!U71</f>
        <v>0</v>
      </c>
      <c r="G70" s="60">
        <f>'CAT-1'!X71+'CAT- 2'!X71+'CAT-3'!X71+'Tut-Ass-OA'!X71+'LAB Asseement'!V71</f>
        <v>0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ht="16.5" customHeight="1">
      <c r="A71" s="62" t="str">
        <f>BASE!B76</f>
        <v>23XXR061</v>
      </c>
      <c r="B71" s="121" t="s">
        <v>40</v>
      </c>
      <c r="C71" s="60">
        <f>'CAT-1'!T72+'CAT- 2'!T72+'CAT-3'!T72+'Tut-Ass-OA'!T72+'LAB Asseement'!R72</f>
        <v>0</v>
      </c>
      <c r="D71" s="60">
        <f>'CAT-1'!U72+'CAT- 2'!U72+'CAT-3'!U72+'Tut-Ass-OA'!U72+'LAB Asseement'!S72</f>
        <v>0</v>
      </c>
      <c r="E71" s="60">
        <f>'CAT-1'!V72+'CAT- 2'!V72+'CAT-3'!V72+'Tut-Ass-OA'!V72+'LAB Asseement'!T72</f>
        <v>0</v>
      </c>
      <c r="F71" s="60">
        <f>'CAT-1'!W72+'CAT- 2'!W72+'CAT-3'!W72+'Tut-Ass-OA'!W72+'LAB Asseement'!U72</f>
        <v>0</v>
      </c>
      <c r="G71" s="60">
        <f>'CAT-1'!X72+'CAT- 2'!X72+'CAT-3'!X72+'Tut-Ass-OA'!X72+'LAB Asseement'!V72</f>
        <v>0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ht="16.5" customHeight="1">
      <c r="A72" s="62" t="str">
        <f>BASE!B77</f>
        <v>23XXR062</v>
      </c>
      <c r="B72" s="121" t="s">
        <v>40</v>
      </c>
      <c r="C72" s="60">
        <f>'CAT-1'!T73+'CAT- 2'!T73+'CAT-3'!T73+'Tut-Ass-OA'!T73+'LAB Asseement'!R73</f>
        <v>0</v>
      </c>
      <c r="D72" s="60">
        <f>'CAT-1'!U73+'CAT- 2'!U73+'CAT-3'!U73+'Tut-Ass-OA'!U73+'LAB Asseement'!S73</f>
        <v>0</v>
      </c>
      <c r="E72" s="60">
        <f>'CAT-1'!V73+'CAT- 2'!V73+'CAT-3'!V73+'Tut-Ass-OA'!V73+'LAB Asseement'!T73</f>
        <v>0</v>
      </c>
      <c r="F72" s="60">
        <f>'CAT-1'!W73+'CAT- 2'!W73+'CAT-3'!W73+'Tut-Ass-OA'!W73+'LAB Asseement'!U73</f>
        <v>0</v>
      </c>
      <c r="G72" s="60">
        <f>'CAT-1'!X73+'CAT- 2'!X73+'CAT-3'!X73+'Tut-Ass-OA'!X73+'LAB Asseement'!V73</f>
        <v>0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ht="16.5" customHeight="1">
      <c r="A73" s="62" t="str">
        <f>BASE!B78</f>
        <v>23XXR063</v>
      </c>
      <c r="B73" s="121" t="s">
        <v>40</v>
      </c>
      <c r="C73" s="60">
        <f>'CAT-1'!T74+'CAT- 2'!T74+'CAT-3'!T74+'Tut-Ass-OA'!T74+'LAB Asseement'!R74</f>
        <v>0</v>
      </c>
      <c r="D73" s="60">
        <f>'CAT-1'!U74+'CAT- 2'!U74+'CAT-3'!U74+'Tut-Ass-OA'!U74+'LAB Asseement'!S74</f>
        <v>0</v>
      </c>
      <c r="E73" s="60">
        <f>'CAT-1'!V74+'CAT- 2'!V74+'CAT-3'!V74+'Tut-Ass-OA'!V74+'LAB Asseement'!T74</f>
        <v>0</v>
      </c>
      <c r="F73" s="60">
        <f>'CAT-1'!W74+'CAT- 2'!W74+'CAT-3'!W74+'Tut-Ass-OA'!W74+'LAB Asseement'!U74</f>
        <v>0</v>
      </c>
      <c r="G73" s="60">
        <f>'CAT-1'!X74+'CAT- 2'!X74+'CAT-3'!X74+'Tut-Ass-OA'!X74+'LAB Asseement'!V74</f>
        <v>0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1:23" ht="16.5" customHeight="1">
      <c r="A74" s="62" t="str">
        <f>BASE!B79</f>
        <v>23XXR064</v>
      </c>
      <c r="B74" s="121" t="s">
        <v>40</v>
      </c>
      <c r="C74" s="60">
        <f>'CAT-1'!T75+'CAT- 2'!T75+'CAT-3'!T75+'Tut-Ass-OA'!T75+'LAB Asseement'!R75</f>
        <v>0</v>
      </c>
      <c r="D74" s="60">
        <f>'CAT-1'!U75+'CAT- 2'!U75+'CAT-3'!U75+'Tut-Ass-OA'!U75+'LAB Asseement'!S75</f>
        <v>0</v>
      </c>
      <c r="E74" s="60">
        <f>'CAT-1'!V75+'CAT- 2'!V75+'CAT-3'!V75+'Tut-Ass-OA'!V75+'LAB Asseement'!T75</f>
        <v>0</v>
      </c>
      <c r="F74" s="60">
        <f>'CAT-1'!W75+'CAT- 2'!W75+'CAT-3'!W75+'Tut-Ass-OA'!W75+'LAB Asseement'!U75</f>
        <v>0</v>
      </c>
      <c r="G74" s="60">
        <f>'CAT-1'!X75+'CAT- 2'!X75+'CAT-3'!X75+'Tut-Ass-OA'!X75+'LAB Asseement'!V75</f>
        <v>0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ht="16.5" customHeight="1">
      <c r="A75" s="62" t="str">
        <f>BASE!B80</f>
        <v>23XXR065</v>
      </c>
      <c r="B75" s="121" t="s">
        <v>40</v>
      </c>
      <c r="C75" s="60">
        <f>'CAT-1'!T76+'CAT- 2'!T76+'CAT-3'!T76+'Tut-Ass-OA'!T76+'LAB Asseement'!R76</f>
        <v>0</v>
      </c>
      <c r="D75" s="60">
        <f>'CAT-1'!U76+'CAT- 2'!U76+'CAT-3'!U76+'Tut-Ass-OA'!U76+'LAB Asseement'!S76</f>
        <v>0</v>
      </c>
      <c r="E75" s="60">
        <f>'CAT-1'!V76+'CAT- 2'!V76+'CAT-3'!V76+'Tut-Ass-OA'!V76+'LAB Asseement'!T76</f>
        <v>0</v>
      </c>
      <c r="F75" s="60">
        <f>'CAT-1'!W76+'CAT- 2'!W76+'CAT-3'!W76+'Tut-Ass-OA'!W76+'LAB Asseement'!U76</f>
        <v>0</v>
      </c>
      <c r="G75" s="60">
        <f>'CAT-1'!X76+'CAT- 2'!X76+'CAT-3'!X76+'Tut-Ass-OA'!X76+'LAB Asseement'!V76</f>
        <v>0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1:23" ht="16.5" customHeight="1">
      <c r="A76" s="62" t="str">
        <f>BASE!B81</f>
        <v>23XXR066</v>
      </c>
      <c r="B76" s="121" t="s">
        <v>40</v>
      </c>
      <c r="C76" s="60">
        <f>'CAT-1'!T77+'CAT- 2'!T77+'CAT-3'!T77+'Tut-Ass-OA'!T77+'LAB Asseement'!R77</f>
        <v>0</v>
      </c>
      <c r="D76" s="60">
        <f>'CAT-1'!U77+'CAT- 2'!U77+'CAT-3'!U77+'Tut-Ass-OA'!U77+'LAB Asseement'!S77</f>
        <v>0</v>
      </c>
      <c r="E76" s="60">
        <f>'CAT-1'!V77+'CAT- 2'!V77+'CAT-3'!V77+'Tut-Ass-OA'!V77+'LAB Asseement'!T77</f>
        <v>0</v>
      </c>
      <c r="F76" s="60">
        <f>'CAT-1'!W77+'CAT- 2'!W77+'CAT-3'!W77+'Tut-Ass-OA'!W77+'LAB Asseement'!U77</f>
        <v>0</v>
      </c>
      <c r="G76" s="60">
        <f>'CAT-1'!X77+'CAT- 2'!X77+'CAT-3'!X77+'Tut-Ass-OA'!X77+'LAB Asseement'!V77</f>
        <v>0</v>
      </c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1:23" ht="16.5" customHeight="1">
      <c r="A77" s="62" t="str">
        <f>BASE!B82</f>
        <v>23XXR067</v>
      </c>
      <c r="B77" s="121" t="s">
        <v>40</v>
      </c>
      <c r="C77" s="60">
        <f>'CAT-1'!T78+'CAT- 2'!T78+'CAT-3'!T78+'Tut-Ass-OA'!T78+'LAB Asseement'!R78</f>
        <v>0</v>
      </c>
      <c r="D77" s="60">
        <f>'CAT-1'!U78+'CAT- 2'!U78+'CAT-3'!U78+'Tut-Ass-OA'!U78+'LAB Asseement'!S78</f>
        <v>0</v>
      </c>
      <c r="E77" s="60">
        <f>'CAT-1'!V78+'CAT- 2'!V78+'CAT-3'!V78+'Tut-Ass-OA'!V78+'LAB Asseement'!T78</f>
        <v>0</v>
      </c>
      <c r="F77" s="60">
        <f>'CAT-1'!W78+'CAT- 2'!W78+'CAT-3'!W78+'Tut-Ass-OA'!W78+'LAB Asseement'!U78</f>
        <v>0</v>
      </c>
      <c r="G77" s="60">
        <f>'CAT-1'!X78+'CAT- 2'!X78+'CAT-3'!X78+'Tut-Ass-OA'!X78+'LAB Asseement'!V78</f>
        <v>0</v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1:23" ht="21.75" customHeight="1">
      <c r="A78" s="62" t="str">
        <f>BASE!B83</f>
        <v>23XXR068</v>
      </c>
      <c r="B78" s="121" t="s">
        <v>40</v>
      </c>
      <c r="C78" s="60">
        <f>'CAT-1'!T79+'CAT- 2'!T79+'CAT-3'!T79+'Tut-Ass-OA'!T79+'LAB Asseement'!R79</f>
        <v>0</v>
      </c>
      <c r="D78" s="60">
        <f>'CAT-1'!U79+'CAT- 2'!U79+'CAT-3'!U79+'Tut-Ass-OA'!U79+'LAB Asseement'!S79</f>
        <v>0</v>
      </c>
      <c r="E78" s="60">
        <f>'CAT-1'!V79+'CAT- 2'!V79+'CAT-3'!V79+'Tut-Ass-OA'!V79+'LAB Asseement'!T79</f>
        <v>0</v>
      </c>
      <c r="F78" s="60">
        <f>'CAT-1'!W79+'CAT- 2'!W79+'CAT-3'!W79+'Tut-Ass-OA'!W79+'LAB Asseement'!U79</f>
        <v>0</v>
      </c>
      <c r="G78" s="60">
        <f>'CAT-1'!X79+'CAT- 2'!X79+'CAT-3'!X79+'Tut-Ass-OA'!X79+'LAB Asseement'!V79</f>
        <v>0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1:23" ht="21.75" customHeight="1">
      <c r="A79" s="62" t="str">
        <f>BASE!B84</f>
        <v>23XXR069</v>
      </c>
      <c r="B79" s="121" t="s">
        <v>40</v>
      </c>
      <c r="C79" s="60">
        <f>'CAT-1'!T80+'CAT- 2'!T80+'CAT-3'!T80+'Tut-Ass-OA'!T80+'LAB Asseement'!R80</f>
        <v>0</v>
      </c>
      <c r="D79" s="60">
        <f>'CAT-1'!U80+'CAT- 2'!U80+'CAT-3'!U80+'Tut-Ass-OA'!U80+'LAB Asseement'!S80</f>
        <v>0</v>
      </c>
      <c r="E79" s="60">
        <f>'CAT-1'!V80+'CAT- 2'!V80+'CAT-3'!V80+'Tut-Ass-OA'!V80+'LAB Asseement'!T80</f>
        <v>0</v>
      </c>
      <c r="F79" s="60">
        <f>'CAT-1'!W80+'CAT- 2'!W80+'CAT-3'!W80+'Tut-Ass-OA'!W80+'LAB Asseement'!U80</f>
        <v>0</v>
      </c>
      <c r="G79" s="60">
        <f>'CAT-1'!X80+'CAT- 2'!X80+'CAT-3'!X80+'Tut-Ass-OA'!X80+'LAB Asseement'!V80</f>
        <v>0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1:23" ht="21.75" customHeight="1">
      <c r="A80" s="62" t="str">
        <f>BASE!B85</f>
        <v>23XXR070</v>
      </c>
      <c r="B80" s="121" t="s">
        <v>40</v>
      </c>
      <c r="C80" s="60">
        <f>'CAT-1'!T81+'CAT- 2'!T81+'CAT-3'!T81+'Tut-Ass-OA'!T81+'LAB Asseement'!R81</f>
        <v>0</v>
      </c>
      <c r="D80" s="60">
        <f>'CAT-1'!U81+'CAT- 2'!U81+'CAT-3'!U81+'Tut-Ass-OA'!U81+'LAB Asseement'!S81</f>
        <v>0</v>
      </c>
      <c r="E80" s="60">
        <f>'CAT-1'!V81+'CAT- 2'!V81+'CAT-3'!V81+'Tut-Ass-OA'!V81+'LAB Asseement'!T81</f>
        <v>0</v>
      </c>
      <c r="F80" s="60">
        <f>'CAT-1'!W81+'CAT- 2'!W81+'CAT-3'!W81+'Tut-Ass-OA'!W81+'LAB Asseement'!U81</f>
        <v>0</v>
      </c>
      <c r="G80" s="60">
        <f>'CAT-1'!X81+'CAT- 2'!X81+'CAT-3'!X81+'Tut-Ass-OA'!X81+'LAB Asseement'!V81</f>
        <v>0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1:23" ht="21.75" customHeight="1">
      <c r="A81" s="62" t="str">
        <f>BASE!B86</f>
        <v>23XXR071</v>
      </c>
      <c r="B81" s="121" t="s">
        <v>40</v>
      </c>
      <c r="C81" s="60">
        <f>'CAT-1'!T82+'CAT- 2'!T82+'CAT-3'!T82+'Tut-Ass-OA'!T82+'LAB Asseement'!R82</f>
        <v>0</v>
      </c>
      <c r="D81" s="60">
        <f>'CAT-1'!U82+'CAT- 2'!U82+'CAT-3'!U82+'Tut-Ass-OA'!U82+'LAB Asseement'!S82</f>
        <v>0</v>
      </c>
      <c r="E81" s="60">
        <f>'CAT-1'!V82+'CAT- 2'!V82+'CAT-3'!V82+'Tut-Ass-OA'!V82+'LAB Asseement'!T82</f>
        <v>0</v>
      </c>
      <c r="F81" s="60">
        <f>'CAT-1'!W82+'CAT- 2'!W82+'CAT-3'!W82+'Tut-Ass-OA'!W82+'LAB Asseement'!U82</f>
        <v>0</v>
      </c>
      <c r="G81" s="60">
        <f>'CAT-1'!X82+'CAT- 2'!X82+'CAT-3'!X82+'Tut-Ass-OA'!X82+'LAB Asseement'!V82</f>
        <v>0</v>
      </c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1:23" ht="21.75" customHeight="1">
      <c r="A82" s="62" t="str">
        <f>BASE!B87</f>
        <v>23XXR072</v>
      </c>
      <c r="B82" s="121" t="s">
        <v>40</v>
      </c>
      <c r="C82" s="60">
        <f>'CAT-1'!T83+'CAT- 2'!T83+'CAT-3'!T83+'Tut-Ass-OA'!T83+'LAB Asseement'!R83</f>
        <v>0</v>
      </c>
      <c r="D82" s="60">
        <f>'CAT-1'!U83+'CAT- 2'!U83+'CAT-3'!U83+'Tut-Ass-OA'!U83+'LAB Asseement'!S83</f>
        <v>0</v>
      </c>
      <c r="E82" s="60">
        <f>'CAT-1'!V83+'CAT- 2'!V83+'CAT-3'!V83+'Tut-Ass-OA'!V83+'LAB Asseement'!T83</f>
        <v>0</v>
      </c>
      <c r="F82" s="60">
        <f>'CAT-1'!W83+'CAT- 2'!W83+'CAT-3'!W83+'Tut-Ass-OA'!W83+'LAB Asseement'!U83</f>
        <v>0</v>
      </c>
      <c r="G82" s="60">
        <f>'CAT-1'!X83+'CAT- 2'!X83+'CAT-3'!X83+'Tut-Ass-OA'!X83+'LAB Asseement'!V83</f>
        <v>0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1:23" ht="21.75" customHeight="1">
      <c r="A83" s="62" t="str">
        <f>BASE!B88</f>
        <v>23XXR073</v>
      </c>
      <c r="B83" s="121" t="s">
        <v>40</v>
      </c>
      <c r="C83" s="60">
        <f>'CAT-1'!T84+'CAT- 2'!T84+'CAT-3'!T84+'Tut-Ass-OA'!T84+'LAB Asseement'!R84</f>
        <v>0</v>
      </c>
      <c r="D83" s="60">
        <f>'CAT-1'!U84+'CAT- 2'!U84+'CAT-3'!U84+'Tut-Ass-OA'!U84+'LAB Asseement'!S84</f>
        <v>0</v>
      </c>
      <c r="E83" s="60">
        <f>'CAT-1'!V84+'CAT- 2'!V84+'CAT-3'!V84+'Tut-Ass-OA'!V84+'LAB Asseement'!T84</f>
        <v>0</v>
      </c>
      <c r="F83" s="60">
        <f>'CAT-1'!W84+'CAT- 2'!W84+'CAT-3'!W84+'Tut-Ass-OA'!W84+'LAB Asseement'!U84</f>
        <v>0</v>
      </c>
      <c r="G83" s="60">
        <f>'CAT-1'!X84+'CAT- 2'!X84+'CAT-3'!X84+'Tut-Ass-OA'!X84+'LAB Asseement'!V84</f>
        <v>0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1:23" ht="21.75" customHeight="1">
      <c r="A84" s="62" t="str">
        <f>BASE!B89</f>
        <v>23XXR074</v>
      </c>
      <c r="B84" s="121" t="s">
        <v>40</v>
      </c>
      <c r="C84" s="60">
        <f>'CAT-1'!T85+'CAT- 2'!T85+'CAT-3'!T85+'Tut-Ass-OA'!T85+'LAB Asseement'!R85</f>
        <v>0</v>
      </c>
      <c r="D84" s="60">
        <f>'CAT-1'!U85+'CAT- 2'!U85+'CAT-3'!U85+'Tut-Ass-OA'!U85+'LAB Asseement'!S85</f>
        <v>0</v>
      </c>
      <c r="E84" s="60">
        <f>'CAT-1'!V85+'CAT- 2'!V85+'CAT-3'!V85+'Tut-Ass-OA'!V85+'LAB Asseement'!T85</f>
        <v>0</v>
      </c>
      <c r="F84" s="60">
        <f>'CAT-1'!W85+'CAT- 2'!W85+'CAT-3'!W85+'Tut-Ass-OA'!W85+'LAB Asseement'!U85</f>
        <v>0</v>
      </c>
      <c r="G84" s="60">
        <f>'CAT-1'!X85+'CAT- 2'!X85+'CAT-3'!X85+'Tut-Ass-OA'!X85+'LAB Asseement'!V85</f>
        <v>0</v>
      </c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spans="1:23" ht="21.75" customHeight="1">
      <c r="A85" s="62" t="str">
        <f>BASE!B90</f>
        <v>23XXR075</v>
      </c>
      <c r="B85" s="121" t="s">
        <v>40</v>
      </c>
      <c r="C85" s="60">
        <f>'CAT-1'!T86+'CAT- 2'!T86+'CAT-3'!T86+'Tut-Ass-OA'!T86+'LAB Asseement'!R86</f>
        <v>0</v>
      </c>
      <c r="D85" s="60">
        <f>'CAT-1'!U86+'CAT- 2'!U86+'CAT-3'!U86+'Tut-Ass-OA'!U86+'LAB Asseement'!S86</f>
        <v>0</v>
      </c>
      <c r="E85" s="60">
        <f>'CAT-1'!V86+'CAT- 2'!V86+'CAT-3'!V86+'Tut-Ass-OA'!V86+'LAB Asseement'!T86</f>
        <v>0</v>
      </c>
      <c r="F85" s="60">
        <f>'CAT-1'!W86+'CAT- 2'!W86+'CAT-3'!W86+'Tut-Ass-OA'!W86+'LAB Asseement'!U86</f>
        <v>0</v>
      </c>
      <c r="G85" s="60">
        <f>'CAT-1'!X86+'CAT- 2'!X86+'CAT-3'!X86+'Tut-Ass-OA'!X86+'LAB Asseement'!V86</f>
        <v>0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 ht="21.75" customHeight="1">
      <c r="A86" s="62" t="str">
        <f>BASE!B91</f>
        <v>23XXR076</v>
      </c>
      <c r="B86" s="121" t="s">
        <v>40</v>
      </c>
      <c r="C86" s="60">
        <f>'CAT-1'!T87+'CAT- 2'!T87+'CAT-3'!T87+'Tut-Ass-OA'!T87+'LAB Asseement'!R87</f>
        <v>0</v>
      </c>
      <c r="D86" s="60">
        <f>'CAT-1'!U87+'CAT- 2'!U87+'CAT-3'!U87+'Tut-Ass-OA'!U87+'LAB Asseement'!S87</f>
        <v>0</v>
      </c>
      <c r="E86" s="60">
        <f>'CAT-1'!V87+'CAT- 2'!V87+'CAT-3'!V87+'Tut-Ass-OA'!V87+'LAB Asseement'!T87</f>
        <v>0</v>
      </c>
      <c r="F86" s="60">
        <f>'CAT-1'!W87+'CAT- 2'!W87+'CAT-3'!W87+'Tut-Ass-OA'!W87+'LAB Asseement'!U87</f>
        <v>0</v>
      </c>
      <c r="G86" s="60">
        <f>'CAT-1'!X87+'CAT- 2'!X87+'CAT-3'!X87+'Tut-Ass-OA'!X87+'LAB Asseement'!V87</f>
        <v>0</v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 ht="21.75" customHeight="1">
      <c r="A87" s="62" t="str">
        <f>BASE!B92</f>
        <v>23XXR077</v>
      </c>
      <c r="B87" s="121" t="s">
        <v>40</v>
      </c>
      <c r="C87" s="60">
        <f>'CAT-1'!T88+'CAT- 2'!T88+'CAT-3'!T88+'Tut-Ass-OA'!T88+'LAB Asseement'!R88</f>
        <v>0</v>
      </c>
      <c r="D87" s="60">
        <f>'CAT-1'!U88+'CAT- 2'!U88+'CAT-3'!U88+'Tut-Ass-OA'!U88+'LAB Asseement'!S88</f>
        <v>0</v>
      </c>
      <c r="E87" s="60">
        <f>'CAT-1'!V88+'CAT- 2'!V88+'CAT-3'!V88+'Tut-Ass-OA'!V88+'LAB Asseement'!T88</f>
        <v>0</v>
      </c>
      <c r="F87" s="60">
        <f>'CAT-1'!W88+'CAT- 2'!W88+'CAT-3'!W88+'Tut-Ass-OA'!W88+'LAB Asseement'!U88</f>
        <v>0</v>
      </c>
      <c r="G87" s="60">
        <f>'CAT-1'!X88+'CAT- 2'!X88+'CAT-3'!X88+'Tut-Ass-OA'!X88+'LAB Asseement'!V88</f>
        <v>0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 ht="21.75" customHeight="1">
      <c r="A88" s="62" t="str">
        <f>BASE!B93</f>
        <v>23XXR078</v>
      </c>
      <c r="B88" s="121" t="s">
        <v>40</v>
      </c>
      <c r="C88" s="60">
        <f>'CAT-1'!T89+'CAT- 2'!T89+'CAT-3'!T89+'Tut-Ass-OA'!T89+'LAB Asseement'!R89</f>
        <v>0</v>
      </c>
      <c r="D88" s="60">
        <f>'CAT-1'!U89+'CAT- 2'!U89+'CAT-3'!U89+'Tut-Ass-OA'!U89+'LAB Asseement'!S89</f>
        <v>0</v>
      </c>
      <c r="E88" s="60">
        <f>'CAT-1'!V89+'CAT- 2'!V89+'CAT-3'!V89+'Tut-Ass-OA'!V89+'LAB Asseement'!T89</f>
        <v>0</v>
      </c>
      <c r="F88" s="60">
        <f>'CAT-1'!W89+'CAT- 2'!W89+'CAT-3'!W89+'Tut-Ass-OA'!W89+'LAB Asseement'!U89</f>
        <v>0</v>
      </c>
      <c r="G88" s="60">
        <f>'CAT-1'!X89+'CAT- 2'!X89+'CAT-3'!X89+'Tut-Ass-OA'!X89+'LAB Asseement'!V89</f>
        <v>0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 ht="21.75" customHeight="1">
      <c r="A89" s="62" t="str">
        <f>BASE!B94</f>
        <v>23XXR079</v>
      </c>
      <c r="B89" s="121" t="s">
        <v>40</v>
      </c>
      <c r="C89" s="60">
        <f>'CAT-1'!T90+'CAT- 2'!T90+'CAT-3'!T90+'Tut-Ass-OA'!T90+'LAB Asseement'!R90</f>
        <v>0</v>
      </c>
      <c r="D89" s="60">
        <f>'CAT-1'!U90+'CAT- 2'!U90+'CAT-3'!U90+'Tut-Ass-OA'!U90+'LAB Asseement'!S90</f>
        <v>0</v>
      </c>
      <c r="E89" s="60">
        <f>'CAT-1'!V90+'CAT- 2'!V90+'CAT-3'!V90+'Tut-Ass-OA'!V90+'LAB Asseement'!T90</f>
        <v>0</v>
      </c>
      <c r="F89" s="60">
        <f>'CAT-1'!W90+'CAT- 2'!W90+'CAT-3'!W90+'Tut-Ass-OA'!W90+'LAB Asseement'!U90</f>
        <v>0</v>
      </c>
      <c r="G89" s="60">
        <f>'CAT-1'!X90+'CAT- 2'!X90+'CAT-3'!X90+'Tut-Ass-OA'!X90+'LAB Asseement'!V90</f>
        <v>0</v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spans="1:23" ht="21.75" customHeight="1">
      <c r="A90" s="62" t="str">
        <f>BASE!B95</f>
        <v>23XXR080</v>
      </c>
      <c r="B90" s="121" t="s">
        <v>40</v>
      </c>
      <c r="C90" s="60">
        <f>'CAT-1'!T91+'CAT- 2'!T91+'CAT-3'!T91+'Tut-Ass-OA'!T91+'LAB Asseement'!R91</f>
        <v>0</v>
      </c>
      <c r="D90" s="60">
        <f>'CAT-1'!U91+'CAT- 2'!U91+'CAT-3'!U91+'Tut-Ass-OA'!U91+'LAB Asseement'!S91</f>
        <v>0</v>
      </c>
      <c r="E90" s="60">
        <f>'CAT-1'!V91+'CAT- 2'!V91+'CAT-3'!V91+'Tut-Ass-OA'!V91+'LAB Asseement'!T91</f>
        <v>0</v>
      </c>
      <c r="F90" s="60">
        <f>'CAT-1'!W91+'CAT- 2'!W91+'CAT-3'!W91+'Tut-Ass-OA'!W91+'LAB Asseement'!U91</f>
        <v>0</v>
      </c>
      <c r="G90" s="60">
        <f>'CAT-1'!X91+'CAT- 2'!X91+'CAT-3'!X91+'Tut-Ass-OA'!X91+'LAB Asseement'!V91</f>
        <v>0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1:23" ht="21.75" customHeight="1">
      <c r="A91" s="62" t="str">
        <f>BASE!B96</f>
        <v>23XXR081</v>
      </c>
      <c r="B91" s="121" t="s">
        <v>40</v>
      </c>
      <c r="C91" s="60">
        <f>'CAT-1'!T92+'CAT- 2'!T92+'CAT-3'!T92+'Tut-Ass-OA'!T92+'LAB Asseement'!R92</f>
        <v>0</v>
      </c>
      <c r="D91" s="60">
        <f>'CAT-1'!U92+'CAT- 2'!U92+'CAT-3'!U92+'Tut-Ass-OA'!U92+'LAB Asseement'!S92</f>
        <v>0</v>
      </c>
      <c r="E91" s="60">
        <f>'CAT-1'!V92+'CAT- 2'!V92+'CAT-3'!V92+'Tut-Ass-OA'!V92+'LAB Asseement'!T92</f>
        <v>0</v>
      </c>
      <c r="F91" s="60">
        <f>'CAT-1'!W92+'CAT- 2'!W92+'CAT-3'!W92+'Tut-Ass-OA'!W92+'LAB Asseement'!U92</f>
        <v>0</v>
      </c>
      <c r="G91" s="60">
        <f>'CAT-1'!X92+'CAT- 2'!X92+'CAT-3'!X92+'Tut-Ass-OA'!X92+'LAB Asseement'!V92</f>
        <v>0</v>
      </c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spans="1:23" ht="21.75" customHeight="1">
      <c r="A92" s="62" t="str">
        <f>BASE!B97</f>
        <v>23XXR082</v>
      </c>
      <c r="B92" s="121" t="s">
        <v>40</v>
      </c>
      <c r="C92" s="60">
        <f>'CAT-1'!T93+'CAT- 2'!T93+'CAT-3'!T93+'Tut-Ass-OA'!T93+'LAB Asseement'!R93</f>
        <v>0</v>
      </c>
      <c r="D92" s="60">
        <f>'CAT-1'!U93+'CAT- 2'!U93+'CAT-3'!U93+'Tut-Ass-OA'!U93+'LAB Asseement'!S93</f>
        <v>0</v>
      </c>
      <c r="E92" s="60">
        <f>'CAT-1'!V93+'CAT- 2'!V93+'CAT-3'!V93+'Tut-Ass-OA'!V93+'LAB Asseement'!T93</f>
        <v>0</v>
      </c>
      <c r="F92" s="60">
        <f>'CAT-1'!W93+'CAT- 2'!W93+'CAT-3'!W93+'Tut-Ass-OA'!W93+'LAB Asseement'!U93</f>
        <v>0</v>
      </c>
      <c r="G92" s="60">
        <f>'CAT-1'!X93+'CAT- 2'!X93+'CAT-3'!X93+'Tut-Ass-OA'!X93+'LAB Asseement'!V93</f>
        <v>0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1:23" ht="21.75" customHeight="1">
      <c r="A93" s="62" t="str">
        <f>BASE!B98</f>
        <v>23XXR083</v>
      </c>
      <c r="B93" s="121" t="s">
        <v>40</v>
      </c>
      <c r="C93" s="60">
        <f>'CAT-1'!T94+'CAT- 2'!T94+'CAT-3'!T94+'Tut-Ass-OA'!T94+'LAB Asseement'!R94</f>
        <v>0</v>
      </c>
      <c r="D93" s="60">
        <f>'CAT-1'!U94+'CAT- 2'!U94+'CAT-3'!U94+'Tut-Ass-OA'!U94+'LAB Asseement'!S94</f>
        <v>0</v>
      </c>
      <c r="E93" s="60">
        <f>'CAT-1'!V94+'CAT- 2'!V94+'CAT-3'!V94+'Tut-Ass-OA'!V94+'LAB Asseement'!T94</f>
        <v>0</v>
      </c>
      <c r="F93" s="60">
        <f>'CAT-1'!W94+'CAT- 2'!W94+'CAT-3'!W94+'Tut-Ass-OA'!W94+'LAB Asseement'!U94</f>
        <v>0</v>
      </c>
      <c r="G93" s="60">
        <f>'CAT-1'!X94+'CAT- 2'!X94+'CAT-3'!X94+'Tut-Ass-OA'!X94+'LAB Asseement'!V94</f>
        <v>0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1:23" ht="21.75" customHeight="1">
      <c r="A94" s="62" t="str">
        <f>BASE!B99</f>
        <v>23XXR084</v>
      </c>
      <c r="B94" s="121" t="s">
        <v>40</v>
      </c>
      <c r="C94" s="60">
        <f>'CAT-1'!T95+'CAT- 2'!T95+'CAT-3'!T95+'Tut-Ass-OA'!T95+'LAB Asseement'!R95</f>
        <v>0</v>
      </c>
      <c r="D94" s="60">
        <f>'CAT-1'!U95+'CAT- 2'!U95+'CAT-3'!U95+'Tut-Ass-OA'!U95+'LAB Asseement'!S95</f>
        <v>0</v>
      </c>
      <c r="E94" s="60">
        <f>'CAT-1'!V95+'CAT- 2'!V95+'CAT-3'!V95+'Tut-Ass-OA'!V95+'LAB Asseement'!T95</f>
        <v>0</v>
      </c>
      <c r="F94" s="60">
        <f>'CAT-1'!W95+'CAT- 2'!W95+'CAT-3'!W95+'Tut-Ass-OA'!W95+'LAB Asseement'!U95</f>
        <v>0</v>
      </c>
      <c r="G94" s="60">
        <f>'CAT-1'!X95+'CAT- 2'!X95+'CAT-3'!X95+'Tut-Ass-OA'!X95+'LAB Asseement'!V95</f>
        <v>0</v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1:23" ht="21.75" customHeight="1">
      <c r="A95" s="62" t="str">
        <f>BASE!B100</f>
        <v>23XXR085</v>
      </c>
      <c r="B95" s="121" t="s">
        <v>40</v>
      </c>
      <c r="C95" s="60">
        <f>'CAT-1'!T96+'CAT- 2'!T96+'CAT-3'!T96+'Tut-Ass-OA'!T96+'LAB Asseement'!R96</f>
        <v>0</v>
      </c>
      <c r="D95" s="60">
        <f>'CAT-1'!U96+'CAT- 2'!U96+'CAT-3'!U96+'Tut-Ass-OA'!U96+'LAB Asseement'!S96</f>
        <v>0</v>
      </c>
      <c r="E95" s="60">
        <f>'CAT-1'!V96+'CAT- 2'!V96+'CAT-3'!V96+'Tut-Ass-OA'!V96+'LAB Asseement'!T96</f>
        <v>0</v>
      </c>
      <c r="F95" s="60">
        <f>'CAT-1'!W96+'CAT- 2'!W96+'CAT-3'!W96+'Tut-Ass-OA'!W96+'LAB Asseement'!U96</f>
        <v>0</v>
      </c>
      <c r="G95" s="60">
        <f>'CAT-1'!X96+'CAT- 2'!X96+'CAT-3'!X96+'Tut-Ass-OA'!X96+'LAB Asseement'!V96</f>
        <v>0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1:23" ht="21.75" customHeight="1">
      <c r="A96" s="62" t="str">
        <f>BASE!B101</f>
        <v>23XXR086</v>
      </c>
      <c r="B96" s="121" t="s">
        <v>40</v>
      </c>
      <c r="C96" s="60">
        <f>'CAT-1'!T97+'CAT- 2'!T97+'CAT-3'!T97+'Tut-Ass-OA'!T97+'LAB Asseement'!R97</f>
        <v>0</v>
      </c>
      <c r="D96" s="60">
        <f>'CAT-1'!U97+'CAT- 2'!U97+'CAT-3'!U97+'Tut-Ass-OA'!U97+'LAB Asseement'!S97</f>
        <v>0</v>
      </c>
      <c r="E96" s="60">
        <f>'CAT-1'!V97+'CAT- 2'!V97+'CAT-3'!V97+'Tut-Ass-OA'!V97+'LAB Asseement'!T97</f>
        <v>0</v>
      </c>
      <c r="F96" s="60">
        <f>'CAT-1'!W97+'CAT- 2'!W97+'CAT-3'!W97+'Tut-Ass-OA'!W97+'LAB Asseement'!U97</f>
        <v>0</v>
      </c>
      <c r="G96" s="60">
        <f>'CAT-1'!X97+'CAT- 2'!X97+'CAT-3'!X97+'Tut-Ass-OA'!X97+'LAB Asseement'!V97</f>
        <v>0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spans="1:23" ht="21.75" customHeight="1">
      <c r="A97" s="62" t="str">
        <f>BASE!B102</f>
        <v>23XXR087</v>
      </c>
      <c r="B97" s="121" t="s">
        <v>40</v>
      </c>
      <c r="C97" s="60">
        <f>'CAT-1'!T98+'CAT- 2'!T98+'CAT-3'!T98+'Tut-Ass-OA'!T98+'LAB Asseement'!R98</f>
        <v>0</v>
      </c>
      <c r="D97" s="60">
        <f>'CAT-1'!U98+'CAT- 2'!U98+'CAT-3'!U98+'Tut-Ass-OA'!U98+'LAB Asseement'!S98</f>
        <v>0</v>
      </c>
      <c r="E97" s="60">
        <f>'CAT-1'!V98+'CAT- 2'!V98+'CAT-3'!V98+'Tut-Ass-OA'!V98+'LAB Asseement'!T98</f>
        <v>0</v>
      </c>
      <c r="F97" s="60">
        <f>'CAT-1'!W98+'CAT- 2'!W98+'CAT-3'!W98+'Tut-Ass-OA'!W98+'LAB Asseement'!U98</f>
        <v>0</v>
      </c>
      <c r="G97" s="60">
        <f>'CAT-1'!X98+'CAT- 2'!X98+'CAT-3'!X98+'Tut-Ass-OA'!X98+'LAB Asseement'!V98</f>
        <v>0</v>
      </c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1:23" ht="21.75" customHeight="1">
      <c r="A98" s="62" t="str">
        <f>BASE!B103</f>
        <v>23XXR088</v>
      </c>
      <c r="B98" s="121" t="s">
        <v>40</v>
      </c>
      <c r="C98" s="60">
        <f>'CAT-1'!T99+'CAT- 2'!T99+'CAT-3'!T99+'Tut-Ass-OA'!T99+'LAB Asseement'!R99</f>
        <v>0</v>
      </c>
      <c r="D98" s="60">
        <f>'CAT-1'!U99+'CAT- 2'!U99+'CAT-3'!U99+'Tut-Ass-OA'!U99+'LAB Asseement'!S99</f>
        <v>0</v>
      </c>
      <c r="E98" s="60">
        <f>'CAT-1'!V99+'CAT- 2'!V99+'CAT-3'!V99+'Tut-Ass-OA'!V99+'LAB Asseement'!T99</f>
        <v>0</v>
      </c>
      <c r="F98" s="60">
        <f>'CAT-1'!W99+'CAT- 2'!W99+'CAT-3'!W99+'Tut-Ass-OA'!W99+'LAB Asseement'!U99</f>
        <v>0</v>
      </c>
      <c r="G98" s="60">
        <f>'CAT-1'!X99+'CAT- 2'!X99+'CAT-3'!X99+'Tut-Ass-OA'!X99+'LAB Asseement'!V99</f>
        <v>0</v>
      </c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spans="1:23" ht="21.75" customHeight="1">
      <c r="A99" s="62" t="str">
        <f>BASE!B104</f>
        <v>23XXR089</v>
      </c>
      <c r="B99" s="121" t="s">
        <v>40</v>
      </c>
      <c r="C99" s="60">
        <f>'CAT-1'!T100+'CAT- 2'!T100+'CAT-3'!T100+'Tut-Ass-OA'!T100+'LAB Asseement'!R100</f>
        <v>0</v>
      </c>
      <c r="D99" s="60">
        <f>'CAT-1'!U100+'CAT- 2'!U100+'CAT-3'!U100+'Tut-Ass-OA'!U100+'LAB Asseement'!S100</f>
        <v>0</v>
      </c>
      <c r="E99" s="60">
        <f>'CAT-1'!V100+'CAT- 2'!V100+'CAT-3'!V100+'Tut-Ass-OA'!V100+'LAB Asseement'!T100</f>
        <v>0</v>
      </c>
      <c r="F99" s="60">
        <f>'CAT-1'!W100+'CAT- 2'!W100+'CAT-3'!W100+'Tut-Ass-OA'!W100+'LAB Asseement'!U100</f>
        <v>0</v>
      </c>
      <c r="G99" s="60">
        <f>'CAT-1'!X100+'CAT- 2'!X100+'CAT-3'!X100+'Tut-Ass-OA'!X100+'LAB Asseement'!V100</f>
        <v>0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spans="1:23" ht="21.75" customHeight="1">
      <c r="A100" s="62" t="str">
        <f>BASE!B105</f>
        <v>23XXR090</v>
      </c>
      <c r="B100" s="121" t="s">
        <v>40</v>
      </c>
      <c r="C100" s="60">
        <f>'CAT-1'!T101+'CAT- 2'!T101+'CAT-3'!T101+'Tut-Ass-OA'!T101+'LAB Asseement'!R101</f>
        <v>0</v>
      </c>
      <c r="D100" s="60">
        <f>'CAT-1'!U101+'CAT- 2'!U101+'CAT-3'!U101+'Tut-Ass-OA'!U101+'LAB Asseement'!S101</f>
        <v>0</v>
      </c>
      <c r="E100" s="60">
        <f>'CAT-1'!V101+'CAT- 2'!V101+'CAT-3'!V101+'Tut-Ass-OA'!V101+'LAB Asseement'!T101</f>
        <v>0</v>
      </c>
      <c r="F100" s="60">
        <f>'CAT-1'!W101+'CAT- 2'!W101+'CAT-3'!W101+'Tut-Ass-OA'!W101+'LAB Asseement'!U101</f>
        <v>0</v>
      </c>
      <c r="G100" s="60">
        <f>'CAT-1'!X101+'CAT- 2'!X101+'CAT-3'!X101+'Tut-Ass-OA'!X101+'LAB Asseement'!V101</f>
        <v>0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spans="1:23" ht="21.75" customHeight="1">
      <c r="A101" s="62" t="str">
        <f>BASE!B106</f>
        <v>23XXR091</v>
      </c>
      <c r="B101" s="121" t="s">
        <v>40</v>
      </c>
      <c r="C101" s="60">
        <f>'CAT-1'!T102+'CAT- 2'!T102+'CAT-3'!T102+'Tut-Ass-OA'!T102+'LAB Asseement'!R102</f>
        <v>0</v>
      </c>
      <c r="D101" s="60">
        <f>'CAT-1'!U102+'CAT- 2'!U102+'CAT-3'!U102+'Tut-Ass-OA'!U102+'LAB Asseement'!S102</f>
        <v>0</v>
      </c>
      <c r="E101" s="60">
        <f>'CAT-1'!V102+'CAT- 2'!V102+'CAT-3'!V102+'Tut-Ass-OA'!V102+'LAB Asseement'!T102</f>
        <v>0</v>
      </c>
      <c r="F101" s="60">
        <f>'CAT-1'!W102+'CAT- 2'!W102+'CAT-3'!W102+'Tut-Ass-OA'!W102+'LAB Asseement'!U102</f>
        <v>0</v>
      </c>
      <c r="G101" s="60">
        <f>'CAT-1'!X102+'CAT- 2'!X102+'CAT-3'!X102+'Tut-Ass-OA'!X102+'LAB Asseement'!V102</f>
        <v>0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3" ht="21.75" customHeight="1">
      <c r="A102" s="62" t="str">
        <f>BASE!B107</f>
        <v>23XXR092</v>
      </c>
      <c r="B102" s="121" t="s">
        <v>40</v>
      </c>
      <c r="C102" s="60">
        <f>'CAT-1'!T103+'CAT- 2'!T103+'CAT-3'!T103+'Tut-Ass-OA'!T103+'LAB Asseement'!R103</f>
        <v>0</v>
      </c>
      <c r="D102" s="60">
        <f>'CAT-1'!U103+'CAT- 2'!U103+'CAT-3'!U103+'Tut-Ass-OA'!U103+'LAB Asseement'!S103</f>
        <v>0</v>
      </c>
      <c r="E102" s="60">
        <f>'CAT-1'!V103+'CAT- 2'!V103+'CAT-3'!V103+'Tut-Ass-OA'!V103+'LAB Asseement'!T103</f>
        <v>0</v>
      </c>
      <c r="F102" s="60">
        <f>'CAT-1'!W103+'CAT- 2'!W103+'CAT-3'!W103+'Tut-Ass-OA'!W103+'LAB Asseement'!U103</f>
        <v>0</v>
      </c>
      <c r="G102" s="60">
        <f>'CAT-1'!X103+'CAT- 2'!X103+'CAT-3'!X103+'Tut-Ass-OA'!X103+'LAB Asseement'!V103</f>
        <v>0</v>
      </c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1:23" ht="21.75" customHeight="1">
      <c r="A103" s="62" t="str">
        <f>BASE!B108</f>
        <v>23XXR093</v>
      </c>
      <c r="B103" s="121" t="s">
        <v>40</v>
      </c>
      <c r="C103" s="60">
        <f>'CAT-1'!T104+'CAT- 2'!T104+'CAT-3'!T104+'Tut-Ass-OA'!T104+'LAB Asseement'!R104</f>
        <v>0</v>
      </c>
      <c r="D103" s="60">
        <f>'CAT-1'!U104+'CAT- 2'!U104+'CAT-3'!U104+'Tut-Ass-OA'!U104+'LAB Asseement'!S104</f>
        <v>0</v>
      </c>
      <c r="E103" s="60">
        <f>'CAT-1'!V104+'CAT- 2'!V104+'CAT-3'!V104+'Tut-Ass-OA'!V104+'LAB Asseement'!T104</f>
        <v>0</v>
      </c>
      <c r="F103" s="60">
        <f>'CAT-1'!W104+'CAT- 2'!W104+'CAT-3'!W104+'Tut-Ass-OA'!W104+'LAB Asseement'!U104</f>
        <v>0</v>
      </c>
      <c r="G103" s="60">
        <f>'CAT-1'!X104+'CAT- 2'!X104+'CAT-3'!X104+'Tut-Ass-OA'!X104+'LAB Asseement'!V104</f>
        <v>0</v>
      </c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1:23" ht="21.75" customHeight="1">
      <c r="A104" s="62" t="str">
        <f>BASE!B109</f>
        <v>23XXR094</v>
      </c>
      <c r="B104" s="121" t="s">
        <v>40</v>
      </c>
      <c r="C104" s="60">
        <f>'CAT-1'!T105+'CAT- 2'!T105+'CAT-3'!T105+'Tut-Ass-OA'!T105+'LAB Asseement'!R105</f>
        <v>0</v>
      </c>
      <c r="D104" s="60">
        <f>'CAT-1'!U105+'CAT- 2'!U105+'CAT-3'!U105+'Tut-Ass-OA'!U105+'LAB Asseement'!S105</f>
        <v>0</v>
      </c>
      <c r="E104" s="60">
        <f>'CAT-1'!V105+'CAT- 2'!V105+'CAT-3'!V105+'Tut-Ass-OA'!V105+'LAB Asseement'!T105</f>
        <v>0</v>
      </c>
      <c r="F104" s="60">
        <f>'CAT-1'!W105+'CAT- 2'!W105+'CAT-3'!W105+'Tut-Ass-OA'!W105+'LAB Asseement'!U105</f>
        <v>0</v>
      </c>
      <c r="G104" s="60">
        <f>'CAT-1'!X105+'CAT- 2'!X105+'CAT-3'!X105+'Tut-Ass-OA'!X105+'LAB Asseement'!V105</f>
        <v>0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 ht="21.75" customHeight="1">
      <c r="A105" s="62" t="str">
        <f>BASE!B110</f>
        <v>23XXR095</v>
      </c>
      <c r="B105" s="121" t="s">
        <v>40</v>
      </c>
      <c r="C105" s="60">
        <f>'CAT-1'!T106+'CAT- 2'!T106+'CAT-3'!T106+'Tut-Ass-OA'!T106+'LAB Asseement'!R106</f>
        <v>0</v>
      </c>
      <c r="D105" s="60">
        <f>'CAT-1'!U106+'CAT- 2'!U106+'CAT-3'!U106+'Tut-Ass-OA'!U106+'LAB Asseement'!S106</f>
        <v>0</v>
      </c>
      <c r="E105" s="60">
        <f>'CAT-1'!V106+'CAT- 2'!V106+'CAT-3'!V106+'Tut-Ass-OA'!V106+'LAB Asseement'!T106</f>
        <v>0</v>
      </c>
      <c r="F105" s="60">
        <f>'CAT-1'!W106+'CAT- 2'!W106+'CAT-3'!W106+'Tut-Ass-OA'!W106+'LAB Asseement'!U106</f>
        <v>0</v>
      </c>
      <c r="G105" s="60">
        <f>'CAT-1'!X106+'CAT- 2'!X106+'CAT-3'!X106+'Tut-Ass-OA'!X106+'LAB Asseement'!V106</f>
        <v>0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spans="1:23" ht="21.75" customHeight="1">
      <c r="A106" s="62" t="str">
        <f>BASE!B111</f>
        <v>23XXR096</v>
      </c>
      <c r="B106" s="121" t="s">
        <v>40</v>
      </c>
      <c r="C106" s="60">
        <f>'CAT-1'!T107+'CAT- 2'!T107+'CAT-3'!T107+'Tut-Ass-OA'!T107+'LAB Asseement'!R107</f>
        <v>0</v>
      </c>
      <c r="D106" s="60">
        <f>'CAT-1'!U107+'CAT- 2'!U107+'CAT-3'!U107+'Tut-Ass-OA'!U107+'LAB Asseement'!S107</f>
        <v>0</v>
      </c>
      <c r="E106" s="60">
        <f>'CAT-1'!V107+'CAT- 2'!V107+'CAT-3'!V107+'Tut-Ass-OA'!V107+'LAB Asseement'!T107</f>
        <v>0</v>
      </c>
      <c r="F106" s="60">
        <f>'CAT-1'!W107+'CAT- 2'!W107+'CAT-3'!W107+'Tut-Ass-OA'!W107+'LAB Asseement'!U107</f>
        <v>0</v>
      </c>
      <c r="G106" s="60">
        <f>'CAT-1'!X107+'CAT- 2'!X107+'CAT-3'!X107+'Tut-Ass-OA'!X107+'LAB Asseement'!V107</f>
        <v>0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spans="1:23" ht="21.75" customHeight="1">
      <c r="A107" s="62" t="str">
        <f>BASE!B112</f>
        <v>23XXR097</v>
      </c>
      <c r="B107" s="121" t="s">
        <v>40</v>
      </c>
      <c r="C107" s="60">
        <f>'CAT-1'!T108+'CAT- 2'!T108+'CAT-3'!T108+'Tut-Ass-OA'!T108+'LAB Asseement'!R108</f>
        <v>0</v>
      </c>
      <c r="D107" s="60">
        <f>'CAT-1'!U108+'CAT- 2'!U108+'CAT-3'!U108+'Tut-Ass-OA'!U108+'LAB Asseement'!S108</f>
        <v>0</v>
      </c>
      <c r="E107" s="60">
        <f>'CAT-1'!V108+'CAT- 2'!V108+'CAT-3'!V108+'Tut-Ass-OA'!V108+'LAB Asseement'!T108</f>
        <v>0</v>
      </c>
      <c r="F107" s="60">
        <f>'CAT-1'!W108+'CAT- 2'!W108+'CAT-3'!W108+'Tut-Ass-OA'!W108+'LAB Asseement'!U108</f>
        <v>0</v>
      </c>
      <c r="G107" s="60">
        <f>'CAT-1'!X108+'CAT- 2'!X108+'CAT-3'!X108+'Tut-Ass-OA'!X108+'LAB Asseement'!V108</f>
        <v>0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1:23" ht="21.75" customHeight="1">
      <c r="A108" s="62" t="str">
        <f>BASE!B113</f>
        <v>23XXR098</v>
      </c>
      <c r="B108" s="121" t="s">
        <v>40</v>
      </c>
      <c r="C108" s="60">
        <f>'CAT-1'!T109+'CAT- 2'!T109+'CAT-3'!T109+'Tut-Ass-OA'!T109+'LAB Asseement'!R109</f>
        <v>0</v>
      </c>
      <c r="D108" s="60">
        <f>'CAT-1'!U109+'CAT- 2'!U109+'CAT-3'!U109+'Tut-Ass-OA'!U109+'LAB Asseement'!S109</f>
        <v>0</v>
      </c>
      <c r="E108" s="60">
        <f>'CAT-1'!V109+'CAT- 2'!V109+'CAT-3'!V109+'Tut-Ass-OA'!V109+'LAB Asseement'!T109</f>
        <v>0</v>
      </c>
      <c r="F108" s="60">
        <f>'CAT-1'!W109+'CAT- 2'!W109+'CAT-3'!W109+'Tut-Ass-OA'!W109+'LAB Asseement'!U109</f>
        <v>0</v>
      </c>
      <c r="G108" s="60">
        <f>'CAT-1'!X109+'CAT- 2'!X109+'CAT-3'!X109+'Tut-Ass-OA'!X109+'LAB Asseement'!V109</f>
        <v>0</v>
      </c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1:23" ht="21.75" customHeight="1">
      <c r="A109" s="62" t="str">
        <f>BASE!B114</f>
        <v>23XXR099</v>
      </c>
      <c r="B109" s="121" t="s">
        <v>40</v>
      </c>
      <c r="C109" s="60">
        <f>'CAT-1'!T110+'CAT- 2'!T110+'CAT-3'!T110+'Tut-Ass-OA'!T110+'LAB Asseement'!R110</f>
        <v>0</v>
      </c>
      <c r="D109" s="60">
        <f>'CAT-1'!U110+'CAT- 2'!U110+'CAT-3'!U110+'Tut-Ass-OA'!U110+'LAB Asseement'!S110</f>
        <v>0</v>
      </c>
      <c r="E109" s="60">
        <f>'CAT-1'!V110+'CAT- 2'!V110+'CAT-3'!V110+'Tut-Ass-OA'!V110+'LAB Asseement'!T110</f>
        <v>0</v>
      </c>
      <c r="F109" s="60">
        <f>'CAT-1'!W110+'CAT- 2'!W110+'CAT-3'!W110+'Tut-Ass-OA'!W110+'LAB Asseement'!U110</f>
        <v>0</v>
      </c>
      <c r="G109" s="60">
        <f>'CAT-1'!X110+'CAT- 2'!X110+'CAT-3'!X110+'Tut-Ass-OA'!X110+'LAB Asseement'!V110</f>
        <v>0</v>
      </c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1:23" ht="21.75" customHeight="1">
      <c r="A110" s="62" t="str">
        <f>BASE!B115</f>
        <v>23XXR100</v>
      </c>
      <c r="B110" s="121" t="s">
        <v>40</v>
      </c>
      <c r="C110" s="60">
        <f>'CAT-1'!T111+'CAT- 2'!T111+'CAT-3'!T111+'Tut-Ass-OA'!T111+'LAB Asseement'!R111</f>
        <v>0</v>
      </c>
      <c r="D110" s="60">
        <f>'CAT-1'!U111+'CAT- 2'!U111+'CAT-3'!U111+'Tut-Ass-OA'!U111+'LAB Asseement'!S111</f>
        <v>0</v>
      </c>
      <c r="E110" s="60">
        <f>'CAT-1'!V111+'CAT- 2'!V111+'CAT-3'!V111+'Tut-Ass-OA'!V111+'LAB Asseement'!T111</f>
        <v>0</v>
      </c>
      <c r="F110" s="60">
        <f>'CAT-1'!W111+'CAT- 2'!W111+'CAT-3'!W111+'Tut-Ass-OA'!W111+'LAB Asseement'!U111</f>
        <v>0</v>
      </c>
      <c r="G110" s="60">
        <f>'CAT-1'!X111+'CAT- 2'!X111+'CAT-3'!X111+'Tut-Ass-OA'!X111+'LAB Asseement'!V111</f>
        <v>0</v>
      </c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1:23" ht="21.75" customHeight="1">
      <c r="A111" s="62" t="str">
        <f>BASE!B116</f>
        <v>23XXR101</v>
      </c>
      <c r="B111" s="121" t="s">
        <v>40</v>
      </c>
      <c r="C111" s="60">
        <f>'CAT-1'!T112+'CAT- 2'!T112+'CAT-3'!T112+'Tut-Ass-OA'!T112+'LAB Asseement'!R112</f>
        <v>0</v>
      </c>
      <c r="D111" s="60">
        <f>'CAT-1'!U112+'CAT- 2'!U112+'CAT-3'!U112+'Tut-Ass-OA'!U112+'LAB Asseement'!S112</f>
        <v>0</v>
      </c>
      <c r="E111" s="60">
        <f>'CAT-1'!V112+'CAT- 2'!V112+'CAT-3'!V112+'Tut-Ass-OA'!V112+'LAB Asseement'!T112</f>
        <v>0</v>
      </c>
      <c r="F111" s="60">
        <f>'CAT-1'!W112+'CAT- 2'!W112+'CAT-3'!W112+'Tut-Ass-OA'!W112+'LAB Asseement'!U112</f>
        <v>0</v>
      </c>
      <c r="G111" s="60">
        <f>'CAT-1'!X112+'CAT- 2'!X112+'CAT-3'!X112+'Tut-Ass-OA'!X112+'LAB Asseement'!V112</f>
        <v>0</v>
      </c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1:23" ht="21.75" customHeight="1">
      <c r="A112" s="62" t="str">
        <f>BASE!B117</f>
        <v>23XXR102</v>
      </c>
      <c r="B112" s="121" t="s">
        <v>40</v>
      </c>
      <c r="C112" s="60">
        <f>'CAT-1'!T113+'CAT- 2'!T113+'CAT-3'!T113+'Tut-Ass-OA'!T113+'LAB Asseement'!R113</f>
        <v>0</v>
      </c>
      <c r="D112" s="60">
        <f>'CAT-1'!U113+'CAT- 2'!U113+'CAT-3'!U113+'Tut-Ass-OA'!U113+'LAB Asseement'!S113</f>
        <v>0</v>
      </c>
      <c r="E112" s="60">
        <f>'CAT-1'!V113+'CAT- 2'!V113+'CAT-3'!V113+'Tut-Ass-OA'!V113+'LAB Asseement'!T113</f>
        <v>0</v>
      </c>
      <c r="F112" s="60">
        <f>'CAT-1'!W113+'CAT- 2'!W113+'CAT-3'!W113+'Tut-Ass-OA'!W113+'LAB Asseement'!U113</f>
        <v>0</v>
      </c>
      <c r="G112" s="60">
        <f>'CAT-1'!X113+'CAT- 2'!X113+'CAT-3'!X113+'Tut-Ass-OA'!X113+'LAB Asseement'!V113</f>
        <v>0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spans="1:23" ht="21.75" customHeight="1">
      <c r="A113" s="62" t="str">
        <f>BASE!B118</f>
        <v>23XXR103</v>
      </c>
      <c r="B113" s="121" t="s">
        <v>40</v>
      </c>
      <c r="C113" s="60">
        <f>'CAT-1'!T114+'CAT- 2'!T114+'CAT-3'!T114+'Tut-Ass-OA'!T114+'LAB Asseement'!R114</f>
        <v>0</v>
      </c>
      <c r="D113" s="60">
        <f>'CAT-1'!U114+'CAT- 2'!U114+'CAT-3'!U114+'Tut-Ass-OA'!U114+'LAB Asseement'!S114</f>
        <v>0</v>
      </c>
      <c r="E113" s="60">
        <f>'CAT-1'!V114+'CAT- 2'!V114+'CAT-3'!V114+'Tut-Ass-OA'!V114+'LAB Asseement'!T114</f>
        <v>0</v>
      </c>
      <c r="F113" s="60">
        <f>'CAT-1'!W114+'CAT- 2'!W114+'CAT-3'!W114+'Tut-Ass-OA'!W114+'LAB Asseement'!U114</f>
        <v>0</v>
      </c>
      <c r="G113" s="60">
        <f>'CAT-1'!X114+'CAT- 2'!X114+'CAT-3'!X114+'Tut-Ass-OA'!X114+'LAB Asseement'!V114</f>
        <v>0</v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spans="1:23" ht="21.75" customHeight="1">
      <c r="A114" s="62" t="str">
        <f>BASE!B119</f>
        <v>23XXR104</v>
      </c>
      <c r="B114" s="121" t="s">
        <v>40</v>
      </c>
      <c r="C114" s="60">
        <f>'CAT-1'!T115+'CAT- 2'!T115+'CAT-3'!T115+'Tut-Ass-OA'!T115+'LAB Asseement'!R115</f>
        <v>0</v>
      </c>
      <c r="D114" s="60">
        <f>'CAT-1'!U115+'CAT- 2'!U115+'CAT-3'!U115+'Tut-Ass-OA'!U115+'LAB Asseement'!S115</f>
        <v>0</v>
      </c>
      <c r="E114" s="60">
        <f>'CAT-1'!V115+'CAT- 2'!V115+'CAT-3'!V115+'Tut-Ass-OA'!V115+'LAB Asseement'!T115</f>
        <v>0</v>
      </c>
      <c r="F114" s="60">
        <f>'CAT-1'!W115+'CAT- 2'!W115+'CAT-3'!W115+'Tut-Ass-OA'!W115+'LAB Asseement'!U115</f>
        <v>0</v>
      </c>
      <c r="G114" s="60">
        <f>'CAT-1'!X115+'CAT- 2'!X115+'CAT-3'!X115+'Tut-Ass-OA'!X115+'LAB Asseement'!V115</f>
        <v>0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1:23" ht="21.75" customHeight="1">
      <c r="A115" s="62" t="str">
        <f>BASE!B120</f>
        <v>23XXR105</v>
      </c>
      <c r="B115" s="121" t="s">
        <v>40</v>
      </c>
      <c r="C115" s="60">
        <f>'CAT-1'!T116+'CAT- 2'!T116+'CAT-3'!T116+'Tut-Ass-OA'!T116+'LAB Asseement'!R116</f>
        <v>0</v>
      </c>
      <c r="D115" s="60">
        <f>'CAT-1'!U116+'CAT- 2'!U116+'CAT-3'!U116+'Tut-Ass-OA'!U116+'LAB Asseement'!S116</f>
        <v>0</v>
      </c>
      <c r="E115" s="60">
        <f>'CAT-1'!V116+'CAT- 2'!V116+'CAT-3'!V116+'Tut-Ass-OA'!V116+'LAB Asseement'!T116</f>
        <v>0</v>
      </c>
      <c r="F115" s="60">
        <f>'CAT-1'!W116+'CAT- 2'!W116+'CAT-3'!W116+'Tut-Ass-OA'!W116+'LAB Asseement'!U116</f>
        <v>0</v>
      </c>
      <c r="G115" s="60">
        <f>'CAT-1'!X116+'CAT- 2'!X116+'CAT-3'!X116+'Tut-Ass-OA'!X116+'LAB Asseement'!V116</f>
        <v>0</v>
      </c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1:23" ht="21.75" customHeight="1">
      <c r="A116" s="62" t="str">
        <f>BASE!B121</f>
        <v>23XXR106</v>
      </c>
      <c r="B116" s="121" t="s">
        <v>40</v>
      </c>
      <c r="C116" s="60">
        <f>'CAT-1'!T117+'CAT- 2'!T117+'CAT-3'!T117+'Tut-Ass-OA'!T117+'LAB Asseement'!R117</f>
        <v>0</v>
      </c>
      <c r="D116" s="60">
        <f>'CAT-1'!U117+'CAT- 2'!U117+'CAT-3'!U117+'Tut-Ass-OA'!U117+'LAB Asseement'!S117</f>
        <v>0</v>
      </c>
      <c r="E116" s="60">
        <f>'CAT-1'!V117+'CAT- 2'!V117+'CAT-3'!V117+'Tut-Ass-OA'!V117+'LAB Asseement'!T117</f>
        <v>0</v>
      </c>
      <c r="F116" s="60">
        <f>'CAT-1'!W117+'CAT- 2'!W117+'CAT-3'!W117+'Tut-Ass-OA'!W117+'LAB Asseement'!U117</f>
        <v>0</v>
      </c>
      <c r="G116" s="60">
        <f>'CAT-1'!X117+'CAT- 2'!X117+'CAT-3'!X117+'Tut-Ass-OA'!X117+'LAB Asseement'!V117</f>
        <v>0</v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spans="1:23" ht="21.75" customHeight="1">
      <c r="A117" s="62" t="str">
        <f>BASE!B122</f>
        <v>23XXR107</v>
      </c>
      <c r="B117" s="121" t="s">
        <v>40</v>
      </c>
      <c r="C117" s="60">
        <f>'CAT-1'!T118+'CAT- 2'!T118+'CAT-3'!T118+'Tut-Ass-OA'!T118+'LAB Asseement'!R118</f>
        <v>0</v>
      </c>
      <c r="D117" s="60">
        <f>'CAT-1'!U118+'CAT- 2'!U118+'CAT-3'!U118+'Tut-Ass-OA'!U118+'LAB Asseement'!S118</f>
        <v>0</v>
      </c>
      <c r="E117" s="60">
        <f>'CAT-1'!V118+'CAT- 2'!V118+'CAT-3'!V118+'Tut-Ass-OA'!V118+'LAB Asseement'!T118</f>
        <v>0</v>
      </c>
      <c r="F117" s="60">
        <f>'CAT-1'!W118+'CAT- 2'!W118+'CAT-3'!W118+'Tut-Ass-OA'!W118+'LAB Asseement'!U118</f>
        <v>0</v>
      </c>
      <c r="G117" s="60">
        <f>'CAT-1'!X118+'CAT- 2'!X118+'CAT-3'!X118+'Tut-Ass-OA'!X118+'LAB Asseement'!V118</f>
        <v>0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spans="1:23" ht="21.75" customHeight="1">
      <c r="A118" s="62" t="str">
        <f>BASE!B123</f>
        <v>23XXR108</v>
      </c>
      <c r="B118" s="121" t="s">
        <v>40</v>
      </c>
      <c r="C118" s="60">
        <f>'CAT-1'!T119+'CAT- 2'!T119+'CAT-3'!T119+'Tut-Ass-OA'!T119+'LAB Asseement'!R119</f>
        <v>0</v>
      </c>
      <c r="D118" s="60">
        <f>'CAT-1'!U119+'CAT- 2'!U119+'CAT-3'!U119+'Tut-Ass-OA'!U119+'LAB Asseement'!S119</f>
        <v>0</v>
      </c>
      <c r="E118" s="60">
        <f>'CAT-1'!V119+'CAT- 2'!V119+'CAT-3'!V119+'Tut-Ass-OA'!V119+'LAB Asseement'!T119</f>
        <v>0</v>
      </c>
      <c r="F118" s="60">
        <f>'CAT-1'!W119+'CAT- 2'!W119+'CAT-3'!W119+'Tut-Ass-OA'!W119+'LAB Asseement'!U119</f>
        <v>0</v>
      </c>
      <c r="G118" s="60">
        <f>'CAT-1'!X119+'CAT- 2'!X119+'CAT-3'!X119+'Tut-Ass-OA'!X119+'LAB Asseement'!V119</f>
        <v>0</v>
      </c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1:23" ht="21.75" customHeight="1">
      <c r="A119" s="62" t="str">
        <f>BASE!B124</f>
        <v>23XXR109</v>
      </c>
      <c r="B119" s="121" t="s">
        <v>40</v>
      </c>
      <c r="C119" s="60">
        <f>'CAT-1'!T120+'CAT- 2'!T120+'CAT-3'!T120+'Tut-Ass-OA'!T120+'LAB Asseement'!R120</f>
        <v>0</v>
      </c>
      <c r="D119" s="60">
        <f>'CAT-1'!U120+'CAT- 2'!U120+'CAT-3'!U120+'Tut-Ass-OA'!U120+'LAB Asseement'!S120</f>
        <v>0</v>
      </c>
      <c r="E119" s="60">
        <f>'CAT-1'!V120+'CAT- 2'!V120+'CAT-3'!V120+'Tut-Ass-OA'!V120+'LAB Asseement'!T120</f>
        <v>0</v>
      </c>
      <c r="F119" s="60">
        <f>'CAT-1'!W120+'CAT- 2'!W120+'CAT-3'!W120+'Tut-Ass-OA'!W120+'LAB Asseement'!U120</f>
        <v>0</v>
      </c>
      <c r="G119" s="60">
        <f>'CAT-1'!X120+'CAT- 2'!X120+'CAT-3'!X120+'Tut-Ass-OA'!X120+'LAB Asseement'!V120</f>
        <v>0</v>
      </c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spans="1:23" ht="21.75" customHeight="1">
      <c r="A120" s="62" t="str">
        <f>BASE!B125</f>
        <v>23XXR110</v>
      </c>
      <c r="B120" s="121" t="s">
        <v>40</v>
      </c>
      <c r="C120" s="60">
        <f>'CAT-1'!T121+'CAT- 2'!T121+'CAT-3'!T121+'Tut-Ass-OA'!T121+'LAB Asseement'!R121</f>
        <v>0</v>
      </c>
      <c r="D120" s="60">
        <f>'CAT-1'!U121+'CAT- 2'!U121+'CAT-3'!U121+'Tut-Ass-OA'!U121+'LAB Asseement'!S121</f>
        <v>0</v>
      </c>
      <c r="E120" s="60">
        <f>'CAT-1'!V121+'CAT- 2'!V121+'CAT-3'!V121+'Tut-Ass-OA'!V121+'LAB Asseement'!T121</f>
        <v>0</v>
      </c>
      <c r="F120" s="60">
        <f>'CAT-1'!W121+'CAT- 2'!W121+'CAT-3'!W121+'Tut-Ass-OA'!W121+'LAB Asseement'!U121</f>
        <v>0</v>
      </c>
      <c r="G120" s="60">
        <f>'CAT-1'!X121+'CAT- 2'!X121+'CAT-3'!X121+'Tut-Ass-OA'!X121+'LAB Asseement'!V121</f>
        <v>0</v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spans="1:23" ht="21.75" customHeight="1">
      <c r="A121" s="62" t="str">
        <f>BASE!B126</f>
        <v>23XXR111</v>
      </c>
      <c r="B121" s="121" t="s">
        <v>40</v>
      </c>
      <c r="C121" s="60">
        <f>'CAT-1'!T122+'CAT- 2'!T122+'CAT-3'!T122+'Tut-Ass-OA'!T122+'LAB Asseement'!R122</f>
        <v>0</v>
      </c>
      <c r="D121" s="60">
        <f>'CAT-1'!U122+'CAT- 2'!U122+'CAT-3'!U122+'Tut-Ass-OA'!U122+'LAB Asseement'!S122</f>
        <v>0</v>
      </c>
      <c r="E121" s="60">
        <f>'CAT-1'!V122+'CAT- 2'!V122+'CAT-3'!V122+'Tut-Ass-OA'!V122+'LAB Asseement'!T122</f>
        <v>0</v>
      </c>
      <c r="F121" s="60">
        <f>'CAT-1'!W122+'CAT- 2'!W122+'CAT-3'!W122+'Tut-Ass-OA'!W122+'LAB Asseement'!U122</f>
        <v>0</v>
      </c>
      <c r="G121" s="60">
        <f>'CAT-1'!X122+'CAT- 2'!X122+'CAT-3'!X122+'Tut-Ass-OA'!X122+'LAB Asseement'!V122</f>
        <v>0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1:23" ht="21.75" customHeight="1">
      <c r="A122" s="62" t="str">
        <f>BASE!B127</f>
        <v>23XXR112</v>
      </c>
      <c r="B122" s="121" t="s">
        <v>40</v>
      </c>
      <c r="C122" s="60">
        <f>'CAT-1'!T123+'CAT- 2'!T123+'CAT-3'!T123+'Tut-Ass-OA'!T123+'LAB Asseement'!R123</f>
        <v>0</v>
      </c>
      <c r="D122" s="60">
        <f>'CAT-1'!U123+'CAT- 2'!U123+'CAT-3'!U123+'Tut-Ass-OA'!U123+'LAB Asseement'!S123</f>
        <v>0</v>
      </c>
      <c r="E122" s="60">
        <f>'CAT-1'!V123+'CAT- 2'!V123+'CAT-3'!V123+'Tut-Ass-OA'!V123+'LAB Asseement'!T123</f>
        <v>0</v>
      </c>
      <c r="F122" s="60">
        <f>'CAT-1'!W123+'CAT- 2'!W123+'CAT-3'!W123+'Tut-Ass-OA'!W123+'LAB Asseement'!U123</f>
        <v>0</v>
      </c>
      <c r="G122" s="60">
        <f>'CAT-1'!X123+'CAT- 2'!X123+'CAT-3'!X123+'Tut-Ass-OA'!X123+'LAB Asseement'!V123</f>
        <v>0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spans="1:23" ht="21.75" customHeight="1">
      <c r="A123" s="62" t="str">
        <f>BASE!B128</f>
        <v>23XXR113</v>
      </c>
      <c r="B123" s="121" t="s">
        <v>40</v>
      </c>
      <c r="C123" s="60">
        <f>'CAT-1'!T124+'CAT- 2'!T124+'CAT-3'!T124+'Tut-Ass-OA'!T124+'LAB Asseement'!R124</f>
        <v>0</v>
      </c>
      <c r="D123" s="60">
        <f>'CAT-1'!U124+'CAT- 2'!U124+'CAT-3'!U124+'Tut-Ass-OA'!U124+'LAB Asseement'!S124</f>
        <v>0</v>
      </c>
      <c r="E123" s="60">
        <f>'CAT-1'!V124+'CAT- 2'!V124+'CAT-3'!V124+'Tut-Ass-OA'!V124+'LAB Asseement'!T124</f>
        <v>0</v>
      </c>
      <c r="F123" s="60">
        <f>'CAT-1'!W124+'CAT- 2'!W124+'CAT-3'!W124+'Tut-Ass-OA'!W124+'LAB Asseement'!U124</f>
        <v>0</v>
      </c>
      <c r="G123" s="60">
        <f>'CAT-1'!X124+'CAT- 2'!X124+'CAT-3'!X124+'Tut-Ass-OA'!X124+'LAB Asseement'!V124</f>
        <v>0</v>
      </c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spans="1:23" ht="21.75" customHeight="1">
      <c r="A124" s="62" t="str">
        <f>BASE!B129</f>
        <v>23XXR114</v>
      </c>
      <c r="B124" s="121" t="s">
        <v>40</v>
      </c>
      <c r="C124" s="60">
        <f>'CAT-1'!T125+'CAT- 2'!T125+'CAT-3'!T125+'Tut-Ass-OA'!T125+'LAB Asseement'!R125</f>
        <v>0</v>
      </c>
      <c r="D124" s="60">
        <f>'CAT-1'!U125+'CAT- 2'!U125+'CAT-3'!U125+'Tut-Ass-OA'!U125+'LAB Asseement'!S125</f>
        <v>0</v>
      </c>
      <c r="E124" s="60">
        <f>'CAT-1'!V125+'CAT- 2'!V125+'CAT-3'!V125+'Tut-Ass-OA'!V125+'LAB Asseement'!T125</f>
        <v>0</v>
      </c>
      <c r="F124" s="60">
        <f>'CAT-1'!W125+'CAT- 2'!W125+'CAT-3'!W125+'Tut-Ass-OA'!W125+'LAB Asseement'!U125</f>
        <v>0</v>
      </c>
      <c r="G124" s="60">
        <f>'CAT-1'!X125+'CAT- 2'!X125+'CAT-3'!X125+'Tut-Ass-OA'!X125+'LAB Asseement'!V125</f>
        <v>0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spans="1:23" ht="21.75" customHeight="1">
      <c r="A125" s="62" t="str">
        <f>BASE!B130</f>
        <v>23XXR115</v>
      </c>
      <c r="B125" s="121" t="s">
        <v>40</v>
      </c>
      <c r="C125" s="60">
        <f>'CAT-1'!T126+'CAT- 2'!T126+'CAT-3'!T126+'Tut-Ass-OA'!T126+'LAB Asseement'!R126</f>
        <v>0</v>
      </c>
      <c r="D125" s="60">
        <f>'CAT-1'!U126+'CAT- 2'!U126+'CAT-3'!U126+'Tut-Ass-OA'!U126+'LAB Asseement'!S126</f>
        <v>0</v>
      </c>
      <c r="E125" s="60">
        <f>'CAT-1'!V126+'CAT- 2'!V126+'CAT-3'!V126+'Tut-Ass-OA'!V126+'LAB Asseement'!T126</f>
        <v>0</v>
      </c>
      <c r="F125" s="60">
        <f>'CAT-1'!W126+'CAT- 2'!W126+'CAT-3'!W126+'Tut-Ass-OA'!W126+'LAB Asseement'!U126</f>
        <v>0</v>
      </c>
      <c r="G125" s="60">
        <f>'CAT-1'!X126+'CAT- 2'!X126+'CAT-3'!X126+'Tut-Ass-OA'!X126+'LAB Asseement'!V126</f>
        <v>0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spans="1:23" ht="21.75" customHeight="1">
      <c r="A126" s="62" t="str">
        <f>BASE!B131</f>
        <v>23XXR116</v>
      </c>
      <c r="B126" s="121" t="s">
        <v>40</v>
      </c>
      <c r="C126" s="60">
        <f>'CAT-1'!T127+'CAT- 2'!T127+'CAT-3'!T127+'Tut-Ass-OA'!T127+'LAB Asseement'!R127</f>
        <v>0</v>
      </c>
      <c r="D126" s="60">
        <f>'CAT-1'!U127+'CAT- 2'!U127+'CAT-3'!U127+'Tut-Ass-OA'!U127+'LAB Asseement'!S127</f>
        <v>0</v>
      </c>
      <c r="E126" s="60">
        <f>'CAT-1'!V127+'CAT- 2'!V127+'CAT-3'!V127+'Tut-Ass-OA'!V127+'LAB Asseement'!T127</f>
        <v>0</v>
      </c>
      <c r="F126" s="60">
        <f>'CAT-1'!W127+'CAT- 2'!W127+'CAT-3'!W127+'Tut-Ass-OA'!W127+'LAB Asseement'!U127</f>
        <v>0</v>
      </c>
      <c r="G126" s="60">
        <f>'CAT-1'!X127+'CAT- 2'!X127+'CAT-3'!X127+'Tut-Ass-OA'!X127+'LAB Asseement'!V127</f>
        <v>0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spans="1:23" ht="21.75" customHeight="1">
      <c r="A127" s="62" t="str">
        <f>BASE!B132</f>
        <v>23XXR117</v>
      </c>
      <c r="B127" s="121" t="s">
        <v>40</v>
      </c>
      <c r="C127" s="60">
        <f>'CAT-1'!T128+'CAT- 2'!T128+'CAT-3'!T128+'Tut-Ass-OA'!T128+'LAB Asseement'!R128</f>
        <v>0</v>
      </c>
      <c r="D127" s="60">
        <f>'CAT-1'!U128+'CAT- 2'!U128+'CAT-3'!U128+'Tut-Ass-OA'!U128+'LAB Asseement'!S128</f>
        <v>0</v>
      </c>
      <c r="E127" s="60">
        <f>'CAT-1'!V128+'CAT- 2'!V128+'CAT-3'!V128+'Tut-Ass-OA'!V128+'LAB Asseement'!T128</f>
        <v>0</v>
      </c>
      <c r="F127" s="60">
        <f>'CAT-1'!W128+'CAT- 2'!W128+'CAT-3'!W128+'Tut-Ass-OA'!W128+'LAB Asseement'!U128</f>
        <v>0</v>
      </c>
      <c r="G127" s="60">
        <f>'CAT-1'!X128+'CAT- 2'!X128+'CAT-3'!X128+'Tut-Ass-OA'!X128+'LAB Asseement'!V128</f>
        <v>0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spans="1:23" ht="21.75" customHeight="1">
      <c r="A128" s="62" t="str">
        <f>BASE!B133</f>
        <v>23XXR118</v>
      </c>
      <c r="B128" s="121" t="s">
        <v>40</v>
      </c>
      <c r="C128" s="60">
        <f>'CAT-1'!T129+'CAT- 2'!T129+'CAT-3'!T129+'Tut-Ass-OA'!T129+'LAB Asseement'!R129</f>
        <v>0</v>
      </c>
      <c r="D128" s="60">
        <f>'CAT-1'!U129+'CAT- 2'!U129+'CAT-3'!U129+'Tut-Ass-OA'!U129+'LAB Asseement'!S129</f>
        <v>0</v>
      </c>
      <c r="E128" s="60">
        <f>'CAT-1'!V129+'CAT- 2'!V129+'CAT-3'!V129+'Tut-Ass-OA'!V129+'LAB Asseement'!T129</f>
        <v>0</v>
      </c>
      <c r="F128" s="60">
        <f>'CAT-1'!W129+'CAT- 2'!W129+'CAT-3'!W129+'Tut-Ass-OA'!W129+'LAB Asseement'!U129</f>
        <v>0</v>
      </c>
      <c r="G128" s="60">
        <f>'CAT-1'!X129+'CAT- 2'!X129+'CAT-3'!X129+'Tut-Ass-OA'!X129+'LAB Asseement'!V129</f>
        <v>0</v>
      </c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spans="1:23" ht="21.75" customHeight="1">
      <c r="A129" s="62" t="str">
        <f>BASE!B134</f>
        <v>23XXR119</v>
      </c>
      <c r="B129" s="121" t="s">
        <v>40</v>
      </c>
      <c r="C129" s="60">
        <f>'CAT-1'!T130+'CAT- 2'!T130+'CAT-3'!T130+'Tut-Ass-OA'!T130+'LAB Asseement'!R130</f>
        <v>0</v>
      </c>
      <c r="D129" s="60">
        <f>'CAT-1'!U130+'CAT- 2'!U130+'CAT-3'!U130+'Tut-Ass-OA'!U130+'LAB Asseement'!S130</f>
        <v>0</v>
      </c>
      <c r="E129" s="60">
        <f>'CAT-1'!V130+'CAT- 2'!V130+'CAT-3'!V130+'Tut-Ass-OA'!V130+'LAB Asseement'!T130</f>
        <v>0</v>
      </c>
      <c r="F129" s="60">
        <f>'CAT-1'!W130+'CAT- 2'!W130+'CAT-3'!W130+'Tut-Ass-OA'!W130+'LAB Asseement'!U130</f>
        <v>0</v>
      </c>
      <c r="G129" s="60">
        <f>'CAT-1'!X130+'CAT- 2'!X130+'CAT-3'!X130+'Tut-Ass-OA'!X130+'LAB Asseement'!V130</f>
        <v>0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spans="1:23" ht="21.75" customHeight="1">
      <c r="A130" s="62" t="str">
        <f>BASE!B135</f>
        <v>23XXR120</v>
      </c>
      <c r="B130" s="121" t="s">
        <v>40</v>
      </c>
      <c r="C130" s="60">
        <f>'CAT-1'!T131+'CAT- 2'!T131+'CAT-3'!T131+'Tut-Ass-OA'!T131+'LAB Asseement'!R131</f>
        <v>0</v>
      </c>
      <c r="D130" s="60">
        <f>'CAT-1'!U131+'CAT- 2'!U131+'CAT-3'!U131+'Tut-Ass-OA'!U131+'LAB Asseement'!S131</f>
        <v>0</v>
      </c>
      <c r="E130" s="60">
        <f>'CAT-1'!V131+'CAT- 2'!V131+'CAT-3'!V131+'Tut-Ass-OA'!V131+'LAB Asseement'!T131</f>
        <v>0</v>
      </c>
      <c r="F130" s="60">
        <f>'CAT-1'!W131+'CAT- 2'!W131+'CAT-3'!W131+'Tut-Ass-OA'!W131+'LAB Asseement'!U131</f>
        <v>0</v>
      </c>
      <c r="G130" s="60">
        <f>'CAT-1'!X131+'CAT- 2'!X131+'CAT-3'!X131+'Tut-Ass-OA'!X131+'LAB Asseement'!V131</f>
        <v>0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spans="1:23" ht="21.75" customHeight="1">
      <c r="A131" s="62" t="str">
        <f>BASE!B136</f>
        <v>23XXR121</v>
      </c>
      <c r="B131" s="121" t="s">
        <v>40</v>
      </c>
      <c r="C131" s="60">
        <f>'CAT-1'!T132+'CAT- 2'!T132+'CAT-3'!T132+'Tut-Ass-OA'!T132+'LAB Asseement'!R132</f>
        <v>0</v>
      </c>
      <c r="D131" s="60">
        <f>'CAT-1'!U132+'CAT- 2'!U132+'CAT-3'!U132+'Tut-Ass-OA'!U132+'LAB Asseement'!S132</f>
        <v>0</v>
      </c>
      <c r="E131" s="60">
        <f>'CAT-1'!V132+'CAT- 2'!V132+'CAT-3'!V132+'Tut-Ass-OA'!V132+'LAB Asseement'!T132</f>
        <v>0</v>
      </c>
      <c r="F131" s="60">
        <f>'CAT-1'!W132+'CAT- 2'!W132+'CAT-3'!W132+'Tut-Ass-OA'!W132+'LAB Asseement'!U132</f>
        <v>0</v>
      </c>
      <c r="G131" s="60">
        <f>'CAT-1'!X132+'CAT- 2'!X132+'CAT-3'!X132+'Tut-Ass-OA'!X132+'LAB Asseement'!V132</f>
        <v>0</v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spans="1:23" ht="21.75" customHeight="1">
      <c r="A132" s="62" t="str">
        <f>BASE!B137</f>
        <v>23XXR122</v>
      </c>
      <c r="B132" s="121" t="s">
        <v>40</v>
      </c>
      <c r="C132" s="60">
        <f>'CAT-1'!T133+'CAT- 2'!T133+'CAT-3'!T133+'Tut-Ass-OA'!T133+'LAB Asseement'!R133</f>
        <v>0</v>
      </c>
      <c r="D132" s="60">
        <f>'CAT-1'!U133+'CAT- 2'!U133+'CAT-3'!U133+'Tut-Ass-OA'!U133+'LAB Asseement'!S133</f>
        <v>0</v>
      </c>
      <c r="E132" s="60">
        <f>'CAT-1'!V133+'CAT- 2'!V133+'CAT-3'!V133+'Tut-Ass-OA'!V133+'LAB Asseement'!T133</f>
        <v>0</v>
      </c>
      <c r="F132" s="60">
        <f>'CAT-1'!W133+'CAT- 2'!W133+'CAT-3'!W133+'Tut-Ass-OA'!W133+'LAB Asseement'!U133</f>
        <v>0</v>
      </c>
      <c r="G132" s="60">
        <f>'CAT-1'!X133+'CAT- 2'!X133+'CAT-3'!X133+'Tut-Ass-OA'!X133+'LAB Asseement'!V133</f>
        <v>0</v>
      </c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spans="1:23" ht="21.75" customHeight="1">
      <c r="A133" s="62" t="str">
        <f>BASE!B138</f>
        <v>23XXR123</v>
      </c>
      <c r="B133" s="121" t="s">
        <v>40</v>
      </c>
      <c r="C133" s="60">
        <f>'CAT-1'!T134+'CAT- 2'!T134+'CAT-3'!T134+'Tut-Ass-OA'!T134+'LAB Asseement'!R134</f>
        <v>0</v>
      </c>
      <c r="D133" s="60">
        <f>'CAT-1'!U134+'CAT- 2'!U134+'CAT-3'!U134+'Tut-Ass-OA'!U134+'LAB Asseement'!S134</f>
        <v>0</v>
      </c>
      <c r="E133" s="60">
        <f>'CAT-1'!V134+'CAT- 2'!V134+'CAT-3'!V134+'Tut-Ass-OA'!V134+'LAB Asseement'!T134</f>
        <v>0</v>
      </c>
      <c r="F133" s="60">
        <f>'CAT-1'!W134+'CAT- 2'!W134+'CAT-3'!W134+'Tut-Ass-OA'!W134+'LAB Asseement'!U134</f>
        <v>0</v>
      </c>
      <c r="G133" s="60">
        <f>'CAT-1'!X134+'CAT- 2'!X134+'CAT-3'!X134+'Tut-Ass-OA'!X134+'LAB Asseement'!V134</f>
        <v>0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spans="1:23" ht="21.75" customHeight="1">
      <c r="A134" s="62" t="str">
        <f>BASE!B139</f>
        <v>23XXR124</v>
      </c>
      <c r="B134" s="121" t="s">
        <v>40</v>
      </c>
      <c r="C134" s="60">
        <f>'CAT-1'!T135+'CAT- 2'!T135+'CAT-3'!T135+'Tut-Ass-OA'!T135+'LAB Asseement'!R135</f>
        <v>0</v>
      </c>
      <c r="D134" s="60">
        <f>'CAT-1'!U135+'CAT- 2'!U135+'CAT-3'!U135+'Tut-Ass-OA'!U135+'LAB Asseement'!S135</f>
        <v>0</v>
      </c>
      <c r="E134" s="60">
        <f>'CAT-1'!V135+'CAT- 2'!V135+'CAT-3'!V135+'Tut-Ass-OA'!V135+'LAB Asseement'!T135</f>
        <v>0</v>
      </c>
      <c r="F134" s="60">
        <f>'CAT-1'!W135+'CAT- 2'!W135+'CAT-3'!W135+'Tut-Ass-OA'!W135+'LAB Asseement'!U135</f>
        <v>0</v>
      </c>
      <c r="G134" s="60">
        <f>'CAT-1'!X135+'CAT- 2'!X135+'CAT-3'!X135+'Tut-Ass-OA'!X135+'LAB Asseement'!V135</f>
        <v>0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spans="1:23" ht="21.75" customHeight="1">
      <c r="A135" s="62" t="str">
        <f>BASE!B140</f>
        <v>23XXR125</v>
      </c>
      <c r="B135" s="121" t="s">
        <v>40</v>
      </c>
      <c r="C135" s="60">
        <f>'CAT-1'!T136+'CAT- 2'!T136+'CAT-3'!T136+'Tut-Ass-OA'!T136+'LAB Asseement'!R136</f>
        <v>0</v>
      </c>
      <c r="D135" s="60">
        <f>'CAT-1'!U136+'CAT- 2'!U136+'CAT-3'!U136+'Tut-Ass-OA'!U136+'LAB Asseement'!S136</f>
        <v>0</v>
      </c>
      <c r="E135" s="60">
        <f>'CAT-1'!V136+'CAT- 2'!V136+'CAT-3'!V136+'Tut-Ass-OA'!V136+'LAB Asseement'!T136</f>
        <v>0</v>
      </c>
      <c r="F135" s="60">
        <f>'CAT-1'!W136+'CAT- 2'!W136+'CAT-3'!W136+'Tut-Ass-OA'!W136+'LAB Asseement'!U136</f>
        <v>0</v>
      </c>
      <c r="G135" s="60">
        <f>'CAT-1'!X136+'CAT- 2'!X136+'CAT-3'!X136+'Tut-Ass-OA'!X136+'LAB Asseement'!V136</f>
        <v>0</v>
      </c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spans="1:23" ht="21.75" customHeight="1">
      <c r="A136" s="62" t="str">
        <f>BASE!B141</f>
        <v>23XXR126</v>
      </c>
      <c r="B136" s="121" t="s">
        <v>40</v>
      </c>
      <c r="C136" s="60">
        <f>'CAT-1'!T137+'CAT- 2'!T137+'CAT-3'!T137+'Tut-Ass-OA'!T137+'LAB Asseement'!R137</f>
        <v>0</v>
      </c>
      <c r="D136" s="60">
        <f>'CAT-1'!U137+'CAT- 2'!U137+'CAT-3'!U137+'Tut-Ass-OA'!U137+'LAB Asseement'!S137</f>
        <v>0</v>
      </c>
      <c r="E136" s="60">
        <f>'CAT-1'!V137+'CAT- 2'!V137+'CAT-3'!V137+'Tut-Ass-OA'!V137+'LAB Asseement'!T137</f>
        <v>0</v>
      </c>
      <c r="F136" s="60">
        <f>'CAT-1'!W137+'CAT- 2'!W137+'CAT-3'!W137+'Tut-Ass-OA'!W137+'LAB Asseement'!U137</f>
        <v>0</v>
      </c>
      <c r="G136" s="60">
        <f>'CAT-1'!X137+'CAT- 2'!X137+'CAT-3'!X137+'Tut-Ass-OA'!X137+'LAB Asseement'!V137</f>
        <v>0</v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spans="1:23" ht="21.75" customHeight="1">
      <c r="A137" s="62" t="str">
        <f>BASE!B142</f>
        <v>23XXR127</v>
      </c>
      <c r="B137" s="121" t="s">
        <v>40</v>
      </c>
      <c r="C137" s="60">
        <f>'CAT-1'!T138+'CAT- 2'!T138+'CAT-3'!T138+'Tut-Ass-OA'!T138+'LAB Asseement'!R138</f>
        <v>0</v>
      </c>
      <c r="D137" s="60">
        <f>'CAT-1'!U138+'CAT- 2'!U138+'CAT-3'!U138+'Tut-Ass-OA'!U138+'LAB Asseement'!S138</f>
        <v>0</v>
      </c>
      <c r="E137" s="60">
        <f>'CAT-1'!V138+'CAT- 2'!V138+'CAT-3'!V138+'Tut-Ass-OA'!V138+'LAB Asseement'!T138</f>
        <v>0</v>
      </c>
      <c r="F137" s="60">
        <f>'CAT-1'!W138+'CAT- 2'!W138+'CAT-3'!W138+'Tut-Ass-OA'!W138+'LAB Asseement'!U138</f>
        <v>0</v>
      </c>
      <c r="G137" s="60">
        <f>'CAT-1'!X138+'CAT- 2'!X138+'CAT-3'!X138+'Tut-Ass-OA'!X138+'LAB Asseement'!V138</f>
        <v>0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spans="1:23" ht="21.75" customHeight="1">
      <c r="A138" s="62" t="str">
        <f>BASE!B143</f>
        <v>23XXR128</v>
      </c>
      <c r="B138" s="121" t="s">
        <v>40</v>
      </c>
      <c r="C138" s="60">
        <f>'CAT-1'!T139+'CAT- 2'!T139+'CAT-3'!T139+'Tut-Ass-OA'!T139+'LAB Asseement'!R139</f>
        <v>0</v>
      </c>
      <c r="D138" s="60">
        <f>'CAT-1'!U139+'CAT- 2'!U139+'CAT-3'!U139+'Tut-Ass-OA'!U139+'LAB Asseement'!S139</f>
        <v>0</v>
      </c>
      <c r="E138" s="60">
        <f>'CAT-1'!V139+'CAT- 2'!V139+'CAT-3'!V139+'Tut-Ass-OA'!V139+'LAB Asseement'!T139</f>
        <v>0</v>
      </c>
      <c r="F138" s="60">
        <f>'CAT-1'!W139+'CAT- 2'!W139+'CAT-3'!W139+'Tut-Ass-OA'!W139+'LAB Asseement'!U139</f>
        <v>0</v>
      </c>
      <c r="G138" s="60">
        <f>'CAT-1'!X139+'CAT- 2'!X139+'CAT-3'!X139+'Tut-Ass-OA'!X139+'LAB Asseement'!V139</f>
        <v>0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spans="1:23" ht="21.75" customHeight="1">
      <c r="A139" s="62" t="str">
        <f>BASE!B144</f>
        <v>23XXR129</v>
      </c>
      <c r="B139" s="121" t="s">
        <v>40</v>
      </c>
      <c r="C139" s="60">
        <f>'CAT-1'!T140+'CAT- 2'!T140+'CAT-3'!T140+'Tut-Ass-OA'!T140+'LAB Asseement'!R140</f>
        <v>0</v>
      </c>
      <c r="D139" s="60">
        <f>'CAT-1'!U140+'CAT- 2'!U140+'CAT-3'!U140+'Tut-Ass-OA'!U140+'LAB Asseement'!S140</f>
        <v>0</v>
      </c>
      <c r="E139" s="60">
        <f>'CAT-1'!V140+'CAT- 2'!V140+'CAT-3'!V140+'Tut-Ass-OA'!V140+'LAB Asseement'!T140</f>
        <v>0</v>
      </c>
      <c r="F139" s="60">
        <f>'CAT-1'!W140+'CAT- 2'!W140+'CAT-3'!W140+'Tut-Ass-OA'!W140+'LAB Asseement'!U140</f>
        <v>0</v>
      </c>
      <c r="G139" s="60">
        <f>'CAT-1'!X140+'CAT- 2'!X140+'CAT-3'!X140+'Tut-Ass-OA'!X140+'LAB Asseement'!V140</f>
        <v>0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spans="1:23" ht="21.75" customHeight="1">
      <c r="A140" s="62" t="str">
        <f>BASE!B145</f>
        <v>23XXR130</v>
      </c>
      <c r="B140" s="121" t="s">
        <v>40</v>
      </c>
      <c r="C140" s="60">
        <f>'CAT-1'!T141+'CAT- 2'!T141+'CAT-3'!T141+'Tut-Ass-OA'!T141+'LAB Asseement'!R141</f>
        <v>0</v>
      </c>
      <c r="D140" s="60">
        <f>'CAT-1'!U141+'CAT- 2'!U141+'CAT-3'!U141+'Tut-Ass-OA'!U141+'LAB Asseement'!S141</f>
        <v>0</v>
      </c>
      <c r="E140" s="60">
        <f>'CAT-1'!V141+'CAT- 2'!V141+'CAT-3'!V141+'Tut-Ass-OA'!V141+'LAB Asseement'!T141</f>
        <v>0</v>
      </c>
      <c r="F140" s="60">
        <f>'CAT-1'!W141+'CAT- 2'!W141+'CAT-3'!W141+'Tut-Ass-OA'!W141+'LAB Asseement'!U141</f>
        <v>0</v>
      </c>
      <c r="G140" s="60">
        <f>'CAT-1'!X141+'CAT- 2'!X141+'CAT-3'!X141+'Tut-Ass-OA'!X141+'LAB Asseement'!V141</f>
        <v>0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spans="1:23" ht="21.75" customHeight="1">
      <c r="A141" s="62" t="str">
        <f>BASE!B146</f>
        <v>23XXR131</v>
      </c>
      <c r="B141" s="121" t="s">
        <v>40</v>
      </c>
      <c r="C141" s="60">
        <f>'CAT-1'!T142+'CAT- 2'!T142+'CAT-3'!T142+'Tut-Ass-OA'!T142+'LAB Asseement'!R142</f>
        <v>0</v>
      </c>
      <c r="D141" s="60">
        <f>'CAT-1'!U142+'CAT- 2'!U142+'CAT-3'!U142+'Tut-Ass-OA'!U142+'LAB Asseement'!S142</f>
        <v>0</v>
      </c>
      <c r="E141" s="60">
        <f>'CAT-1'!V142+'CAT- 2'!V142+'CAT-3'!V142+'Tut-Ass-OA'!V142+'LAB Asseement'!T142</f>
        <v>0</v>
      </c>
      <c r="F141" s="60">
        <f>'CAT-1'!W142+'CAT- 2'!W142+'CAT-3'!W142+'Tut-Ass-OA'!W142+'LAB Asseement'!U142</f>
        <v>0</v>
      </c>
      <c r="G141" s="60">
        <f>'CAT-1'!X142+'CAT- 2'!X142+'CAT-3'!X142+'Tut-Ass-OA'!X142+'LAB Asseement'!V142</f>
        <v>0</v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spans="1:23" ht="21.75" customHeight="1">
      <c r="A142" s="62" t="str">
        <f>BASE!B147</f>
        <v>23XXR132</v>
      </c>
      <c r="B142" s="121" t="s">
        <v>40</v>
      </c>
      <c r="C142" s="60">
        <f>'CAT-1'!T143+'CAT- 2'!T143+'CAT-3'!T143+'Tut-Ass-OA'!T143+'LAB Asseement'!R143</f>
        <v>0</v>
      </c>
      <c r="D142" s="60">
        <f>'CAT-1'!U143+'CAT- 2'!U143+'CAT-3'!U143+'Tut-Ass-OA'!U143+'LAB Asseement'!S143</f>
        <v>0</v>
      </c>
      <c r="E142" s="60">
        <f>'CAT-1'!V143+'CAT- 2'!V143+'CAT-3'!V143+'Tut-Ass-OA'!V143+'LAB Asseement'!T143</f>
        <v>0</v>
      </c>
      <c r="F142" s="60">
        <f>'CAT-1'!W143+'CAT- 2'!W143+'CAT-3'!W143+'Tut-Ass-OA'!W143+'LAB Asseement'!U143</f>
        <v>0</v>
      </c>
      <c r="G142" s="60">
        <f>'CAT-1'!X143+'CAT- 2'!X143+'CAT-3'!X143+'Tut-Ass-OA'!X143+'LAB Asseement'!V143</f>
        <v>0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spans="1:23" ht="21.75" customHeight="1">
      <c r="A143" s="62" t="str">
        <f>BASE!B148</f>
        <v>23XXR133</v>
      </c>
      <c r="B143" s="121" t="s">
        <v>40</v>
      </c>
      <c r="C143" s="60">
        <f>'CAT-1'!T144+'CAT- 2'!T144+'CAT-3'!T144+'Tut-Ass-OA'!T144+'LAB Asseement'!R144</f>
        <v>0</v>
      </c>
      <c r="D143" s="60">
        <f>'CAT-1'!U144+'CAT- 2'!U144+'CAT-3'!U144+'Tut-Ass-OA'!U144+'LAB Asseement'!S144</f>
        <v>0</v>
      </c>
      <c r="E143" s="60">
        <f>'CAT-1'!V144+'CAT- 2'!V144+'CAT-3'!V144+'Tut-Ass-OA'!V144+'LAB Asseement'!T144</f>
        <v>0</v>
      </c>
      <c r="F143" s="60">
        <f>'CAT-1'!W144+'CAT- 2'!W144+'CAT-3'!W144+'Tut-Ass-OA'!W144+'LAB Asseement'!U144</f>
        <v>0</v>
      </c>
      <c r="G143" s="60">
        <f>'CAT-1'!X144+'CAT- 2'!X144+'CAT-3'!X144+'Tut-Ass-OA'!X144+'LAB Asseement'!V144</f>
        <v>0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spans="1:23" ht="21.75" customHeight="1">
      <c r="A144" s="62" t="str">
        <f>BASE!B149</f>
        <v>23XXR134</v>
      </c>
      <c r="B144" s="121" t="s">
        <v>40</v>
      </c>
      <c r="C144" s="60">
        <f>'CAT-1'!T145+'CAT- 2'!T145+'CAT-3'!T145+'Tut-Ass-OA'!T145+'LAB Asseement'!R145</f>
        <v>0</v>
      </c>
      <c r="D144" s="60">
        <f>'CAT-1'!U145+'CAT- 2'!U145+'CAT-3'!U145+'Tut-Ass-OA'!U145+'LAB Asseement'!S145</f>
        <v>0</v>
      </c>
      <c r="E144" s="60">
        <f>'CAT-1'!V145+'CAT- 2'!V145+'CAT-3'!V145+'Tut-Ass-OA'!V145+'LAB Asseement'!T145</f>
        <v>0</v>
      </c>
      <c r="F144" s="60">
        <f>'CAT-1'!W145+'CAT- 2'!W145+'CAT-3'!W145+'Tut-Ass-OA'!W145+'LAB Asseement'!U145</f>
        <v>0</v>
      </c>
      <c r="G144" s="60">
        <f>'CAT-1'!X145+'CAT- 2'!X145+'CAT-3'!X145+'Tut-Ass-OA'!X145+'LAB Asseement'!V145</f>
        <v>0</v>
      </c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spans="1:23" ht="21.75" customHeight="1">
      <c r="A145" s="62" t="str">
        <f>BASE!B150</f>
        <v>23XXR135</v>
      </c>
      <c r="B145" s="121" t="s">
        <v>40</v>
      </c>
      <c r="C145" s="60">
        <f>'CAT-1'!T146+'CAT- 2'!T146+'CAT-3'!T146+'Tut-Ass-OA'!T146+'LAB Asseement'!R146</f>
        <v>0</v>
      </c>
      <c r="D145" s="60">
        <f>'CAT-1'!U146+'CAT- 2'!U146+'CAT-3'!U146+'Tut-Ass-OA'!U146+'LAB Asseement'!S146</f>
        <v>0</v>
      </c>
      <c r="E145" s="60">
        <f>'CAT-1'!V146+'CAT- 2'!V146+'CAT-3'!V146+'Tut-Ass-OA'!V146+'LAB Asseement'!T146</f>
        <v>0</v>
      </c>
      <c r="F145" s="60">
        <f>'CAT-1'!W146+'CAT- 2'!W146+'CAT-3'!W146+'Tut-Ass-OA'!W146+'LAB Asseement'!U146</f>
        <v>0</v>
      </c>
      <c r="G145" s="60">
        <f>'CAT-1'!X146+'CAT- 2'!X146+'CAT-3'!X146+'Tut-Ass-OA'!X146+'LAB Asseement'!V146</f>
        <v>0</v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spans="1:23" ht="21.75" customHeight="1">
      <c r="A146" s="62" t="str">
        <f>BASE!B151</f>
        <v>23XXR136</v>
      </c>
      <c r="B146" s="121" t="s">
        <v>40</v>
      </c>
      <c r="C146" s="60">
        <f>'CAT-1'!T147+'CAT- 2'!T147+'CAT-3'!T147+'Tut-Ass-OA'!T147+'LAB Asseement'!R147</f>
        <v>0</v>
      </c>
      <c r="D146" s="60">
        <f>'CAT-1'!U147+'CAT- 2'!U147+'CAT-3'!U147+'Tut-Ass-OA'!U147+'LAB Asseement'!S147</f>
        <v>0</v>
      </c>
      <c r="E146" s="60">
        <f>'CAT-1'!V147+'CAT- 2'!V147+'CAT-3'!V147+'Tut-Ass-OA'!V147+'LAB Asseement'!T147</f>
        <v>0</v>
      </c>
      <c r="F146" s="60">
        <f>'CAT-1'!W147+'CAT- 2'!W147+'CAT-3'!W147+'Tut-Ass-OA'!W147+'LAB Asseement'!U147</f>
        <v>0</v>
      </c>
      <c r="G146" s="60">
        <f>'CAT-1'!X147+'CAT- 2'!X147+'CAT-3'!X147+'Tut-Ass-OA'!X147+'LAB Asseement'!V147</f>
        <v>0</v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spans="1:23" ht="21.75" customHeight="1">
      <c r="A147" s="62" t="str">
        <f>BASE!B152</f>
        <v>23XXR137</v>
      </c>
      <c r="B147" s="121" t="s">
        <v>40</v>
      </c>
      <c r="C147" s="60">
        <f>'CAT-1'!T148+'CAT- 2'!T148+'CAT-3'!T148+'Tut-Ass-OA'!T148+'LAB Asseement'!R148</f>
        <v>0</v>
      </c>
      <c r="D147" s="60">
        <f>'CAT-1'!U148+'CAT- 2'!U148+'CAT-3'!U148+'Tut-Ass-OA'!U148+'LAB Asseement'!S148</f>
        <v>0</v>
      </c>
      <c r="E147" s="60">
        <f>'CAT-1'!V148+'CAT- 2'!V148+'CAT-3'!V148+'Tut-Ass-OA'!V148+'LAB Asseement'!T148</f>
        <v>0</v>
      </c>
      <c r="F147" s="60">
        <f>'CAT-1'!W148+'CAT- 2'!W148+'CAT-3'!W148+'Tut-Ass-OA'!W148+'LAB Asseement'!U148</f>
        <v>0</v>
      </c>
      <c r="G147" s="60">
        <f>'CAT-1'!X148+'CAT- 2'!X148+'CAT-3'!X148+'Tut-Ass-OA'!X148+'LAB Asseement'!V148</f>
        <v>0</v>
      </c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spans="1:23" ht="21.75" customHeight="1">
      <c r="A148" s="62" t="str">
        <f>BASE!B153</f>
        <v>23XXR138</v>
      </c>
      <c r="B148" s="121" t="s">
        <v>40</v>
      </c>
      <c r="C148" s="60">
        <f>'CAT-1'!T149+'CAT- 2'!T149+'CAT-3'!T149+'Tut-Ass-OA'!T149+'LAB Asseement'!R149</f>
        <v>0</v>
      </c>
      <c r="D148" s="60">
        <f>'CAT-1'!U149+'CAT- 2'!U149+'CAT-3'!U149+'Tut-Ass-OA'!U149+'LAB Asseement'!S149</f>
        <v>0</v>
      </c>
      <c r="E148" s="60">
        <f>'CAT-1'!V149+'CAT- 2'!V149+'CAT-3'!V149+'Tut-Ass-OA'!V149+'LAB Asseement'!T149</f>
        <v>0</v>
      </c>
      <c r="F148" s="60">
        <f>'CAT-1'!W149+'CAT- 2'!W149+'CAT-3'!W149+'Tut-Ass-OA'!W149+'LAB Asseement'!U149</f>
        <v>0</v>
      </c>
      <c r="G148" s="60">
        <f>'CAT-1'!X149+'CAT- 2'!X149+'CAT-3'!X149+'Tut-Ass-OA'!X149+'LAB Asseement'!V149</f>
        <v>0</v>
      </c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spans="1:23" ht="21.75" customHeight="1">
      <c r="A149" s="62" t="str">
        <f>BASE!B154</f>
        <v>23XXR139</v>
      </c>
      <c r="B149" s="121" t="s">
        <v>40</v>
      </c>
      <c r="C149" s="60">
        <f>'CAT-1'!T150+'CAT- 2'!T150+'CAT-3'!T150+'Tut-Ass-OA'!T150+'LAB Asseement'!R150</f>
        <v>0</v>
      </c>
      <c r="D149" s="60">
        <f>'CAT-1'!U150+'CAT- 2'!U150+'CAT-3'!U150+'Tut-Ass-OA'!U150+'LAB Asseement'!S150</f>
        <v>0</v>
      </c>
      <c r="E149" s="60">
        <f>'CAT-1'!V150+'CAT- 2'!V150+'CAT-3'!V150+'Tut-Ass-OA'!V150+'LAB Asseement'!T150</f>
        <v>0</v>
      </c>
      <c r="F149" s="60">
        <f>'CAT-1'!W150+'CAT- 2'!W150+'CAT-3'!W150+'Tut-Ass-OA'!W150+'LAB Asseement'!U150</f>
        <v>0</v>
      </c>
      <c r="G149" s="60">
        <f>'CAT-1'!X150+'CAT- 2'!X150+'CAT-3'!X150+'Tut-Ass-OA'!X150+'LAB Asseement'!V150</f>
        <v>0</v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spans="1:23" ht="21.75" customHeight="1">
      <c r="A150" s="62" t="str">
        <f>BASE!B155</f>
        <v>23XXR140</v>
      </c>
      <c r="B150" s="121" t="s">
        <v>40</v>
      </c>
      <c r="C150" s="60">
        <f>'CAT-1'!T151+'CAT- 2'!T151+'CAT-3'!T151+'Tut-Ass-OA'!T151+'LAB Asseement'!R151</f>
        <v>0</v>
      </c>
      <c r="D150" s="60">
        <f>'CAT-1'!U151+'CAT- 2'!U151+'CAT-3'!U151+'Tut-Ass-OA'!U151+'LAB Asseement'!S151</f>
        <v>0</v>
      </c>
      <c r="E150" s="60">
        <f>'CAT-1'!V151+'CAT- 2'!V151+'CAT-3'!V151+'Tut-Ass-OA'!V151+'LAB Asseement'!T151</f>
        <v>0</v>
      </c>
      <c r="F150" s="60">
        <f>'CAT-1'!W151+'CAT- 2'!W151+'CAT-3'!W151+'Tut-Ass-OA'!W151+'LAB Asseement'!U151</f>
        <v>0</v>
      </c>
      <c r="G150" s="60">
        <f>'CAT-1'!X151+'CAT- 2'!X151+'CAT-3'!X151+'Tut-Ass-OA'!X151+'LAB Asseement'!V151</f>
        <v>0</v>
      </c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spans="1:23" ht="21.75" customHeight="1">
      <c r="A151" s="62" t="str">
        <f>BASE!B156</f>
        <v>23XXR141</v>
      </c>
      <c r="B151" s="121" t="s">
        <v>40</v>
      </c>
      <c r="C151" s="60">
        <f>'CAT-1'!T152+'CAT- 2'!T152+'CAT-3'!T152+'Tut-Ass-OA'!T152+'LAB Asseement'!R152</f>
        <v>0</v>
      </c>
      <c r="D151" s="60">
        <f>'CAT-1'!U152+'CAT- 2'!U152+'CAT-3'!U152+'Tut-Ass-OA'!U152+'LAB Asseement'!S152</f>
        <v>0</v>
      </c>
      <c r="E151" s="60">
        <f>'CAT-1'!V152+'CAT- 2'!V152+'CAT-3'!V152+'Tut-Ass-OA'!V152+'LAB Asseement'!T152</f>
        <v>0</v>
      </c>
      <c r="F151" s="60">
        <f>'CAT-1'!W152+'CAT- 2'!W152+'CAT-3'!W152+'Tut-Ass-OA'!W152+'LAB Asseement'!U152</f>
        <v>0</v>
      </c>
      <c r="G151" s="60">
        <f>'CAT-1'!X152+'CAT- 2'!X152+'CAT-3'!X152+'Tut-Ass-OA'!X152+'LAB Asseement'!V152</f>
        <v>0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spans="1:23" ht="21.75" customHeight="1">
      <c r="A152" s="62" t="str">
        <f>BASE!B157</f>
        <v>23XXR142</v>
      </c>
      <c r="B152" s="121" t="s">
        <v>40</v>
      </c>
      <c r="C152" s="60">
        <f>'CAT-1'!T153+'CAT- 2'!T153+'CAT-3'!T153+'Tut-Ass-OA'!T153+'LAB Asseement'!R153</f>
        <v>0</v>
      </c>
      <c r="D152" s="60">
        <f>'CAT-1'!U153+'CAT- 2'!U153+'CAT-3'!U153+'Tut-Ass-OA'!U153+'LAB Asseement'!S153</f>
        <v>0</v>
      </c>
      <c r="E152" s="60">
        <f>'CAT-1'!V153+'CAT- 2'!V153+'CAT-3'!V153+'Tut-Ass-OA'!V153+'LAB Asseement'!T153</f>
        <v>0</v>
      </c>
      <c r="F152" s="60">
        <f>'CAT-1'!W153+'CAT- 2'!W153+'CAT-3'!W153+'Tut-Ass-OA'!W153+'LAB Asseement'!U153</f>
        <v>0</v>
      </c>
      <c r="G152" s="60">
        <f>'CAT-1'!X153+'CAT- 2'!X153+'CAT-3'!X153+'Tut-Ass-OA'!X153+'LAB Asseement'!V153</f>
        <v>0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spans="1:23" ht="21.75" customHeight="1">
      <c r="A153" s="62" t="str">
        <f>BASE!B158</f>
        <v>23XXR143</v>
      </c>
      <c r="B153" s="121" t="s">
        <v>40</v>
      </c>
      <c r="C153" s="60">
        <f>'CAT-1'!T154+'CAT- 2'!T154+'CAT-3'!T154+'Tut-Ass-OA'!T154+'LAB Asseement'!R154</f>
        <v>0</v>
      </c>
      <c r="D153" s="60">
        <f>'CAT-1'!U154+'CAT- 2'!U154+'CAT-3'!U154+'Tut-Ass-OA'!U154+'LAB Asseement'!S154</f>
        <v>0</v>
      </c>
      <c r="E153" s="60">
        <f>'CAT-1'!V154+'CAT- 2'!V154+'CAT-3'!V154+'Tut-Ass-OA'!V154+'LAB Asseement'!T154</f>
        <v>0</v>
      </c>
      <c r="F153" s="60">
        <f>'CAT-1'!W154+'CAT- 2'!W154+'CAT-3'!W154+'Tut-Ass-OA'!W154+'LAB Asseement'!U154</f>
        <v>0</v>
      </c>
      <c r="G153" s="60">
        <f>'CAT-1'!X154+'CAT- 2'!X154+'CAT-3'!X154+'Tut-Ass-OA'!X154+'LAB Asseement'!V154</f>
        <v>0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spans="1:23" ht="21.75" customHeight="1">
      <c r="A154" s="62" t="str">
        <f>BASE!B159</f>
        <v>23XXR144</v>
      </c>
      <c r="B154" s="121" t="s">
        <v>40</v>
      </c>
      <c r="C154" s="60">
        <f>'CAT-1'!T155+'CAT- 2'!T155+'CAT-3'!T155+'Tut-Ass-OA'!T155+'LAB Asseement'!R155</f>
        <v>0</v>
      </c>
      <c r="D154" s="60">
        <f>'CAT-1'!U155+'CAT- 2'!U155+'CAT-3'!U155+'Tut-Ass-OA'!U155+'LAB Asseement'!S155</f>
        <v>0</v>
      </c>
      <c r="E154" s="60">
        <f>'CAT-1'!V155+'CAT- 2'!V155+'CAT-3'!V155+'Tut-Ass-OA'!V155+'LAB Asseement'!T155</f>
        <v>0</v>
      </c>
      <c r="F154" s="60">
        <f>'CAT-1'!W155+'CAT- 2'!W155+'CAT-3'!W155+'Tut-Ass-OA'!W155+'LAB Asseement'!U155</f>
        <v>0</v>
      </c>
      <c r="G154" s="60">
        <f>'CAT-1'!X155+'CAT- 2'!X155+'CAT-3'!X155+'Tut-Ass-OA'!X155+'LAB Asseement'!V155</f>
        <v>0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spans="1:23" ht="21.75" customHeight="1">
      <c r="A155" s="62" t="str">
        <f>BASE!B160</f>
        <v>23XXR145</v>
      </c>
      <c r="B155" s="121" t="s">
        <v>40</v>
      </c>
      <c r="C155" s="60">
        <f>'CAT-1'!T156+'CAT- 2'!T156+'CAT-3'!T156+'Tut-Ass-OA'!T156+'LAB Asseement'!R156</f>
        <v>0</v>
      </c>
      <c r="D155" s="60">
        <f>'CAT-1'!U156+'CAT- 2'!U156+'CAT-3'!U156+'Tut-Ass-OA'!U156+'LAB Asseement'!S156</f>
        <v>0</v>
      </c>
      <c r="E155" s="60">
        <f>'CAT-1'!V156+'CAT- 2'!V156+'CAT-3'!V156+'Tut-Ass-OA'!V156+'LAB Asseement'!T156</f>
        <v>0</v>
      </c>
      <c r="F155" s="60">
        <f>'CAT-1'!W156+'CAT- 2'!W156+'CAT-3'!W156+'Tut-Ass-OA'!W156+'LAB Asseement'!U156</f>
        <v>0</v>
      </c>
      <c r="G155" s="60">
        <f>'CAT-1'!X156+'CAT- 2'!X156+'CAT-3'!X156+'Tut-Ass-OA'!X156+'LAB Asseement'!V156</f>
        <v>0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spans="1:23" ht="21.75" customHeight="1">
      <c r="A156" s="62" t="str">
        <f>BASE!B161</f>
        <v>23XXR146</v>
      </c>
      <c r="B156" s="121" t="s">
        <v>40</v>
      </c>
      <c r="C156" s="60">
        <f>'CAT-1'!T157+'CAT- 2'!T157+'CAT-3'!T157+'Tut-Ass-OA'!T157+'LAB Asseement'!R157</f>
        <v>0</v>
      </c>
      <c r="D156" s="60">
        <f>'CAT-1'!U157+'CAT- 2'!U157+'CAT-3'!U157+'Tut-Ass-OA'!U157+'LAB Asseement'!S157</f>
        <v>0</v>
      </c>
      <c r="E156" s="60">
        <f>'CAT-1'!V157+'CAT- 2'!V157+'CAT-3'!V157+'Tut-Ass-OA'!V157+'LAB Asseement'!T157</f>
        <v>0</v>
      </c>
      <c r="F156" s="60">
        <f>'CAT-1'!W157+'CAT- 2'!W157+'CAT-3'!W157+'Tut-Ass-OA'!W157+'LAB Asseement'!U157</f>
        <v>0</v>
      </c>
      <c r="G156" s="60">
        <f>'CAT-1'!X157+'CAT- 2'!X157+'CAT-3'!X157+'Tut-Ass-OA'!X157+'LAB Asseement'!V157</f>
        <v>0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spans="1:23" ht="21.75" customHeight="1">
      <c r="A157" s="62" t="str">
        <f>BASE!B162</f>
        <v>23XXR147</v>
      </c>
      <c r="B157" s="121" t="s">
        <v>40</v>
      </c>
      <c r="C157" s="60">
        <f>'CAT-1'!T158+'CAT- 2'!T158+'CAT-3'!T158+'Tut-Ass-OA'!T158+'LAB Asseement'!R158</f>
        <v>0</v>
      </c>
      <c r="D157" s="60">
        <f>'CAT-1'!U158+'CAT- 2'!U158+'CAT-3'!U158+'Tut-Ass-OA'!U158+'LAB Asseement'!S158</f>
        <v>0</v>
      </c>
      <c r="E157" s="60">
        <f>'CAT-1'!V158+'CAT- 2'!V158+'CAT-3'!V158+'Tut-Ass-OA'!V158+'LAB Asseement'!T158</f>
        <v>0</v>
      </c>
      <c r="F157" s="60">
        <f>'CAT-1'!W158+'CAT- 2'!W158+'CAT-3'!W158+'Tut-Ass-OA'!W158+'LAB Asseement'!U158</f>
        <v>0</v>
      </c>
      <c r="G157" s="60">
        <f>'CAT-1'!X158+'CAT- 2'!X158+'CAT-3'!X158+'Tut-Ass-OA'!X158+'LAB Asseement'!V158</f>
        <v>0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spans="1:23" ht="21.75" customHeight="1">
      <c r="A158" s="62" t="str">
        <f>BASE!B163</f>
        <v>23XXR148</v>
      </c>
      <c r="B158" s="121" t="s">
        <v>40</v>
      </c>
      <c r="C158" s="60">
        <f>'CAT-1'!T159+'CAT- 2'!T159+'CAT-3'!T159+'Tut-Ass-OA'!T159+'LAB Asseement'!R159</f>
        <v>0</v>
      </c>
      <c r="D158" s="60">
        <f>'CAT-1'!U159+'CAT- 2'!U159+'CAT-3'!U159+'Tut-Ass-OA'!U159+'LAB Asseement'!S159</f>
        <v>0</v>
      </c>
      <c r="E158" s="60">
        <f>'CAT-1'!V159+'CAT- 2'!V159+'CAT-3'!V159+'Tut-Ass-OA'!V159+'LAB Asseement'!T159</f>
        <v>0</v>
      </c>
      <c r="F158" s="60">
        <f>'CAT-1'!W159+'CAT- 2'!W159+'CAT-3'!W159+'Tut-Ass-OA'!W159+'LAB Asseement'!U159</f>
        <v>0</v>
      </c>
      <c r="G158" s="60">
        <f>'CAT-1'!X159+'CAT- 2'!X159+'CAT-3'!X159+'Tut-Ass-OA'!X159+'LAB Asseement'!V159</f>
        <v>0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spans="1:23" ht="21.75" customHeight="1">
      <c r="A159" s="62" t="str">
        <f>BASE!B164</f>
        <v>23XXR149</v>
      </c>
      <c r="B159" s="121" t="s">
        <v>40</v>
      </c>
      <c r="C159" s="60">
        <f>'CAT-1'!T160+'CAT- 2'!T160+'CAT-3'!T160+'Tut-Ass-OA'!T160+'LAB Asseement'!R160</f>
        <v>0</v>
      </c>
      <c r="D159" s="60">
        <f>'CAT-1'!U160+'CAT- 2'!U160+'CAT-3'!U160+'Tut-Ass-OA'!U160+'LAB Asseement'!S160</f>
        <v>0</v>
      </c>
      <c r="E159" s="60">
        <f>'CAT-1'!V160+'CAT- 2'!V160+'CAT-3'!V160+'Tut-Ass-OA'!V160+'LAB Asseement'!T160</f>
        <v>0</v>
      </c>
      <c r="F159" s="60">
        <f>'CAT-1'!W160+'CAT- 2'!W160+'CAT-3'!W160+'Tut-Ass-OA'!W160+'LAB Asseement'!U160</f>
        <v>0</v>
      </c>
      <c r="G159" s="60">
        <f>'CAT-1'!X160+'CAT- 2'!X160+'CAT-3'!X160+'Tut-Ass-OA'!X160+'LAB Asseement'!V160</f>
        <v>0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spans="1:23" ht="21.75" customHeight="1">
      <c r="A160" s="62" t="str">
        <f>BASE!B165</f>
        <v>23XXR150</v>
      </c>
      <c r="B160" s="121" t="s">
        <v>40</v>
      </c>
      <c r="C160" s="60">
        <f>'CAT-1'!T161+'CAT- 2'!T161+'CAT-3'!T161+'Tut-Ass-OA'!T161+'LAB Asseement'!R161</f>
        <v>0</v>
      </c>
      <c r="D160" s="60">
        <f>'CAT-1'!U161+'CAT- 2'!U161+'CAT-3'!U161+'Tut-Ass-OA'!U161+'LAB Asseement'!S161</f>
        <v>0</v>
      </c>
      <c r="E160" s="60">
        <f>'CAT-1'!V161+'CAT- 2'!V161+'CAT-3'!V161+'Tut-Ass-OA'!V161+'LAB Asseement'!T161</f>
        <v>0</v>
      </c>
      <c r="F160" s="60">
        <f>'CAT-1'!W161+'CAT- 2'!W161+'CAT-3'!W161+'Tut-Ass-OA'!W161+'LAB Asseement'!U161</f>
        <v>0</v>
      </c>
      <c r="G160" s="60">
        <f>'CAT-1'!X161+'CAT- 2'!X161+'CAT-3'!X161+'Tut-Ass-OA'!X161+'LAB Asseement'!V161</f>
        <v>0</v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spans="1:23" ht="21.75" customHeight="1">
      <c r="A161" s="62" t="str">
        <f>BASE!B166</f>
        <v>23XXR151</v>
      </c>
      <c r="B161" s="121" t="s">
        <v>40</v>
      </c>
      <c r="C161" s="60">
        <f>'CAT-1'!T162+'CAT- 2'!T162+'CAT-3'!T162+'Tut-Ass-OA'!T162+'LAB Asseement'!R162</f>
        <v>0</v>
      </c>
      <c r="D161" s="60">
        <f>'CAT-1'!U162+'CAT- 2'!U162+'CAT-3'!U162+'Tut-Ass-OA'!U162+'LAB Asseement'!S162</f>
        <v>0</v>
      </c>
      <c r="E161" s="60">
        <f>'CAT-1'!V162+'CAT- 2'!V162+'CAT-3'!V162+'Tut-Ass-OA'!V162+'LAB Asseement'!T162</f>
        <v>0</v>
      </c>
      <c r="F161" s="60">
        <f>'CAT-1'!W162+'CAT- 2'!W162+'CAT-3'!W162+'Tut-Ass-OA'!W162+'LAB Asseement'!U162</f>
        <v>0</v>
      </c>
      <c r="G161" s="60">
        <f>'CAT-1'!X162+'CAT- 2'!X162+'CAT-3'!X162+'Tut-Ass-OA'!X162+'LAB Asseement'!V162</f>
        <v>0</v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 spans="1:23" ht="21.75" customHeight="1">
      <c r="A162" s="62" t="str">
        <f>BASE!B167</f>
        <v>23XXR152</v>
      </c>
      <c r="B162" s="121" t="s">
        <v>40</v>
      </c>
      <c r="C162" s="60">
        <f>'CAT-1'!T163+'CAT- 2'!T163+'CAT-3'!T163+'Tut-Ass-OA'!T163+'LAB Asseement'!R163</f>
        <v>0</v>
      </c>
      <c r="D162" s="60">
        <f>'CAT-1'!U163+'CAT- 2'!U163+'CAT-3'!U163+'Tut-Ass-OA'!U163+'LAB Asseement'!S163</f>
        <v>0</v>
      </c>
      <c r="E162" s="60">
        <f>'CAT-1'!V163+'CAT- 2'!V163+'CAT-3'!V163+'Tut-Ass-OA'!V163+'LAB Asseement'!T163</f>
        <v>0</v>
      </c>
      <c r="F162" s="60">
        <f>'CAT-1'!W163+'CAT- 2'!W163+'CAT-3'!W163+'Tut-Ass-OA'!W163+'LAB Asseement'!U163</f>
        <v>0</v>
      </c>
      <c r="G162" s="60">
        <f>'CAT-1'!X163+'CAT- 2'!X163+'CAT-3'!X163+'Tut-Ass-OA'!X163+'LAB Asseement'!V163</f>
        <v>0</v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spans="1:23" ht="21.75" customHeight="1">
      <c r="A163" s="62" t="str">
        <f>BASE!B168</f>
        <v>23XXR153</v>
      </c>
      <c r="B163" s="121" t="s">
        <v>40</v>
      </c>
      <c r="C163" s="60">
        <f>'CAT-1'!T164+'CAT- 2'!T164+'CAT-3'!T164+'Tut-Ass-OA'!T164+'LAB Asseement'!R164</f>
        <v>0</v>
      </c>
      <c r="D163" s="60">
        <f>'CAT-1'!U164+'CAT- 2'!U164+'CAT-3'!U164+'Tut-Ass-OA'!U164+'LAB Asseement'!S164</f>
        <v>0</v>
      </c>
      <c r="E163" s="60">
        <f>'CAT-1'!V164+'CAT- 2'!V164+'CAT-3'!V164+'Tut-Ass-OA'!V164+'LAB Asseement'!T164</f>
        <v>0</v>
      </c>
      <c r="F163" s="60">
        <f>'CAT-1'!W164+'CAT- 2'!W164+'CAT-3'!W164+'Tut-Ass-OA'!W164+'LAB Asseement'!U164</f>
        <v>0</v>
      </c>
      <c r="G163" s="60">
        <f>'CAT-1'!X164+'CAT- 2'!X164+'CAT-3'!X164+'Tut-Ass-OA'!X164+'LAB Asseement'!V164</f>
        <v>0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spans="1:23" ht="21.75" customHeight="1">
      <c r="A164" s="62" t="str">
        <f>BASE!B169</f>
        <v>23XXR154</v>
      </c>
      <c r="B164" s="121" t="s">
        <v>40</v>
      </c>
      <c r="C164" s="60">
        <f>'CAT-1'!T165+'CAT- 2'!T165+'CAT-3'!T165+'Tut-Ass-OA'!T165+'LAB Asseement'!R165</f>
        <v>0</v>
      </c>
      <c r="D164" s="60">
        <f>'CAT-1'!U165+'CAT- 2'!U165+'CAT-3'!U165+'Tut-Ass-OA'!U165+'LAB Asseement'!S165</f>
        <v>0</v>
      </c>
      <c r="E164" s="60">
        <f>'CAT-1'!V165+'CAT- 2'!V165+'CAT-3'!V165+'Tut-Ass-OA'!V165+'LAB Asseement'!T165</f>
        <v>0</v>
      </c>
      <c r="F164" s="60">
        <f>'CAT-1'!W165+'CAT- 2'!W165+'CAT-3'!W165+'Tut-Ass-OA'!W165+'LAB Asseement'!U165</f>
        <v>0</v>
      </c>
      <c r="G164" s="60">
        <f>'CAT-1'!X165+'CAT- 2'!X165+'CAT-3'!X165+'Tut-Ass-OA'!X165+'LAB Asseement'!V165</f>
        <v>0</v>
      </c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spans="1:23" ht="21.75" customHeight="1">
      <c r="A165" s="62" t="str">
        <f>BASE!B170</f>
        <v>23XXR155</v>
      </c>
      <c r="B165" s="121" t="s">
        <v>40</v>
      </c>
      <c r="C165" s="60">
        <f>'CAT-1'!T166+'CAT- 2'!T166+'CAT-3'!T166+'Tut-Ass-OA'!T166+'LAB Asseement'!R166</f>
        <v>0</v>
      </c>
      <c r="D165" s="60">
        <f>'CAT-1'!U166+'CAT- 2'!U166+'CAT-3'!U166+'Tut-Ass-OA'!U166+'LAB Asseement'!S166</f>
        <v>0</v>
      </c>
      <c r="E165" s="60">
        <f>'CAT-1'!V166+'CAT- 2'!V166+'CAT-3'!V166+'Tut-Ass-OA'!V166+'LAB Asseement'!T166</f>
        <v>0</v>
      </c>
      <c r="F165" s="60">
        <f>'CAT-1'!W166+'CAT- 2'!W166+'CAT-3'!W166+'Tut-Ass-OA'!W166+'LAB Asseement'!U166</f>
        <v>0</v>
      </c>
      <c r="G165" s="60">
        <f>'CAT-1'!X166+'CAT- 2'!X166+'CAT-3'!X166+'Tut-Ass-OA'!X166+'LAB Asseement'!V166</f>
        <v>0</v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spans="1:23" ht="21.75" customHeight="1">
      <c r="A166" s="62" t="str">
        <f>BASE!B171</f>
        <v>23XXR156</v>
      </c>
      <c r="B166" s="121" t="s">
        <v>40</v>
      </c>
      <c r="C166" s="60">
        <f>'CAT-1'!T167+'CAT- 2'!T167+'CAT-3'!T167+'Tut-Ass-OA'!T167+'LAB Asseement'!R167</f>
        <v>0</v>
      </c>
      <c r="D166" s="60">
        <f>'CAT-1'!U167+'CAT- 2'!U167+'CAT-3'!U167+'Tut-Ass-OA'!U167+'LAB Asseement'!S167</f>
        <v>0</v>
      </c>
      <c r="E166" s="60">
        <f>'CAT-1'!V167+'CAT- 2'!V167+'CAT-3'!V167+'Tut-Ass-OA'!V167+'LAB Asseement'!T167</f>
        <v>0</v>
      </c>
      <c r="F166" s="60">
        <f>'CAT-1'!W167+'CAT- 2'!W167+'CAT-3'!W167+'Tut-Ass-OA'!W167+'LAB Asseement'!U167</f>
        <v>0</v>
      </c>
      <c r="G166" s="60">
        <f>'CAT-1'!X167+'CAT- 2'!X167+'CAT-3'!X167+'Tut-Ass-OA'!X167+'LAB Asseement'!V167</f>
        <v>0</v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spans="1:23" ht="21.75" customHeight="1">
      <c r="A167" s="62" t="str">
        <f>BASE!B172</f>
        <v>23XXR157</v>
      </c>
      <c r="B167" s="121" t="s">
        <v>40</v>
      </c>
      <c r="C167" s="60">
        <f>'CAT-1'!T168+'CAT- 2'!T168+'CAT-3'!T168+'Tut-Ass-OA'!T168+'LAB Asseement'!R168</f>
        <v>0</v>
      </c>
      <c r="D167" s="60">
        <f>'CAT-1'!U168+'CAT- 2'!U168+'CAT-3'!U168+'Tut-Ass-OA'!U168+'LAB Asseement'!S168</f>
        <v>0</v>
      </c>
      <c r="E167" s="60">
        <f>'CAT-1'!V168+'CAT- 2'!V168+'CAT-3'!V168+'Tut-Ass-OA'!V168+'LAB Asseement'!T168</f>
        <v>0</v>
      </c>
      <c r="F167" s="60">
        <f>'CAT-1'!W168+'CAT- 2'!W168+'CAT-3'!W168+'Tut-Ass-OA'!W168+'LAB Asseement'!U168</f>
        <v>0</v>
      </c>
      <c r="G167" s="60">
        <f>'CAT-1'!X168+'CAT- 2'!X168+'CAT-3'!X168+'Tut-Ass-OA'!X168+'LAB Asseement'!V168</f>
        <v>0</v>
      </c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spans="1:23" ht="21.75" customHeight="1">
      <c r="A168" s="62" t="str">
        <f>BASE!B173</f>
        <v>23XXR158</v>
      </c>
      <c r="B168" s="121" t="s">
        <v>40</v>
      </c>
      <c r="C168" s="60">
        <f>'CAT-1'!T169+'CAT- 2'!T169+'CAT-3'!T169+'Tut-Ass-OA'!T169+'LAB Asseement'!R169</f>
        <v>0</v>
      </c>
      <c r="D168" s="60">
        <f>'CAT-1'!U169+'CAT- 2'!U169+'CAT-3'!U169+'Tut-Ass-OA'!U169+'LAB Asseement'!S169</f>
        <v>0</v>
      </c>
      <c r="E168" s="60">
        <f>'CAT-1'!V169+'CAT- 2'!V169+'CAT-3'!V169+'Tut-Ass-OA'!V169+'LAB Asseement'!T169</f>
        <v>0</v>
      </c>
      <c r="F168" s="60">
        <f>'CAT-1'!W169+'CAT- 2'!W169+'CAT-3'!W169+'Tut-Ass-OA'!W169+'LAB Asseement'!U169</f>
        <v>0</v>
      </c>
      <c r="G168" s="60">
        <f>'CAT-1'!X169+'CAT- 2'!X169+'CAT-3'!X169+'Tut-Ass-OA'!X169+'LAB Asseement'!V169</f>
        <v>0</v>
      </c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spans="1:23" ht="21.75" customHeight="1">
      <c r="A169" s="62" t="str">
        <f>BASE!B174</f>
        <v>23XXR159</v>
      </c>
      <c r="B169" s="121" t="s">
        <v>40</v>
      </c>
      <c r="C169" s="60">
        <f>'CAT-1'!T170+'CAT- 2'!T170+'CAT-3'!T170+'Tut-Ass-OA'!T170+'LAB Asseement'!R170</f>
        <v>0</v>
      </c>
      <c r="D169" s="60">
        <f>'CAT-1'!U170+'CAT- 2'!U170+'CAT-3'!U170+'Tut-Ass-OA'!U170+'LAB Asseement'!S170</f>
        <v>0</v>
      </c>
      <c r="E169" s="60">
        <f>'CAT-1'!V170+'CAT- 2'!V170+'CAT-3'!V170+'Tut-Ass-OA'!V170+'LAB Asseement'!T170</f>
        <v>0</v>
      </c>
      <c r="F169" s="60">
        <f>'CAT-1'!W170+'CAT- 2'!W170+'CAT-3'!W170+'Tut-Ass-OA'!W170+'LAB Asseement'!U170</f>
        <v>0</v>
      </c>
      <c r="G169" s="60">
        <f>'CAT-1'!X170+'CAT- 2'!X170+'CAT-3'!X170+'Tut-Ass-OA'!X170+'LAB Asseement'!V170</f>
        <v>0</v>
      </c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 spans="1:23" ht="21.75" customHeight="1">
      <c r="A170" s="62" t="str">
        <f>BASE!B175</f>
        <v>23XXR160</v>
      </c>
      <c r="B170" s="121" t="s">
        <v>40</v>
      </c>
      <c r="C170" s="60">
        <f>'CAT-1'!T171+'CAT- 2'!T171+'CAT-3'!T171+'Tut-Ass-OA'!T171+'LAB Asseement'!R171</f>
        <v>0</v>
      </c>
      <c r="D170" s="60">
        <f>'CAT-1'!U171+'CAT- 2'!U171+'CAT-3'!U171+'Tut-Ass-OA'!U171+'LAB Asseement'!S171</f>
        <v>0</v>
      </c>
      <c r="E170" s="60">
        <f>'CAT-1'!V171+'CAT- 2'!V171+'CAT-3'!V171+'Tut-Ass-OA'!V171+'LAB Asseement'!T171</f>
        <v>0</v>
      </c>
      <c r="F170" s="60">
        <f>'CAT-1'!W171+'CAT- 2'!W171+'CAT-3'!W171+'Tut-Ass-OA'!W171+'LAB Asseement'!U171</f>
        <v>0</v>
      </c>
      <c r="G170" s="60">
        <f>'CAT-1'!X171+'CAT- 2'!X171+'CAT-3'!X171+'Tut-Ass-OA'!X171+'LAB Asseement'!V171</f>
        <v>0</v>
      </c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 spans="1:23" ht="21.75" customHeight="1">
      <c r="A171" s="62" t="str">
        <f>BASE!B176</f>
        <v>23XXR161</v>
      </c>
      <c r="B171" s="121" t="s">
        <v>40</v>
      </c>
      <c r="C171" s="60">
        <f>'CAT-1'!T172+'CAT- 2'!T172+'CAT-3'!T172+'Tut-Ass-OA'!T172+'LAB Asseement'!R172</f>
        <v>0</v>
      </c>
      <c r="D171" s="60">
        <f>'CAT-1'!U172+'CAT- 2'!U172+'CAT-3'!U172+'Tut-Ass-OA'!U172+'LAB Asseement'!S172</f>
        <v>0</v>
      </c>
      <c r="E171" s="60">
        <f>'CAT-1'!V172+'CAT- 2'!V172+'CAT-3'!V172+'Tut-Ass-OA'!V172+'LAB Asseement'!T172</f>
        <v>0</v>
      </c>
      <c r="F171" s="60">
        <f>'CAT-1'!W172+'CAT- 2'!W172+'CAT-3'!W172+'Tut-Ass-OA'!W172+'LAB Asseement'!U172</f>
        <v>0</v>
      </c>
      <c r="G171" s="60">
        <f>'CAT-1'!X172+'CAT- 2'!X172+'CAT-3'!X172+'Tut-Ass-OA'!X172+'LAB Asseement'!V172</f>
        <v>0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 spans="1:23" ht="21.75" customHeight="1">
      <c r="A172" s="62" t="str">
        <f>BASE!B177</f>
        <v>23XXR162</v>
      </c>
      <c r="B172" s="121" t="s">
        <v>40</v>
      </c>
      <c r="C172" s="60">
        <f>'CAT-1'!T173+'CAT- 2'!T173+'CAT-3'!T173+'Tut-Ass-OA'!T173+'LAB Asseement'!R173</f>
        <v>0</v>
      </c>
      <c r="D172" s="60">
        <f>'CAT-1'!U173+'CAT- 2'!U173+'CAT-3'!U173+'Tut-Ass-OA'!U173+'LAB Asseement'!S173</f>
        <v>0</v>
      </c>
      <c r="E172" s="60">
        <f>'CAT-1'!V173+'CAT- 2'!V173+'CAT-3'!V173+'Tut-Ass-OA'!V173+'LAB Asseement'!T173</f>
        <v>0</v>
      </c>
      <c r="F172" s="60">
        <f>'CAT-1'!W173+'CAT- 2'!W173+'CAT-3'!W173+'Tut-Ass-OA'!W173+'LAB Asseement'!U173</f>
        <v>0</v>
      </c>
      <c r="G172" s="60">
        <f>'CAT-1'!X173+'CAT- 2'!X173+'CAT-3'!X173+'Tut-Ass-OA'!X173+'LAB Asseement'!V173</f>
        <v>0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 spans="1:23" ht="21.75" customHeight="1">
      <c r="A173" s="62" t="str">
        <f>BASE!B178</f>
        <v>23XXR163</v>
      </c>
      <c r="B173" s="121" t="s">
        <v>40</v>
      </c>
      <c r="C173" s="60">
        <f>'CAT-1'!T174+'CAT- 2'!T174+'CAT-3'!T174+'Tut-Ass-OA'!T174+'LAB Asseement'!R174</f>
        <v>0</v>
      </c>
      <c r="D173" s="60">
        <f>'CAT-1'!U174+'CAT- 2'!U174+'CAT-3'!U174+'Tut-Ass-OA'!U174+'LAB Asseement'!S174</f>
        <v>0</v>
      </c>
      <c r="E173" s="60">
        <f>'CAT-1'!V174+'CAT- 2'!V174+'CAT-3'!V174+'Tut-Ass-OA'!V174+'LAB Asseement'!T174</f>
        <v>0</v>
      </c>
      <c r="F173" s="60">
        <f>'CAT-1'!W174+'CAT- 2'!W174+'CAT-3'!W174+'Tut-Ass-OA'!W174+'LAB Asseement'!U174</f>
        <v>0</v>
      </c>
      <c r="G173" s="60">
        <f>'CAT-1'!X174+'CAT- 2'!X174+'CAT-3'!X174+'Tut-Ass-OA'!X174+'LAB Asseement'!V174</f>
        <v>0</v>
      </c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 spans="1:23" ht="21.75" customHeight="1">
      <c r="A174" s="62" t="str">
        <f>BASE!B179</f>
        <v>23XXR164</v>
      </c>
      <c r="B174" s="121" t="s">
        <v>40</v>
      </c>
      <c r="C174" s="60">
        <f>'CAT-1'!T175+'CAT- 2'!T175+'CAT-3'!T175+'Tut-Ass-OA'!T175+'LAB Asseement'!R175</f>
        <v>0</v>
      </c>
      <c r="D174" s="60">
        <f>'CAT-1'!U175+'CAT- 2'!U175+'CAT-3'!U175+'Tut-Ass-OA'!U175+'LAB Asseement'!S175</f>
        <v>0</v>
      </c>
      <c r="E174" s="60">
        <f>'CAT-1'!V175+'CAT- 2'!V175+'CAT-3'!V175+'Tut-Ass-OA'!V175+'LAB Asseement'!T175</f>
        <v>0</v>
      </c>
      <c r="F174" s="60">
        <f>'CAT-1'!W175+'CAT- 2'!W175+'CAT-3'!W175+'Tut-Ass-OA'!W175+'LAB Asseement'!U175</f>
        <v>0</v>
      </c>
      <c r="G174" s="60">
        <f>'CAT-1'!X175+'CAT- 2'!X175+'CAT-3'!X175+'Tut-Ass-OA'!X175+'LAB Asseement'!V175</f>
        <v>0</v>
      </c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 spans="1:23" ht="21.75" customHeight="1">
      <c r="A175" s="62" t="str">
        <f>BASE!B180</f>
        <v>23XXR165</v>
      </c>
      <c r="B175" s="121" t="s">
        <v>40</v>
      </c>
      <c r="C175" s="60">
        <f>'CAT-1'!T176+'CAT- 2'!T176+'CAT-3'!T176+'Tut-Ass-OA'!T176+'LAB Asseement'!R176</f>
        <v>0</v>
      </c>
      <c r="D175" s="60">
        <f>'CAT-1'!U176+'CAT- 2'!U176+'CAT-3'!U176+'Tut-Ass-OA'!U176+'LAB Asseement'!S176</f>
        <v>0</v>
      </c>
      <c r="E175" s="60">
        <f>'CAT-1'!V176+'CAT- 2'!V176+'CAT-3'!V176+'Tut-Ass-OA'!V176+'LAB Asseement'!T176</f>
        <v>0</v>
      </c>
      <c r="F175" s="60">
        <f>'CAT-1'!W176+'CAT- 2'!W176+'CAT-3'!W176+'Tut-Ass-OA'!W176+'LAB Asseement'!U176</f>
        <v>0</v>
      </c>
      <c r="G175" s="60">
        <f>'CAT-1'!X176+'CAT- 2'!X176+'CAT-3'!X176+'Tut-Ass-OA'!X176+'LAB Asseement'!V176</f>
        <v>0</v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spans="1:23" ht="21.75" customHeight="1">
      <c r="A176" s="62" t="str">
        <f>BASE!B181</f>
        <v>23XXR166</v>
      </c>
      <c r="B176" s="121" t="s">
        <v>40</v>
      </c>
      <c r="C176" s="60">
        <f>'CAT-1'!T177+'CAT- 2'!T177+'CAT-3'!T177+'Tut-Ass-OA'!T177+'LAB Asseement'!R177</f>
        <v>0</v>
      </c>
      <c r="D176" s="60">
        <f>'CAT-1'!U177+'CAT- 2'!U177+'CAT-3'!U177+'Tut-Ass-OA'!U177+'LAB Asseement'!S177</f>
        <v>0</v>
      </c>
      <c r="E176" s="60">
        <f>'CAT-1'!V177+'CAT- 2'!V177+'CAT-3'!V177+'Tut-Ass-OA'!V177+'LAB Asseement'!T177</f>
        <v>0</v>
      </c>
      <c r="F176" s="60">
        <f>'CAT-1'!W177+'CAT- 2'!W177+'CAT-3'!W177+'Tut-Ass-OA'!W177+'LAB Asseement'!U177</f>
        <v>0</v>
      </c>
      <c r="G176" s="60">
        <f>'CAT-1'!X177+'CAT- 2'!X177+'CAT-3'!X177+'Tut-Ass-OA'!X177+'LAB Asseement'!V177</f>
        <v>0</v>
      </c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 spans="1:23" ht="21.75" customHeight="1">
      <c r="A177" s="62" t="str">
        <f>BASE!B182</f>
        <v>23XXR167</v>
      </c>
      <c r="B177" s="121" t="s">
        <v>40</v>
      </c>
      <c r="C177" s="60">
        <f>'CAT-1'!T178+'CAT- 2'!T178+'CAT-3'!T178+'Tut-Ass-OA'!T178+'LAB Asseement'!R178</f>
        <v>0</v>
      </c>
      <c r="D177" s="60">
        <f>'CAT-1'!U178+'CAT- 2'!U178+'CAT-3'!U178+'Tut-Ass-OA'!U178+'LAB Asseement'!S178</f>
        <v>0</v>
      </c>
      <c r="E177" s="60">
        <f>'CAT-1'!V178+'CAT- 2'!V178+'CAT-3'!V178+'Tut-Ass-OA'!V178+'LAB Asseement'!T178</f>
        <v>0</v>
      </c>
      <c r="F177" s="60">
        <f>'CAT-1'!W178+'CAT- 2'!W178+'CAT-3'!W178+'Tut-Ass-OA'!W178+'LAB Asseement'!U178</f>
        <v>0</v>
      </c>
      <c r="G177" s="60">
        <f>'CAT-1'!X178+'CAT- 2'!X178+'CAT-3'!X178+'Tut-Ass-OA'!X178+'LAB Asseement'!V178</f>
        <v>0</v>
      </c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spans="1:23" ht="21.75" customHeight="1">
      <c r="A178" s="62" t="str">
        <f>BASE!B183</f>
        <v>23XXR168</v>
      </c>
      <c r="B178" s="121" t="s">
        <v>40</v>
      </c>
      <c r="C178" s="60">
        <f>'CAT-1'!T179+'CAT- 2'!T179+'CAT-3'!T179+'Tut-Ass-OA'!T179+'LAB Asseement'!R179</f>
        <v>0</v>
      </c>
      <c r="D178" s="60">
        <f>'CAT-1'!U179+'CAT- 2'!U179+'CAT-3'!U179+'Tut-Ass-OA'!U179+'LAB Asseement'!S179</f>
        <v>0</v>
      </c>
      <c r="E178" s="60">
        <f>'CAT-1'!V179+'CAT- 2'!V179+'CAT-3'!V179+'Tut-Ass-OA'!V179+'LAB Asseement'!T179</f>
        <v>0</v>
      </c>
      <c r="F178" s="60">
        <f>'CAT-1'!W179+'CAT- 2'!W179+'CAT-3'!W179+'Tut-Ass-OA'!W179+'LAB Asseement'!U179</f>
        <v>0</v>
      </c>
      <c r="G178" s="60">
        <f>'CAT-1'!X179+'CAT- 2'!X179+'CAT-3'!X179+'Tut-Ass-OA'!X179+'LAB Asseement'!V179</f>
        <v>0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spans="1:23" ht="21.75" customHeight="1">
      <c r="A179" s="62" t="str">
        <f>BASE!B184</f>
        <v>23XXR169</v>
      </c>
      <c r="B179" s="121" t="s">
        <v>40</v>
      </c>
      <c r="C179" s="60">
        <f>'CAT-1'!T180+'CAT- 2'!T180+'CAT-3'!T180+'Tut-Ass-OA'!T180+'LAB Asseement'!R180</f>
        <v>0</v>
      </c>
      <c r="D179" s="60">
        <f>'CAT-1'!U180+'CAT- 2'!U180+'CAT-3'!U180+'Tut-Ass-OA'!U180+'LAB Asseement'!S180</f>
        <v>0</v>
      </c>
      <c r="E179" s="60">
        <f>'CAT-1'!V180+'CAT- 2'!V180+'CAT-3'!V180+'Tut-Ass-OA'!V180+'LAB Asseement'!T180</f>
        <v>0</v>
      </c>
      <c r="F179" s="60">
        <f>'CAT-1'!W180+'CAT- 2'!W180+'CAT-3'!W180+'Tut-Ass-OA'!W180+'LAB Asseement'!U180</f>
        <v>0</v>
      </c>
      <c r="G179" s="60">
        <f>'CAT-1'!X180+'CAT- 2'!X180+'CAT-3'!X180+'Tut-Ass-OA'!X180+'LAB Asseement'!V180</f>
        <v>0</v>
      </c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spans="1:23" ht="21.75" customHeight="1">
      <c r="A180" s="62" t="str">
        <f>BASE!B185</f>
        <v>23XXR170</v>
      </c>
      <c r="B180" s="121" t="s">
        <v>40</v>
      </c>
      <c r="C180" s="60">
        <f>'CAT-1'!T181+'CAT- 2'!T181+'CAT-3'!T181+'Tut-Ass-OA'!T181+'LAB Asseement'!R181</f>
        <v>0</v>
      </c>
      <c r="D180" s="60">
        <f>'CAT-1'!U181+'CAT- 2'!U181+'CAT-3'!U181+'Tut-Ass-OA'!U181+'LAB Asseement'!S181</f>
        <v>0</v>
      </c>
      <c r="E180" s="60">
        <f>'CAT-1'!V181+'CAT- 2'!V181+'CAT-3'!V181+'Tut-Ass-OA'!V181+'LAB Asseement'!T181</f>
        <v>0</v>
      </c>
      <c r="F180" s="60">
        <f>'CAT-1'!W181+'CAT- 2'!W181+'CAT-3'!W181+'Tut-Ass-OA'!W181+'LAB Asseement'!U181</f>
        <v>0</v>
      </c>
      <c r="G180" s="60">
        <f>'CAT-1'!X181+'CAT- 2'!X181+'CAT-3'!X181+'Tut-Ass-OA'!X181+'LAB Asseement'!V181</f>
        <v>0</v>
      </c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spans="1:23" ht="21.75" customHeight="1">
      <c r="A181" s="62" t="str">
        <f>BASE!B186</f>
        <v>23XXR171</v>
      </c>
      <c r="B181" s="121" t="s">
        <v>40</v>
      </c>
      <c r="C181" s="60">
        <f>'CAT-1'!T182+'CAT- 2'!T182+'CAT-3'!T182+'Tut-Ass-OA'!T182+'LAB Asseement'!R182</f>
        <v>0</v>
      </c>
      <c r="D181" s="60">
        <f>'CAT-1'!U182+'CAT- 2'!U182+'CAT-3'!U182+'Tut-Ass-OA'!U182+'LAB Asseement'!S182</f>
        <v>0</v>
      </c>
      <c r="E181" s="60">
        <f>'CAT-1'!V182+'CAT- 2'!V182+'CAT-3'!V182+'Tut-Ass-OA'!V182+'LAB Asseement'!T182</f>
        <v>0</v>
      </c>
      <c r="F181" s="60">
        <f>'CAT-1'!W182+'CAT- 2'!W182+'CAT-3'!W182+'Tut-Ass-OA'!W182+'LAB Asseement'!U182</f>
        <v>0</v>
      </c>
      <c r="G181" s="60">
        <f>'CAT-1'!X182+'CAT- 2'!X182+'CAT-3'!X182+'Tut-Ass-OA'!X182+'LAB Asseement'!V182</f>
        <v>0</v>
      </c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spans="1:23" ht="21.75" customHeight="1">
      <c r="A182" s="62" t="str">
        <f>BASE!B187</f>
        <v>23XXR172</v>
      </c>
      <c r="B182" s="121" t="s">
        <v>40</v>
      </c>
      <c r="C182" s="60">
        <f>'CAT-1'!T183+'CAT- 2'!T183+'CAT-3'!T183+'Tut-Ass-OA'!T183+'LAB Asseement'!R183</f>
        <v>0</v>
      </c>
      <c r="D182" s="60">
        <f>'CAT-1'!U183+'CAT- 2'!U183+'CAT-3'!U183+'Tut-Ass-OA'!U183+'LAB Asseement'!S183</f>
        <v>0</v>
      </c>
      <c r="E182" s="60">
        <f>'CAT-1'!V183+'CAT- 2'!V183+'CAT-3'!V183+'Tut-Ass-OA'!V183+'LAB Asseement'!T183</f>
        <v>0</v>
      </c>
      <c r="F182" s="60">
        <f>'CAT-1'!W183+'CAT- 2'!W183+'CAT-3'!W183+'Tut-Ass-OA'!W183+'LAB Asseement'!U183</f>
        <v>0</v>
      </c>
      <c r="G182" s="60">
        <f>'CAT-1'!X183+'CAT- 2'!X183+'CAT-3'!X183+'Tut-Ass-OA'!X183+'LAB Asseement'!V183</f>
        <v>0</v>
      </c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spans="1:23" ht="21.75" customHeight="1">
      <c r="A183" s="62" t="str">
        <f>BASE!B188</f>
        <v>23XXR173</v>
      </c>
      <c r="B183" s="121" t="s">
        <v>40</v>
      </c>
      <c r="C183" s="60">
        <f>'CAT-1'!T184+'CAT- 2'!T184+'CAT-3'!T184+'Tut-Ass-OA'!T184+'LAB Asseement'!R184</f>
        <v>0</v>
      </c>
      <c r="D183" s="60">
        <f>'CAT-1'!U184+'CAT- 2'!U184+'CAT-3'!U184+'Tut-Ass-OA'!U184+'LAB Asseement'!S184</f>
        <v>0</v>
      </c>
      <c r="E183" s="60">
        <f>'CAT-1'!V184+'CAT- 2'!V184+'CAT-3'!V184+'Tut-Ass-OA'!V184+'LAB Asseement'!T184</f>
        <v>0</v>
      </c>
      <c r="F183" s="60">
        <f>'CAT-1'!W184+'CAT- 2'!W184+'CAT-3'!W184+'Tut-Ass-OA'!W184+'LAB Asseement'!U184</f>
        <v>0</v>
      </c>
      <c r="G183" s="60">
        <f>'CAT-1'!X184+'CAT- 2'!X184+'CAT-3'!X184+'Tut-Ass-OA'!X184+'LAB Asseement'!V184</f>
        <v>0</v>
      </c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spans="1:23" ht="21.75" customHeight="1">
      <c r="A184" s="62" t="str">
        <f>BASE!B189</f>
        <v>23XXR174</v>
      </c>
      <c r="B184" s="121" t="s">
        <v>40</v>
      </c>
      <c r="C184" s="60">
        <f>'CAT-1'!T185+'CAT- 2'!T185+'CAT-3'!T185+'Tut-Ass-OA'!T185+'LAB Asseement'!R185</f>
        <v>0</v>
      </c>
      <c r="D184" s="60">
        <f>'CAT-1'!U185+'CAT- 2'!U185+'CAT-3'!U185+'Tut-Ass-OA'!U185+'LAB Asseement'!S185</f>
        <v>0</v>
      </c>
      <c r="E184" s="60">
        <f>'CAT-1'!V185+'CAT- 2'!V185+'CAT-3'!V185+'Tut-Ass-OA'!V185+'LAB Asseement'!T185</f>
        <v>0</v>
      </c>
      <c r="F184" s="60">
        <f>'CAT-1'!W185+'CAT- 2'!W185+'CAT-3'!W185+'Tut-Ass-OA'!W185+'LAB Asseement'!U185</f>
        <v>0</v>
      </c>
      <c r="G184" s="60">
        <f>'CAT-1'!X185+'CAT- 2'!X185+'CAT-3'!X185+'Tut-Ass-OA'!X185+'LAB Asseement'!V185</f>
        <v>0</v>
      </c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 spans="1:23" ht="21.75" customHeight="1">
      <c r="A185" s="62" t="str">
        <f>BASE!B190</f>
        <v>23XXR175</v>
      </c>
      <c r="B185" s="121" t="s">
        <v>40</v>
      </c>
      <c r="C185" s="60">
        <f>'CAT-1'!T186+'CAT- 2'!T186+'CAT-3'!T186+'Tut-Ass-OA'!T186+'LAB Asseement'!R186</f>
        <v>0</v>
      </c>
      <c r="D185" s="60">
        <f>'CAT-1'!U186+'CAT- 2'!U186+'CAT-3'!U186+'Tut-Ass-OA'!U186+'LAB Asseement'!S186</f>
        <v>0</v>
      </c>
      <c r="E185" s="60">
        <f>'CAT-1'!V186+'CAT- 2'!V186+'CAT-3'!V186+'Tut-Ass-OA'!V186+'LAB Asseement'!T186</f>
        <v>0</v>
      </c>
      <c r="F185" s="60">
        <f>'CAT-1'!W186+'CAT- 2'!W186+'CAT-3'!W186+'Tut-Ass-OA'!W186+'LAB Asseement'!U186</f>
        <v>0</v>
      </c>
      <c r="G185" s="60">
        <f>'CAT-1'!X186+'CAT- 2'!X186+'CAT-3'!X186+'Tut-Ass-OA'!X186+'LAB Asseement'!V186</f>
        <v>0</v>
      </c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spans="1:23" ht="21.75" customHeight="1">
      <c r="A186" s="62" t="str">
        <f>BASE!B191</f>
        <v>23XXR176</v>
      </c>
      <c r="B186" s="121" t="s">
        <v>40</v>
      </c>
      <c r="C186" s="60">
        <f>'CAT-1'!T187+'CAT- 2'!T187+'CAT-3'!T187+'Tut-Ass-OA'!T187+'LAB Asseement'!R187</f>
        <v>0</v>
      </c>
      <c r="D186" s="60">
        <f>'CAT-1'!U187+'CAT- 2'!U187+'CAT-3'!U187+'Tut-Ass-OA'!U187+'LAB Asseement'!S187</f>
        <v>0</v>
      </c>
      <c r="E186" s="60">
        <f>'CAT-1'!V187+'CAT- 2'!V187+'CAT-3'!V187+'Tut-Ass-OA'!V187+'LAB Asseement'!T187</f>
        <v>0</v>
      </c>
      <c r="F186" s="60">
        <f>'CAT-1'!W187+'CAT- 2'!W187+'CAT-3'!W187+'Tut-Ass-OA'!W187+'LAB Asseement'!U187</f>
        <v>0</v>
      </c>
      <c r="G186" s="60">
        <f>'CAT-1'!X187+'CAT- 2'!X187+'CAT-3'!X187+'Tut-Ass-OA'!X187+'LAB Asseement'!V187</f>
        <v>0</v>
      </c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spans="1:23" ht="21.75" customHeight="1">
      <c r="A187" s="62" t="str">
        <f>BASE!B192</f>
        <v>23XXR177</v>
      </c>
      <c r="B187" s="121" t="s">
        <v>40</v>
      </c>
      <c r="C187" s="60">
        <f>'CAT-1'!T188+'CAT- 2'!T188+'CAT-3'!T188+'Tut-Ass-OA'!T188+'LAB Asseement'!R188</f>
        <v>0</v>
      </c>
      <c r="D187" s="60">
        <f>'CAT-1'!U188+'CAT- 2'!U188+'CAT-3'!U188+'Tut-Ass-OA'!U188+'LAB Asseement'!S188</f>
        <v>0</v>
      </c>
      <c r="E187" s="60">
        <f>'CAT-1'!V188+'CAT- 2'!V188+'CAT-3'!V188+'Tut-Ass-OA'!V188+'LAB Asseement'!T188</f>
        <v>0</v>
      </c>
      <c r="F187" s="60">
        <f>'CAT-1'!W188+'CAT- 2'!W188+'CAT-3'!W188+'Tut-Ass-OA'!W188+'LAB Asseement'!U188</f>
        <v>0</v>
      </c>
      <c r="G187" s="60">
        <f>'CAT-1'!X188+'CAT- 2'!X188+'CAT-3'!X188+'Tut-Ass-OA'!X188+'LAB Asseement'!V188</f>
        <v>0</v>
      </c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 spans="1:23" ht="21.75" customHeight="1">
      <c r="A188" s="62" t="str">
        <f>BASE!B193</f>
        <v>23XXR178</v>
      </c>
      <c r="B188" s="121" t="s">
        <v>40</v>
      </c>
      <c r="C188" s="60">
        <f>'CAT-1'!T189+'CAT- 2'!T189+'CAT-3'!T189+'Tut-Ass-OA'!T189+'LAB Asseement'!R189</f>
        <v>0</v>
      </c>
      <c r="D188" s="60">
        <f>'CAT-1'!U189+'CAT- 2'!U189+'CAT-3'!U189+'Tut-Ass-OA'!U189+'LAB Asseement'!S189</f>
        <v>0</v>
      </c>
      <c r="E188" s="60">
        <f>'CAT-1'!V189+'CAT- 2'!V189+'CAT-3'!V189+'Tut-Ass-OA'!V189+'LAB Asseement'!T189</f>
        <v>0</v>
      </c>
      <c r="F188" s="60">
        <f>'CAT-1'!W189+'CAT- 2'!W189+'CAT-3'!W189+'Tut-Ass-OA'!W189+'LAB Asseement'!U189</f>
        <v>0</v>
      </c>
      <c r="G188" s="60">
        <f>'CAT-1'!X189+'CAT- 2'!X189+'CAT-3'!X189+'Tut-Ass-OA'!X189+'LAB Asseement'!V189</f>
        <v>0</v>
      </c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 spans="1:23" ht="21.75" customHeight="1">
      <c r="A189" s="62" t="str">
        <f>BASE!B194</f>
        <v>23XXR179</v>
      </c>
      <c r="B189" s="121" t="s">
        <v>40</v>
      </c>
      <c r="C189" s="60">
        <f>'CAT-1'!T190+'CAT- 2'!T190+'CAT-3'!T190+'Tut-Ass-OA'!T190+'LAB Asseement'!R190</f>
        <v>0</v>
      </c>
      <c r="D189" s="60">
        <f>'CAT-1'!U190+'CAT- 2'!U190+'CAT-3'!U190+'Tut-Ass-OA'!U190+'LAB Asseement'!S190</f>
        <v>0</v>
      </c>
      <c r="E189" s="60">
        <f>'CAT-1'!V190+'CAT- 2'!V190+'CAT-3'!V190+'Tut-Ass-OA'!V190+'LAB Asseement'!T190</f>
        <v>0</v>
      </c>
      <c r="F189" s="60">
        <f>'CAT-1'!W190+'CAT- 2'!W190+'CAT-3'!W190+'Tut-Ass-OA'!W190+'LAB Asseement'!U190</f>
        <v>0</v>
      </c>
      <c r="G189" s="60">
        <f>'CAT-1'!X190+'CAT- 2'!X190+'CAT-3'!X190+'Tut-Ass-OA'!X190+'LAB Asseement'!V190</f>
        <v>0</v>
      </c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 spans="1:23" ht="21.75" customHeight="1">
      <c r="A190" s="62" t="str">
        <f>BASE!B195</f>
        <v>23XXR180</v>
      </c>
      <c r="B190" s="121" t="s">
        <v>40</v>
      </c>
      <c r="C190" s="60">
        <f>'CAT-1'!T191+'CAT- 2'!T191+'CAT-3'!T191+'Tut-Ass-OA'!T191+'LAB Asseement'!R191</f>
        <v>0</v>
      </c>
      <c r="D190" s="60">
        <f>'CAT-1'!U191+'CAT- 2'!U191+'CAT-3'!U191+'Tut-Ass-OA'!U191+'LAB Asseement'!S191</f>
        <v>0</v>
      </c>
      <c r="E190" s="60">
        <f>'CAT-1'!V191+'CAT- 2'!V191+'CAT-3'!V191+'Tut-Ass-OA'!V191+'LAB Asseement'!T191</f>
        <v>0</v>
      </c>
      <c r="F190" s="60">
        <f>'CAT-1'!W191+'CAT- 2'!W191+'CAT-3'!W191+'Tut-Ass-OA'!W191+'LAB Asseement'!U191</f>
        <v>0</v>
      </c>
      <c r="G190" s="60">
        <f>'CAT-1'!X191+'CAT- 2'!X191+'CAT-3'!X191+'Tut-Ass-OA'!X191+'LAB Asseement'!V191</f>
        <v>0</v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 spans="1:23" ht="21.75" customHeight="1">
      <c r="A191" s="62" t="str">
        <f>BASE!B196</f>
        <v>23XXR181</v>
      </c>
      <c r="B191" s="121" t="s">
        <v>40</v>
      </c>
      <c r="C191" s="60">
        <f>'CAT-1'!T192+'CAT- 2'!T192+'CAT-3'!T192+'Tut-Ass-OA'!T192+'LAB Asseement'!R192</f>
        <v>0</v>
      </c>
      <c r="D191" s="60">
        <f>'CAT-1'!U192+'CAT- 2'!U192+'CAT-3'!U192+'Tut-Ass-OA'!U192+'LAB Asseement'!S192</f>
        <v>0</v>
      </c>
      <c r="E191" s="60">
        <f>'CAT-1'!V192+'CAT- 2'!V192+'CAT-3'!V192+'Tut-Ass-OA'!V192+'LAB Asseement'!T192</f>
        <v>0</v>
      </c>
      <c r="F191" s="60">
        <f>'CAT-1'!W192+'CAT- 2'!W192+'CAT-3'!W192+'Tut-Ass-OA'!W192+'LAB Asseement'!U192</f>
        <v>0</v>
      </c>
      <c r="G191" s="60">
        <f>'CAT-1'!X192+'CAT- 2'!X192+'CAT-3'!X192+'Tut-Ass-OA'!X192+'LAB Asseement'!V192</f>
        <v>0</v>
      </c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spans="1:23" ht="21.75" customHeight="1">
      <c r="A192" s="62" t="str">
        <f>BASE!B197</f>
        <v>23XXR182</v>
      </c>
      <c r="B192" s="121" t="s">
        <v>40</v>
      </c>
      <c r="C192" s="60">
        <f>'CAT-1'!T193+'CAT- 2'!T193+'CAT-3'!T193+'Tut-Ass-OA'!T193+'LAB Asseement'!R193</f>
        <v>0</v>
      </c>
      <c r="D192" s="60">
        <f>'CAT-1'!U193+'CAT- 2'!U193+'CAT-3'!U193+'Tut-Ass-OA'!U193+'LAB Asseement'!S193</f>
        <v>0</v>
      </c>
      <c r="E192" s="60">
        <f>'CAT-1'!V193+'CAT- 2'!V193+'CAT-3'!V193+'Tut-Ass-OA'!V193+'LAB Asseement'!T193</f>
        <v>0</v>
      </c>
      <c r="F192" s="60">
        <f>'CAT-1'!W193+'CAT- 2'!W193+'CAT-3'!W193+'Tut-Ass-OA'!W193+'LAB Asseement'!U193</f>
        <v>0</v>
      </c>
      <c r="G192" s="60">
        <f>'CAT-1'!X193+'CAT- 2'!X193+'CAT-3'!X193+'Tut-Ass-OA'!X193+'LAB Asseement'!V193</f>
        <v>0</v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spans="1:23" ht="21.75" customHeight="1">
      <c r="A193" s="62" t="str">
        <f>BASE!B198</f>
        <v>23XXR183</v>
      </c>
      <c r="B193" s="121" t="s">
        <v>40</v>
      </c>
      <c r="C193" s="60">
        <f>'CAT-1'!T194+'CAT- 2'!T194+'CAT-3'!T194+'Tut-Ass-OA'!T194+'LAB Asseement'!R194</f>
        <v>0</v>
      </c>
      <c r="D193" s="60">
        <f>'CAT-1'!U194+'CAT- 2'!U194+'CAT-3'!U194+'Tut-Ass-OA'!U194+'LAB Asseement'!S194</f>
        <v>0</v>
      </c>
      <c r="E193" s="60">
        <f>'CAT-1'!V194+'CAT- 2'!V194+'CAT-3'!V194+'Tut-Ass-OA'!V194+'LAB Asseement'!T194</f>
        <v>0</v>
      </c>
      <c r="F193" s="60">
        <f>'CAT-1'!W194+'CAT- 2'!W194+'CAT-3'!W194+'Tut-Ass-OA'!W194+'LAB Asseement'!U194</f>
        <v>0</v>
      </c>
      <c r="G193" s="60">
        <f>'CAT-1'!X194+'CAT- 2'!X194+'CAT-3'!X194+'Tut-Ass-OA'!X194+'LAB Asseement'!V194</f>
        <v>0</v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spans="1:23" ht="21.75" customHeight="1">
      <c r="A194" s="62" t="str">
        <f>BASE!B199</f>
        <v>23XXR184</v>
      </c>
      <c r="B194" s="121" t="s">
        <v>40</v>
      </c>
      <c r="C194" s="60">
        <f>'CAT-1'!T195+'CAT- 2'!T195+'CAT-3'!T195+'Tut-Ass-OA'!T195+'LAB Asseement'!R195</f>
        <v>0</v>
      </c>
      <c r="D194" s="60">
        <f>'CAT-1'!U195+'CAT- 2'!U195+'CAT-3'!U195+'Tut-Ass-OA'!U195+'LAB Asseement'!S195</f>
        <v>0</v>
      </c>
      <c r="E194" s="60">
        <f>'CAT-1'!V195+'CAT- 2'!V195+'CAT-3'!V195+'Tut-Ass-OA'!V195+'LAB Asseement'!T195</f>
        <v>0</v>
      </c>
      <c r="F194" s="60">
        <f>'CAT-1'!W195+'CAT- 2'!W195+'CAT-3'!W195+'Tut-Ass-OA'!W195+'LAB Asseement'!U195</f>
        <v>0</v>
      </c>
      <c r="G194" s="60">
        <f>'CAT-1'!X195+'CAT- 2'!X195+'CAT-3'!X195+'Tut-Ass-OA'!X195+'LAB Asseement'!V195</f>
        <v>0</v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spans="1:23" ht="21.75" customHeight="1">
      <c r="A195" s="62" t="str">
        <f>BASE!B200</f>
        <v>23XXR185</v>
      </c>
      <c r="B195" s="121" t="s">
        <v>40</v>
      </c>
      <c r="C195" s="60">
        <f>'CAT-1'!T196+'CAT- 2'!T196+'CAT-3'!T196+'Tut-Ass-OA'!T196+'LAB Asseement'!R196</f>
        <v>0</v>
      </c>
      <c r="D195" s="60">
        <f>'CAT-1'!U196+'CAT- 2'!U196+'CAT-3'!U196+'Tut-Ass-OA'!U196+'LAB Asseement'!S196</f>
        <v>0</v>
      </c>
      <c r="E195" s="60">
        <f>'CAT-1'!V196+'CAT- 2'!V196+'CAT-3'!V196+'Tut-Ass-OA'!V196+'LAB Asseement'!T196</f>
        <v>0</v>
      </c>
      <c r="F195" s="60">
        <f>'CAT-1'!W196+'CAT- 2'!W196+'CAT-3'!W196+'Tut-Ass-OA'!W196+'LAB Asseement'!U196</f>
        <v>0</v>
      </c>
      <c r="G195" s="60">
        <f>'CAT-1'!X196+'CAT- 2'!X196+'CAT-3'!X196+'Tut-Ass-OA'!X196+'LAB Asseement'!V196</f>
        <v>0</v>
      </c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spans="1:23" ht="21.75" customHeight="1">
      <c r="A196" s="62" t="str">
        <f>BASE!B201</f>
        <v>23XXR186</v>
      </c>
      <c r="B196" s="121" t="s">
        <v>40</v>
      </c>
      <c r="C196" s="60">
        <f>'CAT-1'!T197+'CAT- 2'!T197+'CAT-3'!T197+'Tut-Ass-OA'!T197+'LAB Asseement'!R197</f>
        <v>0</v>
      </c>
      <c r="D196" s="60">
        <f>'CAT-1'!U197+'CAT- 2'!U197+'CAT-3'!U197+'Tut-Ass-OA'!U197+'LAB Asseement'!S197</f>
        <v>0</v>
      </c>
      <c r="E196" s="60">
        <f>'CAT-1'!V197+'CAT- 2'!V197+'CAT-3'!V197+'Tut-Ass-OA'!V197+'LAB Asseement'!T197</f>
        <v>0</v>
      </c>
      <c r="F196" s="60">
        <f>'CAT-1'!W197+'CAT- 2'!W197+'CAT-3'!W197+'Tut-Ass-OA'!W197+'LAB Asseement'!U197</f>
        <v>0</v>
      </c>
      <c r="G196" s="60">
        <f>'CAT-1'!X197+'CAT- 2'!X197+'CAT-3'!X197+'Tut-Ass-OA'!X197+'LAB Asseement'!V197</f>
        <v>0</v>
      </c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spans="1:23" ht="21.75" customHeight="1">
      <c r="A197" s="62" t="str">
        <f>BASE!B202</f>
        <v>23XXR187</v>
      </c>
      <c r="B197" s="121" t="s">
        <v>40</v>
      </c>
      <c r="C197" s="60">
        <f>'CAT-1'!T198+'CAT- 2'!T198+'CAT-3'!T198+'Tut-Ass-OA'!T198+'LAB Asseement'!R198</f>
        <v>0</v>
      </c>
      <c r="D197" s="60">
        <f>'CAT-1'!U198+'CAT- 2'!U198+'CAT-3'!U198+'Tut-Ass-OA'!U198+'LAB Asseement'!S198</f>
        <v>0</v>
      </c>
      <c r="E197" s="60">
        <f>'CAT-1'!V198+'CAT- 2'!V198+'CAT-3'!V198+'Tut-Ass-OA'!V198+'LAB Asseement'!T198</f>
        <v>0</v>
      </c>
      <c r="F197" s="60">
        <f>'CAT-1'!W198+'CAT- 2'!W198+'CAT-3'!W198+'Tut-Ass-OA'!W198+'LAB Asseement'!U198</f>
        <v>0</v>
      </c>
      <c r="G197" s="60">
        <f>'CAT-1'!X198+'CAT- 2'!X198+'CAT-3'!X198+'Tut-Ass-OA'!X198+'LAB Asseement'!V198</f>
        <v>0</v>
      </c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spans="1:23" ht="21.75" customHeight="1">
      <c r="A198" s="62" t="str">
        <f>BASE!B203</f>
        <v>23XXR188</v>
      </c>
      <c r="B198" s="121" t="s">
        <v>40</v>
      </c>
      <c r="C198" s="60">
        <f>'CAT-1'!T199+'CAT- 2'!T199+'CAT-3'!T199+'Tut-Ass-OA'!T199+'LAB Asseement'!R199</f>
        <v>0</v>
      </c>
      <c r="D198" s="60">
        <f>'CAT-1'!U199+'CAT- 2'!U199+'CAT-3'!U199+'Tut-Ass-OA'!U199+'LAB Asseement'!S199</f>
        <v>0</v>
      </c>
      <c r="E198" s="60">
        <f>'CAT-1'!V199+'CAT- 2'!V199+'CAT-3'!V199+'Tut-Ass-OA'!V199+'LAB Asseement'!T199</f>
        <v>0</v>
      </c>
      <c r="F198" s="60">
        <f>'CAT-1'!W199+'CAT- 2'!W199+'CAT-3'!W199+'Tut-Ass-OA'!W199+'LAB Asseement'!U199</f>
        <v>0</v>
      </c>
      <c r="G198" s="60">
        <f>'CAT-1'!X199+'CAT- 2'!X199+'CAT-3'!X199+'Tut-Ass-OA'!X199+'LAB Asseement'!V199</f>
        <v>0</v>
      </c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spans="1:23" ht="21.75" customHeight="1">
      <c r="A199" s="62" t="str">
        <f>BASE!B204</f>
        <v>23XXR189</v>
      </c>
      <c r="B199" s="121" t="s">
        <v>40</v>
      </c>
      <c r="C199" s="60">
        <f>'CAT-1'!T200+'CAT- 2'!T200+'CAT-3'!T200+'Tut-Ass-OA'!T200+'LAB Asseement'!R200</f>
        <v>0</v>
      </c>
      <c r="D199" s="60">
        <f>'CAT-1'!U200+'CAT- 2'!U200+'CAT-3'!U200+'Tut-Ass-OA'!U200+'LAB Asseement'!S200</f>
        <v>0</v>
      </c>
      <c r="E199" s="60">
        <f>'CAT-1'!V200+'CAT- 2'!V200+'CAT-3'!V200+'Tut-Ass-OA'!V200+'LAB Asseement'!T200</f>
        <v>0</v>
      </c>
      <c r="F199" s="60">
        <f>'CAT-1'!W200+'CAT- 2'!W200+'CAT-3'!W200+'Tut-Ass-OA'!W200+'LAB Asseement'!U200</f>
        <v>0</v>
      </c>
      <c r="G199" s="60">
        <f>'CAT-1'!X200+'CAT- 2'!X200+'CAT-3'!X200+'Tut-Ass-OA'!X200+'LAB Asseement'!V200</f>
        <v>0</v>
      </c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spans="1:23" ht="21.75" customHeight="1">
      <c r="A200" s="62" t="str">
        <f>BASE!B205</f>
        <v>23XXR190</v>
      </c>
      <c r="B200" s="121" t="s">
        <v>40</v>
      </c>
      <c r="C200" s="60">
        <f>'CAT-1'!T201+'CAT- 2'!T201+'CAT-3'!T201+'Tut-Ass-OA'!T201+'LAB Asseement'!R201</f>
        <v>0</v>
      </c>
      <c r="D200" s="60">
        <f>'CAT-1'!U201+'CAT- 2'!U201+'CAT-3'!U201+'Tut-Ass-OA'!U201+'LAB Asseement'!S201</f>
        <v>0</v>
      </c>
      <c r="E200" s="60">
        <f>'CAT-1'!V201+'CAT- 2'!V201+'CAT-3'!V201+'Tut-Ass-OA'!V201+'LAB Asseement'!T201</f>
        <v>0</v>
      </c>
      <c r="F200" s="60">
        <f>'CAT-1'!W201+'CAT- 2'!W201+'CAT-3'!W201+'Tut-Ass-OA'!W201+'LAB Asseement'!U201</f>
        <v>0</v>
      </c>
      <c r="G200" s="60">
        <f>'CAT-1'!X201+'CAT- 2'!X201+'CAT-3'!X201+'Tut-Ass-OA'!X201+'LAB Asseement'!V201</f>
        <v>0</v>
      </c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spans="1:23" ht="21.75" customHeight="1">
      <c r="A201" s="62" t="str">
        <f>BASE!B206</f>
        <v>23XXR191</v>
      </c>
      <c r="B201" s="121" t="s">
        <v>40</v>
      </c>
      <c r="C201" s="60">
        <f>'CAT-1'!T202+'CAT- 2'!T202+'CAT-3'!T202+'Tut-Ass-OA'!T202+'LAB Asseement'!R202</f>
        <v>0</v>
      </c>
      <c r="D201" s="60">
        <f>'CAT-1'!U202+'CAT- 2'!U202+'CAT-3'!U202+'Tut-Ass-OA'!U202+'LAB Asseement'!S202</f>
        <v>0</v>
      </c>
      <c r="E201" s="60">
        <f>'CAT-1'!V202+'CAT- 2'!V202+'CAT-3'!V202+'Tut-Ass-OA'!V202+'LAB Asseement'!T202</f>
        <v>0</v>
      </c>
      <c r="F201" s="60">
        <f>'CAT-1'!W202+'CAT- 2'!W202+'CAT-3'!W202+'Tut-Ass-OA'!W202+'LAB Asseement'!U202</f>
        <v>0</v>
      </c>
      <c r="G201" s="60">
        <f>'CAT-1'!X202+'CAT- 2'!X202+'CAT-3'!X202+'Tut-Ass-OA'!X202+'LAB Asseement'!V202</f>
        <v>0</v>
      </c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spans="1:23" ht="21.75" customHeight="1">
      <c r="A202" s="62" t="str">
        <f>BASE!B207</f>
        <v>23XXR192</v>
      </c>
      <c r="B202" s="121" t="s">
        <v>40</v>
      </c>
      <c r="C202" s="60">
        <f>'CAT-1'!T203+'CAT- 2'!T203+'CAT-3'!T203+'Tut-Ass-OA'!T203+'LAB Asseement'!R203</f>
        <v>0</v>
      </c>
      <c r="D202" s="60">
        <f>'CAT-1'!U203+'CAT- 2'!U203+'CAT-3'!U203+'Tut-Ass-OA'!U203+'LAB Asseement'!S203</f>
        <v>0</v>
      </c>
      <c r="E202" s="60">
        <f>'CAT-1'!V203+'CAT- 2'!V203+'CAT-3'!V203+'Tut-Ass-OA'!V203+'LAB Asseement'!T203</f>
        <v>0</v>
      </c>
      <c r="F202" s="60">
        <f>'CAT-1'!W203+'CAT- 2'!W203+'CAT-3'!W203+'Tut-Ass-OA'!W203+'LAB Asseement'!U203</f>
        <v>0</v>
      </c>
      <c r="G202" s="60">
        <f>'CAT-1'!X203+'CAT- 2'!X203+'CAT-3'!X203+'Tut-Ass-OA'!X203+'LAB Asseement'!V203</f>
        <v>0</v>
      </c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spans="1:23" ht="21.75" customHeight="1">
      <c r="A203" s="62" t="str">
        <f>BASE!B208</f>
        <v>23XXR193</v>
      </c>
      <c r="B203" s="121" t="s">
        <v>40</v>
      </c>
      <c r="C203" s="60">
        <f>'CAT-1'!T204+'CAT- 2'!T204+'CAT-3'!T204+'Tut-Ass-OA'!T204+'LAB Asseement'!R204</f>
        <v>0</v>
      </c>
      <c r="D203" s="60">
        <f>'CAT-1'!U204+'CAT- 2'!U204+'CAT-3'!U204+'Tut-Ass-OA'!U204+'LAB Asseement'!S204</f>
        <v>0</v>
      </c>
      <c r="E203" s="60">
        <f>'CAT-1'!V204+'CAT- 2'!V204+'CAT-3'!V204+'Tut-Ass-OA'!V204+'LAB Asseement'!T204</f>
        <v>0</v>
      </c>
      <c r="F203" s="60">
        <f>'CAT-1'!W204+'CAT- 2'!W204+'CAT-3'!W204+'Tut-Ass-OA'!W204+'LAB Asseement'!U204</f>
        <v>0</v>
      </c>
      <c r="G203" s="60">
        <f>'CAT-1'!X204+'CAT- 2'!X204+'CAT-3'!X204+'Tut-Ass-OA'!X204+'LAB Asseement'!V204</f>
        <v>0</v>
      </c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spans="1:23" ht="21.75" customHeight="1">
      <c r="A204" s="62" t="str">
        <f>BASE!B209</f>
        <v>23XXR194</v>
      </c>
      <c r="B204" s="121" t="s">
        <v>40</v>
      </c>
      <c r="C204" s="60">
        <f>'CAT-1'!T205+'CAT- 2'!T205+'CAT-3'!T205+'Tut-Ass-OA'!T205+'LAB Asseement'!R205</f>
        <v>0</v>
      </c>
      <c r="D204" s="60">
        <f>'CAT-1'!U205+'CAT- 2'!U205+'CAT-3'!U205+'Tut-Ass-OA'!U205+'LAB Asseement'!S205</f>
        <v>0</v>
      </c>
      <c r="E204" s="60">
        <f>'CAT-1'!V205+'CAT- 2'!V205+'CAT-3'!V205+'Tut-Ass-OA'!V205+'LAB Asseement'!T205</f>
        <v>0</v>
      </c>
      <c r="F204" s="60">
        <f>'CAT-1'!W205+'CAT- 2'!W205+'CAT-3'!W205+'Tut-Ass-OA'!W205+'LAB Asseement'!U205</f>
        <v>0</v>
      </c>
      <c r="G204" s="60">
        <f>'CAT-1'!X205+'CAT- 2'!X205+'CAT-3'!X205+'Tut-Ass-OA'!X205+'LAB Asseement'!V205</f>
        <v>0</v>
      </c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spans="1:23" ht="21.75" customHeight="1">
      <c r="A205" s="62" t="str">
        <f>BASE!B210</f>
        <v>23XXR195</v>
      </c>
      <c r="B205" s="121" t="s">
        <v>40</v>
      </c>
      <c r="C205" s="60">
        <f>'CAT-1'!T206+'CAT- 2'!T206+'CAT-3'!T206+'Tut-Ass-OA'!T206+'LAB Asseement'!R206</f>
        <v>0</v>
      </c>
      <c r="D205" s="60">
        <f>'CAT-1'!U206+'CAT- 2'!U206+'CAT-3'!U206+'Tut-Ass-OA'!U206+'LAB Asseement'!S206</f>
        <v>0</v>
      </c>
      <c r="E205" s="60">
        <f>'CAT-1'!V206+'CAT- 2'!V206+'CAT-3'!V206+'Tut-Ass-OA'!V206+'LAB Asseement'!T206</f>
        <v>0</v>
      </c>
      <c r="F205" s="60">
        <f>'CAT-1'!W206+'CAT- 2'!W206+'CAT-3'!W206+'Tut-Ass-OA'!W206+'LAB Asseement'!U206</f>
        <v>0</v>
      </c>
      <c r="G205" s="60">
        <f>'CAT-1'!X206+'CAT- 2'!X206+'CAT-3'!X206+'Tut-Ass-OA'!X206+'LAB Asseement'!V206</f>
        <v>0</v>
      </c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 spans="1:23" ht="21.75" customHeight="1">
      <c r="A206" s="62" t="str">
        <f>BASE!B211</f>
        <v>23XXR196</v>
      </c>
      <c r="B206" s="121" t="s">
        <v>40</v>
      </c>
      <c r="C206" s="60">
        <f>'CAT-1'!T207+'CAT- 2'!T207+'CAT-3'!T207+'Tut-Ass-OA'!T207+'LAB Asseement'!R207</f>
        <v>0</v>
      </c>
      <c r="D206" s="60">
        <f>'CAT-1'!U207+'CAT- 2'!U207+'CAT-3'!U207+'Tut-Ass-OA'!U207+'LAB Asseement'!S207</f>
        <v>0</v>
      </c>
      <c r="E206" s="60">
        <f>'CAT-1'!V207+'CAT- 2'!V207+'CAT-3'!V207+'Tut-Ass-OA'!V207+'LAB Asseement'!T207</f>
        <v>0</v>
      </c>
      <c r="F206" s="60">
        <f>'CAT-1'!W207+'CAT- 2'!W207+'CAT-3'!W207+'Tut-Ass-OA'!W207+'LAB Asseement'!U207</f>
        <v>0</v>
      </c>
      <c r="G206" s="60">
        <f>'CAT-1'!X207+'CAT- 2'!X207+'CAT-3'!X207+'Tut-Ass-OA'!X207+'LAB Asseement'!V207</f>
        <v>0</v>
      </c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 spans="1:23" ht="21.75" customHeight="1">
      <c r="A207" s="62" t="str">
        <f>BASE!B212</f>
        <v>23XXR197</v>
      </c>
      <c r="B207" s="121" t="s">
        <v>40</v>
      </c>
      <c r="C207" s="60">
        <f>'CAT-1'!T208+'CAT- 2'!T208+'CAT-3'!T208+'Tut-Ass-OA'!T208+'LAB Asseement'!R208</f>
        <v>0</v>
      </c>
      <c r="D207" s="60">
        <f>'CAT-1'!U208+'CAT- 2'!U208+'CAT-3'!U208+'Tut-Ass-OA'!U208+'LAB Asseement'!S208</f>
        <v>0</v>
      </c>
      <c r="E207" s="60">
        <f>'CAT-1'!V208+'CAT- 2'!V208+'CAT-3'!V208+'Tut-Ass-OA'!V208+'LAB Asseement'!T208</f>
        <v>0</v>
      </c>
      <c r="F207" s="60">
        <f>'CAT-1'!W208+'CAT- 2'!W208+'CAT-3'!W208+'Tut-Ass-OA'!W208+'LAB Asseement'!U208</f>
        <v>0</v>
      </c>
      <c r="G207" s="60">
        <f>'CAT-1'!X208+'CAT- 2'!X208+'CAT-3'!X208+'Tut-Ass-OA'!X208+'LAB Asseement'!V208</f>
        <v>0</v>
      </c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 spans="1:23" ht="21.75" customHeight="1">
      <c r="A208" s="62" t="str">
        <f>BASE!B213</f>
        <v>23XXR198</v>
      </c>
      <c r="B208" s="121" t="s">
        <v>40</v>
      </c>
      <c r="C208" s="60">
        <f>'CAT-1'!T209+'CAT- 2'!T209+'CAT-3'!T209+'Tut-Ass-OA'!T209+'LAB Asseement'!R209</f>
        <v>0</v>
      </c>
      <c r="D208" s="60">
        <f>'CAT-1'!U209+'CAT- 2'!U209+'CAT-3'!U209+'Tut-Ass-OA'!U209+'LAB Asseement'!S209</f>
        <v>0</v>
      </c>
      <c r="E208" s="60">
        <f>'CAT-1'!V209+'CAT- 2'!V209+'CAT-3'!V209+'Tut-Ass-OA'!V209+'LAB Asseement'!T209</f>
        <v>0</v>
      </c>
      <c r="F208" s="60">
        <f>'CAT-1'!W209+'CAT- 2'!W209+'CAT-3'!W209+'Tut-Ass-OA'!W209+'LAB Asseement'!U209</f>
        <v>0</v>
      </c>
      <c r="G208" s="60">
        <f>'CAT-1'!X209+'CAT- 2'!X209+'CAT-3'!X209+'Tut-Ass-OA'!X209+'LAB Asseement'!V209</f>
        <v>0</v>
      </c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spans="1:23" ht="21.75" customHeight="1">
      <c r="A209" s="62" t="str">
        <f>BASE!B214</f>
        <v>23XXR199</v>
      </c>
      <c r="B209" s="121" t="s">
        <v>40</v>
      </c>
      <c r="C209" s="60">
        <f>'CAT-1'!T210+'CAT- 2'!T210+'CAT-3'!T210+'Tut-Ass-OA'!T210+'LAB Asseement'!R210</f>
        <v>0</v>
      </c>
      <c r="D209" s="60">
        <f>'CAT-1'!U210+'CAT- 2'!U210+'CAT-3'!U210+'Tut-Ass-OA'!U210+'LAB Asseement'!S210</f>
        <v>0</v>
      </c>
      <c r="E209" s="60">
        <f>'CAT-1'!V210+'CAT- 2'!V210+'CAT-3'!V210+'Tut-Ass-OA'!V210+'LAB Asseement'!T210</f>
        <v>0</v>
      </c>
      <c r="F209" s="60">
        <f>'CAT-1'!W210+'CAT- 2'!W210+'CAT-3'!W210+'Tut-Ass-OA'!W210+'LAB Asseement'!U210</f>
        <v>0</v>
      </c>
      <c r="G209" s="60">
        <f>'CAT-1'!X210+'CAT- 2'!X210+'CAT-3'!X210+'Tut-Ass-OA'!X210+'LAB Asseement'!V210</f>
        <v>0</v>
      </c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 spans="1:23" ht="21.75" customHeight="1">
      <c r="A210" s="62" t="str">
        <f>BASE!B215</f>
        <v>23XXR200</v>
      </c>
      <c r="B210" s="121" t="s">
        <v>40</v>
      </c>
      <c r="C210" s="60">
        <f>'CAT-1'!T211+'CAT- 2'!T211+'CAT-3'!T211+'Tut-Ass-OA'!T211+'LAB Asseement'!R211</f>
        <v>0</v>
      </c>
      <c r="D210" s="60">
        <f>'CAT-1'!U211+'CAT- 2'!U211+'CAT-3'!U211+'Tut-Ass-OA'!U211+'LAB Asseement'!S211</f>
        <v>0</v>
      </c>
      <c r="E210" s="60">
        <f>'CAT-1'!V211+'CAT- 2'!V211+'CAT-3'!V211+'Tut-Ass-OA'!V211+'LAB Asseement'!T211</f>
        <v>0</v>
      </c>
      <c r="F210" s="60">
        <f>'CAT-1'!W211+'CAT- 2'!W211+'CAT-3'!W211+'Tut-Ass-OA'!W211+'LAB Asseement'!U211</f>
        <v>0</v>
      </c>
      <c r="G210" s="60">
        <f>'CAT-1'!X211+'CAT- 2'!X211+'CAT-3'!X211+'Tut-Ass-OA'!X211+'LAB Asseement'!V211</f>
        <v>0</v>
      </c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 spans="1:23" ht="21.75" customHeight="1">
      <c r="A211" s="62" t="str">
        <f>BASE!B216</f>
        <v>23XXR201</v>
      </c>
      <c r="B211" s="121" t="s">
        <v>40</v>
      </c>
      <c r="C211" s="60">
        <f>'CAT-1'!T212+'CAT- 2'!T212+'CAT-3'!T212+'Tut-Ass-OA'!T212+'LAB Asseement'!R212</f>
        <v>0</v>
      </c>
      <c r="D211" s="60">
        <f>'CAT-1'!U212+'CAT- 2'!U212+'CAT-3'!U212+'Tut-Ass-OA'!U212+'LAB Asseement'!S212</f>
        <v>0</v>
      </c>
      <c r="E211" s="60">
        <f>'CAT-1'!V212+'CAT- 2'!V212+'CAT-3'!V212+'Tut-Ass-OA'!V212+'LAB Asseement'!T212</f>
        <v>0</v>
      </c>
      <c r="F211" s="60">
        <f>'CAT-1'!W212+'CAT- 2'!W212+'CAT-3'!W212+'Tut-Ass-OA'!W212+'LAB Asseement'!U212</f>
        <v>0</v>
      </c>
      <c r="G211" s="60">
        <f>'CAT-1'!X212+'CAT- 2'!X212+'CAT-3'!X212+'Tut-Ass-OA'!X212+'LAB Asseement'!V212</f>
        <v>0</v>
      </c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 spans="1:23" ht="21.75" customHeight="1">
      <c r="A212" s="62" t="str">
        <f>BASE!B217</f>
        <v>23XXR202</v>
      </c>
      <c r="B212" s="121" t="s">
        <v>40</v>
      </c>
      <c r="C212" s="60">
        <f>'CAT-1'!T213+'CAT- 2'!T213+'CAT-3'!T213+'Tut-Ass-OA'!T213+'LAB Asseement'!R213</f>
        <v>0</v>
      </c>
      <c r="D212" s="60">
        <f>'CAT-1'!U213+'CAT- 2'!U213+'CAT-3'!U213+'Tut-Ass-OA'!U213+'LAB Asseement'!S213</f>
        <v>0</v>
      </c>
      <c r="E212" s="60">
        <f>'CAT-1'!V213+'CAT- 2'!V213+'CAT-3'!V213+'Tut-Ass-OA'!V213+'LAB Asseement'!T213</f>
        <v>0</v>
      </c>
      <c r="F212" s="60">
        <f>'CAT-1'!W213+'CAT- 2'!W213+'CAT-3'!W213+'Tut-Ass-OA'!W213+'LAB Asseement'!U213</f>
        <v>0</v>
      </c>
      <c r="G212" s="60">
        <f>'CAT-1'!X213+'CAT- 2'!X213+'CAT-3'!X213+'Tut-Ass-OA'!X213+'LAB Asseement'!V213</f>
        <v>0</v>
      </c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 spans="1:23" ht="21.75" customHeight="1">
      <c r="A213" s="62" t="str">
        <f>BASE!B218</f>
        <v>23XXR203</v>
      </c>
      <c r="B213" s="121" t="s">
        <v>40</v>
      </c>
      <c r="C213" s="60">
        <f>'CAT-1'!T214+'CAT- 2'!T214+'CAT-3'!T214+'Tut-Ass-OA'!T214+'LAB Asseement'!R214</f>
        <v>0</v>
      </c>
      <c r="D213" s="60">
        <f>'CAT-1'!U214+'CAT- 2'!U214+'CAT-3'!U214+'Tut-Ass-OA'!U214+'LAB Asseement'!S214</f>
        <v>0</v>
      </c>
      <c r="E213" s="60">
        <f>'CAT-1'!V214+'CAT- 2'!V214+'CAT-3'!V214+'Tut-Ass-OA'!V214+'LAB Asseement'!T214</f>
        <v>0</v>
      </c>
      <c r="F213" s="60">
        <f>'CAT-1'!W214+'CAT- 2'!W214+'CAT-3'!W214+'Tut-Ass-OA'!W214+'LAB Asseement'!U214</f>
        <v>0</v>
      </c>
      <c r="G213" s="60">
        <f>'CAT-1'!X214+'CAT- 2'!X214+'CAT-3'!X214+'Tut-Ass-OA'!X214+'LAB Asseement'!V214</f>
        <v>0</v>
      </c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 spans="1:23" ht="21.75" customHeight="1">
      <c r="A214" s="62" t="str">
        <f>BASE!B219</f>
        <v>23XXR204</v>
      </c>
      <c r="B214" s="121" t="s">
        <v>40</v>
      </c>
      <c r="C214" s="60">
        <f>'CAT-1'!T215+'CAT- 2'!T215+'CAT-3'!T215+'Tut-Ass-OA'!T215+'LAB Asseement'!R215</f>
        <v>0</v>
      </c>
      <c r="D214" s="60">
        <f>'CAT-1'!U215+'CAT- 2'!U215+'CAT-3'!U215+'Tut-Ass-OA'!U215+'LAB Asseement'!S215</f>
        <v>0</v>
      </c>
      <c r="E214" s="60">
        <f>'CAT-1'!V215+'CAT- 2'!V215+'CAT-3'!V215+'Tut-Ass-OA'!V215+'LAB Asseement'!T215</f>
        <v>0</v>
      </c>
      <c r="F214" s="60">
        <f>'CAT-1'!W215+'CAT- 2'!W215+'CAT-3'!W215+'Tut-Ass-OA'!W215+'LAB Asseement'!U215</f>
        <v>0</v>
      </c>
      <c r="G214" s="60">
        <f>'CAT-1'!X215+'CAT- 2'!X215+'CAT-3'!X215+'Tut-Ass-OA'!X215+'LAB Asseement'!V215</f>
        <v>0</v>
      </c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spans="1:23" ht="21.75" customHeight="1">
      <c r="A215" s="62" t="str">
        <f>BASE!B220</f>
        <v>23XXR205</v>
      </c>
      <c r="B215" s="121" t="s">
        <v>40</v>
      </c>
      <c r="C215" s="60">
        <f>'CAT-1'!T216+'CAT- 2'!T216+'CAT-3'!T216+'Tut-Ass-OA'!T216+'LAB Asseement'!R216</f>
        <v>0</v>
      </c>
      <c r="D215" s="60">
        <f>'CAT-1'!U216+'CAT- 2'!U216+'CAT-3'!U216+'Tut-Ass-OA'!U216+'LAB Asseement'!S216</f>
        <v>0</v>
      </c>
      <c r="E215" s="60">
        <f>'CAT-1'!V216+'CAT- 2'!V216+'CAT-3'!V216+'Tut-Ass-OA'!V216+'LAB Asseement'!T216</f>
        <v>0</v>
      </c>
      <c r="F215" s="60">
        <f>'CAT-1'!W216+'CAT- 2'!W216+'CAT-3'!W216+'Tut-Ass-OA'!W216+'LAB Asseement'!U216</f>
        <v>0</v>
      </c>
      <c r="G215" s="60">
        <f>'CAT-1'!X216+'CAT- 2'!X216+'CAT-3'!X216+'Tut-Ass-OA'!X216+'LAB Asseement'!V216</f>
        <v>0</v>
      </c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 spans="1:23" ht="21.75" customHeight="1">
      <c r="A216" s="62" t="str">
        <f>BASE!B221</f>
        <v>23XXR206</v>
      </c>
      <c r="B216" s="121" t="s">
        <v>40</v>
      </c>
      <c r="C216" s="60">
        <f>'CAT-1'!T217+'CAT- 2'!T217+'CAT-3'!T217+'Tut-Ass-OA'!T217+'LAB Asseement'!R217</f>
        <v>0</v>
      </c>
      <c r="D216" s="60">
        <f>'CAT-1'!U217+'CAT- 2'!U217+'CAT-3'!U217+'Tut-Ass-OA'!U217+'LAB Asseement'!S217</f>
        <v>0</v>
      </c>
      <c r="E216" s="60">
        <f>'CAT-1'!V217+'CAT- 2'!V217+'CAT-3'!V217+'Tut-Ass-OA'!V217+'LAB Asseement'!T217</f>
        <v>0</v>
      </c>
      <c r="F216" s="60">
        <f>'CAT-1'!W217+'CAT- 2'!W217+'CAT-3'!W217+'Tut-Ass-OA'!W217+'LAB Asseement'!U217</f>
        <v>0</v>
      </c>
      <c r="G216" s="60">
        <f>'CAT-1'!X217+'CAT- 2'!X217+'CAT-3'!X217+'Tut-Ass-OA'!X217+'LAB Asseement'!V217</f>
        <v>0</v>
      </c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 spans="1:23" ht="21.75" customHeight="1">
      <c r="A217" s="62" t="str">
        <f>BASE!B222</f>
        <v>23XXR207</v>
      </c>
      <c r="B217" s="121" t="s">
        <v>40</v>
      </c>
      <c r="C217" s="60">
        <f>'CAT-1'!T218+'CAT- 2'!T218+'CAT-3'!T218+'Tut-Ass-OA'!T218+'LAB Asseement'!R218</f>
        <v>0</v>
      </c>
      <c r="D217" s="60">
        <f>'CAT-1'!U218+'CAT- 2'!U218+'CAT-3'!U218+'Tut-Ass-OA'!U218+'LAB Asseement'!S218</f>
        <v>0</v>
      </c>
      <c r="E217" s="60">
        <f>'CAT-1'!V218+'CAT- 2'!V218+'CAT-3'!V218+'Tut-Ass-OA'!V218+'LAB Asseement'!T218</f>
        <v>0</v>
      </c>
      <c r="F217" s="60">
        <f>'CAT-1'!W218+'CAT- 2'!W218+'CAT-3'!W218+'Tut-Ass-OA'!W218+'LAB Asseement'!U218</f>
        <v>0</v>
      </c>
      <c r="G217" s="60">
        <f>'CAT-1'!X218+'CAT- 2'!X218+'CAT-3'!X218+'Tut-Ass-OA'!X218+'LAB Asseement'!V218</f>
        <v>0</v>
      </c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 spans="1:23" ht="21.75" customHeight="1">
      <c r="A218" s="62" t="str">
        <f>BASE!B223</f>
        <v>23XXR208</v>
      </c>
      <c r="B218" s="121" t="s">
        <v>40</v>
      </c>
      <c r="C218" s="60">
        <f>'CAT-1'!T219+'CAT- 2'!T219+'CAT-3'!T219+'Tut-Ass-OA'!T219+'LAB Asseement'!R219</f>
        <v>0</v>
      </c>
      <c r="D218" s="60">
        <f>'CAT-1'!U219+'CAT- 2'!U219+'CAT-3'!U219+'Tut-Ass-OA'!U219+'LAB Asseement'!S219</f>
        <v>0</v>
      </c>
      <c r="E218" s="60">
        <f>'CAT-1'!V219+'CAT- 2'!V219+'CAT-3'!V219+'Tut-Ass-OA'!V219+'LAB Asseement'!T219</f>
        <v>0</v>
      </c>
      <c r="F218" s="60">
        <f>'CAT-1'!W219+'CAT- 2'!W219+'CAT-3'!W219+'Tut-Ass-OA'!W219+'LAB Asseement'!U219</f>
        <v>0</v>
      </c>
      <c r="G218" s="60">
        <f>'CAT-1'!X219+'CAT- 2'!X219+'CAT-3'!X219+'Tut-Ass-OA'!X219+'LAB Asseement'!V219</f>
        <v>0</v>
      </c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 spans="1:23" ht="21.75" customHeight="1">
      <c r="A219" s="62" t="str">
        <f>BASE!B224</f>
        <v>23XXR209</v>
      </c>
      <c r="B219" s="121" t="s">
        <v>40</v>
      </c>
      <c r="C219" s="60">
        <f>'CAT-1'!T220+'CAT- 2'!T220+'CAT-3'!T220+'Tut-Ass-OA'!T220+'LAB Asseement'!R220</f>
        <v>0</v>
      </c>
      <c r="D219" s="60">
        <f>'CAT-1'!U220+'CAT- 2'!U220+'CAT-3'!U220+'Tut-Ass-OA'!U220+'LAB Asseement'!S220</f>
        <v>0</v>
      </c>
      <c r="E219" s="60">
        <f>'CAT-1'!V220+'CAT- 2'!V220+'CAT-3'!V220+'Tut-Ass-OA'!V220+'LAB Asseement'!T220</f>
        <v>0</v>
      </c>
      <c r="F219" s="60">
        <f>'CAT-1'!W220+'CAT- 2'!W220+'CAT-3'!W220+'Tut-Ass-OA'!W220+'LAB Asseement'!U220</f>
        <v>0</v>
      </c>
      <c r="G219" s="60">
        <f>'CAT-1'!X220+'CAT- 2'!X220+'CAT-3'!X220+'Tut-Ass-OA'!X220+'LAB Asseement'!V220</f>
        <v>0</v>
      </c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spans="1:23" ht="21.75" customHeight="1">
      <c r="A220" s="62" t="str">
        <f>BASE!B225</f>
        <v>23XXR210</v>
      </c>
      <c r="B220" s="121" t="s">
        <v>40</v>
      </c>
      <c r="C220" s="60">
        <f>'CAT-1'!T221+'CAT- 2'!T221+'CAT-3'!T221+'Tut-Ass-OA'!T221+'LAB Asseement'!R221</f>
        <v>0</v>
      </c>
      <c r="D220" s="60">
        <f>'CAT-1'!U221+'CAT- 2'!U221+'CAT-3'!U221+'Tut-Ass-OA'!U221+'LAB Asseement'!S221</f>
        <v>0</v>
      </c>
      <c r="E220" s="60">
        <f>'CAT-1'!V221+'CAT- 2'!V221+'CAT-3'!V221+'Tut-Ass-OA'!V221+'LAB Asseement'!T221</f>
        <v>0</v>
      </c>
      <c r="F220" s="60">
        <f>'CAT-1'!W221+'CAT- 2'!W221+'CAT-3'!W221+'Tut-Ass-OA'!W221+'LAB Asseement'!U221</f>
        <v>0</v>
      </c>
      <c r="G220" s="60">
        <f>'CAT-1'!X221+'CAT- 2'!X221+'CAT-3'!X221+'Tut-Ass-OA'!X221+'LAB Asseement'!V221</f>
        <v>0</v>
      </c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spans="1:23" ht="21.75" customHeight="1">
      <c r="A221" s="62" t="str">
        <f>BASE!B226</f>
        <v>23XXR211</v>
      </c>
      <c r="B221" s="121" t="s">
        <v>40</v>
      </c>
      <c r="C221" s="60">
        <f>'CAT-1'!T222+'CAT- 2'!T222+'CAT-3'!T222+'Tut-Ass-OA'!T222+'LAB Asseement'!R222</f>
        <v>0</v>
      </c>
      <c r="D221" s="60">
        <f>'CAT-1'!U222+'CAT- 2'!U222+'CAT-3'!U222+'Tut-Ass-OA'!U222+'LAB Asseement'!S222</f>
        <v>0</v>
      </c>
      <c r="E221" s="60">
        <f>'CAT-1'!V222+'CAT- 2'!V222+'CAT-3'!V222+'Tut-Ass-OA'!V222+'LAB Asseement'!T222</f>
        <v>0</v>
      </c>
      <c r="F221" s="60">
        <f>'CAT-1'!W222+'CAT- 2'!W222+'CAT-3'!W222+'Tut-Ass-OA'!W222+'LAB Asseement'!U222</f>
        <v>0</v>
      </c>
      <c r="G221" s="60">
        <f>'CAT-1'!X222+'CAT- 2'!X222+'CAT-3'!X222+'Tut-Ass-OA'!X222+'LAB Asseement'!V222</f>
        <v>0</v>
      </c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spans="1:23" ht="21.75" customHeight="1">
      <c r="A222" s="62" t="str">
        <f>BASE!B227</f>
        <v>23XXR212</v>
      </c>
      <c r="B222" s="121" t="s">
        <v>40</v>
      </c>
      <c r="C222" s="60">
        <f>'CAT-1'!T223+'CAT- 2'!T223+'CAT-3'!T223+'Tut-Ass-OA'!T223+'LAB Asseement'!R223</f>
        <v>0</v>
      </c>
      <c r="D222" s="60">
        <f>'CAT-1'!U223+'CAT- 2'!U223+'CAT-3'!U223+'Tut-Ass-OA'!U223+'LAB Asseement'!S223</f>
        <v>0</v>
      </c>
      <c r="E222" s="60">
        <f>'CAT-1'!V223+'CAT- 2'!V223+'CAT-3'!V223+'Tut-Ass-OA'!V223+'LAB Asseement'!T223</f>
        <v>0</v>
      </c>
      <c r="F222" s="60">
        <f>'CAT-1'!W223+'CAT- 2'!W223+'CAT-3'!W223+'Tut-Ass-OA'!W223+'LAB Asseement'!U223</f>
        <v>0</v>
      </c>
      <c r="G222" s="60">
        <f>'CAT-1'!X223+'CAT- 2'!X223+'CAT-3'!X223+'Tut-Ass-OA'!X223+'LAB Asseement'!V223</f>
        <v>0</v>
      </c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spans="1:23" ht="21.75" customHeight="1">
      <c r="A223" s="62" t="str">
        <f>BASE!B228</f>
        <v>23XXR213</v>
      </c>
      <c r="B223" s="121" t="s">
        <v>40</v>
      </c>
      <c r="C223" s="60">
        <f>'CAT-1'!T224+'CAT- 2'!T224+'CAT-3'!T224+'Tut-Ass-OA'!T224+'LAB Asseement'!R224</f>
        <v>0</v>
      </c>
      <c r="D223" s="60">
        <f>'CAT-1'!U224+'CAT- 2'!U224+'CAT-3'!U224+'Tut-Ass-OA'!U224+'LAB Asseement'!S224</f>
        <v>0</v>
      </c>
      <c r="E223" s="60">
        <f>'CAT-1'!V224+'CAT- 2'!V224+'CAT-3'!V224+'Tut-Ass-OA'!V224+'LAB Asseement'!T224</f>
        <v>0</v>
      </c>
      <c r="F223" s="60">
        <f>'CAT-1'!W224+'CAT- 2'!W224+'CAT-3'!W224+'Tut-Ass-OA'!W224+'LAB Asseement'!U224</f>
        <v>0</v>
      </c>
      <c r="G223" s="60">
        <f>'CAT-1'!X224+'CAT- 2'!X224+'CAT-3'!X224+'Tut-Ass-OA'!X224+'LAB Asseement'!V224</f>
        <v>0</v>
      </c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spans="1:23" ht="21.75" customHeight="1">
      <c r="A224" s="62" t="str">
        <f>BASE!B229</f>
        <v>23XXR214</v>
      </c>
      <c r="B224" s="121" t="s">
        <v>40</v>
      </c>
      <c r="C224" s="60">
        <f>'CAT-1'!T225+'CAT- 2'!T225+'CAT-3'!T225+'Tut-Ass-OA'!T225+'LAB Asseement'!R225</f>
        <v>0</v>
      </c>
      <c r="D224" s="60">
        <f>'CAT-1'!U225+'CAT- 2'!U225+'CAT-3'!U225+'Tut-Ass-OA'!U225+'LAB Asseement'!S225</f>
        <v>0</v>
      </c>
      <c r="E224" s="60">
        <f>'CAT-1'!V225+'CAT- 2'!V225+'CAT-3'!V225+'Tut-Ass-OA'!V225+'LAB Asseement'!T225</f>
        <v>0</v>
      </c>
      <c r="F224" s="60">
        <f>'CAT-1'!W225+'CAT- 2'!W225+'CAT-3'!W225+'Tut-Ass-OA'!W225+'LAB Asseement'!U225</f>
        <v>0</v>
      </c>
      <c r="G224" s="60">
        <f>'CAT-1'!X225+'CAT- 2'!X225+'CAT-3'!X225+'Tut-Ass-OA'!X225+'LAB Asseement'!V225</f>
        <v>0</v>
      </c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spans="1:23" ht="21.75" customHeight="1">
      <c r="A225" s="62" t="str">
        <f>BASE!B230</f>
        <v>23XXR215</v>
      </c>
      <c r="B225" s="121" t="s">
        <v>40</v>
      </c>
      <c r="C225" s="60">
        <f>'CAT-1'!T226+'CAT- 2'!T226+'CAT-3'!T226+'Tut-Ass-OA'!T226+'LAB Asseement'!R226</f>
        <v>0</v>
      </c>
      <c r="D225" s="60">
        <f>'CAT-1'!U226+'CAT- 2'!U226+'CAT-3'!U226+'Tut-Ass-OA'!U226+'LAB Asseement'!S226</f>
        <v>0</v>
      </c>
      <c r="E225" s="60">
        <f>'CAT-1'!V226+'CAT- 2'!V226+'CAT-3'!V226+'Tut-Ass-OA'!V226+'LAB Asseement'!T226</f>
        <v>0</v>
      </c>
      <c r="F225" s="60">
        <f>'CAT-1'!W226+'CAT- 2'!W226+'CAT-3'!W226+'Tut-Ass-OA'!W226+'LAB Asseement'!U226</f>
        <v>0</v>
      </c>
      <c r="G225" s="60">
        <f>'CAT-1'!X226+'CAT- 2'!X226+'CAT-3'!X226+'Tut-Ass-OA'!X226+'LAB Asseement'!V226</f>
        <v>0</v>
      </c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spans="1:23" ht="21.75" customHeight="1">
      <c r="A226" s="62" t="str">
        <f>BASE!B231</f>
        <v>23XXR216</v>
      </c>
      <c r="B226" s="121" t="s">
        <v>40</v>
      </c>
      <c r="C226" s="60">
        <f>'CAT-1'!T227+'CAT- 2'!T227+'CAT-3'!T227+'Tut-Ass-OA'!T227+'LAB Asseement'!R227</f>
        <v>0</v>
      </c>
      <c r="D226" s="60">
        <f>'CAT-1'!U227+'CAT- 2'!U227+'CAT-3'!U227+'Tut-Ass-OA'!U227+'LAB Asseement'!S227</f>
        <v>0</v>
      </c>
      <c r="E226" s="60">
        <f>'CAT-1'!V227+'CAT- 2'!V227+'CAT-3'!V227+'Tut-Ass-OA'!V227+'LAB Asseement'!T227</f>
        <v>0</v>
      </c>
      <c r="F226" s="60">
        <f>'CAT-1'!W227+'CAT- 2'!W227+'CAT-3'!W227+'Tut-Ass-OA'!W227+'LAB Asseement'!U227</f>
        <v>0</v>
      </c>
      <c r="G226" s="60">
        <f>'CAT-1'!X227+'CAT- 2'!X227+'CAT-3'!X227+'Tut-Ass-OA'!X227+'LAB Asseement'!V227</f>
        <v>0</v>
      </c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spans="1:23" ht="21.75" customHeight="1">
      <c r="A227" s="62" t="str">
        <f>BASE!B232</f>
        <v>23XXR217</v>
      </c>
      <c r="B227" s="121" t="s">
        <v>40</v>
      </c>
      <c r="C227" s="60">
        <f>'CAT-1'!T228+'CAT- 2'!T228+'CAT-3'!T228+'Tut-Ass-OA'!T228+'LAB Asseement'!R228</f>
        <v>0</v>
      </c>
      <c r="D227" s="60">
        <f>'CAT-1'!U228+'CAT- 2'!U228+'CAT-3'!U228+'Tut-Ass-OA'!U228+'LAB Asseement'!S228</f>
        <v>0</v>
      </c>
      <c r="E227" s="60">
        <f>'CAT-1'!V228+'CAT- 2'!V228+'CAT-3'!V228+'Tut-Ass-OA'!V228+'LAB Asseement'!T228</f>
        <v>0</v>
      </c>
      <c r="F227" s="60">
        <f>'CAT-1'!W228+'CAT- 2'!W228+'CAT-3'!W228+'Tut-Ass-OA'!W228+'LAB Asseement'!U228</f>
        <v>0</v>
      </c>
      <c r="G227" s="60">
        <f>'CAT-1'!X228+'CAT- 2'!X228+'CAT-3'!X228+'Tut-Ass-OA'!X228+'LAB Asseement'!V228</f>
        <v>0</v>
      </c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spans="1:23" ht="21.75" customHeight="1">
      <c r="A228" s="62" t="str">
        <f>BASE!B233</f>
        <v>23XXR218</v>
      </c>
      <c r="B228" s="121" t="s">
        <v>40</v>
      </c>
      <c r="C228" s="60">
        <f>'CAT-1'!T229+'CAT- 2'!T229+'CAT-3'!T229+'Tut-Ass-OA'!T229+'LAB Asseement'!R229</f>
        <v>0</v>
      </c>
      <c r="D228" s="60">
        <f>'CAT-1'!U229+'CAT- 2'!U229+'CAT-3'!U229+'Tut-Ass-OA'!U229+'LAB Asseement'!S229</f>
        <v>0</v>
      </c>
      <c r="E228" s="60">
        <f>'CAT-1'!V229+'CAT- 2'!V229+'CAT-3'!V229+'Tut-Ass-OA'!V229+'LAB Asseement'!T229</f>
        <v>0</v>
      </c>
      <c r="F228" s="60">
        <f>'CAT-1'!W229+'CAT- 2'!W229+'CAT-3'!W229+'Tut-Ass-OA'!W229+'LAB Asseement'!U229</f>
        <v>0</v>
      </c>
      <c r="G228" s="60">
        <f>'CAT-1'!X229+'CAT- 2'!X229+'CAT-3'!X229+'Tut-Ass-OA'!X229+'LAB Asseement'!V229</f>
        <v>0</v>
      </c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spans="1:23" ht="21.75" customHeight="1">
      <c r="A229" s="62" t="str">
        <f>BASE!B234</f>
        <v>23XXR219</v>
      </c>
      <c r="B229" s="121" t="s">
        <v>40</v>
      </c>
      <c r="C229" s="60">
        <f>'CAT-1'!T230+'CAT- 2'!T230+'CAT-3'!T230+'Tut-Ass-OA'!T230+'LAB Asseement'!R230</f>
        <v>0</v>
      </c>
      <c r="D229" s="60">
        <f>'CAT-1'!U230+'CAT- 2'!U230+'CAT-3'!U230+'Tut-Ass-OA'!U230+'LAB Asseement'!S230</f>
        <v>0</v>
      </c>
      <c r="E229" s="60">
        <f>'CAT-1'!V230+'CAT- 2'!V230+'CAT-3'!V230+'Tut-Ass-OA'!V230+'LAB Asseement'!T230</f>
        <v>0</v>
      </c>
      <c r="F229" s="60">
        <f>'CAT-1'!W230+'CAT- 2'!W230+'CAT-3'!W230+'Tut-Ass-OA'!W230+'LAB Asseement'!U230</f>
        <v>0</v>
      </c>
      <c r="G229" s="60">
        <f>'CAT-1'!X230+'CAT- 2'!X230+'CAT-3'!X230+'Tut-Ass-OA'!X230+'LAB Asseement'!V230</f>
        <v>0</v>
      </c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spans="1:23" ht="21.75" customHeight="1">
      <c r="A230" s="62" t="str">
        <f>BASE!B235</f>
        <v>23XXR220</v>
      </c>
      <c r="B230" s="121" t="s">
        <v>40</v>
      </c>
      <c r="C230" s="60">
        <f>'CAT-1'!T231+'CAT- 2'!T231+'CAT-3'!T231+'Tut-Ass-OA'!T231+'LAB Asseement'!R231</f>
        <v>0</v>
      </c>
      <c r="D230" s="60">
        <f>'CAT-1'!U231+'CAT- 2'!U231+'CAT-3'!U231+'Tut-Ass-OA'!U231+'LAB Asseement'!S231</f>
        <v>0</v>
      </c>
      <c r="E230" s="60">
        <f>'CAT-1'!V231+'CAT- 2'!V231+'CAT-3'!V231+'Tut-Ass-OA'!V231+'LAB Asseement'!T231</f>
        <v>0</v>
      </c>
      <c r="F230" s="60">
        <f>'CAT-1'!W231+'CAT- 2'!W231+'CAT-3'!W231+'Tut-Ass-OA'!W231+'LAB Asseement'!U231</f>
        <v>0</v>
      </c>
      <c r="G230" s="60">
        <f>'CAT-1'!X231+'CAT- 2'!X231+'CAT-3'!X231+'Tut-Ass-OA'!X231+'LAB Asseement'!V231</f>
        <v>0</v>
      </c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spans="1:23" ht="21.75" customHeight="1">
      <c r="A231" s="62" t="str">
        <f>BASE!B236</f>
        <v>23XXR221</v>
      </c>
      <c r="B231" s="121" t="s">
        <v>40</v>
      </c>
      <c r="C231" s="60">
        <f>'CAT-1'!T232+'CAT- 2'!T232+'CAT-3'!T232+'Tut-Ass-OA'!T232+'LAB Asseement'!R232</f>
        <v>0</v>
      </c>
      <c r="D231" s="60">
        <f>'CAT-1'!U232+'CAT- 2'!U232+'CAT-3'!U232+'Tut-Ass-OA'!U232+'LAB Asseement'!S232</f>
        <v>0</v>
      </c>
      <c r="E231" s="60">
        <f>'CAT-1'!V232+'CAT- 2'!V232+'CAT-3'!V232+'Tut-Ass-OA'!V232+'LAB Asseement'!T232</f>
        <v>0</v>
      </c>
      <c r="F231" s="60">
        <f>'CAT-1'!W232+'CAT- 2'!W232+'CAT-3'!W232+'Tut-Ass-OA'!W232+'LAB Asseement'!U232</f>
        <v>0</v>
      </c>
      <c r="G231" s="60">
        <f>'CAT-1'!X232+'CAT- 2'!X232+'CAT-3'!X232+'Tut-Ass-OA'!X232+'LAB Asseement'!V232</f>
        <v>0</v>
      </c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spans="1:23" ht="21.75" customHeight="1">
      <c r="A232" s="62" t="str">
        <f>BASE!B237</f>
        <v>23XXR222</v>
      </c>
      <c r="B232" s="121" t="s">
        <v>40</v>
      </c>
      <c r="C232" s="60">
        <f>'CAT-1'!T233+'CAT- 2'!T233+'CAT-3'!T233+'Tut-Ass-OA'!T233+'LAB Asseement'!R233</f>
        <v>0</v>
      </c>
      <c r="D232" s="60">
        <f>'CAT-1'!U233+'CAT- 2'!U233+'CAT-3'!U233+'Tut-Ass-OA'!U233+'LAB Asseement'!S233</f>
        <v>0</v>
      </c>
      <c r="E232" s="60">
        <f>'CAT-1'!V233+'CAT- 2'!V233+'CAT-3'!V233+'Tut-Ass-OA'!V233+'LAB Asseement'!T233</f>
        <v>0</v>
      </c>
      <c r="F232" s="60">
        <f>'CAT-1'!W233+'CAT- 2'!W233+'CAT-3'!W233+'Tut-Ass-OA'!W233+'LAB Asseement'!U233</f>
        <v>0</v>
      </c>
      <c r="G232" s="60">
        <f>'CAT-1'!X233+'CAT- 2'!X233+'CAT-3'!X233+'Tut-Ass-OA'!X233+'LAB Asseement'!V233</f>
        <v>0</v>
      </c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spans="1:23" ht="21.75" customHeight="1">
      <c r="A233" s="62" t="str">
        <f>BASE!B238</f>
        <v>23XXR223</v>
      </c>
      <c r="B233" s="121" t="s">
        <v>40</v>
      </c>
      <c r="C233" s="60">
        <f>'CAT-1'!T234+'CAT- 2'!T234+'CAT-3'!T234+'Tut-Ass-OA'!T234+'LAB Asseement'!R234</f>
        <v>0</v>
      </c>
      <c r="D233" s="60">
        <f>'CAT-1'!U234+'CAT- 2'!U234+'CAT-3'!U234+'Tut-Ass-OA'!U234+'LAB Asseement'!S234</f>
        <v>0</v>
      </c>
      <c r="E233" s="60">
        <f>'CAT-1'!V234+'CAT- 2'!V234+'CAT-3'!V234+'Tut-Ass-OA'!V234+'LAB Asseement'!T234</f>
        <v>0</v>
      </c>
      <c r="F233" s="60">
        <f>'CAT-1'!W234+'CAT- 2'!W234+'CAT-3'!W234+'Tut-Ass-OA'!W234+'LAB Asseement'!U234</f>
        <v>0</v>
      </c>
      <c r="G233" s="60">
        <f>'CAT-1'!X234+'CAT- 2'!X234+'CAT-3'!X234+'Tut-Ass-OA'!X234+'LAB Asseement'!V234</f>
        <v>0</v>
      </c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 spans="1:23" ht="21.75" customHeight="1">
      <c r="A234" s="62" t="str">
        <f>BASE!B239</f>
        <v>23XXR224</v>
      </c>
      <c r="B234" s="121" t="s">
        <v>40</v>
      </c>
      <c r="C234" s="60">
        <f>'CAT-1'!T235+'CAT- 2'!T235+'CAT-3'!T235+'Tut-Ass-OA'!T235+'LAB Asseement'!R235</f>
        <v>0</v>
      </c>
      <c r="D234" s="60">
        <f>'CAT-1'!U235+'CAT- 2'!U235+'CAT-3'!U235+'Tut-Ass-OA'!U235+'LAB Asseement'!S235</f>
        <v>0</v>
      </c>
      <c r="E234" s="60">
        <f>'CAT-1'!V235+'CAT- 2'!V235+'CAT-3'!V235+'Tut-Ass-OA'!V235+'LAB Asseement'!T235</f>
        <v>0</v>
      </c>
      <c r="F234" s="60">
        <f>'CAT-1'!W235+'CAT- 2'!W235+'CAT-3'!W235+'Tut-Ass-OA'!W235+'LAB Asseement'!U235</f>
        <v>0</v>
      </c>
      <c r="G234" s="60">
        <f>'CAT-1'!X235+'CAT- 2'!X235+'CAT-3'!X235+'Tut-Ass-OA'!X235+'LAB Asseement'!V235</f>
        <v>0</v>
      </c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 spans="1:23" ht="21.75" customHeight="1">
      <c r="A235" s="62" t="str">
        <f>BASE!B240</f>
        <v>23XXR225</v>
      </c>
      <c r="B235" s="121" t="s">
        <v>40</v>
      </c>
      <c r="C235" s="60">
        <f>'CAT-1'!T236+'CAT- 2'!T236+'CAT-3'!T236+'Tut-Ass-OA'!T236+'LAB Asseement'!R236</f>
        <v>0</v>
      </c>
      <c r="D235" s="60">
        <f>'CAT-1'!U236+'CAT- 2'!U236+'CAT-3'!U236+'Tut-Ass-OA'!U236+'LAB Asseement'!S236</f>
        <v>0</v>
      </c>
      <c r="E235" s="60">
        <f>'CAT-1'!V236+'CAT- 2'!V236+'CAT-3'!V236+'Tut-Ass-OA'!V236+'LAB Asseement'!T236</f>
        <v>0</v>
      </c>
      <c r="F235" s="60">
        <f>'CAT-1'!W236+'CAT- 2'!W236+'CAT-3'!W236+'Tut-Ass-OA'!W236+'LAB Asseement'!U236</f>
        <v>0</v>
      </c>
      <c r="G235" s="60">
        <f>'CAT-1'!X236+'CAT- 2'!X236+'CAT-3'!X236+'Tut-Ass-OA'!X236+'LAB Asseement'!V236</f>
        <v>0</v>
      </c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 spans="1:23" ht="21.75" customHeight="1">
      <c r="A236" s="62" t="str">
        <f>BASE!B241</f>
        <v>23XXR226</v>
      </c>
      <c r="B236" s="121" t="s">
        <v>40</v>
      </c>
      <c r="C236" s="60">
        <f>'CAT-1'!T237+'CAT- 2'!T237+'CAT-3'!T237+'Tut-Ass-OA'!T237+'LAB Asseement'!R237</f>
        <v>0</v>
      </c>
      <c r="D236" s="60">
        <f>'CAT-1'!U237+'CAT- 2'!U237+'CAT-3'!U237+'Tut-Ass-OA'!U237+'LAB Asseement'!S237</f>
        <v>0</v>
      </c>
      <c r="E236" s="60">
        <f>'CAT-1'!V237+'CAT- 2'!V237+'CAT-3'!V237+'Tut-Ass-OA'!V237+'LAB Asseement'!T237</f>
        <v>0</v>
      </c>
      <c r="F236" s="60">
        <f>'CAT-1'!W237+'CAT- 2'!W237+'CAT-3'!W237+'Tut-Ass-OA'!W237+'LAB Asseement'!U237</f>
        <v>0</v>
      </c>
      <c r="G236" s="60">
        <f>'CAT-1'!X237+'CAT- 2'!X237+'CAT-3'!X237+'Tut-Ass-OA'!X237+'LAB Asseement'!V237</f>
        <v>0</v>
      </c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 spans="1:23" ht="21.75" customHeight="1">
      <c r="A237" s="62" t="str">
        <f>BASE!B242</f>
        <v>23XXR227</v>
      </c>
      <c r="B237" s="121" t="s">
        <v>40</v>
      </c>
      <c r="C237" s="60">
        <f>'CAT-1'!T238+'CAT- 2'!T238+'CAT-3'!T238+'Tut-Ass-OA'!T238+'LAB Asseement'!R238</f>
        <v>0</v>
      </c>
      <c r="D237" s="60">
        <f>'CAT-1'!U238+'CAT- 2'!U238+'CAT-3'!U238+'Tut-Ass-OA'!U238+'LAB Asseement'!S238</f>
        <v>0</v>
      </c>
      <c r="E237" s="60">
        <f>'CAT-1'!V238+'CAT- 2'!V238+'CAT-3'!V238+'Tut-Ass-OA'!V238+'LAB Asseement'!T238</f>
        <v>0</v>
      </c>
      <c r="F237" s="60">
        <f>'CAT-1'!W238+'CAT- 2'!W238+'CAT-3'!W238+'Tut-Ass-OA'!W238+'LAB Asseement'!U238</f>
        <v>0</v>
      </c>
      <c r="G237" s="60">
        <f>'CAT-1'!X238+'CAT- 2'!X238+'CAT-3'!X238+'Tut-Ass-OA'!X238+'LAB Asseement'!V238</f>
        <v>0</v>
      </c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spans="1:23" ht="21.75" customHeight="1">
      <c r="A238" s="62" t="str">
        <f>BASE!B243</f>
        <v>23XXR228</v>
      </c>
      <c r="B238" s="121" t="s">
        <v>40</v>
      </c>
      <c r="C238" s="60">
        <f>'CAT-1'!T239+'CAT- 2'!T239+'CAT-3'!T239+'Tut-Ass-OA'!T239+'LAB Asseement'!R239</f>
        <v>0</v>
      </c>
      <c r="D238" s="60">
        <f>'CAT-1'!U239+'CAT- 2'!U239+'CAT-3'!U239+'Tut-Ass-OA'!U239+'LAB Asseement'!S239</f>
        <v>0</v>
      </c>
      <c r="E238" s="60">
        <f>'CAT-1'!V239+'CAT- 2'!V239+'CAT-3'!V239+'Tut-Ass-OA'!V239+'LAB Asseement'!T239</f>
        <v>0</v>
      </c>
      <c r="F238" s="60">
        <f>'CAT-1'!W239+'CAT- 2'!W239+'CAT-3'!W239+'Tut-Ass-OA'!W239+'LAB Asseement'!U239</f>
        <v>0</v>
      </c>
      <c r="G238" s="60">
        <f>'CAT-1'!X239+'CAT- 2'!X239+'CAT-3'!X239+'Tut-Ass-OA'!X239+'LAB Asseement'!V239</f>
        <v>0</v>
      </c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 spans="1:23" ht="21.75" customHeight="1">
      <c r="A239" s="62" t="str">
        <f>BASE!B244</f>
        <v>23XXR229</v>
      </c>
      <c r="B239" s="121" t="s">
        <v>40</v>
      </c>
      <c r="C239" s="60">
        <f>'CAT-1'!T240+'CAT- 2'!T240+'CAT-3'!T240+'Tut-Ass-OA'!T240+'LAB Asseement'!R240</f>
        <v>0</v>
      </c>
      <c r="D239" s="60">
        <f>'CAT-1'!U240+'CAT- 2'!U240+'CAT-3'!U240+'Tut-Ass-OA'!U240+'LAB Asseement'!S240</f>
        <v>0</v>
      </c>
      <c r="E239" s="60">
        <f>'CAT-1'!V240+'CAT- 2'!V240+'CAT-3'!V240+'Tut-Ass-OA'!V240+'LAB Asseement'!T240</f>
        <v>0</v>
      </c>
      <c r="F239" s="60">
        <f>'CAT-1'!W240+'CAT- 2'!W240+'CAT-3'!W240+'Tut-Ass-OA'!W240+'LAB Asseement'!U240</f>
        <v>0</v>
      </c>
      <c r="G239" s="60">
        <f>'CAT-1'!X240+'CAT- 2'!X240+'CAT-3'!X240+'Tut-Ass-OA'!X240+'LAB Asseement'!V240</f>
        <v>0</v>
      </c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 spans="1:23" ht="21.75" customHeight="1">
      <c r="A240" s="62" t="str">
        <f>BASE!B245</f>
        <v>23XXR230</v>
      </c>
      <c r="B240" s="121" t="s">
        <v>40</v>
      </c>
      <c r="C240" s="60">
        <f>'CAT-1'!T241+'CAT- 2'!T241+'CAT-3'!T241+'Tut-Ass-OA'!T241+'LAB Asseement'!R241</f>
        <v>0</v>
      </c>
      <c r="D240" s="60">
        <f>'CAT-1'!U241+'CAT- 2'!U241+'CAT-3'!U241+'Tut-Ass-OA'!U241+'LAB Asseement'!S241</f>
        <v>0</v>
      </c>
      <c r="E240" s="60">
        <f>'CAT-1'!V241+'CAT- 2'!V241+'CAT-3'!V241+'Tut-Ass-OA'!V241+'LAB Asseement'!T241</f>
        <v>0</v>
      </c>
      <c r="F240" s="60">
        <f>'CAT-1'!W241+'CAT- 2'!W241+'CAT-3'!W241+'Tut-Ass-OA'!W241+'LAB Asseement'!U241</f>
        <v>0</v>
      </c>
      <c r="G240" s="60">
        <f>'CAT-1'!X241+'CAT- 2'!X241+'CAT-3'!X241+'Tut-Ass-OA'!X241+'LAB Asseement'!V241</f>
        <v>0</v>
      </c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 spans="1:23" ht="21.75" customHeight="1">
      <c r="A241" s="62" t="str">
        <f>BASE!B246</f>
        <v>23XXR231</v>
      </c>
      <c r="B241" s="121" t="s">
        <v>40</v>
      </c>
      <c r="C241" s="60">
        <f>'CAT-1'!T242+'CAT- 2'!T242+'CAT-3'!T242+'Tut-Ass-OA'!T242+'LAB Asseement'!R242</f>
        <v>0</v>
      </c>
      <c r="D241" s="60">
        <f>'CAT-1'!U242+'CAT- 2'!U242+'CAT-3'!U242+'Tut-Ass-OA'!U242+'LAB Asseement'!S242</f>
        <v>0</v>
      </c>
      <c r="E241" s="60">
        <f>'CAT-1'!V242+'CAT- 2'!V242+'CAT-3'!V242+'Tut-Ass-OA'!V242+'LAB Asseement'!T242</f>
        <v>0</v>
      </c>
      <c r="F241" s="60">
        <f>'CAT-1'!W242+'CAT- 2'!W242+'CAT-3'!W242+'Tut-Ass-OA'!W242+'LAB Asseement'!U242</f>
        <v>0</v>
      </c>
      <c r="G241" s="60">
        <f>'CAT-1'!X242+'CAT- 2'!X242+'CAT-3'!X242+'Tut-Ass-OA'!X242+'LAB Asseement'!V242</f>
        <v>0</v>
      </c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 spans="1:23" ht="21.75" customHeight="1">
      <c r="A242" s="62" t="str">
        <f>BASE!B247</f>
        <v>23XXR232</v>
      </c>
      <c r="B242" s="121" t="s">
        <v>40</v>
      </c>
      <c r="C242" s="60">
        <f>'CAT-1'!T243+'CAT- 2'!T243+'CAT-3'!T243+'Tut-Ass-OA'!T243+'LAB Asseement'!R243</f>
        <v>0</v>
      </c>
      <c r="D242" s="60">
        <f>'CAT-1'!U243+'CAT- 2'!U243+'CAT-3'!U243+'Tut-Ass-OA'!U243+'LAB Asseement'!S243</f>
        <v>0</v>
      </c>
      <c r="E242" s="60">
        <f>'CAT-1'!V243+'CAT- 2'!V243+'CAT-3'!V243+'Tut-Ass-OA'!V243+'LAB Asseement'!T243</f>
        <v>0</v>
      </c>
      <c r="F242" s="60">
        <f>'CAT-1'!W243+'CAT- 2'!W243+'CAT-3'!W243+'Tut-Ass-OA'!W243+'LAB Asseement'!U243</f>
        <v>0</v>
      </c>
      <c r="G242" s="60">
        <f>'CAT-1'!X243+'CAT- 2'!X243+'CAT-3'!X243+'Tut-Ass-OA'!X243+'LAB Asseement'!V243</f>
        <v>0</v>
      </c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 spans="1:23" ht="21.75" customHeight="1">
      <c r="A243" s="62" t="str">
        <f>BASE!B248</f>
        <v>23XXR233</v>
      </c>
      <c r="B243" s="121" t="s">
        <v>40</v>
      </c>
      <c r="C243" s="60">
        <f>'CAT-1'!T244+'CAT- 2'!T244+'CAT-3'!T244+'Tut-Ass-OA'!T244+'LAB Asseement'!R244</f>
        <v>0</v>
      </c>
      <c r="D243" s="60">
        <f>'CAT-1'!U244+'CAT- 2'!U244+'CAT-3'!U244+'Tut-Ass-OA'!U244+'LAB Asseement'!S244</f>
        <v>0</v>
      </c>
      <c r="E243" s="60">
        <f>'CAT-1'!V244+'CAT- 2'!V244+'CAT-3'!V244+'Tut-Ass-OA'!V244+'LAB Asseement'!T244</f>
        <v>0</v>
      </c>
      <c r="F243" s="60">
        <f>'CAT-1'!W244+'CAT- 2'!W244+'CAT-3'!W244+'Tut-Ass-OA'!W244+'LAB Asseement'!U244</f>
        <v>0</v>
      </c>
      <c r="G243" s="60">
        <f>'CAT-1'!X244+'CAT- 2'!X244+'CAT-3'!X244+'Tut-Ass-OA'!X244+'LAB Asseement'!V244</f>
        <v>0</v>
      </c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 spans="1:23" ht="21.75" customHeight="1">
      <c r="A244" s="62" t="str">
        <f>BASE!B249</f>
        <v>23XXR234</v>
      </c>
      <c r="B244" s="121" t="s">
        <v>40</v>
      </c>
      <c r="C244" s="60">
        <f>'CAT-1'!T245+'CAT- 2'!T245+'CAT-3'!T245+'Tut-Ass-OA'!T245+'LAB Asseement'!R245</f>
        <v>0</v>
      </c>
      <c r="D244" s="60">
        <f>'CAT-1'!U245+'CAT- 2'!U245+'CAT-3'!U245+'Tut-Ass-OA'!U245+'LAB Asseement'!S245</f>
        <v>0</v>
      </c>
      <c r="E244" s="60">
        <f>'CAT-1'!V245+'CAT- 2'!V245+'CAT-3'!V245+'Tut-Ass-OA'!V245+'LAB Asseement'!T245</f>
        <v>0</v>
      </c>
      <c r="F244" s="60">
        <f>'CAT-1'!W245+'CAT- 2'!W245+'CAT-3'!W245+'Tut-Ass-OA'!W245+'LAB Asseement'!U245</f>
        <v>0</v>
      </c>
      <c r="G244" s="60">
        <f>'CAT-1'!X245+'CAT- 2'!X245+'CAT-3'!X245+'Tut-Ass-OA'!X245+'LAB Asseement'!V245</f>
        <v>0</v>
      </c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 spans="1:23" ht="21.75" customHeight="1">
      <c r="A245" s="62" t="str">
        <f>BASE!B250</f>
        <v>23XXR235</v>
      </c>
      <c r="B245" s="121" t="s">
        <v>40</v>
      </c>
      <c r="C245" s="60">
        <f>'CAT-1'!T246+'CAT- 2'!T246+'CAT-3'!T246+'Tut-Ass-OA'!T246+'LAB Asseement'!R246</f>
        <v>0</v>
      </c>
      <c r="D245" s="60">
        <f>'CAT-1'!U246+'CAT- 2'!U246+'CAT-3'!U246+'Tut-Ass-OA'!U246+'LAB Asseement'!S246</f>
        <v>0</v>
      </c>
      <c r="E245" s="60">
        <f>'CAT-1'!V246+'CAT- 2'!V246+'CAT-3'!V246+'Tut-Ass-OA'!V246+'LAB Asseement'!T246</f>
        <v>0</v>
      </c>
      <c r="F245" s="60">
        <f>'CAT-1'!W246+'CAT- 2'!W246+'CAT-3'!W246+'Tut-Ass-OA'!W246+'LAB Asseement'!U246</f>
        <v>0</v>
      </c>
      <c r="G245" s="60">
        <f>'CAT-1'!X246+'CAT- 2'!X246+'CAT-3'!X246+'Tut-Ass-OA'!X246+'LAB Asseement'!V246</f>
        <v>0</v>
      </c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 spans="1:23" ht="21.75" customHeight="1">
      <c r="A246" s="62" t="str">
        <f>BASE!B251</f>
        <v>23XXR236</v>
      </c>
      <c r="B246" s="121" t="s">
        <v>40</v>
      </c>
      <c r="C246" s="60">
        <f>'CAT-1'!T247+'CAT- 2'!T247+'CAT-3'!T247+'Tut-Ass-OA'!T247+'LAB Asseement'!R247</f>
        <v>0</v>
      </c>
      <c r="D246" s="60">
        <f>'CAT-1'!U247+'CAT- 2'!U247+'CAT-3'!U247+'Tut-Ass-OA'!U247+'LAB Asseement'!S247</f>
        <v>0</v>
      </c>
      <c r="E246" s="60">
        <f>'CAT-1'!V247+'CAT- 2'!V247+'CAT-3'!V247+'Tut-Ass-OA'!V247+'LAB Asseement'!T247</f>
        <v>0</v>
      </c>
      <c r="F246" s="60">
        <f>'CAT-1'!W247+'CAT- 2'!W247+'CAT-3'!W247+'Tut-Ass-OA'!W247+'LAB Asseement'!U247</f>
        <v>0</v>
      </c>
      <c r="G246" s="60">
        <f>'CAT-1'!X247+'CAT- 2'!X247+'CAT-3'!X247+'Tut-Ass-OA'!X247+'LAB Asseement'!V247</f>
        <v>0</v>
      </c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spans="1:23" ht="21.75" customHeight="1">
      <c r="A247" s="62" t="str">
        <f>BASE!B252</f>
        <v>23XXR237</v>
      </c>
      <c r="B247" s="121" t="s">
        <v>40</v>
      </c>
      <c r="C247" s="60">
        <f>'CAT-1'!T248+'CAT- 2'!T248+'CAT-3'!T248+'Tut-Ass-OA'!T248+'LAB Asseement'!R248</f>
        <v>0</v>
      </c>
      <c r="D247" s="60">
        <f>'CAT-1'!U248+'CAT- 2'!U248+'CAT-3'!U248+'Tut-Ass-OA'!U248+'LAB Asseement'!S248</f>
        <v>0</v>
      </c>
      <c r="E247" s="60">
        <f>'CAT-1'!V248+'CAT- 2'!V248+'CAT-3'!V248+'Tut-Ass-OA'!V248+'LAB Asseement'!T248</f>
        <v>0</v>
      </c>
      <c r="F247" s="60">
        <f>'CAT-1'!W248+'CAT- 2'!W248+'CAT-3'!W248+'Tut-Ass-OA'!W248+'LAB Asseement'!U248</f>
        <v>0</v>
      </c>
      <c r="G247" s="60">
        <f>'CAT-1'!X248+'CAT- 2'!X248+'CAT-3'!X248+'Tut-Ass-OA'!X248+'LAB Asseement'!V248</f>
        <v>0</v>
      </c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spans="1:23" ht="21.75" customHeight="1">
      <c r="A248" s="62" t="str">
        <f>BASE!B253</f>
        <v>23XXR238</v>
      </c>
      <c r="B248" s="121" t="s">
        <v>40</v>
      </c>
      <c r="C248" s="60">
        <f>'CAT-1'!T249+'CAT- 2'!T249+'CAT-3'!T249+'Tut-Ass-OA'!T249+'LAB Asseement'!R249</f>
        <v>0</v>
      </c>
      <c r="D248" s="60">
        <f>'CAT-1'!U249+'CAT- 2'!U249+'CAT-3'!U249+'Tut-Ass-OA'!U249+'LAB Asseement'!S249</f>
        <v>0</v>
      </c>
      <c r="E248" s="60">
        <f>'CAT-1'!V249+'CAT- 2'!V249+'CAT-3'!V249+'Tut-Ass-OA'!V249+'LAB Asseement'!T249</f>
        <v>0</v>
      </c>
      <c r="F248" s="60">
        <f>'CAT-1'!W249+'CAT- 2'!W249+'CAT-3'!W249+'Tut-Ass-OA'!W249+'LAB Asseement'!U249</f>
        <v>0</v>
      </c>
      <c r="G248" s="60">
        <f>'CAT-1'!X249+'CAT- 2'!X249+'CAT-3'!X249+'Tut-Ass-OA'!X249+'LAB Asseement'!V249</f>
        <v>0</v>
      </c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spans="1:23" ht="21.75" customHeight="1">
      <c r="A249" s="62" t="str">
        <f>BASE!B254</f>
        <v>23XXR239</v>
      </c>
      <c r="B249" s="121" t="s">
        <v>40</v>
      </c>
      <c r="C249" s="60">
        <f>'CAT-1'!T250+'CAT- 2'!T250+'CAT-3'!T250+'Tut-Ass-OA'!T250+'LAB Asseement'!R250</f>
        <v>0</v>
      </c>
      <c r="D249" s="60">
        <f>'CAT-1'!U250+'CAT- 2'!U250+'CAT-3'!U250+'Tut-Ass-OA'!U250+'LAB Asseement'!S250</f>
        <v>0</v>
      </c>
      <c r="E249" s="60">
        <f>'CAT-1'!V250+'CAT- 2'!V250+'CAT-3'!V250+'Tut-Ass-OA'!V250+'LAB Asseement'!T250</f>
        <v>0</v>
      </c>
      <c r="F249" s="60">
        <f>'CAT-1'!W250+'CAT- 2'!W250+'CAT-3'!W250+'Tut-Ass-OA'!W250+'LAB Asseement'!U250</f>
        <v>0</v>
      </c>
      <c r="G249" s="60">
        <f>'CAT-1'!X250+'CAT- 2'!X250+'CAT-3'!X250+'Tut-Ass-OA'!X250+'LAB Asseement'!V250</f>
        <v>0</v>
      </c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spans="1:23" ht="21.75" customHeight="1">
      <c r="A250" s="62" t="str">
        <f>BASE!B255</f>
        <v>23XXR240</v>
      </c>
      <c r="B250" s="121" t="s">
        <v>40</v>
      </c>
      <c r="C250" s="60">
        <f>'CAT-1'!T251+'CAT- 2'!T251+'CAT-3'!T251+'Tut-Ass-OA'!T251+'LAB Asseement'!R251</f>
        <v>0</v>
      </c>
      <c r="D250" s="60">
        <f>'CAT-1'!U251+'CAT- 2'!U251+'CAT-3'!U251+'Tut-Ass-OA'!U251+'LAB Asseement'!S251</f>
        <v>0</v>
      </c>
      <c r="E250" s="60">
        <f>'CAT-1'!V251+'CAT- 2'!V251+'CAT-3'!V251+'Tut-Ass-OA'!V251+'LAB Asseement'!T251</f>
        <v>0</v>
      </c>
      <c r="F250" s="60">
        <f>'CAT-1'!W251+'CAT- 2'!W251+'CAT-3'!W251+'Tut-Ass-OA'!W251+'LAB Asseement'!U251</f>
        <v>0</v>
      </c>
      <c r="G250" s="60">
        <f>'CAT-1'!X251+'CAT- 2'!X251+'CAT-3'!X251+'Tut-Ass-OA'!X251+'LAB Asseement'!V251</f>
        <v>0</v>
      </c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spans="1:23" ht="21.75" customHeight="1">
      <c r="A251" s="62" t="str">
        <f>BASE!B256</f>
        <v>23XXR241</v>
      </c>
      <c r="B251" s="121" t="s">
        <v>40</v>
      </c>
      <c r="C251" s="60">
        <f>'CAT-1'!T252+'CAT- 2'!T252+'CAT-3'!T252+'Tut-Ass-OA'!T252+'LAB Asseement'!R252</f>
        <v>0</v>
      </c>
      <c r="D251" s="60">
        <f>'CAT-1'!U252+'CAT- 2'!U252+'CAT-3'!U252+'Tut-Ass-OA'!U252+'LAB Asseement'!S252</f>
        <v>0</v>
      </c>
      <c r="E251" s="60">
        <f>'CAT-1'!V252+'CAT- 2'!V252+'CAT-3'!V252+'Tut-Ass-OA'!V252+'LAB Asseement'!T252</f>
        <v>0</v>
      </c>
      <c r="F251" s="60">
        <f>'CAT-1'!W252+'CAT- 2'!W252+'CAT-3'!W252+'Tut-Ass-OA'!W252+'LAB Asseement'!U252</f>
        <v>0</v>
      </c>
      <c r="G251" s="60">
        <f>'CAT-1'!X252+'CAT- 2'!X252+'CAT-3'!X252+'Tut-Ass-OA'!X252+'LAB Asseement'!V252</f>
        <v>0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spans="1:23" ht="21.75" customHeight="1">
      <c r="A252" s="62" t="str">
        <f>BASE!B257</f>
        <v>23XXR242</v>
      </c>
      <c r="B252" s="121" t="s">
        <v>40</v>
      </c>
      <c r="C252" s="60">
        <f>'CAT-1'!T253+'CAT- 2'!T253+'CAT-3'!T253+'Tut-Ass-OA'!T253+'LAB Asseement'!R253</f>
        <v>0</v>
      </c>
      <c r="D252" s="60">
        <f>'CAT-1'!U253+'CAT- 2'!U253+'CAT-3'!U253+'Tut-Ass-OA'!U253+'LAB Asseement'!S253</f>
        <v>0</v>
      </c>
      <c r="E252" s="60">
        <f>'CAT-1'!V253+'CAT- 2'!V253+'CAT-3'!V253+'Tut-Ass-OA'!V253+'LAB Asseement'!T253</f>
        <v>0</v>
      </c>
      <c r="F252" s="60">
        <f>'CAT-1'!W253+'CAT- 2'!W253+'CAT-3'!W253+'Tut-Ass-OA'!W253+'LAB Asseement'!U253</f>
        <v>0</v>
      </c>
      <c r="G252" s="60">
        <f>'CAT-1'!X253+'CAT- 2'!X253+'CAT-3'!X253+'Tut-Ass-OA'!X253+'LAB Asseement'!V253</f>
        <v>0</v>
      </c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spans="1:23" ht="21.75" customHeight="1">
      <c r="A253" s="62" t="str">
        <f>BASE!B258</f>
        <v>23XXR243</v>
      </c>
      <c r="B253" s="121" t="s">
        <v>40</v>
      </c>
      <c r="C253" s="60">
        <f>'CAT-1'!T254+'CAT- 2'!T254+'CAT-3'!T254+'Tut-Ass-OA'!T254+'LAB Asseement'!R254</f>
        <v>0</v>
      </c>
      <c r="D253" s="60">
        <f>'CAT-1'!U254+'CAT- 2'!U254+'CAT-3'!U254+'Tut-Ass-OA'!U254+'LAB Asseement'!S254</f>
        <v>0</v>
      </c>
      <c r="E253" s="60">
        <f>'CAT-1'!V254+'CAT- 2'!V254+'CAT-3'!V254+'Tut-Ass-OA'!V254+'LAB Asseement'!T254</f>
        <v>0</v>
      </c>
      <c r="F253" s="60">
        <f>'CAT-1'!W254+'CAT- 2'!W254+'CAT-3'!W254+'Tut-Ass-OA'!W254+'LAB Asseement'!U254</f>
        <v>0</v>
      </c>
      <c r="G253" s="60">
        <f>'CAT-1'!X254+'CAT- 2'!X254+'CAT-3'!X254+'Tut-Ass-OA'!X254+'LAB Asseement'!V254</f>
        <v>0</v>
      </c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spans="1:23" ht="21.75" customHeight="1">
      <c r="A254" s="62" t="str">
        <f>BASE!B259</f>
        <v>23XXR244</v>
      </c>
      <c r="B254" s="121" t="s">
        <v>40</v>
      </c>
      <c r="C254" s="60">
        <f>'CAT-1'!T255+'CAT- 2'!T255+'CAT-3'!T255+'Tut-Ass-OA'!T255+'LAB Asseement'!R255</f>
        <v>0</v>
      </c>
      <c r="D254" s="60">
        <f>'CAT-1'!U255+'CAT- 2'!U255+'CAT-3'!U255+'Tut-Ass-OA'!U255+'LAB Asseement'!S255</f>
        <v>0</v>
      </c>
      <c r="E254" s="60">
        <f>'CAT-1'!V255+'CAT- 2'!V255+'CAT-3'!V255+'Tut-Ass-OA'!V255+'LAB Asseement'!T255</f>
        <v>0</v>
      </c>
      <c r="F254" s="60">
        <f>'CAT-1'!W255+'CAT- 2'!W255+'CAT-3'!W255+'Tut-Ass-OA'!W255+'LAB Asseement'!U255</f>
        <v>0</v>
      </c>
      <c r="G254" s="60">
        <f>'CAT-1'!X255+'CAT- 2'!X255+'CAT-3'!X255+'Tut-Ass-OA'!X255+'LAB Asseement'!V255</f>
        <v>0</v>
      </c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spans="1:23" ht="21.75" customHeight="1">
      <c r="A255" s="62" t="str">
        <f>BASE!B260</f>
        <v>23XXR245</v>
      </c>
      <c r="B255" s="121" t="s">
        <v>40</v>
      </c>
      <c r="C255" s="60">
        <f>'CAT-1'!T256+'CAT- 2'!T256+'CAT-3'!T256+'Tut-Ass-OA'!T256+'LAB Asseement'!R256</f>
        <v>0</v>
      </c>
      <c r="D255" s="60">
        <f>'CAT-1'!U256+'CAT- 2'!U256+'CAT-3'!U256+'Tut-Ass-OA'!U256+'LAB Asseement'!S256</f>
        <v>0</v>
      </c>
      <c r="E255" s="60">
        <f>'CAT-1'!V256+'CAT- 2'!V256+'CAT-3'!V256+'Tut-Ass-OA'!V256+'LAB Asseement'!T256</f>
        <v>0</v>
      </c>
      <c r="F255" s="60">
        <f>'CAT-1'!W256+'CAT- 2'!W256+'CAT-3'!W256+'Tut-Ass-OA'!W256+'LAB Asseement'!U256</f>
        <v>0</v>
      </c>
      <c r="G255" s="60">
        <f>'CAT-1'!X256+'CAT- 2'!X256+'CAT-3'!X256+'Tut-Ass-OA'!X256+'LAB Asseement'!V256</f>
        <v>0</v>
      </c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spans="1:23" ht="21.75" customHeight="1">
      <c r="A256" s="62" t="str">
        <f>BASE!B261</f>
        <v>23XXR246</v>
      </c>
      <c r="B256" s="121" t="s">
        <v>40</v>
      </c>
      <c r="C256" s="60">
        <f>'CAT-1'!T257+'CAT- 2'!T257+'CAT-3'!T257+'Tut-Ass-OA'!T257+'LAB Asseement'!R257</f>
        <v>0</v>
      </c>
      <c r="D256" s="60">
        <f>'CAT-1'!U257+'CAT- 2'!U257+'CAT-3'!U257+'Tut-Ass-OA'!U257+'LAB Asseement'!S257</f>
        <v>0</v>
      </c>
      <c r="E256" s="60">
        <f>'CAT-1'!V257+'CAT- 2'!V257+'CAT-3'!V257+'Tut-Ass-OA'!V257+'LAB Asseement'!T257</f>
        <v>0</v>
      </c>
      <c r="F256" s="60">
        <f>'CAT-1'!W257+'CAT- 2'!W257+'CAT-3'!W257+'Tut-Ass-OA'!W257+'LAB Asseement'!U257</f>
        <v>0</v>
      </c>
      <c r="G256" s="60">
        <f>'CAT-1'!X257+'CAT- 2'!X257+'CAT-3'!X257+'Tut-Ass-OA'!X257+'LAB Asseement'!V257</f>
        <v>0</v>
      </c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spans="1:23" ht="21.75" customHeight="1">
      <c r="A257" s="62" t="str">
        <f>BASE!B262</f>
        <v>23XXR247</v>
      </c>
      <c r="B257" s="121" t="s">
        <v>40</v>
      </c>
      <c r="C257" s="60">
        <f>'CAT-1'!T258+'CAT- 2'!T258+'CAT-3'!T258+'Tut-Ass-OA'!T258+'LAB Asseement'!R258</f>
        <v>0</v>
      </c>
      <c r="D257" s="60">
        <f>'CAT-1'!U258+'CAT- 2'!U258+'CAT-3'!U258+'Tut-Ass-OA'!U258+'LAB Asseement'!S258</f>
        <v>0</v>
      </c>
      <c r="E257" s="60">
        <f>'CAT-1'!V258+'CAT- 2'!V258+'CAT-3'!V258+'Tut-Ass-OA'!V258+'LAB Asseement'!T258</f>
        <v>0</v>
      </c>
      <c r="F257" s="60">
        <f>'CAT-1'!W258+'CAT- 2'!W258+'CAT-3'!W258+'Tut-Ass-OA'!W258+'LAB Asseement'!U258</f>
        <v>0</v>
      </c>
      <c r="G257" s="60">
        <f>'CAT-1'!X258+'CAT- 2'!X258+'CAT-3'!X258+'Tut-Ass-OA'!X258+'LAB Asseement'!V258</f>
        <v>0</v>
      </c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spans="1:23" ht="21.75" customHeight="1">
      <c r="A258" s="62" t="str">
        <f>BASE!B263</f>
        <v>23XXR248</v>
      </c>
      <c r="B258" s="121" t="s">
        <v>40</v>
      </c>
      <c r="C258" s="60">
        <f>'CAT-1'!T259+'CAT- 2'!T259+'CAT-3'!T259+'Tut-Ass-OA'!T259+'LAB Asseement'!R259</f>
        <v>0</v>
      </c>
      <c r="D258" s="60">
        <f>'CAT-1'!U259+'CAT- 2'!U259+'CAT-3'!U259+'Tut-Ass-OA'!U259+'LAB Asseement'!S259</f>
        <v>0</v>
      </c>
      <c r="E258" s="60">
        <f>'CAT-1'!V259+'CAT- 2'!V259+'CAT-3'!V259+'Tut-Ass-OA'!V259+'LAB Asseement'!T259</f>
        <v>0</v>
      </c>
      <c r="F258" s="60">
        <f>'CAT-1'!W259+'CAT- 2'!W259+'CAT-3'!W259+'Tut-Ass-OA'!W259+'LAB Asseement'!U259</f>
        <v>0</v>
      </c>
      <c r="G258" s="60">
        <f>'CAT-1'!X259+'CAT- 2'!X259+'CAT-3'!X259+'Tut-Ass-OA'!X259+'LAB Asseement'!V259</f>
        <v>0</v>
      </c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spans="1:23" ht="21.75" customHeight="1">
      <c r="A259" s="62" t="str">
        <f>BASE!B264</f>
        <v>23XXR249</v>
      </c>
      <c r="B259" s="121" t="s">
        <v>40</v>
      </c>
      <c r="C259" s="60">
        <f>'CAT-1'!T260+'CAT- 2'!T260+'CAT-3'!T260+'Tut-Ass-OA'!T260+'LAB Asseement'!R260</f>
        <v>0</v>
      </c>
      <c r="D259" s="60">
        <f>'CAT-1'!U260+'CAT- 2'!U260+'CAT-3'!U260+'Tut-Ass-OA'!U260+'LAB Asseement'!S260</f>
        <v>0</v>
      </c>
      <c r="E259" s="60">
        <f>'CAT-1'!V260+'CAT- 2'!V260+'CAT-3'!V260+'Tut-Ass-OA'!V260+'LAB Asseement'!T260</f>
        <v>0</v>
      </c>
      <c r="F259" s="60">
        <f>'CAT-1'!W260+'CAT- 2'!W260+'CAT-3'!W260+'Tut-Ass-OA'!W260+'LAB Asseement'!U260</f>
        <v>0</v>
      </c>
      <c r="G259" s="60">
        <f>'CAT-1'!X260+'CAT- 2'!X260+'CAT-3'!X260+'Tut-Ass-OA'!X260+'LAB Asseement'!V260</f>
        <v>0</v>
      </c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spans="1:23" ht="21.75" customHeight="1">
      <c r="A260" s="62" t="str">
        <f>BASE!B265</f>
        <v>23XXR250</v>
      </c>
      <c r="B260" s="121" t="s">
        <v>40</v>
      </c>
      <c r="C260" s="60">
        <f>'CAT-1'!T261+'CAT- 2'!T261+'CAT-3'!T261+'Tut-Ass-OA'!T261+'LAB Asseement'!R261</f>
        <v>0</v>
      </c>
      <c r="D260" s="60">
        <f>'CAT-1'!U261+'CAT- 2'!U261+'CAT-3'!U261+'Tut-Ass-OA'!U261+'LAB Asseement'!S261</f>
        <v>0</v>
      </c>
      <c r="E260" s="60">
        <f>'CAT-1'!V261+'CAT- 2'!V261+'CAT-3'!V261+'Tut-Ass-OA'!V261+'LAB Asseement'!T261</f>
        <v>0</v>
      </c>
      <c r="F260" s="60">
        <f>'CAT-1'!W261+'CAT- 2'!W261+'CAT-3'!W261+'Tut-Ass-OA'!W261+'LAB Asseement'!U261</f>
        <v>0</v>
      </c>
      <c r="G260" s="60">
        <f>'CAT-1'!X261+'CAT- 2'!X261+'CAT-3'!X261+'Tut-Ass-OA'!X261+'LAB Asseement'!V261</f>
        <v>0</v>
      </c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spans="1:23" ht="21.75" customHeight="1">
      <c r="A261" s="62" t="str">
        <f>BASE!B266</f>
        <v>23XXR251</v>
      </c>
      <c r="B261" s="121" t="s">
        <v>40</v>
      </c>
      <c r="C261" s="60">
        <f>'CAT-1'!T262+'CAT- 2'!T262+'CAT-3'!T262+'Tut-Ass-OA'!T262+'LAB Asseement'!R262</f>
        <v>0</v>
      </c>
      <c r="D261" s="60">
        <f>'CAT-1'!U262+'CAT- 2'!U262+'CAT-3'!U262+'Tut-Ass-OA'!U262+'LAB Asseement'!S262</f>
        <v>0</v>
      </c>
      <c r="E261" s="60">
        <f>'CAT-1'!V262+'CAT- 2'!V262+'CAT-3'!V262+'Tut-Ass-OA'!V262+'LAB Asseement'!T262</f>
        <v>0</v>
      </c>
      <c r="F261" s="60">
        <f>'CAT-1'!W262+'CAT- 2'!W262+'CAT-3'!W262+'Tut-Ass-OA'!W262+'LAB Asseement'!U262</f>
        <v>0</v>
      </c>
      <c r="G261" s="60">
        <f>'CAT-1'!X262+'CAT- 2'!X262+'CAT-3'!X262+'Tut-Ass-OA'!X262+'LAB Asseement'!V262</f>
        <v>0</v>
      </c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spans="1:23" ht="21.75" customHeight="1">
      <c r="A262" s="62" t="str">
        <f>BASE!B267</f>
        <v>23XXR252</v>
      </c>
      <c r="B262" s="121" t="s">
        <v>40</v>
      </c>
      <c r="C262" s="60">
        <f>'CAT-1'!T263+'CAT- 2'!T263+'CAT-3'!T263+'Tut-Ass-OA'!T263+'LAB Asseement'!R263</f>
        <v>0</v>
      </c>
      <c r="D262" s="60">
        <f>'CAT-1'!U263+'CAT- 2'!U263+'CAT-3'!U263+'Tut-Ass-OA'!U263+'LAB Asseement'!S263</f>
        <v>0</v>
      </c>
      <c r="E262" s="60">
        <f>'CAT-1'!V263+'CAT- 2'!V263+'CAT-3'!V263+'Tut-Ass-OA'!V263+'LAB Asseement'!T263</f>
        <v>0</v>
      </c>
      <c r="F262" s="60">
        <f>'CAT-1'!W263+'CAT- 2'!W263+'CAT-3'!W263+'Tut-Ass-OA'!W263+'LAB Asseement'!U263</f>
        <v>0</v>
      </c>
      <c r="G262" s="60">
        <f>'CAT-1'!X263+'CAT- 2'!X263+'CAT-3'!X263+'Tut-Ass-OA'!X263+'LAB Asseement'!V263</f>
        <v>0</v>
      </c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spans="1:23" ht="21.75" customHeight="1">
      <c r="A263" s="62" t="str">
        <f>BASE!B268</f>
        <v>23XXR253</v>
      </c>
      <c r="B263" s="121" t="s">
        <v>40</v>
      </c>
      <c r="C263" s="60">
        <f>'CAT-1'!T264+'CAT- 2'!T264+'CAT-3'!T264+'Tut-Ass-OA'!T264+'LAB Asseement'!R264</f>
        <v>0</v>
      </c>
      <c r="D263" s="60">
        <f>'CAT-1'!U264+'CAT- 2'!U264+'CAT-3'!U264+'Tut-Ass-OA'!U264+'LAB Asseement'!S264</f>
        <v>0</v>
      </c>
      <c r="E263" s="60">
        <f>'CAT-1'!V264+'CAT- 2'!V264+'CAT-3'!V264+'Tut-Ass-OA'!V264+'LAB Asseement'!T264</f>
        <v>0</v>
      </c>
      <c r="F263" s="60">
        <f>'CAT-1'!W264+'CAT- 2'!W264+'CAT-3'!W264+'Tut-Ass-OA'!W264+'LAB Asseement'!U264</f>
        <v>0</v>
      </c>
      <c r="G263" s="60">
        <f>'CAT-1'!X264+'CAT- 2'!X264+'CAT-3'!X264+'Tut-Ass-OA'!X264+'LAB Asseement'!V264</f>
        <v>0</v>
      </c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spans="1:23" ht="21.75" customHeight="1">
      <c r="A264" s="62" t="str">
        <f>BASE!B269</f>
        <v>23XXR254</v>
      </c>
      <c r="B264" s="121" t="s">
        <v>40</v>
      </c>
      <c r="C264" s="60">
        <f>'CAT-1'!T265+'CAT- 2'!T265+'CAT-3'!T265+'Tut-Ass-OA'!T265+'LAB Asseement'!R265</f>
        <v>0</v>
      </c>
      <c r="D264" s="60">
        <f>'CAT-1'!U265+'CAT- 2'!U265+'CAT-3'!U265+'Tut-Ass-OA'!U265+'LAB Asseement'!S265</f>
        <v>0</v>
      </c>
      <c r="E264" s="60">
        <f>'CAT-1'!V265+'CAT- 2'!V265+'CAT-3'!V265+'Tut-Ass-OA'!V265+'LAB Asseement'!T265</f>
        <v>0</v>
      </c>
      <c r="F264" s="60">
        <f>'CAT-1'!W265+'CAT- 2'!W265+'CAT-3'!W265+'Tut-Ass-OA'!W265+'LAB Asseement'!U265</f>
        <v>0</v>
      </c>
      <c r="G264" s="60">
        <f>'CAT-1'!X265+'CAT- 2'!X265+'CAT-3'!X265+'Tut-Ass-OA'!X265+'LAB Asseement'!V265</f>
        <v>0</v>
      </c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spans="1:23" ht="21.75" customHeight="1">
      <c r="A265" s="62" t="str">
        <f>BASE!B270</f>
        <v>23XXR255</v>
      </c>
      <c r="B265" s="121" t="s">
        <v>40</v>
      </c>
      <c r="C265" s="60">
        <f>'CAT-1'!T266+'CAT- 2'!T266+'CAT-3'!T266+'Tut-Ass-OA'!T266+'LAB Asseement'!R266</f>
        <v>0</v>
      </c>
      <c r="D265" s="60">
        <f>'CAT-1'!U266+'CAT- 2'!U266+'CAT-3'!U266+'Tut-Ass-OA'!U266+'LAB Asseement'!S266</f>
        <v>0</v>
      </c>
      <c r="E265" s="60">
        <f>'CAT-1'!V266+'CAT- 2'!V266+'CAT-3'!V266+'Tut-Ass-OA'!V266+'LAB Asseement'!T266</f>
        <v>0</v>
      </c>
      <c r="F265" s="60">
        <f>'CAT-1'!W266+'CAT- 2'!W266+'CAT-3'!W266+'Tut-Ass-OA'!W266+'LAB Asseement'!U266</f>
        <v>0</v>
      </c>
      <c r="G265" s="60">
        <f>'CAT-1'!X266+'CAT- 2'!X266+'CAT-3'!X266+'Tut-Ass-OA'!X266+'LAB Asseement'!V266</f>
        <v>0</v>
      </c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spans="1:23" ht="21.75" customHeight="1">
      <c r="A266" s="62" t="str">
        <f>BASE!B271</f>
        <v>23XXR256</v>
      </c>
      <c r="B266" s="121" t="s">
        <v>40</v>
      </c>
      <c r="C266" s="60">
        <f>'CAT-1'!T267+'CAT- 2'!T267+'CAT-3'!T267+'Tut-Ass-OA'!T267+'LAB Asseement'!R267</f>
        <v>0</v>
      </c>
      <c r="D266" s="60">
        <f>'CAT-1'!U267+'CAT- 2'!U267+'CAT-3'!U267+'Tut-Ass-OA'!U267+'LAB Asseement'!S267</f>
        <v>0</v>
      </c>
      <c r="E266" s="60">
        <f>'CAT-1'!V267+'CAT- 2'!V267+'CAT-3'!V267+'Tut-Ass-OA'!V267+'LAB Asseement'!T267</f>
        <v>0</v>
      </c>
      <c r="F266" s="60">
        <f>'CAT-1'!W267+'CAT- 2'!W267+'CAT-3'!W267+'Tut-Ass-OA'!W267+'LAB Asseement'!U267</f>
        <v>0</v>
      </c>
      <c r="G266" s="60">
        <f>'CAT-1'!X267+'CAT- 2'!X267+'CAT-3'!X267+'Tut-Ass-OA'!X267+'LAB Asseement'!V267</f>
        <v>0</v>
      </c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spans="1:23" ht="21.75" customHeight="1">
      <c r="A267" s="62" t="str">
        <f>BASE!B272</f>
        <v>23XXR257</v>
      </c>
      <c r="B267" s="121" t="s">
        <v>40</v>
      </c>
      <c r="C267" s="60">
        <f>'CAT-1'!T268+'CAT- 2'!T268+'CAT-3'!T268+'Tut-Ass-OA'!T268+'LAB Asseement'!R268</f>
        <v>0</v>
      </c>
      <c r="D267" s="60">
        <f>'CAT-1'!U268+'CAT- 2'!U268+'CAT-3'!U268+'Tut-Ass-OA'!U268+'LAB Asseement'!S268</f>
        <v>0</v>
      </c>
      <c r="E267" s="60">
        <f>'CAT-1'!V268+'CAT- 2'!V268+'CAT-3'!V268+'Tut-Ass-OA'!V268+'LAB Asseement'!T268</f>
        <v>0</v>
      </c>
      <c r="F267" s="60">
        <f>'CAT-1'!W268+'CAT- 2'!W268+'CAT-3'!W268+'Tut-Ass-OA'!W268+'LAB Asseement'!U268</f>
        <v>0</v>
      </c>
      <c r="G267" s="60">
        <f>'CAT-1'!X268+'CAT- 2'!X268+'CAT-3'!X268+'Tut-Ass-OA'!X268+'LAB Asseement'!V268</f>
        <v>0</v>
      </c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spans="1:23" ht="21.75" customHeight="1">
      <c r="A268" s="62" t="str">
        <f>BASE!B273</f>
        <v>23XXR258</v>
      </c>
      <c r="B268" s="121" t="s">
        <v>40</v>
      </c>
      <c r="C268" s="60">
        <f>'CAT-1'!T269+'CAT- 2'!T269+'CAT-3'!T269+'Tut-Ass-OA'!T269+'LAB Asseement'!R269</f>
        <v>0</v>
      </c>
      <c r="D268" s="60">
        <f>'CAT-1'!U269+'CAT- 2'!U269+'CAT-3'!U269+'Tut-Ass-OA'!U269+'LAB Asseement'!S269</f>
        <v>0</v>
      </c>
      <c r="E268" s="60">
        <f>'CAT-1'!V269+'CAT- 2'!V269+'CAT-3'!V269+'Tut-Ass-OA'!V269+'LAB Asseement'!T269</f>
        <v>0</v>
      </c>
      <c r="F268" s="60">
        <f>'CAT-1'!W269+'CAT- 2'!W269+'CAT-3'!W269+'Tut-Ass-OA'!W269+'LAB Asseement'!U269</f>
        <v>0</v>
      </c>
      <c r="G268" s="60">
        <f>'CAT-1'!X269+'CAT- 2'!X269+'CAT-3'!X269+'Tut-Ass-OA'!X269+'LAB Asseement'!V269</f>
        <v>0</v>
      </c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spans="1:23" ht="21.75" customHeight="1">
      <c r="A269" s="62" t="str">
        <f>BASE!B274</f>
        <v>23XXR259</v>
      </c>
      <c r="B269" s="121" t="s">
        <v>40</v>
      </c>
      <c r="C269" s="60">
        <f>'CAT-1'!T270+'CAT- 2'!T270+'CAT-3'!T270+'Tut-Ass-OA'!T270+'LAB Asseement'!R270</f>
        <v>0</v>
      </c>
      <c r="D269" s="60">
        <f>'CAT-1'!U270+'CAT- 2'!U270+'CAT-3'!U270+'Tut-Ass-OA'!U270+'LAB Asseement'!S270</f>
        <v>0</v>
      </c>
      <c r="E269" s="60">
        <f>'CAT-1'!V270+'CAT- 2'!V270+'CAT-3'!V270+'Tut-Ass-OA'!V270+'LAB Asseement'!T270</f>
        <v>0</v>
      </c>
      <c r="F269" s="60">
        <f>'CAT-1'!W270+'CAT- 2'!W270+'CAT-3'!W270+'Tut-Ass-OA'!W270+'LAB Asseement'!U270</f>
        <v>0</v>
      </c>
      <c r="G269" s="60">
        <f>'CAT-1'!X270+'CAT- 2'!X270+'CAT-3'!X270+'Tut-Ass-OA'!X270+'LAB Asseement'!V270</f>
        <v>0</v>
      </c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spans="1:23" ht="21.75" customHeight="1">
      <c r="A270" s="62" t="str">
        <f>BASE!B275</f>
        <v>23XXR260</v>
      </c>
      <c r="B270" s="121" t="s">
        <v>40</v>
      </c>
      <c r="C270" s="60">
        <f>'CAT-1'!T271+'CAT- 2'!T271+'CAT-3'!T271+'Tut-Ass-OA'!T271+'LAB Asseement'!R271</f>
        <v>0</v>
      </c>
      <c r="D270" s="60">
        <f>'CAT-1'!U271+'CAT- 2'!U271+'CAT-3'!U271+'Tut-Ass-OA'!U271+'LAB Asseement'!S271</f>
        <v>0</v>
      </c>
      <c r="E270" s="60">
        <f>'CAT-1'!V271+'CAT- 2'!V271+'CAT-3'!V271+'Tut-Ass-OA'!V271+'LAB Asseement'!T271</f>
        <v>0</v>
      </c>
      <c r="F270" s="60">
        <f>'CAT-1'!W271+'CAT- 2'!W271+'CAT-3'!W271+'Tut-Ass-OA'!W271+'LAB Asseement'!U271</f>
        <v>0</v>
      </c>
      <c r="G270" s="60">
        <f>'CAT-1'!X271+'CAT- 2'!X271+'CAT-3'!X271+'Tut-Ass-OA'!X271+'LAB Asseement'!V271</f>
        <v>0</v>
      </c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spans="1:23" ht="21.75" customHeight="1">
      <c r="A271" s="62" t="str">
        <f>BASE!B276</f>
        <v>23XXR261</v>
      </c>
      <c r="B271" s="121" t="s">
        <v>40</v>
      </c>
      <c r="C271" s="60">
        <f>'CAT-1'!T272+'CAT- 2'!T272+'CAT-3'!T272+'Tut-Ass-OA'!T272+'LAB Asseement'!R272</f>
        <v>0</v>
      </c>
      <c r="D271" s="60">
        <f>'CAT-1'!U272+'CAT- 2'!U272+'CAT-3'!U272+'Tut-Ass-OA'!U272+'LAB Asseement'!S272</f>
        <v>0</v>
      </c>
      <c r="E271" s="60">
        <f>'CAT-1'!V272+'CAT- 2'!V272+'CAT-3'!V272+'Tut-Ass-OA'!V272+'LAB Asseement'!T272</f>
        <v>0</v>
      </c>
      <c r="F271" s="60">
        <f>'CAT-1'!W272+'CAT- 2'!W272+'CAT-3'!W272+'Tut-Ass-OA'!W272+'LAB Asseement'!U272</f>
        <v>0</v>
      </c>
      <c r="G271" s="60">
        <f>'CAT-1'!X272+'CAT- 2'!X272+'CAT-3'!X272+'Tut-Ass-OA'!X272+'LAB Asseement'!V272</f>
        <v>0</v>
      </c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spans="1:23" ht="21.75" customHeight="1">
      <c r="A272" s="62" t="str">
        <f>BASE!B277</f>
        <v>23XXR262</v>
      </c>
      <c r="B272" s="121" t="s">
        <v>40</v>
      </c>
      <c r="C272" s="60">
        <f>'CAT-1'!T273+'CAT- 2'!T273+'CAT-3'!T273+'Tut-Ass-OA'!T273+'LAB Asseement'!R273</f>
        <v>0</v>
      </c>
      <c r="D272" s="60">
        <f>'CAT-1'!U273+'CAT- 2'!U273+'CAT-3'!U273+'Tut-Ass-OA'!U273+'LAB Asseement'!S273</f>
        <v>0</v>
      </c>
      <c r="E272" s="60">
        <f>'CAT-1'!V273+'CAT- 2'!V273+'CAT-3'!V273+'Tut-Ass-OA'!V273+'LAB Asseement'!T273</f>
        <v>0</v>
      </c>
      <c r="F272" s="60">
        <f>'CAT-1'!W273+'CAT- 2'!W273+'CAT-3'!W273+'Tut-Ass-OA'!W273+'LAB Asseement'!U273</f>
        <v>0</v>
      </c>
      <c r="G272" s="60">
        <f>'CAT-1'!X273+'CAT- 2'!X273+'CAT-3'!X273+'Tut-Ass-OA'!X273+'LAB Asseement'!V273</f>
        <v>0</v>
      </c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spans="1:23" ht="21.75" customHeight="1">
      <c r="A273" s="62" t="str">
        <f>BASE!B278</f>
        <v>23XXR263</v>
      </c>
      <c r="B273" s="121" t="s">
        <v>40</v>
      </c>
      <c r="C273" s="60">
        <f>'CAT-1'!T274+'CAT- 2'!T274+'CAT-3'!T274+'Tut-Ass-OA'!T274+'LAB Asseement'!R274</f>
        <v>0</v>
      </c>
      <c r="D273" s="60">
        <f>'CAT-1'!U274+'CAT- 2'!U274+'CAT-3'!U274+'Tut-Ass-OA'!U274+'LAB Asseement'!S274</f>
        <v>0</v>
      </c>
      <c r="E273" s="60">
        <f>'CAT-1'!V274+'CAT- 2'!V274+'CAT-3'!V274+'Tut-Ass-OA'!V274+'LAB Asseement'!T274</f>
        <v>0</v>
      </c>
      <c r="F273" s="60">
        <f>'CAT-1'!W274+'CAT- 2'!W274+'CAT-3'!W274+'Tut-Ass-OA'!W274+'LAB Asseement'!U274</f>
        <v>0</v>
      </c>
      <c r="G273" s="60">
        <f>'CAT-1'!X274+'CAT- 2'!X274+'CAT-3'!X274+'Tut-Ass-OA'!X274+'LAB Asseement'!V274</f>
        <v>0</v>
      </c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spans="1:23" ht="21.75" customHeight="1">
      <c r="A274" s="62" t="str">
        <f>BASE!B279</f>
        <v>23XXR264</v>
      </c>
      <c r="B274" s="121" t="s">
        <v>40</v>
      </c>
      <c r="C274" s="60">
        <f>'CAT-1'!T275+'CAT- 2'!T275+'CAT-3'!T275+'Tut-Ass-OA'!T275+'LAB Asseement'!R275</f>
        <v>0</v>
      </c>
      <c r="D274" s="60">
        <f>'CAT-1'!U275+'CAT- 2'!U275+'CAT-3'!U275+'Tut-Ass-OA'!U275+'LAB Asseement'!S275</f>
        <v>0</v>
      </c>
      <c r="E274" s="60">
        <f>'CAT-1'!V275+'CAT- 2'!V275+'CAT-3'!V275+'Tut-Ass-OA'!V275+'LAB Asseement'!T275</f>
        <v>0</v>
      </c>
      <c r="F274" s="60">
        <f>'CAT-1'!W275+'CAT- 2'!W275+'CAT-3'!W275+'Tut-Ass-OA'!W275+'LAB Asseement'!U275</f>
        <v>0</v>
      </c>
      <c r="G274" s="60">
        <f>'CAT-1'!X275+'CAT- 2'!X275+'CAT-3'!X275+'Tut-Ass-OA'!X275+'LAB Asseement'!V275</f>
        <v>0</v>
      </c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spans="1:23" ht="21.75" customHeight="1">
      <c r="A275" s="62" t="str">
        <f>BASE!B280</f>
        <v>23XXR265</v>
      </c>
      <c r="B275" s="121" t="s">
        <v>40</v>
      </c>
      <c r="C275" s="60">
        <f>'CAT-1'!T276+'CAT- 2'!T276+'CAT-3'!T276+'Tut-Ass-OA'!T276+'LAB Asseement'!R276</f>
        <v>0</v>
      </c>
      <c r="D275" s="60">
        <f>'CAT-1'!U276+'CAT- 2'!U276+'CAT-3'!U276+'Tut-Ass-OA'!U276+'LAB Asseement'!S276</f>
        <v>0</v>
      </c>
      <c r="E275" s="60">
        <f>'CAT-1'!V276+'CAT- 2'!V276+'CAT-3'!V276+'Tut-Ass-OA'!V276+'LAB Asseement'!T276</f>
        <v>0</v>
      </c>
      <c r="F275" s="60">
        <f>'CAT-1'!W276+'CAT- 2'!W276+'CAT-3'!W276+'Tut-Ass-OA'!W276+'LAB Asseement'!U276</f>
        <v>0</v>
      </c>
      <c r="G275" s="60">
        <f>'CAT-1'!X276+'CAT- 2'!X276+'CAT-3'!X276+'Tut-Ass-OA'!X276+'LAB Asseement'!V276</f>
        <v>0</v>
      </c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spans="1:23" ht="21.75" customHeight="1">
      <c r="A276" s="62" t="str">
        <f>BASE!B281</f>
        <v>23XXR266</v>
      </c>
      <c r="B276" s="121" t="s">
        <v>40</v>
      </c>
      <c r="C276" s="60">
        <f>'CAT-1'!T277+'CAT- 2'!T277+'CAT-3'!T277+'Tut-Ass-OA'!T277+'LAB Asseement'!R277</f>
        <v>0</v>
      </c>
      <c r="D276" s="60">
        <f>'CAT-1'!U277+'CAT- 2'!U277+'CAT-3'!U277+'Tut-Ass-OA'!U277+'LAB Asseement'!S277</f>
        <v>0</v>
      </c>
      <c r="E276" s="60">
        <f>'CAT-1'!V277+'CAT- 2'!V277+'CAT-3'!V277+'Tut-Ass-OA'!V277+'LAB Asseement'!T277</f>
        <v>0</v>
      </c>
      <c r="F276" s="60">
        <f>'CAT-1'!W277+'CAT- 2'!W277+'CAT-3'!W277+'Tut-Ass-OA'!W277+'LAB Asseement'!U277</f>
        <v>0</v>
      </c>
      <c r="G276" s="60">
        <f>'CAT-1'!X277+'CAT- 2'!X277+'CAT-3'!X277+'Tut-Ass-OA'!X277+'LAB Asseement'!V277</f>
        <v>0</v>
      </c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spans="1:23" ht="21.75" customHeight="1">
      <c r="A277" s="62" t="str">
        <f>BASE!B282</f>
        <v>23XXR267</v>
      </c>
      <c r="B277" s="121" t="s">
        <v>40</v>
      </c>
      <c r="C277" s="60">
        <f>'CAT-1'!T278+'CAT- 2'!T278+'CAT-3'!T278+'Tut-Ass-OA'!T278+'LAB Asseement'!R278</f>
        <v>0</v>
      </c>
      <c r="D277" s="60">
        <f>'CAT-1'!U278+'CAT- 2'!U278+'CAT-3'!U278+'Tut-Ass-OA'!U278+'LAB Asseement'!S278</f>
        <v>0</v>
      </c>
      <c r="E277" s="60">
        <f>'CAT-1'!V278+'CAT- 2'!V278+'CAT-3'!V278+'Tut-Ass-OA'!V278+'LAB Asseement'!T278</f>
        <v>0</v>
      </c>
      <c r="F277" s="60">
        <f>'CAT-1'!W278+'CAT- 2'!W278+'CAT-3'!W278+'Tut-Ass-OA'!W278+'LAB Asseement'!U278</f>
        <v>0</v>
      </c>
      <c r="G277" s="60">
        <f>'CAT-1'!X278+'CAT- 2'!X278+'CAT-3'!X278+'Tut-Ass-OA'!X278+'LAB Asseement'!V278</f>
        <v>0</v>
      </c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spans="1:23" ht="21.75" customHeight="1">
      <c r="A278" s="62" t="str">
        <f>BASE!B283</f>
        <v>23XXR268</v>
      </c>
      <c r="B278" s="121" t="s">
        <v>40</v>
      </c>
      <c r="C278" s="60">
        <f>'CAT-1'!T279+'CAT- 2'!T279+'CAT-3'!T279+'Tut-Ass-OA'!T279+'LAB Asseement'!R279</f>
        <v>0</v>
      </c>
      <c r="D278" s="60">
        <f>'CAT-1'!U279+'CAT- 2'!U279+'CAT-3'!U279+'Tut-Ass-OA'!U279+'LAB Asseement'!S279</f>
        <v>0</v>
      </c>
      <c r="E278" s="60">
        <f>'CAT-1'!V279+'CAT- 2'!V279+'CAT-3'!V279+'Tut-Ass-OA'!V279+'LAB Asseement'!T279</f>
        <v>0</v>
      </c>
      <c r="F278" s="60">
        <f>'CAT-1'!W279+'CAT- 2'!W279+'CAT-3'!W279+'Tut-Ass-OA'!W279+'LAB Asseement'!U279</f>
        <v>0</v>
      </c>
      <c r="G278" s="60">
        <f>'CAT-1'!X279+'CAT- 2'!X279+'CAT-3'!X279+'Tut-Ass-OA'!X279+'LAB Asseement'!V279</f>
        <v>0</v>
      </c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spans="1:23" ht="21.75" customHeight="1">
      <c r="A279" s="62" t="str">
        <f>BASE!B284</f>
        <v>23XXR269</v>
      </c>
      <c r="B279" s="121" t="s">
        <v>40</v>
      </c>
      <c r="C279" s="60">
        <f>'CAT-1'!T280+'CAT- 2'!T280+'CAT-3'!T280+'Tut-Ass-OA'!T280+'LAB Asseement'!R280</f>
        <v>0</v>
      </c>
      <c r="D279" s="60">
        <f>'CAT-1'!U280+'CAT- 2'!U280+'CAT-3'!U280+'Tut-Ass-OA'!U280+'LAB Asseement'!S280</f>
        <v>0</v>
      </c>
      <c r="E279" s="60">
        <f>'CAT-1'!V280+'CAT- 2'!V280+'CAT-3'!V280+'Tut-Ass-OA'!V280+'LAB Asseement'!T280</f>
        <v>0</v>
      </c>
      <c r="F279" s="60">
        <f>'CAT-1'!W280+'CAT- 2'!W280+'CAT-3'!W280+'Tut-Ass-OA'!W280+'LAB Asseement'!U280</f>
        <v>0</v>
      </c>
      <c r="G279" s="60">
        <f>'CAT-1'!X280+'CAT- 2'!X280+'CAT-3'!X280+'Tut-Ass-OA'!X280+'LAB Asseement'!V280</f>
        <v>0</v>
      </c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spans="1:23" ht="21.75" customHeight="1">
      <c r="A280" s="62" t="str">
        <f>BASE!B285</f>
        <v>23XXR270</v>
      </c>
      <c r="B280" s="121" t="s">
        <v>40</v>
      </c>
      <c r="C280" s="60">
        <f>'CAT-1'!T281+'CAT- 2'!T281+'CAT-3'!T281+'Tut-Ass-OA'!T281+'LAB Asseement'!R281</f>
        <v>0</v>
      </c>
      <c r="D280" s="60">
        <f>'CAT-1'!U281+'CAT- 2'!U281+'CAT-3'!U281+'Tut-Ass-OA'!U281+'LAB Asseement'!S281</f>
        <v>0</v>
      </c>
      <c r="E280" s="60">
        <f>'CAT-1'!V281+'CAT- 2'!V281+'CAT-3'!V281+'Tut-Ass-OA'!V281+'LAB Asseement'!T281</f>
        <v>0</v>
      </c>
      <c r="F280" s="60">
        <f>'CAT-1'!W281+'CAT- 2'!W281+'CAT-3'!W281+'Tut-Ass-OA'!W281+'LAB Asseement'!U281</f>
        <v>0</v>
      </c>
      <c r="G280" s="60">
        <f>'CAT-1'!X281+'CAT- 2'!X281+'CAT-3'!X281+'Tut-Ass-OA'!X281+'LAB Asseement'!V281</f>
        <v>0</v>
      </c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spans="1:23" ht="21.75" customHeight="1">
      <c r="A281" s="62" t="str">
        <f>BASE!B286</f>
        <v>23XXR271</v>
      </c>
      <c r="B281" s="121" t="s">
        <v>40</v>
      </c>
      <c r="C281" s="60">
        <f>'CAT-1'!T282+'CAT- 2'!T282+'CAT-3'!T282+'Tut-Ass-OA'!T282+'LAB Asseement'!R282</f>
        <v>0</v>
      </c>
      <c r="D281" s="60">
        <f>'CAT-1'!U282+'CAT- 2'!U282+'CAT-3'!U282+'Tut-Ass-OA'!U282+'LAB Asseement'!S282</f>
        <v>0</v>
      </c>
      <c r="E281" s="60">
        <f>'CAT-1'!V282+'CAT- 2'!V282+'CAT-3'!V282+'Tut-Ass-OA'!V282+'LAB Asseement'!T282</f>
        <v>0</v>
      </c>
      <c r="F281" s="60">
        <f>'CAT-1'!W282+'CAT- 2'!W282+'CAT-3'!W282+'Tut-Ass-OA'!W282+'LAB Asseement'!U282</f>
        <v>0</v>
      </c>
      <c r="G281" s="60">
        <f>'CAT-1'!X282+'CAT- 2'!X282+'CAT-3'!X282+'Tut-Ass-OA'!X282+'LAB Asseement'!V282</f>
        <v>0</v>
      </c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spans="1:23" ht="21.75" customHeight="1">
      <c r="A282" s="62" t="str">
        <f>BASE!B287</f>
        <v>23XXR272</v>
      </c>
      <c r="B282" s="121" t="s">
        <v>40</v>
      </c>
      <c r="C282" s="60">
        <f>'CAT-1'!T283+'CAT- 2'!T283+'CAT-3'!T283+'Tut-Ass-OA'!T283+'LAB Asseement'!R283</f>
        <v>0</v>
      </c>
      <c r="D282" s="60">
        <f>'CAT-1'!U283+'CAT- 2'!U283+'CAT-3'!U283+'Tut-Ass-OA'!U283+'LAB Asseement'!S283</f>
        <v>0</v>
      </c>
      <c r="E282" s="60">
        <f>'CAT-1'!V283+'CAT- 2'!V283+'CAT-3'!V283+'Tut-Ass-OA'!V283+'LAB Asseement'!T283</f>
        <v>0</v>
      </c>
      <c r="F282" s="60">
        <f>'CAT-1'!W283+'CAT- 2'!W283+'CAT-3'!W283+'Tut-Ass-OA'!W283+'LAB Asseement'!U283</f>
        <v>0</v>
      </c>
      <c r="G282" s="60">
        <f>'CAT-1'!X283+'CAT- 2'!X283+'CAT-3'!X283+'Tut-Ass-OA'!X283+'LAB Asseement'!V283</f>
        <v>0</v>
      </c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spans="1:23" ht="21.75" customHeight="1">
      <c r="A283" s="62" t="str">
        <f>BASE!B288</f>
        <v>23XXR273</v>
      </c>
      <c r="B283" s="121" t="s">
        <v>40</v>
      </c>
      <c r="C283" s="60">
        <f>'CAT-1'!T284+'CAT- 2'!T284+'CAT-3'!T284+'Tut-Ass-OA'!T284+'LAB Asseement'!R284</f>
        <v>0</v>
      </c>
      <c r="D283" s="60">
        <f>'CAT-1'!U284+'CAT- 2'!U284+'CAT-3'!U284+'Tut-Ass-OA'!U284+'LAB Asseement'!S284</f>
        <v>0</v>
      </c>
      <c r="E283" s="60">
        <f>'CAT-1'!V284+'CAT- 2'!V284+'CAT-3'!V284+'Tut-Ass-OA'!V284+'LAB Asseement'!T284</f>
        <v>0</v>
      </c>
      <c r="F283" s="60">
        <f>'CAT-1'!W284+'CAT- 2'!W284+'CAT-3'!W284+'Tut-Ass-OA'!W284+'LAB Asseement'!U284</f>
        <v>0</v>
      </c>
      <c r="G283" s="60">
        <f>'CAT-1'!X284+'CAT- 2'!X284+'CAT-3'!X284+'Tut-Ass-OA'!X284+'LAB Asseement'!V284</f>
        <v>0</v>
      </c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spans="1:23" ht="21.75" customHeight="1">
      <c r="A284" s="62" t="str">
        <f>BASE!B289</f>
        <v>23XXR274</v>
      </c>
      <c r="B284" s="121" t="s">
        <v>40</v>
      </c>
      <c r="C284" s="60">
        <f>'CAT-1'!T285+'CAT- 2'!T285+'CAT-3'!T285+'Tut-Ass-OA'!T285+'LAB Asseement'!R285</f>
        <v>0</v>
      </c>
      <c r="D284" s="60">
        <f>'CAT-1'!U285+'CAT- 2'!U285+'CAT-3'!U285+'Tut-Ass-OA'!U285+'LAB Asseement'!S285</f>
        <v>0</v>
      </c>
      <c r="E284" s="60">
        <f>'CAT-1'!V285+'CAT- 2'!V285+'CAT-3'!V285+'Tut-Ass-OA'!V285+'LAB Asseement'!T285</f>
        <v>0</v>
      </c>
      <c r="F284" s="60">
        <f>'CAT-1'!W285+'CAT- 2'!W285+'CAT-3'!W285+'Tut-Ass-OA'!W285+'LAB Asseement'!U285</f>
        <v>0</v>
      </c>
      <c r="G284" s="60">
        <f>'CAT-1'!X285+'CAT- 2'!X285+'CAT-3'!X285+'Tut-Ass-OA'!X285+'LAB Asseement'!V285</f>
        <v>0</v>
      </c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spans="1:23" ht="21.75" customHeight="1">
      <c r="A285" s="62" t="str">
        <f>BASE!B290</f>
        <v>23XXR275</v>
      </c>
      <c r="B285" s="121" t="s">
        <v>40</v>
      </c>
      <c r="C285" s="60">
        <f>'CAT-1'!T286+'CAT- 2'!T286+'CAT-3'!T286+'Tut-Ass-OA'!T286+'LAB Asseement'!R286</f>
        <v>0</v>
      </c>
      <c r="D285" s="60">
        <f>'CAT-1'!U286+'CAT- 2'!U286+'CAT-3'!U286+'Tut-Ass-OA'!U286+'LAB Asseement'!S286</f>
        <v>0</v>
      </c>
      <c r="E285" s="60">
        <f>'CAT-1'!V286+'CAT- 2'!V286+'CAT-3'!V286+'Tut-Ass-OA'!V286+'LAB Asseement'!T286</f>
        <v>0</v>
      </c>
      <c r="F285" s="60">
        <f>'CAT-1'!W286+'CAT- 2'!W286+'CAT-3'!W286+'Tut-Ass-OA'!W286+'LAB Asseement'!U286</f>
        <v>0</v>
      </c>
      <c r="G285" s="60">
        <f>'CAT-1'!X286+'CAT- 2'!X286+'CAT-3'!X286+'Tut-Ass-OA'!X286+'LAB Asseement'!V286</f>
        <v>0</v>
      </c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spans="1:23" ht="21.75" customHeight="1">
      <c r="A286" s="62" t="str">
        <f>BASE!B291</f>
        <v>23XXR276</v>
      </c>
      <c r="B286" s="121" t="s">
        <v>40</v>
      </c>
      <c r="C286" s="60">
        <f>'CAT-1'!T287+'CAT- 2'!T287+'CAT-3'!T287+'Tut-Ass-OA'!T287+'LAB Asseement'!R287</f>
        <v>0</v>
      </c>
      <c r="D286" s="60">
        <f>'CAT-1'!U287+'CAT- 2'!U287+'CAT-3'!U287+'Tut-Ass-OA'!U287+'LAB Asseement'!S287</f>
        <v>0</v>
      </c>
      <c r="E286" s="60">
        <f>'CAT-1'!V287+'CAT- 2'!V287+'CAT-3'!V287+'Tut-Ass-OA'!V287+'LAB Asseement'!T287</f>
        <v>0</v>
      </c>
      <c r="F286" s="60">
        <f>'CAT-1'!W287+'CAT- 2'!W287+'CAT-3'!W287+'Tut-Ass-OA'!W287+'LAB Asseement'!U287</f>
        <v>0</v>
      </c>
      <c r="G286" s="60">
        <f>'CAT-1'!X287+'CAT- 2'!X287+'CAT-3'!X287+'Tut-Ass-OA'!X287+'LAB Asseement'!V287</f>
        <v>0</v>
      </c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spans="1:23" ht="21.75" customHeight="1">
      <c r="A287" s="62" t="str">
        <f>BASE!B292</f>
        <v>23XXR277</v>
      </c>
      <c r="B287" s="121" t="s">
        <v>40</v>
      </c>
      <c r="C287" s="60">
        <f>'CAT-1'!T288+'CAT- 2'!T288+'CAT-3'!T288+'Tut-Ass-OA'!T288+'LAB Asseement'!R288</f>
        <v>0</v>
      </c>
      <c r="D287" s="60">
        <f>'CAT-1'!U288+'CAT- 2'!U288+'CAT-3'!U288+'Tut-Ass-OA'!U288+'LAB Asseement'!S288</f>
        <v>0</v>
      </c>
      <c r="E287" s="60">
        <f>'CAT-1'!V288+'CAT- 2'!V288+'CAT-3'!V288+'Tut-Ass-OA'!V288+'LAB Asseement'!T288</f>
        <v>0</v>
      </c>
      <c r="F287" s="60">
        <f>'CAT-1'!W288+'CAT- 2'!W288+'CAT-3'!W288+'Tut-Ass-OA'!W288+'LAB Asseement'!U288</f>
        <v>0</v>
      </c>
      <c r="G287" s="60">
        <f>'CAT-1'!X288+'CAT- 2'!X288+'CAT-3'!X288+'Tut-Ass-OA'!X288+'LAB Asseement'!V288</f>
        <v>0</v>
      </c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spans="1:23" ht="21.75" customHeight="1">
      <c r="A288" s="62" t="str">
        <f>BASE!B293</f>
        <v>23XXR278</v>
      </c>
      <c r="B288" s="121" t="s">
        <v>40</v>
      </c>
      <c r="C288" s="60">
        <f>'CAT-1'!T289+'CAT- 2'!T289+'CAT-3'!T289+'Tut-Ass-OA'!T289+'LAB Asseement'!R289</f>
        <v>0</v>
      </c>
      <c r="D288" s="60">
        <f>'CAT-1'!U289+'CAT- 2'!U289+'CAT-3'!U289+'Tut-Ass-OA'!U289+'LAB Asseement'!S289</f>
        <v>0</v>
      </c>
      <c r="E288" s="60">
        <f>'CAT-1'!V289+'CAT- 2'!V289+'CAT-3'!V289+'Tut-Ass-OA'!V289+'LAB Asseement'!T289</f>
        <v>0</v>
      </c>
      <c r="F288" s="60">
        <f>'CAT-1'!W289+'CAT- 2'!W289+'CAT-3'!W289+'Tut-Ass-OA'!W289+'LAB Asseement'!U289</f>
        <v>0</v>
      </c>
      <c r="G288" s="60">
        <f>'CAT-1'!X289+'CAT- 2'!X289+'CAT-3'!X289+'Tut-Ass-OA'!X289+'LAB Asseement'!V289</f>
        <v>0</v>
      </c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spans="1:23" ht="21.75" customHeight="1">
      <c r="A289" s="62" t="str">
        <f>BASE!B294</f>
        <v>23XXR279</v>
      </c>
      <c r="B289" s="121" t="s">
        <v>40</v>
      </c>
      <c r="C289" s="60">
        <f>'CAT-1'!T290+'CAT- 2'!T290+'CAT-3'!T290+'Tut-Ass-OA'!T290+'LAB Asseement'!R290</f>
        <v>0</v>
      </c>
      <c r="D289" s="60">
        <f>'CAT-1'!U290+'CAT- 2'!U290+'CAT-3'!U290+'Tut-Ass-OA'!U290+'LAB Asseement'!S290</f>
        <v>0</v>
      </c>
      <c r="E289" s="60">
        <f>'CAT-1'!V290+'CAT- 2'!V290+'CAT-3'!V290+'Tut-Ass-OA'!V290+'LAB Asseement'!T290</f>
        <v>0</v>
      </c>
      <c r="F289" s="60">
        <f>'CAT-1'!W290+'CAT- 2'!W290+'CAT-3'!W290+'Tut-Ass-OA'!W290+'LAB Asseement'!U290</f>
        <v>0</v>
      </c>
      <c r="G289" s="60">
        <f>'CAT-1'!X290+'CAT- 2'!X290+'CAT-3'!X290+'Tut-Ass-OA'!X290+'LAB Asseement'!V290</f>
        <v>0</v>
      </c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spans="1:23" ht="21.75" customHeight="1">
      <c r="A290" s="62" t="str">
        <f>BASE!B295</f>
        <v>23XXR280</v>
      </c>
      <c r="B290" s="121" t="s">
        <v>40</v>
      </c>
      <c r="C290" s="60">
        <f>'CAT-1'!T291+'CAT- 2'!T291+'CAT-3'!T291+'Tut-Ass-OA'!T291+'LAB Asseement'!R291</f>
        <v>0</v>
      </c>
      <c r="D290" s="60">
        <f>'CAT-1'!U291+'CAT- 2'!U291+'CAT-3'!U291+'Tut-Ass-OA'!U291+'LAB Asseement'!S291</f>
        <v>0</v>
      </c>
      <c r="E290" s="60">
        <f>'CAT-1'!V291+'CAT- 2'!V291+'CAT-3'!V291+'Tut-Ass-OA'!V291+'LAB Asseement'!T291</f>
        <v>0</v>
      </c>
      <c r="F290" s="60">
        <f>'CAT-1'!W291+'CAT- 2'!W291+'CAT-3'!W291+'Tut-Ass-OA'!W291+'LAB Asseement'!U291</f>
        <v>0</v>
      </c>
      <c r="G290" s="60">
        <f>'CAT-1'!X291+'CAT- 2'!X291+'CAT-3'!X291+'Tut-Ass-OA'!X291+'LAB Asseement'!V291</f>
        <v>0</v>
      </c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spans="1:23" ht="21.75" customHeight="1">
      <c r="A291" s="62" t="str">
        <f>BASE!B296</f>
        <v>23XXR281</v>
      </c>
      <c r="B291" s="121" t="s">
        <v>40</v>
      </c>
      <c r="C291" s="60">
        <f>'CAT-1'!T292+'CAT- 2'!T292+'CAT-3'!T292+'Tut-Ass-OA'!T292+'LAB Asseement'!R292</f>
        <v>0</v>
      </c>
      <c r="D291" s="60">
        <f>'CAT-1'!U292+'CAT- 2'!U292+'CAT-3'!U292+'Tut-Ass-OA'!U292+'LAB Asseement'!S292</f>
        <v>0</v>
      </c>
      <c r="E291" s="60">
        <f>'CAT-1'!V292+'CAT- 2'!V292+'CAT-3'!V292+'Tut-Ass-OA'!V292+'LAB Asseement'!T292</f>
        <v>0</v>
      </c>
      <c r="F291" s="60">
        <f>'CAT-1'!W292+'CAT- 2'!W292+'CAT-3'!W292+'Tut-Ass-OA'!W292+'LAB Asseement'!U292</f>
        <v>0</v>
      </c>
      <c r="G291" s="60">
        <f>'CAT-1'!X292+'CAT- 2'!X292+'CAT-3'!X292+'Tut-Ass-OA'!X292+'LAB Asseement'!V292</f>
        <v>0</v>
      </c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spans="1:23" ht="21.75" customHeight="1">
      <c r="A292" s="62" t="str">
        <f>BASE!B297</f>
        <v>23XXR282</v>
      </c>
      <c r="B292" s="121" t="s">
        <v>40</v>
      </c>
      <c r="C292" s="60">
        <f>'CAT-1'!T293+'CAT- 2'!T293+'CAT-3'!T293+'Tut-Ass-OA'!T293+'LAB Asseement'!R293</f>
        <v>0</v>
      </c>
      <c r="D292" s="60">
        <f>'CAT-1'!U293+'CAT- 2'!U293+'CAT-3'!U293+'Tut-Ass-OA'!U293+'LAB Asseement'!S293</f>
        <v>0</v>
      </c>
      <c r="E292" s="60">
        <f>'CAT-1'!V293+'CAT- 2'!V293+'CAT-3'!V293+'Tut-Ass-OA'!V293+'LAB Asseement'!T293</f>
        <v>0</v>
      </c>
      <c r="F292" s="60">
        <f>'CAT-1'!W293+'CAT- 2'!W293+'CAT-3'!W293+'Tut-Ass-OA'!W293+'LAB Asseement'!U293</f>
        <v>0</v>
      </c>
      <c r="G292" s="60">
        <f>'CAT-1'!X293+'CAT- 2'!X293+'CAT-3'!X293+'Tut-Ass-OA'!X293+'LAB Asseement'!V293</f>
        <v>0</v>
      </c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spans="1:23" ht="21.75" customHeight="1">
      <c r="A293" s="62" t="str">
        <f>BASE!B298</f>
        <v>23XXR283</v>
      </c>
      <c r="B293" s="121" t="s">
        <v>40</v>
      </c>
      <c r="C293" s="60">
        <f>'CAT-1'!T294+'CAT- 2'!T294+'CAT-3'!T294+'Tut-Ass-OA'!T294+'LAB Asseement'!R294</f>
        <v>0</v>
      </c>
      <c r="D293" s="60">
        <f>'CAT-1'!U294+'CAT- 2'!U294+'CAT-3'!U294+'Tut-Ass-OA'!U294+'LAB Asseement'!S294</f>
        <v>0</v>
      </c>
      <c r="E293" s="60">
        <f>'CAT-1'!V294+'CAT- 2'!V294+'CAT-3'!V294+'Tut-Ass-OA'!V294+'LAB Asseement'!T294</f>
        <v>0</v>
      </c>
      <c r="F293" s="60">
        <f>'CAT-1'!W294+'CAT- 2'!W294+'CAT-3'!W294+'Tut-Ass-OA'!W294+'LAB Asseement'!U294</f>
        <v>0</v>
      </c>
      <c r="G293" s="60">
        <f>'CAT-1'!X294+'CAT- 2'!X294+'CAT-3'!X294+'Tut-Ass-OA'!X294+'LAB Asseement'!V294</f>
        <v>0</v>
      </c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spans="1:23" ht="21.75" customHeight="1">
      <c r="A294" s="62" t="str">
        <f>BASE!B299</f>
        <v>23XXR284</v>
      </c>
      <c r="B294" s="121" t="s">
        <v>40</v>
      </c>
      <c r="C294" s="60">
        <f>'CAT-1'!T295+'CAT- 2'!T295+'CAT-3'!T295+'Tut-Ass-OA'!T295+'LAB Asseement'!R295</f>
        <v>0</v>
      </c>
      <c r="D294" s="60">
        <f>'CAT-1'!U295+'CAT- 2'!U295+'CAT-3'!U295+'Tut-Ass-OA'!U295+'LAB Asseement'!S295</f>
        <v>0</v>
      </c>
      <c r="E294" s="60">
        <f>'CAT-1'!V295+'CAT- 2'!V295+'CAT-3'!V295+'Tut-Ass-OA'!V295+'LAB Asseement'!T295</f>
        <v>0</v>
      </c>
      <c r="F294" s="60">
        <f>'CAT-1'!W295+'CAT- 2'!W295+'CAT-3'!W295+'Tut-Ass-OA'!W295+'LAB Asseement'!U295</f>
        <v>0</v>
      </c>
      <c r="G294" s="60">
        <f>'CAT-1'!X295+'CAT- 2'!X295+'CAT-3'!X295+'Tut-Ass-OA'!X295+'LAB Asseement'!V295</f>
        <v>0</v>
      </c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spans="1:23" ht="21.75" customHeight="1">
      <c r="A295" s="62" t="str">
        <f>BASE!B300</f>
        <v>23XXR285</v>
      </c>
      <c r="B295" s="121" t="s">
        <v>40</v>
      </c>
      <c r="C295" s="60">
        <f>'CAT-1'!T296+'CAT- 2'!T296+'CAT-3'!T296+'Tut-Ass-OA'!T296+'LAB Asseement'!R296</f>
        <v>0</v>
      </c>
      <c r="D295" s="60">
        <f>'CAT-1'!U296+'CAT- 2'!U296+'CAT-3'!U296+'Tut-Ass-OA'!U296+'LAB Asseement'!S296</f>
        <v>0</v>
      </c>
      <c r="E295" s="60">
        <f>'CAT-1'!V296+'CAT- 2'!V296+'CAT-3'!V296+'Tut-Ass-OA'!V296+'LAB Asseement'!T296</f>
        <v>0</v>
      </c>
      <c r="F295" s="60">
        <f>'CAT-1'!W296+'CAT- 2'!W296+'CAT-3'!W296+'Tut-Ass-OA'!W296+'LAB Asseement'!U296</f>
        <v>0</v>
      </c>
      <c r="G295" s="60">
        <f>'CAT-1'!X296+'CAT- 2'!X296+'CAT-3'!X296+'Tut-Ass-OA'!X296+'LAB Asseement'!V296</f>
        <v>0</v>
      </c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spans="1:23" ht="21.75" customHeight="1">
      <c r="A296" s="62" t="str">
        <f>BASE!B301</f>
        <v>23XXR286</v>
      </c>
      <c r="B296" s="121" t="s">
        <v>40</v>
      </c>
      <c r="C296" s="60">
        <f>'CAT-1'!T297+'CAT- 2'!T297+'CAT-3'!T297+'Tut-Ass-OA'!T297+'LAB Asseement'!R297</f>
        <v>0</v>
      </c>
      <c r="D296" s="60">
        <f>'CAT-1'!U297+'CAT- 2'!U297+'CAT-3'!U297+'Tut-Ass-OA'!U297+'LAB Asseement'!S297</f>
        <v>0</v>
      </c>
      <c r="E296" s="60">
        <f>'CAT-1'!V297+'CAT- 2'!V297+'CAT-3'!V297+'Tut-Ass-OA'!V297+'LAB Asseement'!T297</f>
        <v>0</v>
      </c>
      <c r="F296" s="60">
        <f>'CAT-1'!W297+'CAT- 2'!W297+'CAT-3'!W297+'Tut-Ass-OA'!W297+'LAB Asseement'!U297</f>
        <v>0</v>
      </c>
      <c r="G296" s="60">
        <f>'CAT-1'!X297+'CAT- 2'!X297+'CAT-3'!X297+'Tut-Ass-OA'!X297+'LAB Asseement'!V297</f>
        <v>0</v>
      </c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spans="1:23" ht="21.75" customHeight="1">
      <c r="A297" s="62" t="str">
        <f>BASE!B302</f>
        <v>23XXR287</v>
      </c>
      <c r="B297" s="121" t="s">
        <v>40</v>
      </c>
      <c r="C297" s="60">
        <f>'CAT-1'!T298+'CAT- 2'!T298+'CAT-3'!T298+'Tut-Ass-OA'!T298+'LAB Asseement'!R298</f>
        <v>0</v>
      </c>
      <c r="D297" s="60">
        <f>'CAT-1'!U298+'CAT- 2'!U298+'CAT-3'!U298+'Tut-Ass-OA'!U298+'LAB Asseement'!S298</f>
        <v>0</v>
      </c>
      <c r="E297" s="60">
        <f>'CAT-1'!V298+'CAT- 2'!V298+'CAT-3'!V298+'Tut-Ass-OA'!V298+'LAB Asseement'!T298</f>
        <v>0</v>
      </c>
      <c r="F297" s="60">
        <f>'CAT-1'!W298+'CAT- 2'!W298+'CAT-3'!W298+'Tut-Ass-OA'!W298+'LAB Asseement'!U298</f>
        <v>0</v>
      </c>
      <c r="G297" s="60">
        <f>'CAT-1'!X298+'CAT- 2'!X298+'CAT-3'!X298+'Tut-Ass-OA'!X298+'LAB Asseement'!V298</f>
        <v>0</v>
      </c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spans="1:23" ht="21.75" customHeight="1">
      <c r="A298" s="62" t="str">
        <f>BASE!B303</f>
        <v>23XXR288</v>
      </c>
      <c r="B298" s="121" t="s">
        <v>40</v>
      </c>
      <c r="C298" s="60">
        <f>'CAT-1'!T299+'CAT- 2'!T299+'CAT-3'!T299+'Tut-Ass-OA'!T299+'LAB Asseement'!R299</f>
        <v>0</v>
      </c>
      <c r="D298" s="60">
        <f>'CAT-1'!U299+'CAT- 2'!U299+'CAT-3'!U299+'Tut-Ass-OA'!U299+'LAB Asseement'!S299</f>
        <v>0</v>
      </c>
      <c r="E298" s="60">
        <f>'CAT-1'!V299+'CAT- 2'!V299+'CAT-3'!V299+'Tut-Ass-OA'!V299+'LAB Asseement'!T299</f>
        <v>0</v>
      </c>
      <c r="F298" s="60">
        <f>'CAT-1'!W299+'CAT- 2'!W299+'CAT-3'!W299+'Tut-Ass-OA'!W299+'LAB Asseement'!U299</f>
        <v>0</v>
      </c>
      <c r="G298" s="60">
        <f>'CAT-1'!X299+'CAT- 2'!X299+'CAT-3'!X299+'Tut-Ass-OA'!X299+'LAB Asseement'!V299</f>
        <v>0</v>
      </c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spans="1:23" ht="21.75" customHeight="1">
      <c r="A299" s="62" t="str">
        <f>BASE!B304</f>
        <v>23XXR289</v>
      </c>
      <c r="B299" s="121" t="s">
        <v>40</v>
      </c>
      <c r="C299" s="60">
        <f>'CAT-1'!T300+'CAT- 2'!T300+'CAT-3'!T300+'Tut-Ass-OA'!T300+'LAB Asseement'!R300</f>
        <v>0</v>
      </c>
      <c r="D299" s="60">
        <f>'CAT-1'!U300+'CAT- 2'!U300+'CAT-3'!U300+'Tut-Ass-OA'!U300+'LAB Asseement'!S300</f>
        <v>0</v>
      </c>
      <c r="E299" s="60">
        <f>'CAT-1'!V300+'CAT- 2'!V300+'CAT-3'!V300+'Tut-Ass-OA'!V300+'LAB Asseement'!T300</f>
        <v>0</v>
      </c>
      <c r="F299" s="60">
        <f>'CAT-1'!W300+'CAT- 2'!W300+'CAT-3'!W300+'Tut-Ass-OA'!W300+'LAB Asseement'!U300</f>
        <v>0</v>
      </c>
      <c r="G299" s="60">
        <f>'CAT-1'!X300+'CAT- 2'!X300+'CAT-3'!X300+'Tut-Ass-OA'!X300+'LAB Asseement'!V300</f>
        <v>0</v>
      </c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spans="1:23" ht="21.75" customHeight="1">
      <c r="A300" s="62" t="str">
        <f>BASE!B305</f>
        <v>23XXR290</v>
      </c>
      <c r="B300" s="121" t="s">
        <v>40</v>
      </c>
      <c r="C300" s="60">
        <f>'CAT-1'!T301+'CAT- 2'!T301+'CAT-3'!T301+'Tut-Ass-OA'!T301+'LAB Asseement'!R301</f>
        <v>0</v>
      </c>
      <c r="D300" s="60">
        <f>'CAT-1'!U301+'CAT- 2'!U301+'CAT-3'!U301+'Tut-Ass-OA'!U301+'LAB Asseement'!S301</f>
        <v>0</v>
      </c>
      <c r="E300" s="60">
        <f>'CAT-1'!V301+'CAT- 2'!V301+'CAT-3'!V301+'Tut-Ass-OA'!V301+'LAB Asseement'!T301</f>
        <v>0</v>
      </c>
      <c r="F300" s="60">
        <f>'CAT-1'!W301+'CAT- 2'!W301+'CAT-3'!W301+'Tut-Ass-OA'!W301+'LAB Asseement'!U301</f>
        <v>0</v>
      </c>
      <c r="G300" s="60">
        <f>'CAT-1'!X301+'CAT- 2'!X301+'CAT-3'!X301+'Tut-Ass-OA'!X301+'LAB Asseement'!V301</f>
        <v>0</v>
      </c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spans="1:23" ht="21.75" customHeight="1">
      <c r="A301" s="62" t="str">
        <f>BASE!B306</f>
        <v>23XXR291</v>
      </c>
      <c r="B301" s="121" t="s">
        <v>40</v>
      </c>
      <c r="C301" s="60">
        <f>'CAT-1'!T302+'CAT- 2'!T302+'CAT-3'!T302+'Tut-Ass-OA'!T302+'LAB Asseement'!R302</f>
        <v>0</v>
      </c>
      <c r="D301" s="60">
        <f>'CAT-1'!U302+'CAT- 2'!U302+'CAT-3'!U302+'Tut-Ass-OA'!U302+'LAB Asseement'!S302</f>
        <v>0</v>
      </c>
      <c r="E301" s="60">
        <f>'CAT-1'!V302+'CAT- 2'!V302+'CAT-3'!V302+'Tut-Ass-OA'!V302+'LAB Asseement'!T302</f>
        <v>0</v>
      </c>
      <c r="F301" s="60">
        <f>'CAT-1'!W302+'CAT- 2'!W302+'CAT-3'!W302+'Tut-Ass-OA'!W302+'LAB Asseement'!U302</f>
        <v>0</v>
      </c>
      <c r="G301" s="60">
        <f>'CAT-1'!X302+'CAT- 2'!X302+'CAT-3'!X302+'Tut-Ass-OA'!X302+'LAB Asseement'!V302</f>
        <v>0</v>
      </c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spans="1:23" ht="21.75" customHeight="1">
      <c r="A302" s="62" t="str">
        <f>BASE!B307</f>
        <v>23XXR292</v>
      </c>
      <c r="B302" s="121" t="s">
        <v>40</v>
      </c>
      <c r="C302" s="60">
        <f>'CAT-1'!T303+'CAT- 2'!T303+'CAT-3'!T303+'Tut-Ass-OA'!T303+'LAB Asseement'!R303</f>
        <v>0</v>
      </c>
      <c r="D302" s="60">
        <f>'CAT-1'!U303+'CAT- 2'!U303+'CAT-3'!U303+'Tut-Ass-OA'!U303+'LAB Asseement'!S303</f>
        <v>0</v>
      </c>
      <c r="E302" s="60">
        <f>'CAT-1'!V303+'CAT- 2'!V303+'CAT-3'!V303+'Tut-Ass-OA'!V303+'LAB Asseement'!T303</f>
        <v>0</v>
      </c>
      <c r="F302" s="60">
        <f>'CAT-1'!W303+'CAT- 2'!W303+'CAT-3'!W303+'Tut-Ass-OA'!W303+'LAB Asseement'!U303</f>
        <v>0</v>
      </c>
      <c r="G302" s="60">
        <f>'CAT-1'!X303+'CAT- 2'!X303+'CAT-3'!X303+'Tut-Ass-OA'!X303+'LAB Asseement'!V303</f>
        <v>0</v>
      </c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spans="1:23" ht="21.75" customHeight="1">
      <c r="A303" s="62" t="str">
        <f>BASE!B308</f>
        <v>23XXR293</v>
      </c>
      <c r="B303" s="121" t="s">
        <v>40</v>
      </c>
      <c r="C303" s="60">
        <f>'CAT-1'!T304+'CAT- 2'!T304+'CAT-3'!T304+'Tut-Ass-OA'!T304+'LAB Asseement'!R304</f>
        <v>0</v>
      </c>
      <c r="D303" s="60">
        <f>'CAT-1'!U304+'CAT- 2'!U304+'CAT-3'!U304+'Tut-Ass-OA'!U304+'LAB Asseement'!S304</f>
        <v>0</v>
      </c>
      <c r="E303" s="60">
        <f>'CAT-1'!V304+'CAT- 2'!V304+'CAT-3'!V304+'Tut-Ass-OA'!V304+'LAB Asseement'!T304</f>
        <v>0</v>
      </c>
      <c r="F303" s="60">
        <f>'CAT-1'!W304+'CAT- 2'!W304+'CAT-3'!W304+'Tut-Ass-OA'!W304+'LAB Asseement'!U304</f>
        <v>0</v>
      </c>
      <c r="G303" s="60">
        <f>'CAT-1'!X304+'CAT- 2'!X304+'CAT-3'!X304+'Tut-Ass-OA'!X304+'LAB Asseement'!V304</f>
        <v>0</v>
      </c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spans="1:23" ht="21.75" customHeight="1">
      <c r="A304" s="62" t="str">
        <f>BASE!B309</f>
        <v>23XXR294</v>
      </c>
      <c r="B304" s="121" t="s">
        <v>40</v>
      </c>
      <c r="C304" s="60">
        <f>'CAT-1'!T305+'CAT- 2'!T305+'CAT-3'!T305+'Tut-Ass-OA'!T305+'LAB Asseement'!R305</f>
        <v>0</v>
      </c>
      <c r="D304" s="60">
        <f>'CAT-1'!U305+'CAT- 2'!U305+'CAT-3'!U305+'Tut-Ass-OA'!U305+'LAB Asseement'!S305</f>
        <v>0</v>
      </c>
      <c r="E304" s="60">
        <f>'CAT-1'!V305+'CAT- 2'!V305+'CAT-3'!V305+'Tut-Ass-OA'!V305+'LAB Asseement'!T305</f>
        <v>0</v>
      </c>
      <c r="F304" s="60">
        <f>'CAT-1'!W305+'CAT- 2'!W305+'CAT-3'!W305+'Tut-Ass-OA'!W305+'LAB Asseement'!U305</f>
        <v>0</v>
      </c>
      <c r="G304" s="60">
        <f>'CAT-1'!X305+'CAT- 2'!X305+'CAT-3'!X305+'Tut-Ass-OA'!X305+'LAB Asseement'!V305</f>
        <v>0</v>
      </c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spans="1:23" ht="21.75" customHeight="1">
      <c r="A305" s="62" t="str">
        <f>BASE!B310</f>
        <v>23XXR295</v>
      </c>
      <c r="B305" s="121" t="s">
        <v>40</v>
      </c>
      <c r="C305" s="60">
        <f>'CAT-1'!T306+'CAT- 2'!T306+'CAT-3'!T306+'Tut-Ass-OA'!T306+'LAB Asseement'!R306</f>
        <v>0</v>
      </c>
      <c r="D305" s="60">
        <f>'CAT-1'!U306+'CAT- 2'!U306+'CAT-3'!U306+'Tut-Ass-OA'!U306+'LAB Asseement'!S306</f>
        <v>0</v>
      </c>
      <c r="E305" s="60">
        <f>'CAT-1'!V306+'CAT- 2'!V306+'CAT-3'!V306+'Tut-Ass-OA'!V306+'LAB Asseement'!T306</f>
        <v>0</v>
      </c>
      <c r="F305" s="60">
        <f>'CAT-1'!W306+'CAT- 2'!W306+'CAT-3'!W306+'Tut-Ass-OA'!W306+'LAB Asseement'!U306</f>
        <v>0</v>
      </c>
      <c r="G305" s="60">
        <f>'CAT-1'!X306+'CAT- 2'!X306+'CAT-3'!X306+'Tut-Ass-OA'!X306+'LAB Asseement'!V306</f>
        <v>0</v>
      </c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spans="1:23" ht="21.75" customHeight="1">
      <c r="A306" s="62" t="str">
        <f>BASE!B311</f>
        <v>23XXR296</v>
      </c>
      <c r="B306" s="121" t="s">
        <v>40</v>
      </c>
      <c r="C306" s="60">
        <f>'CAT-1'!T307+'CAT- 2'!T307+'CAT-3'!T307+'Tut-Ass-OA'!T307+'LAB Asseement'!R307</f>
        <v>0</v>
      </c>
      <c r="D306" s="60">
        <f>'CAT-1'!U307+'CAT- 2'!U307+'CAT-3'!U307+'Tut-Ass-OA'!U307+'LAB Asseement'!S307</f>
        <v>0</v>
      </c>
      <c r="E306" s="60">
        <f>'CAT-1'!V307+'CAT- 2'!V307+'CAT-3'!V307+'Tut-Ass-OA'!V307+'LAB Asseement'!T307</f>
        <v>0</v>
      </c>
      <c r="F306" s="60">
        <f>'CAT-1'!W307+'CAT- 2'!W307+'CAT-3'!W307+'Tut-Ass-OA'!W307+'LAB Asseement'!U307</f>
        <v>0</v>
      </c>
      <c r="G306" s="60">
        <f>'CAT-1'!X307+'CAT- 2'!X307+'CAT-3'!X307+'Tut-Ass-OA'!X307+'LAB Asseement'!V307</f>
        <v>0</v>
      </c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spans="1:23" ht="21.75" customHeight="1">
      <c r="A307" s="62" t="str">
        <f>BASE!B312</f>
        <v>23XXR297</v>
      </c>
      <c r="B307" s="121" t="s">
        <v>40</v>
      </c>
      <c r="C307" s="60">
        <f>'CAT-1'!T308+'CAT- 2'!T308+'CAT-3'!T308+'Tut-Ass-OA'!T308+'LAB Asseement'!R308</f>
        <v>0</v>
      </c>
      <c r="D307" s="60">
        <f>'CAT-1'!U308+'CAT- 2'!U308+'CAT-3'!U308+'Tut-Ass-OA'!U308+'LAB Asseement'!S308</f>
        <v>0</v>
      </c>
      <c r="E307" s="60">
        <f>'CAT-1'!V308+'CAT- 2'!V308+'CAT-3'!V308+'Tut-Ass-OA'!V308+'LAB Asseement'!T308</f>
        <v>0</v>
      </c>
      <c r="F307" s="60">
        <f>'CAT-1'!W308+'CAT- 2'!W308+'CAT-3'!W308+'Tut-Ass-OA'!W308+'LAB Asseement'!U308</f>
        <v>0</v>
      </c>
      <c r="G307" s="60">
        <f>'CAT-1'!X308+'CAT- 2'!X308+'CAT-3'!X308+'Tut-Ass-OA'!X308+'LAB Asseement'!V308</f>
        <v>0</v>
      </c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spans="1:23" ht="21.75" customHeight="1">
      <c r="A308" s="62" t="str">
        <f>BASE!B313</f>
        <v>23XXR298</v>
      </c>
      <c r="B308" s="121" t="s">
        <v>40</v>
      </c>
      <c r="C308" s="60">
        <f>'CAT-1'!T309+'CAT- 2'!T309+'CAT-3'!T309+'Tut-Ass-OA'!T309+'LAB Asseement'!R309</f>
        <v>0</v>
      </c>
      <c r="D308" s="60">
        <f>'CAT-1'!U309+'CAT- 2'!U309+'CAT-3'!U309+'Tut-Ass-OA'!U309+'LAB Asseement'!S309</f>
        <v>0</v>
      </c>
      <c r="E308" s="60">
        <f>'CAT-1'!V309+'CAT- 2'!V309+'CAT-3'!V309+'Tut-Ass-OA'!V309+'LAB Asseement'!T309</f>
        <v>0</v>
      </c>
      <c r="F308" s="60">
        <f>'CAT-1'!W309+'CAT- 2'!W309+'CAT-3'!W309+'Tut-Ass-OA'!W309+'LAB Asseement'!U309</f>
        <v>0</v>
      </c>
      <c r="G308" s="60">
        <f>'CAT-1'!X309+'CAT- 2'!X309+'CAT-3'!X309+'Tut-Ass-OA'!X309+'LAB Asseement'!V309</f>
        <v>0</v>
      </c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spans="1:23" ht="21.75" customHeight="1">
      <c r="A309" s="62" t="str">
        <f>BASE!B314</f>
        <v>23XXR299</v>
      </c>
      <c r="B309" s="121" t="s">
        <v>40</v>
      </c>
      <c r="C309" s="60">
        <f>'CAT-1'!T310+'CAT- 2'!T310+'CAT-3'!T310+'Tut-Ass-OA'!T310+'LAB Asseement'!R310</f>
        <v>0</v>
      </c>
      <c r="D309" s="60">
        <f>'CAT-1'!U310+'CAT- 2'!U310+'CAT-3'!U310+'Tut-Ass-OA'!U310+'LAB Asseement'!S310</f>
        <v>0</v>
      </c>
      <c r="E309" s="60">
        <f>'CAT-1'!V310+'CAT- 2'!V310+'CAT-3'!V310+'Tut-Ass-OA'!V310+'LAB Asseement'!T310</f>
        <v>0</v>
      </c>
      <c r="F309" s="60">
        <f>'CAT-1'!W310+'CAT- 2'!W310+'CAT-3'!W310+'Tut-Ass-OA'!W310+'LAB Asseement'!U310</f>
        <v>0</v>
      </c>
      <c r="G309" s="60">
        <f>'CAT-1'!X310+'CAT- 2'!X310+'CAT-3'!X310+'Tut-Ass-OA'!X310+'LAB Asseement'!V310</f>
        <v>0</v>
      </c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spans="1:23" ht="21.75" customHeight="1">
      <c r="A310" s="62" t="str">
        <f>BASE!B315</f>
        <v>23XXR300</v>
      </c>
      <c r="B310" s="121" t="s">
        <v>40</v>
      </c>
      <c r="C310" s="60">
        <f>'CAT-1'!T311+'CAT- 2'!T311+'CAT-3'!T311+'Tut-Ass-OA'!T311+'LAB Asseement'!R311</f>
        <v>0</v>
      </c>
      <c r="D310" s="60">
        <f>'CAT-1'!U311+'CAT- 2'!U311+'CAT-3'!U311+'Tut-Ass-OA'!U311+'LAB Asseement'!S311</f>
        <v>0</v>
      </c>
      <c r="E310" s="60">
        <f>'CAT-1'!V311+'CAT- 2'!V311+'CAT-3'!V311+'Tut-Ass-OA'!V311+'LAB Asseement'!T311</f>
        <v>0</v>
      </c>
      <c r="F310" s="60">
        <f>'CAT-1'!W311+'CAT- 2'!W311+'CAT-3'!W311+'Tut-Ass-OA'!W311+'LAB Asseement'!U311</f>
        <v>0</v>
      </c>
      <c r="G310" s="60">
        <f>'CAT-1'!X311+'CAT- 2'!X311+'CAT-3'!X311+'Tut-Ass-OA'!X311+'LAB Asseement'!V311</f>
        <v>0</v>
      </c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spans="1:23" ht="21.75" customHeight="1">
      <c r="A311" s="62" t="str">
        <f>BASE!B316</f>
        <v>23XXR301</v>
      </c>
      <c r="B311" s="121" t="s">
        <v>40</v>
      </c>
      <c r="C311" s="60">
        <f>'CAT-1'!T312+'CAT- 2'!T312+'CAT-3'!T312+'Tut-Ass-OA'!T312+'LAB Asseement'!R312</f>
        <v>0</v>
      </c>
      <c r="D311" s="60">
        <f>'CAT-1'!U312+'CAT- 2'!U312+'CAT-3'!U312+'Tut-Ass-OA'!U312+'LAB Asseement'!S312</f>
        <v>0</v>
      </c>
      <c r="E311" s="60">
        <f>'CAT-1'!V312+'CAT- 2'!V312+'CAT-3'!V312+'Tut-Ass-OA'!V312+'LAB Asseement'!T312</f>
        <v>0</v>
      </c>
      <c r="F311" s="60">
        <f>'CAT-1'!W312+'CAT- 2'!W312+'CAT-3'!W312+'Tut-Ass-OA'!W312+'LAB Asseement'!U312</f>
        <v>0</v>
      </c>
      <c r="G311" s="60">
        <f>'CAT-1'!X312+'CAT- 2'!X312+'CAT-3'!X312+'Tut-Ass-OA'!X312+'LAB Asseement'!V312</f>
        <v>0</v>
      </c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spans="1:23" ht="21.75" customHeight="1">
      <c r="A312" s="62" t="str">
        <f>BASE!B317</f>
        <v>23XXR302</v>
      </c>
      <c r="B312" s="121" t="s">
        <v>40</v>
      </c>
      <c r="C312" s="60">
        <f>'CAT-1'!T313+'CAT- 2'!T313+'CAT-3'!T313+'Tut-Ass-OA'!T313+'LAB Asseement'!R313</f>
        <v>0</v>
      </c>
      <c r="D312" s="60">
        <f>'CAT-1'!U313+'CAT- 2'!U313+'CAT-3'!U313+'Tut-Ass-OA'!U313+'LAB Asseement'!S313</f>
        <v>0</v>
      </c>
      <c r="E312" s="60">
        <f>'CAT-1'!V313+'CAT- 2'!V313+'CAT-3'!V313+'Tut-Ass-OA'!V313+'LAB Asseement'!T313</f>
        <v>0</v>
      </c>
      <c r="F312" s="60">
        <f>'CAT-1'!W313+'CAT- 2'!W313+'CAT-3'!W313+'Tut-Ass-OA'!W313+'LAB Asseement'!U313</f>
        <v>0</v>
      </c>
      <c r="G312" s="60">
        <f>'CAT-1'!X313+'CAT- 2'!X313+'CAT-3'!X313+'Tut-Ass-OA'!X313+'LAB Asseement'!V313</f>
        <v>0</v>
      </c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spans="1:23" ht="21.75" customHeight="1">
      <c r="A313" s="62" t="str">
        <f>BASE!B318</f>
        <v>23XXR303</v>
      </c>
      <c r="B313" s="121" t="s">
        <v>40</v>
      </c>
      <c r="C313" s="60">
        <f>'CAT-1'!T314+'CAT- 2'!T314+'CAT-3'!T314+'Tut-Ass-OA'!T314+'LAB Asseement'!R314</f>
        <v>0</v>
      </c>
      <c r="D313" s="60">
        <f>'CAT-1'!U314+'CAT- 2'!U314+'CAT-3'!U314+'Tut-Ass-OA'!U314+'LAB Asseement'!S314</f>
        <v>0</v>
      </c>
      <c r="E313" s="60">
        <f>'CAT-1'!V314+'CAT- 2'!V314+'CAT-3'!V314+'Tut-Ass-OA'!V314+'LAB Asseement'!T314</f>
        <v>0</v>
      </c>
      <c r="F313" s="60">
        <f>'CAT-1'!W314+'CAT- 2'!W314+'CAT-3'!W314+'Tut-Ass-OA'!W314+'LAB Asseement'!U314</f>
        <v>0</v>
      </c>
      <c r="G313" s="60">
        <f>'CAT-1'!X314+'CAT- 2'!X314+'CAT-3'!X314+'Tut-Ass-OA'!X314+'LAB Asseement'!V314</f>
        <v>0</v>
      </c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spans="1:23" ht="21.75" customHeight="1">
      <c r="A314" s="62" t="str">
        <f>BASE!B319</f>
        <v>23XXR304</v>
      </c>
      <c r="B314" s="121" t="s">
        <v>40</v>
      </c>
      <c r="C314" s="60">
        <f>'CAT-1'!T315+'CAT- 2'!T315+'CAT-3'!T315+'Tut-Ass-OA'!T315+'LAB Asseement'!R315</f>
        <v>0</v>
      </c>
      <c r="D314" s="60">
        <f>'CAT-1'!U315+'CAT- 2'!U315+'CAT-3'!U315+'Tut-Ass-OA'!U315+'LAB Asseement'!S315</f>
        <v>0</v>
      </c>
      <c r="E314" s="60">
        <f>'CAT-1'!V315+'CAT- 2'!V315+'CAT-3'!V315+'Tut-Ass-OA'!V315+'LAB Asseement'!T315</f>
        <v>0</v>
      </c>
      <c r="F314" s="60">
        <f>'CAT-1'!W315+'CAT- 2'!W315+'CAT-3'!W315+'Tut-Ass-OA'!W315+'LAB Asseement'!U315</f>
        <v>0</v>
      </c>
      <c r="G314" s="60">
        <f>'CAT-1'!X315+'CAT- 2'!X315+'CAT-3'!X315+'Tut-Ass-OA'!X315+'LAB Asseement'!V315</f>
        <v>0</v>
      </c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spans="1:23" ht="21.75" customHeight="1">
      <c r="A315" s="62" t="str">
        <f>BASE!B320</f>
        <v>23XXR305</v>
      </c>
      <c r="B315" s="121" t="s">
        <v>40</v>
      </c>
      <c r="C315" s="60">
        <f>'CAT-1'!T316+'CAT- 2'!T316+'CAT-3'!T316+'Tut-Ass-OA'!T316+'LAB Asseement'!R316</f>
        <v>0</v>
      </c>
      <c r="D315" s="60">
        <f>'CAT-1'!U316+'CAT- 2'!U316+'CAT-3'!U316+'Tut-Ass-OA'!U316+'LAB Asseement'!S316</f>
        <v>0</v>
      </c>
      <c r="E315" s="60">
        <f>'CAT-1'!V316+'CAT- 2'!V316+'CAT-3'!V316+'Tut-Ass-OA'!V316+'LAB Asseement'!T316</f>
        <v>0</v>
      </c>
      <c r="F315" s="60">
        <f>'CAT-1'!W316+'CAT- 2'!W316+'CAT-3'!W316+'Tut-Ass-OA'!W316+'LAB Asseement'!U316</f>
        <v>0</v>
      </c>
      <c r="G315" s="60">
        <f>'CAT-1'!X316+'CAT- 2'!X316+'CAT-3'!X316+'Tut-Ass-OA'!X316+'LAB Asseement'!V316</f>
        <v>0</v>
      </c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spans="1:23" ht="21.75" customHeight="1">
      <c r="A316" s="62" t="str">
        <f>BASE!B321</f>
        <v>23XXR306</v>
      </c>
      <c r="B316" s="121" t="s">
        <v>40</v>
      </c>
      <c r="C316" s="60">
        <f>'CAT-1'!T317+'CAT- 2'!T317+'CAT-3'!T317+'Tut-Ass-OA'!T317+'LAB Asseement'!R317</f>
        <v>0</v>
      </c>
      <c r="D316" s="60">
        <f>'CAT-1'!U317+'CAT- 2'!U317+'CAT-3'!U317+'Tut-Ass-OA'!U317+'LAB Asseement'!S317</f>
        <v>0</v>
      </c>
      <c r="E316" s="60">
        <f>'CAT-1'!V317+'CAT- 2'!V317+'CAT-3'!V317+'Tut-Ass-OA'!V317+'LAB Asseement'!T317</f>
        <v>0</v>
      </c>
      <c r="F316" s="60">
        <f>'CAT-1'!W317+'CAT- 2'!W317+'CAT-3'!W317+'Tut-Ass-OA'!W317+'LAB Asseement'!U317</f>
        <v>0</v>
      </c>
      <c r="G316" s="60">
        <f>'CAT-1'!X317+'CAT- 2'!X317+'CAT-3'!X317+'Tut-Ass-OA'!X317+'LAB Asseement'!V317</f>
        <v>0</v>
      </c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spans="1:23" ht="21.75" customHeight="1">
      <c r="A317" s="62" t="str">
        <f>BASE!B322</f>
        <v>23XXR307</v>
      </c>
      <c r="B317" s="121" t="s">
        <v>40</v>
      </c>
      <c r="C317" s="60">
        <f>'CAT-1'!T318+'CAT- 2'!T318+'CAT-3'!T318+'Tut-Ass-OA'!T318+'LAB Asseement'!R318</f>
        <v>0</v>
      </c>
      <c r="D317" s="60">
        <f>'CAT-1'!U318+'CAT- 2'!U318+'CAT-3'!U318+'Tut-Ass-OA'!U318+'LAB Asseement'!S318</f>
        <v>0</v>
      </c>
      <c r="E317" s="60">
        <f>'CAT-1'!V318+'CAT- 2'!V318+'CAT-3'!V318+'Tut-Ass-OA'!V318+'LAB Asseement'!T318</f>
        <v>0</v>
      </c>
      <c r="F317" s="60">
        <f>'CAT-1'!W318+'CAT- 2'!W318+'CAT-3'!W318+'Tut-Ass-OA'!W318+'LAB Asseement'!U318</f>
        <v>0</v>
      </c>
      <c r="G317" s="60">
        <f>'CAT-1'!X318+'CAT- 2'!X318+'CAT-3'!X318+'Tut-Ass-OA'!X318+'LAB Asseement'!V318</f>
        <v>0</v>
      </c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spans="1:23" ht="21.75" customHeight="1">
      <c r="A318" s="62" t="str">
        <f>BASE!B323</f>
        <v>23XXR308</v>
      </c>
      <c r="B318" s="121" t="s">
        <v>40</v>
      </c>
      <c r="C318" s="60">
        <f>'CAT-1'!T319+'CAT- 2'!T319+'CAT-3'!T319+'Tut-Ass-OA'!T319+'LAB Asseement'!R319</f>
        <v>0</v>
      </c>
      <c r="D318" s="60">
        <f>'CAT-1'!U319+'CAT- 2'!U319+'CAT-3'!U319+'Tut-Ass-OA'!U319+'LAB Asseement'!S319</f>
        <v>0</v>
      </c>
      <c r="E318" s="60">
        <f>'CAT-1'!V319+'CAT- 2'!V319+'CAT-3'!V319+'Tut-Ass-OA'!V319+'LAB Asseement'!T319</f>
        <v>0</v>
      </c>
      <c r="F318" s="60">
        <f>'CAT-1'!W319+'CAT- 2'!W319+'CAT-3'!W319+'Tut-Ass-OA'!W319+'LAB Asseement'!U319</f>
        <v>0</v>
      </c>
      <c r="G318" s="60">
        <f>'CAT-1'!X319+'CAT- 2'!X319+'CAT-3'!X319+'Tut-Ass-OA'!X319+'LAB Asseement'!V319</f>
        <v>0</v>
      </c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spans="1:23" ht="21.75" customHeight="1">
      <c r="A319" s="62" t="str">
        <f>BASE!B324</f>
        <v>23XXR309</v>
      </c>
      <c r="B319" s="121" t="s">
        <v>40</v>
      </c>
      <c r="C319" s="60">
        <f>'CAT-1'!T320+'CAT- 2'!T320+'CAT-3'!T320+'Tut-Ass-OA'!T320+'LAB Asseement'!R320</f>
        <v>0</v>
      </c>
      <c r="D319" s="60">
        <f>'CAT-1'!U320+'CAT- 2'!U320+'CAT-3'!U320+'Tut-Ass-OA'!U320+'LAB Asseement'!S320</f>
        <v>0</v>
      </c>
      <c r="E319" s="60">
        <f>'CAT-1'!V320+'CAT- 2'!V320+'CAT-3'!V320+'Tut-Ass-OA'!V320+'LAB Asseement'!T320</f>
        <v>0</v>
      </c>
      <c r="F319" s="60">
        <f>'CAT-1'!W320+'CAT- 2'!W320+'CAT-3'!W320+'Tut-Ass-OA'!W320+'LAB Asseement'!U320</f>
        <v>0</v>
      </c>
      <c r="G319" s="60">
        <f>'CAT-1'!X320+'CAT- 2'!X320+'CAT-3'!X320+'Tut-Ass-OA'!X320+'LAB Asseement'!V320</f>
        <v>0</v>
      </c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spans="1:23" ht="21.75" customHeight="1">
      <c r="A320" s="62" t="str">
        <f>BASE!B325</f>
        <v>23XXR310</v>
      </c>
      <c r="B320" s="121" t="s">
        <v>40</v>
      </c>
      <c r="C320" s="60">
        <f>'CAT-1'!T321+'CAT- 2'!T321+'CAT-3'!T321+'Tut-Ass-OA'!T321+'LAB Asseement'!R321</f>
        <v>0</v>
      </c>
      <c r="D320" s="60">
        <f>'CAT-1'!U321+'CAT- 2'!U321+'CAT-3'!U321+'Tut-Ass-OA'!U321+'LAB Asseement'!S321</f>
        <v>0</v>
      </c>
      <c r="E320" s="60">
        <f>'CAT-1'!V321+'CAT- 2'!V321+'CAT-3'!V321+'Tut-Ass-OA'!V321+'LAB Asseement'!T321</f>
        <v>0</v>
      </c>
      <c r="F320" s="60">
        <f>'CAT-1'!W321+'CAT- 2'!W321+'CAT-3'!W321+'Tut-Ass-OA'!W321+'LAB Asseement'!U321</f>
        <v>0</v>
      </c>
      <c r="G320" s="60">
        <f>'CAT-1'!X321+'CAT- 2'!X321+'CAT-3'!X321+'Tut-Ass-OA'!X321+'LAB Asseement'!V321</f>
        <v>0</v>
      </c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spans="1:23" ht="21.75" customHeight="1">
      <c r="A321" s="62" t="str">
        <f>BASE!B326</f>
        <v>23XXR311</v>
      </c>
      <c r="B321" s="121" t="s">
        <v>40</v>
      </c>
      <c r="C321" s="60">
        <f>'CAT-1'!T322+'CAT- 2'!T322+'CAT-3'!T322+'Tut-Ass-OA'!T322+'LAB Asseement'!R322</f>
        <v>0</v>
      </c>
      <c r="D321" s="60">
        <f>'CAT-1'!U322+'CAT- 2'!U322+'CAT-3'!U322+'Tut-Ass-OA'!U322+'LAB Asseement'!S322</f>
        <v>0</v>
      </c>
      <c r="E321" s="60">
        <f>'CAT-1'!V322+'CAT- 2'!V322+'CAT-3'!V322+'Tut-Ass-OA'!V322+'LAB Asseement'!T322</f>
        <v>0</v>
      </c>
      <c r="F321" s="60">
        <f>'CAT-1'!W322+'CAT- 2'!W322+'CAT-3'!W322+'Tut-Ass-OA'!W322+'LAB Asseement'!U322</f>
        <v>0</v>
      </c>
      <c r="G321" s="60">
        <f>'CAT-1'!X322+'CAT- 2'!X322+'CAT-3'!X322+'Tut-Ass-OA'!X322+'LAB Asseement'!V322</f>
        <v>0</v>
      </c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spans="1:23" ht="21.75" customHeight="1">
      <c r="A322" s="62" t="str">
        <f>BASE!B327</f>
        <v>23XXR312</v>
      </c>
      <c r="B322" s="121" t="s">
        <v>40</v>
      </c>
      <c r="C322" s="60">
        <f>'CAT-1'!T323+'CAT- 2'!T323+'CAT-3'!T323+'Tut-Ass-OA'!T323+'LAB Asseement'!R323</f>
        <v>0</v>
      </c>
      <c r="D322" s="60">
        <f>'CAT-1'!U323+'CAT- 2'!U323+'CAT-3'!U323+'Tut-Ass-OA'!U323+'LAB Asseement'!S323</f>
        <v>0</v>
      </c>
      <c r="E322" s="60">
        <f>'CAT-1'!V323+'CAT- 2'!V323+'CAT-3'!V323+'Tut-Ass-OA'!V323+'LAB Asseement'!T323</f>
        <v>0</v>
      </c>
      <c r="F322" s="60">
        <f>'CAT-1'!W323+'CAT- 2'!W323+'CAT-3'!W323+'Tut-Ass-OA'!W323+'LAB Asseement'!U323</f>
        <v>0</v>
      </c>
      <c r="G322" s="60">
        <f>'CAT-1'!X323+'CAT- 2'!X323+'CAT-3'!X323+'Tut-Ass-OA'!X323+'LAB Asseement'!V323</f>
        <v>0</v>
      </c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spans="1:23" ht="21.75" customHeight="1">
      <c r="A323" s="62" t="str">
        <f>BASE!B328</f>
        <v>23XXR313</v>
      </c>
      <c r="B323" s="121" t="s">
        <v>40</v>
      </c>
      <c r="C323" s="60">
        <f>'CAT-1'!T324+'CAT- 2'!T324+'CAT-3'!T324+'Tut-Ass-OA'!T324+'LAB Asseement'!R324</f>
        <v>0</v>
      </c>
      <c r="D323" s="60">
        <f>'CAT-1'!U324+'CAT- 2'!U324+'CAT-3'!U324+'Tut-Ass-OA'!U324+'LAB Asseement'!S324</f>
        <v>0</v>
      </c>
      <c r="E323" s="60">
        <f>'CAT-1'!V324+'CAT- 2'!V324+'CAT-3'!V324+'Tut-Ass-OA'!V324+'LAB Asseement'!T324</f>
        <v>0</v>
      </c>
      <c r="F323" s="60">
        <f>'CAT-1'!W324+'CAT- 2'!W324+'CAT-3'!W324+'Tut-Ass-OA'!W324+'LAB Asseement'!U324</f>
        <v>0</v>
      </c>
      <c r="G323" s="60">
        <f>'CAT-1'!X324+'CAT- 2'!X324+'CAT-3'!X324+'Tut-Ass-OA'!X324+'LAB Asseement'!V324</f>
        <v>0</v>
      </c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spans="1:23" ht="21.75" customHeight="1">
      <c r="A324" s="62" t="str">
        <f>BASE!B329</f>
        <v>23XXR314</v>
      </c>
      <c r="B324" s="121" t="s">
        <v>40</v>
      </c>
      <c r="C324" s="60">
        <f>'CAT-1'!T325+'CAT- 2'!T325+'CAT-3'!T325+'Tut-Ass-OA'!T325+'LAB Asseement'!R325</f>
        <v>0</v>
      </c>
      <c r="D324" s="60">
        <f>'CAT-1'!U325+'CAT- 2'!U325+'CAT-3'!U325+'Tut-Ass-OA'!U325+'LAB Asseement'!S325</f>
        <v>0</v>
      </c>
      <c r="E324" s="60">
        <f>'CAT-1'!V325+'CAT- 2'!V325+'CAT-3'!V325+'Tut-Ass-OA'!V325+'LAB Asseement'!T325</f>
        <v>0</v>
      </c>
      <c r="F324" s="60">
        <f>'CAT-1'!W325+'CAT- 2'!W325+'CAT-3'!W325+'Tut-Ass-OA'!W325+'LAB Asseement'!U325</f>
        <v>0</v>
      </c>
      <c r="G324" s="60">
        <f>'CAT-1'!X325+'CAT- 2'!X325+'CAT-3'!X325+'Tut-Ass-OA'!X325+'LAB Asseement'!V325</f>
        <v>0</v>
      </c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spans="1:23" ht="21.75" customHeight="1">
      <c r="A325" s="62" t="str">
        <f>BASE!B330</f>
        <v>23XXR315</v>
      </c>
      <c r="B325" s="121" t="s">
        <v>40</v>
      </c>
      <c r="C325" s="60">
        <f>'CAT-1'!T326+'CAT- 2'!T326+'CAT-3'!T326+'Tut-Ass-OA'!T326+'LAB Asseement'!R326</f>
        <v>0</v>
      </c>
      <c r="D325" s="60">
        <f>'CAT-1'!U326+'CAT- 2'!U326+'CAT-3'!U326+'Tut-Ass-OA'!U326+'LAB Asseement'!S326</f>
        <v>0</v>
      </c>
      <c r="E325" s="60">
        <f>'CAT-1'!V326+'CAT- 2'!V326+'CAT-3'!V326+'Tut-Ass-OA'!V326+'LAB Asseement'!T326</f>
        <v>0</v>
      </c>
      <c r="F325" s="60">
        <f>'CAT-1'!W326+'CAT- 2'!W326+'CAT-3'!W326+'Tut-Ass-OA'!W326+'LAB Asseement'!U326</f>
        <v>0</v>
      </c>
      <c r="G325" s="60">
        <f>'CAT-1'!X326+'CAT- 2'!X326+'CAT-3'!X326+'Tut-Ass-OA'!X326+'LAB Asseement'!V326</f>
        <v>0</v>
      </c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spans="1:23" ht="21.75" customHeight="1">
      <c r="A326" s="62" t="str">
        <f>BASE!B331</f>
        <v>23XXR316</v>
      </c>
      <c r="B326" s="121" t="s">
        <v>40</v>
      </c>
      <c r="C326" s="60">
        <f>'CAT-1'!T327+'CAT- 2'!T327+'CAT-3'!T327+'Tut-Ass-OA'!T327+'LAB Asseement'!R327</f>
        <v>0</v>
      </c>
      <c r="D326" s="60">
        <f>'CAT-1'!U327+'CAT- 2'!U327+'CAT-3'!U327+'Tut-Ass-OA'!U327+'LAB Asseement'!S327</f>
        <v>0</v>
      </c>
      <c r="E326" s="60">
        <f>'CAT-1'!V327+'CAT- 2'!V327+'CAT-3'!V327+'Tut-Ass-OA'!V327+'LAB Asseement'!T327</f>
        <v>0</v>
      </c>
      <c r="F326" s="60">
        <f>'CAT-1'!W327+'CAT- 2'!W327+'CAT-3'!W327+'Tut-Ass-OA'!W327+'LAB Asseement'!U327</f>
        <v>0</v>
      </c>
      <c r="G326" s="60">
        <f>'CAT-1'!X327+'CAT- 2'!X327+'CAT-3'!X327+'Tut-Ass-OA'!X327+'LAB Asseement'!V327</f>
        <v>0</v>
      </c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spans="1:23" ht="21.75" customHeight="1">
      <c r="A327" s="62" t="str">
        <f>BASE!B332</f>
        <v>23XXR317</v>
      </c>
      <c r="B327" s="121" t="s">
        <v>40</v>
      </c>
      <c r="C327" s="60">
        <f>'CAT-1'!T328+'CAT- 2'!T328+'CAT-3'!T328+'Tut-Ass-OA'!T328+'LAB Asseement'!R328</f>
        <v>0</v>
      </c>
      <c r="D327" s="60">
        <f>'CAT-1'!U328+'CAT- 2'!U328+'CAT-3'!U328+'Tut-Ass-OA'!U328+'LAB Asseement'!S328</f>
        <v>0</v>
      </c>
      <c r="E327" s="60">
        <f>'CAT-1'!V328+'CAT- 2'!V328+'CAT-3'!V328+'Tut-Ass-OA'!V328+'LAB Asseement'!T328</f>
        <v>0</v>
      </c>
      <c r="F327" s="60">
        <f>'CAT-1'!W328+'CAT- 2'!W328+'CAT-3'!W328+'Tut-Ass-OA'!W328+'LAB Asseement'!U328</f>
        <v>0</v>
      </c>
      <c r="G327" s="60">
        <f>'CAT-1'!X328+'CAT- 2'!X328+'CAT-3'!X328+'Tut-Ass-OA'!X328+'LAB Asseement'!V328</f>
        <v>0</v>
      </c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spans="1:23" ht="21.75" customHeight="1">
      <c r="A328" s="62" t="str">
        <f>BASE!B333</f>
        <v>23XXR318</v>
      </c>
      <c r="B328" s="121" t="s">
        <v>40</v>
      </c>
      <c r="C328" s="60">
        <f>'CAT-1'!T329+'CAT- 2'!T329+'CAT-3'!T329+'Tut-Ass-OA'!T329+'LAB Asseement'!R329</f>
        <v>0</v>
      </c>
      <c r="D328" s="60">
        <f>'CAT-1'!U329+'CAT- 2'!U329+'CAT-3'!U329+'Tut-Ass-OA'!U329+'LAB Asseement'!S329</f>
        <v>0</v>
      </c>
      <c r="E328" s="60">
        <f>'CAT-1'!V329+'CAT- 2'!V329+'CAT-3'!V329+'Tut-Ass-OA'!V329+'LAB Asseement'!T329</f>
        <v>0</v>
      </c>
      <c r="F328" s="60">
        <f>'CAT-1'!W329+'CAT- 2'!W329+'CAT-3'!W329+'Tut-Ass-OA'!W329+'LAB Asseement'!U329</f>
        <v>0</v>
      </c>
      <c r="G328" s="60">
        <f>'CAT-1'!X329+'CAT- 2'!X329+'CAT-3'!X329+'Tut-Ass-OA'!X329+'LAB Asseement'!V329</f>
        <v>0</v>
      </c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spans="1:23" ht="21.75" customHeight="1">
      <c r="A329" s="62" t="str">
        <f>BASE!B334</f>
        <v>23XXR319</v>
      </c>
      <c r="B329" s="121" t="s">
        <v>40</v>
      </c>
      <c r="C329" s="60">
        <f>'CAT-1'!T330+'CAT- 2'!T330+'CAT-3'!T330+'Tut-Ass-OA'!T330+'LAB Asseement'!R330</f>
        <v>0</v>
      </c>
      <c r="D329" s="60">
        <f>'CAT-1'!U330+'CAT- 2'!U330+'CAT-3'!U330+'Tut-Ass-OA'!U330+'LAB Asseement'!S330</f>
        <v>0</v>
      </c>
      <c r="E329" s="60">
        <f>'CAT-1'!V330+'CAT- 2'!V330+'CAT-3'!V330+'Tut-Ass-OA'!V330+'LAB Asseement'!T330</f>
        <v>0</v>
      </c>
      <c r="F329" s="60">
        <f>'CAT-1'!W330+'CAT- 2'!W330+'CAT-3'!W330+'Tut-Ass-OA'!W330+'LAB Asseement'!U330</f>
        <v>0</v>
      </c>
      <c r="G329" s="60">
        <f>'CAT-1'!X330+'CAT- 2'!X330+'CAT-3'!X330+'Tut-Ass-OA'!X330+'LAB Asseement'!V330</f>
        <v>0</v>
      </c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spans="1:23" ht="21.75" customHeight="1">
      <c r="A330" s="62" t="str">
        <f>BASE!B335</f>
        <v>23XXR320</v>
      </c>
      <c r="B330" s="121" t="s">
        <v>40</v>
      </c>
      <c r="C330" s="60">
        <f>'CAT-1'!T331+'CAT- 2'!T331+'CAT-3'!T331+'Tut-Ass-OA'!T331+'LAB Asseement'!R331</f>
        <v>0</v>
      </c>
      <c r="D330" s="60">
        <f>'CAT-1'!U331+'CAT- 2'!U331+'CAT-3'!U331+'Tut-Ass-OA'!U331+'LAB Asseement'!S331</f>
        <v>0</v>
      </c>
      <c r="E330" s="60">
        <f>'CAT-1'!V331+'CAT- 2'!V331+'CAT-3'!V331+'Tut-Ass-OA'!V331+'LAB Asseement'!T331</f>
        <v>0</v>
      </c>
      <c r="F330" s="60">
        <f>'CAT-1'!W331+'CAT- 2'!W331+'CAT-3'!W331+'Tut-Ass-OA'!W331+'LAB Asseement'!U331</f>
        <v>0</v>
      </c>
      <c r="G330" s="60">
        <f>'CAT-1'!X331+'CAT- 2'!X331+'CAT-3'!X331+'Tut-Ass-OA'!X331+'LAB Asseement'!V331</f>
        <v>0</v>
      </c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spans="1:23" ht="21.75" customHeight="1">
      <c r="A331" s="62" t="str">
        <f>BASE!B336</f>
        <v>23XXR321</v>
      </c>
      <c r="B331" s="121" t="s">
        <v>40</v>
      </c>
      <c r="C331" s="60">
        <f>'CAT-1'!T332+'CAT- 2'!T332+'CAT-3'!T332+'Tut-Ass-OA'!T332+'LAB Asseement'!R332</f>
        <v>0</v>
      </c>
      <c r="D331" s="60">
        <f>'CAT-1'!U332+'CAT- 2'!U332+'CAT-3'!U332+'Tut-Ass-OA'!U332+'LAB Asseement'!S332</f>
        <v>0</v>
      </c>
      <c r="E331" s="60">
        <f>'CAT-1'!V332+'CAT- 2'!V332+'CAT-3'!V332+'Tut-Ass-OA'!V332+'LAB Asseement'!T332</f>
        <v>0</v>
      </c>
      <c r="F331" s="60">
        <f>'CAT-1'!W332+'CAT- 2'!W332+'CAT-3'!W332+'Tut-Ass-OA'!W332+'LAB Asseement'!U332</f>
        <v>0</v>
      </c>
      <c r="G331" s="60">
        <f>'CAT-1'!X332+'CAT- 2'!X332+'CAT-3'!X332+'Tut-Ass-OA'!X332+'LAB Asseement'!V332</f>
        <v>0</v>
      </c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spans="1:23" ht="21.75" customHeight="1">
      <c r="A332" s="62" t="str">
        <f>BASE!B337</f>
        <v>23XXR322</v>
      </c>
      <c r="B332" s="121" t="s">
        <v>40</v>
      </c>
      <c r="C332" s="60">
        <f>'CAT-1'!T333+'CAT- 2'!T333+'CAT-3'!T333+'Tut-Ass-OA'!T333+'LAB Asseement'!R333</f>
        <v>0</v>
      </c>
      <c r="D332" s="60">
        <f>'CAT-1'!U333+'CAT- 2'!U333+'CAT-3'!U333+'Tut-Ass-OA'!U333+'LAB Asseement'!S333</f>
        <v>0</v>
      </c>
      <c r="E332" s="60">
        <f>'CAT-1'!V333+'CAT- 2'!V333+'CAT-3'!V333+'Tut-Ass-OA'!V333+'LAB Asseement'!T333</f>
        <v>0</v>
      </c>
      <c r="F332" s="60">
        <f>'CAT-1'!W333+'CAT- 2'!W333+'CAT-3'!W333+'Tut-Ass-OA'!W333+'LAB Asseement'!U333</f>
        <v>0</v>
      </c>
      <c r="G332" s="60">
        <f>'CAT-1'!X333+'CAT- 2'!X333+'CAT-3'!X333+'Tut-Ass-OA'!X333+'LAB Asseement'!V333</f>
        <v>0</v>
      </c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spans="1:23" ht="21.75" customHeight="1">
      <c r="A333" s="62" t="str">
        <f>BASE!B338</f>
        <v>23XXR323</v>
      </c>
      <c r="B333" s="121" t="s">
        <v>40</v>
      </c>
      <c r="C333" s="60">
        <f>'CAT-1'!T334+'CAT- 2'!T334+'CAT-3'!T334+'Tut-Ass-OA'!T334+'LAB Asseement'!R334</f>
        <v>0</v>
      </c>
      <c r="D333" s="60">
        <f>'CAT-1'!U334+'CAT- 2'!U334+'CAT-3'!U334+'Tut-Ass-OA'!U334+'LAB Asseement'!S334</f>
        <v>0</v>
      </c>
      <c r="E333" s="60">
        <f>'CAT-1'!V334+'CAT- 2'!V334+'CAT-3'!V334+'Tut-Ass-OA'!V334+'LAB Asseement'!T334</f>
        <v>0</v>
      </c>
      <c r="F333" s="60">
        <f>'CAT-1'!W334+'CAT- 2'!W334+'CAT-3'!W334+'Tut-Ass-OA'!W334+'LAB Asseement'!U334</f>
        <v>0</v>
      </c>
      <c r="G333" s="60">
        <f>'CAT-1'!X334+'CAT- 2'!X334+'CAT-3'!X334+'Tut-Ass-OA'!X334+'LAB Asseement'!V334</f>
        <v>0</v>
      </c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spans="1:23" ht="21.75" customHeight="1">
      <c r="A334" s="62" t="str">
        <f>BASE!B339</f>
        <v>23XXR324</v>
      </c>
      <c r="B334" s="121" t="s">
        <v>40</v>
      </c>
      <c r="C334" s="60">
        <f>'CAT-1'!T335+'CAT- 2'!T335+'CAT-3'!T335+'Tut-Ass-OA'!T335+'LAB Asseement'!R335</f>
        <v>0</v>
      </c>
      <c r="D334" s="60">
        <f>'CAT-1'!U335+'CAT- 2'!U335+'CAT-3'!U335+'Tut-Ass-OA'!U335+'LAB Asseement'!S335</f>
        <v>0</v>
      </c>
      <c r="E334" s="60">
        <f>'CAT-1'!V335+'CAT- 2'!V335+'CAT-3'!V335+'Tut-Ass-OA'!V335+'LAB Asseement'!T335</f>
        <v>0</v>
      </c>
      <c r="F334" s="60">
        <f>'CAT-1'!W335+'CAT- 2'!W335+'CAT-3'!W335+'Tut-Ass-OA'!W335+'LAB Asseement'!U335</f>
        <v>0</v>
      </c>
      <c r="G334" s="60">
        <f>'CAT-1'!X335+'CAT- 2'!X335+'CAT-3'!X335+'Tut-Ass-OA'!X335+'LAB Asseement'!V335</f>
        <v>0</v>
      </c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spans="1:23" ht="21.75" customHeight="1">
      <c r="A335" s="62" t="str">
        <f>BASE!B340</f>
        <v>23XXR325</v>
      </c>
      <c r="B335" s="121" t="s">
        <v>40</v>
      </c>
      <c r="C335" s="60">
        <f>'CAT-1'!T336+'CAT- 2'!T336+'CAT-3'!T336+'Tut-Ass-OA'!T336+'LAB Asseement'!R336</f>
        <v>0</v>
      </c>
      <c r="D335" s="60">
        <f>'CAT-1'!U336+'CAT- 2'!U336+'CAT-3'!U336+'Tut-Ass-OA'!U336+'LAB Asseement'!S336</f>
        <v>0</v>
      </c>
      <c r="E335" s="60">
        <f>'CAT-1'!V336+'CAT- 2'!V336+'CAT-3'!V336+'Tut-Ass-OA'!V336+'LAB Asseement'!T336</f>
        <v>0</v>
      </c>
      <c r="F335" s="60">
        <f>'CAT-1'!W336+'CAT- 2'!W336+'CAT-3'!W336+'Tut-Ass-OA'!W336+'LAB Asseement'!U336</f>
        <v>0</v>
      </c>
      <c r="G335" s="60">
        <f>'CAT-1'!X336+'CAT- 2'!X336+'CAT-3'!X336+'Tut-Ass-OA'!X336+'LAB Asseement'!V336</f>
        <v>0</v>
      </c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spans="1:23" ht="21.75" customHeight="1">
      <c r="A336" s="62" t="str">
        <f>BASE!B341</f>
        <v>23XXR326</v>
      </c>
      <c r="B336" s="121" t="s">
        <v>40</v>
      </c>
      <c r="C336" s="60">
        <f>'CAT-1'!T337+'CAT- 2'!T337+'CAT-3'!T337+'Tut-Ass-OA'!T337+'LAB Asseement'!R337</f>
        <v>0</v>
      </c>
      <c r="D336" s="60">
        <f>'CAT-1'!U337+'CAT- 2'!U337+'CAT-3'!U337+'Tut-Ass-OA'!U337+'LAB Asseement'!S337</f>
        <v>0</v>
      </c>
      <c r="E336" s="60">
        <f>'CAT-1'!V337+'CAT- 2'!V337+'CAT-3'!V337+'Tut-Ass-OA'!V337+'LAB Asseement'!T337</f>
        <v>0</v>
      </c>
      <c r="F336" s="60">
        <f>'CAT-1'!W337+'CAT- 2'!W337+'CAT-3'!W337+'Tut-Ass-OA'!W337+'LAB Asseement'!U337</f>
        <v>0</v>
      </c>
      <c r="G336" s="60">
        <f>'CAT-1'!X337+'CAT- 2'!X337+'CAT-3'!X337+'Tut-Ass-OA'!X337+'LAB Asseement'!V337</f>
        <v>0</v>
      </c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spans="1:23" ht="21.75" customHeight="1">
      <c r="A337" s="62" t="str">
        <f>BASE!B342</f>
        <v>23XXR327</v>
      </c>
      <c r="B337" s="121" t="s">
        <v>40</v>
      </c>
      <c r="C337" s="60">
        <f>'CAT-1'!T338+'CAT- 2'!T338+'CAT-3'!T338+'Tut-Ass-OA'!T338+'LAB Asseement'!R338</f>
        <v>0</v>
      </c>
      <c r="D337" s="60">
        <f>'CAT-1'!U338+'CAT- 2'!U338+'CAT-3'!U338+'Tut-Ass-OA'!U338+'LAB Asseement'!S338</f>
        <v>0</v>
      </c>
      <c r="E337" s="60">
        <f>'CAT-1'!V338+'CAT- 2'!V338+'CAT-3'!V338+'Tut-Ass-OA'!V338+'LAB Asseement'!T338</f>
        <v>0</v>
      </c>
      <c r="F337" s="60">
        <f>'CAT-1'!W338+'CAT- 2'!W338+'CAT-3'!W338+'Tut-Ass-OA'!W338+'LAB Asseement'!U338</f>
        <v>0</v>
      </c>
      <c r="G337" s="60">
        <f>'CAT-1'!X338+'CAT- 2'!X338+'CAT-3'!X338+'Tut-Ass-OA'!X338+'LAB Asseement'!V338</f>
        <v>0</v>
      </c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spans="1:23" ht="21.75" customHeight="1">
      <c r="A338" s="62" t="str">
        <f>BASE!B343</f>
        <v>23XXR328</v>
      </c>
      <c r="B338" s="121" t="s">
        <v>40</v>
      </c>
      <c r="C338" s="60">
        <f>'CAT-1'!T339+'CAT- 2'!T339+'CAT-3'!T339+'Tut-Ass-OA'!T339+'LAB Asseement'!R339</f>
        <v>0</v>
      </c>
      <c r="D338" s="60">
        <f>'CAT-1'!U339+'CAT- 2'!U339+'CAT-3'!U339+'Tut-Ass-OA'!U339+'LAB Asseement'!S339</f>
        <v>0</v>
      </c>
      <c r="E338" s="60">
        <f>'CAT-1'!V339+'CAT- 2'!V339+'CAT-3'!V339+'Tut-Ass-OA'!V339+'LAB Asseement'!T339</f>
        <v>0</v>
      </c>
      <c r="F338" s="60">
        <f>'CAT-1'!W339+'CAT- 2'!W339+'CAT-3'!W339+'Tut-Ass-OA'!W339+'LAB Asseement'!U339</f>
        <v>0</v>
      </c>
      <c r="G338" s="60">
        <f>'CAT-1'!X339+'CAT- 2'!X339+'CAT-3'!X339+'Tut-Ass-OA'!X339+'LAB Asseement'!V339</f>
        <v>0</v>
      </c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spans="1:23" ht="21.75" customHeight="1">
      <c r="A339" s="62" t="str">
        <f>BASE!B344</f>
        <v>23XXR329</v>
      </c>
      <c r="B339" s="121" t="s">
        <v>40</v>
      </c>
      <c r="C339" s="60">
        <f>'CAT-1'!T340+'CAT- 2'!T340+'CAT-3'!T340+'Tut-Ass-OA'!T340+'LAB Asseement'!R340</f>
        <v>0</v>
      </c>
      <c r="D339" s="60">
        <f>'CAT-1'!U340+'CAT- 2'!U340+'CAT-3'!U340+'Tut-Ass-OA'!U340+'LAB Asseement'!S340</f>
        <v>0</v>
      </c>
      <c r="E339" s="60">
        <f>'CAT-1'!V340+'CAT- 2'!V340+'CAT-3'!V340+'Tut-Ass-OA'!V340+'LAB Asseement'!T340</f>
        <v>0</v>
      </c>
      <c r="F339" s="60">
        <f>'CAT-1'!W340+'CAT- 2'!W340+'CAT-3'!W340+'Tut-Ass-OA'!W340+'LAB Asseement'!U340</f>
        <v>0</v>
      </c>
      <c r="G339" s="60">
        <f>'CAT-1'!X340+'CAT- 2'!X340+'CAT-3'!X340+'Tut-Ass-OA'!X340+'LAB Asseement'!V340</f>
        <v>0</v>
      </c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spans="1:23" ht="21.75" customHeight="1">
      <c r="A340" s="62" t="str">
        <f>BASE!B345</f>
        <v>23XXR330</v>
      </c>
      <c r="B340" s="121" t="s">
        <v>40</v>
      </c>
      <c r="C340" s="60">
        <f>'CAT-1'!T341+'CAT- 2'!T341+'CAT-3'!T341+'Tut-Ass-OA'!T341+'LAB Asseement'!R341</f>
        <v>0</v>
      </c>
      <c r="D340" s="60">
        <f>'CAT-1'!U341+'CAT- 2'!U341+'CAT-3'!U341+'Tut-Ass-OA'!U341+'LAB Asseement'!S341</f>
        <v>0</v>
      </c>
      <c r="E340" s="60">
        <f>'CAT-1'!V341+'CAT- 2'!V341+'CAT-3'!V341+'Tut-Ass-OA'!V341+'LAB Asseement'!T341</f>
        <v>0</v>
      </c>
      <c r="F340" s="60">
        <f>'CAT-1'!W341+'CAT- 2'!W341+'CAT-3'!W341+'Tut-Ass-OA'!W341+'LAB Asseement'!U341</f>
        <v>0</v>
      </c>
      <c r="G340" s="60">
        <f>'CAT-1'!X341+'CAT- 2'!X341+'CAT-3'!X341+'Tut-Ass-OA'!X341+'LAB Asseement'!V341</f>
        <v>0</v>
      </c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spans="1:23" ht="21.75" customHeight="1">
      <c r="A341" s="62" t="str">
        <f>BASE!B346</f>
        <v>23XXR331</v>
      </c>
      <c r="B341" s="121" t="s">
        <v>40</v>
      </c>
      <c r="C341" s="60">
        <f>'CAT-1'!T342+'CAT- 2'!T342+'CAT-3'!T342+'Tut-Ass-OA'!T342+'LAB Asseement'!R342</f>
        <v>0</v>
      </c>
      <c r="D341" s="60">
        <f>'CAT-1'!U342+'CAT- 2'!U342+'CAT-3'!U342+'Tut-Ass-OA'!U342+'LAB Asseement'!S342</f>
        <v>0</v>
      </c>
      <c r="E341" s="60">
        <f>'CAT-1'!V342+'CAT- 2'!V342+'CAT-3'!V342+'Tut-Ass-OA'!V342+'LAB Asseement'!T342</f>
        <v>0</v>
      </c>
      <c r="F341" s="60">
        <f>'CAT-1'!W342+'CAT- 2'!W342+'CAT-3'!W342+'Tut-Ass-OA'!W342+'LAB Asseement'!U342</f>
        <v>0</v>
      </c>
      <c r="G341" s="60">
        <f>'CAT-1'!X342+'CAT- 2'!X342+'CAT-3'!X342+'Tut-Ass-OA'!X342+'LAB Asseement'!V342</f>
        <v>0</v>
      </c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spans="1:23" ht="21.75" customHeight="1">
      <c r="A342" s="62" t="str">
        <f>BASE!B347</f>
        <v>23XXR332</v>
      </c>
      <c r="B342" s="121" t="s">
        <v>40</v>
      </c>
      <c r="C342" s="60">
        <f>'CAT-1'!T343+'CAT- 2'!T343+'CAT-3'!T343+'Tut-Ass-OA'!T343+'LAB Asseement'!R343</f>
        <v>0</v>
      </c>
      <c r="D342" s="60">
        <f>'CAT-1'!U343+'CAT- 2'!U343+'CAT-3'!U343+'Tut-Ass-OA'!U343+'LAB Asseement'!S343</f>
        <v>0</v>
      </c>
      <c r="E342" s="60">
        <f>'CAT-1'!V343+'CAT- 2'!V343+'CAT-3'!V343+'Tut-Ass-OA'!V343+'LAB Asseement'!T343</f>
        <v>0</v>
      </c>
      <c r="F342" s="60">
        <f>'CAT-1'!W343+'CAT- 2'!W343+'CAT-3'!W343+'Tut-Ass-OA'!W343+'LAB Asseement'!U343</f>
        <v>0</v>
      </c>
      <c r="G342" s="60">
        <f>'CAT-1'!X343+'CAT- 2'!X343+'CAT-3'!X343+'Tut-Ass-OA'!X343+'LAB Asseement'!V343</f>
        <v>0</v>
      </c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spans="1:23" ht="21.75" customHeight="1">
      <c r="A343" s="62" t="str">
        <f>BASE!B348</f>
        <v>23XXR333</v>
      </c>
      <c r="B343" s="121" t="s">
        <v>40</v>
      </c>
      <c r="C343" s="60">
        <f>'CAT-1'!T344+'CAT- 2'!T344+'CAT-3'!T344+'Tut-Ass-OA'!T344+'LAB Asseement'!R344</f>
        <v>0</v>
      </c>
      <c r="D343" s="60">
        <f>'CAT-1'!U344+'CAT- 2'!U344+'CAT-3'!U344+'Tut-Ass-OA'!U344+'LAB Asseement'!S344</f>
        <v>0</v>
      </c>
      <c r="E343" s="60">
        <f>'CAT-1'!V344+'CAT- 2'!V344+'CAT-3'!V344+'Tut-Ass-OA'!V344+'LAB Asseement'!T344</f>
        <v>0</v>
      </c>
      <c r="F343" s="60">
        <f>'CAT-1'!W344+'CAT- 2'!W344+'CAT-3'!W344+'Tut-Ass-OA'!W344+'LAB Asseement'!U344</f>
        <v>0</v>
      </c>
      <c r="G343" s="60">
        <f>'CAT-1'!X344+'CAT- 2'!X344+'CAT-3'!X344+'Tut-Ass-OA'!X344+'LAB Asseement'!V344</f>
        <v>0</v>
      </c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spans="1:23" ht="21.75" customHeight="1">
      <c r="A344" s="62" t="str">
        <f>BASE!B349</f>
        <v>23XXR334</v>
      </c>
      <c r="B344" s="121" t="s">
        <v>40</v>
      </c>
      <c r="C344" s="60">
        <f>'CAT-1'!T345+'CAT- 2'!T345+'CAT-3'!T345+'Tut-Ass-OA'!T345+'LAB Asseement'!R345</f>
        <v>0</v>
      </c>
      <c r="D344" s="60">
        <f>'CAT-1'!U345+'CAT- 2'!U345+'CAT-3'!U345+'Tut-Ass-OA'!U345+'LAB Asseement'!S345</f>
        <v>0</v>
      </c>
      <c r="E344" s="60">
        <f>'CAT-1'!V345+'CAT- 2'!V345+'CAT-3'!V345+'Tut-Ass-OA'!V345+'LAB Asseement'!T345</f>
        <v>0</v>
      </c>
      <c r="F344" s="60">
        <f>'CAT-1'!W345+'CAT- 2'!W345+'CAT-3'!W345+'Tut-Ass-OA'!W345+'LAB Asseement'!U345</f>
        <v>0</v>
      </c>
      <c r="G344" s="60">
        <f>'CAT-1'!X345+'CAT- 2'!X345+'CAT-3'!X345+'Tut-Ass-OA'!X345+'LAB Asseement'!V345</f>
        <v>0</v>
      </c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spans="1:23" ht="21.75" customHeight="1">
      <c r="A345" s="62" t="str">
        <f>BASE!B350</f>
        <v>23XXR335</v>
      </c>
      <c r="B345" s="121" t="s">
        <v>40</v>
      </c>
      <c r="C345" s="60">
        <f>'CAT-1'!T346+'CAT- 2'!T346+'CAT-3'!T346+'Tut-Ass-OA'!T346+'LAB Asseement'!R346</f>
        <v>0</v>
      </c>
      <c r="D345" s="60">
        <f>'CAT-1'!U346+'CAT- 2'!U346+'CAT-3'!U346+'Tut-Ass-OA'!U346+'LAB Asseement'!S346</f>
        <v>0</v>
      </c>
      <c r="E345" s="60">
        <f>'CAT-1'!V346+'CAT- 2'!V346+'CAT-3'!V346+'Tut-Ass-OA'!V346+'LAB Asseement'!T346</f>
        <v>0</v>
      </c>
      <c r="F345" s="60">
        <f>'CAT-1'!W346+'CAT- 2'!W346+'CAT-3'!W346+'Tut-Ass-OA'!W346+'LAB Asseement'!U346</f>
        <v>0</v>
      </c>
      <c r="G345" s="60">
        <f>'CAT-1'!X346+'CAT- 2'!X346+'CAT-3'!X346+'Tut-Ass-OA'!X346+'LAB Asseement'!V346</f>
        <v>0</v>
      </c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spans="1:23" ht="21.75" customHeight="1">
      <c r="A346" s="62" t="str">
        <f>BASE!B351</f>
        <v>23XXR336</v>
      </c>
      <c r="B346" s="121" t="s">
        <v>40</v>
      </c>
      <c r="C346" s="60">
        <f>'CAT-1'!T347+'CAT- 2'!T347+'CAT-3'!T347+'Tut-Ass-OA'!T347+'LAB Asseement'!R347</f>
        <v>0</v>
      </c>
      <c r="D346" s="60">
        <f>'CAT-1'!U347+'CAT- 2'!U347+'CAT-3'!U347+'Tut-Ass-OA'!U347+'LAB Asseement'!S347</f>
        <v>0</v>
      </c>
      <c r="E346" s="60">
        <f>'CAT-1'!V347+'CAT- 2'!V347+'CAT-3'!V347+'Tut-Ass-OA'!V347+'LAB Asseement'!T347</f>
        <v>0</v>
      </c>
      <c r="F346" s="60">
        <f>'CAT-1'!W347+'CAT- 2'!W347+'CAT-3'!W347+'Tut-Ass-OA'!W347+'LAB Asseement'!U347</f>
        <v>0</v>
      </c>
      <c r="G346" s="60">
        <f>'CAT-1'!X347+'CAT- 2'!X347+'CAT-3'!X347+'Tut-Ass-OA'!X347+'LAB Asseement'!V347</f>
        <v>0</v>
      </c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spans="1:23" ht="21.75" customHeight="1">
      <c r="A347" s="62" t="str">
        <f>BASE!B352</f>
        <v>23XXR337</v>
      </c>
      <c r="B347" s="121" t="s">
        <v>40</v>
      </c>
      <c r="C347" s="60">
        <f>'CAT-1'!T348+'CAT- 2'!T348+'CAT-3'!T348+'Tut-Ass-OA'!T348+'LAB Asseement'!R348</f>
        <v>0</v>
      </c>
      <c r="D347" s="60">
        <f>'CAT-1'!U348+'CAT- 2'!U348+'CAT-3'!U348+'Tut-Ass-OA'!U348+'LAB Asseement'!S348</f>
        <v>0</v>
      </c>
      <c r="E347" s="60">
        <f>'CAT-1'!V348+'CAT- 2'!V348+'CAT-3'!V348+'Tut-Ass-OA'!V348+'LAB Asseement'!T348</f>
        <v>0</v>
      </c>
      <c r="F347" s="60">
        <f>'CAT-1'!W348+'CAT- 2'!W348+'CAT-3'!W348+'Tut-Ass-OA'!W348+'LAB Asseement'!U348</f>
        <v>0</v>
      </c>
      <c r="G347" s="60">
        <f>'CAT-1'!X348+'CAT- 2'!X348+'CAT-3'!X348+'Tut-Ass-OA'!X348+'LAB Asseement'!V348</f>
        <v>0</v>
      </c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spans="1:23" ht="21.75" customHeight="1">
      <c r="A348" s="62" t="str">
        <f>BASE!B353</f>
        <v>23XXR338</v>
      </c>
      <c r="B348" s="121" t="s">
        <v>40</v>
      </c>
      <c r="C348" s="60">
        <f>'CAT-1'!T349+'CAT- 2'!T349+'CAT-3'!T349+'Tut-Ass-OA'!T349+'LAB Asseement'!R349</f>
        <v>0</v>
      </c>
      <c r="D348" s="60">
        <f>'CAT-1'!U349+'CAT- 2'!U349+'CAT-3'!U349+'Tut-Ass-OA'!U349+'LAB Asseement'!S349</f>
        <v>0</v>
      </c>
      <c r="E348" s="60">
        <f>'CAT-1'!V349+'CAT- 2'!V349+'CAT-3'!V349+'Tut-Ass-OA'!V349+'LAB Asseement'!T349</f>
        <v>0</v>
      </c>
      <c r="F348" s="60">
        <f>'CAT-1'!W349+'CAT- 2'!W349+'CAT-3'!W349+'Tut-Ass-OA'!W349+'LAB Asseement'!U349</f>
        <v>0</v>
      </c>
      <c r="G348" s="60">
        <f>'CAT-1'!X349+'CAT- 2'!X349+'CAT-3'!X349+'Tut-Ass-OA'!X349+'LAB Asseement'!V349</f>
        <v>0</v>
      </c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spans="1:23" ht="21.75" customHeight="1">
      <c r="A349" s="62" t="str">
        <f>BASE!B354</f>
        <v>23XXR339</v>
      </c>
      <c r="B349" s="121" t="s">
        <v>40</v>
      </c>
      <c r="C349" s="60">
        <f>'CAT-1'!T350+'CAT- 2'!T350+'CAT-3'!T350+'Tut-Ass-OA'!T350+'LAB Asseement'!R350</f>
        <v>0</v>
      </c>
      <c r="D349" s="60">
        <f>'CAT-1'!U350+'CAT- 2'!U350+'CAT-3'!U350+'Tut-Ass-OA'!U350+'LAB Asseement'!S350</f>
        <v>0</v>
      </c>
      <c r="E349" s="60">
        <f>'CAT-1'!V350+'CAT- 2'!V350+'CAT-3'!V350+'Tut-Ass-OA'!V350+'LAB Asseement'!T350</f>
        <v>0</v>
      </c>
      <c r="F349" s="60">
        <f>'CAT-1'!W350+'CAT- 2'!W350+'CAT-3'!W350+'Tut-Ass-OA'!W350+'LAB Asseement'!U350</f>
        <v>0</v>
      </c>
      <c r="G349" s="60">
        <f>'CAT-1'!X350+'CAT- 2'!X350+'CAT-3'!X350+'Tut-Ass-OA'!X350+'LAB Asseement'!V350</f>
        <v>0</v>
      </c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spans="1:23" ht="21.75" customHeight="1">
      <c r="A350" s="62" t="str">
        <f>BASE!B355</f>
        <v>23XXR340</v>
      </c>
      <c r="B350" s="121" t="s">
        <v>40</v>
      </c>
      <c r="C350" s="60">
        <f>'CAT-1'!T351+'CAT- 2'!T351+'CAT-3'!T351+'Tut-Ass-OA'!T351+'LAB Asseement'!R351</f>
        <v>0</v>
      </c>
      <c r="D350" s="60">
        <f>'CAT-1'!U351+'CAT- 2'!U351+'CAT-3'!U351+'Tut-Ass-OA'!U351+'LAB Asseement'!S351</f>
        <v>0</v>
      </c>
      <c r="E350" s="60">
        <f>'CAT-1'!V351+'CAT- 2'!V351+'CAT-3'!V351+'Tut-Ass-OA'!V351+'LAB Asseement'!T351</f>
        <v>0</v>
      </c>
      <c r="F350" s="60">
        <f>'CAT-1'!W351+'CAT- 2'!W351+'CAT-3'!W351+'Tut-Ass-OA'!W351+'LAB Asseement'!U351</f>
        <v>0</v>
      </c>
      <c r="G350" s="60">
        <f>'CAT-1'!X351+'CAT- 2'!X351+'CAT-3'!X351+'Tut-Ass-OA'!X351+'LAB Asseement'!V351</f>
        <v>0</v>
      </c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spans="1:23" ht="21.75" customHeight="1">
      <c r="A351" s="62" t="str">
        <f>BASE!B356</f>
        <v>23XXR341</v>
      </c>
      <c r="B351" s="121" t="s">
        <v>40</v>
      </c>
      <c r="C351" s="60">
        <f>'CAT-1'!T352+'CAT- 2'!T352+'CAT-3'!T352+'Tut-Ass-OA'!T352+'LAB Asseement'!R352</f>
        <v>0</v>
      </c>
      <c r="D351" s="60">
        <f>'CAT-1'!U352+'CAT- 2'!U352+'CAT-3'!U352+'Tut-Ass-OA'!U352+'LAB Asseement'!S352</f>
        <v>0</v>
      </c>
      <c r="E351" s="60">
        <f>'CAT-1'!V352+'CAT- 2'!V352+'CAT-3'!V352+'Tut-Ass-OA'!V352+'LAB Asseement'!T352</f>
        <v>0</v>
      </c>
      <c r="F351" s="60">
        <f>'CAT-1'!W352+'CAT- 2'!W352+'CAT-3'!W352+'Tut-Ass-OA'!W352+'LAB Asseement'!U352</f>
        <v>0</v>
      </c>
      <c r="G351" s="60">
        <f>'CAT-1'!X352+'CAT- 2'!X352+'CAT-3'!X352+'Tut-Ass-OA'!X352+'LAB Asseement'!V352</f>
        <v>0</v>
      </c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spans="1:23" ht="21.75" customHeight="1">
      <c r="A352" s="62" t="str">
        <f>BASE!B357</f>
        <v>23XXR342</v>
      </c>
      <c r="B352" s="121" t="s">
        <v>40</v>
      </c>
      <c r="C352" s="60">
        <f>'CAT-1'!T353+'CAT- 2'!T353+'CAT-3'!T353+'Tut-Ass-OA'!T353+'LAB Asseement'!R353</f>
        <v>0</v>
      </c>
      <c r="D352" s="60">
        <f>'CAT-1'!U353+'CAT- 2'!U353+'CAT-3'!U353+'Tut-Ass-OA'!U353+'LAB Asseement'!S353</f>
        <v>0</v>
      </c>
      <c r="E352" s="60">
        <f>'CAT-1'!V353+'CAT- 2'!V353+'CAT-3'!V353+'Tut-Ass-OA'!V353+'LAB Asseement'!T353</f>
        <v>0</v>
      </c>
      <c r="F352" s="60">
        <f>'CAT-1'!W353+'CAT- 2'!W353+'CAT-3'!W353+'Tut-Ass-OA'!W353+'LAB Asseement'!U353</f>
        <v>0</v>
      </c>
      <c r="G352" s="60">
        <f>'CAT-1'!X353+'CAT- 2'!X353+'CAT-3'!X353+'Tut-Ass-OA'!X353+'LAB Asseement'!V353</f>
        <v>0</v>
      </c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spans="1:23" ht="21.75" customHeight="1">
      <c r="A353" s="62" t="str">
        <f>BASE!B358</f>
        <v>23XXR343</v>
      </c>
      <c r="B353" s="121" t="s">
        <v>40</v>
      </c>
      <c r="C353" s="60">
        <f>'CAT-1'!T354+'CAT- 2'!T354+'CAT-3'!T354+'Tut-Ass-OA'!T354+'LAB Asseement'!R354</f>
        <v>0</v>
      </c>
      <c r="D353" s="60">
        <f>'CAT-1'!U354+'CAT- 2'!U354+'CAT-3'!U354+'Tut-Ass-OA'!U354+'LAB Asseement'!S354</f>
        <v>0</v>
      </c>
      <c r="E353" s="60">
        <f>'CAT-1'!V354+'CAT- 2'!V354+'CAT-3'!V354+'Tut-Ass-OA'!V354+'LAB Asseement'!T354</f>
        <v>0</v>
      </c>
      <c r="F353" s="60">
        <f>'CAT-1'!W354+'CAT- 2'!W354+'CAT-3'!W354+'Tut-Ass-OA'!W354+'LAB Asseement'!U354</f>
        <v>0</v>
      </c>
      <c r="G353" s="60">
        <f>'CAT-1'!X354+'CAT- 2'!X354+'CAT-3'!X354+'Tut-Ass-OA'!X354+'LAB Asseement'!V354</f>
        <v>0</v>
      </c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spans="1:23" ht="21.75" customHeight="1">
      <c r="A354" s="62" t="str">
        <f>BASE!B359</f>
        <v>23XXR344</v>
      </c>
      <c r="B354" s="121" t="s">
        <v>40</v>
      </c>
      <c r="C354" s="60">
        <f>'CAT-1'!T355+'CAT- 2'!T355+'CAT-3'!T355+'Tut-Ass-OA'!T355+'LAB Asseement'!R355</f>
        <v>0</v>
      </c>
      <c r="D354" s="60">
        <f>'CAT-1'!U355+'CAT- 2'!U355+'CAT-3'!U355+'Tut-Ass-OA'!U355+'LAB Asseement'!S355</f>
        <v>0</v>
      </c>
      <c r="E354" s="60">
        <f>'CAT-1'!V355+'CAT- 2'!V355+'CAT-3'!V355+'Tut-Ass-OA'!V355+'LAB Asseement'!T355</f>
        <v>0</v>
      </c>
      <c r="F354" s="60">
        <f>'CAT-1'!W355+'CAT- 2'!W355+'CAT-3'!W355+'Tut-Ass-OA'!W355+'LAB Asseement'!U355</f>
        <v>0</v>
      </c>
      <c r="G354" s="60">
        <f>'CAT-1'!X355+'CAT- 2'!X355+'CAT-3'!X355+'Tut-Ass-OA'!X355+'LAB Asseement'!V355</f>
        <v>0</v>
      </c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spans="1:23" ht="21.75" customHeight="1">
      <c r="A355" s="62" t="str">
        <f>BASE!B360</f>
        <v>23XXR345</v>
      </c>
      <c r="B355" s="121" t="s">
        <v>40</v>
      </c>
      <c r="C355" s="60">
        <f>'CAT-1'!T356+'CAT- 2'!T356+'CAT-3'!T356+'Tut-Ass-OA'!T356+'LAB Asseement'!R356</f>
        <v>0</v>
      </c>
      <c r="D355" s="60">
        <f>'CAT-1'!U356+'CAT- 2'!U356+'CAT-3'!U356+'Tut-Ass-OA'!U356+'LAB Asseement'!S356</f>
        <v>0</v>
      </c>
      <c r="E355" s="60">
        <f>'CAT-1'!V356+'CAT- 2'!V356+'CAT-3'!V356+'Tut-Ass-OA'!V356+'LAB Asseement'!T356</f>
        <v>0</v>
      </c>
      <c r="F355" s="60">
        <f>'CAT-1'!W356+'CAT- 2'!W356+'CAT-3'!W356+'Tut-Ass-OA'!W356+'LAB Asseement'!U356</f>
        <v>0</v>
      </c>
      <c r="G355" s="60">
        <f>'CAT-1'!X356+'CAT- 2'!X356+'CAT-3'!X356+'Tut-Ass-OA'!X356+'LAB Asseement'!V356</f>
        <v>0</v>
      </c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spans="1:23" ht="21.75" customHeight="1">
      <c r="A356" s="62" t="str">
        <f>BASE!B361</f>
        <v>23XXR346</v>
      </c>
      <c r="B356" s="121" t="s">
        <v>40</v>
      </c>
      <c r="C356" s="60">
        <f>'CAT-1'!T357+'CAT- 2'!T357+'CAT-3'!T357+'Tut-Ass-OA'!T357+'LAB Asseement'!R357</f>
        <v>0</v>
      </c>
      <c r="D356" s="60">
        <f>'CAT-1'!U357+'CAT- 2'!U357+'CAT-3'!U357+'Tut-Ass-OA'!U357+'LAB Asseement'!S357</f>
        <v>0</v>
      </c>
      <c r="E356" s="60">
        <f>'CAT-1'!V357+'CAT- 2'!V357+'CAT-3'!V357+'Tut-Ass-OA'!V357+'LAB Asseement'!T357</f>
        <v>0</v>
      </c>
      <c r="F356" s="60">
        <f>'CAT-1'!W357+'CAT- 2'!W357+'CAT-3'!W357+'Tut-Ass-OA'!W357+'LAB Asseement'!U357</f>
        <v>0</v>
      </c>
      <c r="G356" s="60">
        <f>'CAT-1'!X357+'CAT- 2'!X357+'CAT-3'!X357+'Tut-Ass-OA'!X357+'LAB Asseement'!V357</f>
        <v>0</v>
      </c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spans="1:23" ht="21.75" customHeight="1">
      <c r="A357" s="62" t="str">
        <f>BASE!B362</f>
        <v>23XXR347</v>
      </c>
      <c r="B357" s="121" t="s">
        <v>40</v>
      </c>
      <c r="C357" s="60">
        <f>'CAT-1'!T358+'CAT- 2'!T358+'CAT-3'!T358+'Tut-Ass-OA'!T358+'LAB Asseement'!R358</f>
        <v>0</v>
      </c>
      <c r="D357" s="60">
        <f>'CAT-1'!U358+'CAT- 2'!U358+'CAT-3'!U358+'Tut-Ass-OA'!U358+'LAB Asseement'!S358</f>
        <v>0</v>
      </c>
      <c r="E357" s="60">
        <f>'CAT-1'!V358+'CAT- 2'!V358+'CAT-3'!V358+'Tut-Ass-OA'!V358+'LAB Asseement'!T358</f>
        <v>0</v>
      </c>
      <c r="F357" s="60">
        <f>'CAT-1'!W358+'CAT- 2'!W358+'CAT-3'!W358+'Tut-Ass-OA'!W358+'LAB Asseement'!U358</f>
        <v>0</v>
      </c>
      <c r="G357" s="60">
        <f>'CAT-1'!X358+'CAT- 2'!X358+'CAT-3'!X358+'Tut-Ass-OA'!X358+'LAB Asseement'!V358</f>
        <v>0</v>
      </c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spans="1:23" ht="21.75" customHeight="1">
      <c r="A358" s="62" t="str">
        <f>BASE!B363</f>
        <v>23XXR348</v>
      </c>
      <c r="B358" s="121" t="s">
        <v>40</v>
      </c>
      <c r="C358" s="60">
        <f>'CAT-1'!T359+'CAT- 2'!T359+'CAT-3'!T359+'Tut-Ass-OA'!T359+'LAB Asseement'!R359</f>
        <v>0</v>
      </c>
      <c r="D358" s="60">
        <f>'CAT-1'!U359+'CAT- 2'!U359+'CAT-3'!U359+'Tut-Ass-OA'!U359+'LAB Asseement'!S359</f>
        <v>0</v>
      </c>
      <c r="E358" s="60">
        <f>'CAT-1'!V359+'CAT- 2'!V359+'CAT-3'!V359+'Tut-Ass-OA'!V359+'LAB Asseement'!T359</f>
        <v>0</v>
      </c>
      <c r="F358" s="60">
        <f>'CAT-1'!W359+'CAT- 2'!W359+'CAT-3'!W359+'Tut-Ass-OA'!W359+'LAB Asseement'!U359</f>
        <v>0</v>
      </c>
      <c r="G358" s="60">
        <f>'CAT-1'!X359+'CAT- 2'!X359+'CAT-3'!X359+'Tut-Ass-OA'!X359+'LAB Asseement'!V359</f>
        <v>0</v>
      </c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spans="1:23" ht="21.75" customHeight="1">
      <c r="A359" s="62" t="str">
        <f>BASE!B364</f>
        <v>23XXR349</v>
      </c>
      <c r="B359" s="121" t="s">
        <v>40</v>
      </c>
      <c r="C359" s="60">
        <f>'CAT-1'!T360+'CAT- 2'!T360+'CAT-3'!T360+'Tut-Ass-OA'!T360+'LAB Asseement'!R360</f>
        <v>0</v>
      </c>
      <c r="D359" s="60">
        <f>'CAT-1'!U360+'CAT- 2'!U360+'CAT-3'!U360+'Tut-Ass-OA'!U360+'LAB Asseement'!S360</f>
        <v>0</v>
      </c>
      <c r="E359" s="60">
        <f>'CAT-1'!V360+'CAT- 2'!V360+'CAT-3'!V360+'Tut-Ass-OA'!V360+'LAB Asseement'!T360</f>
        <v>0</v>
      </c>
      <c r="F359" s="60">
        <f>'CAT-1'!W360+'CAT- 2'!W360+'CAT-3'!W360+'Tut-Ass-OA'!W360+'LAB Asseement'!U360</f>
        <v>0</v>
      </c>
      <c r="G359" s="60">
        <f>'CAT-1'!X360+'CAT- 2'!X360+'CAT-3'!X360+'Tut-Ass-OA'!X360+'LAB Asseement'!V360</f>
        <v>0</v>
      </c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spans="1:23" ht="21.75" customHeight="1">
      <c r="A360" s="62" t="str">
        <f>BASE!B365</f>
        <v>23XXR350</v>
      </c>
      <c r="B360" s="121" t="s">
        <v>40</v>
      </c>
      <c r="C360" s="60">
        <f>'CAT-1'!T361+'CAT- 2'!T361+'CAT-3'!T361+'Tut-Ass-OA'!T361+'LAB Asseement'!R361</f>
        <v>0</v>
      </c>
      <c r="D360" s="60">
        <f>'CAT-1'!U361+'CAT- 2'!U361+'CAT-3'!U361+'Tut-Ass-OA'!U361+'LAB Asseement'!S361</f>
        <v>0</v>
      </c>
      <c r="E360" s="60">
        <f>'CAT-1'!V361+'CAT- 2'!V361+'CAT-3'!V361+'Tut-Ass-OA'!V361+'LAB Asseement'!T361</f>
        <v>0</v>
      </c>
      <c r="F360" s="60">
        <f>'CAT-1'!W361+'CAT- 2'!W361+'CAT-3'!W361+'Tut-Ass-OA'!W361+'LAB Asseement'!U361</f>
        <v>0</v>
      </c>
      <c r="G360" s="60">
        <f>'CAT-1'!X361+'CAT- 2'!X361+'CAT-3'!X361+'Tut-Ass-OA'!X361+'LAB Asseement'!V361</f>
        <v>0</v>
      </c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spans="1:23" ht="21.75" customHeight="1">
      <c r="A361" s="62" t="str">
        <f>BASE!B366</f>
        <v>23XXR351</v>
      </c>
      <c r="B361" s="121" t="s">
        <v>40</v>
      </c>
      <c r="C361" s="60">
        <f>'CAT-1'!T362+'CAT- 2'!T362+'CAT-3'!T362+'Tut-Ass-OA'!T362+'LAB Asseement'!R362</f>
        <v>0</v>
      </c>
      <c r="D361" s="60">
        <f>'CAT-1'!U362+'CAT- 2'!U362+'CAT-3'!U362+'Tut-Ass-OA'!U362+'LAB Asseement'!S362</f>
        <v>0</v>
      </c>
      <c r="E361" s="60">
        <f>'CAT-1'!V362+'CAT- 2'!V362+'CAT-3'!V362+'Tut-Ass-OA'!V362+'LAB Asseement'!T362</f>
        <v>0</v>
      </c>
      <c r="F361" s="60">
        <f>'CAT-1'!W362+'CAT- 2'!W362+'CAT-3'!W362+'Tut-Ass-OA'!W362+'LAB Asseement'!U362</f>
        <v>0</v>
      </c>
      <c r="G361" s="60">
        <f>'CAT-1'!X362+'CAT- 2'!X362+'CAT-3'!X362+'Tut-Ass-OA'!X362+'LAB Asseement'!V362</f>
        <v>0</v>
      </c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spans="1:23" ht="21.75" customHeight="1">
      <c r="A362" s="62" t="str">
        <f>BASE!B367</f>
        <v>23XXR352</v>
      </c>
      <c r="B362" s="121" t="s">
        <v>40</v>
      </c>
      <c r="C362" s="60">
        <f>'CAT-1'!T363+'CAT- 2'!T363+'CAT-3'!T363+'Tut-Ass-OA'!T363+'LAB Asseement'!R363</f>
        <v>0</v>
      </c>
      <c r="D362" s="60">
        <f>'CAT-1'!U363+'CAT- 2'!U363+'CAT-3'!U363+'Tut-Ass-OA'!U363+'LAB Asseement'!S363</f>
        <v>0</v>
      </c>
      <c r="E362" s="60">
        <f>'CAT-1'!V363+'CAT- 2'!V363+'CAT-3'!V363+'Tut-Ass-OA'!V363+'LAB Asseement'!T363</f>
        <v>0</v>
      </c>
      <c r="F362" s="60">
        <f>'CAT-1'!W363+'CAT- 2'!W363+'CAT-3'!W363+'Tut-Ass-OA'!W363+'LAB Asseement'!U363</f>
        <v>0</v>
      </c>
      <c r="G362" s="60">
        <f>'CAT-1'!X363+'CAT- 2'!X363+'CAT-3'!X363+'Tut-Ass-OA'!X363+'LAB Asseement'!V363</f>
        <v>0</v>
      </c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spans="1:23" ht="21.75" customHeight="1">
      <c r="A363" s="62" t="str">
        <f>BASE!B368</f>
        <v>23XXR353</v>
      </c>
      <c r="B363" s="121" t="s">
        <v>40</v>
      </c>
      <c r="C363" s="60">
        <f>'CAT-1'!T364+'CAT- 2'!T364+'CAT-3'!T364+'Tut-Ass-OA'!T364+'LAB Asseement'!R364</f>
        <v>0</v>
      </c>
      <c r="D363" s="60">
        <f>'CAT-1'!U364+'CAT- 2'!U364+'CAT-3'!U364+'Tut-Ass-OA'!U364+'LAB Asseement'!S364</f>
        <v>0</v>
      </c>
      <c r="E363" s="60">
        <f>'CAT-1'!V364+'CAT- 2'!V364+'CAT-3'!V364+'Tut-Ass-OA'!V364+'LAB Asseement'!T364</f>
        <v>0</v>
      </c>
      <c r="F363" s="60">
        <f>'CAT-1'!W364+'CAT- 2'!W364+'CAT-3'!W364+'Tut-Ass-OA'!W364+'LAB Asseement'!U364</f>
        <v>0</v>
      </c>
      <c r="G363" s="60">
        <f>'CAT-1'!X364+'CAT- 2'!X364+'CAT-3'!X364+'Tut-Ass-OA'!X364+'LAB Asseement'!V364</f>
        <v>0</v>
      </c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spans="1:23" ht="21.75" customHeight="1">
      <c r="A364" s="62" t="str">
        <f>BASE!B369</f>
        <v>23XXR354</v>
      </c>
      <c r="B364" s="121" t="s">
        <v>40</v>
      </c>
      <c r="C364" s="60">
        <f>'CAT-1'!T365+'CAT- 2'!T365+'CAT-3'!T365+'Tut-Ass-OA'!T365+'LAB Asseement'!R365</f>
        <v>0</v>
      </c>
      <c r="D364" s="60">
        <f>'CAT-1'!U365+'CAT- 2'!U365+'CAT-3'!U365+'Tut-Ass-OA'!U365+'LAB Asseement'!S365</f>
        <v>0</v>
      </c>
      <c r="E364" s="60">
        <f>'CAT-1'!V365+'CAT- 2'!V365+'CAT-3'!V365+'Tut-Ass-OA'!V365+'LAB Asseement'!T365</f>
        <v>0</v>
      </c>
      <c r="F364" s="60">
        <f>'CAT-1'!W365+'CAT- 2'!W365+'CAT-3'!W365+'Tut-Ass-OA'!W365+'LAB Asseement'!U365</f>
        <v>0</v>
      </c>
      <c r="G364" s="60">
        <f>'CAT-1'!X365+'CAT- 2'!X365+'CAT-3'!X365+'Tut-Ass-OA'!X365+'LAB Asseement'!V365</f>
        <v>0</v>
      </c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spans="1:23" ht="21.75" customHeight="1">
      <c r="A365" s="62" t="str">
        <f>BASE!B370</f>
        <v>23XXR355</v>
      </c>
      <c r="B365" s="121" t="s">
        <v>40</v>
      </c>
      <c r="C365" s="60">
        <f>'CAT-1'!T366+'CAT- 2'!T366+'CAT-3'!T366+'Tut-Ass-OA'!T366+'LAB Asseement'!R366</f>
        <v>0</v>
      </c>
      <c r="D365" s="60">
        <f>'CAT-1'!U366+'CAT- 2'!U366+'CAT-3'!U366+'Tut-Ass-OA'!U366+'LAB Asseement'!S366</f>
        <v>0</v>
      </c>
      <c r="E365" s="60">
        <f>'CAT-1'!V366+'CAT- 2'!V366+'CAT-3'!V366+'Tut-Ass-OA'!V366+'LAB Asseement'!T366</f>
        <v>0</v>
      </c>
      <c r="F365" s="60">
        <f>'CAT-1'!W366+'CAT- 2'!W366+'CAT-3'!W366+'Tut-Ass-OA'!W366+'LAB Asseement'!U366</f>
        <v>0</v>
      </c>
      <c r="G365" s="60">
        <f>'CAT-1'!X366+'CAT- 2'!X366+'CAT-3'!X366+'Tut-Ass-OA'!X366+'LAB Asseement'!V366</f>
        <v>0</v>
      </c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spans="1:23" ht="21.75" customHeight="1">
      <c r="A366" s="62" t="str">
        <f>BASE!B371</f>
        <v>23XXR356</v>
      </c>
      <c r="B366" s="121" t="s">
        <v>40</v>
      </c>
      <c r="C366" s="60">
        <f>'CAT-1'!T367+'CAT- 2'!T367+'CAT-3'!T367+'Tut-Ass-OA'!T367+'LAB Asseement'!R367</f>
        <v>0</v>
      </c>
      <c r="D366" s="60">
        <f>'CAT-1'!U367+'CAT- 2'!U367+'CAT-3'!U367+'Tut-Ass-OA'!U367+'LAB Asseement'!S367</f>
        <v>0</v>
      </c>
      <c r="E366" s="60">
        <f>'CAT-1'!V367+'CAT- 2'!V367+'CAT-3'!V367+'Tut-Ass-OA'!V367+'LAB Asseement'!T367</f>
        <v>0</v>
      </c>
      <c r="F366" s="60">
        <f>'CAT-1'!W367+'CAT- 2'!W367+'CAT-3'!W367+'Tut-Ass-OA'!W367+'LAB Asseement'!U367</f>
        <v>0</v>
      </c>
      <c r="G366" s="60">
        <f>'CAT-1'!X367+'CAT- 2'!X367+'CAT-3'!X367+'Tut-Ass-OA'!X367+'LAB Asseement'!V367</f>
        <v>0</v>
      </c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spans="1:23" ht="21.75" customHeight="1">
      <c r="A367" s="62" t="str">
        <f>BASE!B372</f>
        <v>23XXR357</v>
      </c>
      <c r="B367" s="121" t="s">
        <v>40</v>
      </c>
      <c r="C367" s="60">
        <f>'CAT-1'!T368+'CAT- 2'!T368+'CAT-3'!T368+'Tut-Ass-OA'!T368+'LAB Asseement'!R368</f>
        <v>0</v>
      </c>
      <c r="D367" s="60">
        <f>'CAT-1'!U368+'CAT- 2'!U368+'CAT-3'!U368+'Tut-Ass-OA'!U368+'LAB Asseement'!S368</f>
        <v>0</v>
      </c>
      <c r="E367" s="60">
        <f>'CAT-1'!V368+'CAT- 2'!V368+'CAT-3'!V368+'Tut-Ass-OA'!V368+'LAB Asseement'!T368</f>
        <v>0</v>
      </c>
      <c r="F367" s="60">
        <f>'CAT-1'!W368+'CAT- 2'!W368+'CAT-3'!W368+'Tut-Ass-OA'!W368+'LAB Asseement'!U368</f>
        <v>0</v>
      </c>
      <c r="G367" s="60">
        <f>'CAT-1'!X368+'CAT- 2'!X368+'CAT-3'!X368+'Tut-Ass-OA'!X368+'LAB Asseement'!V368</f>
        <v>0</v>
      </c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spans="1:23" ht="21.75" customHeight="1">
      <c r="A368" s="62" t="str">
        <f>BASE!B373</f>
        <v>23XXR358</v>
      </c>
      <c r="B368" s="121" t="s">
        <v>40</v>
      </c>
      <c r="C368" s="60">
        <f>'CAT-1'!T369+'CAT- 2'!T369+'CAT-3'!T369+'Tut-Ass-OA'!T369+'LAB Asseement'!R369</f>
        <v>0</v>
      </c>
      <c r="D368" s="60">
        <f>'CAT-1'!U369+'CAT- 2'!U369+'CAT-3'!U369+'Tut-Ass-OA'!U369+'LAB Asseement'!S369</f>
        <v>0</v>
      </c>
      <c r="E368" s="60">
        <f>'CAT-1'!V369+'CAT- 2'!V369+'CAT-3'!V369+'Tut-Ass-OA'!V369+'LAB Asseement'!T369</f>
        <v>0</v>
      </c>
      <c r="F368" s="60">
        <f>'CAT-1'!W369+'CAT- 2'!W369+'CAT-3'!W369+'Tut-Ass-OA'!W369+'LAB Asseement'!U369</f>
        <v>0</v>
      </c>
      <c r="G368" s="60">
        <f>'CAT-1'!X369+'CAT- 2'!X369+'CAT-3'!X369+'Tut-Ass-OA'!X369+'LAB Asseement'!V369</f>
        <v>0</v>
      </c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spans="1:23" ht="21.75" customHeight="1">
      <c r="A369" s="62" t="str">
        <f>BASE!B374</f>
        <v>23XXR359</v>
      </c>
      <c r="B369" s="121" t="s">
        <v>40</v>
      </c>
      <c r="C369" s="60">
        <f>'CAT-1'!T370+'CAT- 2'!T370+'CAT-3'!T370+'Tut-Ass-OA'!T370+'LAB Asseement'!R370</f>
        <v>0</v>
      </c>
      <c r="D369" s="60">
        <f>'CAT-1'!U370+'CAT- 2'!U370+'CAT-3'!U370+'Tut-Ass-OA'!U370+'LAB Asseement'!S370</f>
        <v>0</v>
      </c>
      <c r="E369" s="60">
        <f>'CAT-1'!V370+'CAT- 2'!V370+'CAT-3'!V370+'Tut-Ass-OA'!V370+'LAB Asseement'!T370</f>
        <v>0</v>
      </c>
      <c r="F369" s="60">
        <f>'CAT-1'!W370+'CAT- 2'!W370+'CAT-3'!W370+'Tut-Ass-OA'!W370+'LAB Asseement'!U370</f>
        <v>0</v>
      </c>
      <c r="G369" s="60">
        <f>'CAT-1'!X370+'CAT- 2'!X370+'CAT-3'!X370+'Tut-Ass-OA'!X370+'LAB Asseement'!V370</f>
        <v>0</v>
      </c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spans="1:23" ht="21.75" customHeight="1">
      <c r="A370" s="62" t="str">
        <f>BASE!B375</f>
        <v>23XXR360</v>
      </c>
      <c r="B370" s="121" t="s">
        <v>40</v>
      </c>
      <c r="C370" s="60">
        <f>'CAT-1'!T371+'CAT- 2'!T371+'CAT-3'!T371+'Tut-Ass-OA'!T371+'LAB Asseement'!R371</f>
        <v>0</v>
      </c>
      <c r="D370" s="60">
        <f>'CAT-1'!U371+'CAT- 2'!U371+'CAT-3'!U371+'Tut-Ass-OA'!U371+'LAB Asseement'!S371</f>
        <v>0</v>
      </c>
      <c r="E370" s="60">
        <f>'CAT-1'!V371+'CAT- 2'!V371+'CAT-3'!V371+'Tut-Ass-OA'!V371+'LAB Asseement'!T371</f>
        <v>0</v>
      </c>
      <c r="F370" s="60">
        <f>'CAT-1'!W371+'CAT- 2'!W371+'CAT-3'!W371+'Tut-Ass-OA'!W371+'LAB Asseement'!U371</f>
        <v>0</v>
      </c>
      <c r="G370" s="60">
        <f>'CAT-1'!X371+'CAT- 2'!X371+'CAT-3'!X371+'Tut-Ass-OA'!X371+'LAB Asseement'!V371</f>
        <v>0</v>
      </c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spans="1:23" ht="21.75" customHeight="1">
      <c r="A371" s="62" t="str">
        <f>BASE!B376</f>
        <v>23XXR361</v>
      </c>
      <c r="B371" s="121" t="s">
        <v>40</v>
      </c>
      <c r="C371" s="60">
        <f>'CAT-1'!T372+'CAT- 2'!T372+'CAT-3'!T372+'Tut-Ass-OA'!T372+'LAB Asseement'!R372</f>
        <v>0</v>
      </c>
      <c r="D371" s="60">
        <f>'CAT-1'!U372+'CAT- 2'!U372+'CAT-3'!U372+'Tut-Ass-OA'!U372+'LAB Asseement'!S372</f>
        <v>0</v>
      </c>
      <c r="E371" s="60">
        <f>'CAT-1'!V372+'CAT- 2'!V372+'CAT-3'!V372+'Tut-Ass-OA'!V372+'LAB Asseement'!T372</f>
        <v>0</v>
      </c>
      <c r="F371" s="60">
        <f>'CAT-1'!W372+'CAT- 2'!W372+'CAT-3'!W372+'Tut-Ass-OA'!W372+'LAB Asseement'!U372</f>
        <v>0</v>
      </c>
      <c r="G371" s="60">
        <f>'CAT-1'!X372+'CAT- 2'!X372+'CAT-3'!X372+'Tut-Ass-OA'!X372+'LAB Asseement'!V372</f>
        <v>0</v>
      </c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spans="1:23" ht="21.75" customHeight="1">
      <c r="A372" s="62" t="str">
        <f>BASE!B377</f>
        <v>23XXR362</v>
      </c>
      <c r="B372" s="121" t="s">
        <v>40</v>
      </c>
      <c r="C372" s="60">
        <f>'CAT-1'!T373+'CAT- 2'!T373+'CAT-3'!T373+'Tut-Ass-OA'!T373+'LAB Asseement'!R373</f>
        <v>0</v>
      </c>
      <c r="D372" s="60">
        <f>'CAT-1'!U373+'CAT- 2'!U373+'CAT-3'!U373+'Tut-Ass-OA'!U373+'LAB Asseement'!S373</f>
        <v>0</v>
      </c>
      <c r="E372" s="60">
        <f>'CAT-1'!V373+'CAT- 2'!V373+'CAT-3'!V373+'Tut-Ass-OA'!V373+'LAB Asseement'!T373</f>
        <v>0</v>
      </c>
      <c r="F372" s="60">
        <f>'CAT-1'!W373+'CAT- 2'!W373+'CAT-3'!W373+'Tut-Ass-OA'!W373+'LAB Asseement'!U373</f>
        <v>0</v>
      </c>
      <c r="G372" s="60">
        <f>'CAT-1'!X373+'CAT- 2'!X373+'CAT-3'!X373+'Tut-Ass-OA'!X373+'LAB Asseement'!V373</f>
        <v>0</v>
      </c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spans="1:23" ht="21.75" customHeight="1">
      <c r="A373" s="62" t="str">
        <f>BASE!B378</f>
        <v>23XXR363</v>
      </c>
      <c r="B373" s="121" t="s">
        <v>40</v>
      </c>
      <c r="C373" s="60">
        <f>'CAT-1'!T374+'CAT- 2'!T374+'CAT-3'!T374+'Tut-Ass-OA'!T374+'LAB Asseement'!R374</f>
        <v>0</v>
      </c>
      <c r="D373" s="60">
        <f>'CAT-1'!U374+'CAT- 2'!U374+'CAT-3'!U374+'Tut-Ass-OA'!U374+'LAB Asseement'!S374</f>
        <v>0</v>
      </c>
      <c r="E373" s="60">
        <f>'CAT-1'!V374+'CAT- 2'!V374+'CAT-3'!V374+'Tut-Ass-OA'!V374+'LAB Asseement'!T374</f>
        <v>0</v>
      </c>
      <c r="F373" s="60">
        <f>'CAT-1'!W374+'CAT- 2'!W374+'CAT-3'!W374+'Tut-Ass-OA'!W374+'LAB Asseement'!U374</f>
        <v>0</v>
      </c>
      <c r="G373" s="60">
        <f>'CAT-1'!X374+'CAT- 2'!X374+'CAT-3'!X374+'Tut-Ass-OA'!X374+'LAB Asseement'!V374</f>
        <v>0</v>
      </c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spans="1:23" ht="21.75" customHeight="1">
      <c r="A374" s="62" t="str">
        <f>BASE!B379</f>
        <v>23XXR364</v>
      </c>
      <c r="B374" s="121" t="s">
        <v>40</v>
      </c>
      <c r="C374" s="60">
        <f>'CAT-1'!T375+'CAT- 2'!T375+'CAT-3'!T375+'Tut-Ass-OA'!T375+'LAB Asseement'!R375</f>
        <v>0</v>
      </c>
      <c r="D374" s="60">
        <f>'CAT-1'!U375+'CAT- 2'!U375+'CAT-3'!U375+'Tut-Ass-OA'!U375+'LAB Asseement'!S375</f>
        <v>0</v>
      </c>
      <c r="E374" s="60">
        <f>'CAT-1'!V375+'CAT- 2'!V375+'CAT-3'!V375+'Tut-Ass-OA'!V375+'LAB Asseement'!T375</f>
        <v>0</v>
      </c>
      <c r="F374" s="60">
        <f>'CAT-1'!W375+'CAT- 2'!W375+'CAT-3'!W375+'Tut-Ass-OA'!W375+'LAB Asseement'!U375</f>
        <v>0</v>
      </c>
      <c r="G374" s="60">
        <f>'CAT-1'!X375+'CAT- 2'!X375+'CAT-3'!X375+'Tut-Ass-OA'!X375+'LAB Asseement'!V375</f>
        <v>0</v>
      </c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spans="1:23" ht="21.75" customHeight="1">
      <c r="A375" s="62" t="str">
        <f>BASE!B380</f>
        <v>23XXR365</v>
      </c>
      <c r="B375" s="121" t="s">
        <v>40</v>
      </c>
      <c r="C375" s="60">
        <f>'CAT-1'!T376+'CAT- 2'!T376+'CAT-3'!T376+'Tut-Ass-OA'!T376+'LAB Asseement'!R376</f>
        <v>0</v>
      </c>
      <c r="D375" s="60">
        <f>'CAT-1'!U376+'CAT- 2'!U376+'CAT-3'!U376+'Tut-Ass-OA'!U376+'LAB Asseement'!S376</f>
        <v>0</v>
      </c>
      <c r="E375" s="60">
        <f>'CAT-1'!V376+'CAT- 2'!V376+'CAT-3'!V376+'Tut-Ass-OA'!V376+'LAB Asseement'!T376</f>
        <v>0</v>
      </c>
      <c r="F375" s="60">
        <f>'CAT-1'!W376+'CAT- 2'!W376+'CAT-3'!W376+'Tut-Ass-OA'!W376+'LAB Asseement'!U376</f>
        <v>0</v>
      </c>
      <c r="G375" s="60">
        <f>'CAT-1'!X376+'CAT- 2'!X376+'CAT-3'!X376+'Tut-Ass-OA'!X376+'LAB Asseement'!V376</f>
        <v>0</v>
      </c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spans="1:23" ht="21.75" customHeight="1">
      <c r="A376" s="62" t="str">
        <f>BASE!B381</f>
        <v>23XXR366</v>
      </c>
      <c r="B376" s="121" t="s">
        <v>40</v>
      </c>
      <c r="C376" s="60">
        <f>'CAT-1'!T377+'CAT- 2'!T377+'CAT-3'!T377+'Tut-Ass-OA'!T377+'LAB Asseement'!R377</f>
        <v>0</v>
      </c>
      <c r="D376" s="60">
        <f>'CAT-1'!U377+'CAT- 2'!U377+'CAT-3'!U377+'Tut-Ass-OA'!U377+'LAB Asseement'!S377</f>
        <v>0</v>
      </c>
      <c r="E376" s="60">
        <f>'CAT-1'!V377+'CAT- 2'!V377+'CAT-3'!V377+'Tut-Ass-OA'!V377+'LAB Asseement'!T377</f>
        <v>0</v>
      </c>
      <c r="F376" s="60">
        <f>'CAT-1'!W377+'CAT- 2'!W377+'CAT-3'!W377+'Tut-Ass-OA'!W377+'LAB Asseement'!U377</f>
        <v>0</v>
      </c>
      <c r="G376" s="60">
        <f>'CAT-1'!X377+'CAT- 2'!X377+'CAT-3'!X377+'Tut-Ass-OA'!X377+'LAB Asseement'!V377</f>
        <v>0</v>
      </c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spans="1:23" ht="21.75" customHeight="1">
      <c r="A377" s="62" t="str">
        <f>BASE!B382</f>
        <v>23XXR367</v>
      </c>
      <c r="B377" s="121" t="s">
        <v>40</v>
      </c>
      <c r="C377" s="60">
        <f>'CAT-1'!T378+'CAT- 2'!T378+'CAT-3'!T378+'Tut-Ass-OA'!T378+'LAB Asseement'!R378</f>
        <v>0</v>
      </c>
      <c r="D377" s="60">
        <f>'CAT-1'!U378+'CAT- 2'!U378+'CAT-3'!U378+'Tut-Ass-OA'!U378+'LAB Asseement'!S378</f>
        <v>0</v>
      </c>
      <c r="E377" s="60">
        <f>'CAT-1'!V378+'CAT- 2'!V378+'CAT-3'!V378+'Tut-Ass-OA'!V378+'LAB Asseement'!T378</f>
        <v>0</v>
      </c>
      <c r="F377" s="60">
        <f>'CAT-1'!W378+'CAT- 2'!W378+'CAT-3'!W378+'Tut-Ass-OA'!W378+'LAB Asseement'!U378</f>
        <v>0</v>
      </c>
      <c r="G377" s="60">
        <f>'CAT-1'!X378+'CAT- 2'!X378+'CAT-3'!X378+'Tut-Ass-OA'!X378+'LAB Asseement'!V378</f>
        <v>0</v>
      </c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spans="1:23" ht="21.75" customHeight="1">
      <c r="A378" s="62" t="str">
        <f>BASE!B383</f>
        <v>23XXR368</v>
      </c>
      <c r="B378" s="121" t="s">
        <v>40</v>
      </c>
      <c r="C378" s="60">
        <f>'CAT-1'!T379+'CAT- 2'!T379+'CAT-3'!T379+'Tut-Ass-OA'!T379+'LAB Asseement'!R379</f>
        <v>0</v>
      </c>
      <c r="D378" s="60">
        <f>'CAT-1'!U379+'CAT- 2'!U379+'CAT-3'!U379+'Tut-Ass-OA'!U379+'LAB Asseement'!S379</f>
        <v>0</v>
      </c>
      <c r="E378" s="60">
        <f>'CAT-1'!V379+'CAT- 2'!V379+'CAT-3'!V379+'Tut-Ass-OA'!V379+'LAB Asseement'!T379</f>
        <v>0</v>
      </c>
      <c r="F378" s="60">
        <f>'CAT-1'!W379+'CAT- 2'!W379+'CAT-3'!W379+'Tut-Ass-OA'!W379+'LAB Asseement'!U379</f>
        <v>0</v>
      </c>
      <c r="G378" s="60">
        <f>'CAT-1'!X379+'CAT- 2'!X379+'CAT-3'!X379+'Tut-Ass-OA'!X379+'LAB Asseement'!V379</f>
        <v>0</v>
      </c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spans="1:23" ht="21.75" customHeight="1">
      <c r="A379" s="62" t="str">
        <f>BASE!B384</f>
        <v>23XXR369</v>
      </c>
      <c r="B379" s="121" t="s">
        <v>40</v>
      </c>
      <c r="C379" s="60">
        <f>'CAT-1'!T380+'CAT- 2'!T380+'CAT-3'!T380+'Tut-Ass-OA'!T380+'LAB Asseement'!R380</f>
        <v>0</v>
      </c>
      <c r="D379" s="60">
        <f>'CAT-1'!U380+'CAT- 2'!U380+'CAT-3'!U380+'Tut-Ass-OA'!U380+'LAB Asseement'!S380</f>
        <v>0</v>
      </c>
      <c r="E379" s="60">
        <f>'CAT-1'!V380+'CAT- 2'!V380+'CAT-3'!V380+'Tut-Ass-OA'!V380+'LAB Asseement'!T380</f>
        <v>0</v>
      </c>
      <c r="F379" s="60">
        <f>'CAT-1'!W380+'CAT- 2'!W380+'CAT-3'!W380+'Tut-Ass-OA'!W380+'LAB Asseement'!U380</f>
        <v>0</v>
      </c>
      <c r="G379" s="60">
        <f>'CAT-1'!X380+'CAT- 2'!X380+'CAT-3'!X380+'Tut-Ass-OA'!X380+'LAB Asseement'!V380</f>
        <v>0</v>
      </c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spans="1:23" ht="21.75" customHeight="1">
      <c r="A380" s="62" t="str">
        <f>BASE!B385</f>
        <v>23XXR370</v>
      </c>
      <c r="B380" s="121" t="s">
        <v>40</v>
      </c>
      <c r="C380" s="60">
        <f>'CAT-1'!T381+'CAT- 2'!T381+'CAT-3'!T381+'Tut-Ass-OA'!T381+'LAB Asseement'!R381</f>
        <v>0</v>
      </c>
      <c r="D380" s="60">
        <f>'CAT-1'!U381+'CAT- 2'!U381+'CAT-3'!U381+'Tut-Ass-OA'!U381+'LAB Asseement'!S381</f>
        <v>0</v>
      </c>
      <c r="E380" s="60">
        <f>'CAT-1'!V381+'CAT- 2'!V381+'CAT-3'!V381+'Tut-Ass-OA'!V381+'LAB Asseement'!T381</f>
        <v>0</v>
      </c>
      <c r="F380" s="60">
        <f>'CAT-1'!W381+'CAT- 2'!W381+'CAT-3'!W381+'Tut-Ass-OA'!W381+'LAB Asseement'!U381</f>
        <v>0</v>
      </c>
      <c r="G380" s="60">
        <f>'CAT-1'!X381+'CAT- 2'!X381+'CAT-3'!X381+'Tut-Ass-OA'!X381+'LAB Asseement'!V381</f>
        <v>0</v>
      </c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spans="1:23" ht="21.75" customHeight="1">
      <c r="A381" s="62" t="str">
        <f>BASE!B386</f>
        <v>23XXR371</v>
      </c>
      <c r="B381" s="121" t="s">
        <v>40</v>
      </c>
      <c r="C381" s="60">
        <f>'CAT-1'!T382+'CAT- 2'!T382+'CAT-3'!T382+'Tut-Ass-OA'!T382+'LAB Asseement'!R382</f>
        <v>0</v>
      </c>
      <c r="D381" s="60">
        <f>'CAT-1'!U382+'CAT- 2'!U382+'CAT-3'!U382+'Tut-Ass-OA'!U382+'LAB Asseement'!S382</f>
        <v>0</v>
      </c>
      <c r="E381" s="60">
        <f>'CAT-1'!V382+'CAT- 2'!V382+'CAT-3'!V382+'Tut-Ass-OA'!V382+'LAB Asseement'!T382</f>
        <v>0</v>
      </c>
      <c r="F381" s="60">
        <f>'CAT-1'!W382+'CAT- 2'!W382+'CAT-3'!W382+'Tut-Ass-OA'!W382+'LAB Asseement'!U382</f>
        <v>0</v>
      </c>
      <c r="G381" s="60">
        <f>'CAT-1'!X382+'CAT- 2'!X382+'CAT-3'!X382+'Tut-Ass-OA'!X382+'LAB Asseement'!V382</f>
        <v>0</v>
      </c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spans="1:23" ht="21.75" customHeight="1">
      <c r="A382" s="62" t="str">
        <f>BASE!B387</f>
        <v>23XXR372</v>
      </c>
      <c r="B382" s="121" t="s">
        <v>40</v>
      </c>
      <c r="C382" s="60">
        <f>'CAT-1'!T383+'CAT- 2'!T383+'CAT-3'!T383+'Tut-Ass-OA'!T383+'LAB Asseement'!R383</f>
        <v>0</v>
      </c>
      <c r="D382" s="60">
        <f>'CAT-1'!U383+'CAT- 2'!U383+'CAT-3'!U383+'Tut-Ass-OA'!U383+'LAB Asseement'!S383</f>
        <v>0</v>
      </c>
      <c r="E382" s="60">
        <f>'CAT-1'!V383+'CAT- 2'!V383+'CAT-3'!V383+'Tut-Ass-OA'!V383+'LAB Asseement'!T383</f>
        <v>0</v>
      </c>
      <c r="F382" s="60">
        <f>'CAT-1'!W383+'CAT- 2'!W383+'CAT-3'!W383+'Tut-Ass-OA'!W383+'LAB Asseement'!U383</f>
        <v>0</v>
      </c>
      <c r="G382" s="60">
        <f>'CAT-1'!X383+'CAT- 2'!X383+'CAT-3'!X383+'Tut-Ass-OA'!X383+'LAB Asseement'!V383</f>
        <v>0</v>
      </c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spans="1:23" ht="21.75" customHeight="1">
      <c r="A383" s="62" t="str">
        <f>BASE!B388</f>
        <v>23XXR373</v>
      </c>
      <c r="B383" s="121" t="s">
        <v>40</v>
      </c>
      <c r="C383" s="60">
        <f>'CAT-1'!T384+'CAT- 2'!T384+'CAT-3'!T384+'Tut-Ass-OA'!T384+'LAB Asseement'!R384</f>
        <v>0</v>
      </c>
      <c r="D383" s="60">
        <f>'CAT-1'!U384+'CAT- 2'!U384+'CAT-3'!U384+'Tut-Ass-OA'!U384+'LAB Asseement'!S384</f>
        <v>0</v>
      </c>
      <c r="E383" s="60">
        <f>'CAT-1'!V384+'CAT- 2'!V384+'CAT-3'!V384+'Tut-Ass-OA'!V384+'LAB Asseement'!T384</f>
        <v>0</v>
      </c>
      <c r="F383" s="60">
        <f>'CAT-1'!W384+'CAT- 2'!W384+'CAT-3'!W384+'Tut-Ass-OA'!W384+'LAB Asseement'!U384</f>
        <v>0</v>
      </c>
      <c r="G383" s="60">
        <f>'CAT-1'!X384+'CAT- 2'!X384+'CAT-3'!X384+'Tut-Ass-OA'!X384+'LAB Asseement'!V384</f>
        <v>0</v>
      </c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spans="1:23" ht="21.75" customHeight="1">
      <c r="A384" s="62" t="str">
        <f>BASE!B389</f>
        <v>23XXR374</v>
      </c>
      <c r="B384" s="121" t="s">
        <v>40</v>
      </c>
      <c r="C384" s="60">
        <f>'CAT-1'!T385+'CAT- 2'!T385+'CAT-3'!T385+'Tut-Ass-OA'!T385+'LAB Asseement'!R385</f>
        <v>0</v>
      </c>
      <c r="D384" s="60">
        <f>'CAT-1'!U385+'CAT- 2'!U385+'CAT-3'!U385+'Tut-Ass-OA'!U385+'LAB Asseement'!S385</f>
        <v>0</v>
      </c>
      <c r="E384" s="60">
        <f>'CAT-1'!V385+'CAT- 2'!V385+'CAT-3'!V385+'Tut-Ass-OA'!V385+'LAB Asseement'!T385</f>
        <v>0</v>
      </c>
      <c r="F384" s="60">
        <f>'CAT-1'!W385+'CAT- 2'!W385+'CAT-3'!W385+'Tut-Ass-OA'!W385+'LAB Asseement'!U385</f>
        <v>0</v>
      </c>
      <c r="G384" s="60">
        <f>'CAT-1'!X385+'CAT- 2'!X385+'CAT-3'!X385+'Tut-Ass-OA'!X385+'LAB Asseement'!V385</f>
        <v>0</v>
      </c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spans="1:23" ht="21.75" customHeight="1">
      <c r="A385" s="62" t="str">
        <f>BASE!B390</f>
        <v>23XXR375</v>
      </c>
      <c r="B385" s="121" t="s">
        <v>40</v>
      </c>
      <c r="C385" s="60">
        <f>'CAT-1'!T386+'CAT- 2'!T386+'CAT-3'!T386+'Tut-Ass-OA'!T386+'LAB Asseement'!R386</f>
        <v>0</v>
      </c>
      <c r="D385" s="60">
        <f>'CAT-1'!U386+'CAT- 2'!U386+'CAT-3'!U386+'Tut-Ass-OA'!U386+'LAB Asseement'!S386</f>
        <v>0</v>
      </c>
      <c r="E385" s="60">
        <f>'CAT-1'!V386+'CAT- 2'!V386+'CAT-3'!V386+'Tut-Ass-OA'!V386+'LAB Asseement'!T386</f>
        <v>0</v>
      </c>
      <c r="F385" s="60">
        <f>'CAT-1'!W386+'CAT- 2'!W386+'CAT-3'!W386+'Tut-Ass-OA'!W386+'LAB Asseement'!U386</f>
        <v>0</v>
      </c>
      <c r="G385" s="60">
        <f>'CAT-1'!X386+'CAT- 2'!X386+'CAT-3'!X386+'Tut-Ass-OA'!X386+'LAB Asseement'!V386</f>
        <v>0</v>
      </c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spans="1:23" ht="21.75" customHeight="1">
      <c r="A386" s="62" t="str">
        <f>BASE!B391</f>
        <v>23XXR376</v>
      </c>
      <c r="B386" s="121" t="s">
        <v>40</v>
      </c>
      <c r="C386" s="60">
        <f>'CAT-1'!T387+'CAT- 2'!T387+'CAT-3'!T387+'Tut-Ass-OA'!T387+'LAB Asseement'!R387</f>
        <v>0</v>
      </c>
      <c r="D386" s="60">
        <f>'CAT-1'!U387+'CAT- 2'!U387+'CAT-3'!U387+'Tut-Ass-OA'!U387+'LAB Asseement'!S387</f>
        <v>0</v>
      </c>
      <c r="E386" s="60">
        <f>'CAT-1'!V387+'CAT- 2'!V387+'CAT-3'!V387+'Tut-Ass-OA'!V387+'LAB Asseement'!T387</f>
        <v>0</v>
      </c>
      <c r="F386" s="60">
        <f>'CAT-1'!W387+'CAT- 2'!W387+'CAT-3'!W387+'Tut-Ass-OA'!W387+'LAB Asseement'!U387</f>
        <v>0</v>
      </c>
      <c r="G386" s="60">
        <f>'CAT-1'!X387+'CAT- 2'!X387+'CAT-3'!X387+'Tut-Ass-OA'!X387+'LAB Asseement'!V387</f>
        <v>0</v>
      </c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spans="1:23" ht="21.75" customHeight="1">
      <c r="A387" s="62" t="str">
        <f>BASE!B392</f>
        <v>23XXR377</v>
      </c>
      <c r="B387" s="121" t="s">
        <v>40</v>
      </c>
      <c r="C387" s="60">
        <f>'CAT-1'!T388+'CAT- 2'!T388+'CAT-3'!T388+'Tut-Ass-OA'!T388+'LAB Asseement'!R388</f>
        <v>0</v>
      </c>
      <c r="D387" s="60">
        <f>'CAT-1'!U388+'CAT- 2'!U388+'CAT-3'!U388+'Tut-Ass-OA'!U388+'LAB Asseement'!S388</f>
        <v>0</v>
      </c>
      <c r="E387" s="60">
        <f>'CAT-1'!V388+'CAT- 2'!V388+'CAT-3'!V388+'Tut-Ass-OA'!V388+'LAB Asseement'!T388</f>
        <v>0</v>
      </c>
      <c r="F387" s="60">
        <f>'CAT-1'!W388+'CAT- 2'!W388+'CAT-3'!W388+'Tut-Ass-OA'!W388+'LAB Asseement'!U388</f>
        <v>0</v>
      </c>
      <c r="G387" s="60">
        <f>'CAT-1'!X388+'CAT- 2'!X388+'CAT-3'!X388+'Tut-Ass-OA'!X388+'LAB Asseement'!V388</f>
        <v>0</v>
      </c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spans="1:23" ht="21.75" customHeight="1">
      <c r="A388" s="62" t="str">
        <f>BASE!B393</f>
        <v>23XXR378</v>
      </c>
      <c r="B388" s="121" t="s">
        <v>40</v>
      </c>
      <c r="C388" s="60">
        <f>'CAT-1'!T389+'CAT- 2'!T389+'CAT-3'!T389+'Tut-Ass-OA'!T389+'LAB Asseement'!R389</f>
        <v>0</v>
      </c>
      <c r="D388" s="60">
        <f>'CAT-1'!U389+'CAT- 2'!U389+'CAT-3'!U389+'Tut-Ass-OA'!U389+'LAB Asseement'!S389</f>
        <v>0</v>
      </c>
      <c r="E388" s="60">
        <f>'CAT-1'!V389+'CAT- 2'!V389+'CAT-3'!V389+'Tut-Ass-OA'!V389+'LAB Asseement'!T389</f>
        <v>0</v>
      </c>
      <c r="F388" s="60">
        <f>'CAT-1'!W389+'CAT- 2'!W389+'CAT-3'!W389+'Tut-Ass-OA'!W389+'LAB Asseement'!U389</f>
        <v>0</v>
      </c>
      <c r="G388" s="60">
        <f>'CAT-1'!X389+'CAT- 2'!X389+'CAT-3'!X389+'Tut-Ass-OA'!X389+'LAB Asseement'!V389</f>
        <v>0</v>
      </c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spans="1:23" ht="21.75" customHeight="1">
      <c r="A389" s="62" t="str">
        <f>BASE!B394</f>
        <v>23XXR379</v>
      </c>
      <c r="B389" s="121" t="s">
        <v>40</v>
      </c>
      <c r="C389" s="60">
        <f>'CAT-1'!T390+'CAT- 2'!T390+'CAT-3'!T390+'Tut-Ass-OA'!T390+'LAB Asseement'!R390</f>
        <v>0</v>
      </c>
      <c r="D389" s="60">
        <f>'CAT-1'!U390+'CAT- 2'!U390+'CAT-3'!U390+'Tut-Ass-OA'!U390+'LAB Asseement'!S390</f>
        <v>0</v>
      </c>
      <c r="E389" s="60">
        <f>'CAT-1'!V390+'CAT- 2'!V390+'CAT-3'!V390+'Tut-Ass-OA'!V390+'LAB Asseement'!T390</f>
        <v>0</v>
      </c>
      <c r="F389" s="60">
        <f>'CAT-1'!W390+'CAT- 2'!W390+'CAT-3'!W390+'Tut-Ass-OA'!W390+'LAB Asseement'!U390</f>
        <v>0</v>
      </c>
      <c r="G389" s="60">
        <f>'CAT-1'!X390+'CAT- 2'!X390+'CAT-3'!X390+'Tut-Ass-OA'!X390+'LAB Asseement'!V390</f>
        <v>0</v>
      </c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spans="1:23" ht="21.75" customHeight="1">
      <c r="A390" s="62" t="str">
        <f>BASE!B395</f>
        <v>23XXR380</v>
      </c>
      <c r="B390" s="121" t="s">
        <v>40</v>
      </c>
      <c r="C390" s="60">
        <f>'CAT-1'!T391+'CAT- 2'!T391+'CAT-3'!T391+'Tut-Ass-OA'!T391+'LAB Asseement'!R391</f>
        <v>0</v>
      </c>
      <c r="D390" s="60">
        <f>'CAT-1'!U391+'CAT- 2'!U391+'CAT-3'!U391+'Tut-Ass-OA'!U391+'LAB Asseement'!S391</f>
        <v>0</v>
      </c>
      <c r="E390" s="60">
        <f>'CAT-1'!V391+'CAT- 2'!V391+'CAT-3'!V391+'Tut-Ass-OA'!V391+'LAB Asseement'!T391</f>
        <v>0</v>
      </c>
      <c r="F390" s="60">
        <f>'CAT-1'!W391+'CAT- 2'!W391+'CAT-3'!W391+'Tut-Ass-OA'!W391+'LAB Asseement'!U391</f>
        <v>0</v>
      </c>
      <c r="G390" s="60">
        <f>'CAT-1'!X391+'CAT- 2'!X391+'CAT-3'!X391+'Tut-Ass-OA'!X391+'LAB Asseement'!V391</f>
        <v>0</v>
      </c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spans="1:23" ht="21.75" customHeight="1">
      <c r="A391" s="62" t="str">
        <f>BASE!B396</f>
        <v>23XXR381</v>
      </c>
      <c r="B391" s="121" t="s">
        <v>40</v>
      </c>
      <c r="C391" s="60">
        <f>'CAT-1'!T392+'CAT- 2'!T392+'CAT-3'!T392+'Tut-Ass-OA'!T392+'LAB Asseement'!R392</f>
        <v>0</v>
      </c>
      <c r="D391" s="60">
        <f>'CAT-1'!U392+'CAT- 2'!U392+'CAT-3'!U392+'Tut-Ass-OA'!U392+'LAB Asseement'!S392</f>
        <v>0</v>
      </c>
      <c r="E391" s="60">
        <f>'CAT-1'!V392+'CAT- 2'!V392+'CAT-3'!V392+'Tut-Ass-OA'!V392+'LAB Asseement'!T392</f>
        <v>0</v>
      </c>
      <c r="F391" s="60">
        <f>'CAT-1'!W392+'CAT- 2'!W392+'CAT-3'!W392+'Tut-Ass-OA'!W392+'LAB Asseement'!U392</f>
        <v>0</v>
      </c>
      <c r="G391" s="60">
        <f>'CAT-1'!X392+'CAT- 2'!X392+'CAT-3'!X392+'Tut-Ass-OA'!X392+'LAB Asseement'!V392</f>
        <v>0</v>
      </c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spans="1:23" ht="21.75" customHeight="1">
      <c r="A392" s="62" t="str">
        <f>BASE!B397</f>
        <v>23XXR382</v>
      </c>
      <c r="B392" s="121" t="s">
        <v>40</v>
      </c>
      <c r="C392" s="60">
        <f>'CAT-1'!T393+'CAT- 2'!T393+'CAT-3'!T393+'Tut-Ass-OA'!T393+'LAB Asseement'!R393</f>
        <v>0</v>
      </c>
      <c r="D392" s="60">
        <f>'CAT-1'!U393+'CAT- 2'!U393+'CAT-3'!U393+'Tut-Ass-OA'!U393+'LAB Asseement'!S393</f>
        <v>0</v>
      </c>
      <c r="E392" s="60">
        <f>'CAT-1'!V393+'CAT- 2'!V393+'CAT-3'!V393+'Tut-Ass-OA'!V393+'LAB Asseement'!T393</f>
        <v>0</v>
      </c>
      <c r="F392" s="60">
        <f>'CAT-1'!W393+'CAT- 2'!W393+'CAT-3'!W393+'Tut-Ass-OA'!W393+'LAB Asseement'!U393</f>
        <v>0</v>
      </c>
      <c r="G392" s="60">
        <f>'CAT-1'!X393+'CAT- 2'!X393+'CAT-3'!X393+'Tut-Ass-OA'!X393+'LAB Asseement'!V393</f>
        <v>0</v>
      </c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spans="1:23" ht="21.75" customHeight="1">
      <c r="A393" s="62" t="str">
        <f>BASE!B398</f>
        <v>23XXR383</v>
      </c>
      <c r="B393" s="121" t="s">
        <v>40</v>
      </c>
      <c r="C393" s="60">
        <f>'CAT-1'!T394+'CAT- 2'!T394+'CAT-3'!T394+'Tut-Ass-OA'!T394+'LAB Asseement'!R394</f>
        <v>0</v>
      </c>
      <c r="D393" s="60">
        <f>'CAT-1'!U394+'CAT- 2'!U394+'CAT-3'!U394+'Tut-Ass-OA'!U394+'LAB Asseement'!S394</f>
        <v>0</v>
      </c>
      <c r="E393" s="60">
        <f>'CAT-1'!V394+'CAT- 2'!V394+'CAT-3'!V394+'Tut-Ass-OA'!V394+'LAB Asseement'!T394</f>
        <v>0</v>
      </c>
      <c r="F393" s="60">
        <f>'CAT-1'!W394+'CAT- 2'!W394+'CAT-3'!W394+'Tut-Ass-OA'!W394+'LAB Asseement'!U394</f>
        <v>0</v>
      </c>
      <c r="G393" s="60">
        <f>'CAT-1'!X394+'CAT- 2'!X394+'CAT-3'!X394+'Tut-Ass-OA'!X394+'LAB Asseement'!V394</f>
        <v>0</v>
      </c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spans="1:23" ht="21.75" customHeight="1">
      <c r="A394" s="62" t="str">
        <f>BASE!B399</f>
        <v>23XXR384</v>
      </c>
      <c r="B394" s="121" t="s">
        <v>40</v>
      </c>
      <c r="C394" s="60">
        <f>'CAT-1'!T395+'CAT- 2'!T395+'CAT-3'!T395+'Tut-Ass-OA'!T395+'LAB Asseement'!R395</f>
        <v>0</v>
      </c>
      <c r="D394" s="60">
        <f>'CAT-1'!U395+'CAT- 2'!U395+'CAT-3'!U395+'Tut-Ass-OA'!U395+'LAB Asseement'!S395</f>
        <v>0</v>
      </c>
      <c r="E394" s="60">
        <f>'CAT-1'!V395+'CAT- 2'!V395+'CAT-3'!V395+'Tut-Ass-OA'!V395+'LAB Asseement'!T395</f>
        <v>0</v>
      </c>
      <c r="F394" s="60">
        <f>'CAT-1'!W395+'CAT- 2'!W395+'CAT-3'!W395+'Tut-Ass-OA'!W395+'LAB Asseement'!U395</f>
        <v>0</v>
      </c>
      <c r="G394" s="60">
        <f>'CAT-1'!X395+'CAT- 2'!X395+'CAT-3'!X395+'Tut-Ass-OA'!X395+'LAB Asseement'!V395</f>
        <v>0</v>
      </c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spans="1:23" ht="21.75" customHeight="1">
      <c r="A395" s="62" t="str">
        <f>BASE!B400</f>
        <v>23XXR385</v>
      </c>
      <c r="B395" s="121" t="s">
        <v>40</v>
      </c>
      <c r="C395" s="60">
        <f>'CAT-1'!T396+'CAT- 2'!T396+'CAT-3'!T396+'Tut-Ass-OA'!T396+'LAB Asseement'!R396</f>
        <v>0</v>
      </c>
      <c r="D395" s="60">
        <f>'CAT-1'!U396+'CAT- 2'!U396+'CAT-3'!U396+'Tut-Ass-OA'!U396+'LAB Asseement'!S396</f>
        <v>0</v>
      </c>
      <c r="E395" s="60">
        <f>'CAT-1'!V396+'CAT- 2'!V396+'CAT-3'!V396+'Tut-Ass-OA'!V396+'LAB Asseement'!T396</f>
        <v>0</v>
      </c>
      <c r="F395" s="60">
        <f>'CAT-1'!W396+'CAT- 2'!W396+'CAT-3'!W396+'Tut-Ass-OA'!W396+'LAB Asseement'!U396</f>
        <v>0</v>
      </c>
      <c r="G395" s="60">
        <f>'CAT-1'!X396+'CAT- 2'!X396+'CAT-3'!X396+'Tut-Ass-OA'!X396+'LAB Asseement'!V396</f>
        <v>0</v>
      </c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spans="1:23" ht="21.75" customHeight="1">
      <c r="A396" s="62" t="str">
        <f>BASE!B401</f>
        <v>23XXR386</v>
      </c>
      <c r="B396" s="121" t="s">
        <v>40</v>
      </c>
      <c r="C396" s="60">
        <f>'CAT-1'!T397+'CAT- 2'!T397+'CAT-3'!T397+'Tut-Ass-OA'!T397+'LAB Asseement'!R397</f>
        <v>0</v>
      </c>
      <c r="D396" s="60">
        <f>'CAT-1'!U397+'CAT- 2'!U397+'CAT-3'!U397+'Tut-Ass-OA'!U397+'LAB Asseement'!S397</f>
        <v>0</v>
      </c>
      <c r="E396" s="60">
        <f>'CAT-1'!V397+'CAT- 2'!V397+'CAT-3'!V397+'Tut-Ass-OA'!V397+'LAB Asseement'!T397</f>
        <v>0</v>
      </c>
      <c r="F396" s="60">
        <f>'CAT-1'!W397+'CAT- 2'!W397+'CAT-3'!W397+'Tut-Ass-OA'!W397+'LAB Asseement'!U397</f>
        <v>0</v>
      </c>
      <c r="G396" s="60">
        <f>'CAT-1'!X397+'CAT- 2'!X397+'CAT-3'!X397+'Tut-Ass-OA'!X397+'LAB Asseement'!V397</f>
        <v>0</v>
      </c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spans="1:23" ht="21.75" customHeight="1">
      <c r="A397" s="62" t="str">
        <f>BASE!B402</f>
        <v>23XXR387</v>
      </c>
      <c r="B397" s="121" t="s">
        <v>40</v>
      </c>
      <c r="C397" s="60">
        <f>'CAT-1'!T398+'CAT- 2'!T398+'CAT-3'!T398+'Tut-Ass-OA'!T398+'LAB Asseement'!R398</f>
        <v>0</v>
      </c>
      <c r="D397" s="60">
        <f>'CAT-1'!U398+'CAT- 2'!U398+'CAT-3'!U398+'Tut-Ass-OA'!U398+'LAB Asseement'!S398</f>
        <v>0</v>
      </c>
      <c r="E397" s="60">
        <f>'CAT-1'!V398+'CAT- 2'!V398+'CAT-3'!V398+'Tut-Ass-OA'!V398+'LAB Asseement'!T398</f>
        <v>0</v>
      </c>
      <c r="F397" s="60">
        <f>'CAT-1'!W398+'CAT- 2'!W398+'CAT-3'!W398+'Tut-Ass-OA'!W398+'LAB Asseement'!U398</f>
        <v>0</v>
      </c>
      <c r="G397" s="60">
        <f>'CAT-1'!X398+'CAT- 2'!X398+'CAT-3'!X398+'Tut-Ass-OA'!X398+'LAB Asseement'!V398</f>
        <v>0</v>
      </c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spans="1:23" ht="21.75" customHeight="1">
      <c r="A398" s="62" t="str">
        <f>BASE!B403</f>
        <v>23XXR388</v>
      </c>
      <c r="B398" s="121" t="s">
        <v>40</v>
      </c>
      <c r="C398" s="60">
        <f>'CAT-1'!T399+'CAT- 2'!T399+'CAT-3'!T399+'Tut-Ass-OA'!T399+'LAB Asseement'!R399</f>
        <v>0</v>
      </c>
      <c r="D398" s="60">
        <f>'CAT-1'!U399+'CAT- 2'!U399+'CAT-3'!U399+'Tut-Ass-OA'!U399+'LAB Asseement'!S399</f>
        <v>0</v>
      </c>
      <c r="E398" s="60">
        <f>'CAT-1'!V399+'CAT- 2'!V399+'CAT-3'!V399+'Tut-Ass-OA'!V399+'LAB Asseement'!T399</f>
        <v>0</v>
      </c>
      <c r="F398" s="60">
        <f>'CAT-1'!W399+'CAT- 2'!W399+'CAT-3'!W399+'Tut-Ass-OA'!W399+'LAB Asseement'!U399</f>
        <v>0</v>
      </c>
      <c r="G398" s="60">
        <f>'CAT-1'!X399+'CAT- 2'!X399+'CAT-3'!X399+'Tut-Ass-OA'!X399+'LAB Asseement'!V399</f>
        <v>0</v>
      </c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spans="1:23" ht="21.75" customHeight="1">
      <c r="A399" s="62" t="str">
        <f>BASE!B404</f>
        <v>23XXR389</v>
      </c>
      <c r="B399" s="121" t="s">
        <v>40</v>
      </c>
      <c r="C399" s="60">
        <f>'CAT-1'!T400+'CAT- 2'!T400+'CAT-3'!T400+'Tut-Ass-OA'!T400+'LAB Asseement'!R400</f>
        <v>0</v>
      </c>
      <c r="D399" s="60">
        <f>'CAT-1'!U400+'CAT- 2'!U400+'CAT-3'!U400+'Tut-Ass-OA'!U400+'LAB Asseement'!S400</f>
        <v>0</v>
      </c>
      <c r="E399" s="60">
        <f>'CAT-1'!V400+'CAT- 2'!V400+'CAT-3'!V400+'Tut-Ass-OA'!V400+'LAB Asseement'!T400</f>
        <v>0</v>
      </c>
      <c r="F399" s="60">
        <f>'CAT-1'!W400+'CAT- 2'!W400+'CAT-3'!W400+'Tut-Ass-OA'!W400+'LAB Asseement'!U400</f>
        <v>0</v>
      </c>
      <c r="G399" s="60">
        <f>'CAT-1'!X400+'CAT- 2'!X400+'CAT-3'!X400+'Tut-Ass-OA'!X400+'LAB Asseement'!V400</f>
        <v>0</v>
      </c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spans="1:23" ht="21.75" customHeight="1">
      <c r="A400" s="62" t="str">
        <f>BASE!B405</f>
        <v>23XXR390</v>
      </c>
      <c r="B400" s="121" t="s">
        <v>40</v>
      </c>
      <c r="C400" s="60">
        <f>'CAT-1'!T401+'CAT- 2'!T401+'CAT-3'!T401+'Tut-Ass-OA'!T401+'LAB Asseement'!R401</f>
        <v>0</v>
      </c>
      <c r="D400" s="60">
        <f>'CAT-1'!U401+'CAT- 2'!U401+'CAT-3'!U401+'Tut-Ass-OA'!U401+'LAB Asseement'!S401</f>
        <v>0</v>
      </c>
      <c r="E400" s="60">
        <f>'CAT-1'!V401+'CAT- 2'!V401+'CAT-3'!V401+'Tut-Ass-OA'!V401+'LAB Asseement'!T401</f>
        <v>0</v>
      </c>
      <c r="F400" s="60">
        <f>'CAT-1'!W401+'CAT- 2'!W401+'CAT-3'!W401+'Tut-Ass-OA'!W401+'LAB Asseement'!U401</f>
        <v>0</v>
      </c>
      <c r="G400" s="60">
        <f>'CAT-1'!X401+'CAT- 2'!X401+'CAT-3'!X401+'Tut-Ass-OA'!X401+'LAB Asseement'!V401</f>
        <v>0</v>
      </c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spans="1:23" ht="21.75" customHeight="1">
      <c r="A401" s="62" t="str">
        <f>BASE!B406</f>
        <v>23XXR391</v>
      </c>
      <c r="B401" s="121" t="s">
        <v>40</v>
      </c>
      <c r="C401" s="60">
        <f>'CAT-1'!T402+'CAT- 2'!T402+'CAT-3'!T402+'Tut-Ass-OA'!T402+'LAB Asseement'!R402</f>
        <v>0</v>
      </c>
      <c r="D401" s="60">
        <f>'CAT-1'!U402+'CAT- 2'!U402+'CAT-3'!U402+'Tut-Ass-OA'!U402+'LAB Asseement'!S402</f>
        <v>0</v>
      </c>
      <c r="E401" s="60">
        <f>'CAT-1'!V402+'CAT- 2'!V402+'CAT-3'!V402+'Tut-Ass-OA'!V402+'LAB Asseement'!T402</f>
        <v>0</v>
      </c>
      <c r="F401" s="60">
        <f>'CAT-1'!W402+'CAT- 2'!W402+'CAT-3'!W402+'Tut-Ass-OA'!W402+'LAB Asseement'!U402</f>
        <v>0</v>
      </c>
      <c r="G401" s="60">
        <f>'CAT-1'!X402+'CAT- 2'!X402+'CAT-3'!X402+'Tut-Ass-OA'!X402+'LAB Asseement'!V402</f>
        <v>0</v>
      </c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spans="1:23" ht="21.75" customHeight="1">
      <c r="A402" s="62" t="str">
        <f>BASE!B407</f>
        <v>23XXR392</v>
      </c>
      <c r="B402" s="121" t="s">
        <v>40</v>
      </c>
      <c r="C402" s="60">
        <f>'CAT-1'!T403+'CAT- 2'!T403+'CAT-3'!T403+'Tut-Ass-OA'!T403+'LAB Asseement'!R403</f>
        <v>0</v>
      </c>
      <c r="D402" s="60">
        <f>'CAT-1'!U403+'CAT- 2'!U403+'CAT-3'!U403+'Tut-Ass-OA'!U403+'LAB Asseement'!S403</f>
        <v>0</v>
      </c>
      <c r="E402" s="60">
        <f>'CAT-1'!V403+'CAT- 2'!V403+'CAT-3'!V403+'Tut-Ass-OA'!V403+'LAB Asseement'!T403</f>
        <v>0</v>
      </c>
      <c r="F402" s="60">
        <f>'CAT-1'!W403+'CAT- 2'!W403+'CAT-3'!W403+'Tut-Ass-OA'!W403+'LAB Asseement'!U403</f>
        <v>0</v>
      </c>
      <c r="G402" s="60">
        <f>'CAT-1'!X403+'CAT- 2'!X403+'CAT-3'!X403+'Tut-Ass-OA'!X403+'LAB Asseement'!V403</f>
        <v>0</v>
      </c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spans="1:23" ht="21.75" customHeight="1">
      <c r="A403" s="62" t="str">
        <f>BASE!B408</f>
        <v>23XXR393</v>
      </c>
      <c r="B403" s="121" t="s">
        <v>40</v>
      </c>
      <c r="C403" s="60">
        <f>'CAT-1'!T404+'CAT- 2'!T404+'CAT-3'!T404+'Tut-Ass-OA'!T404+'LAB Asseement'!R404</f>
        <v>0</v>
      </c>
      <c r="D403" s="60">
        <f>'CAT-1'!U404+'CAT- 2'!U404+'CAT-3'!U404+'Tut-Ass-OA'!U404+'LAB Asseement'!S404</f>
        <v>0</v>
      </c>
      <c r="E403" s="60">
        <f>'CAT-1'!V404+'CAT- 2'!V404+'CAT-3'!V404+'Tut-Ass-OA'!V404+'LAB Asseement'!T404</f>
        <v>0</v>
      </c>
      <c r="F403" s="60">
        <f>'CAT-1'!W404+'CAT- 2'!W404+'CAT-3'!W404+'Tut-Ass-OA'!W404+'LAB Asseement'!U404</f>
        <v>0</v>
      </c>
      <c r="G403" s="60">
        <f>'CAT-1'!X404+'CAT- 2'!X404+'CAT-3'!X404+'Tut-Ass-OA'!X404+'LAB Asseement'!V404</f>
        <v>0</v>
      </c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spans="1:23" ht="21.75" customHeight="1">
      <c r="A404" s="62" t="str">
        <f>BASE!B409</f>
        <v>23XXR394</v>
      </c>
      <c r="B404" s="121" t="s">
        <v>40</v>
      </c>
      <c r="C404" s="60">
        <f>'CAT-1'!T405+'CAT- 2'!T405+'CAT-3'!T405+'Tut-Ass-OA'!T405+'LAB Asseement'!R405</f>
        <v>0</v>
      </c>
      <c r="D404" s="60">
        <f>'CAT-1'!U405+'CAT- 2'!U405+'CAT-3'!U405+'Tut-Ass-OA'!U405+'LAB Asseement'!S405</f>
        <v>0</v>
      </c>
      <c r="E404" s="60">
        <f>'CAT-1'!V405+'CAT- 2'!V405+'CAT-3'!V405+'Tut-Ass-OA'!V405+'LAB Asseement'!T405</f>
        <v>0</v>
      </c>
      <c r="F404" s="60">
        <f>'CAT-1'!W405+'CAT- 2'!W405+'CAT-3'!W405+'Tut-Ass-OA'!W405+'LAB Asseement'!U405</f>
        <v>0</v>
      </c>
      <c r="G404" s="60">
        <f>'CAT-1'!X405+'CAT- 2'!X405+'CAT-3'!X405+'Tut-Ass-OA'!X405+'LAB Asseement'!V405</f>
        <v>0</v>
      </c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spans="1:23" ht="21.75" customHeight="1">
      <c r="A405" s="62" t="str">
        <f>BASE!B410</f>
        <v>23XXR395</v>
      </c>
      <c r="B405" s="121" t="s">
        <v>40</v>
      </c>
      <c r="C405" s="60">
        <f>'CAT-1'!T406+'CAT- 2'!T406+'CAT-3'!T406+'Tut-Ass-OA'!T406+'LAB Asseement'!R406</f>
        <v>0</v>
      </c>
      <c r="D405" s="60">
        <f>'CAT-1'!U406+'CAT- 2'!U406+'CAT-3'!U406+'Tut-Ass-OA'!U406+'LAB Asseement'!S406</f>
        <v>0</v>
      </c>
      <c r="E405" s="60">
        <f>'CAT-1'!V406+'CAT- 2'!V406+'CAT-3'!V406+'Tut-Ass-OA'!V406+'LAB Asseement'!T406</f>
        <v>0</v>
      </c>
      <c r="F405" s="60">
        <f>'CAT-1'!W406+'CAT- 2'!W406+'CAT-3'!W406+'Tut-Ass-OA'!W406+'LAB Asseement'!U406</f>
        <v>0</v>
      </c>
      <c r="G405" s="60">
        <f>'CAT-1'!X406+'CAT- 2'!X406+'CAT-3'!X406+'Tut-Ass-OA'!X406+'LAB Asseement'!V406</f>
        <v>0</v>
      </c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spans="1:23" ht="21.75" customHeight="1">
      <c r="A406" s="62" t="str">
        <f>BASE!B411</f>
        <v>23XXR396</v>
      </c>
      <c r="B406" s="121" t="s">
        <v>40</v>
      </c>
      <c r="C406" s="60">
        <f>'CAT-1'!T407+'CAT- 2'!T407+'CAT-3'!T407+'Tut-Ass-OA'!T407+'LAB Asseement'!R407</f>
        <v>0</v>
      </c>
      <c r="D406" s="60">
        <f>'CAT-1'!U407+'CAT- 2'!U407+'CAT-3'!U407+'Tut-Ass-OA'!U407+'LAB Asseement'!S407</f>
        <v>0</v>
      </c>
      <c r="E406" s="60">
        <f>'CAT-1'!V407+'CAT- 2'!V407+'CAT-3'!V407+'Tut-Ass-OA'!V407+'LAB Asseement'!T407</f>
        <v>0</v>
      </c>
      <c r="F406" s="60">
        <f>'CAT-1'!W407+'CAT- 2'!W407+'CAT-3'!W407+'Tut-Ass-OA'!W407+'LAB Asseement'!U407</f>
        <v>0</v>
      </c>
      <c r="G406" s="60">
        <f>'CAT-1'!X407+'CAT- 2'!X407+'CAT-3'!X407+'Tut-Ass-OA'!X407+'LAB Asseement'!V407</f>
        <v>0</v>
      </c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spans="1:23" ht="21.75" customHeight="1">
      <c r="A407" s="62" t="str">
        <f>BASE!B412</f>
        <v>23XXR397</v>
      </c>
      <c r="B407" s="121" t="s">
        <v>40</v>
      </c>
      <c r="C407" s="60">
        <f>'CAT-1'!T408+'CAT- 2'!T408+'CAT-3'!T408+'Tut-Ass-OA'!T408+'LAB Asseement'!R408</f>
        <v>0</v>
      </c>
      <c r="D407" s="60">
        <f>'CAT-1'!U408+'CAT- 2'!U408+'CAT-3'!U408+'Tut-Ass-OA'!U408+'LAB Asseement'!S408</f>
        <v>0</v>
      </c>
      <c r="E407" s="60">
        <f>'CAT-1'!V408+'CAT- 2'!V408+'CAT-3'!V408+'Tut-Ass-OA'!V408+'LAB Asseement'!T408</f>
        <v>0</v>
      </c>
      <c r="F407" s="60">
        <f>'CAT-1'!W408+'CAT- 2'!W408+'CAT-3'!W408+'Tut-Ass-OA'!W408+'LAB Asseement'!U408</f>
        <v>0</v>
      </c>
      <c r="G407" s="60">
        <f>'CAT-1'!X408+'CAT- 2'!X408+'CAT-3'!X408+'Tut-Ass-OA'!X408+'LAB Asseement'!V408</f>
        <v>0</v>
      </c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spans="1:23" ht="21.75" customHeight="1">
      <c r="A408" s="62" t="str">
        <f>BASE!B413</f>
        <v>23XXR398</v>
      </c>
      <c r="B408" s="121" t="s">
        <v>40</v>
      </c>
      <c r="C408" s="60">
        <f>'CAT-1'!T409+'CAT- 2'!T409+'CAT-3'!T409+'Tut-Ass-OA'!T409+'LAB Asseement'!R409</f>
        <v>0</v>
      </c>
      <c r="D408" s="60">
        <f>'CAT-1'!U409+'CAT- 2'!U409+'CAT-3'!U409+'Tut-Ass-OA'!U409+'LAB Asseement'!S409</f>
        <v>0</v>
      </c>
      <c r="E408" s="60">
        <f>'CAT-1'!V409+'CAT- 2'!V409+'CAT-3'!V409+'Tut-Ass-OA'!V409+'LAB Asseement'!T409</f>
        <v>0</v>
      </c>
      <c r="F408" s="60">
        <f>'CAT-1'!W409+'CAT- 2'!W409+'CAT-3'!W409+'Tut-Ass-OA'!W409+'LAB Asseement'!U409</f>
        <v>0</v>
      </c>
      <c r="G408" s="60">
        <f>'CAT-1'!X409+'CAT- 2'!X409+'CAT-3'!X409+'Tut-Ass-OA'!X409+'LAB Asseement'!V409</f>
        <v>0</v>
      </c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spans="1:23" ht="21.75" customHeight="1">
      <c r="A409" s="62" t="str">
        <f>BASE!B414</f>
        <v>23XXR399</v>
      </c>
      <c r="B409" s="121" t="s">
        <v>40</v>
      </c>
      <c r="C409" s="60">
        <f>'CAT-1'!T410+'CAT- 2'!T410+'CAT-3'!T410+'Tut-Ass-OA'!T410+'LAB Asseement'!R410</f>
        <v>0</v>
      </c>
      <c r="D409" s="60">
        <f>'CAT-1'!U410+'CAT- 2'!U410+'CAT-3'!U410+'Tut-Ass-OA'!U410+'LAB Asseement'!S410</f>
        <v>0</v>
      </c>
      <c r="E409" s="60">
        <f>'CAT-1'!V410+'CAT- 2'!V410+'CAT-3'!V410+'Tut-Ass-OA'!V410+'LAB Asseement'!T410</f>
        <v>0</v>
      </c>
      <c r="F409" s="60">
        <f>'CAT-1'!W410+'CAT- 2'!W410+'CAT-3'!W410+'Tut-Ass-OA'!W410+'LAB Asseement'!U410</f>
        <v>0</v>
      </c>
      <c r="G409" s="60">
        <f>'CAT-1'!X410+'CAT- 2'!X410+'CAT-3'!X410+'Tut-Ass-OA'!X410+'LAB Asseement'!V410</f>
        <v>0</v>
      </c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spans="1:23" ht="21.75" customHeight="1">
      <c r="A410" s="62" t="str">
        <f>BASE!B415</f>
        <v>23XXR400</v>
      </c>
      <c r="B410" s="121" t="s">
        <v>40</v>
      </c>
      <c r="C410" s="60">
        <f>'CAT-1'!T411+'CAT- 2'!T411+'CAT-3'!T411+'Tut-Ass-OA'!T411+'LAB Asseement'!R411</f>
        <v>0</v>
      </c>
      <c r="D410" s="60">
        <f>'CAT-1'!U411+'CAT- 2'!U411+'CAT-3'!U411+'Tut-Ass-OA'!U411+'LAB Asseement'!S411</f>
        <v>0</v>
      </c>
      <c r="E410" s="60">
        <f>'CAT-1'!V411+'CAT- 2'!V411+'CAT-3'!V411+'Tut-Ass-OA'!V411+'LAB Asseement'!T411</f>
        <v>0</v>
      </c>
      <c r="F410" s="60">
        <f>'CAT-1'!W411+'CAT- 2'!W411+'CAT-3'!W411+'Tut-Ass-OA'!W411+'LAB Asseement'!U411</f>
        <v>0</v>
      </c>
      <c r="G410" s="60">
        <f>'CAT-1'!X411+'CAT- 2'!X411+'CAT-3'!X411+'Tut-Ass-OA'!X411+'LAB Asseement'!V411</f>
        <v>0</v>
      </c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spans="1:23" ht="21.75" customHeight="1">
      <c r="A411" s="62" t="str">
        <f>BASE!B416</f>
        <v>23XXR401</v>
      </c>
      <c r="B411" s="121" t="s">
        <v>40</v>
      </c>
      <c r="C411" s="60">
        <f>'CAT-1'!T412+'CAT- 2'!T412+'CAT-3'!T412+'Tut-Ass-OA'!T412+'LAB Asseement'!R412</f>
        <v>0</v>
      </c>
      <c r="D411" s="60">
        <f>'CAT-1'!U412+'CAT- 2'!U412+'CAT-3'!U412+'Tut-Ass-OA'!U412+'LAB Asseement'!S412</f>
        <v>0</v>
      </c>
      <c r="E411" s="60">
        <f>'CAT-1'!V412+'CAT- 2'!V412+'CAT-3'!V412+'Tut-Ass-OA'!V412+'LAB Asseement'!T412</f>
        <v>0</v>
      </c>
      <c r="F411" s="60">
        <f>'CAT-1'!W412+'CAT- 2'!W412+'CAT-3'!W412+'Tut-Ass-OA'!W412+'LAB Asseement'!U412</f>
        <v>0</v>
      </c>
      <c r="G411" s="60">
        <f>'CAT-1'!X412+'CAT- 2'!X412+'CAT-3'!X412+'Tut-Ass-OA'!X412+'LAB Asseement'!V412</f>
        <v>0</v>
      </c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spans="1:23" ht="21.75" customHeight="1">
      <c r="A412" s="62" t="str">
        <f>BASE!B417</f>
        <v>23XXR402</v>
      </c>
      <c r="B412" s="121" t="s">
        <v>40</v>
      </c>
      <c r="C412" s="60">
        <f>'CAT-1'!T413+'CAT- 2'!T413+'CAT-3'!T413+'Tut-Ass-OA'!T413+'LAB Asseement'!R413</f>
        <v>0</v>
      </c>
      <c r="D412" s="60">
        <f>'CAT-1'!U413+'CAT- 2'!U413+'CAT-3'!U413+'Tut-Ass-OA'!U413+'LAB Asseement'!S413</f>
        <v>0</v>
      </c>
      <c r="E412" s="60">
        <f>'CAT-1'!V413+'CAT- 2'!V413+'CAT-3'!V413+'Tut-Ass-OA'!V413+'LAB Asseement'!T413</f>
        <v>0</v>
      </c>
      <c r="F412" s="60">
        <f>'CAT-1'!W413+'CAT- 2'!W413+'CAT-3'!W413+'Tut-Ass-OA'!W413+'LAB Asseement'!U413</f>
        <v>0</v>
      </c>
      <c r="G412" s="60">
        <f>'CAT-1'!X413+'CAT- 2'!X413+'CAT-3'!X413+'Tut-Ass-OA'!X413+'LAB Asseement'!V413</f>
        <v>0</v>
      </c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spans="1:23" ht="21.75" customHeight="1">
      <c r="A413" s="62" t="str">
        <f>BASE!B418</f>
        <v>23XXR403</v>
      </c>
      <c r="B413" s="121" t="s">
        <v>40</v>
      </c>
      <c r="C413" s="60">
        <f>'CAT-1'!T414+'CAT- 2'!T414+'CAT-3'!T414+'Tut-Ass-OA'!T414+'LAB Asseement'!R414</f>
        <v>0</v>
      </c>
      <c r="D413" s="60">
        <f>'CAT-1'!U414+'CAT- 2'!U414+'CAT-3'!U414+'Tut-Ass-OA'!U414+'LAB Asseement'!S414</f>
        <v>0</v>
      </c>
      <c r="E413" s="60">
        <f>'CAT-1'!V414+'CAT- 2'!V414+'CAT-3'!V414+'Tut-Ass-OA'!V414+'LAB Asseement'!T414</f>
        <v>0</v>
      </c>
      <c r="F413" s="60">
        <f>'CAT-1'!W414+'CAT- 2'!W414+'CAT-3'!W414+'Tut-Ass-OA'!W414+'LAB Asseement'!U414</f>
        <v>0</v>
      </c>
      <c r="G413" s="60">
        <f>'CAT-1'!X414+'CAT- 2'!X414+'CAT-3'!X414+'Tut-Ass-OA'!X414+'LAB Asseement'!V414</f>
        <v>0</v>
      </c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spans="1:23" ht="21.75" customHeight="1">
      <c r="A414" s="62" t="str">
        <f>BASE!B419</f>
        <v>23XXR404</v>
      </c>
      <c r="B414" s="121" t="s">
        <v>40</v>
      </c>
      <c r="C414" s="60">
        <f>'CAT-1'!T415+'CAT- 2'!T415+'CAT-3'!T415+'Tut-Ass-OA'!T415+'LAB Asseement'!R415</f>
        <v>0</v>
      </c>
      <c r="D414" s="60">
        <f>'CAT-1'!U415+'CAT- 2'!U415+'CAT-3'!U415+'Tut-Ass-OA'!U415+'LAB Asseement'!S415</f>
        <v>0</v>
      </c>
      <c r="E414" s="60">
        <f>'CAT-1'!V415+'CAT- 2'!V415+'CAT-3'!V415+'Tut-Ass-OA'!V415+'LAB Asseement'!T415</f>
        <v>0</v>
      </c>
      <c r="F414" s="60">
        <f>'CAT-1'!W415+'CAT- 2'!W415+'CAT-3'!W415+'Tut-Ass-OA'!W415+'LAB Asseement'!U415</f>
        <v>0</v>
      </c>
      <c r="G414" s="60">
        <f>'CAT-1'!X415+'CAT- 2'!X415+'CAT-3'!X415+'Tut-Ass-OA'!X415+'LAB Asseement'!V415</f>
        <v>0</v>
      </c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spans="1:23" ht="21.75" customHeight="1">
      <c r="A415" s="62" t="str">
        <f>BASE!B420</f>
        <v>23XXR405</v>
      </c>
      <c r="B415" s="121" t="s">
        <v>40</v>
      </c>
      <c r="C415" s="60">
        <f>'CAT-1'!T416+'CAT- 2'!T416+'CAT-3'!T416+'Tut-Ass-OA'!T416+'LAB Asseement'!R416</f>
        <v>0</v>
      </c>
      <c r="D415" s="60">
        <f>'CAT-1'!U416+'CAT- 2'!U416+'CAT-3'!U416+'Tut-Ass-OA'!U416+'LAB Asseement'!S416</f>
        <v>0</v>
      </c>
      <c r="E415" s="60">
        <f>'CAT-1'!V416+'CAT- 2'!V416+'CAT-3'!V416+'Tut-Ass-OA'!V416+'LAB Asseement'!T416</f>
        <v>0</v>
      </c>
      <c r="F415" s="60">
        <f>'CAT-1'!W416+'CAT- 2'!W416+'CAT-3'!W416+'Tut-Ass-OA'!W416+'LAB Asseement'!U416</f>
        <v>0</v>
      </c>
      <c r="G415" s="60">
        <f>'CAT-1'!X416+'CAT- 2'!X416+'CAT-3'!X416+'Tut-Ass-OA'!X416+'LAB Asseement'!V416</f>
        <v>0</v>
      </c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spans="1:23" ht="21.75" customHeight="1">
      <c r="A416" s="62" t="str">
        <f>BASE!B421</f>
        <v>23XXR406</v>
      </c>
      <c r="B416" s="121" t="s">
        <v>40</v>
      </c>
      <c r="C416" s="60">
        <f>'CAT-1'!T417+'CAT- 2'!T417+'CAT-3'!T417+'Tut-Ass-OA'!T417+'LAB Asseement'!R417</f>
        <v>0</v>
      </c>
      <c r="D416" s="60">
        <f>'CAT-1'!U417+'CAT- 2'!U417+'CAT-3'!U417+'Tut-Ass-OA'!U417+'LAB Asseement'!S417</f>
        <v>0</v>
      </c>
      <c r="E416" s="60">
        <f>'CAT-1'!V417+'CAT- 2'!V417+'CAT-3'!V417+'Tut-Ass-OA'!V417+'LAB Asseement'!T417</f>
        <v>0</v>
      </c>
      <c r="F416" s="60">
        <f>'CAT-1'!W417+'CAT- 2'!W417+'CAT-3'!W417+'Tut-Ass-OA'!W417+'LAB Asseement'!U417</f>
        <v>0</v>
      </c>
      <c r="G416" s="60">
        <f>'CAT-1'!X417+'CAT- 2'!X417+'CAT-3'!X417+'Tut-Ass-OA'!X417+'LAB Asseement'!V417</f>
        <v>0</v>
      </c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spans="1:23" ht="21.75" customHeight="1">
      <c r="A417" s="62" t="str">
        <f>BASE!B422</f>
        <v>23XXR407</v>
      </c>
      <c r="B417" s="121" t="s">
        <v>40</v>
      </c>
      <c r="C417" s="60">
        <f>'CAT-1'!T418+'CAT- 2'!T418+'CAT-3'!T418+'Tut-Ass-OA'!T418+'LAB Asseement'!R418</f>
        <v>0</v>
      </c>
      <c r="D417" s="60">
        <f>'CAT-1'!U418+'CAT- 2'!U418+'CAT-3'!U418+'Tut-Ass-OA'!U418+'LAB Asseement'!S418</f>
        <v>0</v>
      </c>
      <c r="E417" s="60">
        <f>'CAT-1'!V418+'CAT- 2'!V418+'CAT-3'!V418+'Tut-Ass-OA'!V418+'LAB Asseement'!T418</f>
        <v>0</v>
      </c>
      <c r="F417" s="60">
        <f>'CAT-1'!W418+'CAT- 2'!W418+'CAT-3'!W418+'Tut-Ass-OA'!W418+'LAB Asseement'!U418</f>
        <v>0</v>
      </c>
      <c r="G417" s="60">
        <f>'CAT-1'!X418+'CAT- 2'!X418+'CAT-3'!X418+'Tut-Ass-OA'!X418+'LAB Asseement'!V418</f>
        <v>0</v>
      </c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spans="1:23" ht="21.75" customHeight="1">
      <c r="A418" s="62" t="str">
        <f>BASE!B423</f>
        <v>23XXR408</v>
      </c>
      <c r="B418" s="121" t="s">
        <v>40</v>
      </c>
      <c r="C418" s="60">
        <f>'CAT-1'!T419+'CAT- 2'!T419+'CAT-3'!T419+'Tut-Ass-OA'!T419+'LAB Asseement'!R419</f>
        <v>0</v>
      </c>
      <c r="D418" s="60">
        <f>'CAT-1'!U419+'CAT- 2'!U419+'CAT-3'!U419+'Tut-Ass-OA'!U419+'LAB Asseement'!S419</f>
        <v>0</v>
      </c>
      <c r="E418" s="60">
        <f>'CAT-1'!V419+'CAT- 2'!V419+'CAT-3'!V419+'Tut-Ass-OA'!V419+'LAB Asseement'!T419</f>
        <v>0</v>
      </c>
      <c r="F418" s="60">
        <f>'CAT-1'!W419+'CAT- 2'!W419+'CAT-3'!W419+'Tut-Ass-OA'!W419+'LAB Asseement'!U419</f>
        <v>0</v>
      </c>
      <c r="G418" s="60">
        <f>'CAT-1'!X419+'CAT- 2'!X419+'CAT-3'!X419+'Tut-Ass-OA'!X419+'LAB Asseement'!V419</f>
        <v>0</v>
      </c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spans="1:23" ht="21.75" customHeight="1">
      <c r="A419" s="62" t="str">
        <f>BASE!B424</f>
        <v>23XXR409</v>
      </c>
      <c r="B419" s="121" t="s">
        <v>40</v>
      </c>
      <c r="C419" s="60">
        <f>'CAT-1'!T420+'CAT- 2'!T420+'CAT-3'!T420+'Tut-Ass-OA'!T420+'LAB Asseement'!R420</f>
        <v>0</v>
      </c>
      <c r="D419" s="60">
        <f>'CAT-1'!U420+'CAT- 2'!U420+'CAT-3'!U420+'Tut-Ass-OA'!U420+'LAB Asseement'!S420</f>
        <v>0</v>
      </c>
      <c r="E419" s="60">
        <f>'CAT-1'!V420+'CAT- 2'!V420+'CAT-3'!V420+'Tut-Ass-OA'!V420+'LAB Asseement'!T420</f>
        <v>0</v>
      </c>
      <c r="F419" s="60">
        <f>'CAT-1'!W420+'CAT- 2'!W420+'CAT-3'!W420+'Tut-Ass-OA'!W420+'LAB Asseement'!U420</f>
        <v>0</v>
      </c>
      <c r="G419" s="60">
        <f>'CAT-1'!X420+'CAT- 2'!X420+'CAT-3'!X420+'Tut-Ass-OA'!X420+'LAB Asseement'!V420</f>
        <v>0</v>
      </c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spans="1:23" ht="21.75" customHeight="1">
      <c r="A420" s="62" t="str">
        <f>BASE!B425</f>
        <v>23XXR410</v>
      </c>
      <c r="B420" s="121" t="s">
        <v>40</v>
      </c>
      <c r="C420" s="60">
        <f>'CAT-1'!T421+'CAT- 2'!T421+'CAT-3'!T421+'Tut-Ass-OA'!T421+'LAB Asseement'!R421</f>
        <v>0</v>
      </c>
      <c r="D420" s="60">
        <f>'CAT-1'!U421+'CAT- 2'!U421+'CAT-3'!U421+'Tut-Ass-OA'!U421+'LAB Asseement'!S421</f>
        <v>0</v>
      </c>
      <c r="E420" s="60">
        <f>'CAT-1'!V421+'CAT- 2'!V421+'CAT-3'!V421+'Tut-Ass-OA'!V421+'LAB Asseement'!T421</f>
        <v>0</v>
      </c>
      <c r="F420" s="60">
        <f>'CAT-1'!W421+'CAT- 2'!W421+'CAT-3'!W421+'Tut-Ass-OA'!W421+'LAB Asseement'!U421</f>
        <v>0</v>
      </c>
      <c r="G420" s="60">
        <f>'CAT-1'!X421+'CAT- 2'!X421+'CAT-3'!X421+'Tut-Ass-OA'!X421+'LAB Asseement'!V421</f>
        <v>0</v>
      </c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spans="1:23" ht="21.75" customHeight="1">
      <c r="A421" s="62" t="str">
        <f>BASE!B426</f>
        <v>23XXR411</v>
      </c>
      <c r="B421" s="121" t="s">
        <v>40</v>
      </c>
      <c r="C421" s="60">
        <f>'CAT-1'!T422+'CAT- 2'!T422+'CAT-3'!T422+'Tut-Ass-OA'!T422+'LAB Asseement'!R422</f>
        <v>0</v>
      </c>
      <c r="D421" s="60">
        <f>'CAT-1'!U422+'CAT- 2'!U422+'CAT-3'!U422+'Tut-Ass-OA'!U422+'LAB Asseement'!S422</f>
        <v>0</v>
      </c>
      <c r="E421" s="60">
        <f>'CAT-1'!V422+'CAT- 2'!V422+'CAT-3'!V422+'Tut-Ass-OA'!V422+'LAB Asseement'!T422</f>
        <v>0</v>
      </c>
      <c r="F421" s="60">
        <f>'CAT-1'!W422+'CAT- 2'!W422+'CAT-3'!W422+'Tut-Ass-OA'!W422+'LAB Asseement'!U422</f>
        <v>0</v>
      </c>
      <c r="G421" s="60">
        <f>'CAT-1'!X422+'CAT- 2'!X422+'CAT-3'!X422+'Tut-Ass-OA'!X422+'LAB Asseement'!V422</f>
        <v>0</v>
      </c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spans="1:23" ht="21.75" customHeight="1">
      <c r="A422" s="62" t="str">
        <f>BASE!B427</f>
        <v>23XXR412</v>
      </c>
      <c r="B422" s="121" t="s">
        <v>40</v>
      </c>
      <c r="C422" s="60">
        <f>'CAT-1'!T423+'CAT- 2'!T423+'CAT-3'!T423+'Tut-Ass-OA'!T423+'LAB Asseement'!R423</f>
        <v>0</v>
      </c>
      <c r="D422" s="60">
        <f>'CAT-1'!U423+'CAT- 2'!U423+'CAT-3'!U423+'Tut-Ass-OA'!U423+'LAB Asseement'!S423</f>
        <v>0</v>
      </c>
      <c r="E422" s="60">
        <f>'CAT-1'!V423+'CAT- 2'!V423+'CAT-3'!V423+'Tut-Ass-OA'!V423+'LAB Asseement'!T423</f>
        <v>0</v>
      </c>
      <c r="F422" s="60">
        <f>'CAT-1'!W423+'CAT- 2'!W423+'CAT-3'!W423+'Tut-Ass-OA'!W423+'LAB Asseement'!U423</f>
        <v>0</v>
      </c>
      <c r="G422" s="60">
        <f>'CAT-1'!X423+'CAT- 2'!X423+'CAT-3'!X423+'Tut-Ass-OA'!X423+'LAB Asseement'!V423</f>
        <v>0</v>
      </c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spans="1:23" ht="21.75" customHeight="1">
      <c r="A423" s="62" t="str">
        <f>BASE!B428</f>
        <v>23XXR413</v>
      </c>
      <c r="B423" s="121" t="s">
        <v>40</v>
      </c>
      <c r="C423" s="60">
        <f>'CAT-1'!T424+'CAT- 2'!T424+'CAT-3'!T424+'Tut-Ass-OA'!T424+'LAB Asseement'!R424</f>
        <v>0</v>
      </c>
      <c r="D423" s="60">
        <f>'CAT-1'!U424+'CAT- 2'!U424+'CAT-3'!U424+'Tut-Ass-OA'!U424+'LAB Asseement'!S424</f>
        <v>0</v>
      </c>
      <c r="E423" s="60">
        <f>'CAT-1'!V424+'CAT- 2'!V424+'CAT-3'!V424+'Tut-Ass-OA'!V424+'LAB Asseement'!T424</f>
        <v>0</v>
      </c>
      <c r="F423" s="60">
        <f>'CAT-1'!W424+'CAT- 2'!W424+'CAT-3'!W424+'Tut-Ass-OA'!W424+'LAB Asseement'!U424</f>
        <v>0</v>
      </c>
      <c r="G423" s="60">
        <f>'CAT-1'!X424+'CAT- 2'!X424+'CAT-3'!X424+'Tut-Ass-OA'!X424+'LAB Asseement'!V424</f>
        <v>0</v>
      </c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spans="1:23" ht="21.75" customHeight="1">
      <c r="A424" s="62" t="str">
        <f>BASE!B429</f>
        <v>23XXR414</v>
      </c>
      <c r="B424" s="121" t="s">
        <v>40</v>
      </c>
      <c r="C424" s="60">
        <f>'CAT-1'!T425+'CAT- 2'!T425+'CAT-3'!T425+'Tut-Ass-OA'!T425+'LAB Asseement'!R425</f>
        <v>0</v>
      </c>
      <c r="D424" s="60">
        <f>'CAT-1'!U425+'CAT- 2'!U425+'CAT-3'!U425+'Tut-Ass-OA'!U425+'LAB Asseement'!S425</f>
        <v>0</v>
      </c>
      <c r="E424" s="60">
        <f>'CAT-1'!V425+'CAT- 2'!V425+'CAT-3'!V425+'Tut-Ass-OA'!V425+'LAB Asseement'!T425</f>
        <v>0</v>
      </c>
      <c r="F424" s="60">
        <f>'CAT-1'!W425+'CAT- 2'!W425+'CAT-3'!W425+'Tut-Ass-OA'!W425+'LAB Asseement'!U425</f>
        <v>0</v>
      </c>
      <c r="G424" s="60">
        <f>'CAT-1'!X425+'CAT- 2'!X425+'CAT-3'!X425+'Tut-Ass-OA'!X425+'LAB Asseement'!V425</f>
        <v>0</v>
      </c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spans="1:23" ht="21.75" customHeight="1">
      <c r="A425" s="62" t="str">
        <f>BASE!B430</f>
        <v>23XXR415</v>
      </c>
      <c r="B425" s="121" t="s">
        <v>40</v>
      </c>
      <c r="C425" s="60">
        <f>'CAT-1'!T426+'CAT- 2'!T426+'CAT-3'!T426+'Tut-Ass-OA'!T426+'LAB Asseement'!R426</f>
        <v>0</v>
      </c>
      <c r="D425" s="60">
        <f>'CAT-1'!U426+'CAT- 2'!U426+'CAT-3'!U426+'Tut-Ass-OA'!U426+'LAB Asseement'!S426</f>
        <v>0</v>
      </c>
      <c r="E425" s="60">
        <f>'CAT-1'!V426+'CAT- 2'!V426+'CAT-3'!V426+'Tut-Ass-OA'!V426+'LAB Asseement'!T426</f>
        <v>0</v>
      </c>
      <c r="F425" s="60">
        <f>'CAT-1'!W426+'CAT- 2'!W426+'CAT-3'!W426+'Tut-Ass-OA'!W426+'LAB Asseement'!U426</f>
        <v>0</v>
      </c>
      <c r="G425" s="60">
        <f>'CAT-1'!X426+'CAT- 2'!X426+'CAT-3'!X426+'Tut-Ass-OA'!X426+'LAB Asseement'!V426</f>
        <v>0</v>
      </c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 spans="1:23" ht="21.75" customHeight="1">
      <c r="A426" s="62" t="str">
        <f>BASE!B431</f>
        <v>23XXR416</v>
      </c>
      <c r="B426" s="121" t="s">
        <v>40</v>
      </c>
      <c r="C426" s="60">
        <f>'CAT-1'!T427+'CAT- 2'!T427+'CAT-3'!T427+'Tut-Ass-OA'!T427+'LAB Asseement'!R427</f>
        <v>0</v>
      </c>
      <c r="D426" s="60">
        <f>'CAT-1'!U427+'CAT- 2'!U427+'CAT-3'!U427+'Tut-Ass-OA'!U427+'LAB Asseement'!S427</f>
        <v>0</v>
      </c>
      <c r="E426" s="60">
        <f>'CAT-1'!V427+'CAT- 2'!V427+'CAT-3'!V427+'Tut-Ass-OA'!V427+'LAB Asseement'!T427</f>
        <v>0</v>
      </c>
      <c r="F426" s="60">
        <f>'CAT-1'!W427+'CAT- 2'!W427+'CAT-3'!W427+'Tut-Ass-OA'!W427+'LAB Asseement'!U427</f>
        <v>0</v>
      </c>
      <c r="G426" s="60">
        <f>'CAT-1'!X427+'CAT- 2'!X427+'CAT-3'!X427+'Tut-Ass-OA'!X427+'LAB Asseement'!V427</f>
        <v>0</v>
      </c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 spans="1:23" ht="21.75" customHeight="1">
      <c r="A427" s="62" t="str">
        <f>BASE!B432</f>
        <v>23XXR417</v>
      </c>
      <c r="B427" s="121" t="s">
        <v>40</v>
      </c>
      <c r="C427" s="60">
        <f>'CAT-1'!T428+'CAT- 2'!T428+'CAT-3'!T428+'Tut-Ass-OA'!T428+'LAB Asseement'!R428</f>
        <v>0</v>
      </c>
      <c r="D427" s="60">
        <f>'CAT-1'!U428+'CAT- 2'!U428+'CAT-3'!U428+'Tut-Ass-OA'!U428+'LAB Asseement'!S428</f>
        <v>0</v>
      </c>
      <c r="E427" s="60">
        <f>'CAT-1'!V428+'CAT- 2'!V428+'CAT-3'!V428+'Tut-Ass-OA'!V428+'LAB Asseement'!T428</f>
        <v>0</v>
      </c>
      <c r="F427" s="60">
        <f>'CAT-1'!W428+'CAT- 2'!W428+'CAT-3'!W428+'Tut-Ass-OA'!W428+'LAB Asseement'!U428</f>
        <v>0</v>
      </c>
      <c r="G427" s="60">
        <f>'CAT-1'!X428+'CAT- 2'!X428+'CAT-3'!X428+'Tut-Ass-OA'!X428+'LAB Asseement'!V428</f>
        <v>0</v>
      </c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 spans="1:23" ht="21.75" customHeight="1">
      <c r="A428" s="62" t="str">
        <f>BASE!B433</f>
        <v>23XXR418</v>
      </c>
      <c r="B428" s="121" t="s">
        <v>40</v>
      </c>
      <c r="C428" s="60">
        <f>'CAT-1'!T429+'CAT- 2'!T429+'CAT-3'!T429+'Tut-Ass-OA'!T429+'LAB Asseement'!R429</f>
        <v>0</v>
      </c>
      <c r="D428" s="60">
        <f>'CAT-1'!U429+'CAT- 2'!U429+'CAT-3'!U429+'Tut-Ass-OA'!U429+'LAB Asseement'!S429</f>
        <v>0</v>
      </c>
      <c r="E428" s="60">
        <f>'CAT-1'!V429+'CAT- 2'!V429+'CAT-3'!V429+'Tut-Ass-OA'!V429+'LAB Asseement'!T429</f>
        <v>0</v>
      </c>
      <c r="F428" s="60">
        <f>'CAT-1'!W429+'CAT- 2'!W429+'CAT-3'!W429+'Tut-Ass-OA'!W429+'LAB Asseement'!U429</f>
        <v>0</v>
      </c>
      <c r="G428" s="60">
        <f>'CAT-1'!X429+'CAT- 2'!X429+'CAT-3'!X429+'Tut-Ass-OA'!X429+'LAB Asseement'!V429</f>
        <v>0</v>
      </c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 spans="1:23" ht="21.75" customHeight="1">
      <c r="A429" s="62" t="str">
        <f>BASE!B434</f>
        <v>23XXR419</v>
      </c>
      <c r="B429" s="121" t="s">
        <v>40</v>
      </c>
      <c r="C429" s="60">
        <f>'CAT-1'!T430+'CAT- 2'!T430+'CAT-3'!T430+'Tut-Ass-OA'!T430+'LAB Asseement'!R430</f>
        <v>0</v>
      </c>
      <c r="D429" s="60">
        <f>'CAT-1'!U430+'CAT- 2'!U430+'CAT-3'!U430+'Tut-Ass-OA'!U430+'LAB Asseement'!S430</f>
        <v>0</v>
      </c>
      <c r="E429" s="60">
        <f>'CAT-1'!V430+'CAT- 2'!V430+'CAT-3'!V430+'Tut-Ass-OA'!V430+'LAB Asseement'!T430</f>
        <v>0</v>
      </c>
      <c r="F429" s="60">
        <f>'CAT-1'!W430+'CAT- 2'!W430+'CAT-3'!W430+'Tut-Ass-OA'!W430+'LAB Asseement'!U430</f>
        <v>0</v>
      </c>
      <c r="G429" s="60">
        <f>'CAT-1'!X430+'CAT- 2'!X430+'CAT-3'!X430+'Tut-Ass-OA'!X430+'LAB Asseement'!V430</f>
        <v>0</v>
      </c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 spans="1:23" ht="21.75" customHeight="1">
      <c r="A430" s="62" t="str">
        <f>BASE!B435</f>
        <v>23XXR420</v>
      </c>
      <c r="B430" s="121" t="s">
        <v>40</v>
      </c>
      <c r="C430" s="60">
        <f>'CAT-1'!T431+'CAT- 2'!T431+'CAT-3'!T431+'Tut-Ass-OA'!T431+'LAB Asseement'!R431</f>
        <v>0</v>
      </c>
      <c r="D430" s="60">
        <f>'CAT-1'!U431+'CAT- 2'!U431+'CAT-3'!U431+'Tut-Ass-OA'!U431+'LAB Asseement'!S431</f>
        <v>0</v>
      </c>
      <c r="E430" s="60">
        <f>'CAT-1'!V431+'CAT- 2'!V431+'CAT-3'!V431+'Tut-Ass-OA'!V431+'LAB Asseement'!T431</f>
        <v>0</v>
      </c>
      <c r="F430" s="60">
        <f>'CAT-1'!W431+'CAT- 2'!W431+'CAT-3'!W431+'Tut-Ass-OA'!W431+'LAB Asseement'!U431</f>
        <v>0</v>
      </c>
      <c r="G430" s="60">
        <f>'CAT-1'!X431+'CAT- 2'!X431+'CAT-3'!X431+'Tut-Ass-OA'!X431+'LAB Asseement'!V431</f>
        <v>0</v>
      </c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 spans="1:23" ht="21.75" customHeight="1">
      <c r="A431" s="62" t="str">
        <f>BASE!B436</f>
        <v>23XXR421</v>
      </c>
      <c r="B431" s="121" t="s">
        <v>40</v>
      </c>
      <c r="C431" s="60">
        <f>'CAT-1'!T432+'CAT- 2'!T432+'CAT-3'!T432+'Tut-Ass-OA'!T432+'LAB Asseement'!R432</f>
        <v>0</v>
      </c>
      <c r="D431" s="60">
        <f>'CAT-1'!U432+'CAT- 2'!U432+'CAT-3'!U432+'Tut-Ass-OA'!U432+'LAB Asseement'!S432</f>
        <v>0</v>
      </c>
      <c r="E431" s="60">
        <f>'CAT-1'!V432+'CAT- 2'!V432+'CAT-3'!V432+'Tut-Ass-OA'!V432+'LAB Asseement'!T432</f>
        <v>0</v>
      </c>
      <c r="F431" s="60">
        <f>'CAT-1'!W432+'CAT- 2'!W432+'CAT-3'!W432+'Tut-Ass-OA'!W432+'LAB Asseement'!U432</f>
        <v>0</v>
      </c>
      <c r="G431" s="60">
        <f>'CAT-1'!X432+'CAT- 2'!X432+'CAT-3'!X432+'Tut-Ass-OA'!X432+'LAB Asseement'!V432</f>
        <v>0</v>
      </c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 spans="1:23" ht="21.75" customHeight="1">
      <c r="A432" s="62">
        <f>BASE!B437</f>
        <v>0</v>
      </c>
      <c r="B432" s="121" t="s">
        <v>40</v>
      </c>
      <c r="C432" s="60">
        <f>'CAT-1'!T433+'CAT- 2'!T433+'CAT-3'!T433+'Tut-Ass-OA'!T433+'LAB Asseement'!R433</f>
        <v>0</v>
      </c>
      <c r="D432" s="60">
        <f>'CAT-1'!U433+'CAT- 2'!U433+'CAT-3'!U433+'Tut-Ass-OA'!U433+'LAB Asseement'!S433</f>
        <v>0</v>
      </c>
      <c r="E432" s="60">
        <f>'CAT-1'!V433+'CAT- 2'!V433+'CAT-3'!V433+'Tut-Ass-OA'!V433+'LAB Asseement'!T433</f>
        <v>0</v>
      </c>
      <c r="F432" s="60">
        <f>'CAT-1'!W433+'CAT- 2'!W433+'CAT-3'!W433+'Tut-Ass-OA'!W433+'LAB Asseement'!U433</f>
        <v>0</v>
      </c>
      <c r="G432" s="60">
        <f>'CAT-1'!X433+'CAT- 2'!X433+'CAT-3'!X433+'Tut-Ass-OA'!X433+'LAB Asseement'!V433</f>
        <v>0</v>
      </c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 spans="1:23" ht="21.75" customHeight="1">
      <c r="A433" s="62">
        <f>BASE!B438</f>
        <v>0</v>
      </c>
      <c r="B433" s="121" t="s">
        <v>40</v>
      </c>
      <c r="C433" s="60">
        <f>'CAT-1'!T434+'CAT- 2'!T434+'CAT-3'!T434+'Tut-Ass-OA'!T434+'LAB Asseement'!R434</f>
        <v>0</v>
      </c>
      <c r="D433" s="60">
        <f>'CAT-1'!U434+'CAT- 2'!U434+'CAT-3'!U434+'Tut-Ass-OA'!U434+'LAB Asseement'!S434</f>
        <v>0</v>
      </c>
      <c r="E433" s="60">
        <f>'CAT-1'!V434+'CAT- 2'!V434+'CAT-3'!V434+'Tut-Ass-OA'!V434+'LAB Asseement'!T434</f>
        <v>0</v>
      </c>
      <c r="F433" s="60">
        <f>'CAT-1'!W434+'CAT- 2'!W434+'CAT-3'!W434+'Tut-Ass-OA'!W434+'LAB Asseement'!U434</f>
        <v>0</v>
      </c>
      <c r="G433" s="60">
        <f>'CAT-1'!X434+'CAT- 2'!X434+'CAT-3'!X434+'Tut-Ass-OA'!X434+'LAB Asseement'!V434</f>
        <v>0</v>
      </c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spans="1:23" ht="21.75" customHeight="1">
      <c r="A434" s="62">
        <f>BASE!B439</f>
        <v>0</v>
      </c>
      <c r="B434" s="121" t="s">
        <v>40</v>
      </c>
      <c r="C434" s="60">
        <f>'CAT-1'!T435+'CAT- 2'!T435+'CAT-3'!T435+'Tut-Ass-OA'!T435+'LAB Asseement'!R435</f>
        <v>0</v>
      </c>
      <c r="D434" s="60">
        <f>'CAT-1'!U435+'CAT- 2'!U435+'CAT-3'!U435+'Tut-Ass-OA'!U435+'LAB Asseement'!S435</f>
        <v>0</v>
      </c>
      <c r="E434" s="60">
        <f>'CAT-1'!V435+'CAT- 2'!V435+'CAT-3'!V435+'Tut-Ass-OA'!V435+'LAB Asseement'!T435</f>
        <v>0</v>
      </c>
      <c r="F434" s="60">
        <f>'CAT-1'!W435+'CAT- 2'!W435+'CAT-3'!W435+'Tut-Ass-OA'!W435+'LAB Asseement'!U435</f>
        <v>0</v>
      </c>
      <c r="G434" s="60">
        <f>'CAT-1'!X435+'CAT- 2'!X435+'CAT-3'!X435+'Tut-Ass-OA'!X435+'LAB Asseement'!V435</f>
        <v>0</v>
      </c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spans="1:23" ht="21.75" customHeight="1">
      <c r="A435" s="62">
        <f>BASE!B440</f>
        <v>0</v>
      </c>
      <c r="B435" s="121" t="s">
        <v>40</v>
      </c>
      <c r="C435" s="60">
        <f>'CAT-1'!T436+'CAT- 2'!T436+'CAT-3'!T436+'Tut-Ass-OA'!T436+'LAB Asseement'!R436</f>
        <v>0</v>
      </c>
      <c r="D435" s="60">
        <f>'CAT-1'!U436+'CAT- 2'!U436+'CAT-3'!U436+'Tut-Ass-OA'!U436+'LAB Asseement'!S436</f>
        <v>0</v>
      </c>
      <c r="E435" s="60">
        <f>'CAT-1'!V436+'CAT- 2'!V436+'CAT-3'!V436+'Tut-Ass-OA'!V436+'LAB Asseement'!T436</f>
        <v>0</v>
      </c>
      <c r="F435" s="60">
        <f>'CAT-1'!W436+'CAT- 2'!W436+'CAT-3'!W436+'Tut-Ass-OA'!W436+'LAB Asseement'!U436</f>
        <v>0</v>
      </c>
      <c r="G435" s="60">
        <f>'CAT-1'!X436+'CAT- 2'!X436+'CAT-3'!X436+'Tut-Ass-OA'!X436+'LAB Asseement'!V436</f>
        <v>0</v>
      </c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spans="1:23" ht="21.75" customHeight="1">
      <c r="A436" s="62">
        <f>BASE!B441</f>
        <v>0</v>
      </c>
      <c r="B436" s="121" t="s">
        <v>40</v>
      </c>
      <c r="C436" s="60">
        <f>'CAT-1'!T437+'CAT- 2'!T437+'CAT-3'!T437+'Tut-Ass-OA'!T437+'LAB Asseement'!R437</f>
        <v>0</v>
      </c>
      <c r="D436" s="60">
        <f>'CAT-1'!U437+'CAT- 2'!U437+'CAT-3'!U437+'Tut-Ass-OA'!U437+'LAB Asseement'!S437</f>
        <v>0</v>
      </c>
      <c r="E436" s="60">
        <f>'CAT-1'!V437+'CAT- 2'!V437+'CAT-3'!V437+'Tut-Ass-OA'!V437+'LAB Asseement'!T437</f>
        <v>0</v>
      </c>
      <c r="F436" s="60">
        <f>'CAT-1'!W437+'CAT- 2'!W437+'CAT-3'!W437+'Tut-Ass-OA'!W437+'LAB Asseement'!U437</f>
        <v>0</v>
      </c>
      <c r="G436" s="60">
        <f>'CAT-1'!X437+'CAT- 2'!X437+'CAT-3'!X437+'Tut-Ass-OA'!X437+'LAB Asseement'!V437</f>
        <v>0</v>
      </c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 spans="1:23" ht="21.75" customHeight="1">
      <c r="A437" s="62">
        <f>BASE!B442</f>
        <v>0</v>
      </c>
      <c r="B437" s="121" t="s">
        <v>40</v>
      </c>
      <c r="C437" s="60">
        <f>'CAT-1'!T438+'CAT- 2'!T438+'CAT-3'!T438+'Tut-Ass-OA'!T438+'LAB Asseement'!R438</f>
        <v>0</v>
      </c>
      <c r="D437" s="60">
        <f>'CAT-1'!U438+'CAT- 2'!U438+'CAT-3'!U438+'Tut-Ass-OA'!U438+'LAB Asseement'!S438</f>
        <v>0</v>
      </c>
      <c r="E437" s="60">
        <f>'CAT-1'!V438+'CAT- 2'!V438+'CAT-3'!V438+'Tut-Ass-OA'!V438+'LAB Asseement'!T438</f>
        <v>0</v>
      </c>
      <c r="F437" s="60">
        <f>'CAT-1'!W438+'CAT- 2'!W438+'CAT-3'!W438+'Tut-Ass-OA'!W438+'LAB Asseement'!U438</f>
        <v>0</v>
      </c>
      <c r="G437" s="60">
        <f>'CAT-1'!X438+'CAT- 2'!X438+'CAT-3'!X438+'Tut-Ass-OA'!X438+'LAB Asseement'!V438</f>
        <v>0</v>
      </c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 spans="1:23" ht="21.75" customHeight="1">
      <c r="A438" s="62">
        <f>BASE!B443</f>
        <v>0</v>
      </c>
      <c r="B438" s="121" t="s">
        <v>40</v>
      </c>
      <c r="C438" s="60">
        <f>'CAT-1'!T439+'CAT- 2'!T439+'CAT-3'!T439+'Tut-Ass-OA'!T439+'LAB Asseement'!R439</f>
        <v>0</v>
      </c>
      <c r="D438" s="60">
        <f>'CAT-1'!U439+'CAT- 2'!U439+'CAT-3'!U439+'Tut-Ass-OA'!U439+'LAB Asseement'!S439</f>
        <v>0</v>
      </c>
      <c r="E438" s="60">
        <f>'CAT-1'!V439+'CAT- 2'!V439+'CAT-3'!V439+'Tut-Ass-OA'!V439+'LAB Asseement'!T439</f>
        <v>0</v>
      </c>
      <c r="F438" s="60">
        <f>'CAT-1'!W439+'CAT- 2'!W439+'CAT-3'!W439+'Tut-Ass-OA'!W439+'LAB Asseement'!U439</f>
        <v>0</v>
      </c>
      <c r="G438" s="60">
        <f>'CAT-1'!X439+'CAT- 2'!X439+'CAT-3'!X439+'Tut-Ass-OA'!X439+'LAB Asseement'!V439</f>
        <v>0</v>
      </c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 spans="1:23" ht="21.75" customHeight="1">
      <c r="A439" s="62">
        <f>BASE!B444</f>
        <v>0</v>
      </c>
      <c r="B439" s="121" t="s">
        <v>40</v>
      </c>
      <c r="C439" s="60">
        <f>'CAT-1'!T440+'CAT- 2'!T440+'CAT-3'!T440+'Tut-Ass-OA'!T440+'LAB Asseement'!R440</f>
        <v>0</v>
      </c>
      <c r="D439" s="60">
        <f>'CAT-1'!U440+'CAT- 2'!U440+'CAT-3'!U440+'Tut-Ass-OA'!U440+'LAB Asseement'!S440</f>
        <v>0</v>
      </c>
      <c r="E439" s="60">
        <f>'CAT-1'!V440+'CAT- 2'!V440+'CAT-3'!V440+'Tut-Ass-OA'!V440+'LAB Asseement'!T440</f>
        <v>0</v>
      </c>
      <c r="F439" s="60">
        <f>'CAT-1'!W440+'CAT- 2'!W440+'CAT-3'!W440+'Tut-Ass-OA'!W440+'LAB Asseement'!U440</f>
        <v>0</v>
      </c>
      <c r="G439" s="60">
        <f>'CAT-1'!X440+'CAT- 2'!X440+'CAT-3'!X440+'Tut-Ass-OA'!X440+'LAB Asseement'!V440</f>
        <v>0</v>
      </c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 spans="1:23" ht="21.75" customHeight="1">
      <c r="A440" s="62">
        <f>BASE!B445</f>
        <v>0</v>
      </c>
      <c r="B440" s="121" t="s">
        <v>40</v>
      </c>
      <c r="C440" s="60">
        <f>'CAT-1'!T441+'CAT- 2'!T441+'CAT-3'!T441+'Tut-Ass-OA'!T441+'LAB Asseement'!R441</f>
        <v>0</v>
      </c>
      <c r="D440" s="60">
        <f>'CAT-1'!U441+'CAT- 2'!U441+'CAT-3'!U441+'Tut-Ass-OA'!U441+'LAB Asseement'!S441</f>
        <v>0</v>
      </c>
      <c r="E440" s="60">
        <f>'CAT-1'!V441+'CAT- 2'!V441+'CAT-3'!V441+'Tut-Ass-OA'!V441+'LAB Asseement'!T441</f>
        <v>0</v>
      </c>
      <c r="F440" s="60">
        <f>'CAT-1'!W441+'CAT- 2'!W441+'CAT-3'!W441+'Tut-Ass-OA'!W441+'LAB Asseement'!U441</f>
        <v>0</v>
      </c>
      <c r="G440" s="60">
        <f>'CAT-1'!X441+'CAT- 2'!X441+'CAT-3'!X441+'Tut-Ass-OA'!X441+'LAB Asseement'!V441</f>
        <v>0</v>
      </c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 spans="1:23" ht="21.75" customHeight="1">
      <c r="A441" s="62">
        <f>BASE!B446</f>
        <v>0</v>
      </c>
      <c r="B441" s="121" t="s">
        <v>40</v>
      </c>
      <c r="C441" s="60">
        <f>'CAT-1'!T442+'CAT- 2'!T442+'CAT-3'!T442+'Tut-Ass-OA'!T442+'LAB Asseement'!R442</f>
        <v>0</v>
      </c>
      <c r="D441" s="60">
        <f>'CAT-1'!U442+'CAT- 2'!U442+'CAT-3'!U442+'Tut-Ass-OA'!U442+'LAB Asseement'!S442</f>
        <v>0</v>
      </c>
      <c r="E441" s="60">
        <f>'CAT-1'!V442+'CAT- 2'!V442+'CAT-3'!V442+'Tut-Ass-OA'!V442+'LAB Asseement'!T442</f>
        <v>0</v>
      </c>
      <c r="F441" s="60">
        <f>'CAT-1'!W442+'CAT- 2'!W442+'CAT-3'!W442+'Tut-Ass-OA'!W442+'LAB Asseement'!U442</f>
        <v>0</v>
      </c>
      <c r="G441" s="60">
        <f>'CAT-1'!X442+'CAT- 2'!X442+'CAT-3'!X442+'Tut-Ass-OA'!X442+'LAB Asseement'!V442</f>
        <v>0</v>
      </c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 spans="1:23" ht="21.75" customHeight="1">
      <c r="A442" s="62">
        <f>BASE!B447</f>
        <v>0</v>
      </c>
      <c r="B442" s="121" t="s">
        <v>40</v>
      </c>
      <c r="C442" s="60">
        <f>'CAT-1'!T443+'CAT- 2'!T443+'CAT-3'!T443+'Tut-Ass-OA'!T443+'LAB Asseement'!R443</f>
        <v>0</v>
      </c>
      <c r="D442" s="60">
        <f>'CAT-1'!U443+'CAT- 2'!U443+'CAT-3'!U443+'Tut-Ass-OA'!U443+'LAB Asseement'!S443</f>
        <v>0</v>
      </c>
      <c r="E442" s="60">
        <f>'CAT-1'!V443+'CAT- 2'!V443+'CAT-3'!V443+'Tut-Ass-OA'!V443+'LAB Asseement'!T443</f>
        <v>0</v>
      </c>
      <c r="F442" s="60">
        <f>'CAT-1'!W443+'CAT- 2'!W443+'CAT-3'!W443+'Tut-Ass-OA'!W443+'LAB Asseement'!U443</f>
        <v>0</v>
      </c>
      <c r="G442" s="60">
        <f>'CAT-1'!X443+'CAT- 2'!X443+'CAT-3'!X443+'Tut-Ass-OA'!X443+'LAB Asseement'!V443</f>
        <v>0</v>
      </c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 spans="1:23" ht="21.75" customHeight="1">
      <c r="A443" s="62">
        <f>BASE!B448</f>
        <v>0</v>
      </c>
      <c r="B443" s="121" t="s">
        <v>40</v>
      </c>
      <c r="C443" s="60">
        <f>'CAT-1'!T444+'CAT- 2'!T444+'CAT-3'!T444+'Tut-Ass-OA'!T444+'LAB Asseement'!R444</f>
        <v>0</v>
      </c>
      <c r="D443" s="60">
        <f>'CAT-1'!U444+'CAT- 2'!U444+'CAT-3'!U444+'Tut-Ass-OA'!U444+'LAB Asseement'!S444</f>
        <v>0</v>
      </c>
      <c r="E443" s="60">
        <f>'CAT-1'!V444+'CAT- 2'!V444+'CAT-3'!V444+'Tut-Ass-OA'!V444+'LAB Asseement'!T444</f>
        <v>0</v>
      </c>
      <c r="F443" s="60">
        <f>'CAT-1'!W444+'CAT- 2'!W444+'CAT-3'!W444+'Tut-Ass-OA'!W444+'LAB Asseement'!U444</f>
        <v>0</v>
      </c>
      <c r="G443" s="60">
        <f>'CAT-1'!X444+'CAT- 2'!X444+'CAT-3'!X444+'Tut-Ass-OA'!X444+'LAB Asseement'!V444</f>
        <v>0</v>
      </c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 spans="1:23" ht="21.75" customHeight="1">
      <c r="A444" s="62">
        <f>BASE!B449</f>
        <v>0</v>
      </c>
      <c r="B444" s="121" t="s">
        <v>40</v>
      </c>
      <c r="C444" s="60">
        <f>'CAT-1'!T445+'CAT- 2'!T445+'CAT-3'!T445+'Tut-Ass-OA'!T445+'LAB Asseement'!R445</f>
        <v>0</v>
      </c>
      <c r="D444" s="60">
        <f>'CAT-1'!U445+'CAT- 2'!U445+'CAT-3'!U445+'Tut-Ass-OA'!U445+'LAB Asseement'!S445</f>
        <v>0</v>
      </c>
      <c r="E444" s="60">
        <f>'CAT-1'!V445+'CAT- 2'!V445+'CAT-3'!V445+'Tut-Ass-OA'!V445+'LAB Asseement'!T445</f>
        <v>0</v>
      </c>
      <c r="F444" s="60">
        <f>'CAT-1'!W445+'CAT- 2'!W445+'CAT-3'!W445+'Tut-Ass-OA'!W445+'LAB Asseement'!U445</f>
        <v>0</v>
      </c>
      <c r="G444" s="60">
        <f>'CAT-1'!X445+'CAT- 2'!X445+'CAT-3'!X445+'Tut-Ass-OA'!X445+'LAB Asseement'!V445</f>
        <v>0</v>
      </c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 spans="1:23" ht="21.75" customHeight="1">
      <c r="A445" s="62">
        <f>BASE!B450</f>
        <v>0</v>
      </c>
      <c r="B445" s="121" t="s">
        <v>40</v>
      </c>
      <c r="C445" s="60">
        <f>'CAT-1'!T446+'CAT- 2'!T446+'CAT-3'!T446+'Tut-Ass-OA'!T446+'LAB Asseement'!R446</f>
        <v>0</v>
      </c>
      <c r="D445" s="60">
        <f>'CAT-1'!U446+'CAT- 2'!U446+'CAT-3'!U446+'Tut-Ass-OA'!U446+'LAB Asseement'!S446</f>
        <v>0</v>
      </c>
      <c r="E445" s="60">
        <f>'CAT-1'!V446+'CAT- 2'!V446+'CAT-3'!V446+'Tut-Ass-OA'!V446+'LAB Asseement'!T446</f>
        <v>0</v>
      </c>
      <c r="F445" s="60">
        <f>'CAT-1'!W446+'CAT- 2'!W446+'CAT-3'!W446+'Tut-Ass-OA'!W446+'LAB Asseement'!U446</f>
        <v>0</v>
      </c>
      <c r="G445" s="60">
        <f>'CAT-1'!X446+'CAT- 2'!X446+'CAT-3'!X446+'Tut-Ass-OA'!X446+'LAB Asseement'!V446</f>
        <v>0</v>
      </c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 spans="1:23" ht="21.75" customHeight="1">
      <c r="A446" s="62">
        <f>BASE!B451</f>
        <v>0</v>
      </c>
      <c r="B446" s="121" t="s">
        <v>40</v>
      </c>
      <c r="C446" s="60">
        <f>'CAT-1'!T447+'CAT- 2'!T447+'CAT-3'!T447+'Tut-Ass-OA'!T447+'LAB Asseement'!R447</f>
        <v>0</v>
      </c>
      <c r="D446" s="60">
        <f>'CAT-1'!U447+'CAT- 2'!U447+'CAT-3'!U447+'Tut-Ass-OA'!U447+'LAB Asseement'!S447</f>
        <v>0</v>
      </c>
      <c r="E446" s="60">
        <f>'CAT-1'!V447+'CAT- 2'!V447+'CAT-3'!V447+'Tut-Ass-OA'!V447+'LAB Asseement'!T447</f>
        <v>0</v>
      </c>
      <c r="F446" s="60">
        <f>'CAT-1'!W447+'CAT- 2'!W447+'CAT-3'!W447+'Tut-Ass-OA'!W447+'LAB Asseement'!U447</f>
        <v>0</v>
      </c>
      <c r="G446" s="60">
        <f>'CAT-1'!X447+'CAT- 2'!X447+'CAT-3'!X447+'Tut-Ass-OA'!X447+'LAB Asseement'!V447</f>
        <v>0</v>
      </c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 spans="1:23" ht="21.75" customHeight="1">
      <c r="A447" s="62">
        <f>BASE!B452</f>
        <v>0</v>
      </c>
      <c r="B447" s="121" t="s">
        <v>40</v>
      </c>
      <c r="C447" s="60">
        <f>'CAT-1'!T448+'CAT- 2'!T448+'CAT-3'!T448+'Tut-Ass-OA'!T448+'LAB Asseement'!R448</f>
        <v>0</v>
      </c>
      <c r="D447" s="60">
        <f>'CAT-1'!U448+'CAT- 2'!U448+'CAT-3'!U448+'Tut-Ass-OA'!U448+'LAB Asseement'!S448</f>
        <v>0</v>
      </c>
      <c r="E447" s="60">
        <f>'CAT-1'!V448+'CAT- 2'!V448+'CAT-3'!V448+'Tut-Ass-OA'!V448+'LAB Asseement'!T448</f>
        <v>0</v>
      </c>
      <c r="F447" s="60">
        <f>'CAT-1'!W448+'CAT- 2'!W448+'CAT-3'!W448+'Tut-Ass-OA'!W448+'LAB Asseement'!U448</f>
        <v>0</v>
      </c>
      <c r="G447" s="60">
        <f>'CAT-1'!X448+'CAT- 2'!X448+'CAT-3'!X448+'Tut-Ass-OA'!X448+'LAB Asseement'!V448</f>
        <v>0</v>
      </c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 spans="1:23" ht="21.75" customHeight="1">
      <c r="A448" s="62">
        <f>BASE!B453</f>
        <v>0</v>
      </c>
      <c r="B448" s="121" t="s">
        <v>40</v>
      </c>
      <c r="C448" s="60">
        <f>'CAT-1'!T449+'CAT- 2'!T449+'CAT-3'!T449+'Tut-Ass-OA'!T449+'LAB Asseement'!R449</f>
        <v>0</v>
      </c>
      <c r="D448" s="60">
        <f>'CAT-1'!U449+'CAT- 2'!U449+'CAT-3'!U449+'Tut-Ass-OA'!U449+'LAB Asseement'!S449</f>
        <v>0</v>
      </c>
      <c r="E448" s="60">
        <f>'CAT-1'!V449+'CAT- 2'!V449+'CAT-3'!V449+'Tut-Ass-OA'!V449+'LAB Asseement'!T449</f>
        <v>0</v>
      </c>
      <c r="F448" s="60">
        <f>'CAT-1'!W449+'CAT- 2'!W449+'CAT-3'!W449+'Tut-Ass-OA'!W449+'LAB Asseement'!U449</f>
        <v>0</v>
      </c>
      <c r="G448" s="60">
        <f>'CAT-1'!X449+'CAT- 2'!X449+'CAT-3'!X449+'Tut-Ass-OA'!X449+'LAB Asseement'!V449</f>
        <v>0</v>
      </c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 spans="1:23" ht="21.75" customHeight="1">
      <c r="A449" s="62">
        <f>BASE!B454</f>
        <v>0</v>
      </c>
      <c r="B449" s="121" t="s">
        <v>40</v>
      </c>
      <c r="C449" s="60">
        <f>'CAT-1'!T450+'CAT- 2'!T450+'CAT-3'!T450+'Tut-Ass-OA'!T450+'LAB Asseement'!R450</f>
        <v>0</v>
      </c>
      <c r="D449" s="60">
        <f>'CAT-1'!U450+'CAT- 2'!U450+'CAT-3'!U450+'Tut-Ass-OA'!U450+'LAB Asseement'!S450</f>
        <v>0</v>
      </c>
      <c r="E449" s="60">
        <f>'CAT-1'!V450+'CAT- 2'!V450+'CAT-3'!V450+'Tut-Ass-OA'!V450+'LAB Asseement'!T450</f>
        <v>0</v>
      </c>
      <c r="F449" s="60">
        <f>'CAT-1'!W450+'CAT- 2'!W450+'CAT-3'!W450+'Tut-Ass-OA'!W450+'LAB Asseement'!U450</f>
        <v>0</v>
      </c>
      <c r="G449" s="60">
        <f>'CAT-1'!X450+'CAT- 2'!X450+'CAT-3'!X450+'Tut-Ass-OA'!X450+'LAB Asseement'!V450</f>
        <v>0</v>
      </c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 spans="1:23" ht="21.75" customHeight="1">
      <c r="A450" s="62">
        <f>BASE!B455</f>
        <v>0</v>
      </c>
      <c r="B450" s="121" t="s">
        <v>40</v>
      </c>
      <c r="C450" s="60">
        <f>'CAT-1'!T451+'CAT- 2'!T451+'CAT-3'!T451+'Tut-Ass-OA'!T451+'LAB Asseement'!R451</f>
        <v>0</v>
      </c>
      <c r="D450" s="60">
        <f>'CAT-1'!U451+'CAT- 2'!U451+'CAT-3'!U451+'Tut-Ass-OA'!U451+'LAB Asseement'!S451</f>
        <v>0</v>
      </c>
      <c r="E450" s="60">
        <f>'CAT-1'!V451+'CAT- 2'!V451+'CAT-3'!V451+'Tut-Ass-OA'!V451+'LAB Asseement'!T451</f>
        <v>0</v>
      </c>
      <c r="F450" s="60">
        <f>'CAT-1'!W451+'CAT- 2'!W451+'CAT-3'!W451+'Tut-Ass-OA'!W451+'LAB Asseement'!U451</f>
        <v>0</v>
      </c>
      <c r="G450" s="60">
        <f>'CAT-1'!X451+'CAT- 2'!X451+'CAT-3'!X451+'Tut-Ass-OA'!X451+'LAB Asseement'!V451</f>
        <v>0</v>
      </c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 spans="1:23" ht="21.75" customHeight="1">
      <c r="A451" s="62">
        <f>BASE!B456</f>
        <v>0</v>
      </c>
      <c r="B451" s="121" t="s">
        <v>40</v>
      </c>
      <c r="C451" s="60">
        <f>'CAT-1'!T452+'CAT- 2'!T452+'CAT-3'!T452+'Tut-Ass-OA'!T452+'LAB Asseement'!R452</f>
        <v>0</v>
      </c>
      <c r="D451" s="60">
        <f>'CAT-1'!U452+'CAT- 2'!U452+'CAT-3'!U452+'Tut-Ass-OA'!U452+'LAB Asseement'!S452</f>
        <v>0</v>
      </c>
      <c r="E451" s="60">
        <f>'CAT-1'!V452+'CAT- 2'!V452+'CAT-3'!V452+'Tut-Ass-OA'!V452+'LAB Asseement'!T452</f>
        <v>0</v>
      </c>
      <c r="F451" s="60">
        <f>'CAT-1'!W452+'CAT- 2'!W452+'CAT-3'!W452+'Tut-Ass-OA'!W452+'LAB Asseement'!U452</f>
        <v>0</v>
      </c>
      <c r="G451" s="60">
        <f>'CAT-1'!X452+'CAT- 2'!X452+'CAT-3'!X452+'Tut-Ass-OA'!X452+'LAB Asseement'!V452</f>
        <v>0</v>
      </c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 spans="1:23" ht="21.75" customHeight="1">
      <c r="A452" s="62">
        <f>BASE!B457</f>
        <v>0</v>
      </c>
      <c r="B452" s="121" t="s">
        <v>40</v>
      </c>
      <c r="C452" s="60">
        <f>'CAT-1'!T453+'CAT- 2'!T453+'CAT-3'!T453+'Tut-Ass-OA'!T453+'LAB Asseement'!R453</f>
        <v>0</v>
      </c>
      <c r="D452" s="60">
        <f>'CAT-1'!U453+'CAT- 2'!U453+'CAT-3'!U453+'Tut-Ass-OA'!U453+'LAB Asseement'!S453</f>
        <v>0</v>
      </c>
      <c r="E452" s="60">
        <f>'CAT-1'!V453+'CAT- 2'!V453+'CAT-3'!V453+'Tut-Ass-OA'!V453+'LAB Asseement'!T453</f>
        <v>0</v>
      </c>
      <c r="F452" s="60">
        <f>'CAT-1'!W453+'CAT- 2'!W453+'CAT-3'!W453+'Tut-Ass-OA'!W453+'LAB Asseement'!U453</f>
        <v>0</v>
      </c>
      <c r="G452" s="60">
        <f>'CAT-1'!X453+'CAT- 2'!X453+'CAT-3'!X453+'Tut-Ass-OA'!X453+'LAB Asseement'!V453</f>
        <v>0</v>
      </c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 spans="1:23" ht="21.75" customHeight="1">
      <c r="A453" s="62">
        <f>BASE!B458</f>
        <v>0</v>
      </c>
      <c r="B453" s="121" t="s">
        <v>40</v>
      </c>
      <c r="C453" s="60">
        <f>'CAT-1'!T454+'CAT- 2'!T454+'CAT-3'!T454+'Tut-Ass-OA'!T454+'LAB Asseement'!R454</f>
        <v>0</v>
      </c>
      <c r="D453" s="60">
        <f>'CAT-1'!U454+'CAT- 2'!U454+'CAT-3'!U454+'Tut-Ass-OA'!U454+'LAB Asseement'!S454</f>
        <v>0</v>
      </c>
      <c r="E453" s="60">
        <f>'CAT-1'!V454+'CAT- 2'!V454+'CAT-3'!V454+'Tut-Ass-OA'!V454+'LAB Asseement'!T454</f>
        <v>0</v>
      </c>
      <c r="F453" s="60">
        <f>'CAT-1'!W454+'CAT- 2'!W454+'CAT-3'!W454+'Tut-Ass-OA'!W454+'LAB Asseement'!U454</f>
        <v>0</v>
      </c>
      <c r="G453" s="60">
        <f>'CAT-1'!X454+'CAT- 2'!X454+'CAT-3'!X454+'Tut-Ass-OA'!X454+'LAB Asseement'!V454</f>
        <v>0</v>
      </c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 spans="1:23" ht="21.75" customHeight="1">
      <c r="A454" s="62">
        <f>BASE!B459</f>
        <v>0</v>
      </c>
      <c r="B454" s="121" t="s">
        <v>40</v>
      </c>
      <c r="C454" s="60">
        <f>'CAT-1'!T455+'CAT- 2'!T455+'CAT-3'!T455+'Tut-Ass-OA'!T455+'LAB Asseement'!R455</f>
        <v>0</v>
      </c>
      <c r="D454" s="60">
        <f>'CAT-1'!U455+'CAT- 2'!U455+'CAT-3'!U455+'Tut-Ass-OA'!U455+'LAB Asseement'!S455</f>
        <v>0</v>
      </c>
      <c r="E454" s="60">
        <f>'CAT-1'!V455+'CAT- 2'!V455+'CAT-3'!V455+'Tut-Ass-OA'!V455+'LAB Asseement'!T455</f>
        <v>0</v>
      </c>
      <c r="F454" s="60">
        <f>'CAT-1'!W455+'CAT- 2'!W455+'CAT-3'!W455+'Tut-Ass-OA'!W455+'LAB Asseement'!U455</f>
        <v>0</v>
      </c>
      <c r="G454" s="60">
        <f>'CAT-1'!X455+'CAT- 2'!X455+'CAT-3'!X455+'Tut-Ass-OA'!X455+'LAB Asseement'!V455</f>
        <v>0</v>
      </c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 spans="1:23" ht="21.75" customHeight="1">
      <c r="A455" s="62">
        <f>BASE!B460</f>
        <v>0</v>
      </c>
      <c r="B455" s="121" t="s">
        <v>40</v>
      </c>
      <c r="C455" s="60">
        <f>'CAT-1'!T456+'CAT- 2'!T456+'CAT-3'!T456+'Tut-Ass-OA'!T456+'LAB Asseement'!R456</f>
        <v>0</v>
      </c>
      <c r="D455" s="60">
        <f>'CAT-1'!U456+'CAT- 2'!U456+'CAT-3'!U456+'Tut-Ass-OA'!U456+'LAB Asseement'!S456</f>
        <v>0</v>
      </c>
      <c r="E455" s="60">
        <f>'CAT-1'!V456+'CAT- 2'!V456+'CAT-3'!V456+'Tut-Ass-OA'!V456+'LAB Asseement'!T456</f>
        <v>0</v>
      </c>
      <c r="F455" s="60">
        <f>'CAT-1'!W456+'CAT- 2'!W456+'CAT-3'!W456+'Tut-Ass-OA'!W456+'LAB Asseement'!U456</f>
        <v>0</v>
      </c>
      <c r="G455" s="60">
        <f>'CAT-1'!X456+'CAT- 2'!X456+'CAT-3'!X456+'Tut-Ass-OA'!X456+'LAB Asseement'!V456</f>
        <v>0</v>
      </c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 spans="1:23" ht="21.75" customHeight="1">
      <c r="A456" s="62">
        <f>BASE!B461</f>
        <v>0</v>
      </c>
      <c r="B456" s="121" t="s">
        <v>40</v>
      </c>
      <c r="C456" s="60">
        <f>'CAT-1'!T457+'CAT- 2'!T457+'CAT-3'!T457+'Tut-Ass-OA'!T457+'LAB Asseement'!R457</f>
        <v>0</v>
      </c>
      <c r="D456" s="60">
        <f>'CAT-1'!U457+'CAT- 2'!U457+'CAT-3'!U457+'Tut-Ass-OA'!U457+'LAB Asseement'!S457</f>
        <v>0</v>
      </c>
      <c r="E456" s="60">
        <f>'CAT-1'!V457+'CAT- 2'!V457+'CAT-3'!V457+'Tut-Ass-OA'!V457+'LAB Asseement'!T457</f>
        <v>0</v>
      </c>
      <c r="F456" s="60">
        <f>'CAT-1'!W457+'CAT- 2'!W457+'CAT-3'!W457+'Tut-Ass-OA'!W457+'LAB Asseement'!U457</f>
        <v>0</v>
      </c>
      <c r="G456" s="60">
        <f>'CAT-1'!X457+'CAT- 2'!X457+'CAT-3'!X457+'Tut-Ass-OA'!X457+'LAB Asseement'!V457</f>
        <v>0</v>
      </c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 spans="1:23" ht="21.75" customHeight="1">
      <c r="A457" s="62">
        <f>BASE!B462</f>
        <v>0</v>
      </c>
      <c r="B457" s="121" t="s">
        <v>40</v>
      </c>
      <c r="C457" s="60">
        <f>'CAT-1'!T458+'CAT- 2'!T458+'CAT-3'!T458+'Tut-Ass-OA'!T458+'LAB Asseement'!R458</f>
        <v>0</v>
      </c>
      <c r="D457" s="60">
        <f>'CAT-1'!U458+'CAT- 2'!U458+'CAT-3'!U458+'Tut-Ass-OA'!U458+'LAB Asseement'!S458</f>
        <v>0</v>
      </c>
      <c r="E457" s="60">
        <f>'CAT-1'!V458+'CAT- 2'!V458+'CAT-3'!V458+'Tut-Ass-OA'!V458+'LAB Asseement'!T458</f>
        <v>0</v>
      </c>
      <c r="F457" s="60">
        <f>'CAT-1'!W458+'CAT- 2'!W458+'CAT-3'!W458+'Tut-Ass-OA'!W458+'LAB Asseement'!U458</f>
        <v>0</v>
      </c>
      <c r="G457" s="60">
        <f>'CAT-1'!X458+'CAT- 2'!X458+'CAT-3'!X458+'Tut-Ass-OA'!X458+'LAB Asseement'!V458</f>
        <v>0</v>
      </c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 spans="1:23" ht="21.75" customHeight="1">
      <c r="A458" s="62">
        <f>BASE!B463</f>
        <v>0</v>
      </c>
      <c r="B458" s="121" t="s">
        <v>40</v>
      </c>
      <c r="C458" s="60">
        <f>'CAT-1'!T459+'CAT- 2'!T459+'CAT-3'!T459+'Tut-Ass-OA'!T459+'LAB Asseement'!R459</f>
        <v>0</v>
      </c>
      <c r="D458" s="60">
        <f>'CAT-1'!U459+'CAT- 2'!U459+'CAT-3'!U459+'Tut-Ass-OA'!U459+'LAB Asseement'!S459</f>
        <v>0</v>
      </c>
      <c r="E458" s="60">
        <f>'CAT-1'!V459+'CAT- 2'!V459+'CAT-3'!V459+'Tut-Ass-OA'!V459+'LAB Asseement'!T459</f>
        <v>0</v>
      </c>
      <c r="F458" s="60">
        <f>'CAT-1'!W459+'CAT- 2'!W459+'CAT-3'!W459+'Tut-Ass-OA'!W459+'LAB Asseement'!U459</f>
        <v>0</v>
      </c>
      <c r="G458" s="60">
        <f>'CAT-1'!X459+'CAT- 2'!X459+'CAT-3'!X459+'Tut-Ass-OA'!X459+'LAB Asseement'!V459</f>
        <v>0</v>
      </c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 spans="1:23" ht="21.75" customHeight="1">
      <c r="A459" s="62">
        <f>BASE!B464</f>
        <v>0</v>
      </c>
      <c r="B459" s="121" t="s">
        <v>40</v>
      </c>
      <c r="C459" s="60">
        <f>'CAT-1'!T460+'CAT- 2'!T460+'CAT-3'!T460+'Tut-Ass-OA'!T460+'LAB Asseement'!R460</f>
        <v>0</v>
      </c>
      <c r="D459" s="60">
        <f>'CAT-1'!U460+'CAT- 2'!U460+'CAT-3'!U460+'Tut-Ass-OA'!U460+'LAB Asseement'!S460</f>
        <v>0</v>
      </c>
      <c r="E459" s="60">
        <f>'CAT-1'!V460+'CAT- 2'!V460+'CAT-3'!V460+'Tut-Ass-OA'!V460+'LAB Asseement'!T460</f>
        <v>0</v>
      </c>
      <c r="F459" s="60">
        <f>'CAT-1'!W460+'CAT- 2'!W460+'CAT-3'!W460+'Tut-Ass-OA'!W460+'LAB Asseement'!U460</f>
        <v>0</v>
      </c>
      <c r="G459" s="60">
        <f>'CAT-1'!X460+'CAT- 2'!X460+'CAT-3'!X460+'Tut-Ass-OA'!X460+'LAB Asseement'!V460</f>
        <v>0</v>
      </c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 spans="1:23" ht="21.75" customHeight="1">
      <c r="A460" s="62">
        <f>BASE!B465</f>
        <v>0</v>
      </c>
      <c r="B460" s="121" t="s">
        <v>40</v>
      </c>
      <c r="C460" s="60">
        <f>'CAT-1'!T461+'CAT- 2'!T461+'CAT-3'!T461+'Tut-Ass-OA'!T461+'LAB Asseement'!R461</f>
        <v>0</v>
      </c>
      <c r="D460" s="60">
        <f>'CAT-1'!U461+'CAT- 2'!U461+'CAT-3'!U461+'Tut-Ass-OA'!U461+'LAB Asseement'!S461</f>
        <v>0</v>
      </c>
      <c r="E460" s="60">
        <f>'CAT-1'!V461+'CAT- 2'!V461+'CAT-3'!V461+'Tut-Ass-OA'!V461+'LAB Asseement'!T461</f>
        <v>0</v>
      </c>
      <c r="F460" s="60">
        <f>'CAT-1'!W461+'CAT- 2'!W461+'CAT-3'!W461+'Tut-Ass-OA'!W461+'LAB Asseement'!U461</f>
        <v>0</v>
      </c>
      <c r="G460" s="60">
        <f>'CAT-1'!X461+'CAT- 2'!X461+'CAT-3'!X461+'Tut-Ass-OA'!X461+'LAB Asseement'!V461</f>
        <v>0</v>
      </c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 spans="1:23" ht="21.75" customHeight="1">
      <c r="A461" s="113"/>
      <c r="B461" s="15"/>
      <c r="C461" s="114"/>
      <c r="D461" s="114"/>
      <c r="E461" s="114"/>
      <c r="F461" s="114"/>
      <c r="G461" s="114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 spans="1:23" ht="17.25" customHeight="1">
      <c r="A462" s="63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 spans="1:23" ht="19.5" customHeight="1">
      <c r="A463" s="83" t="s">
        <v>84</v>
      </c>
      <c r="B463" s="84"/>
      <c r="C463" s="64" t="str">
        <f>IFERROR(AVERAGEIF(C11:C460,"&lt;&gt;0"),"")</f>
        <v/>
      </c>
      <c r="D463" s="64" t="str">
        <f>IFERROR(AVERAGEIF(D11:D460,"&lt;&gt;0"),"")</f>
        <v/>
      </c>
      <c r="E463" s="64" t="str">
        <f t="shared" ref="E463:G463" si="0">IFERROR(AVERAGEIF(E11:E460,"&lt;&gt;0"),"")</f>
        <v/>
      </c>
      <c r="F463" s="64" t="str">
        <f t="shared" si="0"/>
        <v/>
      </c>
      <c r="G463" s="64" t="str">
        <f t="shared" si="0"/>
        <v/>
      </c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 spans="1:23" ht="70.5" customHeight="1">
      <c r="A464" s="85" t="s">
        <v>85</v>
      </c>
      <c r="B464" s="82"/>
      <c r="C464" s="60">
        <f>COUNTIF(C11:C460,"&gt;="&amp;C463)</f>
        <v>0</v>
      </c>
      <c r="D464" s="60">
        <f t="shared" ref="D464:G464" si="1">COUNTIF(D11:D460,"&gt;="&amp;D463)</f>
        <v>0</v>
      </c>
      <c r="E464" s="60">
        <f t="shared" si="1"/>
        <v>0</v>
      </c>
      <c r="F464" s="60">
        <f t="shared" si="1"/>
        <v>0</v>
      </c>
      <c r="G464" s="60">
        <f t="shared" si="1"/>
        <v>0</v>
      </c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 spans="1:23" ht="61.5" customHeight="1">
      <c r="A465" s="86" t="s">
        <v>86</v>
      </c>
      <c r="B465" s="87"/>
      <c r="C465" s="66">
        <f>IFERROR(MIN((C464/$G$7)*100,100),"")</f>
        <v>0</v>
      </c>
      <c r="D465" s="66">
        <f t="shared" ref="D465:G465" si="2">IFERROR(MIN((D464/$G$7)*100,100),"")</f>
        <v>0</v>
      </c>
      <c r="E465" s="66">
        <f t="shared" si="2"/>
        <v>0</v>
      </c>
      <c r="F465" s="66">
        <f t="shared" si="2"/>
        <v>0</v>
      </c>
      <c r="G465" s="66">
        <f t="shared" si="2"/>
        <v>0</v>
      </c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 spans="1:23" ht="17.2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 spans="1:23" ht="17.2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 spans="1:23" ht="17.2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 spans="1:23" ht="17.25" customHeight="1">
      <c r="A469" s="16"/>
      <c r="B469" s="67"/>
      <c r="C469" s="67"/>
      <c r="D469" s="67"/>
      <c r="E469" s="67"/>
      <c r="F469" s="67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 spans="1:23" ht="17.25" customHeight="1">
      <c r="A470" s="16"/>
      <c r="B470" s="67"/>
      <c r="C470" s="67"/>
      <c r="D470" s="67"/>
      <c r="E470" s="67"/>
      <c r="F470" s="67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 spans="1:23" ht="17.2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 spans="1:23" ht="17.2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 spans="1:23" ht="17.2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 spans="1:23" ht="17.2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 spans="1:23" ht="17.2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 spans="1:23" ht="17.2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 spans="1:23" ht="17.2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 spans="1:23" ht="17.2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 spans="1:23" ht="17.2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 spans="1:23" ht="17.2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 spans="1:23" ht="17.2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 spans="1:23" ht="17.2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 spans="1:23" ht="17.2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 spans="1:23" ht="17.2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 spans="1:23" ht="17.2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 spans="1:23" ht="17.2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 spans="1:23" ht="17.2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 spans="1:23" ht="17.2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 spans="1:23" ht="17.2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 spans="1:23" ht="17.2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 spans="1:23" ht="17.2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 spans="1:23" ht="17.2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 spans="1:23" ht="17.2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 spans="1:23" ht="17.2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 spans="1:23" ht="17.2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 spans="1:23" ht="17.2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 spans="1:23" ht="17.2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 spans="1:23" ht="17.2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 spans="1:23" ht="17.2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 spans="1:23" ht="17.2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 spans="1:23" ht="17.2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 spans="1:23" ht="17.2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 spans="1:23" ht="17.2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 spans="1:23" ht="17.2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 spans="1:23" ht="17.2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 spans="1:23" ht="17.2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 spans="1:23" ht="17.2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 spans="1:23" ht="17.2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 spans="1:23" ht="17.2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 spans="1:23" ht="17.2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 spans="1:23" ht="17.2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 spans="1:23" ht="17.2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 spans="1:23" ht="17.2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 spans="1:23" ht="17.2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 spans="1:23" ht="17.2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 spans="1:23" ht="17.2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 spans="1:23" ht="17.2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 spans="1:23" ht="17.2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 spans="1:23" ht="17.2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 spans="1:23" ht="17.2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 spans="1:23" ht="17.2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 spans="1:23" ht="17.2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 spans="1:23" ht="17.2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 spans="1:23" ht="17.2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 spans="1:23" ht="17.2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 spans="1:23" ht="17.2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 spans="1:23" ht="17.2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 spans="1:23" ht="17.2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 spans="1:23" ht="17.2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 spans="1:23" ht="17.2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 spans="1:23" ht="17.2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 spans="1:23" ht="17.2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 spans="1:23" ht="17.2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 spans="1:23" ht="17.2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 spans="1:23" ht="17.2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 spans="1:23" ht="17.2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 spans="1:23" ht="17.2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 spans="1:23" ht="17.2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 spans="1:23" ht="17.2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 spans="1:23" ht="17.2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 spans="1:23" ht="17.2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 spans="1:23" ht="17.2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 spans="1:23" ht="17.2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 spans="1:23" ht="17.2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 spans="1:23" ht="17.2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 spans="1:23" ht="17.2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 spans="1:23" ht="17.2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 spans="1:23" ht="17.2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 spans="1:23" ht="17.2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 spans="1:23" ht="17.2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 spans="1:23" ht="17.2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 spans="1:23" ht="17.2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 spans="1:23" ht="17.2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 spans="1:23" ht="17.2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 spans="1:23" ht="17.2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 spans="1:23" ht="17.2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 spans="1:23" ht="17.2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 spans="1:23" ht="17.2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 spans="1:23" ht="17.2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 spans="1:23" ht="17.2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 spans="1:23" ht="17.2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 spans="1:23" ht="17.2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 spans="1:23" ht="17.2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 spans="1:23" ht="17.2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 spans="1:23" ht="17.2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 spans="1:23" ht="17.2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 spans="1:23" ht="17.2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 spans="1:23" ht="17.2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 spans="1:23" ht="17.2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 spans="1:23" ht="17.2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 spans="1:23" ht="17.2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 spans="1:23" ht="17.2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 spans="1:23" ht="17.2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 spans="1:23" ht="17.2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 spans="1:23" ht="17.2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 spans="1:23" ht="17.2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 spans="1:23" ht="17.2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 spans="1:23" ht="17.2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 spans="1:23" ht="17.2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 spans="1:23" ht="17.2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 spans="1:23" ht="17.2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 spans="1:23" ht="17.2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 spans="1:23" ht="17.2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 spans="1:23" ht="17.2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 spans="1:23" ht="17.2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 spans="1:23" ht="17.2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 spans="1:23" ht="17.2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 spans="1:23" ht="17.2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 spans="1:23" ht="17.2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 spans="1:23" ht="17.2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 spans="1:23" ht="17.2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 spans="1:23" ht="17.2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 spans="1:23" ht="17.2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 spans="1:23" ht="17.2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 spans="1:23" ht="17.2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 spans="1:23" ht="17.2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 spans="1:23" ht="17.2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 spans="1:23" ht="17.2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 spans="1:23" ht="17.2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 spans="1:23" ht="17.2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 spans="1:23" ht="17.2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 spans="1:23" ht="17.2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 spans="1:23" ht="17.2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 spans="1:23" ht="17.2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 spans="1:23" ht="17.2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 spans="1:23" ht="17.2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 spans="1:23" ht="17.2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 spans="1:23" ht="17.2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 spans="1:23" ht="17.2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 spans="1:23" ht="17.2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 spans="1:23" ht="17.2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 spans="1:23" ht="17.2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 spans="1:23" ht="17.2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 spans="1:23" ht="17.2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 spans="1:23" ht="17.2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 spans="1:23" ht="17.2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 spans="1:23" ht="17.2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 spans="1:23" ht="17.2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 spans="1:23" ht="17.2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 spans="1:23" ht="17.2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 spans="1:23" ht="17.2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 spans="1:23" ht="17.2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 spans="1:23" ht="17.2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 spans="1:23" ht="17.2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 spans="1:23" ht="17.2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 spans="1:23" ht="17.2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 spans="1:23" ht="17.2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 spans="1:23" ht="17.2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 spans="1:23" ht="17.2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 spans="1:23" ht="17.2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 spans="1:23" ht="17.2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 spans="1:23" ht="17.2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 spans="1:23" ht="17.2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 spans="1:23" ht="17.2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 spans="1:23" ht="17.2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 spans="1:23" ht="17.2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 spans="1:23" ht="17.2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 spans="1:23" ht="17.2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 spans="1:23" ht="17.2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 spans="1:23" ht="17.2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 spans="1:23" ht="17.2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 spans="1:23" ht="17.2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 spans="1:23" ht="17.2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 spans="1:23" ht="17.2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 spans="1:23" ht="17.2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 spans="1:23" ht="17.2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 spans="1:23" ht="17.2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 spans="1:23" ht="17.2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 spans="1:23" ht="17.2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 spans="1:23" ht="17.2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 spans="1:23" ht="17.2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 spans="1:23" ht="17.2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 spans="1:23" ht="17.2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 spans="1:23" ht="17.2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 spans="1:23" ht="17.2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 spans="1:23" ht="17.2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 spans="1:23" ht="17.2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 spans="1:23" ht="17.2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 spans="1:23" ht="17.2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 spans="1:23" ht="17.2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 spans="1:23" ht="17.2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 spans="1:23" ht="17.2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 spans="1:23" ht="17.2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 spans="1:23" ht="17.2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 spans="1:23" ht="17.2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</sheetData>
  <sheetProtection password="CC28" sheet="1" objects="1" scenarios="1"/>
  <mergeCells count="12">
    <mergeCell ref="C5:D5"/>
    <mergeCell ref="E5:K5"/>
    <mergeCell ref="C6:E6"/>
    <mergeCell ref="C7:F7"/>
    <mergeCell ref="C10:G10"/>
    <mergeCell ref="A1:K1"/>
    <mergeCell ref="A2:K2"/>
    <mergeCell ref="A3:K3"/>
    <mergeCell ref="C4:D4"/>
    <mergeCell ref="E4:G4"/>
    <mergeCell ref="H4:I4"/>
    <mergeCell ref="J4:K4"/>
  </mergeCells>
  <printOptions horizontalCentered="1"/>
  <pageMargins left="0.45" right="0.2" top="0.5" bottom="0.5" header="0" footer="0"/>
  <pageSetup paperSize="9" orientation="portrait"/>
  <rowBreaks count="2" manualBreakCount="2">
    <brk id="70" man="1"/>
    <brk id="40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AD996"/>
  <sheetViews>
    <sheetView view="pageBreakPreview" zoomScale="123" workbookViewId="0">
      <selection activeCell="AA5" sqref="AA5:AD5"/>
    </sheetView>
  </sheetViews>
  <sheetFormatPr defaultColWidth="14.42578125" defaultRowHeight="15" customHeight="1"/>
  <cols>
    <col min="1" max="1" width="13.85546875" customWidth="1"/>
    <col min="2" max="2" width="8.42578125" customWidth="1"/>
    <col min="3" max="23" width="4.7109375" customWidth="1"/>
    <col min="24" max="24" width="10" customWidth="1"/>
    <col min="25" max="30" width="8.7109375" customWidth="1"/>
  </cols>
  <sheetData>
    <row r="1" spans="1:30" ht="23.25" customHeight="1">
      <c r="A1" s="276">
        <f>BASE!A7</f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319"/>
      <c r="Y1" s="320">
        <f>BASE!A7</f>
        <v>0</v>
      </c>
      <c r="Z1" s="195"/>
      <c r="AA1" s="195"/>
      <c r="AB1" s="195"/>
      <c r="AC1" s="195"/>
      <c r="AD1" s="196"/>
    </row>
    <row r="2" spans="1:30" ht="23.25" customHeight="1">
      <c r="A2" s="281" t="str">
        <f>+BASE!A8</f>
        <v>DEPARTMENT OF __________________________________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6"/>
      <c r="Y2" s="320" t="str">
        <f>BASE!A8</f>
        <v>DEPARTMENT OF __________________________________</v>
      </c>
      <c r="Z2" s="195"/>
      <c r="AA2" s="195"/>
      <c r="AB2" s="195"/>
      <c r="AC2" s="195"/>
      <c r="AD2" s="196"/>
    </row>
    <row r="3" spans="1:30" ht="23.25" customHeight="1">
      <c r="A3" s="281" t="str">
        <f>+BASE!A9</f>
        <v>THEORY CUM PRACTICAL COURSE OUTCOME ANALYSIS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6"/>
      <c r="Y3" s="320" t="str">
        <f>BASE!A9</f>
        <v>THEORY CUM PRACTICAL COURSE OUTCOME ANALYSIS</v>
      </c>
      <c r="Z3" s="195"/>
      <c r="AA3" s="195"/>
      <c r="AB3" s="195"/>
      <c r="AC3" s="195"/>
      <c r="AD3" s="196"/>
    </row>
    <row r="4" spans="1:30" ht="34.5" customHeight="1">
      <c r="A4" s="35" t="str">
        <f>BASE!A11</f>
        <v>Name of Faculty(s)</v>
      </c>
      <c r="B4" s="36" t="s">
        <v>40</v>
      </c>
      <c r="C4" s="317">
        <f>BASE!D11</f>
        <v>1</v>
      </c>
      <c r="D4" s="189"/>
      <c r="E4" s="189"/>
      <c r="F4" s="189"/>
      <c r="G4" s="190"/>
      <c r="H4" s="317">
        <f>BASE!G11</f>
        <v>1</v>
      </c>
      <c r="I4" s="189"/>
      <c r="J4" s="189"/>
      <c r="K4" s="189"/>
      <c r="L4" s="189"/>
      <c r="M4" s="190"/>
      <c r="N4" s="318">
        <f>BASE!J11</f>
        <v>1</v>
      </c>
      <c r="O4" s="189"/>
      <c r="P4" s="189"/>
      <c r="Q4" s="189"/>
      <c r="R4" s="190"/>
      <c r="S4" s="318">
        <f>BASE!M11</f>
        <v>1</v>
      </c>
      <c r="T4" s="189"/>
      <c r="U4" s="189"/>
      <c r="V4" s="189"/>
      <c r="W4" s="189"/>
      <c r="X4" s="264"/>
      <c r="Y4" s="317" t="s">
        <v>41</v>
      </c>
      <c r="Z4" s="190"/>
      <c r="AA4" s="316" t="str">
        <f>C5</f>
        <v>22ABXCXX</v>
      </c>
      <c r="AB4" s="189"/>
      <c r="AC4" s="189"/>
      <c r="AD4" s="190"/>
    </row>
    <row r="5" spans="1:30" ht="51.75" customHeight="1">
      <c r="A5" s="35" t="str">
        <f>BASE!A12</f>
        <v>Course Code and Name</v>
      </c>
      <c r="B5" s="36" t="s">
        <v>40</v>
      </c>
      <c r="C5" s="326" t="str">
        <f>BASE!D12</f>
        <v>22ABXCXX</v>
      </c>
      <c r="D5" s="273"/>
      <c r="E5" s="273"/>
      <c r="F5" s="274"/>
      <c r="G5" s="317" t="str">
        <f>BASE!G12</f>
        <v>XXXXXXXX XXXXX XXXXXXXX</v>
      </c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264"/>
      <c r="Y5" s="316" t="s">
        <v>42</v>
      </c>
      <c r="Z5" s="190"/>
      <c r="AA5" s="317" t="str">
        <f>G5</f>
        <v>XXXXXXXX XXXXX XXXXXXXX</v>
      </c>
      <c r="AB5" s="189"/>
      <c r="AC5" s="189"/>
      <c r="AD5" s="190"/>
    </row>
    <row r="6" spans="1:30" ht="51" customHeight="1">
      <c r="A6" s="68" t="str">
        <f>BASE!A13</f>
        <v>Branch / Year / Semester</v>
      </c>
      <c r="B6" s="69" t="s">
        <v>40</v>
      </c>
      <c r="C6" s="317" t="str">
        <f>+BASE!D13</f>
        <v>abcd</v>
      </c>
      <c r="D6" s="189"/>
      <c r="E6" s="189"/>
      <c r="F6" s="190"/>
      <c r="G6" s="258">
        <f>BASE!H13</f>
        <v>1</v>
      </c>
      <c r="H6" s="190"/>
      <c r="I6" s="258" t="str">
        <f>BASE!L13</f>
        <v>IV</v>
      </c>
      <c r="J6" s="190"/>
      <c r="K6" s="268" t="s">
        <v>43</v>
      </c>
      <c r="L6" s="189"/>
      <c r="M6" s="190"/>
      <c r="N6" s="29" t="s">
        <v>40</v>
      </c>
      <c r="O6" s="327"/>
      <c r="P6" s="328"/>
      <c r="Q6" s="328"/>
      <c r="R6" s="329"/>
      <c r="S6" s="70"/>
      <c r="T6" s="70"/>
      <c r="U6" s="70"/>
      <c r="V6" s="70"/>
      <c r="W6" s="70"/>
      <c r="X6" s="71"/>
      <c r="Y6" s="317" t="str">
        <f>BASE!A13</f>
        <v>Branch / Year / Semester</v>
      </c>
      <c r="Z6" s="190"/>
      <c r="AA6" s="316" t="str">
        <f>BASE!D13</f>
        <v>abcd</v>
      </c>
      <c r="AB6" s="190"/>
      <c r="AC6" s="36">
        <f>BASE!H13</f>
        <v>1</v>
      </c>
      <c r="AD6" s="36" t="str">
        <f>BASE!L13</f>
        <v>IV</v>
      </c>
    </row>
    <row r="7" spans="1:30" ht="54.75" customHeight="1">
      <c r="A7" s="35" t="s">
        <v>135</v>
      </c>
      <c r="B7" s="45" t="s">
        <v>40</v>
      </c>
      <c r="C7" s="316" t="s">
        <v>87</v>
      </c>
      <c r="D7" s="189"/>
      <c r="E7" s="189"/>
      <c r="F7" s="190"/>
      <c r="G7" s="270" t="s">
        <v>133</v>
      </c>
      <c r="H7" s="189"/>
      <c r="I7" s="189"/>
      <c r="J7" s="190"/>
      <c r="K7" s="72" t="s">
        <v>40</v>
      </c>
      <c r="L7" s="265">
        <f>ROWS(A12:A480)-COUNTIF(A12:A480,"")</f>
        <v>450</v>
      </c>
      <c r="M7" s="189"/>
      <c r="N7" s="189"/>
      <c r="O7" s="266" t="s">
        <v>46</v>
      </c>
      <c r="P7" s="189"/>
      <c r="Q7" s="190"/>
      <c r="R7" s="30" t="s">
        <v>40</v>
      </c>
      <c r="S7" s="321"/>
      <c r="T7" s="322"/>
      <c r="U7" s="322"/>
      <c r="V7" s="322"/>
      <c r="W7" s="322"/>
      <c r="X7" s="323"/>
      <c r="Y7" s="317" t="s">
        <v>134</v>
      </c>
      <c r="Z7" s="190"/>
      <c r="AA7" s="316" t="str">
        <f>C7</f>
        <v>ESE</v>
      </c>
      <c r="AB7" s="189"/>
      <c r="AC7" s="189"/>
      <c r="AD7" s="190"/>
    </row>
    <row r="8" spans="1:30" ht="54.75" customHeight="1">
      <c r="A8" s="41"/>
      <c r="B8" s="39"/>
      <c r="C8" s="39"/>
      <c r="D8" s="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41"/>
      <c r="Z8" s="9"/>
      <c r="AA8" s="73"/>
      <c r="AB8" s="39"/>
      <c r="AC8" s="40"/>
      <c r="AD8" s="40"/>
    </row>
    <row r="9" spans="1:30" ht="22.5" customHeight="1">
      <c r="A9" s="306" t="s">
        <v>47</v>
      </c>
      <c r="B9" s="106" t="s">
        <v>48</v>
      </c>
      <c r="C9" s="97">
        <v>1</v>
      </c>
      <c r="D9" s="97">
        <v>2</v>
      </c>
      <c r="E9" s="97">
        <v>3</v>
      </c>
      <c r="F9" s="97">
        <v>4</v>
      </c>
      <c r="G9" s="97">
        <v>5</v>
      </c>
      <c r="H9" s="97">
        <v>6</v>
      </c>
      <c r="I9" s="97">
        <v>7</v>
      </c>
      <c r="J9" s="97">
        <v>8</v>
      </c>
      <c r="K9" s="97">
        <v>9</v>
      </c>
      <c r="L9" s="97">
        <v>10</v>
      </c>
      <c r="M9" s="97" t="s">
        <v>88</v>
      </c>
      <c r="N9" s="97" t="s">
        <v>89</v>
      </c>
      <c r="O9" s="97" t="s">
        <v>90</v>
      </c>
      <c r="P9" s="97" t="s">
        <v>91</v>
      </c>
      <c r="Q9" s="97" t="s">
        <v>92</v>
      </c>
      <c r="R9" s="97" t="s">
        <v>93</v>
      </c>
      <c r="S9" s="97" t="s">
        <v>94</v>
      </c>
      <c r="T9" s="97" t="s">
        <v>95</v>
      </c>
      <c r="U9" s="97" t="s">
        <v>96</v>
      </c>
      <c r="V9" s="97" t="s">
        <v>97</v>
      </c>
      <c r="W9" s="115"/>
      <c r="X9" s="324" t="s">
        <v>49</v>
      </c>
      <c r="Y9" s="324" t="s">
        <v>50</v>
      </c>
      <c r="Z9" s="36" t="s">
        <v>51</v>
      </c>
      <c r="AA9" s="36" t="s">
        <v>52</v>
      </c>
      <c r="AB9" s="36" t="s">
        <v>53</v>
      </c>
      <c r="AC9" s="36" t="s">
        <v>54</v>
      </c>
      <c r="AD9" s="36" t="s">
        <v>55</v>
      </c>
    </row>
    <row r="10" spans="1:30" ht="32.25" customHeight="1">
      <c r="A10" s="261"/>
      <c r="B10" s="107" t="s">
        <v>56</v>
      </c>
      <c r="C10" s="106">
        <v>2</v>
      </c>
      <c r="D10" s="106">
        <v>2</v>
      </c>
      <c r="E10" s="106">
        <v>2</v>
      </c>
      <c r="F10" s="106">
        <v>2</v>
      </c>
      <c r="G10" s="106">
        <v>2</v>
      </c>
      <c r="H10" s="106">
        <v>2</v>
      </c>
      <c r="I10" s="106">
        <v>2</v>
      </c>
      <c r="J10" s="106">
        <v>2</v>
      </c>
      <c r="K10" s="106">
        <v>2</v>
      </c>
      <c r="L10" s="106">
        <v>2</v>
      </c>
      <c r="M10" s="106">
        <v>16</v>
      </c>
      <c r="N10" s="106"/>
      <c r="O10" s="106">
        <v>16</v>
      </c>
      <c r="P10" s="106"/>
      <c r="Q10" s="106">
        <v>16</v>
      </c>
      <c r="R10" s="106"/>
      <c r="S10" s="106">
        <v>16</v>
      </c>
      <c r="T10" s="106"/>
      <c r="U10" s="106">
        <v>16</v>
      </c>
      <c r="V10" s="106"/>
      <c r="W10" s="115"/>
      <c r="X10" s="290"/>
      <c r="Y10" s="290"/>
      <c r="Z10" s="46">
        <f>SUMIF($C$11:$V$11,1,C10:V10)</f>
        <v>20</v>
      </c>
      <c r="AA10" s="46">
        <f>SUMIF($C$11:$V$11,2,C10:V10)</f>
        <v>20</v>
      </c>
      <c r="AB10" s="46">
        <f>SUMIF($C$11:$V$11,3,C10:V10)</f>
        <v>20</v>
      </c>
      <c r="AC10" s="46">
        <f>SUMIF($C$11:$V$11,4,C10:V10)</f>
        <v>20</v>
      </c>
      <c r="AD10" s="46">
        <f>SUMIF($C$11:$V$11,5,C10:V10)</f>
        <v>20</v>
      </c>
    </row>
    <row r="11" spans="1:30" ht="22.5" customHeight="1">
      <c r="A11" s="261"/>
      <c r="B11" s="106" t="s">
        <v>57</v>
      </c>
      <c r="C11" s="163">
        <v>1</v>
      </c>
      <c r="D11" s="163">
        <v>1</v>
      </c>
      <c r="E11" s="163">
        <v>2</v>
      </c>
      <c r="F11" s="163">
        <v>2</v>
      </c>
      <c r="G11" s="163">
        <v>3</v>
      </c>
      <c r="H11" s="163">
        <v>3</v>
      </c>
      <c r="I11" s="163">
        <v>4</v>
      </c>
      <c r="J11" s="163">
        <v>4</v>
      </c>
      <c r="K11" s="163">
        <v>5</v>
      </c>
      <c r="L11" s="163">
        <v>5</v>
      </c>
      <c r="M11" s="163">
        <v>1</v>
      </c>
      <c r="N11" s="163">
        <v>1</v>
      </c>
      <c r="O11" s="163">
        <v>2</v>
      </c>
      <c r="P11" s="163">
        <v>2</v>
      </c>
      <c r="Q11" s="163">
        <v>3</v>
      </c>
      <c r="R11" s="163">
        <v>3</v>
      </c>
      <c r="S11" s="163">
        <v>4</v>
      </c>
      <c r="T11" s="163">
        <v>4</v>
      </c>
      <c r="U11" s="163">
        <v>5</v>
      </c>
      <c r="V11" s="163">
        <v>5</v>
      </c>
      <c r="W11" s="115"/>
      <c r="X11" s="291"/>
      <c r="Y11" s="291"/>
      <c r="Z11" s="325"/>
      <c r="AA11" s="189"/>
      <c r="AB11" s="189"/>
      <c r="AC11" s="189"/>
      <c r="AD11" s="190"/>
    </row>
    <row r="12" spans="1:30" ht="16.5" customHeight="1">
      <c r="A12" s="110" t="s">
        <v>562</v>
      </c>
      <c r="B12" s="106" t="s">
        <v>40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16"/>
      <c r="X12" s="51">
        <f t="shared" ref="X12:X252" si="0">SUM(C12:V12)</f>
        <v>0</v>
      </c>
      <c r="Y12" s="51">
        <f>BASE!A16</f>
        <v>1</v>
      </c>
      <c r="Z12" s="52">
        <f t="shared" ref="Z12:Z252" si="1">SUMIF($C$11:$V$11,1,C12:V12)</f>
        <v>0</v>
      </c>
      <c r="AA12" s="52">
        <f t="shared" ref="AA12:AA252" si="2">SUMIF($C$11:$V$11,2,C12:V12)</f>
        <v>0</v>
      </c>
      <c r="AB12" s="52">
        <f t="shared" ref="AB12:AB252" si="3">SUMIF($C$11:$V$11,3,C12:V12)</f>
        <v>0</v>
      </c>
      <c r="AC12" s="52">
        <f t="shared" ref="AC12:AC252" si="4">SUMIF($C$11:$V$11,4,C12:V12)</f>
        <v>0</v>
      </c>
      <c r="AD12" s="52">
        <f t="shared" ref="AD12:AD252" si="5">SUMIF($C$11:$V$11,5,C12:V12)</f>
        <v>0</v>
      </c>
    </row>
    <row r="13" spans="1:30" ht="16.5" customHeight="1">
      <c r="A13" s="110" t="s">
        <v>563</v>
      </c>
      <c r="B13" s="106" t="s">
        <v>40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94"/>
      <c r="X13" s="36">
        <f t="shared" si="0"/>
        <v>0</v>
      </c>
      <c r="Y13" s="36">
        <f>BASE!A17</f>
        <v>2</v>
      </c>
      <c r="Z13" s="46">
        <f t="shared" si="1"/>
        <v>0</v>
      </c>
      <c r="AA13" s="46">
        <f t="shared" si="2"/>
        <v>0</v>
      </c>
      <c r="AB13" s="46">
        <f t="shared" si="3"/>
        <v>0</v>
      </c>
      <c r="AC13" s="46">
        <f t="shared" si="4"/>
        <v>0</v>
      </c>
      <c r="AD13" s="46">
        <f t="shared" si="5"/>
        <v>0</v>
      </c>
    </row>
    <row r="14" spans="1:30" ht="16.5" customHeight="1">
      <c r="A14" s="110" t="s">
        <v>564</v>
      </c>
      <c r="B14" s="106" t="s">
        <v>40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94"/>
      <c r="X14" s="36">
        <f t="shared" si="0"/>
        <v>0</v>
      </c>
      <c r="Y14" s="36">
        <f>BASE!A18</f>
        <v>3</v>
      </c>
      <c r="Z14" s="46">
        <f t="shared" si="1"/>
        <v>0</v>
      </c>
      <c r="AA14" s="46">
        <f t="shared" si="2"/>
        <v>0</v>
      </c>
      <c r="AB14" s="46">
        <f t="shared" si="3"/>
        <v>0</v>
      </c>
      <c r="AC14" s="46">
        <f t="shared" si="4"/>
        <v>0</v>
      </c>
      <c r="AD14" s="46">
        <f t="shared" si="5"/>
        <v>0</v>
      </c>
    </row>
    <row r="15" spans="1:30" ht="16.5" customHeight="1">
      <c r="A15" s="110" t="s">
        <v>565</v>
      </c>
      <c r="B15" s="106" t="s">
        <v>40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94"/>
      <c r="X15" s="36">
        <f t="shared" si="0"/>
        <v>0</v>
      </c>
      <c r="Y15" s="36">
        <f>BASE!A19</f>
        <v>4</v>
      </c>
      <c r="Z15" s="46">
        <f t="shared" si="1"/>
        <v>0</v>
      </c>
      <c r="AA15" s="46">
        <f t="shared" si="2"/>
        <v>0</v>
      </c>
      <c r="AB15" s="46">
        <f t="shared" si="3"/>
        <v>0</v>
      </c>
      <c r="AC15" s="46">
        <f t="shared" si="4"/>
        <v>0</v>
      </c>
      <c r="AD15" s="46">
        <f t="shared" si="5"/>
        <v>0</v>
      </c>
    </row>
    <row r="16" spans="1:30" ht="16.5" customHeight="1">
      <c r="A16" s="110" t="s">
        <v>566</v>
      </c>
      <c r="B16" s="106" t="s">
        <v>40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94"/>
      <c r="X16" s="36">
        <f t="shared" si="0"/>
        <v>0</v>
      </c>
      <c r="Y16" s="36">
        <f>BASE!A20</f>
        <v>5</v>
      </c>
      <c r="Z16" s="46">
        <f t="shared" si="1"/>
        <v>0</v>
      </c>
      <c r="AA16" s="46">
        <f t="shared" si="2"/>
        <v>0</v>
      </c>
      <c r="AB16" s="46">
        <f t="shared" si="3"/>
        <v>0</v>
      </c>
      <c r="AC16" s="46">
        <f t="shared" si="4"/>
        <v>0</v>
      </c>
      <c r="AD16" s="46">
        <f t="shared" si="5"/>
        <v>0</v>
      </c>
    </row>
    <row r="17" spans="1:30" ht="16.5" customHeight="1">
      <c r="A17" s="110" t="s">
        <v>567</v>
      </c>
      <c r="B17" s="106" t="s">
        <v>40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94"/>
      <c r="X17" s="36">
        <f t="shared" si="0"/>
        <v>0</v>
      </c>
      <c r="Y17" s="36">
        <f>BASE!A21</f>
        <v>6</v>
      </c>
      <c r="Z17" s="46">
        <f t="shared" si="1"/>
        <v>0</v>
      </c>
      <c r="AA17" s="46">
        <f t="shared" si="2"/>
        <v>0</v>
      </c>
      <c r="AB17" s="46">
        <f t="shared" si="3"/>
        <v>0</v>
      </c>
      <c r="AC17" s="46">
        <f t="shared" si="4"/>
        <v>0</v>
      </c>
      <c r="AD17" s="46">
        <f t="shared" si="5"/>
        <v>0</v>
      </c>
    </row>
    <row r="18" spans="1:30" ht="16.5" customHeight="1">
      <c r="A18" s="110" t="s">
        <v>568</v>
      </c>
      <c r="B18" s="106" t="s">
        <v>40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94"/>
      <c r="X18" s="36">
        <f t="shared" si="0"/>
        <v>0</v>
      </c>
      <c r="Y18" s="36">
        <f>BASE!A22</f>
        <v>7</v>
      </c>
      <c r="Z18" s="46">
        <f t="shared" si="1"/>
        <v>0</v>
      </c>
      <c r="AA18" s="46">
        <f t="shared" si="2"/>
        <v>0</v>
      </c>
      <c r="AB18" s="46">
        <f t="shared" si="3"/>
        <v>0</v>
      </c>
      <c r="AC18" s="46">
        <f t="shared" si="4"/>
        <v>0</v>
      </c>
      <c r="AD18" s="46">
        <f t="shared" si="5"/>
        <v>0</v>
      </c>
    </row>
    <row r="19" spans="1:30" ht="16.5" customHeight="1">
      <c r="A19" s="110" t="s">
        <v>569</v>
      </c>
      <c r="B19" s="106" t="s">
        <v>40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94"/>
      <c r="X19" s="36">
        <f t="shared" si="0"/>
        <v>0</v>
      </c>
      <c r="Y19" s="36">
        <f>BASE!A23</f>
        <v>8</v>
      </c>
      <c r="Z19" s="46">
        <f t="shared" si="1"/>
        <v>0</v>
      </c>
      <c r="AA19" s="46">
        <f t="shared" si="2"/>
        <v>0</v>
      </c>
      <c r="AB19" s="46">
        <f t="shared" si="3"/>
        <v>0</v>
      </c>
      <c r="AC19" s="46">
        <f t="shared" si="4"/>
        <v>0</v>
      </c>
      <c r="AD19" s="46">
        <f t="shared" si="5"/>
        <v>0</v>
      </c>
    </row>
    <row r="20" spans="1:30" ht="16.5" customHeight="1">
      <c r="A20" s="110" t="s">
        <v>570</v>
      </c>
      <c r="B20" s="106" t="s">
        <v>40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94"/>
      <c r="X20" s="36">
        <f t="shared" si="0"/>
        <v>0</v>
      </c>
      <c r="Y20" s="36">
        <f>BASE!A24</f>
        <v>9</v>
      </c>
      <c r="Z20" s="46">
        <f t="shared" si="1"/>
        <v>0</v>
      </c>
      <c r="AA20" s="46">
        <f t="shared" si="2"/>
        <v>0</v>
      </c>
      <c r="AB20" s="46">
        <f t="shared" si="3"/>
        <v>0</v>
      </c>
      <c r="AC20" s="46">
        <f t="shared" si="4"/>
        <v>0</v>
      </c>
      <c r="AD20" s="46">
        <f t="shared" si="5"/>
        <v>0</v>
      </c>
    </row>
    <row r="21" spans="1:30" ht="16.5" customHeight="1">
      <c r="A21" s="110" t="s">
        <v>571</v>
      </c>
      <c r="B21" s="106" t="s">
        <v>40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94"/>
      <c r="X21" s="36">
        <f t="shared" si="0"/>
        <v>0</v>
      </c>
      <c r="Y21" s="36">
        <f>BASE!A25</f>
        <v>10</v>
      </c>
      <c r="Z21" s="46">
        <f t="shared" si="1"/>
        <v>0</v>
      </c>
      <c r="AA21" s="46">
        <f t="shared" si="2"/>
        <v>0</v>
      </c>
      <c r="AB21" s="46">
        <f t="shared" si="3"/>
        <v>0</v>
      </c>
      <c r="AC21" s="46">
        <f t="shared" si="4"/>
        <v>0</v>
      </c>
      <c r="AD21" s="46">
        <f t="shared" si="5"/>
        <v>0</v>
      </c>
    </row>
    <row r="22" spans="1:30" ht="16.5" customHeight="1">
      <c r="A22" s="110" t="s">
        <v>572</v>
      </c>
      <c r="B22" s="106" t="s">
        <v>40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94"/>
      <c r="X22" s="36">
        <f t="shared" si="0"/>
        <v>0</v>
      </c>
      <c r="Y22" s="36">
        <f>BASE!A26</f>
        <v>11</v>
      </c>
      <c r="Z22" s="46">
        <f t="shared" si="1"/>
        <v>0</v>
      </c>
      <c r="AA22" s="46">
        <f t="shared" si="2"/>
        <v>0</v>
      </c>
      <c r="AB22" s="46">
        <f t="shared" si="3"/>
        <v>0</v>
      </c>
      <c r="AC22" s="46">
        <f t="shared" si="4"/>
        <v>0</v>
      </c>
      <c r="AD22" s="46">
        <f t="shared" si="5"/>
        <v>0</v>
      </c>
    </row>
    <row r="23" spans="1:30" ht="16.5" customHeight="1">
      <c r="A23" s="110" t="s">
        <v>573</v>
      </c>
      <c r="B23" s="106" t="s">
        <v>40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94"/>
      <c r="X23" s="36">
        <f t="shared" si="0"/>
        <v>0</v>
      </c>
      <c r="Y23" s="36">
        <f>BASE!A27</f>
        <v>12</v>
      </c>
      <c r="Z23" s="46">
        <f t="shared" si="1"/>
        <v>0</v>
      </c>
      <c r="AA23" s="46">
        <f t="shared" si="2"/>
        <v>0</v>
      </c>
      <c r="AB23" s="46">
        <f t="shared" si="3"/>
        <v>0</v>
      </c>
      <c r="AC23" s="46">
        <f t="shared" si="4"/>
        <v>0</v>
      </c>
      <c r="AD23" s="46">
        <f t="shared" si="5"/>
        <v>0</v>
      </c>
    </row>
    <row r="24" spans="1:30" ht="16.5" customHeight="1">
      <c r="A24" s="110" t="s">
        <v>574</v>
      </c>
      <c r="B24" s="106" t="s">
        <v>40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94"/>
      <c r="X24" s="36">
        <f t="shared" si="0"/>
        <v>0</v>
      </c>
      <c r="Y24" s="36">
        <f>BASE!A28</f>
        <v>13</v>
      </c>
      <c r="Z24" s="46">
        <f t="shared" si="1"/>
        <v>0</v>
      </c>
      <c r="AA24" s="46">
        <f t="shared" si="2"/>
        <v>0</v>
      </c>
      <c r="AB24" s="46">
        <f t="shared" si="3"/>
        <v>0</v>
      </c>
      <c r="AC24" s="46">
        <f t="shared" si="4"/>
        <v>0</v>
      </c>
      <c r="AD24" s="46">
        <f t="shared" si="5"/>
        <v>0</v>
      </c>
    </row>
    <row r="25" spans="1:30" ht="16.5" customHeight="1">
      <c r="A25" s="110" t="s">
        <v>575</v>
      </c>
      <c r="B25" s="106" t="s">
        <v>40</v>
      </c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94"/>
      <c r="X25" s="36">
        <f t="shared" si="0"/>
        <v>0</v>
      </c>
      <c r="Y25" s="36">
        <f>BASE!A29</f>
        <v>14</v>
      </c>
      <c r="Z25" s="46">
        <f t="shared" si="1"/>
        <v>0</v>
      </c>
      <c r="AA25" s="46">
        <f t="shared" si="2"/>
        <v>0</v>
      </c>
      <c r="AB25" s="46">
        <f t="shared" si="3"/>
        <v>0</v>
      </c>
      <c r="AC25" s="46">
        <f t="shared" si="4"/>
        <v>0</v>
      </c>
      <c r="AD25" s="46">
        <f t="shared" si="5"/>
        <v>0</v>
      </c>
    </row>
    <row r="26" spans="1:30" ht="16.5" customHeight="1">
      <c r="A26" s="110" t="s">
        <v>576</v>
      </c>
      <c r="B26" s="106" t="s">
        <v>40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94"/>
      <c r="X26" s="36">
        <f t="shared" si="0"/>
        <v>0</v>
      </c>
      <c r="Y26" s="36">
        <f>BASE!A30</f>
        <v>15</v>
      </c>
      <c r="Z26" s="46">
        <f t="shared" si="1"/>
        <v>0</v>
      </c>
      <c r="AA26" s="46">
        <f t="shared" si="2"/>
        <v>0</v>
      </c>
      <c r="AB26" s="46">
        <f t="shared" si="3"/>
        <v>0</v>
      </c>
      <c r="AC26" s="46">
        <f t="shared" si="4"/>
        <v>0</v>
      </c>
      <c r="AD26" s="46">
        <f t="shared" si="5"/>
        <v>0</v>
      </c>
    </row>
    <row r="27" spans="1:30" ht="16.5" customHeight="1">
      <c r="A27" s="110" t="s">
        <v>577</v>
      </c>
      <c r="B27" s="106" t="s">
        <v>40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94"/>
      <c r="X27" s="36">
        <f t="shared" si="0"/>
        <v>0</v>
      </c>
      <c r="Y27" s="36">
        <f>BASE!A31</f>
        <v>16</v>
      </c>
      <c r="Z27" s="46">
        <f t="shared" si="1"/>
        <v>0</v>
      </c>
      <c r="AA27" s="46">
        <f t="shared" si="2"/>
        <v>0</v>
      </c>
      <c r="AB27" s="46">
        <f t="shared" si="3"/>
        <v>0</v>
      </c>
      <c r="AC27" s="46">
        <f t="shared" si="4"/>
        <v>0</v>
      </c>
      <c r="AD27" s="46">
        <f t="shared" si="5"/>
        <v>0</v>
      </c>
    </row>
    <row r="28" spans="1:30" ht="16.5" customHeight="1">
      <c r="A28" s="110" t="s">
        <v>578</v>
      </c>
      <c r="B28" s="106" t="s">
        <v>40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94"/>
      <c r="X28" s="36">
        <f t="shared" si="0"/>
        <v>0</v>
      </c>
      <c r="Y28" s="36">
        <f>BASE!A32</f>
        <v>17</v>
      </c>
      <c r="Z28" s="46">
        <f t="shared" si="1"/>
        <v>0</v>
      </c>
      <c r="AA28" s="46">
        <f t="shared" si="2"/>
        <v>0</v>
      </c>
      <c r="AB28" s="46">
        <f t="shared" si="3"/>
        <v>0</v>
      </c>
      <c r="AC28" s="46">
        <f t="shared" si="4"/>
        <v>0</v>
      </c>
      <c r="AD28" s="46">
        <f t="shared" si="5"/>
        <v>0</v>
      </c>
    </row>
    <row r="29" spans="1:30" ht="16.5" customHeight="1">
      <c r="A29" s="110" t="s">
        <v>579</v>
      </c>
      <c r="B29" s="106" t="s">
        <v>40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94"/>
      <c r="X29" s="36">
        <f t="shared" si="0"/>
        <v>0</v>
      </c>
      <c r="Y29" s="36">
        <f>BASE!A33</f>
        <v>18</v>
      </c>
      <c r="Z29" s="46">
        <f t="shared" si="1"/>
        <v>0</v>
      </c>
      <c r="AA29" s="46">
        <f t="shared" si="2"/>
        <v>0</v>
      </c>
      <c r="AB29" s="46">
        <f t="shared" si="3"/>
        <v>0</v>
      </c>
      <c r="AC29" s="46">
        <f t="shared" si="4"/>
        <v>0</v>
      </c>
      <c r="AD29" s="46">
        <f t="shared" si="5"/>
        <v>0</v>
      </c>
    </row>
    <row r="30" spans="1:30" ht="16.5" customHeight="1">
      <c r="A30" s="110" t="s">
        <v>580</v>
      </c>
      <c r="B30" s="106" t="s">
        <v>40</v>
      </c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94"/>
      <c r="X30" s="36">
        <f t="shared" si="0"/>
        <v>0</v>
      </c>
      <c r="Y30" s="36">
        <f>BASE!A34</f>
        <v>19</v>
      </c>
      <c r="Z30" s="46">
        <f t="shared" si="1"/>
        <v>0</v>
      </c>
      <c r="AA30" s="46">
        <f t="shared" si="2"/>
        <v>0</v>
      </c>
      <c r="AB30" s="46">
        <f t="shared" si="3"/>
        <v>0</v>
      </c>
      <c r="AC30" s="46">
        <f t="shared" si="4"/>
        <v>0</v>
      </c>
      <c r="AD30" s="46">
        <f t="shared" si="5"/>
        <v>0</v>
      </c>
    </row>
    <row r="31" spans="1:30" ht="16.5" customHeight="1">
      <c r="A31" s="110" t="s">
        <v>581</v>
      </c>
      <c r="B31" s="106" t="s">
        <v>40</v>
      </c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94"/>
      <c r="X31" s="36">
        <f t="shared" si="0"/>
        <v>0</v>
      </c>
      <c r="Y31" s="36">
        <f>BASE!A35</f>
        <v>20</v>
      </c>
      <c r="Z31" s="46">
        <f t="shared" si="1"/>
        <v>0</v>
      </c>
      <c r="AA31" s="46">
        <f t="shared" si="2"/>
        <v>0</v>
      </c>
      <c r="AB31" s="46">
        <f t="shared" si="3"/>
        <v>0</v>
      </c>
      <c r="AC31" s="46">
        <f t="shared" si="4"/>
        <v>0</v>
      </c>
      <c r="AD31" s="46">
        <f t="shared" si="5"/>
        <v>0</v>
      </c>
    </row>
    <row r="32" spans="1:30" ht="16.5" customHeight="1">
      <c r="A32" s="110" t="s">
        <v>582</v>
      </c>
      <c r="B32" s="106" t="s">
        <v>40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94"/>
      <c r="X32" s="36">
        <f t="shared" si="0"/>
        <v>0</v>
      </c>
      <c r="Y32" s="36">
        <f>BASE!A36</f>
        <v>21</v>
      </c>
      <c r="Z32" s="46">
        <f t="shared" si="1"/>
        <v>0</v>
      </c>
      <c r="AA32" s="46">
        <f t="shared" si="2"/>
        <v>0</v>
      </c>
      <c r="AB32" s="46">
        <f t="shared" si="3"/>
        <v>0</v>
      </c>
      <c r="AC32" s="46">
        <f t="shared" si="4"/>
        <v>0</v>
      </c>
      <c r="AD32" s="46">
        <f t="shared" si="5"/>
        <v>0</v>
      </c>
    </row>
    <row r="33" spans="1:30" ht="16.5" customHeight="1">
      <c r="A33" s="110" t="s">
        <v>583</v>
      </c>
      <c r="B33" s="106" t="s">
        <v>40</v>
      </c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94"/>
      <c r="X33" s="36">
        <f t="shared" si="0"/>
        <v>0</v>
      </c>
      <c r="Y33" s="36">
        <f>BASE!A37</f>
        <v>22</v>
      </c>
      <c r="Z33" s="46">
        <f t="shared" si="1"/>
        <v>0</v>
      </c>
      <c r="AA33" s="46">
        <f t="shared" si="2"/>
        <v>0</v>
      </c>
      <c r="AB33" s="46">
        <f t="shared" si="3"/>
        <v>0</v>
      </c>
      <c r="AC33" s="46">
        <f t="shared" si="4"/>
        <v>0</v>
      </c>
      <c r="AD33" s="46">
        <f t="shared" si="5"/>
        <v>0</v>
      </c>
    </row>
    <row r="34" spans="1:30" ht="16.5" customHeight="1">
      <c r="A34" s="110" t="s">
        <v>584</v>
      </c>
      <c r="B34" s="106" t="s">
        <v>40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94"/>
      <c r="X34" s="36">
        <f t="shared" si="0"/>
        <v>0</v>
      </c>
      <c r="Y34" s="36">
        <f>BASE!A38</f>
        <v>23</v>
      </c>
      <c r="Z34" s="46">
        <f t="shared" si="1"/>
        <v>0</v>
      </c>
      <c r="AA34" s="46">
        <f t="shared" si="2"/>
        <v>0</v>
      </c>
      <c r="AB34" s="46">
        <f t="shared" si="3"/>
        <v>0</v>
      </c>
      <c r="AC34" s="46">
        <f t="shared" si="4"/>
        <v>0</v>
      </c>
      <c r="AD34" s="46">
        <f t="shared" si="5"/>
        <v>0</v>
      </c>
    </row>
    <row r="35" spans="1:30" ht="16.5" customHeight="1">
      <c r="A35" s="110" t="s">
        <v>585</v>
      </c>
      <c r="B35" s="106" t="s">
        <v>40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94"/>
      <c r="X35" s="36">
        <f t="shared" si="0"/>
        <v>0</v>
      </c>
      <c r="Y35" s="36">
        <f>BASE!A39</f>
        <v>24</v>
      </c>
      <c r="Z35" s="46">
        <f t="shared" si="1"/>
        <v>0</v>
      </c>
      <c r="AA35" s="46">
        <f t="shared" si="2"/>
        <v>0</v>
      </c>
      <c r="AB35" s="46">
        <f t="shared" si="3"/>
        <v>0</v>
      </c>
      <c r="AC35" s="46">
        <f t="shared" si="4"/>
        <v>0</v>
      </c>
      <c r="AD35" s="46">
        <f t="shared" si="5"/>
        <v>0</v>
      </c>
    </row>
    <row r="36" spans="1:30" ht="16.5" customHeight="1">
      <c r="A36" s="110" t="s">
        <v>586</v>
      </c>
      <c r="B36" s="106" t="s">
        <v>40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94"/>
      <c r="X36" s="36">
        <f t="shared" si="0"/>
        <v>0</v>
      </c>
      <c r="Y36" s="36">
        <f>BASE!A40</f>
        <v>25</v>
      </c>
      <c r="Z36" s="46">
        <f t="shared" si="1"/>
        <v>0</v>
      </c>
      <c r="AA36" s="46">
        <f t="shared" si="2"/>
        <v>0</v>
      </c>
      <c r="AB36" s="46">
        <f t="shared" si="3"/>
        <v>0</v>
      </c>
      <c r="AC36" s="46">
        <f t="shared" si="4"/>
        <v>0</v>
      </c>
      <c r="AD36" s="46">
        <f t="shared" si="5"/>
        <v>0</v>
      </c>
    </row>
    <row r="37" spans="1:30" ht="16.5" customHeight="1">
      <c r="A37" s="110" t="s">
        <v>587</v>
      </c>
      <c r="B37" s="106" t="s">
        <v>40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94"/>
      <c r="X37" s="36">
        <f t="shared" si="0"/>
        <v>0</v>
      </c>
      <c r="Y37" s="36">
        <f>BASE!A41</f>
        <v>26</v>
      </c>
      <c r="Z37" s="46">
        <f t="shared" si="1"/>
        <v>0</v>
      </c>
      <c r="AA37" s="46">
        <f t="shared" si="2"/>
        <v>0</v>
      </c>
      <c r="AB37" s="46">
        <f t="shared" si="3"/>
        <v>0</v>
      </c>
      <c r="AC37" s="46">
        <f t="shared" si="4"/>
        <v>0</v>
      </c>
      <c r="AD37" s="46">
        <f t="shared" si="5"/>
        <v>0</v>
      </c>
    </row>
    <row r="38" spans="1:30" ht="16.5" customHeight="1">
      <c r="A38" s="110" t="s">
        <v>588</v>
      </c>
      <c r="B38" s="106" t="s">
        <v>40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94"/>
      <c r="X38" s="36">
        <f t="shared" si="0"/>
        <v>0</v>
      </c>
      <c r="Y38" s="36">
        <f>BASE!A42</f>
        <v>27</v>
      </c>
      <c r="Z38" s="46">
        <f t="shared" si="1"/>
        <v>0</v>
      </c>
      <c r="AA38" s="46">
        <f t="shared" si="2"/>
        <v>0</v>
      </c>
      <c r="AB38" s="46">
        <f t="shared" si="3"/>
        <v>0</v>
      </c>
      <c r="AC38" s="46">
        <f t="shared" si="4"/>
        <v>0</v>
      </c>
      <c r="AD38" s="46">
        <f t="shared" si="5"/>
        <v>0</v>
      </c>
    </row>
    <row r="39" spans="1:30" ht="16.5" customHeight="1">
      <c r="A39" s="110" t="s">
        <v>589</v>
      </c>
      <c r="B39" s="106" t="s">
        <v>40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94"/>
      <c r="X39" s="36">
        <f t="shared" si="0"/>
        <v>0</v>
      </c>
      <c r="Y39" s="36">
        <f>BASE!A43</f>
        <v>28</v>
      </c>
      <c r="Z39" s="46">
        <f t="shared" si="1"/>
        <v>0</v>
      </c>
      <c r="AA39" s="46">
        <f t="shared" si="2"/>
        <v>0</v>
      </c>
      <c r="AB39" s="46">
        <f t="shared" si="3"/>
        <v>0</v>
      </c>
      <c r="AC39" s="46">
        <f t="shared" si="4"/>
        <v>0</v>
      </c>
      <c r="AD39" s="46">
        <f t="shared" si="5"/>
        <v>0</v>
      </c>
    </row>
    <row r="40" spans="1:30" ht="16.5" customHeight="1">
      <c r="A40" s="110" t="s">
        <v>590</v>
      </c>
      <c r="B40" s="106" t="s">
        <v>40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94"/>
      <c r="X40" s="36">
        <f t="shared" si="0"/>
        <v>0</v>
      </c>
      <c r="Y40" s="36">
        <f>BASE!A44</f>
        <v>29</v>
      </c>
      <c r="Z40" s="46">
        <f t="shared" si="1"/>
        <v>0</v>
      </c>
      <c r="AA40" s="46">
        <f t="shared" si="2"/>
        <v>0</v>
      </c>
      <c r="AB40" s="46">
        <f t="shared" si="3"/>
        <v>0</v>
      </c>
      <c r="AC40" s="46">
        <f t="shared" si="4"/>
        <v>0</v>
      </c>
      <c r="AD40" s="46">
        <f t="shared" si="5"/>
        <v>0</v>
      </c>
    </row>
    <row r="41" spans="1:30" ht="16.5" customHeight="1">
      <c r="A41" s="110" t="s">
        <v>591</v>
      </c>
      <c r="B41" s="106" t="s">
        <v>40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94"/>
      <c r="X41" s="36">
        <f t="shared" si="0"/>
        <v>0</v>
      </c>
      <c r="Y41" s="36">
        <f>BASE!A45</f>
        <v>30</v>
      </c>
      <c r="Z41" s="46">
        <f t="shared" si="1"/>
        <v>0</v>
      </c>
      <c r="AA41" s="46">
        <f t="shared" si="2"/>
        <v>0</v>
      </c>
      <c r="AB41" s="46">
        <f t="shared" si="3"/>
        <v>0</v>
      </c>
      <c r="AC41" s="46">
        <f t="shared" si="4"/>
        <v>0</v>
      </c>
      <c r="AD41" s="46">
        <f t="shared" si="5"/>
        <v>0</v>
      </c>
    </row>
    <row r="42" spans="1:30" ht="16.5" customHeight="1">
      <c r="A42" s="110" t="s">
        <v>592</v>
      </c>
      <c r="B42" s="106" t="s">
        <v>40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94"/>
      <c r="X42" s="36">
        <f t="shared" si="0"/>
        <v>0</v>
      </c>
      <c r="Y42" s="36">
        <f>BASE!A46</f>
        <v>31</v>
      </c>
      <c r="Z42" s="46">
        <f t="shared" si="1"/>
        <v>0</v>
      </c>
      <c r="AA42" s="46">
        <f t="shared" si="2"/>
        <v>0</v>
      </c>
      <c r="AB42" s="46">
        <f t="shared" si="3"/>
        <v>0</v>
      </c>
      <c r="AC42" s="46">
        <f t="shared" si="4"/>
        <v>0</v>
      </c>
      <c r="AD42" s="46">
        <f t="shared" si="5"/>
        <v>0</v>
      </c>
    </row>
    <row r="43" spans="1:30" ht="16.5" customHeight="1">
      <c r="A43" s="110" t="s">
        <v>593</v>
      </c>
      <c r="B43" s="106" t="s">
        <v>40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94"/>
      <c r="X43" s="36">
        <f t="shared" si="0"/>
        <v>0</v>
      </c>
      <c r="Y43" s="36">
        <f>BASE!A47</f>
        <v>32</v>
      </c>
      <c r="Z43" s="46">
        <f t="shared" si="1"/>
        <v>0</v>
      </c>
      <c r="AA43" s="46">
        <f t="shared" si="2"/>
        <v>0</v>
      </c>
      <c r="AB43" s="46">
        <f t="shared" si="3"/>
        <v>0</v>
      </c>
      <c r="AC43" s="46">
        <f t="shared" si="4"/>
        <v>0</v>
      </c>
      <c r="AD43" s="46">
        <f t="shared" si="5"/>
        <v>0</v>
      </c>
    </row>
    <row r="44" spans="1:30" ht="16.5" customHeight="1">
      <c r="A44" s="110" t="s">
        <v>594</v>
      </c>
      <c r="B44" s="106" t="s">
        <v>40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94"/>
      <c r="X44" s="36">
        <f t="shared" si="0"/>
        <v>0</v>
      </c>
      <c r="Y44" s="36">
        <f>BASE!A48</f>
        <v>33</v>
      </c>
      <c r="Z44" s="46">
        <f t="shared" si="1"/>
        <v>0</v>
      </c>
      <c r="AA44" s="46">
        <f t="shared" si="2"/>
        <v>0</v>
      </c>
      <c r="AB44" s="46">
        <f t="shared" si="3"/>
        <v>0</v>
      </c>
      <c r="AC44" s="46">
        <f t="shared" si="4"/>
        <v>0</v>
      </c>
      <c r="AD44" s="46">
        <f t="shared" si="5"/>
        <v>0</v>
      </c>
    </row>
    <row r="45" spans="1:30" ht="16.5" customHeight="1">
      <c r="A45" s="110" t="s">
        <v>595</v>
      </c>
      <c r="B45" s="106" t="s">
        <v>40</v>
      </c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94"/>
      <c r="X45" s="36">
        <f t="shared" si="0"/>
        <v>0</v>
      </c>
      <c r="Y45" s="36">
        <f>BASE!A49</f>
        <v>34</v>
      </c>
      <c r="Z45" s="46">
        <f t="shared" si="1"/>
        <v>0</v>
      </c>
      <c r="AA45" s="46">
        <f t="shared" si="2"/>
        <v>0</v>
      </c>
      <c r="AB45" s="46">
        <f t="shared" si="3"/>
        <v>0</v>
      </c>
      <c r="AC45" s="46">
        <f t="shared" si="4"/>
        <v>0</v>
      </c>
      <c r="AD45" s="46">
        <f t="shared" si="5"/>
        <v>0</v>
      </c>
    </row>
    <row r="46" spans="1:30" ht="16.5" customHeight="1">
      <c r="A46" s="110" t="s">
        <v>596</v>
      </c>
      <c r="B46" s="106" t="s">
        <v>40</v>
      </c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94"/>
      <c r="X46" s="36">
        <f t="shared" si="0"/>
        <v>0</v>
      </c>
      <c r="Y46" s="36">
        <f>BASE!A50</f>
        <v>35</v>
      </c>
      <c r="Z46" s="46">
        <f t="shared" si="1"/>
        <v>0</v>
      </c>
      <c r="AA46" s="46">
        <f t="shared" si="2"/>
        <v>0</v>
      </c>
      <c r="AB46" s="46">
        <f t="shared" si="3"/>
        <v>0</v>
      </c>
      <c r="AC46" s="46">
        <f t="shared" si="4"/>
        <v>0</v>
      </c>
      <c r="AD46" s="46">
        <f t="shared" si="5"/>
        <v>0</v>
      </c>
    </row>
    <row r="47" spans="1:30" ht="16.5" customHeight="1">
      <c r="A47" s="110" t="s">
        <v>597</v>
      </c>
      <c r="B47" s="106" t="s">
        <v>40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94"/>
      <c r="X47" s="36">
        <f t="shared" si="0"/>
        <v>0</v>
      </c>
      <c r="Y47" s="36">
        <f>BASE!A51</f>
        <v>36</v>
      </c>
      <c r="Z47" s="46">
        <f t="shared" si="1"/>
        <v>0</v>
      </c>
      <c r="AA47" s="46">
        <f t="shared" si="2"/>
        <v>0</v>
      </c>
      <c r="AB47" s="46">
        <f t="shared" si="3"/>
        <v>0</v>
      </c>
      <c r="AC47" s="46">
        <f t="shared" si="4"/>
        <v>0</v>
      </c>
      <c r="AD47" s="46">
        <f t="shared" si="5"/>
        <v>0</v>
      </c>
    </row>
    <row r="48" spans="1:30" ht="16.5" customHeight="1">
      <c r="A48" s="110" t="s">
        <v>598</v>
      </c>
      <c r="B48" s="106" t="s">
        <v>40</v>
      </c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94"/>
      <c r="X48" s="36">
        <f t="shared" si="0"/>
        <v>0</v>
      </c>
      <c r="Y48" s="36">
        <f>BASE!A52</f>
        <v>37</v>
      </c>
      <c r="Z48" s="46">
        <f t="shared" si="1"/>
        <v>0</v>
      </c>
      <c r="AA48" s="46">
        <f t="shared" si="2"/>
        <v>0</v>
      </c>
      <c r="AB48" s="46">
        <f t="shared" si="3"/>
        <v>0</v>
      </c>
      <c r="AC48" s="46">
        <f t="shared" si="4"/>
        <v>0</v>
      </c>
      <c r="AD48" s="46">
        <f t="shared" si="5"/>
        <v>0</v>
      </c>
    </row>
    <row r="49" spans="1:30" ht="16.5" customHeight="1">
      <c r="A49" s="110" t="s">
        <v>599</v>
      </c>
      <c r="B49" s="106" t="s">
        <v>40</v>
      </c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94"/>
      <c r="X49" s="36">
        <f t="shared" si="0"/>
        <v>0</v>
      </c>
      <c r="Y49" s="36">
        <f>BASE!A53</f>
        <v>38</v>
      </c>
      <c r="Z49" s="46">
        <f t="shared" si="1"/>
        <v>0</v>
      </c>
      <c r="AA49" s="46">
        <f t="shared" si="2"/>
        <v>0</v>
      </c>
      <c r="AB49" s="46">
        <f t="shared" si="3"/>
        <v>0</v>
      </c>
      <c r="AC49" s="46">
        <f t="shared" si="4"/>
        <v>0</v>
      </c>
      <c r="AD49" s="46">
        <f t="shared" si="5"/>
        <v>0</v>
      </c>
    </row>
    <row r="50" spans="1:30" ht="16.5" customHeight="1">
      <c r="A50" s="110" t="s">
        <v>600</v>
      </c>
      <c r="B50" s="106" t="s">
        <v>40</v>
      </c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94"/>
      <c r="X50" s="36">
        <f t="shared" si="0"/>
        <v>0</v>
      </c>
      <c r="Y50" s="36">
        <f>BASE!A54</f>
        <v>39</v>
      </c>
      <c r="Z50" s="46">
        <f t="shared" si="1"/>
        <v>0</v>
      </c>
      <c r="AA50" s="46">
        <f t="shared" si="2"/>
        <v>0</v>
      </c>
      <c r="AB50" s="46">
        <f t="shared" si="3"/>
        <v>0</v>
      </c>
      <c r="AC50" s="46">
        <f t="shared" si="4"/>
        <v>0</v>
      </c>
      <c r="AD50" s="46">
        <f t="shared" si="5"/>
        <v>0</v>
      </c>
    </row>
    <row r="51" spans="1:30" ht="16.5" customHeight="1">
      <c r="A51" s="110" t="s">
        <v>601</v>
      </c>
      <c r="B51" s="106" t="s">
        <v>40</v>
      </c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94"/>
      <c r="X51" s="36">
        <f t="shared" si="0"/>
        <v>0</v>
      </c>
      <c r="Y51" s="36">
        <f>BASE!A55</f>
        <v>40</v>
      </c>
      <c r="Z51" s="46">
        <f t="shared" si="1"/>
        <v>0</v>
      </c>
      <c r="AA51" s="46">
        <f t="shared" si="2"/>
        <v>0</v>
      </c>
      <c r="AB51" s="46">
        <f t="shared" si="3"/>
        <v>0</v>
      </c>
      <c r="AC51" s="46">
        <f t="shared" si="4"/>
        <v>0</v>
      </c>
      <c r="AD51" s="46">
        <f t="shared" si="5"/>
        <v>0</v>
      </c>
    </row>
    <row r="52" spans="1:30" ht="16.5" customHeight="1">
      <c r="A52" s="110" t="s">
        <v>602</v>
      </c>
      <c r="B52" s="106" t="s">
        <v>40</v>
      </c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94"/>
      <c r="X52" s="36">
        <f t="shared" si="0"/>
        <v>0</v>
      </c>
      <c r="Y52" s="36">
        <f>BASE!A56</f>
        <v>41</v>
      </c>
      <c r="Z52" s="46">
        <f t="shared" si="1"/>
        <v>0</v>
      </c>
      <c r="AA52" s="46">
        <f t="shared" si="2"/>
        <v>0</v>
      </c>
      <c r="AB52" s="46">
        <f t="shared" si="3"/>
        <v>0</v>
      </c>
      <c r="AC52" s="46">
        <f t="shared" si="4"/>
        <v>0</v>
      </c>
      <c r="AD52" s="46">
        <f t="shared" si="5"/>
        <v>0</v>
      </c>
    </row>
    <row r="53" spans="1:30" ht="16.5" customHeight="1">
      <c r="A53" s="110" t="s">
        <v>603</v>
      </c>
      <c r="B53" s="106" t="s">
        <v>40</v>
      </c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94"/>
      <c r="X53" s="36">
        <f t="shared" si="0"/>
        <v>0</v>
      </c>
      <c r="Y53" s="36">
        <f>BASE!A57</f>
        <v>42</v>
      </c>
      <c r="Z53" s="46">
        <f t="shared" si="1"/>
        <v>0</v>
      </c>
      <c r="AA53" s="46">
        <f t="shared" si="2"/>
        <v>0</v>
      </c>
      <c r="AB53" s="46">
        <f t="shared" si="3"/>
        <v>0</v>
      </c>
      <c r="AC53" s="46">
        <f t="shared" si="4"/>
        <v>0</v>
      </c>
      <c r="AD53" s="46">
        <f t="shared" si="5"/>
        <v>0</v>
      </c>
    </row>
    <row r="54" spans="1:30" ht="16.5" customHeight="1">
      <c r="A54" s="110" t="s">
        <v>604</v>
      </c>
      <c r="B54" s="106" t="s">
        <v>40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94"/>
      <c r="X54" s="36">
        <f t="shared" si="0"/>
        <v>0</v>
      </c>
      <c r="Y54" s="36">
        <f>BASE!A58</f>
        <v>43</v>
      </c>
      <c r="Z54" s="46">
        <f t="shared" si="1"/>
        <v>0</v>
      </c>
      <c r="AA54" s="46">
        <f t="shared" si="2"/>
        <v>0</v>
      </c>
      <c r="AB54" s="46">
        <f t="shared" si="3"/>
        <v>0</v>
      </c>
      <c r="AC54" s="46">
        <f t="shared" si="4"/>
        <v>0</v>
      </c>
      <c r="AD54" s="46">
        <f t="shared" si="5"/>
        <v>0</v>
      </c>
    </row>
    <row r="55" spans="1:30" ht="16.5" customHeight="1">
      <c r="A55" s="110" t="s">
        <v>605</v>
      </c>
      <c r="B55" s="106" t="s">
        <v>40</v>
      </c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94"/>
      <c r="X55" s="36">
        <f t="shared" si="0"/>
        <v>0</v>
      </c>
      <c r="Y55" s="36">
        <f>BASE!A59</f>
        <v>44</v>
      </c>
      <c r="Z55" s="46">
        <f t="shared" si="1"/>
        <v>0</v>
      </c>
      <c r="AA55" s="46">
        <f t="shared" si="2"/>
        <v>0</v>
      </c>
      <c r="AB55" s="46">
        <f t="shared" si="3"/>
        <v>0</v>
      </c>
      <c r="AC55" s="46">
        <f t="shared" si="4"/>
        <v>0</v>
      </c>
      <c r="AD55" s="46">
        <f t="shared" si="5"/>
        <v>0</v>
      </c>
    </row>
    <row r="56" spans="1:30" ht="16.5" customHeight="1">
      <c r="A56" s="110" t="s">
        <v>606</v>
      </c>
      <c r="B56" s="106" t="s">
        <v>40</v>
      </c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94"/>
      <c r="X56" s="36">
        <f t="shared" si="0"/>
        <v>0</v>
      </c>
      <c r="Y56" s="36">
        <f>BASE!A60</f>
        <v>45</v>
      </c>
      <c r="Z56" s="46">
        <f t="shared" si="1"/>
        <v>0</v>
      </c>
      <c r="AA56" s="46">
        <f t="shared" si="2"/>
        <v>0</v>
      </c>
      <c r="AB56" s="46">
        <f t="shared" si="3"/>
        <v>0</v>
      </c>
      <c r="AC56" s="46">
        <f t="shared" si="4"/>
        <v>0</v>
      </c>
      <c r="AD56" s="46">
        <f t="shared" si="5"/>
        <v>0</v>
      </c>
    </row>
    <row r="57" spans="1:30" ht="16.5" customHeight="1">
      <c r="A57" s="110" t="s">
        <v>607</v>
      </c>
      <c r="B57" s="106" t="s">
        <v>40</v>
      </c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94"/>
      <c r="X57" s="36">
        <f t="shared" si="0"/>
        <v>0</v>
      </c>
      <c r="Y57" s="36">
        <f>BASE!A61</f>
        <v>46</v>
      </c>
      <c r="Z57" s="46">
        <f t="shared" si="1"/>
        <v>0</v>
      </c>
      <c r="AA57" s="46">
        <f t="shared" si="2"/>
        <v>0</v>
      </c>
      <c r="AB57" s="46">
        <f t="shared" si="3"/>
        <v>0</v>
      </c>
      <c r="AC57" s="46">
        <f t="shared" si="4"/>
        <v>0</v>
      </c>
      <c r="AD57" s="46">
        <f t="shared" si="5"/>
        <v>0</v>
      </c>
    </row>
    <row r="58" spans="1:30" ht="16.5" customHeight="1">
      <c r="A58" s="110" t="s">
        <v>608</v>
      </c>
      <c r="B58" s="106" t="s">
        <v>40</v>
      </c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94"/>
      <c r="X58" s="36">
        <f t="shared" si="0"/>
        <v>0</v>
      </c>
      <c r="Y58" s="36">
        <f>BASE!A62</f>
        <v>47</v>
      </c>
      <c r="Z58" s="46">
        <f t="shared" si="1"/>
        <v>0</v>
      </c>
      <c r="AA58" s="46">
        <f t="shared" si="2"/>
        <v>0</v>
      </c>
      <c r="AB58" s="46">
        <f t="shared" si="3"/>
        <v>0</v>
      </c>
      <c r="AC58" s="46">
        <f t="shared" si="4"/>
        <v>0</v>
      </c>
      <c r="AD58" s="46">
        <f t="shared" si="5"/>
        <v>0</v>
      </c>
    </row>
    <row r="59" spans="1:30" ht="16.5" customHeight="1">
      <c r="A59" s="110" t="s">
        <v>609</v>
      </c>
      <c r="B59" s="106" t="s">
        <v>40</v>
      </c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94"/>
      <c r="X59" s="36">
        <f t="shared" si="0"/>
        <v>0</v>
      </c>
      <c r="Y59" s="36">
        <f>BASE!A63</f>
        <v>48</v>
      </c>
      <c r="Z59" s="46">
        <f t="shared" si="1"/>
        <v>0</v>
      </c>
      <c r="AA59" s="46">
        <f t="shared" si="2"/>
        <v>0</v>
      </c>
      <c r="AB59" s="46">
        <f t="shared" si="3"/>
        <v>0</v>
      </c>
      <c r="AC59" s="46">
        <f t="shared" si="4"/>
        <v>0</v>
      </c>
      <c r="AD59" s="46">
        <f t="shared" si="5"/>
        <v>0</v>
      </c>
    </row>
    <row r="60" spans="1:30" ht="16.5" customHeight="1">
      <c r="A60" s="110" t="s">
        <v>610</v>
      </c>
      <c r="B60" s="106" t="s">
        <v>40</v>
      </c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94"/>
      <c r="X60" s="36">
        <f t="shared" si="0"/>
        <v>0</v>
      </c>
      <c r="Y60" s="36">
        <f>BASE!A64</f>
        <v>49</v>
      </c>
      <c r="Z60" s="46">
        <f t="shared" si="1"/>
        <v>0</v>
      </c>
      <c r="AA60" s="46">
        <f t="shared" si="2"/>
        <v>0</v>
      </c>
      <c r="AB60" s="46">
        <f t="shared" si="3"/>
        <v>0</v>
      </c>
      <c r="AC60" s="46">
        <f t="shared" si="4"/>
        <v>0</v>
      </c>
      <c r="AD60" s="46">
        <f t="shared" si="5"/>
        <v>0</v>
      </c>
    </row>
    <row r="61" spans="1:30" ht="16.5" customHeight="1">
      <c r="A61" s="110" t="s">
        <v>611</v>
      </c>
      <c r="B61" s="106" t="s">
        <v>40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94"/>
      <c r="X61" s="36">
        <f t="shared" si="0"/>
        <v>0</v>
      </c>
      <c r="Y61" s="36">
        <f>BASE!A65</f>
        <v>50</v>
      </c>
      <c r="Z61" s="46">
        <f t="shared" si="1"/>
        <v>0</v>
      </c>
      <c r="AA61" s="46">
        <f t="shared" si="2"/>
        <v>0</v>
      </c>
      <c r="AB61" s="46">
        <f t="shared" si="3"/>
        <v>0</v>
      </c>
      <c r="AC61" s="46">
        <f t="shared" si="4"/>
        <v>0</v>
      </c>
      <c r="AD61" s="46">
        <f t="shared" si="5"/>
        <v>0</v>
      </c>
    </row>
    <row r="62" spans="1:30" ht="16.5" customHeight="1">
      <c r="A62" s="110" t="s">
        <v>612</v>
      </c>
      <c r="B62" s="106" t="s">
        <v>40</v>
      </c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94"/>
      <c r="X62" s="36">
        <f t="shared" si="0"/>
        <v>0</v>
      </c>
      <c r="Y62" s="36">
        <f>BASE!A66</f>
        <v>51</v>
      </c>
      <c r="Z62" s="46">
        <f t="shared" si="1"/>
        <v>0</v>
      </c>
      <c r="AA62" s="46">
        <f t="shared" si="2"/>
        <v>0</v>
      </c>
      <c r="AB62" s="46">
        <f t="shared" si="3"/>
        <v>0</v>
      </c>
      <c r="AC62" s="46">
        <f t="shared" si="4"/>
        <v>0</v>
      </c>
      <c r="AD62" s="46">
        <f t="shared" si="5"/>
        <v>0</v>
      </c>
    </row>
    <row r="63" spans="1:30" ht="16.5" customHeight="1">
      <c r="A63" s="110" t="s">
        <v>613</v>
      </c>
      <c r="B63" s="106" t="s">
        <v>40</v>
      </c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94"/>
      <c r="X63" s="36">
        <f t="shared" si="0"/>
        <v>0</v>
      </c>
      <c r="Y63" s="36">
        <f>BASE!A67</f>
        <v>52</v>
      </c>
      <c r="Z63" s="46">
        <f t="shared" si="1"/>
        <v>0</v>
      </c>
      <c r="AA63" s="46">
        <f t="shared" si="2"/>
        <v>0</v>
      </c>
      <c r="AB63" s="46">
        <f t="shared" si="3"/>
        <v>0</v>
      </c>
      <c r="AC63" s="46">
        <f t="shared" si="4"/>
        <v>0</v>
      </c>
      <c r="AD63" s="46">
        <f t="shared" si="5"/>
        <v>0</v>
      </c>
    </row>
    <row r="64" spans="1:30" ht="16.5" customHeight="1">
      <c r="A64" s="110" t="s">
        <v>614</v>
      </c>
      <c r="B64" s="106" t="s">
        <v>40</v>
      </c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94"/>
      <c r="X64" s="36">
        <f t="shared" si="0"/>
        <v>0</v>
      </c>
      <c r="Y64" s="36">
        <f>BASE!A68</f>
        <v>53</v>
      </c>
      <c r="Z64" s="46">
        <f t="shared" si="1"/>
        <v>0</v>
      </c>
      <c r="AA64" s="46">
        <f t="shared" si="2"/>
        <v>0</v>
      </c>
      <c r="AB64" s="46">
        <f t="shared" si="3"/>
        <v>0</v>
      </c>
      <c r="AC64" s="46">
        <f t="shared" si="4"/>
        <v>0</v>
      </c>
      <c r="AD64" s="46">
        <f t="shared" si="5"/>
        <v>0</v>
      </c>
    </row>
    <row r="65" spans="1:30" ht="16.5" customHeight="1">
      <c r="A65" s="110" t="s">
        <v>615</v>
      </c>
      <c r="B65" s="106" t="s">
        <v>40</v>
      </c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94"/>
      <c r="X65" s="36">
        <f t="shared" si="0"/>
        <v>0</v>
      </c>
      <c r="Y65" s="36">
        <f>BASE!A69</f>
        <v>54</v>
      </c>
      <c r="Z65" s="46">
        <f t="shared" si="1"/>
        <v>0</v>
      </c>
      <c r="AA65" s="46">
        <f t="shared" si="2"/>
        <v>0</v>
      </c>
      <c r="AB65" s="46">
        <f t="shared" si="3"/>
        <v>0</v>
      </c>
      <c r="AC65" s="46">
        <f t="shared" si="4"/>
        <v>0</v>
      </c>
      <c r="AD65" s="46">
        <f t="shared" si="5"/>
        <v>0</v>
      </c>
    </row>
    <row r="66" spans="1:30" ht="16.5" customHeight="1">
      <c r="A66" s="110" t="s">
        <v>616</v>
      </c>
      <c r="B66" s="106" t="s">
        <v>40</v>
      </c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94"/>
      <c r="X66" s="36">
        <f t="shared" si="0"/>
        <v>0</v>
      </c>
      <c r="Y66" s="36">
        <f>BASE!A70</f>
        <v>55</v>
      </c>
      <c r="Z66" s="46">
        <f t="shared" si="1"/>
        <v>0</v>
      </c>
      <c r="AA66" s="46">
        <f t="shared" si="2"/>
        <v>0</v>
      </c>
      <c r="AB66" s="46">
        <f t="shared" si="3"/>
        <v>0</v>
      </c>
      <c r="AC66" s="46">
        <f t="shared" si="4"/>
        <v>0</v>
      </c>
      <c r="AD66" s="46">
        <f t="shared" si="5"/>
        <v>0</v>
      </c>
    </row>
    <row r="67" spans="1:30" ht="16.5" customHeight="1">
      <c r="A67" s="110" t="s">
        <v>617</v>
      </c>
      <c r="B67" s="106" t="s">
        <v>40</v>
      </c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94"/>
      <c r="X67" s="36">
        <f t="shared" si="0"/>
        <v>0</v>
      </c>
      <c r="Y67" s="36">
        <f>BASE!A71</f>
        <v>56</v>
      </c>
      <c r="Z67" s="46">
        <f t="shared" si="1"/>
        <v>0</v>
      </c>
      <c r="AA67" s="46">
        <f t="shared" si="2"/>
        <v>0</v>
      </c>
      <c r="AB67" s="46">
        <f t="shared" si="3"/>
        <v>0</v>
      </c>
      <c r="AC67" s="46">
        <f t="shared" si="4"/>
        <v>0</v>
      </c>
      <c r="AD67" s="46">
        <f t="shared" si="5"/>
        <v>0</v>
      </c>
    </row>
    <row r="68" spans="1:30" ht="16.5" customHeight="1">
      <c r="A68" s="110" t="s">
        <v>618</v>
      </c>
      <c r="B68" s="106" t="s">
        <v>40</v>
      </c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94"/>
      <c r="X68" s="36">
        <f t="shared" si="0"/>
        <v>0</v>
      </c>
      <c r="Y68" s="36">
        <f>BASE!A72</f>
        <v>57</v>
      </c>
      <c r="Z68" s="46">
        <f t="shared" si="1"/>
        <v>0</v>
      </c>
      <c r="AA68" s="46">
        <f t="shared" si="2"/>
        <v>0</v>
      </c>
      <c r="AB68" s="46">
        <f t="shared" si="3"/>
        <v>0</v>
      </c>
      <c r="AC68" s="46">
        <f t="shared" si="4"/>
        <v>0</v>
      </c>
      <c r="AD68" s="46">
        <f t="shared" si="5"/>
        <v>0</v>
      </c>
    </row>
    <row r="69" spans="1:30" ht="16.5" customHeight="1">
      <c r="A69" s="110" t="s">
        <v>619</v>
      </c>
      <c r="B69" s="106" t="s">
        <v>40</v>
      </c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94"/>
      <c r="X69" s="36">
        <f t="shared" si="0"/>
        <v>0</v>
      </c>
      <c r="Y69" s="36">
        <f>BASE!A73</f>
        <v>58</v>
      </c>
      <c r="Z69" s="46">
        <f t="shared" si="1"/>
        <v>0</v>
      </c>
      <c r="AA69" s="46">
        <f t="shared" si="2"/>
        <v>0</v>
      </c>
      <c r="AB69" s="46">
        <f t="shared" si="3"/>
        <v>0</v>
      </c>
      <c r="AC69" s="46">
        <f t="shared" si="4"/>
        <v>0</v>
      </c>
      <c r="AD69" s="46">
        <f t="shared" si="5"/>
        <v>0</v>
      </c>
    </row>
    <row r="70" spans="1:30" ht="16.5" customHeight="1">
      <c r="A70" s="110" t="s">
        <v>620</v>
      </c>
      <c r="B70" s="106" t="s">
        <v>40</v>
      </c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94"/>
      <c r="X70" s="36">
        <f t="shared" si="0"/>
        <v>0</v>
      </c>
      <c r="Y70" s="36">
        <f>BASE!A74</f>
        <v>59</v>
      </c>
      <c r="Z70" s="46">
        <f t="shared" si="1"/>
        <v>0</v>
      </c>
      <c r="AA70" s="46">
        <f t="shared" si="2"/>
        <v>0</v>
      </c>
      <c r="AB70" s="46">
        <f t="shared" si="3"/>
        <v>0</v>
      </c>
      <c r="AC70" s="46">
        <f t="shared" si="4"/>
        <v>0</v>
      </c>
      <c r="AD70" s="46">
        <f t="shared" si="5"/>
        <v>0</v>
      </c>
    </row>
    <row r="71" spans="1:30" ht="16.5" customHeight="1">
      <c r="A71" s="110" t="s">
        <v>621</v>
      </c>
      <c r="B71" s="106" t="s">
        <v>40</v>
      </c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94"/>
      <c r="X71" s="36">
        <f t="shared" si="0"/>
        <v>0</v>
      </c>
      <c r="Y71" s="36">
        <f>BASE!A75</f>
        <v>60</v>
      </c>
      <c r="Z71" s="46">
        <f t="shared" si="1"/>
        <v>0</v>
      </c>
      <c r="AA71" s="46">
        <f t="shared" si="2"/>
        <v>0</v>
      </c>
      <c r="AB71" s="46">
        <f t="shared" si="3"/>
        <v>0</v>
      </c>
      <c r="AC71" s="46">
        <f t="shared" si="4"/>
        <v>0</v>
      </c>
      <c r="AD71" s="46">
        <f t="shared" si="5"/>
        <v>0</v>
      </c>
    </row>
    <row r="72" spans="1:30" ht="16.5" customHeight="1">
      <c r="A72" s="110" t="s">
        <v>622</v>
      </c>
      <c r="B72" s="106" t="s">
        <v>40</v>
      </c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94"/>
      <c r="X72" s="36">
        <f t="shared" si="0"/>
        <v>0</v>
      </c>
      <c r="Y72" s="36">
        <f>BASE!A76</f>
        <v>61</v>
      </c>
      <c r="Z72" s="46">
        <f t="shared" si="1"/>
        <v>0</v>
      </c>
      <c r="AA72" s="46">
        <f t="shared" si="2"/>
        <v>0</v>
      </c>
      <c r="AB72" s="46">
        <f t="shared" si="3"/>
        <v>0</v>
      </c>
      <c r="AC72" s="46">
        <f t="shared" si="4"/>
        <v>0</v>
      </c>
      <c r="AD72" s="46">
        <f t="shared" si="5"/>
        <v>0</v>
      </c>
    </row>
    <row r="73" spans="1:30" ht="16.5" customHeight="1">
      <c r="A73" s="110" t="s">
        <v>623</v>
      </c>
      <c r="B73" s="106" t="s">
        <v>40</v>
      </c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94"/>
      <c r="X73" s="36">
        <f t="shared" si="0"/>
        <v>0</v>
      </c>
      <c r="Y73" s="36">
        <f>BASE!A77</f>
        <v>62</v>
      </c>
      <c r="Z73" s="46">
        <f t="shared" si="1"/>
        <v>0</v>
      </c>
      <c r="AA73" s="46">
        <f t="shared" si="2"/>
        <v>0</v>
      </c>
      <c r="AB73" s="46">
        <f t="shared" si="3"/>
        <v>0</v>
      </c>
      <c r="AC73" s="46">
        <f t="shared" si="4"/>
        <v>0</v>
      </c>
      <c r="AD73" s="46">
        <f t="shared" si="5"/>
        <v>0</v>
      </c>
    </row>
    <row r="74" spans="1:30" ht="16.5" customHeight="1">
      <c r="A74" s="110" t="s">
        <v>624</v>
      </c>
      <c r="B74" s="106" t="s">
        <v>40</v>
      </c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94"/>
      <c r="X74" s="36">
        <f t="shared" si="0"/>
        <v>0</v>
      </c>
      <c r="Y74" s="36">
        <f>BASE!A78</f>
        <v>63</v>
      </c>
      <c r="Z74" s="46">
        <f t="shared" si="1"/>
        <v>0</v>
      </c>
      <c r="AA74" s="46">
        <f t="shared" si="2"/>
        <v>0</v>
      </c>
      <c r="AB74" s="46">
        <f t="shared" si="3"/>
        <v>0</v>
      </c>
      <c r="AC74" s="46">
        <f t="shared" si="4"/>
        <v>0</v>
      </c>
      <c r="AD74" s="46">
        <f t="shared" si="5"/>
        <v>0</v>
      </c>
    </row>
    <row r="75" spans="1:30" ht="16.5" customHeight="1">
      <c r="A75" s="110" t="s">
        <v>625</v>
      </c>
      <c r="B75" s="106" t="s">
        <v>40</v>
      </c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94"/>
      <c r="X75" s="36">
        <f t="shared" si="0"/>
        <v>0</v>
      </c>
      <c r="Y75" s="36">
        <f>BASE!A79</f>
        <v>64</v>
      </c>
      <c r="Z75" s="46">
        <f t="shared" si="1"/>
        <v>0</v>
      </c>
      <c r="AA75" s="46">
        <f t="shared" si="2"/>
        <v>0</v>
      </c>
      <c r="AB75" s="46">
        <f t="shared" si="3"/>
        <v>0</v>
      </c>
      <c r="AC75" s="46">
        <f t="shared" si="4"/>
        <v>0</v>
      </c>
      <c r="AD75" s="46">
        <f t="shared" si="5"/>
        <v>0</v>
      </c>
    </row>
    <row r="76" spans="1:30" ht="16.5" customHeight="1">
      <c r="A76" s="110" t="s">
        <v>626</v>
      </c>
      <c r="B76" s="106" t="s">
        <v>40</v>
      </c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94"/>
      <c r="X76" s="36">
        <f t="shared" si="0"/>
        <v>0</v>
      </c>
      <c r="Y76" s="36">
        <f>BASE!A80</f>
        <v>65</v>
      </c>
      <c r="Z76" s="46">
        <f t="shared" si="1"/>
        <v>0</v>
      </c>
      <c r="AA76" s="46">
        <f t="shared" si="2"/>
        <v>0</v>
      </c>
      <c r="AB76" s="46">
        <f t="shared" si="3"/>
        <v>0</v>
      </c>
      <c r="AC76" s="46">
        <f t="shared" si="4"/>
        <v>0</v>
      </c>
      <c r="AD76" s="46">
        <f t="shared" si="5"/>
        <v>0</v>
      </c>
    </row>
    <row r="77" spans="1:30" ht="16.5" customHeight="1">
      <c r="A77" s="110" t="s">
        <v>627</v>
      </c>
      <c r="B77" s="106" t="s">
        <v>40</v>
      </c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94"/>
      <c r="X77" s="36">
        <f t="shared" si="0"/>
        <v>0</v>
      </c>
      <c r="Y77" s="36">
        <f>BASE!A81</f>
        <v>66</v>
      </c>
      <c r="Z77" s="46">
        <f t="shared" si="1"/>
        <v>0</v>
      </c>
      <c r="AA77" s="46">
        <f t="shared" si="2"/>
        <v>0</v>
      </c>
      <c r="AB77" s="46">
        <f t="shared" si="3"/>
        <v>0</v>
      </c>
      <c r="AC77" s="46">
        <f t="shared" si="4"/>
        <v>0</v>
      </c>
      <c r="AD77" s="46">
        <f t="shared" si="5"/>
        <v>0</v>
      </c>
    </row>
    <row r="78" spans="1:30" ht="16.5" customHeight="1">
      <c r="A78" s="110" t="s">
        <v>628</v>
      </c>
      <c r="B78" s="106" t="s">
        <v>40</v>
      </c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94"/>
      <c r="X78" s="36">
        <f t="shared" si="0"/>
        <v>0</v>
      </c>
      <c r="Y78" s="36">
        <f>BASE!A82</f>
        <v>67</v>
      </c>
      <c r="Z78" s="46">
        <f t="shared" si="1"/>
        <v>0</v>
      </c>
      <c r="AA78" s="46">
        <f t="shared" si="2"/>
        <v>0</v>
      </c>
      <c r="AB78" s="46">
        <f t="shared" si="3"/>
        <v>0</v>
      </c>
      <c r="AC78" s="46">
        <f t="shared" si="4"/>
        <v>0</v>
      </c>
      <c r="AD78" s="46">
        <f t="shared" si="5"/>
        <v>0</v>
      </c>
    </row>
    <row r="79" spans="1:30" ht="20.25" customHeight="1">
      <c r="A79" s="110" t="s">
        <v>629</v>
      </c>
      <c r="B79" s="106" t="s">
        <v>40</v>
      </c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94"/>
      <c r="X79" s="36">
        <f t="shared" si="0"/>
        <v>0</v>
      </c>
      <c r="Y79" s="36">
        <f>BASE!A83</f>
        <v>68</v>
      </c>
      <c r="Z79" s="46">
        <f t="shared" si="1"/>
        <v>0</v>
      </c>
      <c r="AA79" s="46">
        <f t="shared" si="2"/>
        <v>0</v>
      </c>
      <c r="AB79" s="46">
        <f t="shared" si="3"/>
        <v>0</v>
      </c>
      <c r="AC79" s="46">
        <f t="shared" si="4"/>
        <v>0</v>
      </c>
      <c r="AD79" s="46">
        <f t="shared" si="5"/>
        <v>0</v>
      </c>
    </row>
    <row r="80" spans="1:30" ht="20.25" customHeight="1">
      <c r="A80" s="110" t="s">
        <v>630</v>
      </c>
      <c r="B80" s="106" t="s">
        <v>40</v>
      </c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94"/>
      <c r="X80" s="36">
        <f t="shared" si="0"/>
        <v>0</v>
      </c>
      <c r="Y80" s="36">
        <f>BASE!A84</f>
        <v>69</v>
      </c>
      <c r="Z80" s="46">
        <f t="shared" si="1"/>
        <v>0</v>
      </c>
      <c r="AA80" s="46">
        <f t="shared" si="2"/>
        <v>0</v>
      </c>
      <c r="AB80" s="46">
        <f t="shared" si="3"/>
        <v>0</v>
      </c>
      <c r="AC80" s="46">
        <f t="shared" si="4"/>
        <v>0</v>
      </c>
      <c r="AD80" s="46">
        <f t="shared" si="5"/>
        <v>0</v>
      </c>
    </row>
    <row r="81" spans="1:30" ht="20.25" customHeight="1">
      <c r="A81" s="110" t="s">
        <v>631</v>
      </c>
      <c r="B81" s="106" t="s">
        <v>40</v>
      </c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94"/>
      <c r="X81" s="36">
        <f t="shared" si="0"/>
        <v>0</v>
      </c>
      <c r="Y81" s="36">
        <f>BASE!A85</f>
        <v>70</v>
      </c>
      <c r="Z81" s="46">
        <f t="shared" si="1"/>
        <v>0</v>
      </c>
      <c r="AA81" s="46">
        <f t="shared" si="2"/>
        <v>0</v>
      </c>
      <c r="AB81" s="46">
        <f t="shared" si="3"/>
        <v>0</v>
      </c>
      <c r="AC81" s="46">
        <f t="shared" si="4"/>
        <v>0</v>
      </c>
      <c r="AD81" s="46">
        <f t="shared" si="5"/>
        <v>0</v>
      </c>
    </row>
    <row r="82" spans="1:30" ht="20.25" customHeight="1">
      <c r="A82" s="110" t="s">
        <v>632</v>
      </c>
      <c r="B82" s="106" t="s">
        <v>40</v>
      </c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94"/>
      <c r="X82" s="36">
        <f t="shared" si="0"/>
        <v>0</v>
      </c>
      <c r="Y82" s="36">
        <f>BASE!A86</f>
        <v>71</v>
      </c>
      <c r="Z82" s="46">
        <f t="shared" si="1"/>
        <v>0</v>
      </c>
      <c r="AA82" s="46">
        <f t="shared" si="2"/>
        <v>0</v>
      </c>
      <c r="AB82" s="46">
        <f t="shared" si="3"/>
        <v>0</v>
      </c>
      <c r="AC82" s="46">
        <f t="shared" si="4"/>
        <v>0</v>
      </c>
      <c r="AD82" s="46">
        <f t="shared" si="5"/>
        <v>0</v>
      </c>
    </row>
    <row r="83" spans="1:30" ht="20.25" customHeight="1">
      <c r="A83" s="110" t="s">
        <v>633</v>
      </c>
      <c r="B83" s="106" t="s">
        <v>40</v>
      </c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94"/>
      <c r="X83" s="36">
        <f t="shared" si="0"/>
        <v>0</v>
      </c>
      <c r="Y83" s="36">
        <f>BASE!A87</f>
        <v>72</v>
      </c>
      <c r="Z83" s="46">
        <f t="shared" si="1"/>
        <v>0</v>
      </c>
      <c r="AA83" s="46">
        <f t="shared" si="2"/>
        <v>0</v>
      </c>
      <c r="AB83" s="46">
        <f t="shared" si="3"/>
        <v>0</v>
      </c>
      <c r="AC83" s="46">
        <f t="shared" si="4"/>
        <v>0</v>
      </c>
      <c r="AD83" s="46">
        <f t="shared" si="5"/>
        <v>0</v>
      </c>
    </row>
    <row r="84" spans="1:30" ht="20.25" customHeight="1">
      <c r="A84" s="110" t="s">
        <v>634</v>
      </c>
      <c r="B84" s="106" t="s">
        <v>40</v>
      </c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94"/>
      <c r="X84" s="36">
        <f t="shared" si="0"/>
        <v>0</v>
      </c>
      <c r="Y84" s="36">
        <f>BASE!A88</f>
        <v>73</v>
      </c>
      <c r="Z84" s="46">
        <f t="shared" si="1"/>
        <v>0</v>
      </c>
      <c r="AA84" s="46">
        <f t="shared" si="2"/>
        <v>0</v>
      </c>
      <c r="AB84" s="46">
        <f t="shared" si="3"/>
        <v>0</v>
      </c>
      <c r="AC84" s="46">
        <f t="shared" si="4"/>
        <v>0</v>
      </c>
      <c r="AD84" s="46">
        <f t="shared" si="5"/>
        <v>0</v>
      </c>
    </row>
    <row r="85" spans="1:30" ht="20.25" customHeight="1">
      <c r="A85" s="110" t="s">
        <v>635</v>
      </c>
      <c r="B85" s="106" t="s">
        <v>40</v>
      </c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94"/>
      <c r="X85" s="36">
        <f t="shared" si="0"/>
        <v>0</v>
      </c>
      <c r="Y85" s="36">
        <f>BASE!A89</f>
        <v>74</v>
      </c>
      <c r="Z85" s="46">
        <f t="shared" si="1"/>
        <v>0</v>
      </c>
      <c r="AA85" s="46">
        <f t="shared" si="2"/>
        <v>0</v>
      </c>
      <c r="AB85" s="46">
        <f t="shared" si="3"/>
        <v>0</v>
      </c>
      <c r="AC85" s="46">
        <f t="shared" si="4"/>
        <v>0</v>
      </c>
      <c r="AD85" s="46">
        <f t="shared" si="5"/>
        <v>0</v>
      </c>
    </row>
    <row r="86" spans="1:30" ht="20.25" customHeight="1">
      <c r="A86" s="110" t="s">
        <v>636</v>
      </c>
      <c r="B86" s="106" t="s">
        <v>40</v>
      </c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94"/>
      <c r="X86" s="36">
        <f t="shared" si="0"/>
        <v>0</v>
      </c>
      <c r="Y86" s="36">
        <f>BASE!A90</f>
        <v>75</v>
      </c>
      <c r="Z86" s="46">
        <f t="shared" si="1"/>
        <v>0</v>
      </c>
      <c r="AA86" s="46">
        <f t="shared" si="2"/>
        <v>0</v>
      </c>
      <c r="AB86" s="46">
        <f t="shared" si="3"/>
        <v>0</v>
      </c>
      <c r="AC86" s="46">
        <f t="shared" si="4"/>
        <v>0</v>
      </c>
      <c r="AD86" s="46">
        <f t="shared" si="5"/>
        <v>0</v>
      </c>
    </row>
    <row r="87" spans="1:30" ht="20.25" customHeight="1">
      <c r="A87" s="110" t="s">
        <v>637</v>
      </c>
      <c r="B87" s="106" t="s">
        <v>40</v>
      </c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94"/>
      <c r="X87" s="36">
        <f t="shared" si="0"/>
        <v>0</v>
      </c>
      <c r="Y87" s="36">
        <f>BASE!A91</f>
        <v>76</v>
      </c>
      <c r="Z87" s="46">
        <f t="shared" si="1"/>
        <v>0</v>
      </c>
      <c r="AA87" s="46">
        <f t="shared" si="2"/>
        <v>0</v>
      </c>
      <c r="AB87" s="46">
        <f t="shared" si="3"/>
        <v>0</v>
      </c>
      <c r="AC87" s="46">
        <f t="shared" si="4"/>
        <v>0</v>
      </c>
      <c r="AD87" s="46">
        <f t="shared" si="5"/>
        <v>0</v>
      </c>
    </row>
    <row r="88" spans="1:30" ht="20.25" customHeight="1">
      <c r="A88" s="110" t="s">
        <v>638</v>
      </c>
      <c r="B88" s="106" t="s">
        <v>40</v>
      </c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94"/>
      <c r="X88" s="36">
        <f t="shared" si="0"/>
        <v>0</v>
      </c>
      <c r="Y88" s="36">
        <f>BASE!A92</f>
        <v>77</v>
      </c>
      <c r="Z88" s="46">
        <f t="shared" si="1"/>
        <v>0</v>
      </c>
      <c r="AA88" s="46">
        <f t="shared" si="2"/>
        <v>0</v>
      </c>
      <c r="AB88" s="46">
        <f t="shared" si="3"/>
        <v>0</v>
      </c>
      <c r="AC88" s="46">
        <f t="shared" si="4"/>
        <v>0</v>
      </c>
      <c r="AD88" s="46">
        <f t="shared" si="5"/>
        <v>0</v>
      </c>
    </row>
    <row r="89" spans="1:30" ht="20.25" customHeight="1">
      <c r="A89" s="110" t="s">
        <v>639</v>
      </c>
      <c r="B89" s="106" t="s">
        <v>40</v>
      </c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94"/>
      <c r="X89" s="36">
        <f t="shared" si="0"/>
        <v>0</v>
      </c>
      <c r="Y89" s="36">
        <f>BASE!A93</f>
        <v>78</v>
      </c>
      <c r="Z89" s="46">
        <f t="shared" si="1"/>
        <v>0</v>
      </c>
      <c r="AA89" s="46">
        <f t="shared" si="2"/>
        <v>0</v>
      </c>
      <c r="AB89" s="46">
        <f t="shared" si="3"/>
        <v>0</v>
      </c>
      <c r="AC89" s="46">
        <f t="shared" si="4"/>
        <v>0</v>
      </c>
      <c r="AD89" s="46">
        <f t="shared" si="5"/>
        <v>0</v>
      </c>
    </row>
    <row r="90" spans="1:30" ht="20.25" customHeight="1">
      <c r="A90" s="110" t="s">
        <v>640</v>
      </c>
      <c r="B90" s="106" t="s">
        <v>40</v>
      </c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94"/>
      <c r="X90" s="36">
        <f t="shared" si="0"/>
        <v>0</v>
      </c>
      <c r="Y90" s="36">
        <f>BASE!A94</f>
        <v>79</v>
      </c>
      <c r="Z90" s="46">
        <f t="shared" si="1"/>
        <v>0</v>
      </c>
      <c r="AA90" s="46">
        <f t="shared" si="2"/>
        <v>0</v>
      </c>
      <c r="AB90" s="46">
        <f t="shared" si="3"/>
        <v>0</v>
      </c>
      <c r="AC90" s="46">
        <f t="shared" si="4"/>
        <v>0</v>
      </c>
      <c r="AD90" s="46">
        <f t="shared" si="5"/>
        <v>0</v>
      </c>
    </row>
    <row r="91" spans="1:30" ht="20.25" customHeight="1">
      <c r="A91" s="110" t="s">
        <v>641</v>
      </c>
      <c r="B91" s="106" t="s">
        <v>40</v>
      </c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94"/>
      <c r="X91" s="36">
        <f t="shared" si="0"/>
        <v>0</v>
      </c>
      <c r="Y91" s="36">
        <f>BASE!A95</f>
        <v>80</v>
      </c>
      <c r="Z91" s="46">
        <f t="shared" si="1"/>
        <v>0</v>
      </c>
      <c r="AA91" s="46">
        <f t="shared" si="2"/>
        <v>0</v>
      </c>
      <c r="AB91" s="46">
        <f t="shared" si="3"/>
        <v>0</v>
      </c>
      <c r="AC91" s="46">
        <f t="shared" si="4"/>
        <v>0</v>
      </c>
      <c r="AD91" s="46">
        <f t="shared" si="5"/>
        <v>0</v>
      </c>
    </row>
    <row r="92" spans="1:30" ht="20.25" customHeight="1">
      <c r="A92" s="110" t="s">
        <v>642</v>
      </c>
      <c r="B92" s="106" t="s">
        <v>40</v>
      </c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94"/>
      <c r="X92" s="36">
        <f t="shared" si="0"/>
        <v>0</v>
      </c>
      <c r="Y92" s="36">
        <f>BASE!A96</f>
        <v>81</v>
      </c>
      <c r="Z92" s="46">
        <f t="shared" si="1"/>
        <v>0</v>
      </c>
      <c r="AA92" s="46">
        <f t="shared" si="2"/>
        <v>0</v>
      </c>
      <c r="AB92" s="46">
        <f t="shared" si="3"/>
        <v>0</v>
      </c>
      <c r="AC92" s="46">
        <f t="shared" si="4"/>
        <v>0</v>
      </c>
      <c r="AD92" s="46">
        <f t="shared" si="5"/>
        <v>0</v>
      </c>
    </row>
    <row r="93" spans="1:30" ht="20.25" customHeight="1">
      <c r="A93" s="110" t="s">
        <v>643</v>
      </c>
      <c r="B93" s="106" t="s">
        <v>40</v>
      </c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94"/>
      <c r="X93" s="36">
        <f t="shared" si="0"/>
        <v>0</v>
      </c>
      <c r="Y93" s="36">
        <f>BASE!A97</f>
        <v>82</v>
      </c>
      <c r="Z93" s="46">
        <f t="shared" si="1"/>
        <v>0</v>
      </c>
      <c r="AA93" s="46">
        <f t="shared" si="2"/>
        <v>0</v>
      </c>
      <c r="AB93" s="46">
        <f t="shared" si="3"/>
        <v>0</v>
      </c>
      <c r="AC93" s="46">
        <f t="shared" si="4"/>
        <v>0</v>
      </c>
      <c r="AD93" s="46">
        <f t="shared" si="5"/>
        <v>0</v>
      </c>
    </row>
    <row r="94" spans="1:30" ht="20.25" customHeight="1">
      <c r="A94" s="110" t="s">
        <v>644</v>
      </c>
      <c r="B94" s="106" t="s">
        <v>40</v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94"/>
      <c r="X94" s="36">
        <f t="shared" si="0"/>
        <v>0</v>
      </c>
      <c r="Y94" s="36">
        <f>BASE!A98</f>
        <v>83</v>
      </c>
      <c r="Z94" s="46">
        <f t="shared" si="1"/>
        <v>0</v>
      </c>
      <c r="AA94" s="46">
        <f t="shared" si="2"/>
        <v>0</v>
      </c>
      <c r="AB94" s="46">
        <f t="shared" si="3"/>
        <v>0</v>
      </c>
      <c r="AC94" s="46">
        <f t="shared" si="4"/>
        <v>0</v>
      </c>
      <c r="AD94" s="46">
        <f t="shared" si="5"/>
        <v>0</v>
      </c>
    </row>
    <row r="95" spans="1:30" ht="20.25" customHeight="1">
      <c r="A95" s="110" t="s">
        <v>645</v>
      </c>
      <c r="B95" s="106" t="s">
        <v>40</v>
      </c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94"/>
      <c r="X95" s="36">
        <f t="shared" si="0"/>
        <v>0</v>
      </c>
      <c r="Y95" s="36">
        <f>BASE!A99</f>
        <v>84</v>
      </c>
      <c r="Z95" s="46">
        <f t="shared" si="1"/>
        <v>0</v>
      </c>
      <c r="AA95" s="46">
        <f t="shared" si="2"/>
        <v>0</v>
      </c>
      <c r="AB95" s="46">
        <f t="shared" si="3"/>
        <v>0</v>
      </c>
      <c r="AC95" s="46">
        <f t="shared" si="4"/>
        <v>0</v>
      </c>
      <c r="AD95" s="46">
        <f t="shared" si="5"/>
        <v>0</v>
      </c>
    </row>
    <row r="96" spans="1:30" ht="20.25" customHeight="1">
      <c r="A96" s="110" t="s">
        <v>646</v>
      </c>
      <c r="B96" s="106" t="s">
        <v>40</v>
      </c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94"/>
      <c r="X96" s="36">
        <f t="shared" si="0"/>
        <v>0</v>
      </c>
      <c r="Y96" s="36">
        <f>BASE!A100</f>
        <v>85</v>
      </c>
      <c r="Z96" s="46">
        <f t="shared" si="1"/>
        <v>0</v>
      </c>
      <c r="AA96" s="46">
        <f t="shared" si="2"/>
        <v>0</v>
      </c>
      <c r="AB96" s="46">
        <f t="shared" si="3"/>
        <v>0</v>
      </c>
      <c r="AC96" s="46">
        <f t="shared" si="4"/>
        <v>0</v>
      </c>
      <c r="AD96" s="46">
        <f t="shared" si="5"/>
        <v>0</v>
      </c>
    </row>
    <row r="97" spans="1:30" ht="20.25" customHeight="1">
      <c r="A97" s="110" t="s">
        <v>647</v>
      </c>
      <c r="B97" s="106" t="s">
        <v>40</v>
      </c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94"/>
      <c r="X97" s="36">
        <f t="shared" si="0"/>
        <v>0</v>
      </c>
      <c r="Y97" s="36">
        <f>BASE!A101</f>
        <v>86</v>
      </c>
      <c r="Z97" s="46">
        <f t="shared" si="1"/>
        <v>0</v>
      </c>
      <c r="AA97" s="46">
        <f t="shared" si="2"/>
        <v>0</v>
      </c>
      <c r="AB97" s="46">
        <f t="shared" si="3"/>
        <v>0</v>
      </c>
      <c r="AC97" s="46">
        <f t="shared" si="4"/>
        <v>0</v>
      </c>
      <c r="AD97" s="46">
        <f t="shared" si="5"/>
        <v>0</v>
      </c>
    </row>
    <row r="98" spans="1:30" ht="20.25" customHeight="1">
      <c r="A98" s="110" t="s">
        <v>648</v>
      </c>
      <c r="B98" s="106" t="s">
        <v>40</v>
      </c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94"/>
      <c r="X98" s="36">
        <f t="shared" si="0"/>
        <v>0</v>
      </c>
      <c r="Y98" s="36">
        <f>BASE!A102</f>
        <v>87</v>
      </c>
      <c r="Z98" s="46">
        <f t="shared" si="1"/>
        <v>0</v>
      </c>
      <c r="AA98" s="46">
        <f t="shared" si="2"/>
        <v>0</v>
      </c>
      <c r="AB98" s="46">
        <f t="shared" si="3"/>
        <v>0</v>
      </c>
      <c r="AC98" s="46">
        <f t="shared" si="4"/>
        <v>0</v>
      </c>
      <c r="AD98" s="46">
        <f t="shared" si="5"/>
        <v>0</v>
      </c>
    </row>
    <row r="99" spans="1:30" ht="20.25" customHeight="1">
      <c r="A99" s="110" t="s">
        <v>649</v>
      </c>
      <c r="B99" s="106" t="s">
        <v>40</v>
      </c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94"/>
      <c r="X99" s="36">
        <f t="shared" si="0"/>
        <v>0</v>
      </c>
      <c r="Y99" s="36">
        <f>BASE!A103</f>
        <v>88</v>
      </c>
      <c r="Z99" s="46">
        <f t="shared" si="1"/>
        <v>0</v>
      </c>
      <c r="AA99" s="46">
        <f t="shared" si="2"/>
        <v>0</v>
      </c>
      <c r="AB99" s="46">
        <f t="shared" si="3"/>
        <v>0</v>
      </c>
      <c r="AC99" s="46">
        <f t="shared" si="4"/>
        <v>0</v>
      </c>
      <c r="AD99" s="46">
        <f t="shared" si="5"/>
        <v>0</v>
      </c>
    </row>
    <row r="100" spans="1:30" ht="20.25" customHeight="1">
      <c r="A100" s="110" t="s">
        <v>650</v>
      </c>
      <c r="B100" s="106" t="s">
        <v>40</v>
      </c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94"/>
      <c r="X100" s="36">
        <f t="shared" si="0"/>
        <v>0</v>
      </c>
      <c r="Y100" s="36">
        <f>BASE!A104</f>
        <v>89</v>
      </c>
      <c r="Z100" s="46">
        <f t="shared" si="1"/>
        <v>0</v>
      </c>
      <c r="AA100" s="46">
        <f t="shared" si="2"/>
        <v>0</v>
      </c>
      <c r="AB100" s="46">
        <f t="shared" si="3"/>
        <v>0</v>
      </c>
      <c r="AC100" s="46">
        <f t="shared" si="4"/>
        <v>0</v>
      </c>
      <c r="AD100" s="46">
        <f t="shared" si="5"/>
        <v>0</v>
      </c>
    </row>
    <row r="101" spans="1:30" ht="20.25" customHeight="1">
      <c r="A101" s="110" t="s">
        <v>651</v>
      </c>
      <c r="B101" s="106" t="s">
        <v>40</v>
      </c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94"/>
      <c r="X101" s="36">
        <f t="shared" si="0"/>
        <v>0</v>
      </c>
      <c r="Y101" s="36">
        <f>BASE!A105</f>
        <v>90</v>
      </c>
      <c r="Z101" s="46">
        <f t="shared" si="1"/>
        <v>0</v>
      </c>
      <c r="AA101" s="46">
        <f t="shared" si="2"/>
        <v>0</v>
      </c>
      <c r="AB101" s="46">
        <f t="shared" si="3"/>
        <v>0</v>
      </c>
      <c r="AC101" s="46">
        <f t="shared" si="4"/>
        <v>0</v>
      </c>
      <c r="AD101" s="46">
        <f t="shared" si="5"/>
        <v>0</v>
      </c>
    </row>
    <row r="102" spans="1:30" ht="20.25" customHeight="1">
      <c r="A102" s="110" t="s">
        <v>652</v>
      </c>
      <c r="B102" s="106" t="s">
        <v>40</v>
      </c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94"/>
      <c r="X102" s="36">
        <f t="shared" si="0"/>
        <v>0</v>
      </c>
      <c r="Y102" s="36">
        <f>BASE!A106</f>
        <v>91</v>
      </c>
      <c r="Z102" s="46">
        <f t="shared" si="1"/>
        <v>0</v>
      </c>
      <c r="AA102" s="46">
        <f t="shared" si="2"/>
        <v>0</v>
      </c>
      <c r="AB102" s="46">
        <f t="shared" si="3"/>
        <v>0</v>
      </c>
      <c r="AC102" s="46">
        <f t="shared" si="4"/>
        <v>0</v>
      </c>
      <c r="AD102" s="46">
        <f t="shared" si="5"/>
        <v>0</v>
      </c>
    </row>
    <row r="103" spans="1:30" ht="20.25" customHeight="1">
      <c r="A103" s="110" t="s">
        <v>653</v>
      </c>
      <c r="B103" s="106" t="s">
        <v>40</v>
      </c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94"/>
      <c r="X103" s="36">
        <f t="shared" si="0"/>
        <v>0</v>
      </c>
      <c r="Y103" s="36">
        <f>BASE!A107</f>
        <v>92</v>
      </c>
      <c r="Z103" s="46">
        <f t="shared" si="1"/>
        <v>0</v>
      </c>
      <c r="AA103" s="46">
        <f t="shared" si="2"/>
        <v>0</v>
      </c>
      <c r="AB103" s="46">
        <f t="shared" si="3"/>
        <v>0</v>
      </c>
      <c r="AC103" s="46">
        <f t="shared" si="4"/>
        <v>0</v>
      </c>
      <c r="AD103" s="46">
        <f t="shared" si="5"/>
        <v>0</v>
      </c>
    </row>
    <row r="104" spans="1:30" ht="20.25" customHeight="1">
      <c r="A104" s="110" t="s">
        <v>654</v>
      </c>
      <c r="B104" s="106" t="s">
        <v>40</v>
      </c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94"/>
      <c r="X104" s="36">
        <f t="shared" si="0"/>
        <v>0</v>
      </c>
      <c r="Y104" s="36">
        <f>BASE!A108</f>
        <v>93</v>
      </c>
      <c r="Z104" s="46">
        <f t="shared" si="1"/>
        <v>0</v>
      </c>
      <c r="AA104" s="46">
        <f t="shared" si="2"/>
        <v>0</v>
      </c>
      <c r="AB104" s="46">
        <f t="shared" si="3"/>
        <v>0</v>
      </c>
      <c r="AC104" s="46">
        <f t="shared" si="4"/>
        <v>0</v>
      </c>
      <c r="AD104" s="46">
        <f t="shared" si="5"/>
        <v>0</v>
      </c>
    </row>
    <row r="105" spans="1:30" ht="20.25" customHeight="1">
      <c r="A105" s="110" t="s">
        <v>655</v>
      </c>
      <c r="B105" s="106" t="s">
        <v>40</v>
      </c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94"/>
      <c r="X105" s="36">
        <f t="shared" si="0"/>
        <v>0</v>
      </c>
      <c r="Y105" s="36">
        <f>BASE!A109</f>
        <v>94</v>
      </c>
      <c r="Z105" s="46">
        <f t="shared" si="1"/>
        <v>0</v>
      </c>
      <c r="AA105" s="46">
        <f t="shared" si="2"/>
        <v>0</v>
      </c>
      <c r="AB105" s="46">
        <f t="shared" si="3"/>
        <v>0</v>
      </c>
      <c r="AC105" s="46">
        <f t="shared" si="4"/>
        <v>0</v>
      </c>
      <c r="AD105" s="46">
        <f t="shared" si="5"/>
        <v>0</v>
      </c>
    </row>
    <row r="106" spans="1:30" ht="20.25" customHeight="1">
      <c r="A106" s="110" t="s">
        <v>656</v>
      </c>
      <c r="B106" s="106" t="s">
        <v>40</v>
      </c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94"/>
      <c r="X106" s="36">
        <f t="shared" si="0"/>
        <v>0</v>
      </c>
      <c r="Y106" s="36">
        <f>BASE!A110</f>
        <v>95</v>
      </c>
      <c r="Z106" s="46">
        <f t="shared" si="1"/>
        <v>0</v>
      </c>
      <c r="AA106" s="46">
        <f t="shared" si="2"/>
        <v>0</v>
      </c>
      <c r="AB106" s="46">
        <f t="shared" si="3"/>
        <v>0</v>
      </c>
      <c r="AC106" s="46">
        <f t="shared" si="4"/>
        <v>0</v>
      </c>
      <c r="AD106" s="46">
        <f t="shared" si="5"/>
        <v>0</v>
      </c>
    </row>
    <row r="107" spans="1:30" ht="20.25" customHeight="1">
      <c r="A107" s="110" t="s">
        <v>657</v>
      </c>
      <c r="B107" s="106" t="s">
        <v>40</v>
      </c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94"/>
      <c r="X107" s="36">
        <f t="shared" si="0"/>
        <v>0</v>
      </c>
      <c r="Y107" s="36">
        <f>BASE!A111</f>
        <v>96</v>
      </c>
      <c r="Z107" s="46">
        <f t="shared" si="1"/>
        <v>0</v>
      </c>
      <c r="AA107" s="46">
        <f t="shared" si="2"/>
        <v>0</v>
      </c>
      <c r="AB107" s="46">
        <f t="shared" si="3"/>
        <v>0</v>
      </c>
      <c r="AC107" s="46">
        <f t="shared" si="4"/>
        <v>0</v>
      </c>
      <c r="AD107" s="46">
        <f t="shared" si="5"/>
        <v>0</v>
      </c>
    </row>
    <row r="108" spans="1:30" ht="20.25" customHeight="1">
      <c r="A108" s="110" t="s">
        <v>658</v>
      </c>
      <c r="B108" s="106" t="s">
        <v>40</v>
      </c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94"/>
      <c r="X108" s="36">
        <f t="shared" si="0"/>
        <v>0</v>
      </c>
      <c r="Y108" s="36">
        <f>BASE!A112</f>
        <v>97</v>
      </c>
      <c r="Z108" s="46">
        <f t="shared" si="1"/>
        <v>0</v>
      </c>
      <c r="AA108" s="46">
        <f t="shared" si="2"/>
        <v>0</v>
      </c>
      <c r="AB108" s="46">
        <f t="shared" si="3"/>
        <v>0</v>
      </c>
      <c r="AC108" s="46">
        <f t="shared" si="4"/>
        <v>0</v>
      </c>
      <c r="AD108" s="46">
        <f t="shared" si="5"/>
        <v>0</v>
      </c>
    </row>
    <row r="109" spans="1:30" ht="20.25" customHeight="1">
      <c r="A109" s="110" t="s">
        <v>659</v>
      </c>
      <c r="B109" s="106" t="s">
        <v>40</v>
      </c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94"/>
      <c r="X109" s="36">
        <f t="shared" si="0"/>
        <v>0</v>
      </c>
      <c r="Y109" s="36">
        <f>BASE!A113</f>
        <v>98</v>
      </c>
      <c r="Z109" s="46">
        <f t="shared" si="1"/>
        <v>0</v>
      </c>
      <c r="AA109" s="46">
        <f t="shared" si="2"/>
        <v>0</v>
      </c>
      <c r="AB109" s="46">
        <f t="shared" si="3"/>
        <v>0</v>
      </c>
      <c r="AC109" s="46">
        <f t="shared" si="4"/>
        <v>0</v>
      </c>
      <c r="AD109" s="46">
        <f t="shared" si="5"/>
        <v>0</v>
      </c>
    </row>
    <row r="110" spans="1:30" ht="20.25" customHeight="1">
      <c r="A110" s="110" t="s">
        <v>660</v>
      </c>
      <c r="B110" s="106" t="s">
        <v>40</v>
      </c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94"/>
      <c r="X110" s="36">
        <f t="shared" si="0"/>
        <v>0</v>
      </c>
      <c r="Y110" s="36">
        <f>BASE!A114</f>
        <v>99</v>
      </c>
      <c r="Z110" s="46">
        <f t="shared" si="1"/>
        <v>0</v>
      </c>
      <c r="AA110" s="46">
        <f t="shared" si="2"/>
        <v>0</v>
      </c>
      <c r="AB110" s="46">
        <f t="shared" si="3"/>
        <v>0</v>
      </c>
      <c r="AC110" s="46">
        <f t="shared" si="4"/>
        <v>0</v>
      </c>
      <c r="AD110" s="46">
        <f t="shared" si="5"/>
        <v>0</v>
      </c>
    </row>
    <row r="111" spans="1:30" ht="20.25" customHeight="1">
      <c r="A111" s="110" t="s">
        <v>661</v>
      </c>
      <c r="B111" s="106" t="s">
        <v>40</v>
      </c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94"/>
      <c r="X111" s="36">
        <f t="shared" si="0"/>
        <v>0</v>
      </c>
      <c r="Y111" s="36">
        <f>BASE!A115</f>
        <v>100</v>
      </c>
      <c r="Z111" s="46">
        <f t="shared" si="1"/>
        <v>0</v>
      </c>
      <c r="AA111" s="46">
        <f t="shared" si="2"/>
        <v>0</v>
      </c>
      <c r="AB111" s="46">
        <f t="shared" si="3"/>
        <v>0</v>
      </c>
      <c r="AC111" s="46">
        <f t="shared" si="4"/>
        <v>0</v>
      </c>
      <c r="AD111" s="46">
        <f t="shared" si="5"/>
        <v>0</v>
      </c>
    </row>
    <row r="112" spans="1:30" ht="20.25" customHeight="1">
      <c r="A112" s="110" t="s">
        <v>662</v>
      </c>
      <c r="B112" s="106" t="s">
        <v>40</v>
      </c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94"/>
      <c r="X112" s="36">
        <f t="shared" si="0"/>
        <v>0</v>
      </c>
      <c r="Y112" s="36">
        <f>BASE!A116</f>
        <v>101</v>
      </c>
      <c r="Z112" s="46">
        <f t="shared" si="1"/>
        <v>0</v>
      </c>
      <c r="AA112" s="46">
        <f t="shared" si="2"/>
        <v>0</v>
      </c>
      <c r="AB112" s="46">
        <f t="shared" si="3"/>
        <v>0</v>
      </c>
      <c r="AC112" s="46">
        <f t="shared" si="4"/>
        <v>0</v>
      </c>
      <c r="AD112" s="46">
        <f t="shared" si="5"/>
        <v>0</v>
      </c>
    </row>
    <row r="113" spans="1:30" ht="20.25" customHeight="1">
      <c r="A113" s="110" t="s">
        <v>663</v>
      </c>
      <c r="B113" s="106" t="s">
        <v>40</v>
      </c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94"/>
      <c r="X113" s="36">
        <f t="shared" si="0"/>
        <v>0</v>
      </c>
      <c r="Y113" s="36">
        <f>BASE!A117</f>
        <v>102</v>
      </c>
      <c r="Z113" s="46">
        <f t="shared" si="1"/>
        <v>0</v>
      </c>
      <c r="AA113" s="46">
        <f t="shared" si="2"/>
        <v>0</v>
      </c>
      <c r="AB113" s="46">
        <f t="shared" si="3"/>
        <v>0</v>
      </c>
      <c r="AC113" s="46">
        <f t="shared" si="4"/>
        <v>0</v>
      </c>
      <c r="AD113" s="46">
        <f t="shared" si="5"/>
        <v>0</v>
      </c>
    </row>
    <row r="114" spans="1:30" ht="20.25" customHeight="1">
      <c r="A114" s="110" t="s">
        <v>664</v>
      </c>
      <c r="B114" s="106" t="s">
        <v>40</v>
      </c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94"/>
      <c r="X114" s="36">
        <f t="shared" si="0"/>
        <v>0</v>
      </c>
      <c r="Y114" s="36">
        <f>BASE!A118</f>
        <v>103</v>
      </c>
      <c r="Z114" s="46">
        <f t="shared" si="1"/>
        <v>0</v>
      </c>
      <c r="AA114" s="46">
        <f t="shared" si="2"/>
        <v>0</v>
      </c>
      <c r="AB114" s="46">
        <f t="shared" si="3"/>
        <v>0</v>
      </c>
      <c r="AC114" s="46">
        <f t="shared" si="4"/>
        <v>0</v>
      </c>
      <c r="AD114" s="46">
        <f t="shared" si="5"/>
        <v>0</v>
      </c>
    </row>
    <row r="115" spans="1:30" ht="20.25" customHeight="1">
      <c r="A115" s="110" t="s">
        <v>665</v>
      </c>
      <c r="B115" s="106" t="s">
        <v>40</v>
      </c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94"/>
      <c r="X115" s="36">
        <f t="shared" si="0"/>
        <v>0</v>
      </c>
      <c r="Y115" s="36">
        <f>BASE!A119</f>
        <v>104</v>
      </c>
      <c r="Z115" s="46">
        <f t="shared" si="1"/>
        <v>0</v>
      </c>
      <c r="AA115" s="46">
        <f t="shared" si="2"/>
        <v>0</v>
      </c>
      <c r="AB115" s="46">
        <f t="shared" si="3"/>
        <v>0</v>
      </c>
      <c r="AC115" s="46">
        <f t="shared" si="4"/>
        <v>0</v>
      </c>
      <c r="AD115" s="46">
        <f t="shared" si="5"/>
        <v>0</v>
      </c>
    </row>
    <row r="116" spans="1:30" ht="20.25" customHeight="1">
      <c r="A116" s="110" t="s">
        <v>666</v>
      </c>
      <c r="B116" s="106" t="s">
        <v>40</v>
      </c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94"/>
      <c r="X116" s="36">
        <f t="shared" si="0"/>
        <v>0</v>
      </c>
      <c r="Y116" s="36">
        <f>BASE!A120</f>
        <v>105</v>
      </c>
      <c r="Z116" s="46">
        <f t="shared" si="1"/>
        <v>0</v>
      </c>
      <c r="AA116" s="46">
        <f t="shared" si="2"/>
        <v>0</v>
      </c>
      <c r="AB116" s="46">
        <f t="shared" si="3"/>
        <v>0</v>
      </c>
      <c r="AC116" s="46">
        <f t="shared" si="4"/>
        <v>0</v>
      </c>
      <c r="AD116" s="46">
        <f t="shared" si="5"/>
        <v>0</v>
      </c>
    </row>
    <row r="117" spans="1:30" ht="20.25" customHeight="1">
      <c r="A117" s="110" t="s">
        <v>667</v>
      </c>
      <c r="B117" s="106" t="s">
        <v>40</v>
      </c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94"/>
      <c r="X117" s="36">
        <f t="shared" si="0"/>
        <v>0</v>
      </c>
      <c r="Y117" s="36">
        <f>BASE!A121</f>
        <v>106</v>
      </c>
      <c r="Z117" s="46">
        <f t="shared" si="1"/>
        <v>0</v>
      </c>
      <c r="AA117" s="46">
        <f t="shared" si="2"/>
        <v>0</v>
      </c>
      <c r="AB117" s="46">
        <f t="shared" si="3"/>
        <v>0</v>
      </c>
      <c r="AC117" s="46">
        <f t="shared" si="4"/>
        <v>0</v>
      </c>
      <c r="AD117" s="46">
        <f t="shared" si="5"/>
        <v>0</v>
      </c>
    </row>
    <row r="118" spans="1:30" ht="20.25" customHeight="1">
      <c r="A118" s="110" t="s">
        <v>668</v>
      </c>
      <c r="B118" s="106" t="s">
        <v>40</v>
      </c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94"/>
      <c r="X118" s="36">
        <f t="shared" si="0"/>
        <v>0</v>
      </c>
      <c r="Y118" s="36">
        <f>BASE!A122</f>
        <v>107</v>
      </c>
      <c r="Z118" s="46">
        <f t="shared" si="1"/>
        <v>0</v>
      </c>
      <c r="AA118" s="46">
        <f t="shared" si="2"/>
        <v>0</v>
      </c>
      <c r="AB118" s="46">
        <f t="shared" si="3"/>
        <v>0</v>
      </c>
      <c r="AC118" s="46">
        <f t="shared" si="4"/>
        <v>0</v>
      </c>
      <c r="AD118" s="46">
        <f t="shared" si="5"/>
        <v>0</v>
      </c>
    </row>
    <row r="119" spans="1:30" ht="20.25" customHeight="1">
      <c r="A119" s="110" t="s">
        <v>669</v>
      </c>
      <c r="B119" s="106" t="s">
        <v>40</v>
      </c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94"/>
      <c r="X119" s="36">
        <f t="shared" si="0"/>
        <v>0</v>
      </c>
      <c r="Y119" s="36">
        <f>BASE!A123</f>
        <v>108</v>
      </c>
      <c r="Z119" s="46">
        <f t="shared" si="1"/>
        <v>0</v>
      </c>
      <c r="AA119" s="46">
        <f t="shared" si="2"/>
        <v>0</v>
      </c>
      <c r="AB119" s="46">
        <f t="shared" si="3"/>
        <v>0</v>
      </c>
      <c r="AC119" s="46">
        <f t="shared" si="4"/>
        <v>0</v>
      </c>
      <c r="AD119" s="46">
        <f t="shared" si="5"/>
        <v>0</v>
      </c>
    </row>
    <row r="120" spans="1:30" ht="20.25" customHeight="1">
      <c r="A120" s="110" t="s">
        <v>670</v>
      </c>
      <c r="B120" s="106" t="s">
        <v>40</v>
      </c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94"/>
      <c r="X120" s="36">
        <f t="shared" si="0"/>
        <v>0</v>
      </c>
      <c r="Y120" s="36">
        <f>BASE!A124</f>
        <v>109</v>
      </c>
      <c r="Z120" s="46">
        <f t="shared" si="1"/>
        <v>0</v>
      </c>
      <c r="AA120" s="46">
        <f t="shared" si="2"/>
        <v>0</v>
      </c>
      <c r="AB120" s="46">
        <f t="shared" si="3"/>
        <v>0</v>
      </c>
      <c r="AC120" s="46">
        <f t="shared" si="4"/>
        <v>0</v>
      </c>
      <c r="AD120" s="46">
        <f t="shared" si="5"/>
        <v>0</v>
      </c>
    </row>
    <row r="121" spans="1:30" ht="20.25" customHeight="1">
      <c r="A121" s="110" t="s">
        <v>671</v>
      </c>
      <c r="B121" s="106" t="s">
        <v>40</v>
      </c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94"/>
      <c r="X121" s="36">
        <f t="shared" si="0"/>
        <v>0</v>
      </c>
      <c r="Y121" s="36">
        <f>BASE!A125</f>
        <v>110</v>
      </c>
      <c r="Z121" s="46">
        <f t="shared" si="1"/>
        <v>0</v>
      </c>
      <c r="AA121" s="46">
        <f t="shared" si="2"/>
        <v>0</v>
      </c>
      <c r="AB121" s="46">
        <f t="shared" si="3"/>
        <v>0</v>
      </c>
      <c r="AC121" s="46">
        <f t="shared" si="4"/>
        <v>0</v>
      </c>
      <c r="AD121" s="46">
        <f t="shared" si="5"/>
        <v>0</v>
      </c>
    </row>
    <row r="122" spans="1:30" ht="20.25" customHeight="1">
      <c r="A122" s="110" t="s">
        <v>672</v>
      </c>
      <c r="B122" s="106" t="s">
        <v>40</v>
      </c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94"/>
      <c r="X122" s="36">
        <f t="shared" si="0"/>
        <v>0</v>
      </c>
      <c r="Y122" s="36">
        <f>BASE!A126</f>
        <v>111</v>
      </c>
      <c r="Z122" s="46">
        <f t="shared" si="1"/>
        <v>0</v>
      </c>
      <c r="AA122" s="46">
        <f t="shared" si="2"/>
        <v>0</v>
      </c>
      <c r="AB122" s="46">
        <f t="shared" si="3"/>
        <v>0</v>
      </c>
      <c r="AC122" s="46">
        <f t="shared" si="4"/>
        <v>0</v>
      </c>
      <c r="AD122" s="46">
        <f t="shared" si="5"/>
        <v>0</v>
      </c>
    </row>
    <row r="123" spans="1:30" ht="20.25" customHeight="1">
      <c r="A123" s="110" t="s">
        <v>673</v>
      </c>
      <c r="B123" s="106" t="s">
        <v>40</v>
      </c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94"/>
      <c r="X123" s="36">
        <f t="shared" si="0"/>
        <v>0</v>
      </c>
      <c r="Y123" s="36">
        <f>BASE!A127</f>
        <v>112</v>
      </c>
      <c r="Z123" s="46">
        <f t="shared" si="1"/>
        <v>0</v>
      </c>
      <c r="AA123" s="46">
        <f t="shared" si="2"/>
        <v>0</v>
      </c>
      <c r="AB123" s="46">
        <f t="shared" si="3"/>
        <v>0</v>
      </c>
      <c r="AC123" s="46">
        <f t="shared" si="4"/>
        <v>0</v>
      </c>
      <c r="AD123" s="46">
        <f t="shared" si="5"/>
        <v>0</v>
      </c>
    </row>
    <row r="124" spans="1:30" ht="20.25" customHeight="1">
      <c r="A124" s="110" t="s">
        <v>674</v>
      </c>
      <c r="B124" s="106" t="s">
        <v>40</v>
      </c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94"/>
      <c r="X124" s="36">
        <f t="shared" si="0"/>
        <v>0</v>
      </c>
      <c r="Y124" s="36">
        <f>BASE!A128</f>
        <v>113</v>
      </c>
      <c r="Z124" s="46">
        <f t="shared" si="1"/>
        <v>0</v>
      </c>
      <c r="AA124" s="46">
        <f t="shared" si="2"/>
        <v>0</v>
      </c>
      <c r="AB124" s="46">
        <f t="shared" si="3"/>
        <v>0</v>
      </c>
      <c r="AC124" s="46">
        <f t="shared" si="4"/>
        <v>0</v>
      </c>
      <c r="AD124" s="46">
        <f t="shared" si="5"/>
        <v>0</v>
      </c>
    </row>
    <row r="125" spans="1:30" ht="20.25" customHeight="1">
      <c r="A125" s="110" t="s">
        <v>675</v>
      </c>
      <c r="B125" s="106" t="s">
        <v>40</v>
      </c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94"/>
      <c r="X125" s="36">
        <f t="shared" si="0"/>
        <v>0</v>
      </c>
      <c r="Y125" s="36">
        <f>BASE!A129</f>
        <v>114</v>
      </c>
      <c r="Z125" s="46">
        <f t="shared" si="1"/>
        <v>0</v>
      </c>
      <c r="AA125" s="46">
        <f t="shared" si="2"/>
        <v>0</v>
      </c>
      <c r="AB125" s="46">
        <f t="shared" si="3"/>
        <v>0</v>
      </c>
      <c r="AC125" s="46">
        <f t="shared" si="4"/>
        <v>0</v>
      </c>
      <c r="AD125" s="46">
        <f t="shared" si="5"/>
        <v>0</v>
      </c>
    </row>
    <row r="126" spans="1:30" ht="20.25" customHeight="1">
      <c r="A126" s="110" t="s">
        <v>676</v>
      </c>
      <c r="B126" s="106" t="s">
        <v>40</v>
      </c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94"/>
      <c r="X126" s="36">
        <f t="shared" si="0"/>
        <v>0</v>
      </c>
      <c r="Y126" s="36">
        <f>BASE!A130</f>
        <v>115</v>
      </c>
      <c r="Z126" s="46">
        <f t="shared" si="1"/>
        <v>0</v>
      </c>
      <c r="AA126" s="46">
        <f t="shared" si="2"/>
        <v>0</v>
      </c>
      <c r="AB126" s="46">
        <f t="shared" si="3"/>
        <v>0</v>
      </c>
      <c r="AC126" s="46">
        <f t="shared" si="4"/>
        <v>0</v>
      </c>
      <c r="AD126" s="46">
        <f t="shared" si="5"/>
        <v>0</v>
      </c>
    </row>
    <row r="127" spans="1:30" ht="20.25" customHeight="1">
      <c r="A127" s="110" t="s">
        <v>677</v>
      </c>
      <c r="B127" s="106" t="s">
        <v>40</v>
      </c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94"/>
      <c r="X127" s="36">
        <f t="shared" si="0"/>
        <v>0</v>
      </c>
      <c r="Y127" s="36">
        <f>BASE!A131</f>
        <v>116</v>
      </c>
      <c r="Z127" s="46">
        <f t="shared" si="1"/>
        <v>0</v>
      </c>
      <c r="AA127" s="46">
        <f t="shared" si="2"/>
        <v>0</v>
      </c>
      <c r="AB127" s="46">
        <f t="shared" si="3"/>
        <v>0</v>
      </c>
      <c r="AC127" s="46">
        <f t="shared" si="4"/>
        <v>0</v>
      </c>
      <c r="AD127" s="46">
        <f t="shared" si="5"/>
        <v>0</v>
      </c>
    </row>
    <row r="128" spans="1:30" ht="20.25" customHeight="1">
      <c r="A128" s="110" t="s">
        <v>678</v>
      </c>
      <c r="B128" s="106" t="s">
        <v>40</v>
      </c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94"/>
      <c r="X128" s="36">
        <f t="shared" si="0"/>
        <v>0</v>
      </c>
      <c r="Y128" s="36">
        <f>BASE!A132</f>
        <v>117</v>
      </c>
      <c r="Z128" s="46">
        <f t="shared" si="1"/>
        <v>0</v>
      </c>
      <c r="AA128" s="46">
        <f t="shared" si="2"/>
        <v>0</v>
      </c>
      <c r="AB128" s="46">
        <f t="shared" si="3"/>
        <v>0</v>
      </c>
      <c r="AC128" s="46">
        <f t="shared" si="4"/>
        <v>0</v>
      </c>
      <c r="AD128" s="46">
        <f t="shared" si="5"/>
        <v>0</v>
      </c>
    </row>
    <row r="129" spans="1:30" ht="20.25" customHeight="1">
      <c r="A129" s="110" t="s">
        <v>679</v>
      </c>
      <c r="B129" s="106" t="s">
        <v>40</v>
      </c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94"/>
      <c r="X129" s="36">
        <f t="shared" si="0"/>
        <v>0</v>
      </c>
      <c r="Y129" s="36">
        <f>BASE!A133</f>
        <v>118</v>
      </c>
      <c r="Z129" s="46">
        <f t="shared" si="1"/>
        <v>0</v>
      </c>
      <c r="AA129" s="46">
        <f t="shared" si="2"/>
        <v>0</v>
      </c>
      <c r="AB129" s="46">
        <f t="shared" si="3"/>
        <v>0</v>
      </c>
      <c r="AC129" s="46">
        <f t="shared" si="4"/>
        <v>0</v>
      </c>
      <c r="AD129" s="46">
        <f t="shared" si="5"/>
        <v>0</v>
      </c>
    </row>
    <row r="130" spans="1:30" ht="20.25" customHeight="1">
      <c r="A130" s="110" t="s">
        <v>680</v>
      </c>
      <c r="B130" s="106" t="s">
        <v>40</v>
      </c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94"/>
      <c r="X130" s="36">
        <f t="shared" si="0"/>
        <v>0</v>
      </c>
      <c r="Y130" s="36">
        <f>BASE!A134</f>
        <v>119</v>
      </c>
      <c r="Z130" s="46">
        <f t="shared" si="1"/>
        <v>0</v>
      </c>
      <c r="AA130" s="46">
        <f t="shared" si="2"/>
        <v>0</v>
      </c>
      <c r="AB130" s="46">
        <f t="shared" si="3"/>
        <v>0</v>
      </c>
      <c r="AC130" s="46">
        <f t="shared" si="4"/>
        <v>0</v>
      </c>
      <c r="AD130" s="46">
        <f t="shared" si="5"/>
        <v>0</v>
      </c>
    </row>
    <row r="131" spans="1:30" ht="20.25" customHeight="1">
      <c r="A131" s="110" t="s">
        <v>681</v>
      </c>
      <c r="B131" s="106" t="s">
        <v>40</v>
      </c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94"/>
      <c r="X131" s="36">
        <f t="shared" si="0"/>
        <v>0</v>
      </c>
      <c r="Y131" s="36">
        <f>BASE!A135</f>
        <v>120</v>
      </c>
      <c r="Z131" s="46">
        <f t="shared" si="1"/>
        <v>0</v>
      </c>
      <c r="AA131" s="46">
        <f t="shared" si="2"/>
        <v>0</v>
      </c>
      <c r="AB131" s="46">
        <f t="shared" si="3"/>
        <v>0</v>
      </c>
      <c r="AC131" s="46">
        <f t="shared" si="4"/>
        <v>0</v>
      </c>
      <c r="AD131" s="46">
        <f t="shared" si="5"/>
        <v>0</v>
      </c>
    </row>
    <row r="132" spans="1:30" ht="20.25" customHeight="1">
      <c r="A132" s="110" t="s">
        <v>682</v>
      </c>
      <c r="B132" s="106" t="s">
        <v>40</v>
      </c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94"/>
      <c r="X132" s="36">
        <f t="shared" si="0"/>
        <v>0</v>
      </c>
      <c r="Y132" s="36">
        <f>BASE!A136</f>
        <v>121</v>
      </c>
      <c r="Z132" s="46">
        <f t="shared" si="1"/>
        <v>0</v>
      </c>
      <c r="AA132" s="46">
        <f t="shared" si="2"/>
        <v>0</v>
      </c>
      <c r="AB132" s="46">
        <f t="shared" si="3"/>
        <v>0</v>
      </c>
      <c r="AC132" s="46">
        <f t="shared" si="4"/>
        <v>0</v>
      </c>
      <c r="AD132" s="46">
        <f t="shared" si="5"/>
        <v>0</v>
      </c>
    </row>
    <row r="133" spans="1:30" ht="20.25" customHeight="1">
      <c r="A133" s="110" t="s">
        <v>683</v>
      </c>
      <c r="B133" s="106" t="s">
        <v>40</v>
      </c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94"/>
      <c r="X133" s="36">
        <f t="shared" si="0"/>
        <v>0</v>
      </c>
      <c r="Y133" s="36">
        <f>BASE!A137</f>
        <v>122</v>
      </c>
      <c r="Z133" s="46">
        <f t="shared" si="1"/>
        <v>0</v>
      </c>
      <c r="AA133" s="46">
        <f t="shared" si="2"/>
        <v>0</v>
      </c>
      <c r="AB133" s="46">
        <f t="shared" si="3"/>
        <v>0</v>
      </c>
      <c r="AC133" s="46">
        <f t="shared" si="4"/>
        <v>0</v>
      </c>
      <c r="AD133" s="46">
        <f t="shared" si="5"/>
        <v>0</v>
      </c>
    </row>
    <row r="134" spans="1:30" ht="20.25" customHeight="1">
      <c r="A134" s="110" t="s">
        <v>684</v>
      </c>
      <c r="B134" s="106" t="s">
        <v>40</v>
      </c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94"/>
      <c r="X134" s="36">
        <f t="shared" si="0"/>
        <v>0</v>
      </c>
      <c r="Y134" s="36">
        <f>BASE!A138</f>
        <v>123</v>
      </c>
      <c r="Z134" s="46">
        <f t="shared" si="1"/>
        <v>0</v>
      </c>
      <c r="AA134" s="46">
        <f t="shared" si="2"/>
        <v>0</v>
      </c>
      <c r="AB134" s="46">
        <f t="shared" si="3"/>
        <v>0</v>
      </c>
      <c r="AC134" s="46">
        <f t="shared" si="4"/>
        <v>0</v>
      </c>
      <c r="AD134" s="46">
        <f t="shared" si="5"/>
        <v>0</v>
      </c>
    </row>
    <row r="135" spans="1:30" ht="20.25" customHeight="1">
      <c r="A135" s="110" t="s">
        <v>685</v>
      </c>
      <c r="B135" s="106" t="s">
        <v>40</v>
      </c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94"/>
      <c r="X135" s="36">
        <f t="shared" si="0"/>
        <v>0</v>
      </c>
      <c r="Y135" s="36">
        <f>BASE!A139</f>
        <v>124</v>
      </c>
      <c r="Z135" s="46">
        <f t="shared" si="1"/>
        <v>0</v>
      </c>
      <c r="AA135" s="46">
        <f t="shared" si="2"/>
        <v>0</v>
      </c>
      <c r="AB135" s="46">
        <f t="shared" si="3"/>
        <v>0</v>
      </c>
      <c r="AC135" s="46">
        <f t="shared" si="4"/>
        <v>0</v>
      </c>
      <c r="AD135" s="46">
        <f t="shared" si="5"/>
        <v>0</v>
      </c>
    </row>
    <row r="136" spans="1:30" ht="20.25" customHeight="1">
      <c r="A136" s="110" t="s">
        <v>686</v>
      </c>
      <c r="B136" s="106" t="s">
        <v>40</v>
      </c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94"/>
      <c r="X136" s="36">
        <f t="shared" si="0"/>
        <v>0</v>
      </c>
      <c r="Y136" s="36">
        <f>BASE!A140</f>
        <v>125</v>
      </c>
      <c r="Z136" s="46">
        <f t="shared" si="1"/>
        <v>0</v>
      </c>
      <c r="AA136" s="46">
        <f t="shared" si="2"/>
        <v>0</v>
      </c>
      <c r="AB136" s="46">
        <f t="shared" si="3"/>
        <v>0</v>
      </c>
      <c r="AC136" s="46">
        <f t="shared" si="4"/>
        <v>0</v>
      </c>
      <c r="AD136" s="46">
        <f t="shared" si="5"/>
        <v>0</v>
      </c>
    </row>
    <row r="137" spans="1:30" ht="20.25" customHeight="1">
      <c r="A137" s="110" t="s">
        <v>687</v>
      </c>
      <c r="B137" s="106" t="s">
        <v>40</v>
      </c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94"/>
      <c r="X137" s="36">
        <f t="shared" si="0"/>
        <v>0</v>
      </c>
      <c r="Y137" s="36">
        <f>BASE!A141</f>
        <v>126</v>
      </c>
      <c r="Z137" s="46">
        <f t="shared" si="1"/>
        <v>0</v>
      </c>
      <c r="AA137" s="46">
        <f t="shared" si="2"/>
        <v>0</v>
      </c>
      <c r="AB137" s="46">
        <f t="shared" si="3"/>
        <v>0</v>
      </c>
      <c r="AC137" s="46">
        <f t="shared" si="4"/>
        <v>0</v>
      </c>
      <c r="AD137" s="46">
        <f t="shared" si="5"/>
        <v>0</v>
      </c>
    </row>
    <row r="138" spans="1:30" ht="20.25" customHeight="1">
      <c r="A138" s="110" t="s">
        <v>688</v>
      </c>
      <c r="B138" s="106" t="s">
        <v>40</v>
      </c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94"/>
      <c r="X138" s="36">
        <f t="shared" si="0"/>
        <v>0</v>
      </c>
      <c r="Y138" s="36">
        <f>BASE!A142</f>
        <v>127</v>
      </c>
      <c r="Z138" s="46">
        <f t="shared" si="1"/>
        <v>0</v>
      </c>
      <c r="AA138" s="46">
        <f t="shared" si="2"/>
        <v>0</v>
      </c>
      <c r="AB138" s="46">
        <f t="shared" si="3"/>
        <v>0</v>
      </c>
      <c r="AC138" s="46">
        <f t="shared" si="4"/>
        <v>0</v>
      </c>
      <c r="AD138" s="46">
        <f t="shared" si="5"/>
        <v>0</v>
      </c>
    </row>
    <row r="139" spans="1:30" ht="20.25" customHeight="1">
      <c r="A139" s="110" t="s">
        <v>689</v>
      </c>
      <c r="B139" s="106" t="s">
        <v>40</v>
      </c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94"/>
      <c r="X139" s="36">
        <f t="shared" si="0"/>
        <v>0</v>
      </c>
      <c r="Y139" s="36">
        <f>BASE!A143</f>
        <v>128</v>
      </c>
      <c r="Z139" s="46">
        <f t="shared" si="1"/>
        <v>0</v>
      </c>
      <c r="AA139" s="46">
        <f t="shared" si="2"/>
        <v>0</v>
      </c>
      <c r="AB139" s="46">
        <f t="shared" si="3"/>
        <v>0</v>
      </c>
      <c r="AC139" s="46">
        <f t="shared" si="4"/>
        <v>0</v>
      </c>
      <c r="AD139" s="46">
        <f t="shared" si="5"/>
        <v>0</v>
      </c>
    </row>
    <row r="140" spans="1:30" ht="20.25" customHeight="1">
      <c r="A140" s="110" t="s">
        <v>690</v>
      </c>
      <c r="B140" s="106" t="s">
        <v>40</v>
      </c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94"/>
      <c r="X140" s="36">
        <f t="shared" si="0"/>
        <v>0</v>
      </c>
      <c r="Y140" s="36">
        <f>BASE!A144</f>
        <v>129</v>
      </c>
      <c r="Z140" s="46">
        <f t="shared" si="1"/>
        <v>0</v>
      </c>
      <c r="AA140" s="46">
        <f t="shared" si="2"/>
        <v>0</v>
      </c>
      <c r="AB140" s="46">
        <f t="shared" si="3"/>
        <v>0</v>
      </c>
      <c r="AC140" s="46">
        <f t="shared" si="4"/>
        <v>0</v>
      </c>
      <c r="AD140" s="46">
        <f t="shared" si="5"/>
        <v>0</v>
      </c>
    </row>
    <row r="141" spans="1:30" ht="20.25" customHeight="1">
      <c r="A141" s="110" t="s">
        <v>691</v>
      </c>
      <c r="B141" s="106" t="s">
        <v>40</v>
      </c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94"/>
      <c r="X141" s="36">
        <f t="shared" si="0"/>
        <v>0</v>
      </c>
      <c r="Y141" s="36">
        <f>BASE!A145</f>
        <v>130</v>
      </c>
      <c r="Z141" s="46">
        <f t="shared" si="1"/>
        <v>0</v>
      </c>
      <c r="AA141" s="46">
        <f t="shared" si="2"/>
        <v>0</v>
      </c>
      <c r="AB141" s="46">
        <f t="shared" si="3"/>
        <v>0</v>
      </c>
      <c r="AC141" s="46">
        <f t="shared" si="4"/>
        <v>0</v>
      </c>
      <c r="AD141" s="46">
        <f t="shared" si="5"/>
        <v>0</v>
      </c>
    </row>
    <row r="142" spans="1:30" ht="20.25" customHeight="1">
      <c r="A142" s="110" t="s">
        <v>692</v>
      </c>
      <c r="B142" s="106" t="s">
        <v>40</v>
      </c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94"/>
      <c r="X142" s="36">
        <f t="shared" si="0"/>
        <v>0</v>
      </c>
      <c r="Y142" s="36">
        <f>BASE!A146</f>
        <v>131</v>
      </c>
      <c r="Z142" s="46">
        <f t="shared" si="1"/>
        <v>0</v>
      </c>
      <c r="AA142" s="46">
        <f t="shared" si="2"/>
        <v>0</v>
      </c>
      <c r="AB142" s="46">
        <f t="shared" si="3"/>
        <v>0</v>
      </c>
      <c r="AC142" s="46">
        <f t="shared" si="4"/>
        <v>0</v>
      </c>
      <c r="AD142" s="46">
        <f t="shared" si="5"/>
        <v>0</v>
      </c>
    </row>
    <row r="143" spans="1:30" ht="20.25" customHeight="1">
      <c r="A143" s="110" t="s">
        <v>693</v>
      </c>
      <c r="B143" s="106" t="s">
        <v>40</v>
      </c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94"/>
      <c r="X143" s="36">
        <f t="shared" si="0"/>
        <v>0</v>
      </c>
      <c r="Y143" s="36">
        <f>BASE!A147</f>
        <v>132</v>
      </c>
      <c r="Z143" s="46">
        <f t="shared" si="1"/>
        <v>0</v>
      </c>
      <c r="AA143" s="46">
        <f t="shared" si="2"/>
        <v>0</v>
      </c>
      <c r="AB143" s="46">
        <f t="shared" si="3"/>
        <v>0</v>
      </c>
      <c r="AC143" s="46">
        <f t="shared" si="4"/>
        <v>0</v>
      </c>
      <c r="AD143" s="46">
        <f t="shared" si="5"/>
        <v>0</v>
      </c>
    </row>
    <row r="144" spans="1:30" ht="20.25" customHeight="1">
      <c r="A144" s="110" t="s">
        <v>694</v>
      </c>
      <c r="B144" s="106" t="s">
        <v>40</v>
      </c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94"/>
      <c r="X144" s="36">
        <f t="shared" si="0"/>
        <v>0</v>
      </c>
      <c r="Y144" s="36">
        <f>BASE!A148</f>
        <v>133</v>
      </c>
      <c r="Z144" s="46">
        <f t="shared" si="1"/>
        <v>0</v>
      </c>
      <c r="AA144" s="46">
        <f t="shared" si="2"/>
        <v>0</v>
      </c>
      <c r="AB144" s="46">
        <f t="shared" si="3"/>
        <v>0</v>
      </c>
      <c r="AC144" s="46">
        <f t="shared" si="4"/>
        <v>0</v>
      </c>
      <c r="AD144" s="46">
        <f t="shared" si="5"/>
        <v>0</v>
      </c>
    </row>
    <row r="145" spans="1:30" ht="20.25" customHeight="1">
      <c r="A145" s="110" t="s">
        <v>695</v>
      </c>
      <c r="B145" s="106" t="s">
        <v>40</v>
      </c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94"/>
      <c r="X145" s="36">
        <f t="shared" si="0"/>
        <v>0</v>
      </c>
      <c r="Y145" s="36">
        <f>BASE!A149</f>
        <v>134</v>
      </c>
      <c r="Z145" s="46">
        <f t="shared" si="1"/>
        <v>0</v>
      </c>
      <c r="AA145" s="46">
        <f t="shared" si="2"/>
        <v>0</v>
      </c>
      <c r="AB145" s="46">
        <f t="shared" si="3"/>
        <v>0</v>
      </c>
      <c r="AC145" s="46">
        <f t="shared" si="4"/>
        <v>0</v>
      </c>
      <c r="AD145" s="46">
        <f t="shared" si="5"/>
        <v>0</v>
      </c>
    </row>
    <row r="146" spans="1:30" ht="20.25" customHeight="1">
      <c r="A146" s="110" t="s">
        <v>696</v>
      </c>
      <c r="B146" s="106" t="s">
        <v>40</v>
      </c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94"/>
      <c r="X146" s="36">
        <f t="shared" si="0"/>
        <v>0</v>
      </c>
      <c r="Y146" s="36">
        <f>BASE!A150</f>
        <v>135</v>
      </c>
      <c r="Z146" s="46">
        <f t="shared" si="1"/>
        <v>0</v>
      </c>
      <c r="AA146" s="46">
        <f t="shared" si="2"/>
        <v>0</v>
      </c>
      <c r="AB146" s="46">
        <f t="shared" si="3"/>
        <v>0</v>
      </c>
      <c r="AC146" s="46">
        <f t="shared" si="4"/>
        <v>0</v>
      </c>
      <c r="AD146" s="46">
        <f t="shared" si="5"/>
        <v>0</v>
      </c>
    </row>
    <row r="147" spans="1:30" ht="20.25" customHeight="1">
      <c r="A147" s="110" t="s">
        <v>697</v>
      </c>
      <c r="B147" s="106" t="s">
        <v>40</v>
      </c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94"/>
      <c r="X147" s="36">
        <f t="shared" si="0"/>
        <v>0</v>
      </c>
      <c r="Y147" s="36">
        <f>BASE!A151</f>
        <v>136</v>
      </c>
      <c r="Z147" s="46">
        <f t="shared" si="1"/>
        <v>0</v>
      </c>
      <c r="AA147" s="46">
        <f t="shared" si="2"/>
        <v>0</v>
      </c>
      <c r="AB147" s="46">
        <f t="shared" si="3"/>
        <v>0</v>
      </c>
      <c r="AC147" s="46">
        <f t="shared" si="4"/>
        <v>0</v>
      </c>
      <c r="AD147" s="46">
        <f t="shared" si="5"/>
        <v>0</v>
      </c>
    </row>
    <row r="148" spans="1:30" ht="20.25" customHeight="1">
      <c r="A148" s="110" t="s">
        <v>698</v>
      </c>
      <c r="B148" s="106" t="s">
        <v>40</v>
      </c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94"/>
      <c r="X148" s="36">
        <f t="shared" si="0"/>
        <v>0</v>
      </c>
      <c r="Y148" s="36">
        <f>BASE!A152</f>
        <v>137</v>
      </c>
      <c r="Z148" s="46">
        <f t="shared" si="1"/>
        <v>0</v>
      </c>
      <c r="AA148" s="46">
        <f t="shared" si="2"/>
        <v>0</v>
      </c>
      <c r="AB148" s="46">
        <f t="shared" si="3"/>
        <v>0</v>
      </c>
      <c r="AC148" s="46">
        <f t="shared" si="4"/>
        <v>0</v>
      </c>
      <c r="AD148" s="46">
        <f t="shared" si="5"/>
        <v>0</v>
      </c>
    </row>
    <row r="149" spans="1:30" ht="20.25" customHeight="1">
      <c r="A149" s="110" t="s">
        <v>699</v>
      </c>
      <c r="B149" s="106" t="s">
        <v>40</v>
      </c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94"/>
      <c r="X149" s="36">
        <f t="shared" si="0"/>
        <v>0</v>
      </c>
      <c r="Y149" s="36">
        <f>BASE!A153</f>
        <v>138</v>
      </c>
      <c r="Z149" s="46">
        <f t="shared" si="1"/>
        <v>0</v>
      </c>
      <c r="AA149" s="46">
        <f t="shared" si="2"/>
        <v>0</v>
      </c>
      <c r="AB149" s="46">
        <f t="shared" si="3"/>
        <v>0</v>
      </c>
      <c r="AC149" s="46">
        <f t="shared" si="4"/>
        <v>0</v>
      </c>
      <c r="AD149" s="46">
        <f t="shared" si="5"/>
        <v>0</v>
      </c>
    </row>
    <row r="150" spans="1:30" ht="20.25" customHeight="1">
      <c r="A150" s="110" t="s">
        <v>700</v>
      </c>
      <c r="B150" s="106" t="s">
        <v>40</v>
      </c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94"/>
      <c r="X150" s="36">
        <f t="shared" si="0"/>
        <v>0</v>
      </c>
      <c r="Y150" s="36">
        <f>BASE!A154</f>
        <v>139</v>
      </c>
      <c r="Z150" s="46">
        <f t="shared" si="1"/>
        <v>0</v>
      </c>
      <c r="AA150" s="46">
        <f t="shared" si="2"/>
        <v>0</v>
      </c>
      <c r="AB150" s="46">
        <f t="shared" si="3"/>
        <v>0</v>
      </c>
      <c r="AC150" s="46">
        <f t="shared" si="4"/>
        <v>0</v>
      </c>
      <c r="AD150" s="46">
        <f t="shared" si="5"/>
        <v>0</v>
      </c>
    </row>
    <row r="151" spans="1:30" ht="20.25" customHeight="1">
      <c r="A151" s="110" t="s">
        <v>701</v>
      </c>
      <c r="B151" s="106" t="s">
        <v>40</v>
      </c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94"/>
      <c r="X151" s="36">
        <f t="shared" si="0"/>
        <v>0</v>
      </c>
      <c r="Y151" s="36">
        <f>BASE!A155</f>
        <v>140</v>
      </c>
      <c r="Z151" s="46">
        <f t="shared" si="1"/>
        <v>0</v>
      </c>
      <c r="AA151" s="46">
        <f t="shared" si="2"/>
        <v>0</v>
      </c>
      <c r="AB151" s="46">
        <f t="shared" si="3"/>
        <v>0</v>
      </c>
      <c r="AC151" s="46">
        <f t="shared" si="4"/>
        <v>0</v>
      </c>
      <c r="AD151" s="46">
        <f t="shared" si="5"/>
        <v>0</v>
      </c>
    </row>
    <row r="152" spans="1:30" ht="20.25" customHeight="1">
      <c r="A152" s="110" t="s">
        <v>702</v>
      </c>
      <c r="B152" s="106" t="s">
        <v>40</v>
      </c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94"/>
      <c r="X152" s="36">
        <f t="shared" si="0"/>
        <v>0</v>
      </c>
      <c r="Y152" s="36">
        <f>BASE!A156</f>
        <v>141</v>
      </c>
      <c r="Z152" s="46">
        <f t="shared" si="1"/>
        <v>0</v>
      </c>
      <c r="AA152" s="46">
        <f t="shared" si="2"/>
        <v>0</v>
      </c>
      <c r="AB152" s="46">
        <f t="shared" si="3"/>
        <v>0</v>
      </c>
      <c r="AC152" s="46">
        <f t="shared" si="4"/>
        <v>0</v>
      </c>
      <c r="AD152" s="46">
        <f t="shared" si="5"/>
        <v>0</v>
      </c>
    </row>
    <row r="153" spans="1:30" ht="20.25" customHeight="1">
      <c r="A153" s="110" t="s">
        <v>703</v>
      </c>
      <c r="B153" s="106" t="s">
        <v>40</v>
      </c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94"/>
      <c r="X153" s="36">
        <f t="shared" si="0"/>
        <v>0</v>
      </c>
      <c r="Y153" s="36">
        <f>BASE!A157</f>
        <v>142</v>
      </c>
      <c r="Z153" s="46">
        <f t="shared" si="1"/>
        <v>0</v>
      </c>
      <c r="AA153" s="46">
        <f t="shared" si="2"/>
        <v>0</v>
      </c>
      <c r="AB153" s="46">
        <f t="shared" si="3"/>
        <v>0</v>
      </c>
      <c r="AC153" s="46">
        <f t="shared" si="4"/>
        <v>0</v>
      </c>
      <c r="AD153" s="46">
        <f t="shared" si="5"/>
        <v>0</v>
      </c>
    </row>
    <row r="154" spans="1:30" ht="20.25" customHeight="1">
      <c r="A154" s="110" t="s">
        <v>704</v>
      </c>
      <c r="B154" s="106" t="s">
        <v>40</v>
      </c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94"/>
      <c r="X154" s="36">
        <f t="shared" si="0"/>
        <v>0</v>
      </c>
      <c r="Y154" s="36">
        <f>BASE!A158</f>
        <v>143</v>
      </c>
      <c r="Z154" s="46">
        <f t="shared" si="1"/>
        <v>0</v>
      </c>
      <c r="AA154" s="46">
        <f t="shared" si="2"/>
        <v>0</v>
      </c>
      <c r="AB154" s="46">
        <f t="shared" si="3"/>
        <v>0</v>
      </c>
      <c r="AC154" s="46">
        <f t="shared" si="4"/>
        <v>0</v>
      </c>
      <c r="AD154" s="46">
        <f t="shared" si="5"/>
        <v>0</v>
      </c>
    </row>
    <row r="155" spans="1:30" ht="20.25" customHeight="1">
      <c r="A155" s="110" t="s">
        <v>705</v>
      </c>
      <c r="B155" s="106" t="s">
        <v>40</v>
      </c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94"/>
      <c r="X155" s="36">
        <f t="shared" si="0"/>
        <v>0</v>
      </c>
      <c r="Y155" s="36">
        <f>BASE!A159</f>
        <v>144</v>
      </c>
      <c r="Z155" s="46">
        <f t="shared" si="1"/>
        <v>0</v>
      </c>
      <c r="AA155" s="46">
        <f t="shared" si="2"/>
        <v>0</v>
      </c>
      <c r="AB155" s="46">
        <f t="shared" si="3"/>
        <v>0</v>
      </c>
      <c r="AC155" s="46">
        <f t="shared" si="4"/>
        <v>0</v>
      </c>
      <c r="AD155" s="46">
        <f t="shared" si="5"/>
        <v>0</v>
      </c>
    </row>
    <row r="156" spans="1:30" ht="20.25" customHeight="1">
      <c r="A156" s="110" t="s">
        <v>706</v>
      </c>
      <c r="B156" s="106" t="s">
        <v>40</v>
      </c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94"/>
      <c r="X156" s="36">
        <f t="shared" si="0"/>
        <v>0</v>
      </c>
      <c r="Y156" s="36">
        <f>BASE!A160</f>
        <v>145</v>
      </c>
      <c r="Z156" s="46">
        <f t="shared" si="1"/>
        <v>0</v>
      </c>
      <c r="AA156" s="46">
        <f t="shared" si="2"/>
        <v>0</v>
      </c>
      <c r="AB156" s="46">
        <f t="shared" si="3"/>
        <v>0</v>
      </c>
      <c r="AC156" s="46">
        <f t="shared" si="4"/>
        <v>0</v>
      </c>
      <c r="AD156" s="46">
        <f t="shared" si="5"/>
        <v>0</v>
      </c>
    </row>
    <row r="157" spans="1:30" ht="20.25" customHeight="1">
      <c r="A157" s="110" t="s">
        <v>707</v>
      </c>
      <c r="B157" s="106" t="s">
        <v>40</v>
      </c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94"/>
      <c r="X157" s="36">
        <f t="shared" si="0"/>
        <v>0</v>
      </c>
      <c r="Y157" s="36">
        <f>BASE!A161</f>
        <v>146</v>
      </c>
      <c r="Z157" s="46">
        <f t="shared" si="1"/>
        <v>0</v>
      </c>
      <c r="AA157" s="46">
        <f t="shared" si="2"/>
        <v>0</v>
      </c>
      <c r="AB157" s="46">
        <f t="shared" si="3"/>
        <v>0</v>
      </c>
      <c r="AC157" s="46">
        <f t="shared" si="4"/>
        <v>0</v>
      </c>
      <c r="AD157" s="46">
        <f t="shared" si="5"/>
        <v>0</v>
      </c>
    </row>
    <row r="158" spans="1:30" ht="20.25" customHeight="1">
      <c r="A158" s="110" t="s">
        <v>708</v>
      </c>
      <c r="B158" s="106" t="s">
        <v>40</v>
      </c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94"/>
      <c r="X158" s="36">
        <f t="shared" si="0"/>
        <v>0</v>
      </c>
      <c r="Y158" s="36">
        <f>BASE!A162</f>
        <v>147</v>
      </c>
      <c r="Z158" s="46">
        <f t="shared" si="1"/>
        <v>0</v>
      </c>
      <c r="AA158" s="46">
        <f t="shared" si="2"/>
        <v>0</v>
      </c>
      <c r="AB158" s="46">
        <f t="shared" si="3"/>
        <v>0</v>
      </c>
      <c r="AC158" s="46">
        <f t="shared" si="4"/>
        <v>0</v>
      </c>
      <c r="AD158" s="46">
        <f t="shared" si="5"/>
        <v>0</v>
      </c>
    </row>
    <row r="159" spans="1:30" ht="20.25" customHeight="1">
      <c r="A159" s="110" t="s">
        <v>709</v>
      </c>
      <c r="B159" s="106" t="s">
        <v>40</v>
      </c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94"/>
      <c r="X159" s="36">
        <f t="shared" si="0"/>
        <v>0</v>
      </c>
      <c r="Y159" s="36">
        <f>BASE!A163</f>
        <v>148</v>
      </c>
      <c r="Z159" s="46">
        <f t="shared" si="1"/>
        <v>0</v>
      </c>
      <c r="AA159" s="46">
        <f t="shared" si="2"/>
        <v>0</v>
      </c>
      <c r="AB159" s="46">
        <f t="shared" si="3"/>
        <v>0</v>
      </c>
      <c r="AC159" s="46">
        <f t="shared" si="4"/>
        <v>0</v>
      </c>
      <c r="AD159" s="46">
        <f t="shared" si="5"/>
        <v>0</v>
      </c>
    </row>
    <row r="160" spans="1:30" ht="20.25" customHeight="1">
      <c r="A160" s="110" t="s">
        <v>710</v>
      </c>
      <c r="B160" s="106" t="s">
        <v>40</v>
      </c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94"/>
      <c r="X160" s="36">
        <f t="shared" si="0"/>
        <v>0</v>
      </c>
      <c r="Y160" s="36">
        <f>BASE!A164</f>
        <v>149</v>
      </c>
      <c r="Z160" s="46">
        <f t="shared" si="1"/>
        <v>0</v>
      </c>
      <c r="AA160" s="46">
        <f t="shared" si="2"/>
        <v>0</v>
      </c>
      <c r="AB160" s="46">
        <f t="shared" si="3"/>
        <v>0</v>
      </c>
      <c r="AC160" s="46">
        <f t="shared" si="4"/>
        <v>0</v>
      </c>
      <c r="AD160" s="46">
        <f t="shared" si="5"/>
        <v>0</v>
      </c>
    </row>
    <row r="161" spans="1:30" ht="20.25" customHeight="1">
      <c r="A161" s="110" t="s">
        <v>711</v>
      </c>
      <c r="B161" s="106" t="s">
        <v>40</v>
      </c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94"/>
      <c r="X161" s="36">
        <f t="shared" si="0"/>
        <v>0</v>
      </c>
      <c r="Y161" s="36">
        <f>BASE!A165</f>
        <v>150</v>
      </c>
      <c r="Z161" s="46">
        <f t="shared" si="1"/>
        <v>0</v>
      </c>
      <c r="AA161" s="46">
        <f t="shared" si="2"/>
        <v>0</v>
      </c>
      <c r="AB161" s="46">
        <f t="shared" si="3"/>
        <v>0</v>
      </c>
      <c r="AC161" s="46">
        <f t="shared" si="4"/>
        <v>0</v>
      </c>
      <c r="AD161" s="46">
        <f t="shared" si="5"/>
        <v>0</v>
      </c>
    </row>
    <row r="162" spans="1:30" ht="17.25" customHeight="1">
      <c r="A162" s="110" t="s">
        <v>712</v>
      </c>
      <c r="B162" s="106" t="s">
        <v>40</v>
      </c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16"/>
      <c r="X162" s="51">
        <f t="shared" si="0"/>
        <v>0</v>
      </c>
      <c r="Y162" s="36">
        <f>BASE!A166</f>
        <v>151</v>
      </c>
      <c r="Z162" s="52">
        <f t="shared" si="1"/>
        <v>0</v>
      </c>
      <c r="AA162" s="52">
        <f t="shared" si="2"/>
        <v>0</v>
      </c>
      <c r="AB162" s="52">
        <f t="shared" si="3"/>
        <v>0</v>
      </c>
      <c r="AC162" s="52">
        <f t="shared" si="4"/>
        <v>0</v>
      </c>
      <c r="AD162" s="52">
        <f t="shared" si="5"/>
        <v>0</v>
      </c>
    </row>
    <row r="163" spans="1:30" ht="17.25" customHeight="1">
      <c r="A163" s="110" t="s">
        <v>713</v>
      </c>
      <c r="B163" s="106" t="s">
        <v>40</v>
      </c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94"/>
      <c r="X163" s="36">
        <f t="shared" si="0"/>
        <v>0</v>
      </c>
      <c r="Y163" s="36">
        <f>BASE!A167</f>
        <v>152</v>
      </c>
      <c r="Z163" s="46">
        <f t="shared" si="1"/>
        <v>0</v>
      </c>
      <c r="AA163" s="46">
        <f t="shared" si="2"/>
        <v>0</v>
      </c>
      <c r="AB163" s="46">
        <f t="shared" si="3"/>
        <v>0</v>
      </c>
      <c r="AC163" s="46">
        <f t="shared" si="4"/>
        <v>0</v>
      </c>
      <c r="AD163" s="46">
        <f t="shared" si="5"/>
        <v>0</v>
      </c>
    </row>
    <row r="164" spans="1:30" ht="17.25" customHeight="1">
      <c r="A164" s="110" t="s">
        <v>714</v>
      </c>
      <c r="B164" s="106" t="s">
        <v>40</v>
      </c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94"/>
      <c r="X164" s="36">
        <f t="shared" si="0"/>
        <v>0</v>
      </c>
      <c r="Y164" s="36">
        <f>BASE!A168</f>
        <v>153</v>
      </c>
      <c r="Z164" s="46">
        <f t="shared" si="1"/>
        <v>0</v>
      </c>
      <c r="AA164" s="46">
        <f t="shared" si="2"/>
        <v>0</v>
      </c>
      <c r="AB164" s="46">
        <f t="shared" si="3"/>
        <v>0</v>
      </c>
      <c r="AC164" s="46">
        <f t="shared" si="4"/>
        <v>0</v>
      </c>
      <c r="AD164" s="46">
        <f t="shared" si="5"/>
        <v>0</v>
      </c>
    </row>
    <row r="165" spans="1:30" ht="17.25" customHeight="1">
      <c r="A165" s="110" t="s">
        <v>715</v>
      </c>
      <c r="B165" s="106" t="s">
        <v>40</v>
      </c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94"/>
      <c r="X165" s="36">
        <f t="shared" si="0"/>
        <v>0</v>
      </c>
      <c r="Y165" s="36">
        <f>BASE!A169</f>
        <v>154</v>
      </c>
      <c r="Z165" s="46">
        <f t="shared" si="1"/>
        <v>0</v>
      </c>
      <c r="AA165" s="46">
        <f t="shared" si="2"/>
        <v>0</v>
      </c>
      <c r="AB165" s="46">
        <f t="shared" si="3"/>
        <v>0</v>
      </c>
      <c r="AC165" s="46">
        <f t="shared" si="4"/>
        <v>0</v>
      </c>
      <c r="AD165" s="46">
        <f t="shared" si="5"/>
        <v>0</v>
      </c>
    </row>
    <row r="166" spans="1:30" ht="17.25" customHeight="1">
      <c r="A166" s="110" t="s">
        <v>716</v>
      </c>
      <c r="B166" s="106" t="s">
        <v>40</v>
      </c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94"/>
      <c r="X166" s="36">
        <f t="shared" si="0"/>
        <v>0</v>
      </c>
      <c r="Y166" s="36">
        <f>BASE!A170</f>
        <v>155</v>
      </c>
      <c r="Z166" s="46">
        <f t="shared" si="1"/>
        <v>0</v>
      </c>
      <c r="AA166" s="46">
        <f t="shared" si="2"/>
        <v>0</v>
      </c>
      <c r="AB166" s="46">
        <f t="shared" si="3"/>
        <v>0</v>
      </c>
      <c r="AC166" s="46">
        <f t="shared" si="4"/>
        <v>0</v>
      </c>
      <c r="AD166" s="46">
        <f t="shared" si="5"/>
        <v>0</v>
      </c>
    </row>
    <row r="167" spans="1:30" ht="17.25" customHeight="1">
      <c r="A167" s="110" t="s">
        <v>717</v>
      </c>
      <c r="B167" s="106" t="s">
        <v>40</v>
      </c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94"/>
      <c r="X167" s="36">
        <f t="shared" si="0"/>
        <v>0</v>
      </c>
      <c r="Y167" s="36">
        <f>BASE!A171</f>
        <v>156</v>
      </c>
      <c r="Z167" s="46">
        <f t="shared" si="1"/>
        <v>0</v>
      </c>
      <c r="AA167" s="46">
        <f t="shared" si="2"/>
        <v>0</v>
      </c>
      <c r="AB167" s="46">
        <f t="shared" si="3"/>
        <v>0</v>
      </c>
      <c r="AC167" s="46">
        <f t="shared" si="4"/>
        <v>0</v>
      </c>
      <c r="AD167" s="46">
        <f t="shared" si="5"/>
        <v>0</v>
      </c>
    </row>
    <row r="168" spans="1:30" ht="17.25" customHeight="1">
      <c r="A168" s="110" t="s">
        <v>718</v>
      </c>
      <c r="B168" s="106" t="s">
        <v>40</v>
      </c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94"/>
      <c r="X168" s="36">
        <f t="shared" si="0"/>
        <v>0</v>
      </c>
      <c r="Y168" s="36">
        <f>BASE!A172</f>
        <v>157</v>
      </c>
      <c r="Z168" s="46">
        <f t="shared" si="1"/>
        <v>0</v>
      </c>
      <c r="AA168" s="46">
        <f t="shared" si="2"/>
        <v>0</v>
      </c>
      <c r="AB168" s="46">
        <f t="shared" si="3"/>
        <v>0</v>
      </c>
      <c r="AC168" s="46">
        <f t="shared" si="4"/>
        <v>0</v>
      </c>
      <c r="AD168" s="46">
        <f t="shared" si="5"/>
        <v>0</v>
      </c>
    </row>
    <row r="169" spans="1:30" ht="17.25" customHeight="1">
      <c r="A169" s="110" t="s">
        <v>719</v>
      </c>
      <c r="B169" s="106" t="s">
        <v>40</v>
      </c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94"/>
      <c r="X169" s="36">
        <f t="shared" si="0"/>
        <v>0</v>
      </c>
      <c r="Y169" s="36">
        <f>BASE!A173</f>
        <v>158</v>
      </c>
      <c r="Z169" s="46">
        <f t="shared" si="1"/>
        <v>0</v>
      </c>
      <c r="AA169" s="46">
        <f t="shared" si="2"/>
        <v>0</v>
      </c>
      <c r="AB169" s="46">
        <f t="shared" si="3"/>
        <v>0</v>
      </c>
      <c r="AC169" s="46">
        <f t="shared" si="4"/>
        <v>0</v>
      </c>
      <c r="AD169" s="46">
        <f t="shared" si="5"/>
        <v>0</v>
      </c>
    </row>
    <row r="170" spans="1:30" ht="17.25" customHeight="1">
      <c r="A170" s="110" t="s">
        <v>720</v>
      </c>
      <c r="B170" s="106" t="s">
        <v>40</v>
      </c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94"/>
      <c r="X170" s="36">
        <f t="shared" si="0"/>
        <v>0</v>
      </c>
      <c r="Y170" s="36">
        <f>BASE!A174</f>
        <v>159</v>
      </c>
      <c r="Z170" s="46">
        <f t="shared" si="1"/>
        <v>0</v>
      </c>
      <c r="AA170" s="46">
        <f t="shared" si="2"/>
        <v>0</v>
      </c>
      <c r="AB170" s="46">
        <f t="shared" si="3"/>
        <v>0</v>
      </c>
      <c r="AC170" s="46">
        <f t="shared" si="4"/>
        <v>0</v>
      </c>
      <c r="AD170" s="46">
        <f t="shared" si="5"/>
        <v>0</v>
      </c>
    </row>
    <row r="171" spans="1:30" ht="17.25" customHeight="1">
      <c r="A171" s="110" t="s">
        <v>721</v>
      </c>
      <c r="B171" s="106" t="s">
        <v>40</v>
      </c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94"/>
      <c r="X171" s="36">
        <f t="shared" si="0"/>
        <v>0</v>
      </c>
      <c r="Y171" s="36">
        <f>BASE!A175</f>
        <v>160</v>
      </c>
      <c r="Z171" s="46">
        <f t="shared" si="1"/>
        <v>0</v>
      </c>
      <c r="AA171" s="46">
        <f t="shared" si="2"/>
        <v>0</v>
      </c>
      <c r="AB171" s="46">
        <f t="shared" si="3"/>
        <v>0</v>
      </c>
      <c r="AC171" s="46">
        <f t="shared" si="4"/>
        <v>0</v>
      </c>
      <c r="AD171" s="46">
        <f t="shared" si="5"/>
        <v>0</v>
      </c>
    </row>
    <row r="172" spans="1:30" ht="17.25" customHeight="1">
      <c r="A172" s="110" t="s">
        <v>722</v>
      </c>
      <c r="B172" s="106" t="s">
        <v>40</v>
      </c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94"/>
      <c r="X172" s="36">
        <f t="shared" si="0"/>
        <v>0</v>
      </c>
      <c r="Y172" s="36">
        <f>BASE!A176</f>
        <v>161</v>
      </c>
      <c r="Z172" s="46">
        <f t="shared" si="1"/>
        <v>0</v>
      </c>
      <c r="AA172" s="46">
        <f t="shared" si="2"/>
        <v>0</v>
      </c>
      <c r="AB172" s="46">
        <f t="shared" si="3"/>
        <v>0</v>
      </c>
      <c r="AC172" s="46">
        <f t="shared" si="4"/>
        <v>0</v>
      </c>
      <c r="AD172" s="46">
        <f t="shared" si="5"/>
        <v>0</v>
      </c>
    </row>
    <row r="173" spans="1:30" ht="17.25" customHeight="1">
      <c r="A173" s="110" t="s">
        <v>723</v>
      </c>
      <c r="B173" s="106" t="s">
        <v>40</v>
      </c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94"/>
      <c r="X173" s="36">
        <f t="shared" si="0"/>
        <v>0</v>
      </c>
      <c r="Y173" s="36">
        <f>BASE!A177</f>
        <v>162</v>
      </c>
      <c r="Z173" s="46">
        <f t="shared" si="1"/>
        <v>0</v>
      </c>
      <c r="AA173" s="46">
        <f t="shared" si="2"/>
        <v>0</v>
      </c>
      <c r="AB173" s="46">
        <f t="shared" si="3"/>
        <v>0</v>
      </c>
      <c r="AC173" s="46">
        <f t="shared" si="4"/>
        <v>0</v>
      </c>
      <c r="AD173" s="46">
        <f t="shared" si="5"/>
        <v>0</v>
      </c>
    </row>
    <row r="174" spans="1:30" ht="17.25" customHeight="1">
      <c r="A174" s="110" t="s">
        <v>724</v>
      </c>
      <c r="B174" s="106" t="s">
        <v>40</v>
      </c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94"/>
      <c r="X174" s="36">
        <f t="shared" si="0"/>
        <v>0</v>
      </c>
      <c r="Y174" s="36">
        <f>BASE!A178</f>
        <v>163</v>
      </c>
      <c r="Z174" s="46">
        <f t="shared" si="1"/>
        <v>0</v>
      </c>
      <c r="AA174" s="46">
        <f t="shared" si="2"/>
        <v>0</v>
      </c>
      <c r="AB174" s="46">
        <f t="shared" si="3"/>
        <v>0</v>
      </c>
      <c r="AC174" s="46">
        <f t="shared" si="4"/>
        <v>0</v>
      </c>
      <c r="AD174" s="46">
        <f t="shared" si="5"/>
        <v>0</v>
      </c>
    </row>
    <row r="175" spans="1:30" ht="17.25" customHeight="1">
      <c r="A175" s="110" t="s">
        <v>725</v>
      </c>
      <c r="B175" s="106" t="s">
        <v>40</v>
      </c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94"/>
      <c r="X175" s="36">
        <f t="shared" si="0"/>
        <v>0</v>
      </c>
      <c r="Y175" s="36">
        <f>BASE!A179</f>
        <v>164</v>
      </c>
      <c r="Z175" s="46">
        <f t="shared" si="1"/>
        <v>0</v>
      </c>
      <c r="AA175" s="46">
        <f t="shared" si="2"/>
        <v>0</v>
      </c>
      <c r="AB175" s="46">
        <f t="shared" si="3"/>
        <v>0</v>
      </c>
      <c r="AC175" s="46">
        <f t="shared" si="4"/>
        <v>0</v>
      </c>
      <c r="AD175" s="46">
        <f t="shared" si="5"/>
        <v>0</v>
      </c>
    </row>
    <row r="176" spans="1:30" ht="17.25" customHeight="1">
      <c r="A176" s="110" t="s">
        <v>726</v>
      </c>
      <c r="B176" s="106" t="s">
        <v>40</v>
      </c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94"/>
      <c r="X176" s="36">
        <f t="shared" si="0"/>
        <v>0</v>
      </c>
      <c r="Y176" s="36">
        <f>BASE!A180</f>
        <v>165</v>
      </c>
      <c r="Z176" s="46">
        <f t="shared" si="1"/>
        <v>0</v>
      </c>
      <c r="AA176" s="46">
        <f t="shared" si="2"/>
        <v>0</v>
      </c>
      <c r="AB176" s="46">
        <f t="shared" si="3"/>
        <v>0</v>
      </c>
      <c r="AC176" s="46">
        <f t="shared" si="4"/>
        <v>0</v>
      </c>
      <c r="AD176" s="46">
        <f t="shared" si="5"/>
        <v>0</v>
      </c>
    </row>
    <row r="177" spans="1:30" ht="17.25" customHeight="1">
      <c r="A177" s="110" t="s">
        <v>727</v>
      </c>
      <c r="B177" s="106" t="s">
        <v>40</v>
      </c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94"/>
      <c r="X177" s="36">
        <f t="shared" si="0"/>
        <v>0</v>
      </c>
      <c r="Y177" s="36">
        <f>BASE!A181</f>
        <v>166</v>
      </c>
      <c r="Z177" s="46">
        <f t="shared" si="1"/>
        <v>0</v>
      </c>
      <c r="AA177" s="46">
        <f t="shared" si="2"/>
        <v>0</v>
      </c>
      <c r="AB177" s="46">
        <f t="shared" si="3"/>
        <v>0</v>
      </c>
      <c r="AC177" s="46">
        <f t="shared" si="4"/>
        <v>0</v>
      </c>
      <c r="AD177" s="46">
        <f t="shared" si="5"/>
        <v>0</v>
      </c>
    </row>
    <row r="178" spans="1:30" ht="17.25" customHeight="1">
      <c r="A178" s="110" t="s">
        <v>728</v>
      </c>
      <c r="B178" s="106" t="s">
        <v>40</v>
      </c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94"/>
      <c r="X178" s="36">
        <f t="shared" si="0"/>
        <v>0</v>
      </c>
      <c r="Y178" s="36">
        <f>BASE!A182</f>
        <v>167</v>
      </c>
      <c r="Z178" s="46">
        <f t="shared" si="1"/>
        <v>0</v>
      </c>
      <c r="AA178" s="46">
        <f t="shared" si="2"/>
        <v>0</v>
      </c>
      <c r="AB178" s="46">
        <f t="shared" si="3"/>
        <v>0</v>
      </c>
      <c r="AC178" s="46">
        <f t="shared" si="4"/>
        <v>0</v>
      </c>
      <c r="AD178" s="46">
        <f t="shared" si="5"/>
        <v>0</v>
      </c>
    </row>
    <row r="179" spans="1:30" ht="17.25" customHeight="1">
      <c r="A179" s="110" t="s">
        <v>729</v>
      </c>
      <c r="B179" s="106" t="s">
        <v>40</v>
      </c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94"/>
      <c r="X179" s="36">
        <f t="shared" si="0"/>
        <v>0</v>
      </c>
      <c r="Y179" s="36">
        <f>BASE!A183</f>
        <v>168</v>
      </c>
      <c r="Z179" s="46">
        <f t="shared" si="1"/>
        <v>0</v>
      </c>
      <c r="AA179" s="46">
        <f t="shared" si="2"/>
        <v>0</v>
      </c>
      <c r="AB179" s="46">
        <f t="shared" si="3"/>
        <v>0</v>
      </c>
      <c r="AC179" s="46">
        <f t="shared" si="4"/>
        <v>0</v>
      </c>
      <c r="AD179" s="46">
        <f t="shared" si="5"/>
        <v>0</v>
      </c>
    </row>
    <row r="180" spans="1:30" ht="17.25" customHeight="1">
      <c r="A180" s="110" t="s">
        <v>730</v>
      </c>
      <c r="B180" s="106" t="s">
        <v>40</v>
      </c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94"/>
      <c r="X180" s="36">
        <f t="shared" si="0"/>
        <v>0</v>
      </c>
      <c r="Y180" s="36">
        <f>BASE!A184</f>
        <v>169</v>
      </c>
      <c r="Z180" s="46">
        <f t="shared" si="1"/>
        <v>0</v>
      </c>
      <c r="AA180" s="46">
        <f t="shared" si="2"/>
        <v>0</v>
      </c>
      <c r="AB180" s="46">
        <f t="shared" si="3"/>
        <v>0</v>
      </c>
      <c r="AC180" s="46">
        <f t="shared" si="4"/>
        <v>0</v>
      </c>
      <c r="AD180" s="46">
        <f t="shared" si="5"/>
        <v>0</v>
      </c>
    </row>
    <row r="181" spans="1:30" ht="17.25" customHeight="1">
      <c r="A181" s="110" t="s">
        <v>731</v>
      </c>
      <c r="B181" s="106" t="s">
        <v>40</v>
      </c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94"/>
      <c r="X181" s="36">
        <f t="shared" si="0"/>
        <v>0</v>
      </c>
      <c r="Y181" s="36">
        <f>BASE!A185</f>
        <v>170</v>
      </c>
      <c r="Z181" s="46">
        <f t="shared" si="1"/>
        <v>0</v>
      </c>
      <c r="AA181" s="46">
        <f t="shared" si="2"/>
        <v>0</v>
      </c>
      <c r="AB181" s="46">
        <f t="shared" si="3"/>
        <v>0</v>
      </c>
      <c r="AC181" s="46">
        <f t="shared" si="4"/>
        <v>0</v>
      </c>
      <c r="AD181" s="46">
        <f t="shared" si="5"/>
        <v>0</v>
      </c>
    </row>
    <row r="182" spans="1:30" ht="17.25" customHeight="1">
      <c r="A182" s="110" t="s">
        <v>732</v>
      </c>
      <c r="B182" s="106" t="s">
        <v>40</v>
      </c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94"/>
      <c r="X182" s="36">
        <f t="shared" si="0"/>
        <v>0</v>
      </c>
      <c r="Y182" s="36">
        <f>BASE!A186</f>
        <v>171</v>
      </c>
      <c r="Z182" s="46">
        <f t="shared" si="1"/>
        <v>0</v>
      </c>
      <c r="AA182" s="46">
        <f t="shared" si="2"/>
        <v>0</v>
      </c>
      <c r="AB182" s="46">
        <f t="shared" si="3"/>
        <v>0</v>
      </c>
      <c r="AC182" s="46">
        <f t="shared" si="4"/>
        <v>0</v>
      </c>
      <c r="AD182" s="46">
        <f t="shared" si="5"/>
        <v>0</v>
      </c>
    </row>
    <row r="183" spans="1:30" ht="17.25" customHeight="1">
      <c r="A183" s="110" t="s">
        <v>733</v>
      </c>
      <c r="B183" s="106" t="s">
        <v>40</v>
      </c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94"/>
      <c r="X183" s="36">
        <f t="shared" si="0"/>
        <v>0</v>
      </c>
      <c r="Y183" s="36">
        <f>BASE!A187</f>
        <v>172</v>
      </c>
      <c r="Z183" s="46">
        <f t="shared" si="1"/>
        <v>0</v>
      </c>
      <c r="AA183" s="46">
        <f t="shared" si="2"/>
        <v>0</v>
      </c>
      <c r="AB183" s="46">
        <f t="shared" si="3"/>
        <v>0</v>
      </c>
      <c r="AC183" s="46">
        <f t="shared" si="4"/>
        <v>0</v>
      </c>
      <c r="AD183" s="46">
        <f t="shared" si="5"/>
        <v>0</v>
      </c>
    </row>
    <row r="184" spans="1:30" ht="17.25" customHeight="1">
      <c r="A184" s="110" t="s">
        <v>734</v>
      </c>
      <c r="B184" s="106" t="s">
        <v>40</v>
      </c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94"/>
      <c r="X184" s="36">
        <f t="shared" si="0"/>
        <v>0</v>
      </c>
      <c r="Y184" s="36">
        <f>BASE!A188</f>
        <v>173</v>
      </c>
      <c r="Z184" s="46">
        <f t="shared" si="1"/>
        <v>0</v>
      </c>
      <c r="AA184" s="46">
        <f t="shared" si="2"/>
        <v>0</v>
      </c>
      <c r="AB184" s="46">
        <f t="shared" si="3"/>
        <v>0</v>
      </c>
      <c r="AC184" s="46">
        <f t="shared" si="4"/>
        <v>0</v>
      </c>
      <c r="AD184" s="46">
        <f t="shared" si="5"/>
        <v>0</v>
      </c>
    </row>
    <row r="185" spans="1:30" ht="17.25" customHeight="1">
      <c r="A185" s="110" t="s">
        <v>735</v>
      </c>
      <c r="B185" s="106" t="s">
        <v>40</v>
      </c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94"/>
      <c r="X185" s="36">
        <f t="shared" si="0"/>
        <v>0</v>
      </c>
      <c r="Y185" s="36">
        <f>BASE!A189</f>
        <v>174</v>
      </c>
      <c r="Z185" s="46">
        <f t="shared" si="1"/>
        <v>0</v>
      </c>
      <c r="AA185" s="46">
        <f t="shared" si="2"/>
        <v>0</v>
      </c>
      <c r="AB185" s="46">
        <f t="shared" si="3"/>
        <v>0</v>
      </c>
      <c r="AC185" s="46">
        <f t="shared" si="4"/>
        <v>0</v>
      </c>
      <c r="AD185" s="46">
        <f t="shared" si="5"/>
        <v>0</v>
      </c>
    </row>
    <row r="186" spans="1:30" ht="17.25" customHeight="1">
      <c r="A186" s="110" t="s">
        <v>736</v>
      </c>
      <c r="B186" s="106" t="s">
        <v>40</v>
      </c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94"/>
      <c r="X186" s="36">
        <f t="shared" si="0"/>
        <v>0</v>
      </c>
      <c r="Y186" s="36">
        <f>BASE!A190</f>
        <v>175</v>
      </c>
      <c r="Z186" s="46">
        <f t="shared" si="1"/>
        <v>0</v>
      </c>
      <c r="AA186" s="46">
        <f t="shared" si="2"/>
        <v>0</v>
      </c>
      <c r="AB186" s="46">
        <f t="shared" si="3"/>
        <v>0</v>
      </c>
      <c r="AC186" s="46">
        <f t="shared" si="4"/>
        <v>0</v>
      </c>
      <c r="AD186" s="46">
        <f t="shared" si="5"/>
        <v>0</v>
      </c>
    </row>
    <row r="187" spans="1:30" ht="17.25" customHeight="1">
      <c r="A187" s="110" t="s">
        <v>737</v>
      </c>
      <c r="B187" s="106" t="s">
        <v>40</v>
      </c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94"/>
      <c r="X187" s="36">
        <f t="shared" si="0"/>
        <v>0</v>
      </c>
      <c r="Y187" s="36">
        <f>BASE!A191</f>
        <v>176</v>
      </c>
      <c r="Z187" s="46">
        <f t="shared" si="1"/>
        <v>0</v>
      </c>
      <c r="AA187" s="46">
        <f t="shared" si="2"/>
        <v>0</v>
      </c>
      <c r="AB187" s="46">
        <f t="shared" si="3"/>
        <v>0</v>
      </c>
      <c r="AC187" s="46">
        <f t="shared" si="4"/>
        <v>0</v>
      </c>
      <c r="AD187" s="46">
        <f t="shared" si="5"/>
        <v>0</v>
      </c>
    </row>
    <row r="188" spans="1:30" ht="17.25" customHeight="1">
      <c r="A188" s="110" t="s">
        <v>738</v>
      </c>
      <c r="B188" s="106" t="s">
        <v>40</v>
      </c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94"/>
      <c r="X188" s="36">
        <f t="shared" si="0"/>
        <v>0</v>
      </c>
      <c r="Y188" s="36">
        <f>BASE!A192</f>
        <v>177</v>
      </c>
      <c r="Z188" s="46">
        <f t="shared" si="1"/>
        <v>0</v>
      </c>
      <c r="AA188" s="46">
        <f t="shared" si="2"/>
        <v>0</v>
      </c>
      <c r="AB188" s="46">
        <f t="shared" si="3"/>
        <v>0</v>
      </c>
      <c r="AC188" s="46">
        <f t="shared" si="4"/>
        <v>0</v>
      </c>
      <c r="AD188" s="46">
        <f t="shared" si="5"/>
        <v>0</v>
      </c>
    </row>
    <row r="189" spans="1:30" ht="17.25" customHeight="1">
      <c r="A189" s="110" t="s">
        <v>739</v>
      </c>
      <c r="B189" s="106" t="s">
        <v>40</v>
      </c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94"/>
      <c r="X189" s="36">
        <f t="shared" si="0"/>
        <v>0</v>
      </c>
      <c r="Y189" s="36">
        <f>BASE!A193</f>
        <v>178</v>
      </c>
      <c r="Z189" s="46">
        <f t="shared" si="1"/>
        <v>0</v>
      </c>
      <c r="AA189" s="46">
        <f t="shared" si="2"/>
        <v>0</v>
      </c>
      <c r="AB189" s="46">
        <f t="shared" si="3"/>
        <v>0</v>
      </c>
      <c r="AC189" s="46">
        <f t="shared" si="4"/>
        <v>0</v>
      </c>
      <c r="AD189" s="46">
        <f t="shared" si="5"/>
        <v>0</v>
      </c>
    </row>
    <row r="190" spans="1:30" ht="17.25" customHeight="1">
      <c r="A190" s="110" t="s">
        <v>740</v>
      </c>
      <c r="B190" s="106" t="s">
        <v>40</v>
      </c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94"/>
      <c r="X190" s="36">
        <f t="shared" si="0"/>
        <v>0</v>
      </c>
      <c r="Y190" s="36">
        <f>BASE!A194</f>
        <v>179</v>
      </c>
      <c r="Z190" s="46">
        <f t="shared" si="1"/>
        <v>0</v>
      </c>
      <c r="AA190" s="46">
        <f t="shared" si="2"/>
        <v>0</v>
      </c>
      <c r="AB190" s="46">
        <f t="shared" si="3"/>
        <v>0</v>
      </c>
      <c r="AC190" s="46">
        <f t="shared" si="4"/>
        <v>0</v>
      </c>
      <c r="AD190" s="46">
        <f t="shared" si="5"/>
        <v>0</v>
      </c>
    </row>
    <row r="191" spans="1:30" ht="17.25" customHeight="1">
      <c r="A191" s="110" t="s">
        <v>741</v>
      </c>
      <c r="B191" s="106" t="s">
        <v>40</v>
      </c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94"/>
      <c r="X191" s="36">
        <f t="shared" si="0"/>
        <v>0</v>
      </c>
      <c r="Y191" s="36">
        <f>BASE!A195</f>
        <v>180</v>
      </c>
      <c r="Z191" s="46">
        <f t="shared" si="1"/>
        <v>0</v>
      </c>
      <c r="AA191" s="46">
        <f t="shared" si="2"/>
        <v>0</v>
      </c>
      <c r="AB191" s="46">
        <f t="shared" si="3"/>
        <v>0</v>
      </c>
      <c r="AC191" s="46">
        <f t="shared" si="4"/>
        <v>0</v>
      </c>
      <c r="AD191" s="46">
        <f t="shared" si="5"/>
        <v>0</v>
      </c>
    </row>
    <row r="192" spans="1:30" ht="17.25" customHeight="1">
      <c r="A192" s="110" t="s">
        <v>742</v>
      </c>
      <c r="B192" s="106" t="s">
        <v>40</v>
      </c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94"/>
      <c r="X192" s="36">
        <f t="shared" si="0"/>
        <v>0</v>
      </c>
      <c r="Y192" s="36">
        <f>BASE!A196</f>
        <v>181</v>
      </c>
      <c r="Z192" s="46">
        <f t="shared" si="1"/>
        <v>0</v>
      </c>
      <c r="AA192" s="46">
        <f t="shared" si="2"/>
        <v>0</v>
      </c>
      <c r="AB192" s="46">
        <f t="shared" si="3"/>
        <v>0</v>
      </c>
      <c r="AC192" s="46">
        <f t="shared" si="4"/>
        <v>0</v>
      </c>
      <c r="AD192" s="46">
        <f t="shared" si="5"/>
        <v>0</v>
      </c>
    </row>
    <row r="193" spans="1:30" ht="17.25" customHeight="1">
      <c r="A193" s="110" t="s">
        <v>743</v>
      </c>
      <c r="B193" s="106" t="s">
        <v>40</v>
      </c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94"/>
      <c r="X193" s="36">
        <f t="shared" si="0"/>
        <v>0</v>
      </c>
      <c r="Y193" s="36">
        <f>BASE!A197</f>
        <v>182</v>
      </c>
      <c r="Z193" s="46">
        <f t="shared" si="1"/>
        <v>0</v>
      </c>
      <c r="AA193" s="46">
        <f t="shared" si="2"/>
        <v>0</v>
      </c>
      <c r="AB193" s="46">
        <f t="shared" si="3"/>
        <v>0</v>
      </c>
      <c r="AC193" s="46">
        <f t="shared" si="4"/>
        <v>0</v>
      </c>
      <c r="AD193" s="46">
        <f t="shared" si="5"/>
        <v>0</v>
      </c>
    </row>
    <row r="194" spans="1:30" ht="17.25" customHeight="1">
      <c r="A194" s="110" t="s">
        <v>744</v>
      </c>
      <c r="B194" s="106" t="s">
        <v>40</v>
      </c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94"/>
      <c r="X194" s="36">
        <f t="shared" si="0"/>
        <v>0</v>
      </c>
      <c r="Y194" s="36">
        <f>BASE!A198</f>
        <v>183</v>
      </c>
      <c r="Z194" s="46">
        <f t="shared" si="1"/>
        <v>0</v>
      </c>
      <c r="AA194" s="46">
        <f t="shared" si="2"/>
        <v>0</v>
      </c>
      <c r="AB194" s="46">
        <f t="shared" si="3"/>
        <v>0</v>
      </c>
      <c r="AC194" s="46">
        <f t="shared" si="4"/>
        <v>0</v>
      </c>
      <c r="AD194" s="46">
        <f t="shared" si="5"/>
        <v>0</v>
      </c>
    </row>
    <row r="195" spans="1:30" ht="17.25" customHeight="1">
      <c r="A195" s="110" t="s">
        <v>745</v>
      </c>
      <c r="B195" s="106" t="s">
        <v>40</v>
      </c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94"/>
      <c r="X195" s="36">
        <f t="shared" si="0"/>
        <v>0</v>
      </c>
      <c r="Y195" s="36">
        <f>BASE!A199</f>
        <v>184</v>
      </c>
      <c r="Z195" s="46">
        <f t="shared" si="1"/>
        <v>0</v>
      </c>
      <c r="AA195" s="46">
        <f t="shared" si="2"/>
        <v>0</v>
      </c>
      <c r="AB195" s="46">
        <f t="shared" si="3"/>
        <v>0</v>
      </c>
      <c r="AC195" s="46">
        <f t="shared" si="4"/>
        <v>0</v>
      </c>
      <c r="AD195" s="46">
        <f t="shared" si="5"/>
        <v>0</v>
      </c>
    </row>
    <row r="196" spans="1:30" ht="17.25" customHeight="1">
      <c r="A196" s="110" t="s">
        <v>746</v>
      </c>
      <c r="B196" s="106" t="s">
        <v>40</v>
      </c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94"/>
      <c r="X196" s="36">
        <f t="shared" si="0"/>
        <v>0</v>
      </c>
      <c r="Y196" s="36">
        <f>BASE!A200</f>
        <v>185</v>
      </c>
      <c r="Z196" s="46">
        <f t="shared" si="1"/>
        <v>0</v>
      </c>
      <c r="AA196" s="46">
        <f t="shared" si="2"/>
        <v>0</v>
      </c>
      <c r="AB196" s="46">
        <f t="shared" si="3"/>
        <v>0</v>
      </c>
      <c r="AC196" s="46">
        <f t="shared" si="4"/>
        <v>0</v>
      </c>
      <c r="AD196" s="46">
        <f t="shared" si="5"/>
        <v>0</v>
      </c>
    </row>
    <row r="197" spans="1:30" ht="17.25" customHeight="1">
      <c r="A197" s="110" t="s">
        <v>747</v>
      </c>
      <c r="B197" s="106" t="s">
        <v>40</v>
      </c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94"/>
      <c r="X197" s="36">
        <f t="shared" si="0"/>
        <v>0</v>
      </c>
      <c r="Y197" s="36">
        <f>BASE!A201</f>
        <v>186</v>
      </c>
      <c r="Z197" s="46">
        <f t="shared" si="1"/>
        <v>0</v>
      </c>
      <c r="AA197" s="46">
        <f t="shared" si="2"/>
        <v>0</v>
      </c>
      <c r="AB197" s="46">
        <f t="shared" si="3"/>
        <v>0</v>
      </c>
      <c r="AC197" s="46">
        <f t="shared" si="4"/>
        <v>0</v>
      </c>
      <c r="AD197" s="46">
        <f t="shared" si="5"/>
        <v>0</v>
      </c>
    </row>
    <row r="198" spans="1:30" ht="17.25" customHeight="1">
      <c r="A198" s="110" t="s">
        <v>748</v>
      </c>
      <c r="B198" s="106" t="s">
        <v>40</v>
      </c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94"/>
      <c r="X198" s="36">
        <f t="shared" si="0"/>
        <v>0</v>
      </c>
      <c r="Y198" s="36">
        <f>BASE!A202</f>
        <v>187</v>
      </c>
      <c r="Z198" s="46">
        <f t="shared" si="1"/>
        <v>0</v>
      </c>
      <c r="AA198" s="46">
        <f t="shared" si="2"/>
        <v>0</v>
      </c>
      <c r="AB198" s="46">
        <f t="shared" si="3"/>
        <v>0</v>
      </c>
      <c r="AC198" s="46">
        <f t="shared" si="4"/>
        <v>0</v>
      </c>
      <c r="AD198" s="46">
        <f t="shared" si="5"/>
        <v>0</v>
      </c>
    </row>
    <row r="199" spans="1:30" ht="17.25" customHeight="1">
      <c r="A199" s="110" t="s">
        <v>749</v>
      </c>
      <c r="B199" s="106" t="s">
        <v>40</v>
      </c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94"/>
      <c r="X199" s="36">
        <f t="shared" si="0"/>
        <v>0</v>
      </c>
      <c r="Y199" s="36">
        <f>BASE!A203</f>
        <v>188</v>
      </c>
      <c r="Z199" s="46">
        <f t="shared" si="1"/>
        <v>0</v>
      </c>
      <c r="AA199" s="46">
        <f t="shared" si="2"/>
        <v>0</v>
      </c>
      <c r="AB199" s="46">
        <f t="shared" si="3"/>
        <v>0</v>
      </c>
      <c r="AC199" s="46">
        <f t="shared" si="4"/>
        <v>0</v>
      </c>
      <c r="AD199" s="46">
        <f t="shared" si="5"/>
        <v>0</v>
      </c>
    </row>
    <row r="200" spans="1:30" ht="17.25" customHeight="1">
      <c r="A200" s="110" t="s">
        <v>750</v>
      </c>
      <c r="B200" s="106" t="s">
        <v>40</v>
      </c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94"/>
      <c r="X200" s="36">
        <f t="shared" si="0"/>
        <v>0</v>
      </c>
      <c r="Y200" s="36">
        <f>BASE!A204</f>
        <v>189</v>
      </c>
      <c r="Z200" s="46">
        <f t="shared" si="1"/>
        <v>0</v>
      </c>
      <c r="AA200" s="46">
        <f t="shared" si="2"/>
        <v>0</v>
      </c>
      <c r="AB200" s="46">
        <f t="shared" si="3"/>
        <v>0</v>
      </c>
      <c r="AC200" s="46">
        <f t="shared" si="4"/>
        <v>0</v>
      </c>
      <c r="AD200" s="46">
        <f t="shared" si="5"/>
        <v>0</v>
      </c>
    </row>
    <row r="201" spans="1:30" ht="17.25" customHeight="1">
      <c r="A201" s="110" t="s">
        <v>751</v>
      </c>
      <c r="B201" s="106" t="s">
        <v>40</v>
      </c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94"/>
      <c r="X201" s="36">
        <f t="shared" si="0"/>
        <v>0</v>
      </c>
      <c r="Y201" s="36">
        <f>BASE!A205</f>
        <v>190</v>
      </c>
      <c r="Z201" s="46">
        <f t="shared" si="1"/>
        <v>0</v>
      </c>
      <c r="AA201" s="46">
        <f t="shared" si="2"/>
        <v>0</v>
      </c>
      <c r="AB201" s="46">
        <f t="shared" si="3"/>
        <v>0</v>
      </c>
      <c r="AC201" s="46">
        <f t="shared" si="4"/>
        <v>0</v>
      </c>
      <c r="AD201" s="46">
        <f t="shared" si="5"/>
        <v>0</v>
      </c>
    </row>
    <row r="202" spans="1:30" ht="17.25" customHeight="1">
      <c r="A202" s="110" t="s">
        <v>752</v>
      </c>
      <c r="B202" s="106" t="s">
        <v>40</v>
      </c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94"/>
      <c r="X202" s="36">
        <f t="shared" si="0"/>
        <v>0</v>
      </c>
      <c r="Y202" s="36">
        <f>BASE!A206</f>
        <v>191</v>
      </c>
      <c r="Z202" s="46">
        <f t="shared" si="1"/>
        <v>0</v>
      </c>
      <c r="AA202" s="46">
        <f t="shared" si="2"/>
        <v>0</v>
      </c>
      <c r="AB202" s="46">
        <f t="shared" si="3"/>
        <v>0</v>
      </c>
      <c r="AC202" s="46">
        <f t="shared" si="4"/>
        <v>0</v>
      </c>
      <c r="AD202" s="46">
        <f t="shared" si="5"/>
        <v>0</v>
      </c>
    </row>
    <row r="203" spans="1:30" ht="17.25" customHeight="1">
      <c r="A203" s="110" t="s">
        <v>753</v>
      </c>
      <c r="B203" s="106" t="s">
        <v>40</v>
      </c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94"/>
      <c r="X203" s="36">
        <f t="shared" si="0"/>
        <v>0</v>
      </c>
      <c r="Y203" s="36">
        <f>BASE!A207</f>
        <v>192</v>
      </c>
      <c r="Z203" s="46">
        <f t="shared" si="1"/>
        <v>0</v>
      </c>
      <c r="AA203" s="46">
        <f t="shared" si="2"/>
        <v>0</v>
      </c>
      <c r="AB203" s="46">
        <f t="shared" si="3"/>
        <v>0</v>
      </c>
      <c r="AC203" s="46">
        <f t="shared" si="4"/>
        <v>0</v>
      </c>
      <c r="AD203" s="46">
        <f t="shared" si="5"/>
        <v>0</v>
      </c>
    </row>
    <row r="204" spans="1:30" ht="17.25" customHeight="1">
      <c r="A204" s="110" t="s">
        <v>754</v>
      </c>
      <c r="B204" s="106" t="s">
        <v>40</v>
      </c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94"/>
      <c r="X204" s="36">
        <f t="shared" si="0"/>
        <v>0</v>
      </c>
      <c r="Y204" s="36">
        <f>BASE!A208</f>
        <v>193</v>
      </c>
      <c r="Z204" s="46">
        <f t="shared" si="1"/>
        <v>0</v>
      </c>
      <c r="AA204" s="46">
        <f t="shared" si="2"/>
        <v>0</v>
      </c>
      <c r="AB204" s="46">
        <f t="shared" si="3"/>
        <v>0</v>
      </c>
      <c r="AC204" s="46">
        <f t="shared" si="4"/>
        <v>0</v>
      </c>
      <c r="AD204" s="46">
        <f t="shared" si="5"/>
        <v>0</v>
      </c>
    </row>
    <row r="205" spans="1:30" ht="17.25" customHeight="1">
      <c r="A205" s="110" t="s">
        <v>755</v>
      </c>
      <c r="B205" s="106" t="s">
        <v>40</v>
      </c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94"/>
      <c r="X205" s="36">
        <f t="shared" si="0"/>
        <v>0</v>
      </c>
      <c r="Y205" s="36">
        <f>BASE!A209</f>
        <v>194</v>
      </c>
      <c r="Z205" s="46">
        <f t="shared" si="1"/>
        <v>0</v>
      </c>
      <c r="AA205" s="46">
        <f t="shared" si="2"/>
        <v>0</v>
      </c>
      <c r="AB205" s="46">
        <f t="shared" si="3"/>
        <v>0</v>
      </c>
      <c r="AC205" s="46">
        <f t="shared" si="4"/>
        <v>0</v>
      </c>
      <c r="AD205" s="46">
        <f t="shared" si="5"/>
        <v>0</v>
      </c>
    </row>
    <row r="206" spans="1:30" ht="17.25" customHeight="1">
      <c r="A206" s="110" t="s">
        <v>756</v>
      </c>
      <c r="B206" s="106" t="s">
        <v>40</v>
      </c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94"/>
      <c r="X206" s="36">
        <f t="shared" si="0"/>
        <v>0</v>
      </c>
      <c r="Y206" s="36">
        <f>BASE!A210</f>
        <v>195</v>
      </c>
      <c r="Z206" s="46">
        <f t="shared" si="1"/>
        <v>0</v>
      </c>
      <c r="AA206" s="46">
        <f t="shared" si="2"/>
        <v>0</v>
      </c>
      <c r="AB206" s="46">
        <f t="shared" si="3"/>
        <v>0</v>
      </c>
      <c r="AC206" s="46">
        <f t="shared" si="4"/>
        <v>0</v>
      </c>
      <c r="AD206" s="46">
        <f t="shared" si="5"/>
        <v>0</v>
      </c>
    </row>
    <row r="207" spans="1:30" ht="17.25" customHeight="1">
      <c r="A207" s="110" t="s">
        <v>757</v>
      </c>
      <c r="B207" s="106" t="s">
        <v>40</v>
      </c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94"/>
      <c r="X207" s="36">
        <f t="shared" si="0"/>
        <v>0</v>
      </c>
      <c r="Y207" s="36">
        <f>BASE!A211</f>
        <v>196</v>
      </c>
      <c r="Z207" s="46">
        <f t="shared" si="1"/>
        <v>0</v>
      </c>
      <c r="AA207" s="46">
        <f t="shared" si="2"/>
        <v>0</v>
      </c>
      <c r="AB207" s="46">
        <f t="shared" si="3"/>
        <v>0</v>
      </c>
      <c r="AC207" s="46">
        <f t="shared" si="4"/>
        <v>0</v>
      </c>
      <c r="AD207" s="46">
        <f t="shared" si="5"/>
        <v>0</v>
      </c>
    </row>
    <row r="208" spans="1:30" ht="17.25" customHeight="1">
      <c r="A208" s="110" t="s">
        <v>758</v>
      </c>
      <c r="B208" s="106" t="s">
        <v>40</v>
      </c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94"/>
      <c r="X208" s="36">
        <f t="shared" si="0"/>
        <v>0</v>
      </c>
      <c r="Y208" s="36">
        <f>BASE!A212</f>
        <v>197</v>
      </c>
      <c r="Z208" s="46">
        <f t="shared" si="1"/>
        <v>0</v>
      </c>
      <c r="AA208" s="46">
        <f t="shared" si="2"/>
        <v>0</v>
      </c>
      <c r="AB208" s="46">
        <f t="shared" si="3"/>
        <v>0</v>
      </c>
      <c r="AC208" s="46">
        <f t="shared" si="4"/>
        <v>0</v>
      </c>
      <c r="AD208" s="46">
        <f t="shared" si="5"/>
        <v>0</v>
      </c>
    </row>
    <row r="209" spans="1:30" ht="17.25" customHeight="1">
      <c r="A209" s="110" t="s">
        <v>759</v>
      </c>
      <c r="B209" s="106" t="s">
        <v>40</v>
      </c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94"/>
      <c r="X209" s="36">
        <f t="shared" si="0"/>
        <v>0</v>
      </c>
      <c r="Y209" s="36">
        <f>BASE!A213</f>
        <v>198</v>
      </c>
      <c r="Z209" s="46">
        <f t="shared" si="1"/>
        <v>0</v>
      </c>
      <c r="AA209" s="46">
        <f t="shared" si="2"/>
        <v>0</v>
      </c>
      <c r="AB209" s="46">
        <f t="shared" si="3"/>
        <v>0</v>
      </c>
      <c r="AC209" s="46">
        <f t="shared" si="4"/>
        <v>0</v>
      </c>
      <c r="AD209" s="46">
        <f t="shared" si="5"/>
        <v>0</v>
      </c>
    </row>
    <row r="210" spans="1:30" ht="17.25" customHeight="1">
      <c r="A210" s="110" t="s">
        <v>760</v>
      </c>
      <c r="B210" s="106" t="s">
        <v>40</v>
      </c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94"/>
      <c r="X210" s="36">
        <f t="shared" si="0"/>
        <v>0</v>
      </c>
      <c r="Y210" s="36">
        <f>BASE!A214</f>
        <v>199</v>
      </c>
      <c r="Z210" s="46">
        <f t="shared" si="1"/>
        <v>0</v>
      </c>
      <c r="AA210" s="46">
        <f t="shared" si="2"/>
        <v>0</v>
      </c>
      <c r="AB210" s="46">
        <f t="shared" si="3"/>
        <v>0</v>
      </c>
      <c r="AC210" s="46">
        <f t="shared" si="4"/>
        <v>0</v>
      </c>
      <c r="AD210" s="46">
        <f t="shared" si="5"/>
        <v>0</v>
      </c>
    </row>
    <row r="211" spans="1:30" ht="17.25" customHeight="1">
      <c r="A211" s="110" t="s">
        <v>761</v>
      </c>
      <c r="B211" s="106" t="s">
        <v>40</v>
      </c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94"/>
      <c r="X211" s="36">
        <f t="shared" si="0"/>
        <v>0</v>
      </c>
      <c r="Y211" s="36">
        <f>BASE!A215</f>
        <v>200</v>
      </c>
      <c r="Z211" s="46">
        <f t="shared" si="1"/>
        <v>0</v>
      </c>
      <c r="AA211" s="46">
        <f t="shared" si="2"/>
        <v>0</v>
      </c>
      <c r="AB211" s="46">
        <f t="shared" si="3"/>
        <v>0</v>
      </c>
      <c r="AC211" s="46">
        <f t="shared" si="4"/>
        <v>0</v>
      </c>
      <c r="AD211" s="46">
        <f t="shared" si="5"/>
        <v>0</v>
      </c>
    </row>
    <row r="212" spans="1:30" ht="17.25" customHeight="1">
      <c r="A212" s="110" t="s">
        <v>762</v>
      </c>
      <c r="B212" s="106" t="s">
        <v>40</v>
      </c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94"/>
      <c r="X212" s="36">
        <f t="shared" si="0"/>
        <v>0</v>
      </c>
      <c r="Y212" s="36">
        <f>BASE!A216</f>
        <v>201</v>
      </c>
      <c r="Z212" s="46">
        <f t="shared" si="1"/>
        <v>0</v>
      </c>
      <c r="AA212" s="46">
        <f t="shared" si="2"/>
        <v>0</v>
      </c>
      <c r="AB212" s="46">
        <f t="shared" si="3"/>
        <v>0</v>
      </c>
      <c r="AC212" s="46">
        <f t="shared" si="4"/>
        <v>0</v>
      </c>
      <c r="AD212" s="46">
        <f t="shared" si="5"/>
        <v>0</v>
      </c>
    </row>
    <row r="213" spans="1:30" ht="17.25" customHeight="1">
      <c r="A213" s="110" t="s">
        <v>763</v>
      </c>
      <c r="B213" s="106" t="s">
        <v>40</v>
      </c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94"/>
      <c r="X213" s="36">
        <f t="shared" si="0"/>
        <v>0</v>
      </c>
      <c r="Y213" s="36">
        <f>BASE!A217</f>
        <v>202</v>
      </c>
      <c r="Z213" s="46">
        <f t="shared" si="1"/>
        <v>0</v>
      </c>
      <c r="AA213" s="46">
        <f t="shared" si="2"/>
        <v>0</v>
      </c>
      <c r="AB213" s="46">
        <f t="shared" si="3"/>
        <v>0</v>
      </c>
      <c r="AC213" s="46">
        <f t="shared" si="4"/>
        <v>0</v>
      </c>
      <c r="AD213" s="46">
        <f t="shared" si="5"/>
        <v>0</v>
      </c>
    </row>
    <row r="214" spans="1:30" ht="17.25" customHeight="1">
      <c r="A214" s="110" t="s">
        <v>764</v>
      </c>
      <c r="B214" s="106" t="s">
        <v>40</v>
      </c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94"/>
      <c r="X214" s="36">
        <f t="shared" si="0"/>
        <v>0</v>
      </c>
      <c r="Y214" s="36">
        <f>BASE!A218</f>
        <v>203</v>
      </c>
      <c r="Z214" s="46">
        <f t="shared" si="1"/>
        <v>0</v>
      </c>
      <c r="AA214" s="46">
        <f t="shared" si="2"/>
        <v>0</v>
      </c>
      <c r="AB214" s="46">
        <f t="shared" si="3"/>
        <v>0</v>
      </c>
      <c r="AC214" s="46">
        <f t="shared" si="4"/>
        <v>0</v>
      </c>
      <c r="AD214" s="46">
        <f t="shared" si="5"/>
        <v>0</v>
      </c>
    </row>
    <row r="215" spans="1:30" ht="17.25" customHeight="1">
      <c r="A215" s="110" t="s">
        <v>765</v>
      </c>
      <c r="B215" s="106" t="s">
        <v>40</v>
      </c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94"/>
      <c r="X215" s="36">
        <f t="shared" si="0"/>
        <v>0</v>
      </c>
      <c r="Y215" s="36">
        <f>BASE!A219</f>
        <v>204</v>
      </c>
      <c r="Z215" s="46">
        <f t="shared" si="1"/>
        <v>0</v>
      </c>
      <c r="AA215" s="46">
        <f t="shared" si="2"/>
        <v>0</v>
      </c>
      <c r="AB215" s="46">
        <f t="shared" si="3"/>
        <v>0</v>
      </c>
      <c r="AC215" s="46">
        <f t="shared" si="4"/>
        <v>0</v>
      </c>
      <c r="AD215" s="46">
        <f t="shared" si="5"/>
        <v>0</v>
      </c>
    </row>
    <row r="216" spans="1:30" ht="17.25" customHeight="1">
      <c r="A216" s="110" t="s">
        <v>766</v>
      </c>
      <c r="B216" s="106" t="s">
        <v>40</v>
      </c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94"/>
      <c r="X216" s="36">
        <f t="shared" si="0"/>
        <v>0</v>
      </c>
      <c r="Y216" s="36">
        <f>BASE!A220</f>
        <v>205</v>
      </c>
      <c r="Z216" s="46">
        <f t="shared" si="1"/>
        <v>0</v>
      </c>
      <c r="AA216" s="46">
        <f t="shared" si="2"/>
        <v>0</v>
      </c>
      <c r="AB216" s="46">
        <f t="shared" si="3"/>
        <v>0</v>
      </c>
      <c r="AC216" s="46">
        <f t="shared" si="4"/>
        <v>0</v>
      </c>
      <c r="AD216" s="46">
        <f t="shared" si="5"/>
        <v>0</v>
      </c>
    </row>
    <row r="217" spans="1:30" ht="17.25" customHeight="1">
      <c r="A217" s="110" t="s">
        <v>767</v>
      </c>
      <c r="B217" s="106" t="s">
        <v>40</v>
      </c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94"/>
      <c r="X217" s="36">
        <f t="shared" si="0"/>
        <v>0</v>
      </c>
      <c r="Y217" s="36">
        <f>BASE!A221</f>
        <v>206</v>
      </c>
      <c r="Z217" s="46">
        <f t="shared" si="1"/>
        <v>0</v>
      </c>
      <c r="AA217" s="46">
        <f t="shared" si="2"/>
        <v>0</v>
      </c>
      <c r="AB217" s="46">
        <f t="shared" si="3"/>
        <v>0</v>
      </c>
      <c r="AC217" s="46">
        <f t="shared" si="4"/>
        <v>0</v>
      </c>
      <c r="AD217" s="46">
        <f t="shared" si="5"/>
        <v>0</v>
      </c>
    </row>
    <row r="218" spans="1:30" ht="17.25" customHeight="1">
      <c r="A218" s="110" t="s">
        <v>768</v>
      </c>
      <c r="B218" s="106" t="s">
        <v>40</v>
      </c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94"/>
      <c r="X218" s="36">
        <f t="shared" si="0"/>
        <v>0</v>
      </c>
      <c r="Y218" s="36">
        <f>BASE!A222</f>
        <v>207</v>
      </c>
      <c r="Z218" s="46">
        <f t="shared" si="1"/>
        <v>0</v>
      </c>
      <c r="AA218" s="46">
        <f t="shared" si="2"/>
        <v>0</v>
      </c>
      <c r="AB218" s="46">
        <f t="shared" si="3"/>
        <v>0</v>
      </c>
      <c r="AC218" s="46">
        <f t="shared" si="4"/>
        <v>0</v>
      </c>
      <c r="AD218" s="46">
        <f t="shared" si="5"/>
        <v>0</v>
      </c>
    </row>
    <row r="219" spans="1:30" ht="17.25" customHeight="1">
      <c r="A219" s="110" t="s">
        <v>769</v>
      </c>
      <c r="B219" s="106" t="s">
        <v>40</v>
      </c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94"/>
      <c r="X219" s="36">
        <f t="shared" si="0"/>
        <v>0</v>
      </c>
      <c r="Y219" s="36">
        <f>BASE!A223</f>
        <v>208</v>
      </c>
      <c r="Z219" s="46">
        <f t="shared" si="1"/>
        <v>0</v>
      </c>
      <c r="AA219" s="46">
        <f t="shared" si="2"/>
        <v>0</v>
      </c>
      <c r="AB219" s="46">
        <f t="shared" si="3"/>
        <v>0</v>
      </c>
      <c r="AC219" s="46">
        <f t="shared" si="4"/>
        <v>0</v>
      </c>
      <c r="AD219" s="46">
        <f t="shared" si="5"/>
        <v>0</v>
      </c>
    </row>
    <row r="220" spans="1:30" ht="17.25" customHeight="1">
      <c r="A220" s="110" t="s">
        <v>770</v>
      </c>
      <c r="B220" s="106" t="s">
        <v>40</v>
      </c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94"/>
      <c r="X220" s="36">
        <f t="shared" si="0"/>
        <v>0</v>
      </c>
      <c r="Y220" s="36">
        <f>BASE!A224</f>
        <v>209</v>
      </c>
      <c r="Z220" s="46">
        <f t="shared" si="1"/>
        <v>0</v>
      </c>
      <c r="AA220" s="46">
        <f t="shared" si="2"/>
        <v>0</v>
      </c>
      <c r="AB220" s="46">
        <f t="shared" si="3"/>
        <v>0</v>
      </c>
      <c r="AC220" s="46">
        <f t="shared" si="4"/>
        <v>0</v>
      </c>
      <c r="AD220" s="46">
        <f t="shared" si="5"/>
        <v>0</v>
      </c>
    </row>
    <row r="221" spans="1:30" ht="17.25" customHeight="1">
      <c r="A221" s="110" t="s">
        <v>771</v>
      </c>
      <c r="B221" s="106" t="s">
        <v>40</v>
      </c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94"/>
      <c r="X221" s="36">
        <f t="shared" si="0"/>
        <v>0</v>
      </c>
      <c r="Y221" s="36">
        <f>BASE!A225</f>
        <v>210</v>
      </c>
      <c r="Z221" s="46">
        <f t="shared" si="1"/>
        <v>0</v>
      </c>
      <c r="AA221" s="46">
        <f t="shared" si="2"/>
        <v>0</v>
      </c>
      <c r="AB221" s="46">
        <f t="shared" si="3"/>
        <v>0</v>
      </c>
      <c r="AC221" s="46">
        <f t="shared" si="4"/>
        <v>0</v>
      </c>
      <c r="AD221" s="46">
        <f t="shared" si="5"/>
        <v>0</v>
      </c>
    </row>
    <row r="222" spans="1:30" ht="17.25" customHeight="1">
      <c r="A222" s="110" t="s">
        <v>772</v>
      </c>
      <c r="B222" s="106" t="s">
        <v>40</v>
      </c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94"/>
      <c r="X222" s="36">
        <f t="shared" si="0"/>
        <v>0</v>
      </c>
      <c r="Y222" s="36">
        <f>BASE!A226</f>
        <v>211</v>
      </c>
      <c r="Z222" s="46">
        <f t="shared" si="1"/>
        <v>0</v>
      </c>
      <c r="AA222" s="46">
        <f t="shared" si="2"/>
        <v>0</v>
      </c>
      <c r="AB222" s="46">
        <f t="shared" si="3"/>
        <v>0</v>
      </c>
      <c r="AC222" s="46">
        <f t="shared" si="4"/>
        <v>0</v>
      </c>
      <c r="AD222" s="46">
        <f t="shared" si="5"/>
        <v>0</v>
      </c>
    </row>
    <row r="223" spans="1:30" ht="17.25" customHeight="1">
      <c r="A223" s="110" t="s">
        <v>773</v>
      </c>
      <c r="B223" s="106" t="s">
        <v>40</v>
      </c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94"/>
      <c r="X223" s="36">
        <f t="shared" si="0"/>
        <v>0</v>
      </c>
      <c r="Y223" s="36">
        <f>BASE!A227</f>
        <v>212</v>
      </c>
      <c r="Z223" s="46">
        <f t="shared" si="1"/>
        <v>0</v>
      </c>
      <c r="AA223" s="46">
        <f t="shared" si="2"/>
        <v>0</v>
      </c>
      <c r="AB223" s="46">
        <f t="shared" si="3"/>
        <v>0</v>
      </c>
      <c r="AC223" s="46">
        <f t="shared" si="4"/>
        <v>0</v>
      </c>
      <c r="AD223" s="46">
        <f t="shared" si="5"/>
        <v>0</v>
      </c>
    </row>
    <row r="224" spans="1:30" ht="17.25" customHeight="1">
      <c r="A224" s="110" t="s">
        <v>774</v>
      </c>
      <c r="B224" s="106" t="s">
        <v>40</v>
      </c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94"/>
      <c r="X224" s="36">
        <f t="shared" si="0"/>
        <v>0</v>
      </c>
      <c r="Y224" s="36">
        <f>BASE!A228</f>
        <v>213</v>
      </c>
      <c r="Z224" s="46">
        <f t="shared" si="1"/>
        <v>0</v>
      </c>
      <c r="AA224" s="46">
        <f t="shared" si="2"/>
        <v>0</v>
      </c>
      <c r="AB224" s="46">
        <f t="shared" si="3"/>
        <v>0</v>
      </c>
      <c r="AC224" s="46">
        <f t="shared" si="4"/>
        <v>0</v>
      </c>
      <c r="AD224" s="46">
        <f t="shared" si="5"/>
        <v>0</v>
      </c>
    </row>
    <row r="225" spans="1:30" ht="17.25" customHeight="1">
      <c r="A225" s="110" t="s">
        <v>775</v>
      </c>
      <c r="B225" s="106" t="s">
        <v>40</v>
      </c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94"/>
      <c r="X225" s="36">
        <f t="shared" si="0"/>
        <v>0</v>
      </c>
      <c r="Y225" s="36">
        <f>BASE!A229</f>
        <v>214</v>
      </c>
      <c r="Z225" s="46">
        <f t="shared" si="1"/>
        <v>0</v>
      </c>
      <c r="AA225" s="46">
        <f t="shared" si="2"/>
        <v>0</v>
      </c>
      <c r="AB225" s="46">
        <f t="shared" si="3"/>
        <v>0</v>
      </c>
      <c r="AC225" s="46">
        <f t="shared" si="4"/>
        <v>0</v>
      </c>
      <c r="AD225" s="46">
        <f t="shared" si="5"/>
        <v>0</v>
      </c>
    </row>
    <row r="226" spans="1:30" ht="17.25" customHeight="1">
      <c r="A226" s="110" t="s">
        <v>776</v>
      </c>
      <c r="B226" s="106" t="s">
        <v>40</v>
      </c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94"/>
      <c r="X226" s="36">
        <f t="shared" si="0"/>
        <v>0</v>
      </c>
      <c r="Y226" s="36">
        <f>BASE!A230</f>
        <v>215</v>
      </c>
      <c r="Z226" s="46">
        <f t="shared" si="1"/>
        <v>0</v>
      </c>
      <c r="AA226" s="46">
        <f t="shared" si="2"/>
        <v>0</v>
      </c>
      <c r="AB226" s="46">
        <f t="shared" si="3"/>
        <v>0</v>
      </c>
      <c r="AC226" s="46">
        <f t="shared" si="4"/>
        <v>0</v>
      </c>
      <c r="AD226" s="46">
        <f t="shared" si="5"/>
        <v>0</v>
      </c>
    </row>
    <row r="227" spans="1:30" ht="17.25" customHeight="1">
      <c r="A227" s="110" t="s">
        <v>777</v>
      </c>
      <c r="B227" s="106" t="s">
        <v>40</v>
      </c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94"/>
      <c r="X227" s="36">
        <f t="shared" si="0"/>
        <v>0</v>
      </c>
      <c r="Y227" s="36">
        <f>BASE!A231</f>
        <v>216</v>
      </c>
      <c r="Z227" s="46">
        <f t="shared" si="1"/>
        <v>0</v>
      </c>
      <c r="AA227" s="46">
        <f t="shared" si="2"/>
        <v>0</v>
      </c>
      <c r="AB227" s="46">
        <f t="shared" si="3"/>
        <v>0</v>
      </c>
      <c r="AC227" s="46">
        <f t="shared" si="4"/>
        <v>0</v>
      </c>
      <c r="AD227" s="46">
        <f t="shared" si="5"/>
        <v>0</v>
      </c>
    </row>
    <row r="228" spans="1:30" ht="17.25" customHeight="1">
      <c r="A228" s="110" t="s">
        <v>778</v>
      </c>
      <c r="B228" s="106" t="s">
        <v>40</v>
      </c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94"/>
      <c r="X228" s="36">
        <f t="shared" si="0"/>
        <v>0</v>
      </c>
      <c r="Y228" s="36">
        <f>BASE!A232</f>
        <v>217</v>
      </c>
      <c r="Z228" s="46">
        <f t="shared" si="1"/>
        <v>0</v>
      </c>
      <c r="AA228" s="46">
        <f t="shared" si="2"/>
        <v>0</v>
      </c>
      <c r="AB228" s="46">
        <f t="shared" si="3"/>
        <v>0</v>
      </c>
      <c r="AC228" s="46">
        <f t="shared" si="4"/>
        <v>0</v>
      </c>
      <c r="AD228" s="46">
        <f t="shared" si="5"/>
        <v>0</v>
      </c>
    </row>
    <row r="229" spans="1:30" ht="17.25" customHeight="1">
      <c r="A229" s="110" t="s">
        <v>779</v>
      </c>
      <c r="B229" s="106" t="s">
        <v>40</v>
      </c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94"/>
      <c r="X229" s="36">
        <f t="shared" si="0"/>
        <v>0</v>
      </c>
      <c r="Y229" s="36">
        <f>BASE!A233</f>
        <v>218</v>
      </c>
      <c r="Z229" s="46">
        <f t="shared" si="1"/>
        <v>0</v>
      </c>
      <c r="AA229" s="46">
        <f t="shared" si="2"/>
        <v>0</v>
      </c>
      <c r="AB229" s="46">
        <f t="shared" si="3"/>
        <v>0</v>
      </c>
      <c r="AC229" s="46">
        <f t="shared" si="4"/>
        <v>0</v>
      </c>
      <c r="AD229" s="46">
        <f t="shared" si="5"/>
        <v>0</v>
      </c>
    </row>
    <row r="230" spans="1:30" ht="17.25" customHeight="1">
      <c r="A230" s="110" t="s">
        <v>780</v>
      </c>
      <c r="B230" s="106" t="s">
        <v>40</v>
      </c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94"/>
      <c r="X230" s="36">
        <f t="shared" si="0"/>
        <v>0</v>
      </c>
      <c r="Y230" s="36">
        <f>BASE!A234</f>
        <v>219</v>
      </c>
      <c r="Z230" s="46">
        <f t="shared" si="1"/>
        <v>0</v>
      </c>
      <c r="AA230" s="46">
        <f t="shared" si="2"/>
        <v>0</v>
      </c>
      <c r="AB230" s="46">
        <f t="shared" si="3"/>
        <v>0</v>
      </c>
      <c r="AC230" s="46">
        <f t="shared" si="4"/>
        <v>0</v>
      </c>
      <c r="AD230" s="46">
        <f t="shared" si="5"/>
        <v>0</v>
      </c>
    </row>
    <row r="231" spans="1:30" ht="17.25" customHeight="1">
      <c r="A231" s="110" t="s">
        <v>781</v>
      </c>
      <c r="B231" s="106" t="s">
        <v>40</v>
      </c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94"/>
      <c r="X231" s="36">
        <f t="shared" si="0"/>
        <v>0</v>
      </c>
      <c r="Y231" s="36">
        <f>BASE!A235</f>
        <v>220</v>
      </c>
      <c r="Z231" s="46">
        <f t="shared" si="1"/>
        <v>0</v>
      </c>
      <c r="AA231" s="46">
        <f t="shared" si="2"/>
        <v>0</v>
      </c>
      <c r="AB231" s="46">
        <f t="shared" si="3"/>
        <v>0</v>
      </c>
      <c r="AC231" s="46">
        <f t="shared" si="4"/>
        <v>0</v>
      </c>
      <c r="AD231" s="46">
        <f t="shared" si="5"/>
        <v>0</v>
      </c>
    </row>
    <row r="232" spans="1:30" ht="17.25" customHeight="1">
      <c r="A232" s="110" t="s">
        <v>782</v>
      </c>
      <c r="B232" s="106" t="s">
        <v>40</v>
      </c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94"/>
      <c r="X232" s="36">
        <f t="shared" si="0"/>
        <v>0</v>
      </c>
      <c r="Y232" s="36">
        <f>BASE!A236</f>
        <v>221</v>
      </c>
      <c r="Z232" s="46">
        <f t="shared" si="1"/>
        <v>0</v>
      </c>
      <c r="AA232" s="46">
        <f t="shared" si="2"/>
        <v>0</v>
      </c>
      <c r="AB232" s="46">
        <f t="shared" si="3"/>
        <v>0</v>
      </c>
      <c r="AC232" s="46">
        <f t="shared" si="4"/>
        <v>0</v>
      </c>
      <c r="AD232" s="46">
        <f t="shared" si="5"/>
        <v>0</v>
      </c>
    </row>
    <row r="233" spans="1:30" ht="17.25" customHeight="1">
      <c r="A233" s="110" t="s">
        <v>783</v>
      </c>
      <c r="B233" s="106" t="s">
        <v>40</v>
      </c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94"/>
      <c r="X233" s="36">
        <f t="shared" si="0"/>
        <v>0</v>
      </c>
      <c r="Y233" s="36">
        <f>BASE!A237</f>
        <v>222</v>
      </c>
      <c r="Z233" s="46">
        <f t="shared" si="1"/>
        <v>0</v>
      </c>
      <c r="AA233" s="46">
        <f t="shared" si="2"/>
        <v>0</v>
      </c>
      <c r="AB233" s="46">
        <f t="shared" si="3"/>
        <v>0</v>
      </c>
      <c r="AC233" s="46">
        <f t="shared" si="4"/>
        <v>0</v>
      </c>
      <c r="AD233" s="46">
        <f t="shared" si="5"/>
        <v>0</v>
      </c>
    </row>
    <row r="234" spans="1:30" ht="17.25" customHeight="1">
      <c r="A234" s="110" t="s">
        <v>784</v>
      </c>
      <c r="B234" s="106" t="s">
        <v>40</v>
      </c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94"/>
      <c r="X234" s="36">
        <f t="shared" si="0"/>
        <v>0</v>
      </c>
      <c r="Y234" s="36">
        <f>BASE!A238</f>
        <v>223</v>
      </c>
      <c r="Z234" s="46">
        <f t="shared" si="1"/>
        <v>0</v>
      </c>
      <c r="AA234" s="46">
        <f t="shared" si="2"/>
        <v>0</v>
      </c>
      <c r="AB234" s="46">
        <f t="shared" si="3"/>
        <v>0</v>
      </c>
      <c r="AC234" s="46">
        <f t="shared" si="4"/>
        <v>0</v>
      </c>
      <c r="AD234" s="46">
        <f t="shared" si="5"/>
        <v>0</v>
      </c>
    </row>
    <row r="235" spans="1:30" ht="17.25" customHeight="1">
      <c r="A235" s="110" t="s">
        <v>785</v>
      </c>
      <c r="B235" s="106" t="s">
        <v>40</v>
      </c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94"/>
      <c r="X235" s="36">
        <f t="shared" si="0"/>
        <v>0</v>
      </c>
      <c r="Y235" s="36">
        <f>BASE!A239</f>
        <v>224</v>
      </c>
      <c r="Z235" s="46">
        <f t="shared" si="1"/>
        <v>0</v>
      </c>
      <c r="AA235" s="46">
        <f t="shared" si="2"/>
        <v>0</v>
      </c>
      <c r="AB235" s="46">
        <f t="shared" si="3"/>
        <v>0</v>
      </c>
      <c r="AC235" s="46">
        <f t="shared" si="4"/>
        <v>0</v>
      </c>
      <c r="AD235" s="46">
        <f t="shared" si="5"/>
        <v>0</v>
      </c>
    </row>
    <row r="236" spans="1:30" ht="17.25" customHeight="1">
      <c r="A236" s="110" t="s">
        <v>786</v>
      </c>
      <c r="B236" s="106" t="s">
        <v>40</v>
      </c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94"/>
      <c r="X236" s="36">
        <f t="shared" si="0"/>
        <v>0</v>
      </c>
      <c r="Y236" s="36">
        <f>BASE!A240</f>
        <v>225</v>
      </c>
      <c r="Z236" s="46">
        <f t="shared" si="1"/>
        <v>0</v>
      </c>
      <c r="AA236" s="46">
        <f t="shared" si="2"/>
        <v>0</v>
      </c>
      <c r="AB236" s="46">
        <f t="shared" si="3"/>
        <v>0</v>
      </c>
      <c r="AC236" s="46">
        <f t="shared" si="4"/>
        <v>0</v>
      </c>
      <c r="AD236" s="46">
        <f t="shared" si="5"/>
        <v>0</v>
      </c>
    </row>
    <row r="237" spans="1:30" ht="17.25" customHeight="1">
      <c r="A237" s="110" t="s">
        <v>787</v>
      </c>
      <c r="B237" s="106" t="s">
        <v>40</v>
      </c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94"/>
      <c r="X237" s="36">
        <f t="shared" si="0"/>
        <v>0</v>
      </c>
      <c r="Y237" s="36">
        <f>BASE!A241</f>
        <v>226</v>
      </c>
      <c r="Z237" s="46">
        <f t="shared" si="1"/>
        <v>0</v>
      </c>
      <c r="AA237" s="46">
        <f t="shared" si="2"/>
        <v>0</v>
      </c>
      <c r="AB237" s="46">
        <f t="shared" si="3"/>
        <v>0</v>
      </c>
      <c r="AC237" s="46">
        <f t="shared" si="4"/>
        <v>0</v>
      </c>
      <c r="AD237" s="46">
        <f t="shared" si="5"/>
        <v>0</v>
      </c>
    </row>
    <row r="238" spans="1:30" ht="17.25" customHeight="1">
      <c r="A238" s="110" t="s">
        <v>788</v>
      </c>
      <c r="B238" s="106" t="s">
        <v>40</v>
      </c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94"/>
      <c r="X238" s="36">
        <f t="shared" si="0"/>
        <v>0</v>
      </c>
      <c r="Y238" s="36">
        <f>BASE!A242</f>
        <v>227</v>
      </c>
      <c r="Z238" s="46">
        <f t="shared" si="1"/>
        <v>0</v>
      </c>
      <c r="AA238" s="46">
        <f t="shared" si="2"/>
        <v>0</v>
      </c>
      <c r="AB238" s="46">
        <f t="shared" si="3"/>
        <v>0</v>
      </c>
      <c r="AC238" s="46">
        <f t="shared" si="4"/>
        <v>0</v>
      </c>
      <c r="AD238" s="46">
        <f t="shared" si="5"/>
        <v>0</v>
      </c>
    </row>
    <row r="239" spans="1:30" ht="17.25" customHeight="1">
      <c r="A239" s="110" t="s">
        <v>789</v>
      </c>
      <c r="B239" s="106" t="s">
        <v>40</v>
      </c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94"/>
      <c r="X239" s="36">
        <f t="shared" si="0"/>
        <v>0</v>
      </c>
      <c r="Y239" s="36">
        <f>BASE!A243</f>
        <v>228</v>
      </c>
      <c r="Z239" s="46">
        <f t="shared" si="1"/>
        <v>0</v>
      </c>
      <c r="AA239" s="46">
        <f t="shared" si="2"/>
        <v>0</v>
      </c>
      <c r="AB239" s="46">
        <f t="shared" si="3"/>
        <v>0</v>
      </c>
      <c r="AC239" s="46">
        <f t="shared" si="4"/>
        <v>0</v>
      </c>
      <c r="AD239" s="46">
        <f t="shared" si="5"/>
        <v>0</v>
      </c>
    </row>
    <row r="240" spans="1:30" ht="17.25" customHeight="1">
      <c r="A240" s="110" t="s">
        <v>790</v>
      </c>
      <c r="B240" s="106" t="s">
        <v>40</v>
      </c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94"/>
      <c r="X240" s="36">
        <f t="shared" si="0"/>
        <v>0</v>
      </c>
      <c r="Y240" s="36">
        <f>BASE!A244</f>
        <v>229</v>
      </c>
      <c r="Z240" s="46">
        <f t="shared" si="1"/>
        <v>0</v>
      </c>
      <c r="AA240" s="46">
        <f t="shared" si="2"/>
        <v>0</v>
      </c>
      <c r="AB240" s="46">
        <f t="shared" si="3"/>
        <v>0</v>
      </c>
      <c r="AC240" s="46">
        <f t="shared" si="4"/>
        <v>0</v>
      </c>
      <c r="AD240" s="46">
        <f t="shared" si="5"/>
        <v>0</v>
      </c>
    </row>
    <row r="241" spans="1:30" ht="17.25" customHeight="1">
      <c r="A241" s="110" t="s">
        <v>791</v>
      </c>
      <c r="B241" s="106" t="s">
        <v>40</v>
      </c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94"/>
      <c r="X241" s="36">
        <f t="shared" si="0"/>
        <v>0</v>
      </c>
      <c r="Y241" s="36">
        <f>BASE!A245</f>
        <v>230</v>
      </c>
      <c r="Z241" s="46">
        <f t="shared" si="1"/>
        <v>0</v>
      </c>
      <c r="AA241" s="46">
        <f t="shared" si="2"/>
        <v>0</v>
      </c>
      <c r="AB241" s="46">
        <f t="shared" si="3"/>
        <v>0</v>
      </c>
      <c r="AC241" s="46">
        <f t="shared" si="4"/>
        <v>0</v>
      </c>
      <c r="AD241" s="46">
        <f t="shared" si="5"/>
        <v>0</v>
      </c>
    </row>
    <row r="242" spans="1:30" ht="17.25" customHeight="1">
      <c r="A242" s="110" t="s">
        <v>792</v>
      </c>
      <c r="B242" s="106" t="s">
        <v>40</v>
      </c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94"/>
      <c r="X242" s="36">
        <f t="shared" si="0"/>
        <v>0</v>
      </c>
      <c r="Y242" s="36">
        <f>BASE!A246</f>
        <v>231</v>
      </c>
      <c r="Z242" s="46">
        <f t="shared" si="1"/>
        <v>0</v>
      </c>
      <c r="AA242" s="46">
        <f t="shared" si="2"/>
        <v>0</v>
      </c>
      <c r="AB242" s="46">
        <f t="shared" si="3"/>
        <v>0</v>
      </c>
      <c r="AC242" s="46">
        <f t="shared" si="4"/>
        <v>0</v>
      </c>
      <c r="AD242" s="46">
        <f t="shared" si="5"/>
        <v>0</v>
      </c>
    </row>
    <row r="243" spans="1:30" ht="17.25" customHeight="1">
      <c r="A243" s="110" t="s">
        <v>793</v>
      </c>
      <c r="B243" s="106" t="s">
        <v>40</v>
      </c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94"/>
      <c r="X243" s="36">
        <f t="shared" si="0"/>
        <v>0</v>
      </c>
      <c r="Y243" s="36">
        <f>BASE!A247</f>
        <v>232</v>
      </c>
      <c r="Z243" s="46">
        <f t="shared" si="1"/>
        <v>0</v>
      </c>
      <c r="AA243" s="46">
        <f t="shared" si="2"/>
        <v>0</v>
      </c>
      <c r="AB243" s="46">
        <f t="shared" si="3"/>
        <v>0</v>
      </c>
      <c r="AC243" s="46">
        <f t="shared" si="4"/>
        <v>0</v>
      </c>
      <c r="AD243" s="46">
        <f t="shared" si="5"/>
        <v>0</v>
      </c>
    </row>
    <row r="244" spans="1:30" ht="17.25" customHeight="1">
      <c r="A244" s="110" t="s">
        <v>794</v>
      </c>
      <c r="B244" s="106" t="s">
        <v>40</v>
      </c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94"/>
      <c r="X244" s="36">
        <f t="shared" si="0"/>
        <v>0</v>
      </c>
      <c r="Y244" s="36">
        <f>BASE!A248</f>
        <v>233</v>
      </c>
      <c r="Z244" s="46">
        <f t="shared" si="1"/>
        <v>0</v>
      </c>
      <c r="AA244" s="46">
        <f t="shared" si="2"/>
        <v>0</v>
      </c>
      <c r="AB244" s="46">
        <f t="shared" si="3"/>
        <v>0</v>
      </c>
      <c r="AC244" s="46">
        <f t="shared" si="4"/>
        <v>0</v>
      </c>
      <c r="AD244" s="46">
        <f t="shared" si="5"/>
        <v>0</v>
      </c>
    </row>
    <row r="245" spans="1:30" ht="17.25" customHeight="1">
      <c r="A245" s="110" t="s">
        <v>795</v>
      </c>
      <c r="B245" s="106" t="s">
        <v>40</v>
      </c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94"/>
      <c r="X245" s="36">
        <f t="shared" si="0"/>
        <v>0</v>
      </c>
      <c r="Y245" s="36">
        <f>BASE!A249</f>
        <v>234</v>
      </c>
      <c r="Z245" s="46">
        <f t="shared" si="1"/>
        <v>0</v>
      </c>
      <c r="AA245" s="46">
        <f t="shared" si="2"/>
        <v>0</v>
      </c>
      <c r="AB245" s="46">
        <f t="shared" si="3"/>
        <v>0</v>
      </c>
      <c r="AC245" s="46">
        <f t="shared" si="4"/>
        <v>0</v>
      </c>
      <c r="AD245" s="46">
        <f t="shared" si="5"/>
        <v>0</v>
      </c>
    </row>
    <row r="246" spans="1:30" ht="17.25" customHeight="1">
      <c r="A246" s="110" t="s">
        <v>796</v>
      </c>
      <c r="B246" s="106" t="s">
        <v>40</v>
      </c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94"/>
      <c r="X246" s="36">
        <f t="shared" si="0"/>
        <v>0</v>
      </c>
      <c r="Y246" s="36">
        <f>BASE!A250</f>
        <v>235</v>
      </c>
      <c r="Z246" s="46">
        <f t="shared" si="1"/>
        <v>0</v>
      </c>
      <c r="AA246" s="46">
        <f t="shared" si="2"/>
        <v>0</v>
      </c>
      <c r="AB246" s="46">
        <f t="shared" si="3"/>
        <v>0</v>
      </c>
      <c r="AC246" s="46">
        <f t="shared" si="4"/>
        <v>0</v>
      </c>
      <c r="AD246" s="46">
        <f t="shared" si="5"/>
        <v>0</v>
      </c>
    </row>
    <row r="247" spans="1:30" ht="17.25" customHeight="1">
      <c r="A247" s="110" t="s">
        <v>797</v>
      </c>
      <c r="B247" s="106" t="s">
        <v>40</v>
      </c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94"/>
      <c r="X247" s="36">
        <f t="shared" si="0"/>
        <v>0</v>
      </c>
      <c r="Y247" s="36">
        <f>BASE!A251</f>
        <v>236</v>
      </c>
      <c r="Z247" s="46">
        <f t="shared" si="1"/>
        <v>0</v>
      </c>
      <c r="AA247" s="46">
        <f t="shared" si="2"/>
        <v>0</v>
      </c>
      <c r="AB247" s="46">
        <f t="shared" si="3"/>
        <v>0</v>
      </c>
      <c r="AC247" s="46">
        <f t="shared" si="4"/>
        <v>0</v>
      </c>
      <c r="AD247" s="46">
        <f t="shared" si="5"/>
        <v>0</v>
      </c>
    </row>
    <row r="248" spans="1:30" ht="17.25" customHeight="1">
      <c r="A248" s="110" t="s">
        <v>798</v>
      </c>
      <c r="B248" s="106" t="s">
        <v>40</v>
      </c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94"/>
      <c r="X248" s="36">
        <f t="shared" si="0"/>
        <v>0</v>
      </c>
      <c r="Y248" s="36">
        <f>BASE!A252</f>
        <v>237</v>
      </c>
      <c r="Z248" s="46">
        <f t="shared" si="1"/>
        <v>0</v>
      </c>
      <c r="AA248" s="46">
        <f t="shared" si="2"/>
        <v>0</v>
      </c>
      <c r="AB248" s="46">
        <f t="shared" si="3"/>
        <v>0</v>
      </c>
      <c r="AC248" s="46">
        <f t="shared" si="4"/>
        <v>0</v>
      </c>
      <c r="AD248" s="46">
        <f t="shared" si="5"/>
        <v>0</v>
      </c>
    </row>
    <row r="249" spans="1:30" ht="17.25" customHeight="1">
      <c r="A249" s="110" t="s">
        <v>799</v>
      </c>
      <c r="B249" s="106" t="s">
        <v>40</v>
      </c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94"/>
      <c r="X249" s="36">
        <f t="shared" si="0"/>
        <v>0</v>
      </c>
      <c r="Y249" s="36">
        <f>BASE!A253</f>
        <v>238</v>
      </c>
      <c r="Z249" s="46">
        <f t="shared" si="1"/>
        <v>0</v>
      </c>
      <c r="AA249" s="46">
        <f t="shared" si="2"/>
        <v>0</v>
      </c>
      <c r="AB249" s="46">
        <f t="shared" si="3"/>
        <v>0</v>
      </c>
      <c r="AC249" s="46">
        <f t="shared" si="4"/>
        <v>0</v>
      </c>
      <c r="AD249" s="46">
        <f t="shared" si="5"/>
        <v>0</v>
      </c>
    </row>
    <row r="250" spans="1:30" ht="17.25" customHeight="1">
      <c r="A250" s="110" t="s">
        <v>800</v>
      </c>
      <c r="B250" s="106" t="s">
        <v>40</v>
      </c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94"/>
      <c r="X250" s="36">
        <f t="shared" si="0"/>
        <v>0</v>
      </c>
      <c r="Y250" s="36">
        <f>BASE!A254</f>
        <v>239</v>
      </c>
      <c r="Z250" s="46">
        <f t="shared" si="1"/>
        <v>0</v>
      </c>
      <c r="AA250" s="46">
        <f t="shared" si="2"/>
        <v>0</v>
      </c>
      <c r="AB250" s="46">
        <f t="shared" si="3"/>
        <v>0</v>
      </c>
      <c r="AC250" s="46">
        <f t="shared" si="4"/>
        <v>0</v>
      </c>
      <c r="AD250" s="46">
        <f t="shared" si="5"/>
        <v>0</v>
      </c>
    </row>
    <row r="251" spans="1:30" ht="17.25" customHeight="1">
      <c r="A251" s="110" t="s">
        <v>801</v>
      </c>
      <c r="B251" s="106" t="s">
        <v>40</v>
      </c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94"/>
      <c r="X251" s="36">
        <f t="shared" si="0"/>
        <v>0</v>
      </c>
      <c r="Y251" s="36">
        <f>BASE!A255</f>
        <v>240</v>
      </c>
      <c r="Z251" s="46">
        <f t="shared" si="1"/>
        <v>0</v>
      </c>
      <c r="AA251" s="46">
        <f t="shared" si="2"/>
        <v>0</v>
      </c>
      <c r="AB251" s="46">
        <f t="shared" si="3"/>
        <v>0</v>
      </c>
      <c r="AC251" s="46">
        <f t="shared" si="4"/>
        <v>0</v>
      </c>
      <c r="AD251" s="46">
        <f t="shared" si="5"/>
        <v>0</v>
      </c>
    </row>
    <row r="252" spans="1:30" ht="17.25" customHeight="1">
      <c r="A252" s="110" t="s">
        <v>802</v>
      </c>
      <c r="B252" s="106" t="s">
        <v>40</v>
      </c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17"/>
      <c r="X252" s="36">
        <f t="shared" si="0"/>
        <v>0</v>
      </c>
      <c r="Y252" s="36">
        <f>BASE!A256</f>
        <v>241</v>
      </c>
      <c r="Z252" s="46">
        <f t="shared" si="1"/>
        <v>0</v>
      </c>
      <c r="AA252" s="46">
        <f t="shared" si="2"/>
        <v>0</v>
      </c>
      <c r="AB252" s="46">
        <f t="shared" si="3"/>
        <v>0</v>
      </c>
      <c r="AC252" s="46">
        <f t="shared" si="4"/>
        <v>0</v>
      </c>
      <c r="AD252" s="46">
        <f t="shared" si="5"/>
        <v>0</v>
      </c>
    </row>
    <row r="253" spans="1:30" ht="17.25" customHeight="1">
      <c r="A253" s="110" t="s">
        <v>803</v>
      </c>
      <c r="B253" s="106" t="s">
        <v>40</v>
      </c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17"/>
      <c r="X253" s="36">
        <f t="shared" ref="X253:X316" si="6">SUM(C253:V253)</f>
        <v>0</v>
      </c>
      <c r="Y253" s="36">
        <f>BASE!A257</f>
        <v>242</v>
      </c>
      <c r="Z253" s="46">
        <f t="shared" ref="Z253:Z316" si="7">SUMIF($C$11:$V$11,1,C253:V253)</f>
        <v>0</v>
      </c>
      <c r="AA253" s="46">
        <f t="shared" ref="AA253:AA316" si="8">SUMIF($C$11:$V$11,2,C253:V253)</f>
        <v>0</v>
      </c>
      <c r="AB253" s="46">
        <f t="shared" ref="AB253:AB316" si="9">SUMIF($C$11:$V$11,3,C253:V253)</f>
        <v>0</v>
      </c>
      <c r="AC253" s="46">
        <f t="shared" ref="AC253:AC316" si="10">SUMIF($C$11:$V$11,4,C253:V253)</f>
        <v>0</v>
      </c>
      <c r="AD253" s="46">
        <f t="shared" ref="AD253:AD316" si="11">SUMIF($C$11:$V$11,5,C253:V253)</f>
        <v>0</v>
      </c>
    </row>
    <row r="254" spans="1:30" ht="17.25" customHeight="1">
      <c r="A254" s="110" t="s">
        <v>804</v>
      </c>
      <c r="B254" s="106" t="s">
        <v>40</v>
      </c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17"/>
      <c r="X254" s="36">
        <f t="shared" si="6"/>
        <v>0</v>
      </c>
      <c r="Y254" s="36">
        <f>BASE!A258</f>
        <v>243</v>
      </c>
      <c r="Z254" s="46">
        <f t="shared" si="7"/>
        <v>0</v>
      </c>
      <c r="AA254" s="46">
        <f t="shared" si="8"/>
        <v>0</v>
      </c>
      <c r="AB254" s="46">
        <f t="shared" si="9"/>
        <v>0</v>
      </c>
      <c r="AC254" s="46">
        <f t="shared" si="10"/>
        <v>0</v>
      </c>
      <c r="AD254" s="46">
        <f t="shared" si="11"/>
        <v>0</v>
      </c>
    </row>
    <row r="255" spans="1:30" ht="17.25" customHeight="1">
      <c r="A255" s="110" t="s">
        <v>805</v>
      </c>
      <c r="B255" s="106" t="s">
        <v>40</v>
      </c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17"/>
      <c r="X255" s="36">
        <f t="shared" si="6"/>
        <v>0</v>
      </c>
      <c r="Y255" s="36">
        <f>BASE!A259</f>
        <v>244</v>
      </c>
      <c r="Z255" s="46">
        <f t="shared" si="7"/>
        <v>0</v>
      </c>
      <c r="AA255" s="46">
        <f t="shared" si="8"/>
        <v>0</v>
      </c>
      <c r="AB255" s="46">
        <f t="shared" si="9"/>
        <v>0</v>
      </c>
      <c r="AC255" s="46">
        <f t="shared" si="10"/>
        <v>0</v>
      </c>
      <c r="AD255" s="46">
        <f t="shared" si="11"/>
        <v>0</v>
      </c>
    </row>
    <row r="256" spans="1:30" ht="17.25" customHeight="1">
      <c r="A256" s="110" t="s">
        <v>806</v>
      </c>
      <c r="B256" s="106" t="s">
        <v>40</v>
      </c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17"/>
      <c r="X256" s="36">
        <f t="shared" si="6"/>
        <v>0</v>
      </c>
      <c r="Y256" s="36">
        <f>BASE!A260</f>
        <v>245</v>
      </c>
      <c r="Z256" s="46">
        <f t="shared" si="7"/>
        <v>0</v>
      </c>
      <c r="AA256" s="46">
        <f t="shared" si="8"/>
        <v>0</v>
      </c>
      <c r="AB256" s="46">
        <f t="shared" si="9"/>
        <v>0</v>
      </c>
      <c r="AC256" s="46">
        <f t="shared" si="10"/>
        <v>0</v>
      </c>
      <c r="AD256" s="46">
        <f t="shared" si="11"/>
        <v>0</v>
      </c>
    </row>
    <row r="257" spans="1:30" ht="17.25" customHeight="1">
      <c r="A257" s="110" t="s">
        <v>807</v>
      </c>
      <c r="B257" s="106" t="s">
        <v>40</v>
      </c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17"/>
      <c r="X257" s="36">
        <f t="shared" si="6"/>
        <v>0</v>
      </c>
      <c r="Y257" s="36">
        <f>BASE!A261</f>
        <v>246</v>
      </c>
      <c r="Z257" s="46">
        <f t="shared" si="7"/>
        <v>0</v>
      </c>
      <c r="AA257" s="46">
        <f t="shared" si="8"/>
        <v>0</v>
      </c>
      <c r="AB257" s="46">
        <f t="shared" si="9"/>
        <v>0</v>
      </c>
      <c r="AC257" s="46">
        <f t="shared" si="10"/>
        <v>0</v>
      </c>
      <c r="AD257" s="46">
        <f t="shared" si="11"/>
        <v>0</v>
      </c>
    </row>
    <row r="258" spans="1:30" ht="17.25" customHeight="1">
      <c r="A258" s="110" t="s">
        <v>808</v>
      </c>
      <c r="B258" s="106" t="s">
        <v>40</v>
      </c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17"/>
      <c r="X258" s="36">
        <f t="shared" si="6"/>
        <v>0</v>
      </c>
      <c r="Y258" s="36">
        <f>BASE!A262</f>
        <v>247</v>
      </c>
      <c r="Z258" s="46">
        <f t="shared" si="7"/>
        <v>0</v>
      </c>
      <c r="AA258" s="46">
        <f t="shared" si="8"/>
        <v>0</v>
      </c>
      <c r="AB258" s="46">
        <f t="shared" si="9"/>
        <v>0</v>
      </c>
      <c r="AC258" s="46">
        <f t="shared" si="10"/>
        <v>0</v>
      </c>
      <c r="AD258" s="46">
        <f t="shared" si="11"/>
        <v>0</v>
      </c>
    </row>
    <row r="259" spans="1:30" ht="17.25" customHeight="1">
      <c r="A259" s="110" t="s">
        <v>809</v>
      </c>
      <c r="B259" s="106" t="s">
        <v>40</v>
      </c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17"/>
      <c r="X259" s="36">
        <f t="shared" si="6"/>
        <v>0</v>
      </c>
      <c r="Y259" s="36">
        <f>BASE!A263</f>
        <v>248</v>
      </c>
      <c r="Z259" s="46">
        <f t="shared" si="7"/>
        <v>0</v>
      </c>
      <c r="AA259" s="46">
        <f t="shared" si="8"/>
        <v>0</v>
      </c>
      <c r="AB259" s="46">
        <f t="shared" si="9"/>
        <v>0</v>
      </c>
      <c r="AC259" s="46">
        <f t="shared" si="10"/>
        <v>0</v>
      </c>
      <c r="AD259" s="46">
        <f t="shared" si="11"/>
        <v>0</v>
      </c>
    </row>
    <row r="260" spans="1:30" ht="17.25" customHeight="1">
      <c r="A260" s="110" t="s">
        <v>810</v>
      </c>
      <c r="B260" s="106" t="s">
        <v>40</v>
      </c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17"/>
      <c r="X260" s="36">
        <f t="shared" si="6"/>
        <v>0</v>
      </c>
      <c r="Y260" s="36">
        <f>BASE!A264</f>
        <v>249</v>
      </c>
      <c r="Z260" s="46">
        <f t="shared" si="7"/>
        <v>0</v>
      </c>
      <c r="AA260" s="46">
        <f t="shared" si="8"/>
        <v>0</v>
      </c>
      <c r="AB260" s="46">
        <f t="shared" si="9"/>
        <v>0</v>
      </c>
      <c r="AC260" s="46">
        <f t="shared" si="10"/>
        <v>0</v>
      </c>
      <c r="AD260" s="46">
        <f t="shared" si="11"/>
        <v>0</v>
      </c>
    </row>
    <row r="261" spans="1:30" ht="17.25" customHeight="1">
      <c r="A261" s="110" t="s">
        <v>811</v>
      </c>
      <c r="B261" s="106" t="s">
        <v>40</v>
      </c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17"/>
      <c r="X261" s="36">
        <f t="shared" si="6"/>
        <v>0</v>
      </c>
      <c r="Y261" s="36">
        <f>BASE!A265</f>
        <v>250</v>
      </c>
      <c r="Z261" s="46">
        <f t="shared" si="7"/>
        <v>0</v>
      </c>
      <c r="AA261" s="46">
        <f t="shared" si="8"/>
        <v>0</v>
      </c>
      <c r="AB261" s="46">
        <f t="shared" si="9"/>
        <v>0</v>
      </c>
      <c r="AC261" s="46">
        <f t="shared" si="10"/>
        <v>0</v>
      </c>
      <c r="AD261" s="46">
        <f t="shared" si="11"/>
        <v>0</v>
      </c>
    </row>
    <row r="262" spans="1:30" ht="17.25" customHeight="1">
      <c r="A262" s="110" t="s">
        <v>812</v>
      </c>
      <c r="B262" s="106" t="s">
        <v>40</v>
      </c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17"/>
      <c r="X262" s="36">
        <f t="shared" si="6"/>
        <v>0</v>
      </c>
      <c r="Y262" s="36">
        <f>BASE!A266</f>
        <v>251</v>
      </c>
      <c r="Z262" s="46">
        <f t="shared" si="7"/>
        <v>0</v>
      </c>
      <c r="AA262" s="46">
        <f t="shared" si="8"/>
        <v>0</v>
      </c>
      <c r="AB262" s="46">
        <f t="shared" si="9"/>
        <v>0</v>
      </c>
      <c r="AC262" s="46">
        <f t="shared" si="10"/>
        <v>0</v>
      </c>
      <c r="AD262" s="46">
        <f t="shared" si="11"/>
        <v>0</v>
      </c>
    </row>
    <row r="263" spans="1:30" ht="17.25" customHeight="1">
      <c r="A263" s="110" t="s">
        <v>813</v>
      </c>
      <c r="B263" s="106" t="s">
        <v>40</v>
      </c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17"/>
      <c r="X263" s="36">
        <f t="shared" si="6"/>
        <v>0</v>
      </c>
      <c r="Y263" s="36">
        <f>BASE!A267</f>
        <v>252</v>
      </c>
      <c r="Z263" s="46">
        <f t="shared" si="7"/>
        <v>0</v>
      </c>
      <c r="AA263" s="46">
        <f t="shared" si="8"/>
        <v>0</v>
      </c>
      <c r="AB263" s="46">
        <f t="shared" si="9"/>
        <v>0</v>
      </c>
      <c r="AC263" s="46">
        <f t="shared" si="10"/>
        <v>0</v>
      </c>
      <c r="AD263" s="46">
        <f t="shared" si="11"/>
        <v>0</v>
      </c>
    </row>
    <row r="264" spans="1:30" ht="17.25" customHeight="1">
      <c r="A264" s="110" t="s">
        <v>814</v>
      </c>
      <c r="B264" s="106" t="s">
        <v>40</v>
      </c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17"/>
      <c r="X264" s="36">
        <f t="shared" si="6"/>
        <v>0</v>
      </c>
      <c r="Y264" s="36">
        <f>BASE!A268</f>
        <v>253</v>
      </c>
      <c r="Z264" s="46">
        <f t="shared" si="7"/>
        <v>0</v>
      </c>
      <c r="AA264" s="46">
        <f t="shared" si="8"/>
        <v>0</v>
      </c>
      <c r="AB264" s="46">
        <f t="shared" si="9"/>
        <v>0</v>
      </c>
      <c r="AC264" s="46">
        <f t="shared" si="10"/>
        <v>0</v>
      </c>
      <c r="AD264" s="46">
        <f t="shared" si="11"/>
        <v>0</v>
      </c>
    </row>
    <row r="265" spans="1:30" ht="17.25" customHeight="1">
      <c r="A265" s="110" t="s">
        <v>815</v>
      </c>
      <c r="B265" s="106" t="s">
        <v>40</v>
      </c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17"/>
      <c r="X265" s="36">
        <f t="shared" si="6"/>
        <v>0</v>
      </c>
      <c r="Y265" s="36">
        <f>BASE!A269</f>
        <v>254</v>
      </c>
      <c r="Z265" s="46">
        <f t="shared" si="7"/>
        <v>0</v>
      </c>
      <c r="AA265" s="46">
        <f t="shared" si="8"/>
        <v>0</v>
      </c>
      <c r="AB265" s="46">
        <f t="shared" si="9"/>
        <v>0</v>
      </c>
      <c r="AC265" s="46">
        <f t="shared" si="10"/>
        <v>0</v>
      </c>
      <c r="AD265" s="46">
        <f t="shared" si="11"/>
        <v>0</v>
      </c>
    </row>
    <row r="266" spans="1:30" ht="17.25" customHeight="1">
      <c r="A266" s="110" t="s">
        <v>816</v>
      </c>
      <c r="B266" s="106" t="s">
        <v>40</v>
      </c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17"/>
      <c r="X266" s="36">
        <f t="shared" si="6"/>
        <v>0</v>
      </c>
      <c r="Y266" s="36">
        <f>BASE!A270</f>
        <v>255</v>
      </c>
      <c r="Z266" s="46">
        <f t="shared" si="7"/>
        <v>0</v>
      </c>
      <c r="AA266" s="46">
        <f t="shared" si="8"/>
        <v>0</v>
      </c>
      <c r="AB266" s="46">
        <f t="shared" si="9"/>
        <v>0</v>
      </c>
      <c r="AC266" s="46">
        <f t="shared" si="10"/>
        <v>0</v>
      </c>
      <c r="AD266" s="46">
        <f t="shared" si="11"/>
        <v>0</v>
      </c>
    </row>
    <row r="267" spans="1:30" ht="17.25" customHeight="1">
      <c r="A267" s="110" t="s">
        <v>817</v>
      </c>
      <c r="B267" s="106" t="s">
        <v>40</v>
      </c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17"/>
      <c r="X267" s="36">
        <f t="shared" si="6"/>
        <v>0</v>
      </c>
      <c r="Y267" s="36">
        <f>BASE!A271</f>
        <v>256</v>
      </c>
      <c r="Z267" s="46">
        <f t="shared" si="7"/>
        <v>0</v>
      </c>
      <c r="AA267" s="46">
        <f t="shared" si="8"/>
        <v>0</v>
      </c>
      <c r="AB267" s="46">
        <f t="shared" si="9"/>
        <v>0</v>
      </c>
      <c r="AC267" s="46">
        <f t="shared" si="10"/>
        <v>0</v>
      </c>
      <c r="AD267" s="46">
        <f t="shared" si="11"/>
        <v>0</v>
      </c>
    </row>
    <row r="268" spans="1:30" ht="17.25" customHeight="1">
      <c r="A268" s="110" t="s">
        <v>818</v>
      </c>
      <c r="B268" s="106" t="s">
        <v>40</v>
      </c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17"/>
      <c r="X268" s="36">
        <f t="shared" si="6"/>
        <v>0</v>
      </c>
      <c r="Y268" s="36">
        <f>BASE!A272</f>
        <v>257</v>
      </c>
      <c r="Z268" s="46">
        <f t="shared" si="7"/>
        <v>0</v>
      </c>
      <c r="AA268" s="46">
        <f t="shared" si="8"/>
        <v>0</v>
      </c>
      <c r="AB268" s="46">
        <f t="shared" si="9"/>
        <v>0</v>
      </c>
      <c r="AC268" s="46">
        <f t="shared" si="10"/>
        <v>0</v>
      </c>
      <c r="AD268" s="46">
        <f t="shared" si="11"/>
        <v>0</v>
      </c>
    </row>
    <row r="269" spans="1:30" ht="17.25" customHeight="1">
      <c r="A269" s="110" t="s">
        <v>819</v>
      </c>
      <c r="B269" s="106" t="s">
        <v>40</v>
      </c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17"/>
      <c r="X269" s="36">
        <f t="shared" si="6"/>
        <v>0</v>
      </c>
      <c r="Y269" s="36">
        <f>BASE!A273</f>
        <v>258</v>
      </c>
      <c r="Z269" s="46">
        <f t="shared" si="7"/>
        <v>0</v>
      </c>
      <c r="AA269" s="46">
        <f t="shared" si="8"/>
        <v>0</v>
      </c>
      <c r="AB269" s="46">
        <f t="shared" si="9"/>
        <v>0</v>
      </c>
      <c r="AC269" s="46">
        <f t="shared" si="10"/>
        <v>0</v>
      </c>
      <c r="AD269" s="46">
        <f t="shared" si="11"/>
        <v>0</v>
      </c>
    </row>
    <row r="270" spans="1:30" ht="17.25" customHeight="1">
      <c r="A270" s="110" t="s">
        <v>820</v>
      </c>
      <c r="B270" s="106" t="s">
        <v>40</v>
      </c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17"/>
      <c r="X270" s="36">
        <f t="shared" si="6"/>
        <v>0</v>
      </c>
      <c r="Y270" s="36">
        <f>BASE!A274</f>
        <v>259</v>
      </c>
      <c r="Z270" s="46">
        <f t="shared" si="7"/>
        <v>0</v>
      </c>
      <c r="AA270" s="46">
        <f t="shared" si="8"/>
        <v>0</v>
      </c>
      <c r="AB270" s="46">
        <f t="shared" si="9"/>
        <v>0</v>
      </c>
      <c r="AC270" s="46">
        <f t="shared" si="10"/>
        <v>0</v>
      </c>
      <c r="AD270" s="46">
        <f t="shared" si="11"/>
        <v>0</v>
      </c>
    </row>
    <row r="271" spans="1:30" ht="17.25" customHeight="1">
      <c r="A271" s="110" t="s">
        <v>821</v>
      </c>
      <c r="B271" s="106" t="s">
        <v>40</v>
      </c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17"/>
      <c r="X271" s="36">
        <f t="shared" si="6"/>
        <v>0</v>
      </c>
      <c r="Y271" s="36">
        <f>BASE!A275</f>
        <v>260</v>
      </c>
      <c r="Z271" s="46">
        <f t="shared" si="7"/>
        <v>0</v>
      </c>
      <c r="AA271" s="46">
        <f t="shared" si="8"/>
        <v>0</v>
      </c>
      <c r="AB271" s="46">
        <f t="shared" si="9"/>
        <v>0</v>
      </c>
      <c r="AC271" s="46">
        <f t="shared" si="10"/>
        <v>0</v>
      </c>
      <c r="AD271" s="46">
        <f t="shared" si="11"/>
        <v>0</v>
      </c>
    </row>
    <row r="272" spans="1:30" ht="17.25" customHeight="1">
      <c r="A272" s="110" t="s">
        <v>822</v>
      </c>
      <c r="B272" s="106" t="s">
        <v>40</v>
      </c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17"/>
      <c r="X272" s="36">
        <f t="shared" si="6"/>
        <v>0</v>
      </c>
      <c r="Y272" s="36">
        <f>BASE!A276</f>
        <v>261</v>
      </c>
      <c r="Z272" s="46">
        <f t="shared" si="7"/>
        <v>0</v>
      </c>
      <c r="AA272" s="46">
        <f t="shared" si="8"/>
        <v>0</v>
      </c>
      <c r="AB272" s="46">
        <f t="shared" si="9"/>
        <v>0</v>
      </c>
      <c r="AC272" s="46">
        <f t="shared" si="10"/>
        <v>0</v>
      </c>
      <c r="AD272" s="46">
        <f t="shared" si="11"/>
        <v>0</v>
      </c>
    </row>
    <row r="273" spans="1:30" ht="17.25" customHeight="1">
      <c r="A273" s="110" t="s">
        <v>823</v>
      </c>
      <c r="B273" s="106" t="s">
        <v>40</v>
      </c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17"/>
      <c r="X273" s="36">
        <f t="shared" si="6"/>
        <v>0</v>
      </c>
      <c r="Y273" s="36">
        <f>BASE!A277</f>
        <v>262</v>
      </c>
      <c r="Z273" s="46">
        <f t="shared" si="7"/>
        <v>0</v>
      </c>
      <c r="AA273" s="46">
        <f t="shared" si="8"/>
        <v>0</v>
      </c>
      <c r="AB273" s="46">
        <f t="shared" si="9"/>
        <v>0</v>
      </c>
      <c r="AC273" s="46">
        <f t="shared" si="10"/>
        <v>0</v>
      </c>
      <c r="AD273" s="46">
        <f t="shared" si="11"/>
        <v>0</v>
      </c>
    </row>
    <row r="274" spans="1:30" ht="17.25" customHeight="1">
      <c r="A274" s="110" t="s">
        <v>824</v>
      </c>
      <c r="B274" s="106" t="s">
        <v>40</v>
      </c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17"/>
      <c r="X274" s="36">
        <f t="shared" si="6"/>
        <v>0</v>
      </c>
      <c r="Y274" s="36">
        <f>BASE!A278</f>
        <v>263</v>
      </c>
      <c r="Z274" s="46">
        <f t="shared" si="7"/>
        <v>0</v>
      </c>
      <c r="AA274" s="46">
        <f t="shared" si="8"/>
        <v>0</v>
      </c>
      <c r="AB274" s="46">
        <f t="shared" si="9"/>
        <v>0</v>
      </c>
      <c r="AC274" s="46">
        <f t="shared" si="10"/>
        <v>0</v>
      </c>
      <c r="AD274" s="46">
        <f t="shared" si="11"/>
        <v>0</v>
      </c>
    </row>
    <row r="275" spans="1:30" ht="17.25" customHeight="1">
      <c r="A275" s="110" t="s">
        <v>825</v>
      </c>
      <c r="B275" s="106" t="s">
        <v>40</v>
      </c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17"/>
      <c r="X275" s="36">
        <f t="shared" si="6"/>
        <v>0</v>
      </c>
      <c r="Y275" s="36">
        <f>BASE!A279</f>
        <v>264</v>
      </c>
      <c r="Z275" s="46">
        <f t="shared" si="7"/>
        <v>0</v>
      </c>
      <c r="AA275" s="46">
        <f t="shared" si="8"/>
        <v>0</v>
      </c>
      <c r="AB275" s="46">
        <f t="shared" si="9"/>
        <v>0</v>
      </c>
      <c r="AC275" s="46">
        <f t="shared" si="10"/>
        <v>0</v>
      </c>
      <c r="AD275" s="46">
        <f t="shared" si="11"/>
        <v>0</v>
      </c>
    </row>
    <row r="276" spans="1:30" ht="17.25" customHeight="1">
      <c r="A276" s="110" t="s">
        <v>826</v>
      </c>
      <c r="B276" s="106" t="s">
        <v>40</v>
      </c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17"/>
      <c r="X276" s="36">
        <f t="shared" si="6"/>
        <v>0</v>
      </c>
      <c r="Y276" s="36">
        <f>BASE!A280</f>
        <v>265</v>
      </c>
      <c r="Z276" s="46">
        <f t="shared" si="7"/>
        <v>0</v>
      </c>
      <c r="AA276" s="46">
        <f t="shared" si="8"/>
        <v>0</v>
      </c>
      <c r="AB276" s="46">
        <f t="shared" si="9"/>
        <v>0</v>
      </c>
      <c r="AC276" s="46">
        <f t="shared" si="10"/>
        <v>0</v>
      </c>
      <c r="AD276" s="46">
        <f t="shared" si="11"/>
        <v>0</v>
      </c>
    </row>
    <row r="277" spans="1:30" ht="17.25" customHeight="1">
      <c r="A277" s="110" t="s">
        <v>827</v>
      </c>
      <c r="B277" s="106" t="s">
        <v>40</v>
      </c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17"/>
      <c r="X277" s="36">
        <f t="shared" si="6"/>
        <v>0</v>
      </c>
      <c r="Y277" s="36">
        <f>BASE!A281</f>
        <v>266</v>
      </c>
      <c r="Z277" s="46">
        <f t="shared" si="7"/>
        <v>0</v>
      </c>
      <c r="AA277" s="46">
        <f t="shared" si="8"/>
        <v>0</v>
      </c>
      <c r="AB277" s="46">
        <f t="shared" si="9"/>
        <v>0</v>
      </c>
      <c r="AC277" s="46">
        <f t="shared" si="10"/>
        <v>0</v>
      </c>
      <c r="AD277" s="46">
        <f t="shared" si="11"/>
        <v>0</v>
      </c>
    </row>
    <row r="278" spans="1:30" ht="17.25" customHeight="1">
      <c r="A278" s="110" t="s">
        <v>828</v>
      </c>
      <c r="B278" s="106" t="s">
        <v>40</v>
      </c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17"/>
      <c r="X278" s="36">
        <f t="shared" si="6"/>
        <v>0</v>
      </c>
      <c r="Y278" s="36">
        <f>BASE!A282</f>
        <v>267</v>
      </c>
      <c r="Z278" s="46">
        <f t="shared" si="7"/>
        <v>0</v>
      </c>
      <c r="AA278" s="46">
        <f t="shared" si="8"/>
        <v>0</v>
      </c>
      <c r="AB278" s="46">
        <f t="shared" si="9"/>
        <v>0</v>
      </c>
      <c r="AC278" s="46">
        <f t="shared" si="10"/>
        <v>0</v>
      </c>
      <c r="AD278" s="46">
        <f t="shared" si="11"/>
        <v>0</v>
      </c>
    </row>
    <row r="279" spans="1:30" ht="17.25" customHeight="1">
      <c r="A279" s="110" t="s">
        <v>829</v>
      </c>
      <c r="B279" s="106" t="s">
        <v>40</v>
      </c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17"/>
      <c r="X279" s="36">
        <f t="shared" si="6"/>
        <v>0</v>
      </c>
      <c r="Y279" s="36">
        <f>BASE!A283</f>
        <v>268</v>
      </c>
      <c r="Z279" s="46">
        <f t="shared" si="7"/>
        <v>0</v>
      </c>
      <c r="AA279" s="46">
        <f t="shared" si="8"/>
        <v>0</v>
      </c>
      <c r="AB279" s="46">
        <f t="shared" si="9"/>
        <v>0</v>
      </c>
      <c r="AC279" s="46">
        <f t="shared" si="10"/>
        <v>0</v>
      </c>
      <c r="AD279" s="46">
        <f t="shared" si="11"/>
        <v>0</v>
      </c>
    </row>
    <row r="280" spans="1:30" ht="17.25" customHeight="1">
      <c r="A280" s="110" t="s">
        <v>830</v>
      </c>
      <c r="B280" s="106" t="s">
        <v>40</v>
      </c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17"/>
      <c r="X280" s="36">
        <f t="shared" si="6"/>
        <v>0</v>
      </c>
      <c r="Y280" s="36">
        <f>BASE!A284</f>
        <v>269</v>
      </c>
      <c r="Z280" s="46">
        <f t="shared" si="7"/>
        <v>0</v>
      </c>
      <c r="AA280" s="46">
        <f t="shared" si="8"/>
        <v>0</v>
      </c>
      <c r="AB280" s="46">
        <f t="shared" si="9"/>
        <v>0</v>
      </c>
      <c r="AC280" s="46">
        <f t="shared" si="10"/>
        <v>0</v>
      </c>
      <c r="AD280" s="46">
        <f t="shared" si="11"/>
        <v>0</v>
      </c>
    </row>
    <row r="281" spans="1:30" ht="17.25" customHeight="1">
      <c r="A281" s="110" t="s">
        <v>831</v>
      </c>
      <c r="B281" s="106" t="s">
        <v>40</v>
      </c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17"/>
      <c r="X281" s="36">
        <f t="shared" si="6"/>
        <v>0</v>
      </c>
      <c r="Y281" s="36">
        <f>BASE!A285</f>
        <v>270</v>
      </c>
      <c r="Z281" s="46">
        <f t="shared" si="7"/>
        <v>0</v>
      </c>
      <c r="AA281" s="46">
        <f t="shared" si="8"/>
        <v>0</v>
      </c>
      <c r="AB281" s="46">
        <f t="shared" si="9"/>
        <v>0</v>
      </c>
      <c r="AC281" s="46">
        <f t="shared" si="10"/>
        <v>0</v>
      </c>
      <c r="AD281" s="46">
        <f t="shared" si="11"/>
        <v>0</v>
      </c>
    </row>
    <row r="282" spans="1:30" ht="17.25" customHeight="1">
      <c r="A282" s="110" t="s">
        <v>832</v>
      </c>
      <c r="B282" s="106" t="s">
        <v>40</v>
      </c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17"/>
      <c r="X282" s="36">
        <f t="shared" si="6"/>
        <v>0</v>
      </c>
      <c r="Y282" s="36">
        <f>BASE!A286</f>
        <v>271</v>
      </c>
      <c r="Z282" s="46">
        <f t="shared" si="7"/>
        <v>0</v>
      </c>
      <c r="AA282" s="46">
        <f t="shared" si="8"/>
        <v>0</v>
      </c>
      <c r="AB282" s="46">
        <f t="shared" si="9"/>
        <v>0</v>
      </c>
      <c r="AC282" s="46">
        <f t="shared" si="10"/>
        <v>0</v>
      </c>
      <c r="AD282" s="46">
        <f t="shared" si="11"/>
        <v>0</v>
      </c>
    </row>
    <row r="283" spans="1:30" ht="17.25" customHeight="1">
      <c r="A283" s="110" t="s">
        <v>833</v>
      </c>
      <c r="B283" s="106" t="s">
        <v>40</v>
      </c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17"/>
      <c r="X283" s="36">
        <f t="shared" si="6"/>
        <v>0</v>
      </c>
      <c r="Y283" s="36">
        <f>BASE!A287</f>
        <v>272</v>
      </c>
      <c r="Z283" s="46">
        <f t="shared" si="7"/>
        <v>0</v>
      </c>
      <c r="AA283" s="46">
        <f t="shared" si="8"/>
        <v>0</v>
      </c>
      <c r="AB283" s="46">
        <f t="shared" si="9"/>
        <v>0</v>
      </c>
      <c r="AC283" s="46">
        <f t="shared" si="10"/>
        <v>0</v>
      </c>
      <c r="AD283" s="46">
        <f t="shared" si="11"/>
        <v>0</v>
      </c>
    </row>
    <row r="284" spans="1:30" ht="17.25" customHeight="1">
      <c r="A284" s="110" t="s">
        <v>834</v>
      </c>
      <c r="B284" s="106" t="s">
        <v>40</v>
      </c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17"/>
      <c r="X284" s="36">
        <f t="shared" si="6"/>
        <v>0</v>
      </c>
      <c r="Y284" s="36">
        <f>BASE!A288</f>
        <v>273</v>
      </c>
      <c r="Z284" s="46">
        <f t="shared" si="7"/>
        <v>0</v>
      </c>
      <c r="AA284" s="46">
        <f t="shared" si="8"/>
        <v>0</v>
      </c>
      <c r="AB284" s="46">
        <f t="shared" si="9"/>
        <v>0</v>
      </c>
      <c r="AC284" s="46">
        <f t="shared" si="10"/>
        <v>0</v>
      </c>
      <c r="AD284" s="46">
        <f t="shared" si="11"/>
        <v>0</v>
      </c>
    </row>
    <row r="285" spans="1:30" ht="17.25" customHeight="1">
      <c r="A285" s="110" t="s">
        <v>835</v>
      </c>
      <c r="B285" s="106" t="s">
        <v>40</v>
      </c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17"/>
      <c r="X285" s="36">
        <f t="shared" si="6"/>
        <v>0</v>
      </c>
      <c r="Y285" s="36">
        <f>BASE!A289</f>
        <v>274</v>
      </c>
      <c r="Z285" s="46">
        <f t="shared" si="7"/>
        <v>0</v>
      </c>
      <c r="AA285" s="46">
        <f t="shared" si="8"/>
        <v>0</v>
      </c>
      <c r="AB285" s="46">
        <f t="shared" si="9"/>
        <v>0</v>
      </c>
      <c r="AC285" s="46">
        <f t="shared" si="10"/>
        <v>0</v>
      </c>
      <c r="AD285" s="46">
        <f t="shared" si="11"/>
        <v>0</v>
      </c>
    </row>
    <row r="286" spans="1:30" ht="17.25" customHeight="1">
      <c r="A286" s="110" t="s">
        <v>836</v>
      </c>
      <c r="B286" s="106" t="s">
        <v>40</v>
      </c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17"/>
      <c r="X286" s="36">
        <f t="shared" si="6"/>
        <v>0</v>
      </c>
      <c r="Y286" s="36">
        <f>BASE!A290</f>
        <v>275</v>
      </c>
      <c r="Z286" s="46">
        <f t="shared" si="7"/>
        <v>0</v>
      </c>
      <c r="AA286" s="46">
        <f t="shared" si="8"/>
        <v>0</v>
      </c>
      <c r="AB286" s="46">
        <f t="shared" si="9"/>
        <v>0</v>
      </c>
      <c r="AC286" s="46">
        <f t="shared" si="10"/>
        <v>0</v>
      </c>
      <c r="AD286" s="46">
        <f t="shared" si="11"/>
        <v>0</v>
      </c>
    </row>
    <row r="287" spans="1:30" ht="17.25" customHeight="1">
      <c r="A287" s="110" t="s">
        <v>837</v>
      </c>
      <c r="B287" s="106" t="s">
        <v>40</v>
      </c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17"/>
      <c r="X287" s="36">
        <f t="shared" si="6"/>
        <v>0</v>
      </c>
      <c r="Y287" s="36">
        <f>BASE!A291</f>
        <v>276</v>
      </c>
      <c r="Z287" s="46">
        <f t="shared" si="7"/>
        <v>0</v>
      </c>
      <c r="AA287" s="46">
        <f t="shared" si="8"/>
        <v>0</v>
      </c>
      <c r="AB287" s="46">
        <f t="shared" si="9"/>
        <v>0</v>
      </c>
      <c r="AC287" s="46">
        <f t="shared" si="10"/>
        <v>0</v>
      </c>
      <c r="AD287" s="46">
        <f t="shared" si="11"/>
        <v>0</v>
      </c>
    </row>
    <row r="288" spans="1:30" ht="17.25" customHeight="1">
      <c r="A288" s="110" t="s">
        <v>838</v>
      </c>
      <c r="B288" s="106" t="s">
        <v>40</v>
      </c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17"/>
      <c r="X288" s="36">
        <f t="shared" si="6"/>
        <v>0</v>
      </c>
      <c r="Y288" s="36">
        <f>BASE!A292</f>
        <v>277</v>
      </c>
      <c r="Z288" s="46">
        <f t="shared" si="7"/>
        <v>0</v>
      </c>
      <c r="AA288" s="46">
        <f t="shared" si="8"/>
        <v>0</v>
      </c>
      <c r="AB288" s="46">
        <f t="shared" si="9"/>
        <v>0</v>
      </c>
      <c r="AC288" s="46">
        <f t="shared" si="10"/>
        <v>0</v>
      </c>
      <c r="AD288" s="46">
        <f t="shared" si="11"/>
        <v>0</v>
      </c>
    </row>
    <row r="289" spans="1:30" ht="17.25" customHeight="1">
      <c r="A289" s="110" t="s">
        <v>839</v>
      </c>
      <c r="B289" s="106" t="s">
        <v>40</v>
      </c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17"/>
      <c r="X289" s="36">
        <f t="shared" si="6"/>
        <v>0</v>
      </c>
      <c r="Y289" s="36">
        <f>BASE!A293</f>
        <v>278</v>
      </c>
      <c r="Z289" s="46">
        <f t="shared" si="7"/>
        <v>0</v>
      </c>
      <c r="AA289" s="46">
        <f t="shared" si="8"/>
        <v>0</v>
      </c>
      <c r="AB289" s="46">
        <f t="shared" si="9"/>
        <v>0</v>
      </c>
      <c r="AC289" s="46">
        <f t="shared" si="10"/>
        <v>0</v>
      </c>
      <c r="AD289" s="46">
        <f t="shared" si="11"/>
        <v>0</v>
      </c>
    </row>
    <row r="290" spans="1:30" ht="17.25" customHeight="1">
      <c r="A290" s="110" t="s">
        <v>840</v>
      </c>
      <c r="B290" s="106" t="s">
        <v>40</v>
      </c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17"/>
      <c r="X290" s="36">
        <f t="shared" si="6"/>
        <v>0</v>
      </c>
      <c r="Y290" s="36">
        <f>BASE!A294</f>
        <v>279</v>
      </c>
      <c r="Z290" s="46">
        <f t="shared" si="7"/>
        <v>0</v>
      </c>
      <c r="AA290" s="46">
        <f t="shared" si="8"/>
        <v>0</v>
      </c>
      <c r="AB290" s="46">
        <f t="shared" si="9"/>
        <v>0</v>
      </c>
      <c r="AC290" s="46">
        <f t="shared" si="10"/>
        <v>0</v>
      </c>
      <c r="AD290" s="46">
        <f t="shared" si="11"/>
        <v>0</v>
      </c>
    </row>
    <row r="291" spans="1:30" ht="17.25" customHeight="1">
      <c r="A291" s="110" t="s">
        <v>841</v>
      </c>
      <c r="B291" s="106" t="s">
        <v>40</v>
      </c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17"/>
      <c r="X291" s="36">
        <f t="shared" si="6"/>
        <v>0</v>
      </c>
      <c r="Y291" s="36">
        <f>BASE!A295</f>
        <v>280</v>
      </c>
      <c r="Z291" s="46">
        <f t="shared" si="7"/>
        <v>0</v>
      </c>
      <c r="AA291" s="46">
        <f t="shared" si="8"/>
        <v>0</v>
      </c>
      <c r="AB291" s="46">
        <f t="shared" si="9"/>
        <v>0</v>
      </c>
      <c r="AC291" s="46">
        <f t="shared" si="10"/>
        <v>0</v>
      </c>
      <c r="AD291" s="46">
        <f t="shared" si="11"/>
        <v>0</v>
      </c>
    </row>
    <row r="292" spans="1:30" ht="17.25" customHeight="1">
      <c r="A292" s="110" t="s">
        <v>842</v>
      </c>
      <c r="B292" s="106" t="s">
        <v>40</v>
      </c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17"/>
      <c r="X292" s="36">
        <f t="shared" si="6"/>
        <v>0</v>
      </c>
      <c r="Y292" s="36">
        <f>BASE!A296</f>
        <v>281</v>
      </c>
      <c r="Z292" s="46">
        <f t="shared" si="7"/>
        <v>0</v>
      </c>
      <c r="AA292" s="46">
        <f t="shared" si="8"/>
        <v>0</v>
      </c>
      <c r="AB292" s="46">
        <f t="shared" si="9"/>
        <v>0</v>
      </c>
      <c r="AC292" s="46">
        <f t="shared" si="10"/>
        <v>0</v>
      </c>
      <c r="AD292" s="46">
        <f t="shared" si="11"/>
        <v>0</v>
      </c>
    </row>
    <row r="293" spans="1:30" ht="17.25" customHeight="1">
      <c r="A293" s="110" t="s">
        <v>843</v>
      </c>
      <c r="B293" s="106" t="s">
        <v>40</v>
      </c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17"/>
      <c r="X293" s="36">
        <f t="shared" si="6"/>
        <v>0</v>
      </c>
      <c r="Y293" s="36">
        <f>BASE!A297</f>
        <v>282</v>
      </c>
      <c r="Z293" s="46">
        <f t="shared" si="7"/>
        <v>0</v>
      </c>
      <c r="AA293" s="46">
        <f t="shared" si="8"/>
        <v>0</v>
      </c>
      <c r="AB293" s="46">
        <f t="shared" si="9"/>
        <v>0</v>
      </c>
      <c r="AC293" s="46">
        <f t="shared" si="10"/>
        <v>0</v>
      </c>
      <c r="AD293" s="46">
        <f t="shared" si="11"/>
        <v>0</v>
      </c>
    </row>
    <row r="294" spans="1:30" ht="17.25" customHeight="1">
      <c r="A294" s="110" t="s">
        <v>844</v>
      </c>
      <c r="B294" s="106" t="s">
        <v>40</v>
      </c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17"/>
      <c r="X294" s="36">
        <f t="shared" si="6"/>
        <v>0</v>
      </c>
      <c r="Y294" s="36">
        <f>BASE!A298</f>
        <v>283</v>
      </c>
      <c r="Z294" s="46">
        <f t="shared" si="7"/>
        <v>0</v>
      </c>
      <c r="AA294" s="46">
        <f t="shared" si="8"/>
        <v>0</v>
      </c>
      <c r="AB294" s="46">
        <f t="shared" si="9"/>
        <v>0</v>
      </c>
      <c r="AC294" s="46">
        <f t="shared" si="10"/>
        <v>0</v>
      </c>
      <c r="AD294" s="46">
        <f t="shared" si="11"/>
        <v>0</v>
      </c>
    </row>
    <row r="295" spans="1:30" ht="17.25" customHeight="1">
      <c r="A295" s="110" t="s">
        <v>845</v>
      </c>
      <c r="B295" s="106" t="s">
        <v>40</v>
      </c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17"/>
      <c r="X295" s="36">
        <f t="shared" si="6"/>
        <v>0</v>
      </c>
      <c r="Y295" s="36">
        <f>BASE!A299</f>
        <v>284</v>
      </c>
      <c r="Z295" s="46">
        <f t="shared" si="7"/>
        <v>0</v>
      </c>
      <c r="AA295" s="46">
        <f t="shared" si="8"/>
        <v>0</v>
      </c>
      <c r="AB295" s="46">
        <f t="shared" si="9"/>
        <v>0</v>
      </c>
      <c r="AC295" s="46">
        <f t="shared" si="10"/>
        <v>0</v>
      </c>
      <c r="AD295" s="46">
        <f t="shared" si="11"/>
        <v>0</v>
      </c>
    </row>
    <row r="296" spans="1:30" ht="17.25" customHeight="1">
      <c r="A296" s="110" t="s">
        <v>846</v>
      </c>
      <c r="B296" s="106" t="s">
        <v>40</v>
      </c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17"/>
      <c r="X296" s="36">
        <f t="shared" si="6"/>
        <v>0</v>
      </c>
      <c r="Y296" s="36">
        <f>BASE!A300</f>
        <v>285</v>
      </c>
      <c r="Z296" s="46">
        <f t="shared" si="7"/>
        <v>0</v>
      </c>
      <c r="AA296" s="46">
        <f t="shared" si="8"/>
        <v>0</v>
      </c>
      <c r="AB296" s="46">
        <f t="shared" si="9"/>
        <v>0</v>
      </c>
      <c r="AC296" s="46">
        <f t="shared" si="10"/>
        <v>0</v>
      </c>
      <c r="AD296" s="46">
        <f t="shared" si="11"/>
        <v>0</v>
      </c>
    </row>
    <row r="297" spans="1:30" ht="17.25" customHeight="1">
      <c r="A297" s="110" t="s">
        <v>847</v>
      </c>
      <c r="B297" s="106" t="s">
        <v>40</v>
      </c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17"/>
      <c r="X297" s="36">
        <f t="shared" si="6"/>
        <v>0</v>
      </c>
      <c r="Y297" s="36">
        <f>BASE!A301</f>
        <v>286</v>
      </c>
      <c r="Z297" s="46">
        <f t="shared" si="7"/>
        <v>0</v>
      </c>
      <c r="AA297" s="46">
        <f t="shared" si="8"/>
        <v>0</v>
      </c>
      <c r="AB297" s="46">
        <f t="shared" si="9"/>
        <v>0</v>
      </c>
      <c r="AC297" s="46">
        <f t="shared" si="10"/>
        <v>0</v>
      </c>
      <c r="AD297" s="46">
        <f t="shared" si="11"/>
        <v>0</v>
      </c>
    </row>
    <row r="298" spans="1:30" ht="17.25" customHeight="1">
      <c r="A298" s="110" t="s">
        <v>848</v>
      </c>
      <c r="B298" s="106" t="s">
        <v>40</v>
      </c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17"/>
      <c r="X298" s="36">
        <f t="shared" si="6"/>
        <v>0</v>
      </c>
      <c r="Y298" s="36">
        <f>BASE!A302</f>
        <v>287</v>
      </c>
      <c r="Z298" s="46">
        <f t="shared" si="7"/>
        <v>0</v>
      </c>
      <c r="AA298" s="46">
        <f t="shared" si="8"/>
        <v>0</v>
      </c>
      <c r="AB298" s="46">
        <f t="shared" si="9"/>
        <v>0</v>
      </c>
      <c r="AC298" s="46">
        <f t="shared" si="10"/>
        <v>0</v>
      </c>
      <c r="AD298" s="46">
        <f t="shared" si="11"/>
        <v>0</v>
      </c>
    </row>
    <row r="299" spans="1:30" ht="17.25" customHeight="1">
      <c r="A299" s="110" t="s">
        <v>849</v>
      </c>
      <c r="B299" s="106" t="s">
        <v>40</v>
      </c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17"/>
      <c r="X299" s="36">
        <f t="shared" si="6"/>
        <v>0</v>
      </c>
      <c r="Y299" s="36">
        <f>BASE!A303</f>
        <v>288</v>
      </c>
      <c r="Z299" s="46">
        <f t="shared" si="7"/>
        <v>0</v>
      </c>
      <c r="AA299" s="46">
        <f t="shared" si="8"/>
        <v>0</v>
      </c>
      <c r="AB299" s="46">
        <f t="shared" si="9"/>
        <v>0</v>
      </c>
      <c r="AC299" s="46">
        <f t="shared" si="10"/>
        <v>0</v>
      </c>
      <c r="AD299" s="46">
        <f t="shared" si="11"/>
        <v>0</v>
      </c>
    </row>
    <row r="300" spans="1:30" ht="17.25" customHeight="1">
      <c r="A300" s="110" t="s">
        <v>850</v>
      </c>
      <c r="B300" s="106" t="s">
        <v>40</v>
      </c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17"/>
      <c r="X300" s="36">
        <f t="shared" si="6"/>
        <v>0</v>
      </c>
      <c r="Y300" s="36">
        <f>BASE!A304</f>
        <v>289</v>
      </c>
      <c r="Z300" s="46">
        <f t="shared" si="7"/>
        <v>0</v>
      </c>
      <c r="AA300" s="46">
        <f t="shared" si="8"/>
        <v>0</v>
      </c>
      <c r="AB300" s="46">
        <f t="shared" si="9"/>
        <v>0</v>
      </c>
      <c r="AC300" s="46">
        <f t="shared" si="10"/>
        <v>0</v>
      </c>
      <c r="AD300" s="46">
        <f t="shared" si="11"/>
        <v>0</v>
      </c>
    </row>
    <row r="301" spans="1:30" ht="17.25" customHeight="1">
      <c r="A301" s="110" t="s">
        <v>851</v>
      </c>
      <c r="B301" s="106" t="s">
        <v>40</v>
      </c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17"/>
      <c r="X301" s="36">
        <f t="shared" si="6"/>
        <v>0</v>
      </c>
      <c r="Y301" s="36">
        <f>BASE!A305</f>
        <v>290</v>
      </c>
      <c r="Z301" s="46">
        <f t="shared" si="7"/>
        <v>0</v>
      </c>
      <c r="AA301" s="46">
        <f t="shared" si="8"/>
        <v>0</v>
      </c>
      <c r="AB301" s="46">
        <f t="shared" si="9"/>
        <v>0</v>
      </c>
      <c r="AC301" s="46">
        <f t="shared" si="10"/>
        <v>0</v>
      </c>
      <c r="AD301" s="46">
        <f t="shared" si="11"/>
        <v>0</v>
      </c>
    </row>
    <row r="302" spans="1:30" ht="17.25" customHeight="1">
      <c r="A302" s="110" t="s">
        <v>852</v>
      </c>
      <c r="B302" s="106" t="s">
        <v>40</v>
      </c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17"/>
      <c r="X302" s="36">
        <f t="shared" si="6"/>
        <v>0</v>
      </c>
      <c r="Y302" s="36">
        <f>BASE!A306</f>
        <v>291</v>
      </c>
      <c r="Z302" s="46">
        <f t="shared" si="7"/>
        <v>0</v>
      </c>
      <c r="AA302" s="46">
        <f t="shared" si="8"/>
        <v>0</v>
      </c>
      <c r="AB302" s="46">
        <f t="shared" si="9"/>
        <v>0</v>
      </c>
      <c r="AC302" s="46">
        <f t="shared" si="10"/>
        <v>0</v>
      </c>
      <c r="AD302" s="46">
        <f t="shared" si="11"/>
        <v>0</v>
      </c>
    </row>
    <row r="303" spans="1:30" ht="17.25" customHeight="1">
      <c r="A303" s="110" t="s">
        <v>853</v>
      </c>
      <c r="B303" s="106" t="s">
        <v>40</v>
      </c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17"/>
      <c r="X303" s="36">
        <f t="shared" si="6"/>
        <v>0</v>
      </c>
      <c r="Y303" s="36">
        <f>BASE!A307</f>
        <v>292</v>
      </c>
      <c r="Z303" s="46">
        <f t="shared" si="7"/>
        <v>0</v>
      </c>
      <c r="AA303" s="46">
        <f t="shared" si="8"/>
        <v>0</v>
      </c>
      <c r="AB303" s="46">
        <f t="shared" si="9"/>
        <v>0</v>
      </c>
      <c r="AC303" s="46">
        <f t="shared" si="10"/>
        <v>0</v>
      </c>
      <c r="AD303" s="46">
        <f t="shared" si="11"/>
        <v>0</v>
      </c>
    </row>
    <row r="304" spans="1:30" ht="17.25" customHeight="1">
      <c r="A304" s="110" t="s">
        <v>854</v>
      </c>
      <c r="B304" s="106" t="s">
        <v>40</v>
      </c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17"/>
      <c r="X304" s="36">
        <f t="shared" si="6"/>
        <v>0</v>
      </c>
      <c r="Y304" s="36">
        <f>BASE!A308</f>
        <v>293</v>
      </c>
      <c r="Z304" s="46">
        <f t="shared" si="7"/>
        <v>0</v>
      </c>
      <c r="AA304" s="46">
        <f t="shared" si="8"/>
        <v>0</v>
      </c>
      <c r="AB304" s="46">
        <f t="shared" si="9"/>
        <v>0</v>
      </c>
      <c r="AC304" s="46">
        <f t="shared" si="10"/>
        <v>0</v>
      </c>
      <c r="AD304" s="46">
        <f t="shared" si="11"/>
        <v>0</v>
      </c>
    </row>
    <row r="305" spans="1:30" ht="17.25" customHeight="1">
      <c r="A305" s="110" t="s">
        <v>855</v>
      </c>
      <c r="B305" s="106" t="s">
        <v>40</v>
      </c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17"/>
      <c r="X305" s="36">
        <f t="shared" si="6"/>
        <v>0</v>
      </c>
      <c r="Y305" s="36">
        <f>BASE!A309</f>
        <v>294</v>
      </c>
      <c r="Z305" s="46">
        <f t="shared" si="7"/>
        <v>0</v>
      </c>
      <c r="AA305" s="46">
        <f t="shared" si="8"/>
        <v>0</v>
      </c>
      <c r="AB305" s="46">
        <f t="shared" si="9"/>
        <v>0</v>
      </c>
      <c r="AC305" s="46">
        <f t="shared" si="10"/>
        <v>0</v>
      </c>
      <c r="AD305" s="46">
        <f t="shared" si="11"/>
        <v>0</v>
      </c>
    </row>
    <row r="306" spans="1:30" ht="17.25" customHeight="1">
      <c r="A306" s="110" t="s">
        <v>856</v>
      </c>
      <c r="B306" s="106" t="s">
        <v>40</v>
      </c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17"/>
      <c r="X306" s="36">
        <f t="shared" si="6"/>
        <v>0</v>
      </c>
      <c r="Y306" s="36">
        <f>BASE!A310</f>
        <v>295</v>
      </c>
      <c r="Z306" s="46">
        <f t="shared" si="7"/>
        <v>0</v>
      </c>
      <c r="AA306" s="46">
        <f t="shared" si="8"/>
        <v>0</v>
      </c>
      <c r="AB306" s="46">
        <f t="shared" si="9"/>
        <v>0</v>
      </c>
      <c r="AC306" s="46">
        <f t="shared" si="10"/>
        <v>0</v>
      </c>
      <c r="AD306" s="46">
        <f t="shared" si="11"/>
        <v>0</v>
      </c>
    </row>
    <row r="307" spans="1:30" ht="17.25" customHeight="1">
      <c r="A307" s="110" t="s">
        <v>857</v>
      </c>
      <c r="B307" s="106" t="s">
        <v>40</v>
      </c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17"/>
      <c r="X307" s="36">
        <f t="shared" si="6"/>
        <v>0</v>
      </c>
      <c r="Y307" s="36">
        <f>BASE!A311</f>
        <v>296</v>
      </c>
      <c r="Z307" s="46">
        <f t="shared" si="7"/>
        <v>0</v>
      </c>
      <c r="AA307" s="46">
        <f t="shared" si="8"/>
        <v>0</v>
      </c>
      <c r="AB307" s="46">
        <f t="shared" si="9"/>
        <v>0</v>
      </c>
      <c r="AC307" s="46">
        <f t="shared" si="10"/>
        <v>0</v>
      </c>
      <c r="AD307" s="46">
        <f t="shared" si="11"/>
        <v>0</v>
      </c>
    </row>
    <row r="308" spans="1:30" ht="17.25" customHeight="1">
      <c r="A308" s="110" t="s">
        <v>858</v>
      </c>
      <c r="B308" s="106" t="s">
        <v>40</v>
      </c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17"/>
      <c r="X308" s="36">
        <f t="shared" si="6"/>
        <v>0</v>
      </c>
      <c r="Y308" s="36">
        <f>BASE!A312</f>
        <v>297</v>
      </c>
      <c r="Z308" s="46">
        <f t="shared" si="7"/>
        <v>0</v>
      </c>
      <c r="AA308" s="46">
        <f t="shared" si="8"/>
        <v>0</v>
      </c>
      <c r="AB308" s="46">
        <f t="shared" si="9"/>
        <v>0</v>
      </c>
      <c r="AC308" s="46">
        <f t="shared" si="10"/>
        <v>0</v>
      </c>
      <c r="AD308" s="46">
        <f t="shared" si="11"/>
        <v>0</v>
      </c>
    </row>
    <row r="309" spans="1:30" ht="17.25" customHeight="1">
      <c r="A309" s="110" t="s">
        <v>859</v>
      </c>
      <c r="B309" s="106" t="s">
        <v>40</v>
      </c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17"/>
      <c r="X309" s="36">
        <f t="shared" si="6"/>
        <v>0</v>
      </c>
      <c r="Y309" s="36">
        <f>BASE!A313</f>
        <v>298</v>
      </c>
      <c r="Z309" s="46">
        <f t="shared" si="7"/>
        <v>0</v>
      </c>
      <c r="AA309" s="46">
        <f t="shared" si="8"/>
        <v>0</v>
      </c>
      <c r="AB309" s="46">
        <f t="shared" si="9"/>
        <v>0</v>
      </c>
      <c r="AC309" s="46">
        <f t="shared" si="10"/>
        <v>0</v>
      </c>
      <c r="AD309" s="46">
        <f t="shared" si="11"/>
        <v>0</v>
      </c>
    </row>
    <row r="310" spans="1:30" ht="17.25" customHeight="1">
      <c r="A310" s="110" t="s">
        <v>860</v>
      </c>
      <c r="B310" s="106" t="s">
        <v>40</v>
      </c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17"/>
      <c r="X310" s="36">
        <f t="shared" si="6"/>
        <v>0</v>
      </c>
      <c r="Y310" s="36">
        <f>BASE!A314</f>
        <v>299</v>
      </c>
      <c r="Z310" s="46">
        <f t="shared" si="7"/>
        <v>0</v>
      </c>
      <c r="AA310" s="46">
        <f t="shared" si="8"/>
        <v>0</v>
      </c>
      <c r="AB310" s="46">
        <f t="shared" si="9"/>
        <v>0</v>
      </c>
      <c r="AC310" s="46">
        <f t="shared" si="10"/>
        <v>0</v>
      </c>
      <c r="AD310" s="46">
        <f t="shared" si="11"/>
        <v>0</v>
      </c>
    </row>
    <row r="311" spans="1:30" ht="17.25" customHeight="1">
      <c r="A311" s="110" t="s">
        <v>861</v>
      </c>
      <c r="B311" s="106" t="s">
        <v>40</v>
      </c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17"/>
      <c r="X311" s="36">
        <f t="shared" si="6"/>
        <v>0</v>
      </c>
      <c r="Y311" s="36">
        <f>BASE!A315</f>
        <v>300</v>
      </c>
      <c r="Z311" s="46">
        <f t="shared" si="7"/>
        <v>0</v>
      </c>
      <c r="AA311" s="46">
        <f t="shared" si="8"/>
        <v>0</v>
      </c>
      <c r="AB311" s="46">
        <f t="shared" si="9"/>
        <v>0</v>
      </c>
      <c r="AC311" s="46">
        <f t="shared" si="10"/>
        <v>0</v>
      </c>
      <c r="AD311" s="46">
        <f t="shared" si="11"/>
        <v>0</v>
      </c>
    </row>
    <row r="312" spans="1:30" ht="17.25" customHeight="1">
      <c r="A312" s="110" t="s">
        <v>862</v>
      </c>
      <c r="B312" s="106" t="s">
        <v>40</v>
      </c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17"/>
      <c r="X312" s="36">
        <f t="shared" si="6"/>
        <v>0</v>
      </c>
      <c r="Y312" s="36">
        <f>BASE!A316</f>
        <v>301</v>
      </c>
      <c r="Z312" s="46">
        <f t="shared" si="7"/>
        <v>0</v>
      </c>
      <c r="AA312" s="46">
        <f t="shared" si="8"/>
        <v>0</v>
      </c>
      <c r="AB312" s="46">
        <f t="shared" si="9"/>
        <v>0</v>
      </c>
      <c r="AC312" s="46">
        <f t="shared" si="10"/>
        <v>0</v>
      </c>
      <c r="AD312" s="46">
        <f t="shared" si="11"/>
        <v>0</v>
      </c>
    </row>
    <row r="313" spans="1:30" ht="17.25" customHeight="1">
      <c r="A313" s="110" t="s">
        <v>863</v>
      </c>
      <c r="B313" s="106" t="s">
        <v>40</v>
      </c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17"/>
      <c r="X313" s="36">
        <f t="shared" si="6"/>
        <v>0</v>
      </c>
      <c r="Y313" s="36">
        <f>BASE!A317</f>
        <v>302</v>
      </c>
      <c r="Z313" s="46">
        <f t="shared" si="7"/>
        <v>0</v>
      </c>
      <c r="AA313" s="46">
        <f t="shared" si="8"/>
        <v>0</v>
      </c>
      <c r="AB313" s="46">
        <f t="shared" si="9"/>
        <v>0</v>
      </c>
      <c r="AC313" s="46">
        <f t="shared" si="10"/>
        <v>0</v>
      </c>
      <c r="AD313" s="46">
        <f t="shared" si="11"/>
        <v>0</v>
      </c>
    </row>
    <row r="314" spans="1:30" ht="17.25" customHeight="1">
      <c r="A314" s="110" t="s">
        <v>864</v>
      </c>
      <c r="B314" s="106" t="s">
        <v>40</v>
      </c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17"/>
      <c r="X314" s="36">
        <f t="shared" si="6"/>
        <v>0</v>
      </c>
      <c r="Y314" s="36">
        <f>BASE!A318</f>
        <v>303</v>
      </c>
      <c r="Z314" s="46">
        <f t="shared" si="7"/>
        <v>0</v>
      </c>
      <c r="AA314" s="46">
        <f t="shared" si="8"/>
        <v>0</v>
      </c>
      <c r="AB314" s="46">
        <f t="shared" si="9"/>
        <v>0</v>
      </c>
      <c r="AC314" s="46">
        <f t="shared" si="10"/>
        <v>0</v>
      </c>
      <c r="AD314" s="46">
        <f t="shared" si="11"/>
        <v>0</v>
      </c>
    </row>
    <row r="315" spans="1:30" ht="17.25" customHeight="1">
      <c r="A315" s="110" t="s">
        <v>865</v>
      </c>
      <c r="B315" s="106" t="s">
        <v>40</v>
      </c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17"/>
      <c r="X315" s="36">
        <f t="shared" si="6"/>
        <v>0</v>
      </c>
      <c r="Y315" s="36">
        <f>BASE!A319</f>
        <v>304</v>
      </c>
      <c r="Z315" s="46">
        <f t="shared" si="7"/>
        <v>0</v>
      </c>
      <c r="AA315" s="46">
        <f t="shared" si="8"/>
        <v>0</v>
      </c>
      <c r="AB315" s="46">
        <f t="shared" si="9"/>
        <v>0</v>
      </c>
      <c r="AC315" s="46">
        <f t="shared" si="10"/>
        <v>0</v>
      </c>
      <c r="AD315" s="46">
        <f t="shared" si="11"/>
        <v>0</v>
      </c>
    </row>
    <row r="316" spans="1:30" ht="17.25" customHeight="1">
      <c r="A316" s="110" t="s">
        <v>866</v>
      </c>
      <c r="B316" s="106" t="s">
        <v>40</v>
      </c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17"/>
      <c r="X316" s="36">
        <f t="shared" si="6"/>
        <v>0</v>
      </c>
      <c r="Y316" s="36">
        <f>BASE!A320</f>
        <v>305</v>
      </c>
      <c r="Z316" s="46">
        <f t="shared" si="7"/>
        <v>0</v>
      </c>
      <c r="AA316" s="46">
        <f t="shared" si="8"/>
        <v>0</v>
      </c>
      <c r="AB316" s="46">
        <f t="shared" si="9"/>
        <v>0</v>
      </c>
      <c r="AC316" s="46">
        <f t="shared" si="10"/>
        <v>0</v>
      </c>
      <c r="AD316" s="46">
        <f t="shared" si="11"/>
        <v>0</v>
      </c>
    </row>
    <row r="317" spans="1:30" ht="17.25" customHeight="1">
      <c r="A317" s="110" t="s">
        <v>867</v>
      </c>
      <c r="B317" s="106" t="s">
        <v>40</v>
      </c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17"/>
      <c r="X317" s="36">
        <f t="shared" ref="X317:X380" si="12">SUM(C317:V317)</f>
        <v>0</v>
      </c>
      <c r="Y317" s="36">
        <f>BASE!A321</f>
        <v>306</v>
      </c>
      <c r="Z317" s="46">
        <f t="shared" ref="Z317:Z380" si="13">SUMIF($C$11:$V$11,1,C317:V317)</f>
        <v>0</v>
      </c>
      <c r="AA317" s="46">
        <f t="shared" ref="AA317:AA380" si="14">SUMIF($C$11:$V$11,2,C317:V317)</f>
        <v>0</v>
      </c>
      <c r="AB317" s="46">
        <f t="shared" ref="AB317:AB380" si="15">SUMIF($C$11:$V$11,3,C317:V317)</f>
        <v>0</v>
      </c>
      <c r="AC317" s="46">
        <f t="shared" ref="AC317:AC380" si="16">SUMIF($C$11:$V$11,4,C317:V317)</f>
        <v>0</v>
      </c>
      <c r="AD317" s="46">
        <f t="shared" ref="AD317:AD380" si="17">SUMIF($C$11:$V$11,5,C317:V317)</f>
        <v>0</v>
      </c>
    </row>
    <row r="318" spans="1:30" ht="17.25" customHeight="1">
      <c r="A318" s="110" t="s">
        <v>868</v>
      </c>
      <c r="B318" s="106" t="s">
        <v>40</v>
      </c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17"/>
      <c r="X318" s="36">
        <f t="shared" si="12"/>
        <v>0</v>
      </c>
      <c r="Y318" s="36">
        <f>BASE!A322</f>
        <v>307</v>
      </c>
      <c r="Z318" s="46">
        <f t="shared" si="13"/>
        <v>0</v>
      </c>
      <c r="AA318" s="46">
        <f t="shared" si="14"/>
        <v>0</v>
      </c>
      <c r="AB318" s="46">
        <f t="shared" si="15"/>
        <v>0</v>
      </c>
      <c r="AC318" s="46">
        <f t="shared" si="16"/>
        <v>0</v>
      </c>
      <c r="AD318" s="46">
        <f t="shared" si="17"/>
        <v>0</v>
      </c>
    </row>
    <row r="319" spans="1:30" ht="17.25" customHeight="1">
      <c r="A319" s="110" t="s">
        <v>869</v>
      </c>
      <c r="B319" s="106" t="s">
        <v>40</v>
      </c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17"/>
      <c r="X319" s="36">
        <f t="shared" si="12"/>
        <v>0</v>
      </c>
      <c r="Y319" s="36">
        <f>BASE!A323</f>
        <v>308</v>
      </c>
      <c r="Z319" s="46">
        <f t="shared" si="13"/>
        <v>0</v>
      </c>
      <c r="AA319" s="46">
        <f t="shared" si="14"/>
        <v>0</v>
      </c>
      <c r="AB319" s="46">
        <f t="shared" si="15"/>
        <v>0</v>
      </c>
      <c r="AC319" s="46">
        <f t="shared" si="16"/>
        <v>0</v>
      </c>
      <c r="AD319" s="46">
        <f t="shared" si="17"/>
        <v>0</v>
      </c>
    </row>
    <row r="320" spans="1:30" ht="17.25" customHeight="1">
      <c r="A320" s="110" t="s">
        <v>870</v>
      </c>
      <c r="B320" s="106" t="s">
        <v>40</v>
      </c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17"/>
      <c r="X320" s="36">
        <f t="shared" si="12"/>
        <v>0</v>
      </c>
      <c r="Y320" s="36">
        <f>BASE!A324</f>
        <v>309</v>
      </c>
      <c r="Z320" s="46">
        <f t="shared" si="13"/>
        <v>0</v>
      </c>
      <c r="AA320" s="46">
        <f t="shared" si="14"/>
        <v>0</v>
      </c>
      <c r="AB320" s="46">
        <f t="shared" si="15"/>
        <v>0</v>
      </c>
      <c r="AC320" s="46">
        <f t="shared" si="16"/>
        <v>0</v>
      </c>
      <c r="AD320" s="46">
        <f t="shared" si="17"/>
        <v>0</v>
      </c>
    </row>
    <row r="321" spans="1:30" ht="17.25" customHeight="1">
      <c r="A321" s="110" t="s">
        <v>871</v>
      </c>
      <c r="B321" s="106" t="s">
        <v>40</v>
      </c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17"/>
      <c r="X321" s="36">
        <f t="shared" si="12"/>
        <v>0</v>
      </c>
      <c r="Y321" s="36">
        <f>BASE!A325</f>
        <v>310</v>
      </c>
      <c r="Z321" s="46">
        <f t="shared" si="13"/>
        <v>0</v>
      </c>
      <c r="AA321" s="46">
        <f t="shared" si="14"/>
        <v>0</v>
      </c>
      <c r="AB321" s="46">
        <f t="shared" si="15"/>
        <v>0</v>
      </c>
      <c r="AC321" s="46">
        <f t="shared" si="16"/>
        <v>0</v>
      </c>
      <c r="AD321" s="46">
        <f t="shared" si="17"/>
        <v>0</v>
      </c>
    </row>
    <row r="322" spans="1:30" ht="17.25" customHeight="1">
      <c r="A322" s="110" t="s">
        <v>872</v>
      </c>
      <c r="B322" s="106" t="s">
        <v>40</v>
      </c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17"/>
      <c r="X322" s="36">
        <f t="shared" si="12"/>
        <v>0</v>
      </c>
      <c r="Y322" s="36">
        <f>BASE!A326</f>
        <v>311</v>
      </c>
      <c r="Z322" s="46">
        <f t="shared" si="13"/>
        <v>0</v>
      </c>
      <c r="AA322" s="46">
        <f t="shared" si="14"/>
        <v>0</v>
      </c>
      <c r="AB322" s="46">
        <f t="shared" si="15"/>
        <v>0</v>
      </c>
      <c r="AC322" s="46">
        <f t="shared" si="16"/>
        <v>0</v>
      </c>
      <c r="AD322" s="46">
        <f t="shared" si="17"/>
        <v>0</v>
      </c>
    </row>
    <row r="323" spans="1:30" ht="17.25" customHeight="1">
      <c r="A323" s="110" t="s">
        <v>873</v>
      </c>
      <c r="B323" s="106" t="s">
        <v>40</v>
      </c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17"/>
      <c r="X323" s="36">
        <f t="shared" si="12"/>
        <v>0</v>
      </c>
      <c r="Y323" s="36">
        <f>BASE!A327</f>
        <v>312</v>
      </c>
      <c r="Z323" s="46">
        <f t="shared" si="13"/>
        <v>0</v>
      </c>
      <c r="AA323" s="46">
        <f t="shared" si="14"/>
        <v>0</v>
      </c>
      <c r="AB323" s="46">
        <f t="shared" si="15"/>
        <v>0</v>
      </c>
      <c r="AC323" s="46">
        <f t="shared" si="16"/>
        <v>0</v>
      </c>
      <c r="AD323" s="46">
        <f t="shared" si="17"/>
        <v>0</v>
      </c>
    </row>
    <row r="324" spans="1:30" ht="17.25" customHeight="1">
      <c r="A324" s="110" t="s">
        <v>874</v>
      </c>
      <c r="B324" s="106" t="s">
        <v>40</v>
      </c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17"/>
      <c r="X324" s="36">
        <f t="shared" si="12"/>
        <v>0</v>
      </c>
      <c r="Y324" s="36">
        <f>BASE!A328</f>
        <v>313</v>
      </c>
      <c r="Z324" s="46">
        <f t="shared" si="13"/>
        <v>0</v>
      </c>
      <c r="AA324" s="46">
        <f t="shared" si="14"/>
        <v>0</v>
      </c>
      <c r="AB324" s="46">
        <f t="shared" si="15"/>
        <v>0</v>
      </c>
      <c r="AC324" s="46">
        <f t="shared" si="16"/>
        <v>0</v>
      </c>
      <c r="AD324" s="46">
        <f t="shared" si="17"/>
        <v>0</v>
      </c>
    </row>
    <row r="325" spans="1:30" ht="17.25" customHeight="1">
      <c r="A325" s="110" t="s">
        <v>875</v>
      </c>
      <c r="B325" s="106" t="s">
        <v>40</v>
      </c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17"/>
      <c r="X325" s="36">
        <f t="shared" si="12"/>
        <v>0</v>
      </c>
      <c r="Y325" s="36">
        <f>BASE!A329</f>
        <v>314</v>
      </c>
      <c r="Z325" s="46">
        <f t="shared" si="13"/>
        <v>0</v>
      </c>
      <c r="AA325" s="46">
        <f t="shared" si="14"/>
        <v>0</v>
      </c>
      <c r="AB325" s="46">
        <f t="shared" si="15"/>
        <v>0</v>
      </c>
      <c r="AC325" s="46">
        <f t="shared" si="16"/>
        <v>0</v>
      </c>
      <c r="AD325" s="46">
        <f t="shared" si="17"/>
        <v>0</v>
      </c>
    </row>
    <row r="326" spans="1:30" ht="17.25" customHeight="1">
      <c r="A326" s="110" t="s">
        <v>876</v>
      </c>
      <c r="B326" s="106" t="s">
        <v>40</v>
      </c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17"/>
      <c r="X326" s="36">
        <f t="shared" si="12"/>
        <v>0</v>
      </c>
      <c r="Y326" s="36">
        <f>BASE!A330</f>
        <v>315</v>
      </c>
      <c r="Z326" s="46">
        <f t="shared" si="13"/>
        <v>0</v>
      </c>
      <c r="AA326" s="46">
        <f t="shared" si="14"/>
        <v>0</v>
      </c>
      <c r="AB326" s="46">
        <f t="shared" si="15"/>
        <v>0</v>
      </c>
      <c r="AC326" s="46">
        <f t="shared" si="16"/>
        <v>0</v>
      </c>
      <c r="AD326" s="46">
        <f t="shared" si="17"/>
        <v>0</v>
      </c>
    </row>
    <row r="327" spans="1:30" ht="17.25" customHeight="1">
      <c r="A327" s="110" t="s">
        <v>877</v>
      </c>
      <c r="B327" s="106" t="s">
        <v>40</v>
      </c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17"/>
      <c r="X327" s="36">
        <f t="shared" si="12"/>
        <v>0</v>
      </c>
      <c r="Y327" s="36">
        <f>BASE!A331</f>
        <v>316</v>
      </c>
      <c r="Z327" s="46">
        <f t="shared" si="13"/>
        <v>0</v>
      </c>
      <c r="AA327" s="46">
        <f t="shared" si="14"/>
        <v>0</v>
      </c>
      <c r="AB327" s="46">
        <f t="shared" si="15"/>
        <v>0</v>
      </c>
      <c r="AC327" s="46">
        <f t="shared" si="16"/>
        <v>0</v>
      </c>
      <c r="AD327" s="46">
        <f t="shared" si="17"/>
        <v>0</v>
      </c>
    </row>
    <row r="328" spans="1:30" ht="17.25" customHeight="1">
      <c r="A328" s="110" t="s">
        <v>878</v>
      </c>
      <c r="B328" s="106" t="s">
        <v>40</v>
      </c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17"/>
      <c r="X328" s="36">
        <f t="shared" si="12"/>
        <v>0</v>
      </c>
      <c r="Y328" s="36">
        <f>BASE!A332</f>
        <v>317</v>
      </c>
      <c r="Z328" s="46">
        <f t="shared" si="13"/>
        <v>0</v>
      </c>
      <c r="AA328" s="46">
        <f t="shared" si="14"/>
        <v>0</v>
      </c>
      <c r="AB328" s="46">
        <f t="shared" si="15"/>
        <v>0</v>
      </c>
      <c r="AC328" s="46">
        <f t="shared" si="16"/>
        <v>0</v>
      </c>
      <c r="AD328" s="46">
        <f t="shared" si="17"/>
        <v>0</v>
      </c>
    </row>
    <row r="329" spans="1:30" ht="17.25" customHeight="1">
      <c r="A329" s="110" t="s">
        <v>879</v>
      </c>
      <c r="B329" s="106" t="s">
        <v>40</v>
      </c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17"/>
      <c r="X329" s="36">
        <f t="shared" si="12"/>
        <v>0</v>
      </c>
      <c r="Y329" s="36">
        <f>BASE!A333</f>
        <v>318</v>
      </c>
      <c r="Z329" s="46">
        <f t="shared" si="13"/>
        <v>0</v>
      </c>
      <c r="AA329" s="46">
        <f t="shared" si="14"/>
        <v>0</v>
      </c>
      <c r="AB329" s="46">
        <f t="shared" si="15"/>
        <v>0</v>
      </c>
      <c r="AC329" s="46">
        <f t="shared" si="16"/>
        <v>0</v>
      </c>
      <c r="AD329" s="46">
        <f t="shared" si="17"/>
        <v>0</v>
      </c>
    </row>
    <row r="330" spans="1:30" ht="17.25" customHeight="1">
      <c r="A330" s="110" t="s">
        <v>880</v>
      </c>
      <c r="B330" s="106" t="s">
        <v>40</v>
      </c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17"/>
      <c r="X330" s="36">
        <f t="shared" si="12"/>
        <v>0</v>
      </c>
      <c r="Y330" s="36">
        <f>BASE!A334</f>
        <v>319</v>
      </c>
      <c r="Z330" s="46">
        <f t="shared" si="13"/>
        <v>0</v>
      </c>
      <c r="AA330" s="46">
        <f t="shared" si="14"/>
        <v>0</v>
      </c>
      <c r="AB330" s="46">
        <f t="shared" si="15"/>
        <v>0</v>
      </c>
      <c r="AC330" s="46">
        <f t="shared" si="16"/>
        <v>0</v>
      </c>
      <c r="AD330" s="46">
        <f t="shared" si="17"/>
        <v>0</v>
      </c>
    </row>
    <row r="331" spans="1:30" ht="17.25" customHeight="1">
      <c r="A331" s="110" t="s">
        <v>881</v>
      </c>
      <c r="B331" s="106" t="s">
        <v>40</v>
      </c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17"/>
      <c r="X331" s="36">
        <f t="shared" si="12"/>
        <v>0</v>
      </c>
      <c r="Y331" s="36">
        <f>BASE!A335</f>
        <v>320</v>
      </c>
      <c r="Z331" s="46">
        <f t="shared" si="13"/>
        <v>0</v>
      </c>
      <c r="AA331" s="46">
        <f t="shared" si="14"/>
        <v>0</v>
      </c>
      <c r="AB331" s="46">
        <f t="shared" si="15"/>
        <v>0</v>
      </c>
      <c r="AC331" s="46">
        <f t="shared" si="16"/>
        <v>0</v>
      </c>
      <c r="AD331" s="46">
        <f t="shared" si="17"/>
        <v>0</v>
      </c>
    </row>
    <row r="332" spans="1:30" ht="17.25" customHeight="1">
      <c r="A332" s="110" t="s">
        <v>882</v>
      </c>
      <c r="B332" s="106" t="s">
        <v>40</v>
      </c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17"/>
      <c r="X332" s="36">
        <f t="shared" si="12"/>
        <v>0</v>
      </c>
      <c r="Y332" s="36">
        <f>BASE!A336</f>
        <v>321</v>
      </c>
      <c r="Z332" s="46">
        <f t="shared" si="13"/>
        <v>0</v>
      </c>
      <c r="AA332" s="46">
        <f t="shared" si="14"/>
        <v>0</v>
      </c>
      <c r="AB332" s="46">
        <f t="shared" si="15"/>
        <v>0</v>
      </c>
      <c r="AC332" s="46">
        <f t="shared" si="16"/>
        <v>0</v>
      </c>
      <c r="AD332" s="46">
        <f t="shared" si="17"/>
        <v>0</v>
      </c>
    </row>
    <row r="333" spans="1:30" ht="17.25" customHeight="1">
      <c r="A333" s="110" t="s">
        <v>883</v>
      </c>
      <c r="B333" s="106" t="s">
        <v>40</v>
      </c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17"/>
      <c r="X333" s="36">
        <f t="shared" si="12"/>
        <v>0</v>
      </c>
      <c r="Y333" s="36">
        <f>BASE!A337</f>
        <v>322</v>
      </c>
      <c r="Z333" s="46">
        <f t="shared" si="13"/>
        <v>0</v>
      </c>
      <c r="AA333" s="46">
        <f t="shared" si="14"/>
        <v>0</v>
      </c>
      <c r="AB333" s="46">
        <f t="shared" si="15"/>
        <v>0</v>
      </c>
      <c r="AC333" s="46">
        <f t="shared" si="16"/>
        <v>0</v>
      </c>
      <c r="AD333" s="46">
        <f t="shared" si="17"/>
        <v>0</v>
      </c>
    </row>
    <row r="334" spans="1:30" ht="17.25" customHeight="1">
      <c r="A334" s="110" t="s">
        <v>884</v>
      </c>
      <c r="B334" s="106" t="s">
        <v>40</v>
      </c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17"/>
      <c r="X334" s="36">
        <f t="shared" si="12"/>
        <v>0</v>
      </c>
      <c r="Y334" s="36">
        <f>BASE!A338</f>
        <v>323</v>
      </c>
      <c r="Z334" s="46">
        <f t="shared" si="13"/>
        <v>0</v>
      </c>
      <c r="AA334" s="46">
        <f t="shared" si="14"/>
        <v>0</v>
      </c>
      <c r="AB334" s="46">
        <f t="shared" si="15"/>
        <v>0</v>
      </c>
      <c r="AC334" s="46">
        <f t="shared" si="16"/>
        <v>0</v>
      </c>
      <c r="AD334" s="46">
        <f t="shared" si="17"/>
        <v>0</v>
      </c>
    </row>
    <row r="335" spans="1:30" ht="17.25" customHeight="1">
      <c r="A335" s="110" t="s">
        <v>885</v>
      </c>
      <c r="B335" s="106" t="s">
        <v>40</v>
      </c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17"/>
      <c r="X335" s="36">
        <f t="shared" si="12"/>
        <v>0</v>
      </c>
      <c r="Y335" s="36">
        <f>BASE!A339</f>
        <v>324</v>
      </c>
      <c r="Z335" s="46">
        <f t="shared" si="13"/>
        <v>0</v>
      </c>
      <c r="AA335" s="46">
        <f t="shared" si="14"/>
        <v>0</v>
      </c>
      <c r="AB335" s="46">
        <f t="shared" si="15"/>
        <v>0</v>
      </c>
      <c r="AC335" s="46">
        <f t="shared" si="16"/>
        <v>0</v>
      </c>
      <c r="AD335" s="46">
        <f t="shared" si="17"/>
        <v>0</v>
      </c>
    </row>
    <row r="336" spans="1:30" ht="17.25" customHeight="1">
      <c r="A336" s="110" t="s">
        <v>886</v>
      </c>
      <c r="B336" s="106" t="s">
        <v>40</v>
      </c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17"/>
      <c r="X336" s="36">
        <f t="shared" si="12"/>
        <v>0</v>
      </c>
      <c r="Y336" s="36">
        <f>BASE!A340</f>
        <v>325</v>
      </c>
      <c r="Z336" s="46">
        <f t="shared" si="13"/>
        <v>0</v>
      </c>
      <c r="AA336" s="46">
        <f t="shared" si="14"/>
        <v>0</v>
      </c>
      <c r="AB336" s="46">
        <f t="shared" si="15"/>
        <v>0</v>
      </c>
      <c r="AC336" s="46">
        <f t="shared" si="16"/>
        <v>0</v>
      </c>
      <c r="AD336" s="46">
        <f t="shared" si="17"/>
        <v>0</v>
      </c>
    </row>
    <row r="337" spans="1:30" ht="17.25" customHeight="1">
      <c r="A337" s="110" t="s">
        <v>887</v>
      </c>
      <c r="B337" s="106" t="s">
        <v>40</v>
      </c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17"/>
      <c r="X337" s="36">
        <f t="shared" si="12"/>
        <v>0</v>
      </c>
      <c r="Y337" s="36">
        <f>BASE!A341</f>
        <v>326</v>
      </c>
      <c r="Z337" s="46">
        <f t="shared" si="13"/>
        <v>0</v>
      </c>
      <c r="AA337" s="46">
        <f t="shared" si="14"/>
        <v>0</v>
      </c>
      <c r="AB337" s="46">
        <f t="shared" si="15"/>
        <v>0</v>
      </c>
      <c r="AC337" s="46">
        <f t="shared" si="16"/>
        <v>0</v>
      </c>
      <c r="AD337" s="46">
        <f t="shared" si="17"/>
        <v>0</v>
      </c>
    </row>
    <row r="338" spans="1:30" ht="17.25" customHeight="1">
      <c r="A338" s="110" t="s">
        <v>888</v>
      </c>
      <c r="B338" s="106" t="s">
        <v>40</v>
      </c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17"/>
      <c r="X338" s="36">
        <f t="shared" si="12"/>
        <v>0</v>
      </c>
      <c r="Y338" s="36">
        <f>BASE!A342</f>
        <v>327</v>
      </c>
      <c r="Z338" s="46">
        <f t="shared" si="13"/>
        <v>0</v>
      </c>
      <c r="AA338" s="46">
        <f t="shared" si="14"/>
        <v>0</v>
      </c>
      <c r="AB338" s="46">
        <f t="shared" si="15"/>
        <v>0</v>
      </c>
      <c r="AC338" s="46">
        <f t="shared" si="16"/>
        <v>0</v>
      </c>
      <c r="AD338" s="46">
        <f t="shared" si="17"/>
        <v>0</v>
      </c>
    </row>
    <row r="339" spans="1:30" ht="17.25" customHeight="1">
      <c r="A339" s="110" t="s">
        <v>889</v>
      </c>
      <c r="B339" s="106" t="s">
        <v>40</v>
      </c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17"/>
      <c r="X339" s="36">
        <f t="shared" si="12"/>
        <v>0</v>
      </c>
      <c r="Y339" s="36">
        <f>BASE!A343</f>
        <v>328</v>
      </c>
      <c r="Z339" s="46">
        <f t="shared" si="13"/>
        <v>0</v>
      </c>
      <c r="AA339" s="46">
        <f t="shared" si="14"/>
        <v>0</v>
      </c>
      <c r="AB339" s="46">
        <f t="shared" si="15"/>
        <v>0</v>
      </c>
      <c r="AC339" s="46">
        <f t="shared" si="16"/>
        <v>0</v>
      </c>
      <c r="AD339" s="46">
        <f t="shared" si="17"/>
        <v>0</v>
      </c>
    </row>
    <row r="340" spans="1:30" ht="17.25" customHeight="1">
      <c r="A340" s="110" t="s">
        <v>890</v>
      </c>
      <c r="B340" s="106" t="s">
        <v>40</v>
      </c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17"/>
      <c r="X340" s="36">
        <f t="shared" si="12"/>
        <v>0</v>
      </c>
      <c r="Y340" s="36">
        <f>BASE!A344</f>
        <v>329</v>
      </c>
      <c r="Z340" s="46">
        <f t="shared" si="13"/>
        <v>0</v>
      </c>
      <c r="AA340" s="46">
        <f t="shared" si="14"/>
        <v>0</v>
      </c>
      <c r="AB340" s="46">
        <f t="shared" si="15"/>
        <v>0</v>
      </c>
      <c r="AC340" s="46">
        <f t="shared" si="16"/>
        <v>0</v>
      </c>
      <c r="AD340" s="46">
        <f t="shared" si="17"/>
        <v>0</v>
      </c>
    </row>
    <row r="341" spans="1:30" ht="17.25" customHeight="1">
      <c r="A341" s="110" t="s">
        <v>891</v>
      </c>
      <c r="B341" s="106" t="s">
        <v>40</v>
      </c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17"/>
      <c r="X341" s="36">
        <f t="shared" si="12"/>
        <v>0</v>
      </c>
      <c r="Y341" s="36">
        <f>BASE!A345</f>
        <v>330</v>
      </c>
      <c r="Z341" s="46">
        <f t="shared" si="13"/>
        <v>0</v>
      </c>
      <c r="AA341" s="46">
        <f t="shared" si="14"/>
        <v>0</v>
      </c>
      <c r="AB341" s="46">
        <f t="shared" si="15"/>
        <v>0</v>
      </c>
      <c r="AC341" s="46">
        <f t="shared" si="16"/>
        <v>0</v>
      </c>
      <c r="AD341" s="46">
        <f t="shared" si="17"/>
        <v>0</v>
      </c>
    </row>
    <row r="342" spans="1:30" ht="17.25" customHeight="1">
      <c r="A342" s="110" t="s">
        <v>892</v>
      </c>
      <c r="B342" s="106" t="s">
        <v>40</v>
      </c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17"/>
      <c r="X342" s="36">
        <f t="shared" si="12"/>
        <v>0</v>
      </c>
      <c r="Y342" s="36">
        <f>BASE!A346</f>
        <v>331</v>
      </c>
      <c r="Z342" s="46">
        <f t="shared" si="13"/>
        <v>0</v>
      </c>
      <c r="AA342" s="46">
        <f t="shared" si="14"/>
        <v>0</v>
      </c>
      <c r="AB342" s="46">
        <f t="shared" si="15"/>
        <v>0</v>
      </c>
      <c r="AC342" s="46">
        <f t="shared" si="16"/>
        <v>0</v>
      </c>
      <c r="AD342" s="46">
        <f t="shared" si="17"/>
        <v>0</v>
      </c>
    </row>
    <row r="343" spans="1:30" ht="17.25" customHeight="1">
      <c r="A343" s="110" t="s">
        <v>893</v>
      </c>
      <c r="B343" s="106" t="s">
        <v>40</v>
      </c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17"/>
      <c r="X343" s="36">
        <f t="shared" si="12"/>
        <v>0</v>
      </c>
      <c r="Y343" s="36">
        <f>BASE!A347</f>
        <v>332</v>
      </c>
      <c r="Z343" s="46">
        <f t="shared" si="13"/>
        <v>0</v>
      </c>
      <c r="AA343" s="46">
        <f t="shared" si="14"/>
        <v>0</v>
      </c>
      <c r="AB343" s="46">
        <f t="shared" si="15"/>
        <v>0</v>
      </c>
      <c r="AC343" s="46">
        <f t="shared" si="16"/>
        <v>0</v>
      </c>
      <c r="AD343" s="46">
        <f t="shared" si="17"/>
        <v>0</v>
      </c>
    </row>
    <row r="344" spans="1:30" ht="17.25" customHeight="1">
      <c r="A344" s="110" t="s">
        <v>894</v>
      </c>
      <c r="B344" s="106" t="s">
        <v>40</v>
      </c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17"/>
      <c r="X344" s="36">
        <f t="shared" si="12"/>
        <v>0</v>
      </c>
      <c r="Y344" s="36">
        <f>BASE!A348</f>
        <v>333</v>
      </c>
      <c r="Z344" s="46">
        <f t="shared" si="13"/>
        <v>0</v>
      </c>
      <c r="AA344" s="46">
        <f t="shared" si="14"/>
        <v>0</v>
      </c>
      <c r="AB344" s="46">
        <f t="shared" si="15"/>
        <v>0</v>
      </c>
      <c r="AC344" s="46">
        <f t="shared" si="16"/>
        <v>0</v>
      </c>
      <c r="AD344" s="46">
        <f t="shared" si="17"/>
        <v>0</v>
      </c>
    </row>
    <row r="345" spans="1:30" ht="17.25" customHeight="1">
      <c r="A345" s="110" t="s">
        <v>895</v>
      </c>
      <c r="B345" s="106" t="s">
        <v>40</v>
      </c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17"/>
      <c r="X345" s="36">
        <f t="shared" si="12"/>
        <v>0</v>
      </c>
      <c r="Y345" s="36">
        <f>BASE!A349</f>
        <v>334</v>
      </c>
      <c r="Z345" s="46">
        <f t="shared" si="13"/>
        <v>0</v>
      </c>
      <c r="AA345" s="46">
        <f t="shared" si="14"/>
        <v>0</v>
      </c>
      <c r="AB345" s="46">
        <f t="shared" si="15"/>
        <v>0</v>
      </c>
      <c r="AC345" s="46">
        <f t="shared" si="16"/>
        <v>0</v>
      </c>
      <c r="AD345" s="46">
        <f t="shared" si="17"/>
        <v>0</v>
      </c>
    </row>
    <row r="346" spans="1:30" ht="17.25" customHeight="1">
      <c r="A346" s="110" t="s">
        <v>896</v>
      </c>
      <c r="B346" s="106" t="s">
        <v>40</v>
      </c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17"/>
      <c r="X346" s="36">
        <f t="shared" si="12"/>
        <v>0</v>
      </c>
      <c r="Y346" s="36">
        <f>BASE!A350</f>
        <v>335</v>
      </c>
      <c r="Z346" s="46">
        <f t="shared" si="13"/>
        <v>0</v>
      </c>
      <c r="AA346" s="46">
        <f t="shared" si="14"/>
        <v>0</v>
      </c>
      <c r="AB346" s="46">
        <f t="shared" si="15"/>
        <v>0</v>
      </c>
      <c r="AC346" s="46">
        <f t="shared" si="16"/>
        <v>0</v>
      </c>
      <c r="AD346" s="46">
        <f t="shared" si="17"/>
        <v>0</v>
      </c>
    </row>
    <row r="347" spans="1:30" ht="17.25" customHeight="1">
      <c r="A347" s="110" t="s">
        <v>897</v>
      </c>
      <c r="B347" s="106" t="s">
        <v>40</v>
      </c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17"/>
      <c r="X347" s="36">
        <f t="shared" si="12"/>
        <v>0</v>
      </c>
      <c r="Y347" s="36">
        <f>BASE!A351</f>
        <v>336</v>
      </c>
      <c r="Z347" s="46">
        <f t="shared" si="13"/>
        <v>0</v>
      </c>
      <c r="AA347" s="46">
        <f t="shared" si="14"/>
        <v>0</v>
      </c>
      <c r="AB347" s="46">
        <f t="shared" si="15"/>
        <v>0</v>
      </c>
      <c r="AC347" s="46">
        <f t="shared" si="16"/>
        <v>0</v>
      </c>
      <c r="AD347" s="46">
        <f t="shared" si="17"/>
        <v>0</v>
      </c>
    </row>
    <row r="348" spans="1:30" ht="17.25" customHeight="1">
      <c r="A348" s="110" t="s">
        <v>898</v>
      </c>
      <c r="B348" s="106" t="s">
        <v>40</v>
      </c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17"/>
      <c r="X348" s="36">
        <f t="shared" si="12"/>
        <v>0</v>
      </c>
      <c r="Y348" s="36">
        <f>BASE!A352</f>
        <v>337</v>
      </c>
      <c r="Z348" s="46">
        <f t="shared" si="13"/>
        <v>0</v>
      </c>
      <c r="AA348" s="46">
        <f t="shared" si="14"/>
        <v>0</v>
      </c>
      <c r="AB348" s="46">
        <f t="shared" si="15"/>
        <v>0</v>
      </c>
      <c r="AC348" s="46">
        <f t="shared" si="16"/>
        <v>0</v>
      </c>
      <c r="AD348" s="46">
        <f t="shared" si="17"/>
        <v>0</v>
      </c>
    </row>
    <row r="349" spans="1:30" ht="17.25" customHeight="1">
      <c r="A349" s="110" t="s">
        <v>899</v>
      </c>
      <c r="B349" s="106" t="s">
        <v>40</v>
      </c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17"/>
      <c r="X349" s="36">
        <f t="shared" si="12"/>
        <v>0</v>
      </c>
      <c r="Y349" s="36">
        <f>BASE!A353</f>
        <v>338</v>
      </c>
      <c r="Z349" s="46">
        <f t="shared" si="13"/>
        <v>0</v>
      </c>
      <c r="AA349" s="46">
        <f t="shared" si="14"/>
        <v>0</v>
      </c>
      <c r="AB349" s="46">
        <f t="shared" si="15"/>
        <v>0</v>
      </c>
      <c r="AC349" s="46">
        <f t="shared" si="16"/>
        <v>0</v>
      </c>
      <c r="AD349" s="46">
        <f t="shared" si="17"/>
        <v>0</v>
      </c>
    </row>
    <row r="350" spans="1:30" ht="17.25" customHeight="1">
      <c r="A350" s="110" t="s">
        <v>900</v>
      </c>
      <c r="B350" s="106" t="s">
        <v>40</v>
      </c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17"/>
      <c r="X350" s="36">
        <f t="shared" si="12"/>
        <v>0</v>
      </c>
      <c r="Y350" s="36">
        <f>BASE!A354</f>
        <v>339</v>
      </c>
      <c r="Z350" s="46">
        <f t="shared" si="13"/>
        <v>0</v>
      </c>
      <c r="AA350" s="46">
        <f t="shared" si="14"/>
        <v>0</v>
      </c>
      <c r="AB350" s="46">
        <f t="shared" si="15"/>
        <v>0</v>
      </c>
      <c r="AC350" s="46">
        <f t="shared" si="16"/>
        <v>0</v>
      </c>
      <c r="AD350" s="46">
        <f t="shared" si="17"/>
        <v>0</v>
      </c>
    </row>
    <row r="351" spans="1:30" ht="17.25" customHeight="1">
      <c r="A351" s="110" t="s">
        <v>901</v>
      </c>
      <c r="B351" s="106" t="s">
        <v>40</v>
      </c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17"/>
      <c r="X351" s="36">
        <f t="shared" si="12"/>
        <v>0</v>
      </c>
      <c r="Y351" s="36">
        <f>BASE!A355</f>
        <v>340</v>
      </c>
      <c r="Z351" s="46">
        <f t="shared" si="13"/>
        <v>0</v>
      </c>
      <c r="AA351" s="46">
        <f t="shared" si="14"/>
        <v>0</v>
      </c>
      <c r="AB351" s="46">
        <f t="shared" si="15"/>
        <v>0</v>
      </c>
      <c r="AC351" s="46">
        <f t="shared" si="16"/>
        <v>0</v>
      </c>
      <c r="AD351" s="46">
        <f t="shared" si="17"/>
        <v>0</v>
      </c>
    </row>
    <row r="352" spans="1:30" ht="17.25" customHeight="1">
      <c r="A352" s="110" t="s">
        <v>902</v>
      </c>
      <c r="B352" s="106" t="s">
        <v>40</v>
      </c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17"/>
      <c r="X352" s="36">
        <f t="shared" si="12"/>
        <v>0</v>
      </c>
      <c r="Y352" s="36">
        <f>BASE!A356</f>
        <v>341</v>
      </c>
      <c r="Z352" s="46">
        <f t="shared" si="13"/>
        <v>0</v>
      </c>
      <c r="AA352" s="46">
        <f t="shared" si="14"/>
        <v>0</v>
      </c>
      <c r="AB352" s="46">
        <f t="shared" si="15"/>
        <v>0</v>
      </c>
      <c r="AC352" s="46">
        <f t="shared" si="16"/>
        <v>0</v>
      </c>
      <c r="AD352" s="46">
        <f t="shared" si="17"/>
        <v>0</v>
      </c>
    </row>
    <row r="353" spans="1:30" ht="17.25" customHeight="1">
      <c r="A353" s="110" t="s">
        <v>903</v>
      </c>
      <c r="B353" s="106" t="s">
        <v>40</v>
      </c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17"/>
      <c r="X353" s="36">
        <f t="shared" si="12"/>
        <v>0</v>
      </c>
      <c r="Y353" s="36">
        <f>BASE!A357</f>
        <v>342</v>
      </c>
      <c r="Z353" s="46">
        <f t="shared" si="13"/>
        <v>0</v>
      </c>
      <c r="AA353" s="46">
        <f t="shared" si="14"/>
        <v>0</v>
      </c>
      <c r="AB353" s="46">
        <f t="shared" si="15"/>
        <v>0</v>
      </c>
      <c r="AC353" s="46">
        <f t="shared" si="16"/>
        <v>0</v>
      </c>
      <c r="AD353" s="46">
        <f t="shared" si="17"/>
        <v>0</v>
      </c>
    </row>
    <row r="354" spans="1:30" ht="17.25" customHeight="1">
      <c r="A354" s="110" t="s">
        <v>904</v>
      </c>
      <c r="B354" s="106" t="s">
        <v>40</v>
      </c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17"/>
      <c r="X354" s="36">
        <f t="shared" si="12"/>
        <v>0</v>
      </c>
      <c r="Y354" s="36">
        <f>BASE!A358</f>
        <v>343</v>
      </c>
      <c r="Z354" s="46">
        <f t="shared" si="13"/>
        <v>0</v>
      </c>
      <c r="AA354" s="46">
        <f t="shared" si="14"/>
        <v>0</v>
      </c>
      <c r="AB354" s="46">
        <f t="shared" si="15"/>
        <v>0</v>
      </c>
      <c r="AC354" s="46">
        <f t="shared" si="16"/>
        <v>0</v>
      </c>
      <c r="AD354" s="46">
        <f t="shared" si="17"/>
        <v>0</v>
      </c>
    </row>
    <row r="355" spans="1:30" ht="17.25" customHeight="1">
      <c r="A355" s="110" t="s">
        <v>905</v>
      </c>
      <c r="B355" s="106" t="s">
        <v>40</v>
      </c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17"/>
      <c r="X355" s="36">
        <f t="shared" si="12"/>
        <v>0</v>
      </c>
      <c r="Y355" s="36">
        <f>BASE!A359</f>
        <v>344</v>
      </c>
      <c r="Z355" s="46">
        <f t="shared" si="13"/>
        <v>0</v>
      </c>
      <c r="AA355" s="46">
        <f t="shared" si="14"/>
        <v>0</v>
      </c>
      <c r="AB355" s="46">
        <f t="shared" si="15"/>
        <v>0</v>
      </c>
      <c r="AC355" s="46">
        <f t="shared" si="16"/>
        <v>0</v>
      </c>
      <c r="AD355" s="46">
        <f t="shared" si="17"/>
        <v>0</v>
      </c>
    </row>
    <row r="356" spans="1:30" ht="17.25" customHeight="1">
      <c r="A356" s="110" t="s">
        <v>906</v>
      </c>
      <c r="B356" s="106" t="s">
        <v>40</v>
      </c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17"/>
      <c r="X356" s="36">
        <f t="shared" si="12"/>
        <v>0</v>
      </c>
      <c r="Y356" s="36">
        <f>BASE!A360</f>
        <v>345</v>
      </c>
      <c r="Z356" s="46">
        <f t="shared" si="13"/>
        <v>0</v>
      </c>
      <c r="AA356" s="46">
        <f t="shared" si="14"/>
        <v>0</v>
      </c>
      <c r="AB356" s="46">
        <f t="shared" si="15"/>
        <v>0</v>
      </c>
      <c r="AC356" s="46">
        <f t="shared" si="16"/>
        <v>0</v>
      </c>
      <c r="AD356" s="46">
        <f t="shared" si="17"/>
        <v>0</v>
      </c>
    </row>
    <row r="357" spans="1:30" ht="17.25" customHeight="1">
      <c r="A357" s="110" t="s">
        <v>907</v>
      </c>
      <c r="B357" s="106" t="s">
        <v>40</v>
      </c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17"/>
      <c r="X357" s="36">
        <f t="shared" si="12"/>
        <v>0</v>
      </c>
      <c r="Y357" s="36">
        <f>BASE!A361</f>
        <v>346</v>
      </c>
      <c r="Z357" s="46">
        <f t="shared" si="13"/>
        <v>0</v>
      </c>
      <c r="AA357" s="46">
        <f t="shared" si="14"/>
        <v>0</v>
      </c>
      <c r="AB357" s="46">
        <f t="shared" si="15"/>
        <v>0</v>
      </c>
      <c r="AC357" s="46">
        <f t="shared" si="16"/>
        <v>0</v>
      </c>
      <c r="AD357" s="46">
        <f t="shared" si="17"/>
        <v>0</v>
      </c>
    </row>
    <row r="358" spans="1:30" ht="17.25" customHeight="1">
      <c r="A358" s="110" t="s">
        <v>908</v>
      </c>
      <c r="B358" s="106" t="s">
        <v>40</v>
      </c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17"/>
      <c r="X358" s="36">
        <f t="shared" si="12"/>
        <v>0</v>
      </c>
      <c r="Y358" s="36">
        <f>BASE!A362</f>
        <v>347</v>
      </c>
      <c r="Z358" s="46">
        <f t="shared" si="13"/>
        <v>0</v>
      </c>
      <c r="AA358" s="46">
        <f t="shared" si="14"/>
        <v>0</v>
      </c>
      <c r="AB358" s="46">
        <f t="shared" si="15"/>
        <v>0</v>
      </c>
      <c r="AC358" s="46">
        <f t="shared" si="16"/>
        <v>0</v>
      </c>
      <c r="AD358" s="46">
        <f t="shared" si="17"/>
        <v>0</v>
      </c>
    </row>
    <row r="359" spans="1:30" ht="17.25" customHeight="1">
      <c r="A359" s="110" t="s">
        <v>909</v>
      </c>
      <c r="B359" s="106" t="s">
        <v>40</v>
      </c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17"/>
      <c r="X359" s="36">
        <f t="shared" si="12"/>
        <v>0</v>
      </c>
      <c r="Y359" s="36">
        <f>BASE!A363</f>
        <v>348</v>
      </c>
      <c r="Z359" s="46">
        <f t="shared" si="13"/>
        <v>0</v>
      </c>
      <c r="AA359" s="46">
        <f t="shared" si="14"/>
        <v>0</v>
      </c>
      <c r="AB359" s="46">
        <f t="shared" si="15"/>
        <v>0</v>
      </c>
      <c r="AC359" s="46">
        <f t="shared" si="16"/>
        <v>0</v>
      </c>
      <c r="AD359" s="46">
        <f t="shared" si="17"/>
        <v>0</v>
      </c>
    </row>
    <row r="360" spans="1:30" ht="17.25" customHeight="1">
      <c r="A360" s="110" t="s">
        <v>910</v>
      </c>
      <c r="B360" s="106" t="s">
        <v>40</v>
      </c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17"/>
      <c r="X360" s="36">
        <f t="shared" si="12"/>
        <v>0</v>
      </c>
      <c r="Y360" s="36">
        <f>BASE!A364</f>
        <v>349</v>
      </c>
      <c r="Z360" s="46">
        <f t="shared" si="13"/>
        <v>0</v>
      </c>
      <c r="AA360" s="46">
        <f t="shared" si="14"/>
        <v>0</v>
      </c>
      <c r="AB360" s="46">
        <f t="shared" si="15"/>
        <v>0</v>
      </c>
      <c r="AC360" s="46">
        <f t="shared" si="16"/>
        <v>0</v>
      </c>
      <c r="AD360" s="46">
        <f t="shared" si="17"/>
        <v>0</v>
      </c>
    </row>
    <row r="361" spans="1:30" ht="17.25" customHeight="1">
      <c r="A361" s="110" t="s">
        <v>911</v>
      </c>
      <c r="B361" s="106" t="s">
        <v>40</v>
      </c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17"/>
      <c r="X361" s="36">
        <f t="shared" si="12"/>
        <v>0</v>
      </c>
      <c r="Y361" s="36">
        <f>BASE!A365</f>
        <v>350</v>
      </c>
      <c r="Z361" s="46">
        <f t="shared" si="13"/>
        <v>0</v>
      </c>
      <c r="AA361" s="46">
        <f t="shared" si="14"/>
        <v>0</v>
      </c>
      <c r="AB361" s="46">
        <f t="shared" si="15"/>
        <v>0</v>
      </c>
      <c r="AC361" s="46">
        <f t="shared" si="16"/>
        <v>0</v>
      </c>
      <c r="AD361" s="46">
        <f t="shared" si="17"/>
        <v>0</v>
      </c>
    </row>
    <row r="362" spans="1:30" ht="17.25" customHeight="1">
      <c r="A362" s="110" t="s">
        <v>912</v>
      </c>
      <c r="B362" s="106" t="s">
        <v>40</v>
      </c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17"/>
      <c r="X362" s="36">
        <f t="shared" si="12"/>
        <v>0</v>
      </c>
      <c r="Y362" s="36">
        <f>BASE!A366</f>
        <v>351</v>
      </c>
      <c r="Z362" s="46">
        <f t="shared" si="13"/>
        <v>0</v>
      </c>
      <c r="AA362" s="46">
        <f t="shared" si="14"/>
        <v>0</v>
      </c>
      <c r="AB362" s="46">
        <f t="shared" si="15"/>
        <v>0</v>
      </c>
      <c r="AC362" s="46">
        <f t="shared" si="16"/>
        <v>0</v>
      </c>
      <c r="AD362" s="46">
        <f t="shared" si="17"/>
        <v>0</v>
      </c>
    </row>
    <row r="363" spans="1:30" ht="17.25" customHeight="1">
      <c r="A363" s="110" t="s">
        <v>913</v>
      </c>
      <c r="B363" s="106" t="s">
        <v>40</v>
      </c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17"/>
      <c r="X363" s="36">
        <f t="shared" si="12"/>
        <v>0</v>
      </c>
      <c r="Y363" s="36">
        <f>BASE!A367</f>
        <v>352</v>
      </c>
      <c r="Z363" s="46">
        <f t="shared" si="13"/>
        <v>0</v>
      </c>
      <c r="AA363" s="46">
        <f t="shared" si="14"/>
        <v>0</v>
      </c>
      <c r="AB363" s="46">
        <f t="shared" si="15"/>
        <v>0</v>
      </c>
      <c r="AC363" s="46">
        <f t="shared" si="16"/>
        <v>0</v>
      </c>
      <c r="AD363" s="46">
        <f t="shared" si="17"/>
        <v>0</v>
      </c>
    </row>
    <row r="364" spans="1:30" ht="17.25" customHeight="1">
      <c r="A364" s="110" t="s">
        <v>914</v>
      </c>
      <c r="B364" s="106" t="s">
        <v>40</v>
      </c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17"/>
      <c r="X364" s="36">
        <f t="shared" si="12"/>
        <v>0</v>
      </c>
      <c r="Y364" s="36">
        <f>BASE!A368</f>
        <v>353</v>
      </c>
      <c r="Z364" s="46">
        <f t="shared" si="13"/>
        <v>0</v>
      </c>
      <c r="AA364" s="46">
        <f t="shared" si="14"/>
        <v>0</v>
      </c>
      <c r="AB364" s="46">
        <f t="shared" si="15"/>
        <v>0</v>
      </c>
      <c r="AC364" s="46">
        <f t="shared" si="16"/>
        <v>0</v>
      </c>
      <c r="AD364" s="46">
        <f t="shared" si="17"/>
        <v>0</v>
      </c>
    </row>
    <row r="365" spans="1:30" ht="17.25" customHeight="1">
      <c r="A365" s="110" t="s">
        <v>915</v>
      </c>
      <c r="B365" s="106" t="s">
        <v>40</v>
      </c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17"/>
      <c r="X365" s="36">
        <f t="shared" si="12"/>
        <v>0</v>
      </c>
      <c r="Y365" s="36">
        <f>BASE!A369</f>
        <v>354</v>
      </c>
      <c r="Z365" s="46">
        <f t="shared" si="13"/>
        <v>0</v>
      </c>
      <c r="AA365" s="46">
        <f t="shared" si="14"/>
        <v>0</v>
      </c>
      <c r="AB365" s="46">
        <f t="shared" si="15"/>
        <v>0</v>
      </c>
      <c r="AC365" s="46">
        <f t="shared" si="16"/>
        <v>0</v>
      </c>
      <c r="AD365" s="46">
        <f t="shared" si="17"/>
        <v>0</v>
      </c>
    </row>
    <row r="366" spans="1:30" ht="17.25" customHeight="1">
      <c r="A366" s="110" t="s">
        <v>916</v>
      </c>
      <c r="B366" s="106" t="s">
        <v>40</v>
      </c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17"/>
      <c r="X366" s="36">
        <f t="shared" si="12"/>
        <v>0</v>
      </c>
      <c r="Y366" s="36">
        <f>BASE!A370</f>
        <v>355</v>
      </c>
      <c r="Z366" s="46">
        <f t="shared" si="13"/>
        <v>0</v>
      </c>
      <c r="AA366" s="46">
        <f t="shared" si="14"/>
        <v>0</v>
      </c>
      <c r="AB366" s="46">
        <f t="shared" si="15"/>
        <v>0</v>
      </c>
      <c r="AC366" s="46">
        <f t="shared" si="16"/>
        <v>0</v>
      </c>
      <c r="AD366" s="46">
        <f t="shared" si="17"/>
        <v>0</v>
      </c>
    </row>
    <row r="367" spans="1:30" ht="17.25" customHeight="1">
      <c r="A367" s="110" t="s">
        <v>917</v>
      </c>
      <c r="B367" s="106" t="s">
        <v>40</v>
      </c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17"/>
      <c r="X367" s="36">
        <f t="shared" si="12"/>
        <v>0</v>
      </c>
      <c r="Y367" s="36">
        <f>BASE!A371</f>
        <v>356</v>
      </c>
      <c r="Z367" s="46">
        <f t="shared" si="13"/>
        <v>0</v>
      </c>
      <c r="AA367" s="46">
        <f t="shared" si="14"/>
        <v>0</v>
      </c>
      <c r="AB367" s="46">
        <f t="shared" si="15"/>
        <v>0</v>
      </c>
      <c r="AC367" s="46">
        <f t="shared" si="16"/>
        <v>0</v>
      </c>
      <c r="AD367" s="46">
        <f t="shared" si="17"/>
        <v>0</v>
      </c>
    </row>
    <row r="368" spans="1:30" ht="17.25" customHeight="1">
      <c r="A368" s="110" t="s">
        <v>918</v>
      </c>
      <c r="B368" s="106" t="s">
        <v>40</v>
      </c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17"/>
      <c r="X368" s="36">
        <f t="shared" si="12"/>
        <v>0</v>
      </c>
      <c r="Y368" s="36">
        <f>BASE!A372</f>
        <v>357</v>
      </c>
      <c r="Z368" s="46">
        <f t="shared" si="13"/>
        <v>0</v>
      </c>
      <c r="AA368" s="46">
        <f t="shared" si="14"/>
        <v>0</v>
      </c>
      <c r="AB368" s="46">
        <f t="shared" si="15"/>
        <v>0</v>
      </c>
      <c r="AC368" s="46">
        <f t="shared" si="16"/>
        <v>0</v>
      </c>
      <c r="AD368" s="46">
        <f t="shared" si="17"/>
        <v>0</v>
      </c>
    </row>
    <row r="369" spans="1:30" ht="17.25" customHeight="1">
      <c r="A369" s="110" t="s">
        <v>919</v>
      </c>
      <c r="B369" s="106" t="s">
        <v>40</v>
      </c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17"/>
      <c r="X369" s="36">
        <f t="shared" si="12"/>
        <v>0</v>
      </c>
      <c r="Y369" s="36">
        <f>BASE!A373</f>
        <v>358</v>
      </c>
      <c r="Z369" s="46">
        <f t="shared" si="13"/>
        <v>0</v>
      </c>
      <c r="AA369" s="46">
        <f t="shared" si="14"/>
        <v>0</v>
      </c>
      <c r="AB369" s="46">
        <f t="shared" si="15"/>
        <v>0</v>
      </c>
      <c r="AC369" s="46">
        <f t="shared" si="16"/>
        <v>0</v>
      </c>
      <c r="AD369" s="46">
        <f t="shared" si="17"/>
        <v>0</v>
      </c>
    </row>
    <row r="370" spans="1:30" ht="17.25" customHeight="1">
      <c r="A370" s="110" t="s">
        <v>920</v>
      </c>
      <c r="B370" s="106" t="s">
        <v>40</v>
      </c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17"/>
      <c r="X370" s="36">
        <f t="shared" si="12"/>
        <v>0</v>
      </c>
      <c r="Y370" s="36">
        <f>BASE!A374</f>
        <v>359</v>
      </c>
      <c r="Z370" s="46">
        <f t="shared" si="13"/>
        <v>0</v>
      </c>
      <c r="AA370" s="46">
        <f t="shared" si="14"/>
        <v>0</v>
      </c>
      <c r="AB370" s="46">
        <f t="shared" si="15"/>
        <v>0</v>
      </c>
      <c r="AC370" s="46">
        <f t="shared" si="16"/>
        <v>0</v>
      </c>
      <c r="AD370" s="46">
        <f t="shared" si="17"/>
        <v>0</v>
      </c>
    </row>
    <row r="371" spans="1:30" ht="17.25" customHeight="1">
      <c r="A371" s="110" t="s">
        <v>921</v>
      </c>
      <c r="B371" s="106" t="s">
        <v>40</v>
      </c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17"/>
      <c r="X371" s="36">
        <f t="shared" si="12"/>
        <v>0</v>
      </c>
      <c r="Y371" s="36">
        <f>BASE!A375</f>
        <v>360</v>
      </c>
      <c r="Z371" s="46">
        <f t="shared" si="13"/>
        <v>0</v>
      </c>
      <c r="AA371" s="46">
        <f t="shared" si="14"/>
        <v>0</v>
      </c>
      <c r="AB371" s="46">
        <f t="shared" si="15"/>
        <v>0</v>
      </c>
      <c r="AC371" s="46">
        <f t="shared" si="16"/>
        <v>0</v>
      </c>
      <c r="AD371" s="46">
        <f t="shared" si="17"/>
        <v>0</v>
      </c>
    </row>
    <row r="372" spans="1:30" ht="17.25" customHeight="1">
      <c r="A372" s="110" t="s">
        <v>922</v>
      </c>
      <c r="B372" s="106" t="s">
        <v>40</v>
      </c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17"/>
      <c r="X372" s="36">
        <f t="shared" si="12"/>
        <v>0</v>
      </c>
      <c r="Y372" s="36">
        <f>BASE!A376</f>
        <v>361</v>
      </c>
      <c r="Z372" s="46">
        <f t="shared" si="13"/>
        <v>0</v>
      </c>
      <c r="AA372" s="46">
        <f t="shared" si="14"/>
        <v>0</v>
      </c>
      <c r="AB372" s="46">
        <f t="shared" si="15"/>
        <v>0</v>
      </c>
      <c r="AC372" s="46">
        <f t="shared" si="16"/>
        <v>0</v>
      </c>
      <c r="AD372" s="46">
        <f t="shared" si="17"/>
        <v>0</v>
      </c>
    </row>
    <row r="373" spans="1:30" ht="17.25" customHeight="1">
      <c r="A373" s="110" t="s">
        <v>923</v>
      </c>
      <c r="B373" s="106" t="s">
        <v>40</v>
      </c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17"/>
      <c r="X373" s="36">
        <f t="shared" si="12"/>
        <v>0</v>
      </c>
      <c r="Y373" s="36">
        <f>BASE!A377</f>
        <v>362</v>
      </c>
      <c r="Z373" s="46">
        <f t="shared" si="13"/>
        <v>0</v>
      </c>
      <c r="AA373" s="46">
        <f t="shared" si="14"/>
        <v>0</v>
      </c>
      <c r="AB373" s="46">
        <f t="shared" si="15"/>
        <v>0</v>
      </c>
      <c r="AC373" s="46">
        <f t="shared" si="16"/>
        <v>0</v>
      </c>
      <c r="AD373" s="46">
        <f t="shared" si="17"/>
        <v>0</v>
      </c>
    </row>
    <row r="374" spans="1:30" ht="17.25" customHeight="1">
      <c r="A374" s="110" t="s">
        <v>924</v>
      </c>
      <c r="B374" s="106" t="s">
        <v>40</v>
      </c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17"/>
      <c r="X374" s="36">
        <f t="shared" si="12"/>
        <v>0</v>
      </c>
      <c r="Y374" s="36">
        <f>BASE!A378</f>
        <v>363</v>
      </c>
      <c r="Z374" s="46">
        <f t="shared" si="13"/>
        <v>0</v>
      </c>
      <c r="AA374" s="46">
        <f t="shared" si="14"/>
        <v>0</v>
      </c>
      <c r="AB374" s="46">
        <f t="shared" si="15"/>
        <v>0</v>
      </c>
      <c r="AC374" s="46">
        <f t="shared" si="16"/>
        <v>0</v>
      </c>
      <c r="AD374" s="46">
        <f t="shared" si="17"/>
        <v>0</v>
      </c>
    </row>
    <row r="375" spans="1:30" ht="17.25" customHeight="1">
      <c r="A375" s="110" t="s">
        <v>925</v>
      </c>
      <c r="B375" s="106" t="s">
        <v>40</v>
      </c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17"/>
      <c r="X375" s="36">
        <f t="shared" si="12"/>
        <v>0</v>
      </c>
      <c r="Y375" s="36">
        <f>BASE!A379</f>
        <v>364</v>
      </c>
      <c r="Z375" s="46">
        <f t="shared" si="13"/>
        <v>0</v>
      </c>
      <c r="AA375" s="46">
        <f t="shared" si="14"/>
        <v>0</v>
      </c>
      <c r="AB375" s="46">
        <f t="shared" si="15"/>
        <v>0</v>
      </c>
      <c r="AC375" s="46">
        <f t="shared" si="16"/>
        <v>0</v>
      </c>
      <c r="AD375" s="46">
        <f t="shared" si="17"/>
        <v>0</v>
      </c>
    </row>
    <row r="376" spans="1:30" ht="17.25" customHeight="1">
      <c r="A376" s="110" t="s">
        <v>926</v>
      </c>
      <c r="B376" s="106" t="s">
        <v>40</v>
      </c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17"/>
      <c r="X376" s="36">
        <f t="shared" si="12"/>
        <v>0</v>
      </c>
      <c r="Y376" s="36">
        <f>BASE!A380</f>
        <v>365</v>
      </c>
      <c r="Z376" s="46">
        <f t="shared" si="13"/>
        <v>0</v>
      </c>
      <c r="AA376" s="46">
        <f t="shared" si="14"/>
        <v>0</v>
      </c>
      <c r="AB376" s="46">
        <f t="shared" si="15"/>
        <v>0</v>
      </c>
      <c r="AC376" s="46">
        <f t="shared" si="16"/>
        <v>0</v>
      </c>
      <c r="AD376" s="46">
        <f t="shared" si="17"/>
        <v>0</v>
      </c>
    </row>
    <row r="377" spans="1:30" ht="17.25" customHeight="1">
      <c r="A377" s="110" t="s">
        <v>927</v>
      </c>
      <c r="B377" s="106" t="s">
        <v>40</v>
      </c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17"/>
      <c r="X377" s="36">
        <f t="shared" si="12"/>
        <v>0</v>
      </c>
      <c r="Y377" s="36">
        <f>BASE!A381</f>
        <v>366</v>
      </c>
      <c r="Z377" s="46">
        <f t="shared" si="13"/>
        <v>0</v>
      </c>
      <c r="AA377" s="46">
        <f t="shared" si="14"/>
        <v>0</v>
      </c>
      <c r="AB377" s="46">
        <f t="shared" si="15"/>
        <v>0</v>
      </c>
      <c r="AC377" s="46">
        <f t="shared" si="16"/>
        <v>0</v>
      </c>
      <c r="AD377" s="46">
        <f t="shared" si="17"/>
        <v>0</v>
      </c>
    </row>
    <row r="378" spans="1:30" ht="17.25" customHeight="1">
      <c r="A378" s="110" t="s">
        <v>928</v>
      </c>
      <c r="B378" s="106" t="s">
        <v>40</v>
      </c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17"/>
      <c r="X378" s="36">
        <f t="shared" si="12"/>
        <v>0</v>
      </c>
      <c r="Y378" s="36">
        <f>BASE!A382</f>
        <v>367</v>
      </c>
      <c r="Z378" s="46">
        <f t="shared" si="13"/>
        <v>0</v>
      </c>
      <c r="AA378" s="46">
        <f t="shared" si="14"/>
        <v>0</v>
      </c>
      <c r="AB378" s="46">
        <f t="shared" si="15"/>
        <v>0</v>
      </c>
      <c r="AC378" s="46">
        <f t="shared" si="16"/>
        <v>0</v>
      </c>
      <c r="AD378" s="46">
        <f t="shared" si="17"/>
        <v>0</v>
      </c>
    </row>
    <row r="379" spans="1:30" ht="17.25" customHeight="1">
      <c r="A379" s="110" t="s">
        <v>929</v>
      </c>
      <c r="B379" s="106" t="s">
        <v>40</v>
      </c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17"/>
      <c r="X379" s="36">
        <f t="shared" si="12"/>
        <v>0</v>
      </c>
      <c r="Y379" s="36">
        <f>BASE!A383</f>
        <v>368</v>
      </c>
      <c r="Z379" s="46">
        <f t="shared" si="13"/>
        <v>0</v>
      </c>
      <c r="AA379" s="46">
        <f t="shared" si="14"/>
        <v>0</v>
      </c>
      <c r="AB379" s="46">
        <f t="shared" si="15"/>
        <v>0</v>
      </c>
      <c r="AC379" s="46">
        <f t="shared" si="16"/>
        <v>0</v>
      </c>
      <c r="AD379" s="46">
        <f t="shared" si="17"/>
        <v>0</v>
      </c>
    </row>
    <row r="380" spans="1:30" ht="17.25" customHeight="1">
      <c r="A380" s="110" t="s">
        <v>930</v>
      </c>
      <c r="B380" s="106" t="s">
        <v>40</v>
      </c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17"/>
      <c r="X380" s="36">
        <f t="shared" si="12"/>
        <v>0</v>
      </c>
      <c r="Y380" s="36">
        <f>BASE!A384</f>
        <v>369</v>
      </c>
      <c r="Z380" s="46">
        <f t="shared" si="13"/>
        <v>0</v>
      </c>
      <c r="AA380" s="46">
        <f t="shared" si="14"/>
        <v>0</v>
      </c>
      <c r="AB380" s="46">
        <f t="shared" si="15"/>
        <v>0</v>
      </c>
      <c r="AC380" s="46">
        <f t="shared" si="16"/>
        <v>0</v>
      </c>
      <c r="AD380" s="46">
        <f t="shared" si="17"/>
        <v>0</v>
      </c>
    </row>
    <row r="381" spans="1:30" ht="17.25" customHeight="1">
      <c r="A381" s="110" t="s">
        <v>931</v>
      </c>
      <c r="B381" s="106" t="s">
        <v>40</v>
      </c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17"/>
      <c r="X381" s="36">
        <f t="shared" ref="X381:X444" si="18">SUM(C381:V381)</f>
        <v>0</v>
      </c>
      <c r="Y381" s="36">
        <f>BASE!A385</f>
        <v>370</v>
      </c>
      <c r="Z381" s="46">
        <f t="shared" ref="Z381:Z444" si="19">SUMIF($C$11:$V$11,1,C381:V381)</f>
        <v>0</v>
      </c>
      <c r="AA381" s="46">
        <f t="shared" ref="AA381:AA444" si="20">SUMIF($C$11:$V$11,2,C381:V381)</f>
        <v>0</v>
      </c>
      <c r="AB381" s="46">
        <f t="shared" ref="AB381:AB444" si="21">SUMIF($C$11:$V$11,3,C381:V381)</f>
        <v>0</v>
      </c>
      <c r="AC381" s="46">
        <f t="shared" ref="AC381:AC444" si="22">SUMIF($C$11:$V$11,4,C381:V381)</f>
        <v>0</v>
      </c>
      <c r="AD381" s="46">
        <f t="shared" ref="AD381:AD444" si="23">SUMIF($C$11:$V$11,5,C381:V381)</f>
        <v>0</v>
      </c>
    </row>
    <row r="382" spans="1:30" ht="17.25" customHeight="1">
      <c r="A382" s="110" t="s">
        <v>932</v>
      </c>
      <c r="B382" s="106" t="s">
        <v>40</v>
      </c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17"/>
      <c r="X382" s="36">
        <f t="shared" si="18"/>
        <v>0</v>
      </c>
      <c r="Y382" s="36">
        <f>BASE!A386</f>
        <v>371</v>
      </c>
      <c r="Z382" s="46">
        <f t="shared" si="19"/>
        <v>0</v>
      </c>
      <c r="AA382" s="46">
        <f t="shared" si="20"/>
        <v>0</v>
      </c>
      <c r="AB382" s="46">
        <f t="shared" si="21"/>
        <v>0</v>
      </c>
      <c r="AC382" s="46">
        <f t="shared" si="22"/>
        <v>0</v>
      </c>
      <c r="AD382" s="46">
        <f t="shared" si="23"/>
        <v>0</v>
      </c>
    </row>
    <row r="383" spans="1:30" ht="17.25" customHeight="1">
      <c r="A383" s="110" t="s">
        <v>933</v>
      </c>
      <c r="B383" s="106" t="s">
        <v>40</v>
      </c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17"/>
      <c r="X383" s="36">
        <f t="shared" si="18"/>
        <v>0</v>
      </c>
      <c r="Y383" s="36">
        <f>BASE!A387</f>
        <v>372</v>
      </c>
      <c r="Z383" s="46">
        <f t="shared" si="19"/>
        <v>0</v>
      </c>
      <c r="AA383" s="46">
        <f t="shared" si="20"/>
        <v>0</v>
      </c>
      <c r="AB383" s="46">
        <f t="shared" si="21"/>
        <v>0</v>
      </c>
      <c r="AC383" s="46">
        <f t="shared" si="22"/>
        <v>0</v>
      </c>
      <c r="AD383" s="46">
        <f t="shared" si="23"/>
        <v>0</v>
      </c>
    </row>
    <row r="384" spans="1:30" ht="17.25" customHeight="1">
      <c r="A384" s="110" t="s">
        <v>934</v>
      </c>
      <c r="B384" s="106" t="s">
        <v>40</v>
      </c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17"/>
      <c r="X384" s="36">
        <f t="shared" si="18"/>
        <v>0</v>
      </c>
      <c r="Y384" s="36">
        <f>BASE!A388</f>
        <v>373</v>
      </c>
      <c r="Z384" s="46">
        <f t="shared" si="19"/>
        <v>0</v>
      </c>
      <c r="AA384" s="46">
        <f t="shared" si="20"/>
        <v>0</v>
      </c>
      <c r="AB384" s="46">
        <f t="shared" si="21"/>
        <v>0</v>
      </c>
      <c r="AC384" s="46">
        <f t="shared" si="22"/>
        <v>0</v>
      </c>
      <c r="AD384" s="46">
        <f t="shared" si="23"/>
        <v>0</v>
      </c>
    </row>
    <row r="385" spans="1:30" ht="17.25" customHeight="1">
      <c r="A385" s="110" t="s">
        <v>935</v>
      </c>
      <c r="B385" s="106" t="s">
        <v>40</v>
      </c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17"/>
      <c r="X385" s="36">
        <f t="shared" si="18"/>
        <v>0</v>
      </c>
      <c r="Y385" s="36">
        <f>BASE!A389</f>
        <v>374</v>
      </c>
      <c r="Z385" s="46">
        <f t="shared" si="19"/>
        <v>0</v>
      </c>
      <c r="AA385" s="46">
        <f t="shared" si="20"/>
        <v>0</v>
      </c>
      <c r="AB385" s="46">
        <f t="shared" si="21"/>
        <v>0</v>
      </c>
      <c r="AC385" s="46">
        <f t="shared" si="22"/>
        <v>0</v>
      </c>
      <c r="AD385" s="46">
        <f t="shared" si="23"/>
        <v>0</v>
      </c>
    </row>
    <row r="386" spans="1:30" ht="17.25" customHeight="1">
      <c r="A386" s="110" t="s">
        <v>936</v>
      </c>
      <c r="B386" s="106" t="s">
        <v>40</v>
      </c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17"/>
      <c r="X386" s="36">
        <f t="shared" si="18"/>
        <v>0</v>
      </c>
      <c r="Y386" s="36">
        <f>BASE!A390</f>
        <v>375</v>
      </c>
      <c r="Z386" s="46">
        <f t="shared" si="19"/>
        <v>0</v>
      </c>
      <c r="AA386" s="46">
        <f t="shared" si="20"/>
        <v>0</v>
      </c>
      <c r="AB386" s="46">
        <f t="shared" si="21"/>
        <v>0</v>
      </c>
      <c r="AC386" s="46">
        <f t="shared" si="22"/>
        <v>0</v>
      </c>
      <c r="AD386" s="46">
        <f t="shared" si="23"/>
        <v>0</v>
      </c>
    </row>
    <row r="387" spans="1:30" ht="17.25" customHeight="1">
      <c r="A387" s="110" t="s">
        <v>937</v>
      </c>
      <c r="B387" s="106" t="s">
        <v>40</v>
      </c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17"/>
      <c r="X387" s="36">
        <f t="shared" si="18"/>
        <v>0</v>
      </c>
      <c r="Y387" s="36">
        <f>BASE!A391</f>
        <v>376</v>
      </c>
      <c r="Z387" s="46">
        <f t="shared" si="19"/>
        <v>0</v>
      </c>
      <c r="AA387" s="46">
        <f t="shared" si="20"/>
        <v>0</v>
      </c>
      <c r="AB387" s="46">
        <f t="shared" si="21"/>
        <v>0</v>
      </c>
      <c r="AC387" s="46">
        <f t="shared" si="22"/>
        <v>0</v>
      </c>
      <c r="AD387" s="46">
        <f t="shared" si="23"/>
        <v>0</v>
      </c>
    </row>
    <row r="388" spans="1:30" ht="17.25" customHeight="1">
      <c r="A388" s="110" t="s">
        <v>938</v>
      </c>
      <c r="B388" s="106" t="s">
        <v>40</v>
      </c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17"/>
      <c r="X388" s="36">
        <f t="shared" si="18"/>
        <v>0</v>
      </c>
      <c r="Y388" s="36">
        <f>BASE!A392</f>
        <v>377</v>
      </c>
      <c r="Z388" s="46">
        <f t="shared" si="19"/>
        <v>0</v>
      </c>
      <c r="AA388" s="46">
        <f t="shared" si="20"/>
        <v>0</v>
      </c>
      <c r="AB388" s="46">
        <f t="shared" si="21"/>
        <v>0</v>
      </c>
      <c r="AC388" s="46">
        <f t="shared" si="22"/>
        <v>0</v>
      </c>
      <c r="AD388" s="46">
        <f t="shared" si="23"/>
        <v>0</v>
      </c>
    </row>
    <row r="389" spans="1:30" ht="17.25" customHeight="1">
      <c r="A389" s="110" t="s">
        <v>939</v>
      </c>
      <c r="B389" s="106" t="s">
        <v>40</v>
      </c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17"/>
      <c r="X389" s="36">
        <f t="shared" si="18"/>
        <v>0</v>
      </c>
      <c r="Y389" s="36">
        <f>BASE!A393</f>
        <v>378</v>
      </c>
      <c r="Z389" s="46">
        <f t="shared" si="19"/>
        <v>0</v>
      </c>
      <c r="AA389" s="46">
        <f t="shared" si="20"/>
        <v>0</v>
      </c>
      <c r="AB389" s="46">
        <f t="shared" si="21"/>
        <v>0</v>
      </c>
      <c r="AC389" s="46">
        <f t="shared" si="22"/>
        <v>0</v>
      </c>
      <c r="AD389" s="46">
        <f t="shared" si="23"/>
        <v>0</v>
      </c>
    </row>
    <row r="390" spans="1:30" ht="17.25" customHeight="1">
      <c r="A390" s="110" t="s">
        <v>940</v>
      </c>
      <c r="B390" s="106" t="s">
        <v>40</v>
      </c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17"/>
      <c r="X390" s="36">
        <f t="shared" si="18"/>
        <v>0</v>
      </c>
      <c r="Y390" s="36">
        <f>BASE!A394</f>
        <v>379</v>
      </c>
      <c r="Z390" s="46">
        <f t="shared" si="19"/>
        <v>0</v>
      </c>
      <c r="AA390" s="46">
        <f t="shared" si="20"/>
        <v>0</v>
      </c>
      <c r="AB390" s="46">
        <f t="shared" si="21"/>
        <v>0</v>
      </c>
      <c r="AC390" s="46">
        <f t="shared" si="22"/>
        <v>0</v>
      </c>
      <c r="AD390" s="46">
        <f t="shared" si="23"/>
        <v>0</v>
      </c>
    </row>
    <row r="391" spans="1:30" ht="17.25" customHeight="1">
      <c r="A391" s="110" t="s">
        <v>941</v>
      </c>
      <c r="B391" s="106" t="s">
        <v>40</v>
      </c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17"/>
      <c r="X391" s="36">
        <f t="shared" si="18"/>
        <v>0</v>
      </c>
      <c r="Y391" s="36">
        <f>BASE!A395</f>
        <v>380</v>
      </c>
      <c r="Z391" s="46">
        <f t="shared" si="19"/>
        <v>0</v>
      </c>
      <c r="AA391" s="46">
        <f t="shared" si="20"/>
        <v>0</v>
      </c>
      <c r="AB391" s="46">
        <f t="shared" si="21"/>
        <v>0</v>
      </c>
      <c r="AC391" s="46">
        <f t="shared" si="22"/>
        <v>0</v>
      </c>
      <c r="AD391" s="46">
        <f t="shared" si="23"/>
        <v>0</v>
      </c>
    </row>
    <row r="392" spans="1:30" ht="17.25" customHeight="1">
      <c r="A392" s="110" t="s">
        <v>942</v>
      </c>
      <c r="B392" s="106" t="s">
        <v>40</v>
      </c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17"/>
      <c r="X392" s="36">
        <f t="shared" si="18"/>
        <v>0</v>
      </c>
      <c r="Y392" s="36">
        <f>BASE!A396</f>
        <v>381</v>
      </c>
      <c r="Z392" s="46">
        <f t="shared" si="19"/>
        <v>0</v>
      </c>
      <c r="AA392" s="46">
        <f t="shared" si="20"/>
        <v>0</v>
      </c>
      <c r="AB392" s="46">
        <f t="shared" si="21"/>
        <v>0</v>
      </c>
      <c r="AC392" s="46">
        <f t="shared" si="22"/>
        <v>0</v>
      </c>
      <c r="AD392" s="46">
        <f t="shared" si="23"/>
        <v>0</v>
      </c>
    </row>
    <row r="393" spans="1:30" ht="17.25" customHeight="1">
      <c r="A393" s="110" t="s">
        <v>943</v>
      </c>
      <c r="B393" s="106" t="s">
        <v>40</v>
      </c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17"/>
      <c r="X393" s="36">
        <f t="shared" si="18"/>
        <v>0</v>
      </c>
      <c r="Y393" s="36">
        <f>BASE!A397</f>
        <v>382</v>
      </c>
      <c r="Z393" s="46">
        <f t="shared" si="19"/>
        <v>0</v>
      </c>
      <c r="AA393" s="46">
        <f t="shared" si="20"/>
        <v>0</v>
      </c>
      <c r="AB393" s="46">
        <f t="shared" si="21"/>
        <v>0</v>
      </c>
      <c r="AC393" s="46">
        <f t="shared" si="22"/>
        <v>0</v>
      </c>
      <c r="AD393" s="46">
        <f t="shared" si="23"/>
        <v>0</v>
      </c>
    </row>
    <row r="394" spans="1:30" ht="17.25" customHeight="1">
      <c r="A394" s="110" t="s">
        <v>944</v>
      </c>
      <c r="B394" s="106" t="s">
        <v>40</v>
      </c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17"/>
      <c r="X394" s="36">
        <f t="shared" si="18"/>
        <v>0</v>
      </c>
      <c r="Y394" s="36">
        <f>BASE!A398</f>
        <v>383</v>
      </c>
      <c r="Z394" s="46">
        <f t="shared" si="19"/>
        <v>0</v>
      </c>
      <c r="AA394" s="46">
        <f t="shared" si="20"/>
        <v>0</v>
      </c>
      <c r="AB394" s="46">
        <f t="shared" si="21"/>
        <v>0</v>
      </c>
      <c r="AC394" s="46">
        <f t="shared" si="22"/>
        <v>0</v>
      </c>
      <c r="AD394" s="46">
        <f t="shared" si="23"/>
        <v>0</v>
      </c>
    </row>
    <row r="395" spans="1:30" ht="17.25" customHeight="1">
      <c r="A395" s="110" t="s">
        <v>945</v>
      </c>
      <c r="B395" s="106" t="s">
        <v>40</v>
      </c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17"/>
      <c r="X395" s="36">
        <f t="shared" si="18"/>
        <v>0</v>
      </c>
      <c r="Y395" s="36">
        <f>BASE!A399</f>
        <v>384</v>
      </c>
      <c r="Z395" s="46">
        <f t="shared" si="19"/>
        <v>0</v>
      </c>
      <c r="AA395" s="46">
        <f t="shared" si="20"/>
        <v>0</v>
      </c>
      <c r="AB395" s="46">
        <f t="shared" si="21"/>
        <v>0</v>
      </c>
      <c r="AC395" s="46">
        <f t="shared" si="22"/>
        <v>0</v>
      </c>
      <c r="AD395" s="46">
        <f t="shared" si="23"/>
        <v>0</v>
      </c>
    </row>
    <row r="396" spans="1:30" ht="17.25" customHeight="1">
      <c r="A396" s="110" t="s">
        <v>946</v>
      </c>
      <c r="B396" s="106" t="s">
        <v>40</v>
      </c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17"/>
      <c r="X396" s="36">
        <f t="shared" si="18"/>
        <v>0</v>
      </c>
      <c r="Y396" s="36">
        <f>BASE!A400</f>
        <v>385</v>
      </c>
      <c r="Z396" s="46">
        <f t="shared" si="19"/>
        <v>0</v>
      </c>
      <c r="AA396" s="46">
        <f t="shared" si="20"/>
        <v>0</v>
      </c>
      <c r="AB396" s="46">
        <f t="shared" si="21"/>
        <v>0</v>
      </c>
      <c r="AC396" s="46">
        <f t="shared" si="22"/>
        <v>0</v>
      </c>
      <c r="AD396" s="46">
        <f t="shared" si="23"/>
        <v>0</v>
      </c>
    </row>
    <row r="397" spans="1:30" ht="17.25" customHeight="1">
      <c r="A397" s="110" t="s">
        <v>947</v>
      </c>
      <c r="B397" s="106" t="s">
        <v>40</v>
      </c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17"/>
      <c r="X397" s="36">
        <f t="shared" si="18"/>
        <v>0</v>
      </c>
      <c r="Y397" s="36">
        <f>BASE!A401</f>
        <v>386</v>
      </c>
      <c r="Z397" s="46">
        <f t="shared" si="19"/>
        <v>0</v>
      </c>
      <c r="AA397" s="46">
        <f t="shared" si="20"/>
        <v>0</v>
      </c>
      <c r="AB397" s="46">
        <f t="shared" si="21"/>
        <v>0</v>
      </c>
      <c r="AC397" s="46">
        <f t="shared" si="22"/>
        <v>0</v>
      </c>
      <c r="AD397" s="46">
        <f t="shared" si="23"/>
        <v>0</v>
      </c>
    </row>
    <row r="398" spans="1:30" ht="17.25" customHeight="1">
      <c r="A398" s="110" t="s">
        <v>948</v>
      </c>
      <c r="B398" s="106" t="s">
        <v>40</v>
      </c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17"/>
      <c r="X398" s="36">
        <f t="shared" si="18"/>
        <v>0</v>
      </c>
      <c r="Y398" s="36">
        <f>BASE!A402</f>
        <v>387</v>
      </c>
      <c r="Z398" s="46">
        <f t="shared" si="19"/>
        <v>0</v>
      </c>
      <c r="AA398" s="46">
        <f t="shared" si="20"/>
        <v>0</v>
      </c>
      <c r="AB398" s="46">
        <f t="shared" si="21"/>
        <v>0</v>
      </c>
      <c r="AC398" s="46">
        <f t="shared" si="22"/>
        <v>0</v>
      </c>
      <c r="AD398" s="46">
        <f t="shared" si="23"/>
        <v>0</v>
      </c>
    </row>
    <row r="399" spans="1:30" ht="17.25" customHeight="1">
      <c r="A399" s="110" t="s">
        <v>949</v>
      </c>
      <c r="B399" s="106" t="s">
        <v>40</v>
      </c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17"/>
      <c r="X399" s="36">
        <f t="shared" si="18"/>
        <v>0</v>
      </c>
      <c r="Y399" s="36">
        <f>BASE!A403</f>
        <v>388</v>
      </c>
      <c r="Z399" s="46">
        <f t="shared" si="19"/>
        <v>0</v>
      </c>
      <c r="AA399" s="46">
        <f t="shared" si="20"/>
        <v>0</v>
      </c>
      <c r="AB399" s="46">
        <f t="shared" si="21"/>
        <v>0</v>
      </c>
      <c r="AC399" s="46">
        <f t="shared" si="22"/>
        <v>0</v>
      </c>
      <c r="AD399" s="46">
        <f t="shared" si="23"/>
        <v>0</v>
      </c>
    </row>
    <row r="400" spans="1:30" ht="17.25" customHeight="1">
      <c r="A400" s="110" t="s">
        <v>950</v>
      </c>
      <c r="B400" s="106" t="s">
        <v>40</v>
      </c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17"/>
      <c r="X400" s="36">
        <f t="shared" si="18"/>
        <v>0</v>
      </c>
      <c r="Y400" s="36">
        <f>BASE!A404</f>
        <v>389</v>
      </c>
      <c r="Z400" s="46">
        <f t="shared" si="19"/>
        <v>0</v>
      </c>
      <c r="AA400" s="46">
        <f t="shared" si="20"/>
        <v>0</v>
      </c>
      <c r="AB400" s="46">
        <f t="shared" si="21"/>
        <v>0</v>
      </c>
      <c r="AC400" s="46">
        <f t="shared" si="22"/>
        <v>0</v>
      </c>
      <c r="AD400" s="46">
        <f t="shared" si="23"/>
        <v>0</v>
      </c>
    </row>
    <row r="401" spans="1:30" ht="17.25" customHeight="1">
      <c r="A401" s="110" t="s">
        <v>951</v>
      </c>
      <c r="B401" s="106" t="s">
        <v>40</v>
      </c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17"/>
      <c r="X401" s="36">
        <f t="shared" si="18"/>
        <v>0</v>
      </c>
      <c r="Y401" s="36">
        <f>BASE!A405</f>
        <v>390</v>
      </c>
      <c r="Z401" s="46">
        <f t="shared" si="19"/>
        <v>0</v>
      </c>
      <c r="AA401" s="46">
        <f t="shared" si="20"/>
        <v>0</v>
      </c>
      <c r="AB401" s="46">
        <f t="shared" si="21"/>
        <v>0</v>
      </c>
      <c r="AC401" s="46">
        <f t="shared" si="22"/>
        <v>0</v>
      </c>
      <c r="AD401" s="46">
        <f t="shared" si="23"/>
        <v>0</v>
      </c>
    </row>
    <row r="402" spans="1:30" ht="17.25" customHeight="1">
      <c r="A402" s="110" t="s">
        <v>952</v>
      </c>
      <c r="B402" s="106" t="s">
        <v>40</v>
      </c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17"/>
      <c r="X402" s="36">
        <f t="shared" si="18"/>
        <v>0</v>
      </c>
      <c r="Y402" s="36">
        <f>BASE!A406</f>
        <v>391</v>
      </c>
      <c r="Z402" s="46">
        <f t="shared" si="19"/>
        <v>0</v>
      </c>
      <c r="AA402" s="46">
        <f t="shared" si="20"/>
        <v>0</v>
      </c>
      <c r="AB402" s="46">
        <f t="shared" si="21"/>
        <v>0</v>
      </c>
      <c r="AC402" s="46">
        <f t="shared" si="22"/>
        <v>0</v>
      </c>
      <c r="AD402" s="46">
        <f t="shared" si="23"/>
        <v>0</v>
      </c>
    </row>
    <row r="403" spans="1:30" ht="17.25" customHeight="1">
      <c r="A403" s="110" t="s">
        <v>953</v>
      </c>
      <c r="B403" s="106" t="s">
        <v>40</v>
      </c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17"/>
      <c r="X403" s="36">
        <f t="shared" si="18"/>
        <v>0</v>
      </c>
      <c r="Y403" s="36">
        <f>BASE!A407</f>
        <v>392</v>
      </c>
      <c r="Z403" s="46">
        <f t="shared" si="19"/>
        <v>0</v>
      </c>
      <c r="AA403" s="46">
        <f t="shared" si="20"/>
        <v>0</v>
      </c>
      <c r="AB403" s="46">
        <f t="shared" si="21"/>
        <v>0</v>
      </c>
      <c r="AC403" s="46">
        <f t="shared" si="22"/>
        <v>0</v>
      </c>
      <c r="AD403" s="46">
        <f t="shared" si="23"/>
        <v>0</v>
      </c>
    </row>
    <row r="404" spans="1:30" ht="17.25" customHeight="1">
      <c r="A404" s="110" t="s">
        <v>954</v>
      </c>
      <c r="B404" s="106" t="s">
        <v>40</v>
      </c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17"/>
      <c r="X404" s="36">
        <f t="shared" si="18"/>
        <v>0</v>
      </c>
      <c r="Y404" s="36">
        <f>BASE!A408</f>
        <v>393</v>
      </c>
      <c r="Z404" s="46">
        <f t="shared" si="19"/>
        <v>0</v>
      </c>
      <c r="AA404" s="46">
        <f t="shared" si="20"/>
        <v>0</v>
      </c>
      <c r="AB404" s="46">
        <f t="shared" si="21"/>
        <v>0</v>
      </c>
      <c r="AC404" s="46">
        <f t="shared" si="22"/>
        <v>0</v>
      </c>
      <c r="AD404" s="46">
        <f t="shared" si="23"/>
        <v>0</v>
      </c>
    </row>
    <row r="405" spans="1:30" ht="17.25" customHeight="1">
      <c r="A405" s="110" t="s">
        <v>955</v>
      </c>
      <c r="B405" s="106" t="s">
        <v>40</v>
      </c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17"/>
      <c r="X405" s="36">
        <f t="shared" si="18"/>
        <v>0</v>
      </c>
      <c r="Y405" s="36">
        <f>BASE!A409</f>
        <v>394</v>
      </c>
      <c r="Z405" s="46">
        <f t="shared" si="19"/>
        <v>0</v>
      </c>
      <c r="AA405" s="46">
        <f t="shared" si="20"/>
        <v>0</v>
      </c>
      <c r="AB405" s="46">
        <f t="shared" si="21"/>
        <v>0</v>
      </c>
      <c r="AC405" s="46">
        <f t="shared" si="22"/>
        <v>0</v>
      </c>
      <c r="AD405" s="46">
        <f t="shared" si="23"/>
        <v>0</v>
      </c>
    </row>
    <row r="406" spans="1:30" ht="17.25" customHeight="1">
      <c r="A406" s="110" t="s">
        <v>956</v>
      </c>
      <c r="B406" s="106" t="s">
        <v>40</v>
      </c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17"/>
      <c r="X406" s="36">
        <f t="shared" si="18"/>
        <v>0</v>
      </c>
      <c r="Y406" s="36">
        <f>BASE!A410</f>
        <v>395</v>
      </c>
      <c r="Z406" s="46">
        <f t="shared" si="19"/>
        <v>0</v>
      </c>
      <c r="AA406" s="46">
        <f t="shared" si="20"/>
        <v>0</v>
      </c>
      <c r="AB406" s="46">
        <f t="shared" si="21"/>
        <v>0</v>
      </c>
      <c r="AC406" s="46">
        <f t="shared" si="22"/>
        <v>0</v>
      </c>
      <c r="AD406" s="46">
        <f t="shared" si="23"/>
        <v>0</v>
      </c>
    </row>
    <row r="407" spans="1:30" ht="17.25" customHeight="1">
      <c r="A407" s="110" t="s">
        <v>957</v>
      </c>
      <c r="B407" s="106" t="s">
        <v>40</v>
      </c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17"/>
      <c r="X407" s="36">
        <f t="shared" si="18"/>
        <v>0</v>
      </c>
      <c r="Y407" s="36">
        <f>BASE!A411</f>
        <v>396</v>
      </c>
      <c r="Z407" s="46">
        <f t="shared" si="19"/>
        <v>0</v>
      </c>
      <c r="AA407" s="46">
        <f t="shared" si="20"/>
        <v>0</v>
      </c>
      <c r="AB407" s="46">
        <f t="shared" si="21"/>
        <v>0</v>
      </c>
      <c r="AC407" s="46">
        <f t="shared" si="22"/>
        <v>0</v>
      </c>
      <c r="AD407" s="46">
        <f t="shared" si="23"/>
        <v>0</v>
      </c>
    </row>
    <row r="408" spans="1:30" ht="17.25" customHeight="1">
      <c r="A408" s="110" t="s">
        <v>958</v>
      </c>
      <c r="B408" s="106" t="s">
        <v>40</v>
      </c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17"/>
      <c r="X408" s="36">
        <f t="shared" si="18"/>
        <v>0</v>
      </c>
      <c r="Y408" s="36">
        <f>BASE!A412</f>
        <v>397</v>
      </c>
      <c r="Z408" s="46">
        <f t="shared" si="19"/>
        <v>0</v>
      </c>
      <c r="AA408" s="46">
        <f t="shared" si="20"/>
        <v>0</v>
      </c>
      <c r="AB408" s="46">
        <f t="shared" si="21"/>
        <v>0</v>
      </c>
      <c r="AC408" s="46">
        <f t="shared" si="22"/>
        <v>0</v>
      </c>
      <c r="AD408" s="46">
        <f t="shared" si="23"/>
        <v>0</v>
      </c>
    </row>
    <row r="409" spans="1:30" ht="17.25" customHeight="1">
      <c r="A409" s="110" t="s">
        <v>959</v>
      </c>
      <c r="B409" s="106" t="s">
        <v>40</v>
      </c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17"/>
      <c r="X409" s="36">
        <f t="shared" si="18"/>
        <v>0</v>
      </c>
      <c r="Y409" s="36">
        <f>BASE!A413</f>
        <v>398</v>
      </c>
      <c r="Z409" s="46">
        <f t="shared" si="19"/>
        <v>0</v>
      </c>
      <c r="AA409" s="46">
        <f t="shared" si="20"/>
        <v>0</v>
      </c>
      <c r="AB409" s="46">
        <f t="shared" si="21"/>
        <v>0</v>
      </c>
      <c r="AC409" s="46">
        <f t="shared" si="22"/>
        <v>0</v>
      </c>
      <c r="AD409" s="46">
        <f t="shared" si="23"/>
        <v>0</v>
      </c>
    </row>
    <row r="410" spans="1:30" ht="17.25" customHeight="1">
      <c r="A410" s="110" t="s">
        <v>960</v>
      </c>
      <c r="B410" s="106" t="s">
        <v>40</v>
      </c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17"/>
      <c r="X410" s="36">
        <f t="shared" si="18"/>
        <v>0</v>
      </c>
      <c r="Y410" s="36">
        <f>BASE!A414</f>
        <v>399</v>
      </c>
      <c r="Z410" s="46">
        <f t="shared" si="19"/>
        <v>0</v>
      </c>
      <c r="AA410" s="46">
        <f t="shared" si="20"/>
        <v>0</v>
      </c>
      <c r="AB410" s="46">
        <f t="shared" si="21"/>
        <v>0</v>
      </c>
      <c r="AC410" s="46">
        <f t="shared" si="22"/>
        <v>0</v>
      </c>
      <c r="AD410" s="46">
        <f t="shared" si="23"/>
        <v>0</v>
      </c>
    </row>
    <row r="411" spans="1:30" ht="17.25" customHeight="1">
      <c r="A411" s="110" t="s">
        <v>961</v>
      </c>
      <c r="B411" s="106" t="s">
        <v>40</v>
      </c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17"/>
      <c r="X411" s="36">
        <f t="shared" si="18"/>
        <v>0</v>
      </c>
      <c r="Y411" s="36">
        <f>BASE!A415</f>
        <v>400</v>
      </c>
      <c r="Z411" s="46">
        <f t="shared" si="19"/>
        <v>0</v>
      </c>
      <c r="AA411" s="46">
        <f t="shared" si="20"/>
        <v>0</v>
      </c>
      <c r="AB411" s="46">
        <f t="shared" si="21"/>
        <v>0</v>
      </c>
      <c r="AC411" s="46">
        <f t="shared" si="22"/>
        <v>0</v>
      </c>
      <c r="AD411" s="46">
        <f t="shared" si="23"/>
        <v>0</v>
      </c>
    </row>
    <row r="412" spans="1:30" ht="17.25" customHeight="1">
      <c r="A412" s="110" t="s">
        <v>962</v>
      </c>
      <c r="B412" s="106" t="s">
        <v>40</v>
      </c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17"/>
      <c r="X412" s="36">
        <f t="shared" si="18"/>
        <v>0</v>
      </c>
      <c r="Y412" s="36">
        <f>BASE!A416</f>
        <v>401</v>
      </c>
      <c r="Z412" s="46">
        <f t="shared" si="19"/>
        <v>0</v>
      </c>
      <c r="AA412" s="46">
        <f t="shared" si="20"/>
        <v>0</v>
      </c>
      <c r="AB412" s="46">
        <f t="shared" si="21"/>
        <v>0</v>
      </c>
      <c r="AC412" s="46">
        <f t="shared" si="22"/>
        <v>0</v>
      </c>
      <c r="AD412" s="46">
        <f t="shared" si="23"/>
        <v>0</v>
      </c>
    </row>
    <row r="413" spans="1:30" ht="17.25" customHeight="1">
      <c r="A413" s="110" t="s">
        <v>963</v>
      </c>
      <c r="B413" s="106" t="s">
        <v>40</v>
      </c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17"/>
      <c r="X413" s="36">
        <f t="shared" si="18"/>
        <v>0</v>
      </c>
      <c r="Y413" s="36">
        <f>BASE!A417</f>
        <v>402</v>
      </c>
      <c r="Z413" s="46">
        <f t="shared" si="19"/>
        <v>0</v>
      </c>
      <c r="AA413" s="46">
        <f t="shared" si="20"/>
        <v>0</v>
      </c>
      <c r="AB413" s="46">
        <f t="shared" si="21"/>
        <v>0</v>
      </c>
      <c r="AC413" s="46">
        <f t="shared" si="22"/>
        <v>0</v>
      </c>
      <c r="AD413" s="46">
        <f t="shared" si="23"/>
        <v>0</v>
      </c>
    </row>
    <row r="414" spans="1:30" ht="17.25" customHeight="1">
      <c r="A414" s="110" t="s">
        <v>964</v>
      </c>
      <c r="B414" s="106" t="s">
        <v>40</v>
      </c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17"/>
      <c r="X414" s="36">
        <f t="shared" si="18"/>
        <v>0</v>
      </c>
      <c r="Y414" s="36">
        <f>BASE!A418</f>
        <v>403</v>
      </c>
      <c r="Z414" s="46">
        <f t="shared" si="19"/>
        <v>0</v>
      </c>
      <c r="AA414" s="46">
        <f t="shared" si="20"/>
        <v>0</v>
      </c>
      <c r="AB414" s="46">
        <f t="shared" si="21"/>
        <v>0</v>
      </c>
      <c r="AC414" s="46">
        <f t="shared" si="22"/>
        <v>0</v>
      </c>
      <c r="AD414" s="46">
        <f t="shared" si="23"/>
        <v>0</v>
      </c>
    </row>
    <row r="415" spans="1:30" ht="17.25" customHeight="1">
      <c r="A415" s="110" t="s">
        <v>965</v>
      </c>
      <c r="B415" s="106" t="s">
        <v>40</v>
      </c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17"/>
      <c r="X415" s="36">
        <f t="shared" si="18"/>
        <v>0</v>
      </c>
      <c r="Y415" s="36">
        <f>BASE!A419</f>
        <v>404</v>
      </c>
      <c r="Z415" s="46">
        <f t="shared" si="19"/>
        <v>0</v>
      </c>
      <c r="AA415" s="46">
        <f t="shared" si="20"/>
        <v>0</v>
      </c>
      <c r="AB415" s="46">
        <f t="shared" si="21"/>
        <v>0</v>
      </c>
      <c r="AC415" s="46">
        <f t="shared" si="22"/>
        <v>0</v>
      </c>
      <c r="AD415" s="46">
        <f t="shared" si="23"/>
        <v>0</v>
      </c>
    </row>
    <row r="416" spans="1:30" ht="17.25" customHeight="1">
      <c r="A416" s="110" t="s">
        <v>966</v>
      </c>
      <c r="B416" s="106" t="s">
        <v>40</v>
      </c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17"/>
      <c r="X416" s="36">
        <f t="shared" si="18"/>
        <v>0</v>
      </c>
      <c r="Y416" s="36">
        <f>BASE!A420</f>
        <v>405</v>
      </c>
      <c r="Z416" s="46">
        <f t="shared" si="19"/>
        <v>0</v>
      </c>
      <c r="AA416" s="46">
        <f t="shared" si="20"/>
        <v>0</v>
      </c>
      <c r="AB416" s="46">
        <f t="shared" si="21"/>
        <v>0</v>
      </c>
      <c r="AC416" s="46">
        <f t="shared" si="22"/>
        <v>0</v>
      </c>
      <c r="AD416" s="46">
        <f t="shared" si="23"/>
        <v>0</v>
      </c>
    </row>
    <row r="417" spans="1:30" ht="17.25" customHeight="1">
      <c r="A417" s="110" t="s">
        <v>967</v>
      </c>
      <c r="B417" s="106" t="s">
        <v>40</v>
      </c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17"/>
      <c r="X417" s="36">
        <f t="shared" si="18"/>
        <v>0</v>
      </c>
      <c r="Y417" s="36">
        <f>BASE!A421</f>
        <v>406</v>
      </c>
      <c r="Z417" s="46">
        <f t="shared" si="19"/>
        <v>0</v>
      </c>
      <c r="AA417" s="46">
        <f t="shared" si="20"/>
        <v>0</v>
      </c>
      <c r="AB417" s="46">
        <f t="shared" si="21"/>
        <v>0</v>
      </c>
      <c r="AC417" s="46">
        <f t="shared" si="22"/>
        <v>0</v>
      </c>
      <c r="AD417" s="46">
        <f t="shared" si="23"/>
        <v>0</v>
      </c>
    </row>
    <row r="418" spans="1:30" ht="17.25" customHeight="1">
      <c r="A418" s="110" t="s">
        <v>968</v>
      </c>
      <c r="B418" s="106" t="s">
        <v>40</v>
      </c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17"/>
      <c r="X418" s="36">
        <f t="shared" si="18"/>
        <v>0</v>
      </c>
      <c r="Y418" s="36">
        <f>BASE!A422</f>
        <v>407</v>
      </c>
      <c r="Z418" s="46">
        <f t="shared" si="19"/>
        <v>0</v>
      </c>
      <c r="AA418" s="46">
        <f t="shared" si="20"/>
        <v>0</v>
      </c>
      <c r="AB418" s="46">
        <f t="shared" si="21"/>
        <v>0</v>
      </c>
      <c r="AC418" s="46">
        <f t="shared" si="22"/>
        <v>0</v>
      </c>
      <c r="AD418" s="46">
        <f t="shared" si="23"/>
        <v>0</v>
      </c>
    </row>
    <row r="419" spans="1:30" ht="17.25" customHeight="1">
      <c r="A419" s="110" t="s">
        <v>969</v>
      </c>
      <c r="B419" s="106" t="s">
        <v>40</v>
      </c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17"/>
      <c r="X419" s="36">
        <f t="shared" si="18"/>
        <v>0</v>
      </c>
      <c r="Y419" s="36">
        <f>BASE!A423</f>
        <v>408</v>
      </c>
      <c r="Z419" s="46">
        <f t="shared" si="19"/>
        <v>0</v>
      </c>
      <c r="AA419" s="46">
        <f t="shared" si="20"/>
        <v>0</v>
      </c>
      <c r="AB419" s="46">
        <f t="shared" si="21"/>
        <v>0</v>
      </c>
      <c r="AC419" s="46">
        <f t="shared" si="22"/>
        <v>0</v>
      </c>
      <c r="AD419" s="46">
        <f t="shared" si="23"/>
        <v>0</v>
      </c>
    </row>
    <row r="420" spans="1:30" ht="17.25" customHeight="1">
      <c r="A420" s="110" t="s">
        <v>970</v>
      </c>
      <c r="B420" s="106" t="s">
        <v>40</v>
      </c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17"/>
      <c r="X420" s="36">
        <f t="shared" si="18"/>
        <v>0</v>
      </c>
      <c r="Y420" s="36">
        <f>BASE!A424</f>
        <v>409</v>
      </c>
      <c r="Z420" s="46">
        <f t="shared" si="19"/>
        <v>0</v>
      </c>
      <c r="AA420" s="46">
        <f t="shared" si="20"/>
        <v>0</v>
      </c>
      <c r="AB420" s="46">
        <f t="shared" si="21"/>
        <v>0</v>
      </c>
      <c r="AC420" s="46">
        <f t="shared" si="22"/>
        <v>0</v>
      </c>
      <c r="AD420" s="46">
        <f t="shared" si="23"/>
        <v>0</v>
      </c>
    </row>
    <row r="421" spans="1:30" ht="17.25" customHeight="1">
      <c r="A421" s="110" t="s">
        <v>971</v>
      </c>
      <c r="B421" s="106" t="s">
        <v>40</v>
      </c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17"/>
      <c r="X421" s="36">
        <f t="shared" si="18"/>
        <v>0</v>
      </c>
      <c r="Y421" s="36">
        <f>BASE!A425</f>
        <v>410</v>
      </c>
      <c r="Z421" s="46">
        <f t="shared" si="19"/>
        <v>0</v>
      </c>
      <c r="AA421" s="46">
        <f t="shared" si="20"/>
        <v>0</v>
      </c>
      <c r="AB421" s="46">
        <f t="shared" si="21"/>
        <v>0</v>
      </c>
      <c r="AC421" s="46">
        <f t="shared" si="22"/>
        <v>0</v>
      </c>
      <c r="AD421" s="46">
        <f t="shared" si="23"/>
        <v>0</v>
      </c>
    </row>
    <row r="422" spans="1:30" ht="17.25" customHeight="1">
      <c r="A422" s="110" t="s">
        <v>972</v>
      </c>
      <c r="B422" s="106" t="s">
        <v>40</v>
      </c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17"/>
      <c r="X422" s="36">
        <f t="shared" si="18"/>
        <v>0</v>
      </c>
      <c r="Y422" s="36">
        <f>BASE!A426</f>
        <v>411</v>
      </c>
      <c r="Z422" s="46">
        <f t="shared" si="19"/>
        <v>0</v>
      </c>
      <c r="AA422" s="46">
        <f t="shared" si="20"/>
        <v>0</v>
      </c>
      <c r="AB422" s="46">
        <f t="shared" si="21"/>
        <v>0</v>
      </c>
      <c r="AC422" s="46">
        <f t="shared" si="22"/>
        <v>0</v>
      </c>
      <c r="AD422" s="46">
        <f t="shared" si="23"/>
        <v>0</v>
      </c>
    </row>
    <row r="423" spans="1:30" ht="17.25" customHeight="1">
      <c r="A423" s="110" t="s">
        <v>973</v>
      </c>
      <c r="B423" s="106" t="s">
        <v>40</v>
      </c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17"/>
      <c r="X423" s="36">
        <f t="shared" si="18"/>
        <v>0</v>
      </c>
      <c r="Y423" s="36">
        <f>BASE!A427</f>
        <v>412</v>
      </c>
      <c r="Z423" s="46">
        <f t="shared" si="19"/>
        <v>0</v>
      </c>
      <c r="AA423" s="46">
        <f t="shared" si="20"/>
        <v>0</v>
      </c>
      <c r="AB423" s="46">
        <f t="shared" si="21"/>
        <v>0</v>
      </c>
      <c r="AC423" s="46">
        <f t="shared" si="22"/>
        <v>0</v>
      </c>
      <c r="AD423" s="46">
        <f t="shared" si="23"/>
        <v>0</v>
      </c>
    </row>
    <row r="424" spans="1:30" ht="17.25" customHeight="1">
      <c r="A424" s="110" t="s">
        <v>974</v>
      </c>
      <c r="B424" s="106" t="s">
        <v>40</v>
      </c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17"/>
      <c r="X424" s="36">
        <f t="shared" si="18"/>
        <v>0</v>
      </c>
      <c r="Y424" s="36">
        <f>BASE!A428</f>
        <v>413</v>
      </c>
      <c r="Z424" s="46">
        <f t="shared" si="19"/>
        <v>0</v>
      </c>
      <c r="AA424" s="46">
        <f t="shared" si="20"/>
        <v>0</v>
      </c>
      <c r="AB424" s="46">
        <f t="shared" si="21"/>
        <v>0</v>
      </c>
      <c r="AC424" s="46">
        <f t="shared" si="22"/>
        <v>0</v>
      </c>
      <c r="AD424" s="46">
        <f t="shared" si="23"/>
        <v>0</v>
      </c>
    </row>
    <row r="425" spans="1:30" ht="17.25" customHeight="1">
      <c r="A425" s="110" t="s">
        <v>975</v>
      </c>
      <c r="B425" s="106" t="s">
        <v>40</v>
      </c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17"/>
      <c r="X425" s="36">
        <f t="shared" si="18"/>
        <v>0</v>
      </c>
      <c r="Y425" s="36">
        <f>BASE!A429</f>
        <v>414</v>
      </c>
      <c r="Z425" s="46">
        <f t="shared" si="19"/>
        <v>0</v>
      </c>
      <c r="AA425" s="46">
        <f t="shared" si="20"/>
        <v>0</v>
      </c>
      <c r="AB425" s="46">
        <f t="shared" si="21"/>
        <v>0</v>
      </c>
      <c r="AC425" s="46">
        <f t="shared" si="22"/>
        <v>0</v>
      </c>
      <c r="AD425" s="46">
        <f t="shared" si="23"/>
        <v>0</v>
      </c>
    </row>
    <row r="426" spans="1:30" ht="17.25" customHeight="1">
      <c r="A426" s="110" t="s">
        <v>976</v>
      </c>
      <c r="B426" s="106" t="s">
        <v>40</v>
      </c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17"/>
      <c r="X426" s="36">
        <f t="shared" si="18"/>
        <v>0</v>
      </c>
      <c r="Y426" s="36">
        <f>BASE!A430</f>
        <v>415</v>
      </c>
      <c r="Z426" s="46">
        <f t="shared" si="19"/>
        <v>0</v>
      </c>
      <c r="AA426" s="46">
        <f t="shared" si="20"/>
        <v>0</v>
      </c>
      <c r="AB426" s="46">
        <f t="shared" si="21"/>
        <v>0</v>
      </c>
      <c r="AC426" s="46">
        <f t="shared" si="22"/>
        <v>0</v>
      </c>
      <c r="AD426" s="46">
        <f t="shared" si="23"/>
        <v>0</v>
      </c>
    </row>
    <row r="427" spans="1:30" ht="17.25" customHeight="1">
      <c r="A427" s="110" t="s">
        <v>977</v>
      </c>
      <c r="B427" s="106" t="s">
        <v>40</v>
      </c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17"/>
      <c r="X427" s="36">
        <f t="shared" si="18"/>
        <v>0</v>
      </c>
      <c r="Y427" s="36">
        <f>BASE!A431</f>
        <v>416</v>
      </c>
      <c r="Z427" s="46">
        <f t="shared" si="19"/>
        <v>0</v>
      </c>
      <c r="AA427" s="46">
        <f t="shared" si="20"/>
        <v>0</v>
      </c>
      <c r="AB427" s="46">
        <f t="shared" si="21"/>
        <v>0</v>
      </c>
      <c r="AC427" s="46">
        <f t="shared" si="22"/>
        <v>0</v>
      </c>
      <c r="AD427" s="46">
        <f t="shared" si="23"/>
        <v>0</v>
      </c>
    </row>
    <row r="428" spans="1:30" ht="17.25" customHeight="1">
      <c r="A428" s="110" t="s">
        <v>978</v>
      </c>
      <c r="B428" s="106" t="s">
        <v>40</v>
      </c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17"/>
      <c r="X428" s="36">
        <f t="shared" si="18"/>
        <v>0</v>
      </c>
      <c r="Y428" s="36">
        <f>BASE!A432</f>
        <v>417</v>
      </c>
      <c r="Z428" s="46">
        <f t="shared" si="19"/>
        <v>0</v>
      </c>
      <c r="AA428" s="46">
        <f t="shared" si="20"/>
        <v>0</v>
      </c>
      <c r="AB428" s="46">
        <f t="shared" si="21"/>
        <v>0</v>
      </c>
      <c r="AC428" s="46">
        <f t="shared" si="22"/>
        <v>0</v>
      </c>
      <c r="AD428" s="46">
        <f t="shared" si="23"/>
        <v>0</v>
      </c>
    </row>
    <row r="429" spans="1:30" ht="17.25" customHeight="1">
      <c r="A429" s="110" t="s">
        <v>979</v>
      </c>
      <c r="B429" s="106" t="s">
        <v>40</v>
      </c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17"/>
      <c r="X429" s="36">
        <f t="shared" si="18"/>
        <v>0</v>
      </c>
      <c r="Y429" s="36">
        <f>BASE!A433</f>
        <v>418</v>
      </c>
      <c r="Z429" s="46">
        <f t="shared" si="19"/>
        <v>0</v>
      </c>
      <c r="AA429" s="46">
        <f t="shared" si="20"/>
        <v>0</v>
      </c>
      <c r="AB429" s="46">
        <f t="shared" si="21"/>
        <v>0</v>
      </c>
      <c r="AC429" s="46">
        <f t="shared" si="22"/>
        <v>0</v>
      </c>
      <c r="AD429" s="46">
        <f t="shared" si="23"/>
        <v>0</v>
      </c>
    </row>
    <row r="430" spans="1:30" ht="17.25" customHeight="1">
      <c r="A430" s="110" t="s">
        <v>980</v>
      </c>
      <c r="B430" s="106" t="s">
        <v>40</v>
      </c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17"/>
      <c r="X430" s="36">
        <f t="shared" si="18"/>
        <v>0</v>
      </c>
      <c r="Y430" s="36">
        <f>BASE!A434</f>
        <v>419</v>
      </c>
      <c r="Z430" s="46">
        <f t="shared" si="19"/>
        <v>0</v>
      </c>
      <c r="AA430" s="46">
        <f t="shared" si="20"/>
        <v>0</v>
      </c>
      <c r="AB430" s="46">
        <f t="shared" si="21"/>
        <v>0</v>
      </c>
      <c r="AC430" s="46">
        <f t="shared" si="22"/>
        <v>0</v>
      </c>
      <c r="AD430" s="46">
        <f t="shared" si="23"/>
        <v>0</v>
      </c>
    </row>
    <row r="431" spans="1:30" ht="17.25" customHeight="1">
      <c r="A431" s="110" t="s">
        <v>981</v>
      </c>
      <c r="B431" s="106" t="s">
        <v>40</v>
      </c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17"/>
      <c r="X431" s="36">
        <f t="shared" si="18"/>
        <v>0</v>
      </c>
      <c r="Y431" s="36">
        <f>BASE!A435</f>
        <v>420</v>
      </c>
      <c r="Z431" s="46">
        <f t="shared" si="19"/>
        <v>0</v>
      </c>
      <c r="AA431" s="46">
        <f t="shared" si="20"/>
        <v>0</v>
      </c>
      <c r="AB431" s="46">
        <f t="shared" si="21"/>
        <v>0</v>
      </c>
      <c r="AC431" s="46">
        <f t="shared" si="22"/>
        <v>0</v>
      </c>
      <c r="AD431" s="46">
        <f t="shared" si="23"/>
        <v>0</v>
      </c>
    </row>
    <row r="432" spans="1:30" ht="17.25" customHeight="1">
      <c r="A432" s="110" t="s">
        <v>982</v>
      </c>
      <c r="B432" s="106" t="s">
        <v>40</v>
      </c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17"/>
      <c r="X432" s="36">
        <f t="shared" si="18"/>
        <v>0</v>
      </c>
      <c r="Y432" s="36">
        <f>BASE!A436</f>
        <v>421</v>
      </c>
      <c r="Z432" s="46">
        <f t="shared" si="19"/>
        <v>0</v>
      </c>
      <c r="AA432" s="46">
        <f t="shared" si="20"/>
        <v>0</v>
      </c>
      <c r="AB432" s="46">
        <f t="shared" si="21"/>
        <v>0</v>
      </c>
      <c r="AC432" s="46">
        <f t="shared" si="22"/>
        <v>0</v>
      </c>
      <c r="AD432" s="46">
        <f t="shared" si="23"/>
        <v>0</v>
      </c>
    </row>
    <row r="433" spans="1:30" ht="17.25" customHeight="1">
      <c r="A433" s="110" t="s">
        <v>983</v>
      </c>
      <c r="B433" s="106" t="s">
        <v>40</v>
      </c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17"/>
      <c r="X433" s="36">
        <f t="shared" si="18"/>
        <v>0</v>
      </c>
      <c r="Y433" s="36">
        <f>BASE!A437</f>
        <v>422</v>
      </c>
      <c r="Z433" s="46">
        <f t="shared" si="19"/>
        <v>0</v>
      </c>
      <c r="AA433" s="46">
        <f t="shared" si="20"/>
        <v>0</v>
      </c>
      <c r="AB433" s="46">
        <f t="shared" si="21"/>
        <v>0</v>
      </c>
      <c r="AC433" s="46">
        <f t="shared" si="22"/>
        <v>0</v>
      </c>
      <c r="AD433" s="46">
        <f t="shared" si="23"/>
        <v>0</v>
      </c>
    </row>
    <row r="434" spans="1:30" ht="17.25" customHeight="1">
      <c r="A434" s="110" t="s">
        <v>984</v>
      </c>
      <c r="B434" s="106" t="s">
        <v>40</v>
      </c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17"/>
      <c r="X434" s="36">
        <f t="shared" si="18"/>
        <v>0</v>
      </c>
      <c r="Y434" s="36">
        <f>BASE!A438</f>
        <v>423</v>
      </c>
      <c r="Z434" s="46">
        <f t="shared" si="19"/>
        <v>0</v>
      </c>
      <c r="AA434" s="46">
        <f t="shared" si="20"/>
        <v>0</v>
      </c>
      <c r="AB434" s="46">
        <f t="shared" si="21"/>
        <v>0</v>
      </c>
      <c r="AC434" s="46">
        <f t="shared" si="22"/>
        <v>0</v>
      </c>
      <c r="AD434" s="46">
        <f t="shared" si="23"/>
        <v>0</v>
      </c>
    </row>
    <row r="435" spans="1:30" ht="17.25" customHeight="1">
      <c r="A435" s="110" t="s">
        <v>985</v>
      </c>
      <c r="B435" s="106" t="s">
        <v>40</v>
      </c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17"/>
      <c r="X435" s="36">
        <f t="shared" si="18"/>
        <v>0</v>
      </c>
      <c r="Y435" s="36">
        <f>BASE!A439</f>
        <v>424</v>
      </c>
      <c r="Z435" s="46">
        <f t="shared" si="19"/>
        <v>0</v>
      </c>
      <c r="AA435" s="46">
        <f t="shared" si="20"/>
        <v>0</v>
      </c>
      <c r="AB435" s="46">
        <f t="shared" si="21"/>
        <v>0</v>
      </c>
      <c r="AC435" s="46">
        <f t="shared" si="22"/>
        <v>0</v>
      </c>
      <c r="AD435" s="46">
        <f t="shared" si="23"/>
        <v>0</v>
      </c>
    </row>
    <row r="436" spans="1:30" ht="17.25" customHeight="1">
      <c r="A436" s="110" t="s">
        <v>986</v>
      </c>
      <c r="B436" s="106" t="s">
        <v>40</v>
      </c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17"/>
      <c r="X436" s="36">
        <f t="shared" si="18"/>
        <v>0</v>
      </c>
      <c r="Y436" s="36">
        <f>BASE!A440</f>
        <v>425</v>
      </c>
      <c r="Z436" s="46">
        <f t="shared" si="19"/>
        <v>0</v>
      </c>
      <c r="AA436" s="46">
        <f t="shared" si="20"/>
        <v>0</v>
      </c>
      <c r="AB436" s="46">
        <f t="shared" si="21"/>
        <v>0</v>
      </c>
      <c r="AC436" s="46">
        <f t="shared" si="22"/>
        <v>0</v>
      </c>
      <c r="AD436" s="46">
        <f t="shared" si="23"/>
        <v>0</v>
      </c>
    </row>
    <row r="437" spans="1:30" ht="17.25" customHeight="1">
      <c r="A437" s="110" t="s">
        <v>987</v>
      </c>
      <c r="B437" s="106" t="s">
        <v>40</v>
      </c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17"/>
      <c r="X437" s="36">
        <f t="shared" si="18"/>
        <v>0</v>
      </c>
      <c r="Y437" s="36">
        <f>BASE!A441</f>
        <v>426</v>
      </c>
      <c r="Z437" s="46">
        <f t="shared" si="19"/>
        <v>0</v>
      </c>
      <c r="AA437" s="46">
        <f t="shared" si="20"/>
        <v>0</v>
      </c>
      <c r="AB437" s="46">
        <f t="shared" si="21"/>
        <v>0</v>
      </c>
      <c r="AC437" s="46">
        <f t="shared" si="22"/>
        <v>0</v>
      </c>
      <c r="AD437" s="46">
        <f t="shared" si="23"/>
        <v>0</v>
      </c>
    </row>
    <row r="438" spans="1:30" ht="17.25" customHeight="1">
      <c r="A438" s="110" t="s">
        <v>988</v>
      </c>
      <c r="B438" s="106" t="s">
        <v>40</v>
      </c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17"/>
      <c r="X438" s="36">
        <f t="shared" si="18"/>
        <v>0</v>
      </c>
      <c r="Y438" s="36">
        <f>BASE!A442</f>
        <v>427</v>
      </c>
      <c r="Z438" s="46">
        <f t="shared" si="19"/>
        <v>0</v>
      </c>
      <c r="AA438" s="46">
        <f t="shared" si="20"/>
        <v>0</v>
      </c>
      <c r="AB438" s="46">
        <f t="shared" si="21"/>
        <v>0</v>
      </c>
      <c r="AC438" s="46">
        <f t="shared" si="22"/>
        <v>0</v>
      </c>
      <c r="AD438" s="46">
        <f t="shared" si="23"/>
        <v>0</v>
      </c>
    </row>
    <row r="439" spans="1:30" ht="17.25" customHeight="1">
      <c r="A439" s="110" t="s">
        <v>989</v>
      </c>
      <c r="B439" s="106" t="s">
        <v>40</v>
      </c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17"/>
      <c r="X439" s="36">
        <f t="shared" si="18"/>
        <v>0</v>
      </c>
      <c r="Y439" s="36">
        <f>BASE!A443</f>
        <v>428</v>
      </c>
      <c r="Z439" s="46">
        <f t="shared" si="19"/>
        <v>0</v>
      </c>
      <c r="AA439" s="46">
        <f t="shared" si="20"/>
        <v>0</v>
      </c>
      <c r="AB439" s="46">
        <f t="shared" si="21"/>
        <v>0</v>
      </c>
      <c r="AC439" s="46">
        <f t="shared" si="22"/>
        <v>0</v>
      </c>
      <c r="AD439" s="46">
        <f t="shared" si="23"/>
        <v>0</v>
      </c>
    </row>
    <row r="440" spans="1:30" ht="17.25" customHeight="1">
      <c r="A440" s="110" t="s">
        <v>990</v>
      </c>
      <c r="B440" s="106" t="s">
        <v>40</v>
      </c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17"/>
      <c r="X440" s="36">
        <f t="shared" si="18"/>
        <v>0</v>
      </c>
      <c r="Y440" s="36">
        <f>BASE!A444</f>
        <v>429</v>
      </c>
      <c r="Z440" s="46">
        <f t="shared" si="19"/>
        <v>0</v>
      </c>
      <c r="AA440" s="46">
        <f t="shared" si="20"/>
        <v>0</v>
      </c>
      <c r="AB440" s="46">
        <f t="shared" si="21"/>
        <v>0</v>
      </c>
      <c r="AC440" s="46">
        <f t="shared" si="22"/>
        <v>0</v>
      </c>
      <c r="AD440" s="46">
        <f t="shared" si="23"/>
        <v>0</v>
      </c>
    </row>
    <row r="441" spans="1:30" ht="17.25" customHeight="1">
      <c r="A441" s="110" t="s">
        <v>991</v>
      </c>
      <c r="B441" s="106" t="s">
        <v>40</v>
      </c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17"/>
      <c r="X441" s="36">
        <f t="shared" si="18"/>
        <v>0</v>
      </c>
      <c r="Y441" s="36">
        <f>BASE!A445</f>
        <v>430</v>
      </c>
      <c r="Z441" s="46">
        <f t="shared" si="19"/>
        <v>0</v>
      </c>
      <c r="AA441" s="46">
        <f t="shared" si="20"/>
        <v>0</v>
      </c>
      <c r="AB441" s="46">
        <f t="shared" si="21"/>
        <v>0</v>
      </c>
      <c r="AC441" s="46">
        <f t="shared" si="22"/>
        <v>0</v>
      </c>
      <c r="AD441" s="46">
        <f t="shared" si="23"/>
        <v>0</v>
      </c>
    </row>
    <row r="442" spans="1:30" ht="17.25" customHeight="1">
      <c r="A442" s="110" t="s">
        <v>992</v>
      </c>
      <c r="B442" s="106" t="s">
        <v>40</v>
      </c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17"/>
      <c r="X442" s="36">
        <f t="shared" si="18"/>
        <v>0</v>
      </c>
      <c r="Y442" s="36">
        <f>BASE!A446</f>
        <v>431</v>
      </c>
      <c r="Z442" s="46">
        <f t="shared" si="19"/>
        <v>0</v>
      </c>
      <c r="AA442" s="46">
        <f t="shared" si="20"/>
        <v>0</v>
      </c>
      <c r="AB442" s="46">
        <f t="shared" si="21"/>
        <v>0</v>
      </c>
      <c r="AC442" s="46">
        <f t="shared" si="22"/>
        <v>0</v>
      </c>
      <c r="AD442" s="46">
        <f t="shared" si="23"/>
        <v>0</v>
      </c>
    </row>
    <row r="443" spans="1:30" ht="17.25" customHeight="1">
      <c r="A443" s="110" t="s">
        <v>993</v>
      </c>
      <c r="B443" s="106" t="s">
        <v>40</v>
      </c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17"/>
      <c r="X443" s="36">
        <f t="shared" si="18"/>
        <v>0</v>
      </c>
      <c r="Y443" s="36">
        <f>BASE!A447</f>
        <v>432</v>
      </c>
      <c r="Z443" s="46">
        <f t="shared" si="19"/>
        <v>0</v>
      </c>
      <c r="AA443" s="46">
        <f t="shared" si="20"/>
        <v>0</v>
      </c>
      <c r="AB443" s="46">
        <f t="shared" si="21"/>
        <v>0</v>
      </c>
      <c r="AC443" s="46">
        <f t="shared" si="22"/>
        <v>0</v>
      </c>
      <c r="AD443" s="46">
        <f t="shared" si="23"/>
        <v>0</v>
      </c>
    </row>
    <row r="444" spans="1:30" ht="17.25" customHeight="1">
      <c r="A444" s="110" t="s">
        <v>994</v>
      </c>
      <c r="B444" s="106" t="s">
        <v>40</v>
      </c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17"/>
      <c r="X444" s="36">
        <f t="shared" si="18"/>
        <v>0</v>
      </c>
      <c r="Y444" s="36">
        <f>BASE!A448</f>
        <v>433</v>
      </c>
      <c r="Z444" s="46">
        <f t="shared" si="19"/>
        <v>0</v>
      </c>
      <c r="AA444" s="46">
        <f t="shared" si="20"/>
        <v>0</v>
      </c>
      <c r="AB444" s="46">
        <f t="shared" si="21"/>
        <v>0</v>
      </c>
      <c r="AC444" s="46">
        <f t="shared" si="22"/>
        <v>0</v>
      </c>
      <c r="AD444" s="46">
        <f t="shared" si="23"/>
        <v>0</v>
      </c>
    </row>
    <row r="445" spans="1:30" ht="17.25" customHeight="1">
      <c r="A445" s="110" t="s">
        <v>995</v>
      </c>
      <c r="B445" s="106" t="s">
        <v>40</v>
      </c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17"/>
      <c r="X445" s="36">
        <f t="shared" ref="X445:X461" si="24">SUM(C445:V445)</f>
        <v>0</v>
      </c>
      <c r="Y445" s="36">
        <f>BASE!A449</f>
        <v>434</v>
      </c>
      <c r="Z445" s="46">
        <f t="shared" ref="Z445:Z461" si="25">SUMIF($C$11:$V$11,1,C445:V445)</f>
        <v>0</v>
      </c>
      <c r="AA445" s="46">
        <f t="shared" ref="AA445:AA461" si="26">SUMIF($C$11:$V$11,2,C445:V445)</f>
        <v>0</v>
      </c>
      <c r="AB445" s="46">
        <f t="shared" ref="AB445:AB461" si="27">SUMIF($C$11:$V$11,3,C445:V445)</f>
        <v>0</v>
      </c>
      <c r="AC445" s="46">
        <f t="shared" ref="AC445:AC461" si="28">SUMIF($C$11:$V$11,4,C445:V445)</f>
        <v>0</v>
      </c>
      <c r="AD445" s="46">
        <f t="shared" ref="AD445:AD461" si="29">SUMIF($C$11:$V$11,5,C445:V445)</f>
        <v>0</v>
      </c>
    </row>
    <row r="446" spans="1:30" ht="17.25" customHeight="1">
      <c r="A446" s="110" t="s">
        <v>996</v>
      </c>
      <c r="B446" s="106" t="s">
        <v>40</v>
      </c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17"/>
      <c r="X446" s="36">
        <f t="shared" si="24"/>
        <v>0</v>
      </c>
      <c r="Y446" s="36">
        <f>BASE!A450</f>
        <v>435</v>
      </c>
      <c r="Z446" s="46">
        <f t="shared" si="25"/>
        <v>0</v>
      </c>
      <c r="AA446" s="46">
        <f t="shared" si="26"/>
        <v>0</v>
      </c>
      <c r="AB446" s="46">
        <f t="shared" si="27"/>
        <v>0</v>
      </c>
      <c r="AC446" s="46">
        <f t="shared" si="28"/>
        <v>0</v>
      </c>
      <c r="AD446" s="46">
        <f t="shared" si="29"/>
        <v>0</v>
      </c>
    </row>
    <row r="447" spans="1:30" ht="17.25" customHeight="1">
      <c r="A447" s="110" t="s">
        <v>997</v>
      </c>
      <c r="B447" s="106" t="s">
        <v>40</v>
      </c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17"/>
      <c r="X447" s="36">
        <f t="shared" si="24"/>
        <v>0</v>
      </c>
      <c r="Y447" s="36">
        <f>BASE!A451</f>
        <v>436</v>
      </c>
      <c r="Z447" s="46">
        <f t="shared" si="25"/>
        <v>0</v>
      </c>
      <c r="AA447" s="46">
        <f t="shared" si="26"/>
        <v>0</v>
      </c>
      <c r="AB447" s="46">
        <f t="shared" si="27"/>
        <v>0</v>
      </c>
      <c r="AC447" s="46">
        <f t="shared" si="28"/>
        <v>0</v>
      </c>
      <c r="AD447" s="46">
        <f t="shared" si="29"/>
        <v>0</v>
      </c>
    </row>
    <row r="448" spans="1:30" ht="17.25" customHeight="1">
      <c r="A448" s="110" t="s">
        <v>998</v>
      </c>
      <c r="B448" s="106" t="s">
        <v>40</v>
      </c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17"/>
      <c r="X448" s="36">
        <f t="shared" si="24"/>
        <v>0</v>
      </c>
      <c r="Y448" s="36">
        <f>BASE!A452</f>
        <v>437</v>
      </c>
      <c r="Z448" s="46">
        <f t="shared" si="25"/>
        <v>0</v>
      </c>
      <c r="AA448" s="46">
        <f t="shared" si="26"/>
        <v>0</v>
      </c>
      <c r="AB448" s="46">
        <f t="shared" si="27"/>
        <v>0</v>
      </c>
      <c r="AC448" s="46">
        <f t="shared" si="28"/>
        <v>0</v>
      </c>
      <c r="AD448" s="46">
        <f t="shared" si="29"/>
        <v>0</v>
      </c>
    </row>
    <row r="449" spans="1:30" ht="17.25" customHeight="1">
      <c r="A449" s="110" t="s">
        <v>999</v>
      </c>
      <c r="B449" s="106" t="s">
        <v>40</v>
      </c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17"/>
      <c r="X449" s="36">
        <f t="shared" si="24"/>
        <v>0</v>
      </c>
      <c r="Y449" s="36">
        <f>BASE!A453</f>
        <v>438</v>
      </c>
      <c r="Z449" s="46">
        <f t="shared" si="25"/>
        <v>0</v>
      </c>
      <c r="AA449" s="46">
        <f t="shared" si="26"/>
        <v>0</v>
      </c>
      <c r="AB449" s="46">
        <f t="shared" si="27"/>
        <v>0</v>
      </c>
      <c r="AC449" s="46">
        <f t="shared" si="28"/>
        <v>0</v>
      </c>
      <c r="AD449" s="46">
        <f t="shared" si="29"/>
        <v>0</v>
      </c>
    </row>
    <row r="450" spans="1:30" ht="17.25" customHeight="1">
      <c r="A450" s="110" t="s">
        <v>1000</v>
      </c>
      <c r="B450" s="106" t="s">
        <v>40</v>
      </c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17"/>
      <c r="X450" s="36">
        <f t="shared" si="24"/>
        <v>0</v>
      </c>
      <c r="Y450" s="36">
        <f>BASE!A454</f>
        <v>439</v>
      </c>
      <c r="Z450" s="46">
        <f t="shared" si="25"/>
        <v>0</v>
      </c>
      <c r="AA450" s="46">
        <f t="shared" si="26"/>
        <v>0</v>
      </c>
      <c r="AB450" s="46">
        <f t="shared" si="27"/>
        <v>0</v>
      </c>
      <c r="AC450" s="46">
        <f t="shared" si="28"/>
        <v>0</v>
      </c>
      <c r="AD450" s="46">
        <f t="shared" si="29"/>
        <v>0</v>
      </c>
    </row>
    <row r="451" spans="1:30" ht="17.25" customHeight="1">
      <c r="A451" s="110" t="s">
        <v>1001</v>
      </c>
      <c r="B451" s="106" t="s">
        <v>40</v>
      </c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17"/>
      <c r="X451" s="36">
        <f t="shared" si="24"/>
        <v>0</v>
      </c>
      <c r="Y451" s="36">
        <f>BASE!A455</f>
        <v>440</v>
      </c>
      <c r="Z451" s="46">
        <f t="shared" si="25"/>
        <v>0</v>
      </c>
      <c r="AA451" s="46">
        <f t="shared" si="26"/>
        <v>0</v>
      </c>
      <c r="AB451" s="46">
        <f t="shared" si="27"/>
        <v>0</v>
      </c>
      <c r="AC451" s="46">
        <f t="shared" si="28"/>
        <v>0</v>
      </c>
      <c r="AD451" s="46">
        <f t="shared" si="29"/>
        <v>0</v>
      </c>
    </row>
    <row r="452" spans="1:30" ht="15.75" customHeight="1">
      <c r="A452" s="110" t="s">
        <v>1002</v>
      </c>
      <c r="B452" s="106" t="s">
        <v>40</v>
      </c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79"/>
      <c r="X452" s="36">
        <f t="shared" si="24"/>
        <v>0</v>
      </c>
      <c r="Y452" s="36">
        <f>BASE!A456</f>
        <v>441</v>
      </c>
      <c r="Z452" s="46">
        <f t="shared" si="25"/>
        <v>0</v>
      </c>
      <c r="AA452" s="46">
        <f t="shared" si="26"/>
        <v>0</v>
      </c>
      <c r="AB452" s="46">
        <f t="shared" si="27"/>
        <v>0</v>
      </c>
      <c r="AC452" s="46">
        <f t="shared" si="28"/>
        <v>0</v>
      </c>
      <c r="AD452" s="46">
        <f t="shared" si="29"/>
        <v>0</v>
      </c>
    </row>
    <row r="453" spans="1:30" ht="15.75" customHeight="1">
      <c r="A453" s="110" t="s">
        <v>1003</v>
      </c>
      <c r="B453" s="106" t="s">
        <v>40</v>
      </c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79"/>
      <c r="X453" s="36">
        <f t="shared" si="24"/>
        <v>0</v>
      </c>
      <c r="Y453" s="36">
        <f>BASE!A457</f>
        <v>442</v>
      </c>
      <c r="Z453" s="46">
        <f t="shared" si="25"/>
        <v>0</v>
      </c>
      <c r="AA453" s="46">
        <f t="shared" si="26"/>
        <v>0</v>
      </c>
      <c r="AB453" s="46">
        <f t="shared" si="27"/>
        <v>0</v>
      </c>
      <c r="AC453" s="46">
        <f t="shared" si="28"/>
        <v>0</v>
      </c>
      <c r="AD453" s="46">
        <f t="shared" si="29"/>
        <v>0</v>
      </c>
    </row>
    <row r="454" spans="1:30" ht="15.75" customHeight="1">
      <c r="A454" s="110" t="s">
        <v>1004</v>
      </c>
      <c r="B454" s="106" t="s">
        <v>40</v>
      </c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79"/>
      <c r="X454" s="36">
        <f t="shared" si="24"/>
        <v>0</v>
      </c>
      <c r="Y454" s="36">
        <f>BASE!A458</f>
        <v>443</v>
      </c>
      <c r="Z454" s="46">
        <f t="shared" si="25"/>
        <v>0</v>
      </c>
      <c r="AA454" s="46">
        <f t="shared" si="26"/>
        <v>0</v>
      </c>
      <c r="AB454" s="46">
        <f t="shared" si="27"/>
        <v>0</v>
      </c>
      <c r="AC454" s="46">
        <f t="shared" si="28"/>
        <v>0</v>
      </c>
      <c r="AD454" s="46">
        <f t="shared" si="29"/>
        <v>0</v>
      </c>
    </row>
    <row r="455" spans="1:30" ht="15.75" customHeight="1">
      <c r="A455" s="110" t="s">
        <v>1005</v>
      </c>
      <c r="B455" s="106" t="s">
        <v>40</v>
      </c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79"/>
      <c r="X455" s="36">
        <f t="shared" si="24"/>
        <v>0</v>
      </c>
      <c r="Y455" s="36">
        <f>BASE!A459</f>
        <v>444</v>
      </c>
      <c r="Z455" s="46">
        <f t="shared" si="25"/>
        <v>0</v>
      </c>
      <c r="AA455" s="46">
        <f t="shared" si="26"/>
        <v>0</v>
      </c>
      <c r="AB455" s="46">
        <f t="shared" si="27"/>
        <v>0</v>
      </c>
      <c r="AC455" s="46">
        <f t="shared" si="28"/>
        <v>0</v>
      </c>
      <c r="AD455" s="46">
        <f t="shared" si="29"/>
        <v>0</v>
      </c>
    </row>
    <row r="456" spans="1:30" ht="15.75" customHeight="1">
      <c r="A456" s="110" t="s">
        <v>1006</v>
      </c>
      <c r="B456" s="106" t="s">
        <v>40</v>
      </c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79"/>
      <c r="X456" s="36">
        <f t="shared" si="24"/>
        <v>0</v>
      </c>
      <c r="Y456" s="36">
        <f>BASE!A460</f>
        <v>445</v>
      </c>
      <c r="Z456" s="46">
        <f t="shared" si="25"/>
        <v>0</v>
      </c>
      <c r="AA456" s="46">
        <f t="shared" si="26"/>
        <v>0</v>
      </c>
      <c r="AB456" s="46">
        <f t="shared" si="27"/>
        <v>0</v>
      </c>
      <c r="AC456" s="46">
        <f t="shared" si="28"/>
        <v>0</v>
      </c>
      <c r="AD456" s="46">
        <f t="shared" si="29"/>
        <v>0</v>
      </c>
    </row>
    <row r="457" spans="1:30" ht="15.75" customHeight="1">
      <c r="A457" s="110" t="s">
        <v>1007</v>
      </c>
      <c r="B457" s="106" t="s">
        <v>40</v>
      </c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79"/>
      <c r="X457" s="36">
        <f t="shared" si="24"/>
        <v>0</v>
      </c>
      <c r="Y457" s="36">
        <f>BASE!A461</f>
        <v>446</v>
      </c>
      <c r="Z457" s="46">
        <f t="shared" si="25"/>
        <v>0</v>
      </c>
      <c r="AA457" s="46">
        <f t="shared" si="26"/>
        <v>0</v>
      </c>
      <c r="AB457" s="46">
        <f t="shared" si="27"/>
        <v>0</v>
      </c>
      <c r="AC457" s="46">
        <f t="shared" si="28"/>
        <v>0</v>
      </c>
      <c r="AD457" s="46">
        <f t="shared" si="29"/>
        <v>0</v>
      </c>
    </row>
    <row r="458" spans="1:30" ht="15.75" customHeight="1">
      <c r="A458" s="110" t="s">
        <v>1008</v>
      </c>
      <c r="B458" s="106" t="s">
        <v>40</v>
      </c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79"/>
      <c r="X458" s="36">
        <f t="shared" si="24"/>
        <v>0</v>
      </c>
      <c r="Y458" s="36">
        <f>BASE!A462</f>
        <v>447</v>
      </c>
      <c r="Z458" s="46">
        <f t="shared" si="25"/>
        <v>0</v>
      </c>
      <c r="AA458" s="46">
        <f t="shared" si="26"/>
        <v>0</v>
      </c>
      <c r="AB458" s="46">
        <f t="shared" si="27"/>
        <v>0</v>
      </c>
      <c r="AC458" s="46">
        <f t="shared" si="28"/>
        <v>0</v>
      </c>
      <c r="AD458" s="46">
        <f t="shared" si="29"/>
        <v>0</v>
      </c>
    </row>
    <row r="459" spans="1:30" ht="15.75" customHeight="1">
      <c r="A459" s="110" t="s">
        <v>1009</v>
      </c>
      <c r="B459" s="106" t="s">
        <v>40</v>
      </c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79"/>
      <c r="X459" s="36">
        <f t="shared" si="24"/>
        <v>0</v>
      </c>
      <c r="Y459" s="36">
        <f>BASE!A463</f>
        <v>448</v>
      </c>
      <c r="Z459" s="46">
        <f t="shared" si="25"/>
        <v>0</v>
      </c>
      <c r="AA459" s="46">
        <f t="shared" si="26"/>
        <v>0</v>
      </c>
      <c r="AB459" s="46">
        <f t="shared" si="27"/>
        <v>0</v>
      </c>
      <c r="AC459" s="46">
        <f t="shared" si="28"/>
        <v>0</v>
      </c>
      <c r="AD459" s="46">
        <f t="shared" si="29"/>
        <v>0</v>
      </c>
    </row>
    <row r="460" spans="1:30" ht="15.75" customHeight="1">
      <c r="A460" s="110" t="s">
        <v>1010</v>
      </c>
      <c r="B460" s="106" t="s">
        <v>40</v>
      </c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79"/>
      <c r="X460" s="36">
        <f t="shared" si="24"/>
        <v>0</v>
      </c>
      <c r="Y460" s="36">
        <f>BASE!A464</f>
        <v>449</v>
      </c>
      <c r="Z460" s="46">
        <f t="shared" si="25"/>
        <v>0</v>
      </c>
      <c r="AA460" s="46">
        <f t="shared" si="26"/>
        <v>0</v>
      </c>
      <c r="AB460" s="46">
        <f t="shared" si="27"/>
        <v>0</v>
      </c>
      <c r="AC460" s="46">
        <f t="shared" si="28"/>
        <v>0</v>
      </c>
      <c r="AD460" s="46">
        <f t="shared" si="29"/>
        <v>0</v>
      </c>
    </row>
    <row r="461" spans="1:30" ht="15.75" customHeight="1">
      <c r="A461" s="110" t="s">
        <v>1011</v>
      </c>
      <c r="B461" s="106" t="s">
        <v>40</v>
      </c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79"/>
      <c r="X461" s="36">
        <f t="shared" si="24"/>
        <v>0</v>
      </c>
      <c r="Y461" s="36">
        <f>BASE!A465</f>
        <v>450</v>
      </c>
      <c r="Z461" s="46">
        <f t="shared" si="25"/>
        <v>0</v>
      </c>
      <c r="AA461" s="46">
        <f t="shared" si="26"/>
        <v>0</v>
      </c>
      <c r="AB461" s="46">
        <f t="shared" si="27"/>
        <v>0</v>
      </c>
      <c r="AC461" s="46">
        <f t="shared" si="28"/>
        <v>0</v>
      </c>
      <c r="AD461" s="46">
        <f t="shared" si="29"/>
        <v>0</v>
      </c>
    </row>
    <row r="462" spans="1:30" ht="15.75" customHeight="1"/>
    <row r="463" spans="1:30" ht="15.75" customHeight="1"/>
    <row r="464" spans="1:30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heetProtection password="CC28" sheet="1" objects="1" scenarios="1" deleteColumns="0" deleteRows="0"/>
  <mergeCells count="34">
    <mergeCell ref="AA7:AD7"/>
    <mergeCell ref="X9:X11"/>
    <mergeCell ref="Y9:Y11"/>
    <mergeCell ref="Z11:AD11"/>
    <mergeCell ref="C5:F5"/>
    <mergeCell ref="G5:X5"/>
    <mergeCell ref="Y5:Z5"/>
    <mergeCell ref="AA5:AD5"/>
    <mergeCell ref="C6:F6"/>
    <mergeCell ref="Y6:Z6"/>
    <mergeCell ref="AA6:AB6"/>
    <mergeCell ref="K6:M6"/>
    <mergeCell ref="O6:R6"/>
    <mergeCell ref="C7:F7"/>
    <mergeCell ref="G7:J7"/>
    <mergeCell ref="A9:A11"/>
    <mergeCell ref="S4:X4"/>
    <mergeCell ref="Y4:Z4"/>
    <mergeCell ref="C4:G4"/>
    <mergeCell ref="L7:N7"/>
    <mergeCell ref="O7:Q7"/>
    <mergeCell ref="S7:X7"/>
    <mergeCell ref="G6:H6"/>
    <mergeCell ref="I6:J6"/>
    <mergeCell ref="Y7:Z7"/>
    <mergeCell ref="AA4:AD4"/>
    <mergeCell ref="H4:M4"/>
    <mergeCell ref="N4:R4"/>
    <mergeCell ref="A1:X1"/>
    <mergeCell ref="Y1:AD1"/>
    <mergeCell ref="A2:X2"/>
    <mergeCell ref="Y2:AD2"/>
    <mergeCell ref="A3:X3"/>
    <mergeCell ref="Y3:AD3"/>
  </mergeCells>
  <phoneticPr fontId="23" type="noConversion"/>
  <dataValidations count="2">
    <dataValidation type="decimal" allowBlank="1" showErrorMessage="1" sqref="C12:L461">
      <formula1>0</formula1>
      <formula2>2</formula2>
    </dataValidation>
    <dataValidation type="decimal" allowBlank="1" showInputMessage="1" showErrorMessage="1" sqref="M12:V461">
      <formula1>0</formula1>
      <formula2>16</formula2>
    </dataValidation>
  </dataValidations>
  <printOptions horizontalCentered="1"/>
  <pageMargins left="0.43307086614173229" right="0.19685039370078741" top="0.51181102362204722" bottom="0.51181102362204722" header="0" footer="0"/>
  <pageSetup paperSize="9" scale="72" orientation="landscape" r:id="rId1"/>
  <rowBreaks count="4" manualBreakCount="4">
    <brk id="32" man="1"/>
    <brk id="68" max="16383" man="1"/>
    <brk id="107" man="1"/>
    <brk id="13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209"/>
  <sheetViews>
    <sheetView topLeftCell="A457" workbookViewId="0">
      <selection activeCell="H470" sqref="H470"/>
    </sheetView>
  </sheetViews>
  <sheetFormatPr defaultColWidth="14.42578125" defaultRowHeight="15" customHeight="1"/>
  <cols>
    <col min="1" max="1" width="18.85546875" customWidth="1"/>
    <col min="2" max="2" width="8.7109375" customWidth="1"/>
    <col min="3" max="3" width="10" customWidth="1"/>
    <col min="4" max="8" width="7.7109375" customWidth="1"/>
    <col min="9" max="23" width="9.140625" customWidth="1"/>
  </cols>
  <sheetData>
    <row r="1" spans="1:23" ht="21" customHeight="1">
      <c r="A1" s="313">
        <f>BASE!A7</f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ht="24" customHeight="1">
      <c r="A2" s="313" t="str">
        <f>BASE!A8</f>
        <v>DEPARTMENT OF __________________________________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24" customHeight="1">
      <c r="A3" s="313" t="str">
        <f>BASE!A9</f>
        <v>THEORY CUM PRACTICAL COURSE OUTCOME ANALYSIS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38.25" customHeight="1">
      <c r="A4" s="54" t="str">
        <f>BASE!A11</f>
        <v>Name of Faculty(s)</v>
      </c>
      <c r="B4" s="55" t="s">
        <v>40</v>
      </c>
      <c r="C4" s="285">
        <f>BASE!D11</f>
        <v>1</v>
      </c>
      <c r="D4" s="190"/>
      <c r="E4" s="331">
        <f>BASE!G11</f>
        <v>1</v>
      </c>
      <c r="F4" s="218"/>
      <c r="G4" s="213"/>
      <c r="H4" s="331">
        <f>BASE!J11</f>
        <v>1</v>
      </c>
      <c r="I4" s="218"/>
      <c r="J4" s="213"/>
      <c r="K4" s="332">
        <f>BASE!M11</f>
        <v>1</v>
      </c>
      <c r="L4" s="218"/>
      <c r="M4" s="213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 ht="38.25" customHeight="1">
      <c r="A5" s="54" t="str">
        <f>BASE!A12</f>
        <v>Course Code and Name</v>
      </c>
      <c r="B5" s="55" t="s">
        <v>40</v>
      </c>
      <c r="C5" s="275" t="str">
        <f>BASE!D12</f>
        <v>22ABXCXX</v>
      </c>
      <c r="D5" s="189"/>
      <c r="E5" s="285" t="str">
        <f>BASE!G12</f>
        <v>XXXXXXXX XXXXX XXXXXXXX</v>
      </c>
      <c r="F5" s="189"/>
      <c r="G5" s="189"/>
      <c r="H5" s="189"/>
      <c r="I5" s="189"/>
      <c r="J5" s="189"/>
      <c r="K5" s="189"/>
      <c r="L5" s="189"/>
      <c r="M5" s="190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3" ht="38.25" customHeight="1">
      <c r="A6" s="54" t="str">
        <f>BASE!A13</f>
        <v>Branch / Year / Semester</v>
      </c>
      <c r="B6" s="55" t="s">
        <v>40</v>
      </c>
      <c r="C6" s="275" t="str">
        <f>BASE!D13</f>
        <v>abcd</v>
      </c>
      <c r="D6" s="189"/>
      <c r="E6" s="190"/>
      <c r="F6" s="74">
        <f>BASE!H13</f>
        <v>1</v>
      </c>
      <c r="G6" s="74" t="str">
        <f>BASE!L13</f>
        <v>IV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 ht="39" customHeight="1">
      <c r="A7" s="54" t="s">
        <v>75</v>
      </c>
      <c r="B7" s="164">
        <f>ESE!L7</f>
        <v>450</v>
      </c>
      <c r="C7" s="285" t="s">
        <v>76</v>
      </c>
      <c r="D7" s="189"/>
      <c r="E7" s="189"/>
      <c r="F7" s="189"/>
      <c r="G7" s="65">
        <f>BASE!N22</f>
        <v>21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3" ht="17.25" customHeight="1">
      <c r="A8" s="56"/>
      <c r="B8" s="16"/>
      <c r="C8" s="65" t="s">
        <v>77</v>
      </c>
      <c r="D8" s="65" t="s">
        <v>78</v>
      </c>
      <c r="E8" s="65" t="s">
        <v>79</v>
      </c>
      <c r="F8" s="65" t="s">
        <v>80</v>
      </c>
      <c r="G8" s="65" t="s">
        <v>81</v>
      </c>
      <c r="H8" s="1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 ht="54">
      <c r="A9" s="59" t="s">
        <v>82</v>
      </c>
      <c r="B9" s="16"/>
      <c r="C9" s="65">
        <f>ESE!Z10</f>
        <v>20</v>
      </c>
      <c r="D9" s="65">
        <f>ESE!AA10</f>
        <v>20</v>
      </c>
      <c r="E9" s="65">
        <f>ESE!AB10</f>
        <v>20</v>
      </c>
      <c r="F9" s="65">
        <f>ESE!AC10</f>
        <v>20</v>
      </c>
      <c r="G9" s="65">
        <f>ESE!AD10</f>
        <v>20</v>
      </c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 ht="38.25" customHeight="1">
      <c r="A10" s="59" t="s">
        <v>83</v>
      </c>
      <c r="B10" s="61"/>
      <c r="C10" s="297"/>
      <c r="D10" s="189"/>
      <c r="E10" s="189"/>
      <c r="F10" s="189"/>
      <c r="G10" s="19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 ht="16.5" customHeight="1">
      <c r="A11" s="62" t="str">
        <f>ESE!A12</f>
        <v>Student 1</v>
      </c>
      <c r="B11" s="121" t="s">
        <v>40</v>
      </c>
      <c r="C11" s="65">
        <f>ESE!Z12</f>
        <v>0</v>
      </c>
      <c r="D11" s="65">
        <f>ESE!AA12</f>
        <v>0</v>
      </c>
      <c r="E11" s="65">
        <f>ESE!AB12</f>
        <v>0</v>
      </c>
      <c r="F11" s="65">
        <f>ESE!AC12</f>
        <v>0</v>
      </c>
      <c r="G11" s="65">
        <f>ESE!AD12</f>
        <v>0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16.5" customHeight="1">
      <c r="A12" s="62" t="str">
        <f>ESE!A13</f>
        <v>Student 2</v>
      </c>
      <c r="B12" s="121" t="s">
        <v>40</v>
      </c>
      <c r="C12" s="65">
        <f>ESE!Z13</f>
        <v>0</v>
      </c>
      <c r="D12" s="65">
        <f>ESE!AA13</f>
        <v>0</v>
      </c>
      <c r="E12" s="65">
        <f>ESE!AB13</f>
        <v>0</v>
      </c>
      <c r="F12" s="65">
        <f>ESE!AC13</f>
        <v>0</v>
      </c>
      <c r="G12" s="65">
        <f>ESE!AD13</f>
        <v>0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16.5" customHeight="1">
      <c r="A13" s="62" t="str">
        <f>ESE!A14</f>
        <v>Student 3</v>
      </c>
      <c r="B13" s="121" t="s">
        <v>40</v>
      </c>
      <c r="C13" s="65">
        <f>ESE!Z14</f>
        <v>0</v>
      </c>
      <c r="D13" s="65">
        <f>ESE!AA14</f>
        <v>0</v>
      </c>
      <c r="E13" s="65">
        <f>ESE!AB14</f>
        <v>0</v>
      </c>
      <c r="F13" s="65">
        <f>ESE!AC14</f>
        <v>0</v>
      </c>
      <c r="G13" s="65">
        <f>ESE!AD14</f>
        <v>0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16.5" customHeight="1">
      <c r="A14" s="62" t="str">
        <f>ESE!A15</f>
        <v>Student 4</v>
      </c>
      <c r="B14" s="121" t="s">
        <v>40</v>
      </c>
      <c r="C14" s="65">
        <f>ESE!Z15</f>
        <v>0</v>
      </c>
      <c r="D14" s="65">
        <f>ESE!AA15</f>
        <v>0</v>
      </c>
      <c r="E14" s="65">
        <f>ESE!AB15</f>
        <v>0</v>
      </c>
      <c r="F14" s="65">
        <f>ESE!AC15</f>
        <v>0</v>
      </c>
      <c r="G14" s="65">
        <f>ESE!AD15</f>
        <v>0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16.5" customHeight="1">
      <c r="A15" s="62" t="str">
        <f>ESE!A16</f>
        <v>Student 5</v>
      </c>
      <c r="B15" s="121" t="s">
        <v>40</v>
      </c>
      <c r="C15" s="65">
        <f>ESE!Z16</f>
        <v>0</v>
      </c>
      <c r="D15" s="65">
        <f>ESE!AA16</f>
        <v>0</v>
      </c>
      <c r="E15" s="65">
        <f>ESE!AB16</f>
        <v>0</v>
      </c>
      <c r="F15" s="65">
        <f>ESE!AC16</f>
        <v>0</v>
      </c>
      <c r="G15" s="65">
        <f>ESE!AD16</f>
        <v>0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6.5" customHeight="1">
      <c r="A16" s="62" t="str">
        <f>ESE!A17</f>
        <v>Student 6</v>
      </c>
      <c r="B16" s="121" t="s">
        <v>40</v>
      </c>
      <c r="C16" s="65">
        <f>ESE!Z17</f>
        <v>0</v>
      </c>
      <c r="D16" s="65">
        <f>ESE!AA17</f>
        <v>0</v>
      </c>
      <c r="E16" s="65">
        <f>ESE!AB17</f>
        <v>0</v>
      </c>
      <c r="F16" s="65">
        <f>ESE!AC17</f>
        <v>0</v>
      </c>
      <c r="G16" s="65">
        <f>ESE!AD17</f>
        <v>0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16.5" customHeight="1">
      <c r="A17" s="62" t="str">
        <f>ESE!A18</f>
        <v>Student 7</v>
      </c>
      <c r="B17" s="121" t="s">
        <v>40</v>
      </c>
      <c r="C17" s="65">
        <f>ESE!Z18</f>
        <v>0</v>
      </c>
      <c r="D17" s="65">
        <f>ESE!AA18</f>
        <v>0</v>
      </c>
      <c r="E17" s="65">
        <f>ESE!AB18</f>
        <v>0</v>
      </c>
      <c r="F17" s="65">
        <f>ESE!AC18</f>
        <v>0</v>
      </c>
      <c r="G17" s="65">
        <f>ESE!AD18</f>
        <v>0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16.5" customHeight="1">
      <c r="A18" s="62" t="str">
        <f>ESE!A19</f>
        <v>Student 8</v>
      </c>
      <c r="B18" s="121" t="s">
        <v>40</v>
      </c>
      <c r="C18" s="65">
        <f>ESE!Z19</f>
        <v>0</v>
      </c>
      <c r="D18" s="65">
        <f>ESE!AA19</f>
        <v>0</v>
      </c>
      <c r="E18" s="65">
        <f>ESE!AB19</f>
        <v>0</v>
      </c>
      <c r="F18" s="65">
        <f>ESE!AC19</f>
        <v>0</v>
      </c>
      <c r="G18" s="65">
        <f>ESE!AD19</f>
        <v>0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16.5" customHeight="1">
      <c r="A19" s="62" t="str">
        <f>ESE!A20</f>
        <v>Student 9</v>
      </c>
      <c r="B19" s="121" t="s">
        <v>40</v>
      </c>
      <c r="C19" s="65">
        <f>ESE!Z20</f>
        <v>0</v>
      </c>
      <c r="D19" s="65">
        <f>ESE!AA20</f>
        <v>0</v>
      </c>
      <c r="E19" s="65">
        <f>ESE!AB20</f>
        <v>0</v>
      </c>
      <c r="F19" s="65">
        <f>ESE!AC20</f>
        <v>0</v>
      </c>
      <c r="G19" s="65">
        <f>ESE!AD20</f>
        <v>0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16.5" customHeight="1">
      <c r="A20" s="62" t="str">
        <f>ESE!A21</f>
        <v>Student 10</v>
      </c>
      <c r="B20" s="121" t="s">
        <v>40</v>
      </c>
      <c r="C20" s="65">
        <f>ESE!Z21</f>
        <v>0</v>
      </c>
      <c r="D20" s="65">
        <f>ESE!AA21</f>
        <v>0</v>
      </c>
      <c r="E20" s="65">
        <f>ESE!AB21</f>
        <v>0</v>
      </c>
      <c r="F20" s="65">
        <f>ESE!AC21</f>
        <v>0</v>
      </c>
      <c r="G20" s="65">
        <f>ESE!AD21</f>
        <v>0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16.5" customHeight="1">
      <c r="A21" s="62" t="str">
        <f>ESE!A22</f>
        <v>Student 11</v>
      </c>
      <c r="B21" s="121" t="s">
        <v>40</v>
      </c>
      <c r="C21" s="65">
        <f>ESE!Z22</f>
        <v>0</v>
      </c>
      <c r="D21" s="65">
        <f>ESE!AA22</f>
        <v>0</v>
      </c>
      <c r="E21" s="65">
        <f>ESE!AB22</f>
        <v>0</v>
      </c>
      <c r="F21" s="65">
        <f>ESE!AC22</f>
        <v>0</v>
      </c>
      <c r="G21" s="65">
        <f>ESE!AD22</f>
        <v>0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16.5" customHeight="1">
      <c r="A22" s="62" t="str">
        <f>ESE!A23</f>
        <v>Student 12</v>
      </c>
      <c r="B22" s="121" t="s">
        <v>40</v>
      </c>
      <c r="C22" s="65">
        <f>ESE!Z23</f>
        <v>0</v>
      </c>
      <c r="D22" s="65">
        <f>ESE!AA23</f>
        <v>0</v>
      </c>
      <c r="E22" s="65">
        <f>ESE!AB23</f>
        <v>0</v>
      </c>
      <c r="F22" s="65">
        <f>ESE!AC23</f>
        <v>0</v>
      </c>
      <c r="G22" s="65">
        <f>ESE!AD23</f>
        <v>0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6.5" customHeight="1">
      <c r="A23" s="62" t="str">
        <f>ESE!A24</f>
        <v>Student 13</v>
      </c>
      <c r="B23" s="121" t="s">
        <v>40</v>
      </c>
      <c r="C23" s="65">
        <f>ESE!Z24</f>
        <v>0</v>
      </c>
      <c r="D23" s="65">
        <f>ESE!AA24</f>
        <v>0</v>
      </c>
      <c r="E23" s="65">
        <f>ESE!AB24</f>
        <v>0</v>
      </c>
      <c r="F23" s="65">
        <f>ESE!AC24</f>
        <v>0</v>
      </c>
      <c r="G23" s="65">
        <f>ESE!AD24</f>
        <v>0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6.5" customHeight="1">
      <c r="A24" s="62" t="str">
        <f>ESE!A25</f>
        <v>Student 14</v>
      </c>
      <c r="B24" s="121" t="s">
        <v>40</v>
      </c>
      <c r="C24" s="65">
        <f>ESE!Z25</f>
        <v>0</v>
      </c>
      <c r="D24" s="65">
        <f>ESE!AA25</f>
        <v>0</v>
      </c>
      <c r="E24" s="65">
        <f>ESE!AB25</f>
        <v>0</v>
      </c>
      <c r="F24" s="65">
        <f>ESE!AC25</f>
        <v>0</v>
      </c>
      <c r="G24" s="65">
        <f>ESE!AD25</f>
        <v>0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16.5" customHeight="1">
      <c r="A25" s="62" t="str">
        <f>ESE!A26</f>
        <v>Student 15</v>
      </c>
      <c r="B25" s="121" t="s">
        <v>40</v>
      </c>
      <c r="C25" s="65">
        <f>ESE!Z26</f>
        <v>0</v>
      </c>
      <c r="D25" s="65">
        <f>ESE!AA26</f>
        <v>0</v>
      </c>
      <c r="E25" s="65">
        <f>ESE!AB26</f>
        <v>0</v>
      </c>
      <c r="F25" s="65">
        <f>ESE!AC26</f>
        <v>0</v>
      </c>
      <c r="G25" s="65">
        <f>ESE!AD26</f>
        <v>0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16.5" customHeight="1">
      <c r="A26" s="62" t="str">
        <f>ESE!A27</f>
        <v>Student 16</v>
      </c>
      <c r="B26" s="121" t="s">
        <v>40</v>
      </c>
      <c r="C26" s="65">
        <f>ESE!Z27</f>
        <v>0</v>
      </c>
      <c r="D26" s="65">
        <f>ESE!AA27</f>
        <v>0</v>
      </c>
      <c r="E26" s="65">
        <f>ESE!AB27</f>
        <v>0</v>
      </c>
      <c r="F26" s="65">
        <f>ESE!AC27</f>
        <v>0</v>
      </c>
      <c r="G26" s="65">
        <f>ESE!AD27</f>
        <v>0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6.5" customHeight="1">
      <c r="A27" s="62" t="str">
        <f>ESE!A28</f>
        <v>Student 17</v>
      </c>
      <c r="B27" s="121" t="s">
        <v>40</v>
      </c>
      <c r="C27" s="65">
        <f>ESE!Z28</f>
        <v>0</v>
      </c>
      <c r="D27" s="65">
        <f>ESE!AA28</f>
        <v>0</v>
      </c>
      <c r="E27" s="65">
        <f>ESE!AB28</f>
        <v>0</v>
      </c>
      <c r="F27" s="65">
        <f>ESE!AC28</f>
        <v>0</v>
      </c>
      <c r="G27" s="65">
        <f>ESE!AD28</f>
        <v>0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6.5" customHeight="1">
      <c r="A28" s="62" t="str">
        <f>ESE!A29</f>
        <v>Student 18</v>
      </c>
      <c r="B28" s="121" t="s">
        <v>40</v>
      </c>
      <c r="C28" s="65">
        <f>ESE!Z29</f>
        <v>0</v>
      </c>
      <c r="D28" s="65">
        <f>ESE!AA29</f>
        <v>0</v>
      </c>
      <c r="E28" s="65">
        <f>ESE!AB29</f>
        <v>0</v>
      </c>
      <c r="F28" s="65">
        <f>ESE!AC29</f>
        <v>0</v>
      </c>
      <c r="G28" s="65">
        <f>ESE!AD29</f>
        <v>0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6.5" customHeight="1">
      <c r="A29" s="62" t="str">
        <f>ESE!A30</f>
        <v>Student 19</v>
      </c>
      <c r="B29" s="121" t="s">
        <v>40</v>
      </c>
      <c r="C29" s="65">
        <f>ESE!Z30</f>
        <v>0</v>
      </c>
      <c r="D29" s="65">
        <f>ESE!AA30</f>
        <v>0</v>
      </c>
      <c r="E29" s="65">
        <f>ESE!AB30</f>
        <v>0</v>
      </c>
      <c r="F29" s="65">
        <f>ESE!AC30</f>
        <v>0</v>
      </c>
      <c r="G29" s="65">
        <f>ESE!AD30</f>
        <v>0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16.5" customHeight="1">
      <c r="A30" s="62" t="str">
        <f>ESE!A31</f>
        <v>Student 20</v>
      </c>
      <c r="B30" s="121" t="s">
        <v>40</v>
      </c>
      <c r="C30" s="65">
        <f>ESE!Z31</f>
        <v>0</v>
      </c>
      <c r="D30" s="65">
        <f>ESE!AA31</f>
        <v>0</v>
      </c>
      <c r="E30" s="65">
        <f>ESE!AB31</f>
        <v>0</v>
      </c>
      <c r="F30" s="65">
        <f>ESE!AC31</f>
        <v>0</v>
      </c>
      <c r="G30" s="65">
        <f>ESE!AD31</f>
        <v>0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 ht="16.5" customHeight="1">
      <c r="A31" s="62" t="str">
        <f>ESE!A32</f>
        <v>Student 21</v>
      </c>
      <c r="B31" s="121" t="s">
        <v>40</v>
      </c>
      <c r="C31" s="65">
        <f>ESE!Z32</f>
        <v>0</v>
      </c>
      <c r="D31" s="65">
        <f>ESE!AA32</f>
        <v>0</v>
      </c>
      <c r="E31" s="65">
        <f>ESE!AB32</f>
        <v>0</v>
      </c>
      <c r="F31" s="65">
        <f>ESE!AC32</f>
        <v>0</v>
      </c>
      <c r="G31" s="65">
        <f>ESE!AD32</f>
        <v>0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16.5" customHeight="1">
      <c r="A32" s="62" t="str">
        <f>ESE!A33</f>
        <v>Student 22</v>
      </c>
      <c r="B32" s="121" t="s">
        <v>40</v>
      </c>
      <c r="C32" s="65">
        <f>ESE!Z33</f>
        <v>0</v>
      </c>
      <c r="D32" s="65">
        <f>ESE!AA33</f>
        <v>0</v>
      </c>
      <c r="E32" s="65">
        <f>ESE!AB33</f>
        <v>0</v>
      </c>
      <c r="F32" s="65">
        <f>ESE!AC33</f>
        <v>0</v>
      </c>
      <c r="G32" s="65">
        <f>ESE!AD33</f>
        <v>0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16.5" customHeight="1">
      <c r="A33" s="62" t="str">
        <f>ESE!A34</f>
        <v>Student 23</v>
      </c>
      <c r="B33" s="121" t="s">
        <v>40</v>
      </c>
      <c r="C33" s="65">
        <f>ESE!Z34</f>
        <v>0</v>
      </c>
      <c r="D33" s="65">
        <f>ESE!AA34</f>
        <v>0</v>
      </c>
      <c r="E33" s="65">
        <f>ESE!AB34</f>
        <v>0</v>
      </c>
      <c r="F33" s="65">
        <f>ESE!AC34</f>
        <v>0</v>
      </c>
      <c r="G33" s="65">
        <f>ESE!AD34</f>
        <v>0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ht="16.5" customHeight="1">
      <c r="A34" s="62" t="str">
        <f>ESE!A35</f>
        <v>Student 24</v>
      </c>
      <c r="B34" s="121" t="s">
        <v>40</v>
      </c>
      <c r="C34" s="65">
        <f>ESE!Z35</f>
        <v>0</v>
      </c>
      <c r="D34" s="65">
        <f>ESE!AA35</f>
        <v>0</v>
      </c>
      <c r="E34" s="65">
        <f>ESE!AB35</f>
        <v>0</v>
      </c>
      <c r="F34" s="65">
        <f>ESE!AC35</f>
        <v>0</v>
      </c>
      <c r="G34" s="65">
        <f>ESE!AD35</f>
        <v>0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23" ht="16.5" customHeight="1">
      <c r="A35" s="62" t="str">
        <f>ESE!A36</f>
        <v>Student 25</v>
      </c>
      <c r="B35" s="121" t="s">
        <v>40</v>
      </c>
      <c r="C35" s="65">
        <f>ESE!Z36</f>
        <v>0</v>
      </c>
      <c r="D35" s="65">
        <f>ESE!AA36</f>
        <v>0</v>
      </c>
      <c r="E35" s="65">
        <f>ESE!AB36</f>
        <v>0</v>
      </c>
      <c r="F35" s="65">
        <f>ESE!AC36</f>
        <v>0</v>
      </c>
      <c r="G35" s="65">
        <f>ESE!AD36</f>
        <v>0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1:23" ht="16.5" customHeight="1">
      <c r="A36" s="62" t="str">
        <f>ESE!A37</f>
        <v>Student 26</v>
      </c>
      <c r="B36" s="121" t="s">
        <v>40</v>
      </c>
      <c r="C36" s="65">
        <f>ESE!Z37</f>
        <v>0</v>
      </c>
      <c r="D36" s="65">
        <f>ESE!AA37</f>
        <v>0</v>
      </c>
      <c r="E36" s="65">
        <f>ESE!AB37</f>
        <v>0</v>
      </c>
      <c r="F36" s="65">
        <f>ESE!AC37</f>
        <v>0</v>
      </c>
      <c r="G36" s="65">
        <f>ESE!AD37</f>
        <v>0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ht="16.5" customHeight="1">
      <c r="A37" s="62" t="str">
        <f>ESE!A38</f>
        <v>Student 27</v>
      </c>
      <c r="B37" s="121" t="s">
        <v>40</v>
      </c>
      <c r="C37" s="65">
        <f>ESE!Z38</f>
        <v>0</v>
      </c>
      <c r="D37" s="65">
        <f>ESE!AA38</f>
        <v>0</v>
      </c>
      <c r="E37" s="65">
        <f>ESE!AB38</f>
        <v>0</v>
      </c>
      <c r="F37" s="65">
        <f>ESE!AC38</f>
        <v>0</v>
      </c>
      <c r="G37" s="65">
        <f>ESE!AD38</f>
        <v>0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ht="16.5" customHeight="1">
      <c r="A38" s="62" t="str">
        <f>ESE!A39</f>
        <v>Student 28</v>
      </c>
      <c r="B38" s="121" t="s">
        <v>40</v>
      </c>
      <c r="C38" s="65">
        <f>ESE!Z39</f>
        <v>0</v>
      </c>
      <c r="D38" s="65">
        <f>ESE!AA39</f>
        <v>0</v>
      </c>
      <c r="E38" s="65">
        <f>ESE!AB39</f>
        <v>0</v>
      </c>
      <c r="F38" s="65">
        <f>ESE!AC39</f>
        <v>0</v>
      </c>
      <c r="G38" s="65">
        <f>ESE!AD39</f>
        <v>0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ht="16.5" customHeight="1">
      <c r="A39" s="62" t="str">
        <f>ESE!A40</f>
        <v>Student 29</v>
      </c>
      <c r="B39" s="121" t="s">
        <v>40</v>
      </c>
      <c r="C39" s="65">
        <f>ESE!Z40</f>
        <v>0</v>
      </c>
      <c r="D39" s="65">
        <f>ESE!AA40</f>
        <v>0</v>
      </c>
      <c r="E39" s="65">
        <f>ESE!AB40</f>
        <v>0</v>
      </c>
      <c r="F39" s="65">
        <f>ESE!AC40</f>
        <v>0</v>
      </c>
      <c r="G39" s="65">
        <f>ESE!AD40</f>
        <v>0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ht="16.5" customHeight="1">
      <c r="A40" s="62" t="str">
        <f>ESE!A41</f>
        <v>Student 30</v>
      </c>
      <c r="B40" s="121" t="s">
        <v>40</v>
      </c>
      <c r="C40" s="65">
        <f>ESE!Z41</f>
        <v>0</v>
      </c>
      <c r="D40" s="65">
        <f>ESE!AA41</f>
        <v>0</v>
      </c>
      <c r="E40" s="65">
        <f>ESE!AB41</f>
        <v>0</v>
      </c>
      <c r="F40" s="65">
        <f>ESE!AC41</f>
        <v>0</v>
      </c>
      <c r="G40" s="65">
        <f>ESE!AD41</f>
        <v>0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ht="16.5" customHeight="1">
      <c r="A41" s="62" t="str">
        <f>ESE!A42</f>
        <v>Student 31</v>
      </c>
      <c r="B41" s="121" t="s">
        <v>40</v>
      </c>
      <c r="C41" s="65">
        <f>ESE!Z42</f>
        <v>0</v>
      </c>
      <c r="D41" s="65">
        <f>ESE!AA42</f>
        <v>0</v>
      </c>
      <c r="E41" s="65">
        <f>ESE!AB42</f>
        <v>0</v>
      </c>
      <c r="F41" s="65">
        <f>ESE!AC42</f>
        <v>0</v>
      </c>
      <c r="G41" s="65">
        <f>ESE!AD42</f>
        <v>0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ht="16.5" customHeight="1">
      <c r="A42" s="62" t="str">
        <f>ESE!A43</f>
        <v>Student 32</v>
      </c>
      <c r="B42" s="121" t="s">
        <v>40</v>
      </c>
      <c r="C42" s="65">
        <f>ESE!Z43</f>
        <v>0</v>
      </c>
      <c r="D42" s="65">
        <f>ESE!AA43</f>
        <v>0</v>
      </c>
      <c r="E42" s="65">
        <f>ESE!AB43</f>
        <v>0</v>
      </c>
      <c r="F42" s="65">
        <f>ESE!AC43</f>
        <v>0</v>
      </c>
      <c r="G42" s="65">
        <f>ESE!AD43</f>
        <v>0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ht="16.5" customHeight="1">
      <c r="A43" s="62" t="str">
        <f>ESE!A44</f>
        <v>Student 33</v>
      </c>
      <c r="B43" s="121" t="s">
        <v>40</v>
      </c>
      <c r="C43" s="65">
        <f>ESE!Z44</f>
        <v>0</v>
      </c>
      <c r="D43" s="65">
        <f>ESE!AA44</f>
        <v>0</v>
      </c>
      <c r="E43" s="65">
        <f>ESE!AB44</f>
        <v>0</v>
      </c>
      <c r="F43" s="65">
        <f>ESE!AC44</f>
        <v>0</v>
      </c>
      <c r="G43" s="65">
        <f>ESE!AD44</f>
        <v>0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16.5" customHeight="1">
      <c r="A44" s="62" t="str">
        <f>ESE!A45</f>
        <v>Student 34</v>
      </c>
      <c r="B44" s="121" t="s">
        <v>40</v>
      </c>
      <c r="C44" s="65">
        <f>ESE!Z45</f>
        <v>0</v>
      </c>
      <c r="D44" s="65">
        <f>ESE!AA45</f>
        <v>0</v>
      </c>
      <c r="E44" s="65">
        <f>ESE!AB45</f>
        <v>0</v>
      </c>
      <c r="F44" s="65">
        <f>ESE!AC45</f>
        <v>0</v>
      </c>
      <c r="G44" s="65">
        <f>ESE!AD45</f>
        <v>0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ht="16.5" customHeight="1">
      <c r="A45" s="62" t="str">
        <f>ESE!A46</f>
        <v>Student 35</v>
      </c>
      <c r="B45" s="121" t="s">
        <v>40</v>
      </c>
      <c r="C45" s="65">
        <f>ESE!Z46</f>
        <v>0</v>
      </c>
      <c r="D45" s="65">
        <f>ESE!AA46</f>
        <v>0</v>
      </c>
      <c r="E45" s="65">
        <f>ESE!AB46</f>
        <v>0</v>
      </c>
      <c r="F45" s="65">
        <f>ESE!AC46</f>
        <v>0</v>
      </c>
      <c r="G45" s="65">
        <f>ESE!AD46</f>
        <v>0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16.5" customHeight="1">
      <c r="A46" s="62" t="str">
        <f>ESE!A47</f>
        <v>Student 36</v>
      </c>
      <c r="B46" s="121" t="s">
        <v>40</v>
      </c>
      <c r="C46" s="65">
        <f>ESE!Z47</f>
        <v>0</v>
      </c>
      <c r="D46" s="65">
        <f>ESE!AA47</f>
        <v>0</v>
      </c>
      <c r="E46" s="65">
        <f>ESE!AB47</f>
        <v>0</v>
      </c>
      <c r="F46" s="65">
        <f>ESE!AC47</f>
        <v>0</v>
      </c>
      <c r="G46" s="65">
        <f>ESE!AD47</f>
        <v>0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ht="16.5" customHeight="1">
      <c r="A47" s="62" t="str">
        <f>ESE!A48</f>
        <v>Student 37</v>
      </c>
      <c r="B47" s="121" t="s">
        <v>40</v>
      </c>
      <c r="C47" s="65">
        <f>ESE!Z48</f>
        <v>0</v>
      </c>
      <c r="D47" s="65">
        <f>ESE!AA48</f>
        <v>0</v>
      </c>
      <c r="E47" s="65">
        <f>ESE!AB48</f>
        <v>0</v>
      </c>
      <c r="F47" s="65">
        <f>ESE!AC48</f>
        <v>0</v>
      </c>
      <c r="G47" s="65">
        <f>ESE!AD48</f>
        <v>0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ht="16.5" customHeight="1">
      <c r="A48" s="62" t="str">
        <f>ESE!A49</f>
        <v>Student 38</v>
      </c>
      <c r="B48" s="121" t="s">
        <v>40</v>
      </c>
      <c r="C48" s="65">
        <f>ESE!Z49</f>
        <v>0</v>
      </c>
      <c r="D48" s="65">
        <f>ESE!AA49</f>
        <v>0</v>
      </c>
      <c r="E48" s="65">
        <f>ESE!AB49</f>
        <v>0</v>
      </c>
      <c r="F48" s="65">
        <f>ESE!AC49</f>
        <v>0</v>
      </c>
      <c r="G48" s="65">
        <f>ESE!AD49</f>
        <v>0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ht="16.5" customHeight="1">
      <c r="A49" s="62" t="str">
        <f>ESE!A50</f>
        <v>Student 39</v>
      </c>
      <c r="B49" s="121" t="s">
        <v>40</v>
      </c>
      <c r="C49" s="65">
        <f>ESE!Z50</f>
        <v>0</v>
      </c>
      <c r="D49" s="65">
        <f>ESE!AA50</f>
        <v>0</v>
      </c>
      <c r="E49" s="65">
        <f>ESE!AB50</f>
        <v>0</v>
      </c>
      <c r="F49" s="65">
        <f>ESE!AC50</f>
        <v>0</v>
      </c>
      <c r="G49" s="65">
        <f>ESE!AD50</f>
        <v>0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ht="16.5" customHeight="1">
      <c r="A50" s="62" t="str">
        <f>ESE!A51</f>
        <v>Student 40</v>
      </c>
      <c r="B50" s="121" t="s">
        <v>40</v>
      </c>
      <c r="C50" s="65">
        <f>ESE!Z51</f>
        <v>0</v>
      </c>
      <c r="D50" s="65">
        <f>ESE!AA51</f>
        <v>0</v>
      </c>
      <c r="E50" s="65">
        <f>ESE!AB51</f>
        <v>0</v>
      </c>
      <c r="F50" s="65">
        <f>ESE!AC51</f>
        <v>0</v>
      </c>
      <c r="G50" s="65">
        <f>ESE!AD51</f>
        <v>0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ht="16.5" customHeight="1">
      <c r="A51" s="62" t="str">
        <f>ESE!A52</f>
        <v>Student 41</v>
      </c>
      <c r="B51" s="121" t="s">
        <v>40</v>
      </c>
      <c r="C51" s="65">
        <f>ESE!Z52</f>
        <v>0</v>
      </c>
      <c r="D51" s="65">
        <f>ESE!AA52</f>
        <v>0</v>
      </c>
      <c r="E51" s="65">
        <f>ESE!AB52</f>
        <v>0</v>
      </c>
      <c r="F51" s="65">
        <f>ESE!AC52</f>
        <v>0</v>
      </c>
      <c r="G51" s="65">
        <f>ESE!AD52</f>
        <v>0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ht="16.5" customHeight="1">
      <c r="A52" s="62" t="str">
        <f>ESE!A53</f>
        <v>Student 42</v>
      </c>
      <c r="B52" s="121" t="s">
        <v>40</v>
      </c>
      <c r="C52" s="65">
        <f>ESE!Z53</f>
        <v>0</v>
      </c>
      <c r="D52" s="65">
        <f>ESE!AA53</f>
        <v>0</v>
      </c>
      <c r="E52" s="65">
        <f>ESE!AB53</f>
        <v>0</v>
      </c>
      <c r="F52" s="65">
        <f>ESE!AC53</f>
        <v>0</v>
      </c>
      <c r="G52" s="65">
        <f>ESE!AD53</f>
        <v>0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ht="16.5" customHeight="1">
      <c r="A53" s="62" t="str">
        <f>ESE!A54</f>
        <v>Student 43</v>
      </c>
      <c r="B53" s="121" t="s">
        <v>40</v>
      </c>
      <c r="C53" s="65">
        <f>ESE!Z54</f>
        <v>0</v>
      </c>
      <c r="D53" s="65">
        <f>ESE!AA54</f>
        <v>0</v>
      </c>
      <c r="E53" s="65">
        <f>ESE!AB54</f>
        <v>0</v>
      </c>
      <c r="F53" s="65">
        <f>ESE!AC54</f>
        <v>0</v>
      </c>
      <c r="G53" s="65">
        <f>ESE!AD54</f>
        <v>0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ht="16.5" customHeight="1">
      <c r="A54" s="62" t="str">
        <f>ESE!A55</f>
        <v>Student 44</v>
      </c>
      <c r="B54" s="121" t="s">
        <v>40</v>
      </c>
      <c r="C54" s="65">
        <f>ESE!Z55</f>
        <v>0</v>
      </c>
      <c r="D54" s="65">
        <f>ESE!AA55</f>
        <v>0</v>
      </c>
      <c r="E54" s="65">
        <f>ESE!AB55</f>
        <v>0</v>
      </c>
      <c r="F54" s="65">
        <f>ESE!AC55</f>
        <v>0</v>
      </c>
      <c r="G54" s="65">
        <f>ESE!AD55</f>
        <v>0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ht="16.5" customHeight="1">
      <c r="A55" s="62" t="str">
        <f>ESE!A56</f>
        <v>Student 45</v>
      </c>
      <c r="B55" s="121" t="s">
        <v>40</v>
      </c>
      <c r="C55" s="65">
        <f>ESE!Z56</f>
        <v>0</v>
      </c>
      <c r="D55" s="65">
        <f>ESE!AA56</f>
        <v>0</v>
      </c>
      <c r="E55" s="65">
        <f>ESE!AB56</f>
        <v>0</v>
      </c>
      <c r="F55" s="65">
        <f>ESE!AC56</f>
        <v>0</v>
      </c>
      <c r="G55" s="65">
        <f>ESE!AD56</f>
        <v>0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ht="16.5" customHeight="1">
      <c r="A56" s="62" t="str">
        <f>ESE!A57</f>
        <v>Student 46</v>
      </c>
      <c r="B56" s="121" t="s">
        <v>40</v>
      </c>
      <c r="C56" s="65">
        <f>ESE!Z57</f>
        <v>0</v>
      </c>
      <c r="D56" s="65">
        <f>ESE!AA57</f>
        <v>0</v>
      </c>
      <c r="E56" s="65">
        <f>ESE!AB57</f>
        <v>0</v>
      </c>
      <c r="F56" s="65">
        <f>ESE!AC57</f>
        <v>0</v>
      </c>
      <c r="G56" s="65">
        <f>ESE!AD57</f>
        <v>0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3" ht="16.5" customHeight="1">
      <c r="A57" s="62" t="str">
        <f>ESE!A58</f>
        <v>Student 47</v>
      </c>
      <c r="B57" s="121" t="s">
        <v>40</v>
      </c>
      <c r="C57" s="65">
        <f>ESE!Z58</f>
        <v>0</v>
      </c>
      <c r="D57" s="65">
        <f>ESE!AA58</f>
        <v>0</v>
      </c>
      <c r="E57" s="65">
        <f>ESE!AB58</f>
        <v>0</v>
      </c>
      <c r="F57" s="65">
        <f>ESE!AC58</f>
        <v>0</v>
      </c>
      <c r="G57" s="65">
        <f>ESE!AD58</f>
        <v>0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1:23" ht="16.5" customHeight="1">
      <c r="A58" s="62" t="str">
        <f>ESE!A59</f>
        <v>Student 48</v>
      </c>
      <c r="B58" s="121" t="s">
        <v>40</v>
      </c>
      <c r="C58" s="65">
        <f>ESE!Z59</f>
        <v>0</v>
      </c>
      <c r="D58" s="65">
        <f>ESE!AA59</f>
        <v>0</v>
      </c>
      <c r="E58" s="65">
        <f>ESE!AB59</f>
        <v>0</v>
      </c>
      <c r="F58" s="65">
        <f>ESE!AC59</f>
        <v>0</v>
      </c>
      <c r="G58" s="65">
        <f>ESE!AD59</f>
        <v>0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1:23" ht="16.5" customHeight="1">
      <c r="A59" s="62" t="str">
        <f>ESE!A60</f>
        <v>Student 49</v>
      </c>
      <c r="B59" s="121" t="s">
        <v>40</v>
      </c>
      <c r="C59" s="65">
        <f>ESE!Z60</f>
        <v>0</v>
      </c>
      <c r="D59" s="65">
        <f>ESE!AA60</f>
        <v>0</v>
      </c>
      <c r="E59" s="65">
        <f>ESE!AB60</f>
        <v>0</v>
      </c>
      <c r="F59" s="65">
        <f>ESE!AC60</f>
        <v>0</v>
      </c>
      <c r="G59" s="65">
        <f>ESE!AD60</f>
        <v>0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ht="16.5" customHeight="1">
      <c r="A60" s="62" t="str">
        <f>ESE!A61</f>
        <v>Student 50</v>
      </c>
      <c r="B60" s="121" t="s">
        <v>40</v>
      </c>
      <c r="C60" s="65">
        <f>ESE!Z61</f>
        <v>0</v>
      </c>
      <c r="D60" s="65">
        <f>ESE!AA61</f>
        <v>0</v>
      </c>
      <c r="E60" s="65">
        <f>ESE!AB61</f>
        <v>0</v>
      </c>
      <c r="F60" s="65">
        <f>ESE!AC61</f>
        <v>0</v>
      </c>
      <c r="G60" s="65">
        <f>ESE!AD61</f>
        <v>0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1:23" ht="16.5" customHeight="1">
      <c r="A61" s="62" t="str">
        <f>ESE!A62</f>
        <v>Student 51</v>
      </c>
      <c r="B61" s="121" t="s">
        <v>40</v>
      </c>
      <c r="C61" s="65">
        <f>ESE!Z62</f>
        <v>0</v>
      </c>
      <c r="D61" s="65">
        <f>ESE!AA62</f>
        <v>0</v>
      </c>
      <c r="E61" s="65">
        <f>ESE!AB62</f>
        <v>0</v>
      </c>
      <c r="F61" s="65">
        <f>ESE!AC62</f>
        <v>0</v>
      </c>
      <c r="G61" s="65">
        <f>ESE!AD62</f>
        <v>0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1:23" ht="16.5" customHeight="1">
      <c r="A62" s="62" t="str">
        <f>ESE!A63</f>
        <v>Student 52</v>
      </c>
      <c r="B62" s="121" t="s">
        <v>40</v>
      </c>
      <c r="C62" s="65">
        <f>ESE!Z63</f>
        <v>0</v>
      </c>
      <c r="D62" s="65">
        <f>ESE!AA63</f>
        <v>0</v>
      </c>
      <c r="E62" s="65">
        <f>ESE!AB63</f>
        <v>0</v>
      </c>
      <c r="F62" s="65">
        <f>ESE!AC63</f>
        <v>0</v>
      </c>
      <c r="G62" s="65">
        <f>ESE!AD63</f>
        <v>0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1:23" ht="16.5" customHeight="1">
      <c r="A63" s="62" t="str">
        <f>ESE!A64</f>
        <v>Student 53</v>
      </c>
      <c r="B63" s="121" t="s">
        <v>40</v>
      </c>
      <c r="C63" s="65">
        <f>ESE!Z64</f>
        <v>0</v>
      </c>
      <c r="D63" s="65">
        <f>ESE!AA64</f>
        <v>0</v>
      </c>
      <c r="E63" s="65">
        <f>ESE!AB64</f>
        <v>0</v>
      </c>
      <c r="F63" s="65">
        <f>ESE!AC64</f>
        <v>0</v>
      </c>
      <c r="G63" s="65">
        <f>ESE!AD64</f>
        <v>0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ht="16.5" customHeight="1">
      <c r="A64" s="62" t="str">
        <f>ESE!A65</f>
        <v>Student 54</v>
      </c>
      <c r="B64" s="121" t="s">
        <v>40</v>
      </c>
      <c r="C64" s="65">
        <f>ESE!Z65</f>
        <v>0</v>
      </c>
      <c r="D64" s="65">
        <f>ESE!AA65</f>
        <v>0</v>
      </c>
      <c r="E64" s="65">
        <f>ESE!AB65</f>
        <v>0</v>
      </c>
      <c r="F64" s="65">
        <f>ESE!AC65</f>
        <v>0</v>
      </c>
      <c r="G64" s="65">
        <f>ESE!AD65</f>
        <v>0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1:23" ht="16.5" customHeight="1">
      <c r="A65" s="62" t="str">
        <f>ESE!A66</f>
        <v>Student 55</v>
      </c>
      <c r="B65" s="121" t="s">
        <v>40</v>
      </c>
      <c r="C65" s="65">
        <f>ESE!Z66</f>
        <v>0</v>
      </c>
      <c r="D65" s="65">
        <f>ESE!AA66</f>
        <v>0</v>
      </c>
      <c r="E65" s="65">
        <f>ESE!AB66</f>
        <v>0</v>
      </c>
      <c r="F65" s="65">
        <f>ESE!AC66</f>
        <v>0</v>
      </c>
      <c r="G65" s="65">
        <f>ESE!AD66</f>
        <v>0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1:23" ht="16.5" customHeight="1">
      <c r="A66" s="62" t="str">
        <f>ESE!A67</f>
        <v>Student 56</v>
      </c>
      <c r="B66" s="121" t="s">
        <v>40</v>
      </c>
      <c r="C66" s="65">
        <f>ESE!Z67</f>
        <v>0</v>
      </c>
      <c r="D66" s="65">
        <f>ESE!AA67</f>
        <v>0</v>
      </c>
      <c r="E66" s="65">
        <f>ESE!AB67</f>
        <v>0</v>
      </c>
      <c r="F66" s="65">
        <f>ESE!AC67</f>
        <v>0</v>
      </c>
      <c r="G66" s="65">
        <f>ESE!AD67</f>
        <v>0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:23" ht="16.5" customHeight="1">
      <c r="A67" s="62" t="str">
        <f>ESE!A68</f>
        <v>Student 57</v>
      </c>
      <c r="B67" s="121" t="s">
        <v>40</v>
      </c>
      <c r="C67" s="65">
        <f>ESE!Z68</f>
        <v>0</v>
      </c>
      <c r="D67" s="65">
        <f>ESE!AA68</f>
        <v>0</v>
      </c>
      <c r="E67" s="65">
        <f>ESE!AB68</f>
        <v>0</v>
      </c>
      <c r="F67" s="65">
        <f>ESE!AC68</f>
        <v>0</v>
      </c>
      <c r="G67" s="65">
        <f>ESE!AD68</f>
        <v>0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ht="16.5" customHeight="1">
      <c r="A68" s="62" t="str">
        <f>ESE!A69</f>
        <v>Student 58</v>
      </c>
      <c r="B68" s="121" t="s">
        <v>40</v>
      </c>
      <c r="C68" s="65">
        <f>ESE!Z69</f>
        <v>0</v>
      </c>
      <c r="D68" s="65">
        <f>ESE!AA69</f>
        <v>0</v>
      </c>
      <c r="E68" s="65">
        <f>ESE!AB69</f>
        <v>0</v>
      </c>
      <c r="F68" s="65">
        <f>ESE!AC69</f>
        <v>0</v>
      </c>
      <c r="G68" s="65">
        <f>ESE!AD69</f>
        <v>0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ht="16.5" customHeight="1">
      <c r="A69" s="62" t="str">
        <f>ESE!A70</f>
        <v>Student 59</v>
      </c>
      <c r="B69" s="121" t="s">
        <v>40</v>
      </c>
      <c r="C69" s="65">
        <f>ESE!Z70</f>
        <v>0</v>
      </c>
      <c r="D69" s="65">
        <f>ESE!AA70</f>
        <v>0</v>
      </c>
      <c r="E69" s="65">
        <f>ESE!AB70</f>
        <v>0</v>
      </c>
      <c r="F69" s="65">
        <f>ESE!AC70</f>
        <v>0</v>
      </c>
      <c r="G69" s="65">
        <f>ESE!AD70</f>
        <v>0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ht="16.5" customHeight="1">
      <c r="A70" s="62" t="str">
        <f>ESE!A71</f>
        <v>Student 60</v>
      </c>
      <c r="B70" s="121" t="s">
        <v>40</v>
      </c>
      <c r="C70" s="65">
        <f>ESE!Z71</f>
        <v>0</v>
      </c>
      <c r="D70" s="65">
        <f>ESE!AA71</f>
        <v>0</v>
      </c>
      <c r="E70" s="65">
        <f>ESE!AB71</f>
        <v>0</v>
      </c>
      <c r="F70" s="65">
        <f>ESE!AC71</f>
        <v>0</v>
      </c>
      <c r="G70" s="65">
        <f>ESE!AD71</f>
        <v>0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ht="16.5" customHeight="1">
      <c r="A71" s="62" t="str">
        <f>ESE!A72</f>
        <v>Student 61</v>
      </c>
      <c r="B71" s="121" t="s">
        <v>40</v>
      </c>
      <c r="C71" s="65">
        <f>ESE!Z72</f>
        <v>0</v>
      </c>
      <c r="D71" s="65">
        <f>ESE!AA72</f>
        <v>0</v>
      </c>
      <c r="E71" s="65">
        <f>ESE!AB72</f>
        <v>0</v>
      </c>
      <c r="F71" s="65">
        <f>ESE!AC72</f>
        <v>0</v>
      </c>
      <c r="G71" s="65">
        <f>ESE!AD72</f>
        <v>0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ht="16.5" customHeight="1">
      <c r="A72" s="62" t="str">
        <f>ESE!A73</f>
        <v>Student 62</v>
      </c>
      <c r="B72" s="121" t="s">
        <v>40</v>
      </c>
      <c r="C72" s="65">
        <f>ESE!Z73</f>
        <v>0</v>
      </c>
      <c r="D72" s="65">
        <f>ESE!AA73</f>
        <v>0</v>
      </c>
      <c r="E72" s="65">
        <f>ESE!AB73</f>
        <v>0</v>
      </c>
      <c r="F72" s="65">
        <f>ESE!AC73</f>
        <v>0</v>
      </c>
      <c r="G72" s="65">
        <f>ESE!AD73</f>
        <v>0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ht="16.5" customHeight="1">
      <c r="A73" s="62" t="str">
        <f>ESE!A74</f>
        <v>Student 63</v>
      </c>
      <c r="B73" s="121" t="s">
        <v>40</v>
      </c>
      <c r="C73" s="65">
        <f>ESE!Z74</f>
        <v>0</v>
      </c>
      <c r="D73" s="65">
        <f>ESE!AA74</f>
        <v>0</v>
      </c>
      <c r="E73" s="65">
        <f>ESE!AB74</f>
        <v>0</v>
      </c>
      <c r="F73" s="65">
        <f>ESE!AC74</f>
        <v>0</v>
      </c>
      <c r="G73" s="65">
        <f>ESE!AD74</f>
        <v>0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1:23" ht="16.5" customHeight="1">
      <c r="A74" s="62" t="str">
        <f>ESE!A75</f>
        <v>Student 64</v>
      </c>
      <c r="B74" s="121" t="s">
        <v>40</v>
      </c>
      <c r="C74" s="65">
        <f>ESE!Z75</f>
        <v>0</v>
      </c>
      <c r="D74" s="65">
        <f>ESE!AA75</f>
        <v>0</v>
      </c>
      <c r="E74" s="65">
        <f>ESE!AB75</f>
        <v>0</v>
      </c>
      <c r="F74" s="65">
        <f>ESE!AC75</f>
        <v>0</v>
      </c>
      <c r="G74" s="65">
        <f>ESE!AD75</f>
        <v>0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ht="16.5" customHeight="1">
      <c r="A75" s="62" t="str">
        <f>ESE!A76</f>
        <v>Student 65</v>
      </c>
      <c r="B75" s="121" t="s">
        <v>40</v>
      </c>
      <c r="C75" s="65">
        <f>ESE!Z76</f>
        <v>0</v>
      </c>
      <c r="D75" s="65">
        <f>ESE!AA76</f>
        <v>0</v>
      </c>
      <c r="E75" s="65">
        <f>ESE!AB76</f>
        <v>0</v>
      </c>
      <c r="F75" s="65">
        <f>ESE!AC76</f>
        <v>0</v>
      </c>
      <c r="G75" s="65">
        <f>ESE!AD76</f>
        <v>0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1:23" ht="16.5" customHeight="1">
      <c r="A76" s="62" t="str">
        <f>ESE!A77</f>
        <v>Student 66</v>
      </c>
      <c r="B76" s="121" t="s">
        <v>40</v>
      </c>
      <c r="C76" s="65">
        <f>ESE!Z77</f>
        <v>0</v>
      </c>
      <c r="D76" s="65">
        <f>ESE!AA77</f>
        <v>0</v>
      </c>
      <c r="E76" s="65">
        <f>ESE!AB77</f>
        <v>0</v>
      </c>
      <c r="F76" s="65">
        <f>ESE!AC77</f>
        <v>0</v>
      </c>
      <c r="G76" s="65">
        <f>ESE!AD77</f>
        <v>0</v>
      </c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1:23" ht="16.5" customHeight="1">
      <c r="A77" s="62" t="str">
        <f>ESE!A78</f>
        <v>Student 67</v>
      </c>
      <c r="B77" s="121" t="s">
        <v>40</v>
      </c>
      <c r="C77" s="65">
        <f>ESE!Z78</f>
        <v>0</v>
      </c>
      <c r="D77" s="65">
        <f>ESE!AA78</f>
        <v>0</v>
      </c>
      <c r="E77" s="65">
        <f>ESE!AB78</f>
        <v>0</v>
      </c>
      <c r="F77" s="65">
        <f>ESE!AC78</f>
        <v>0</v>
      </c>
      <c r="G77" s="65">
        <f>ESE!AD78</f>
        <v>0</v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1:23" ht="16.5" customHeight="1">
      <c r="A78" s="62" t="str">
        <f>ESE!A79</f>
        <v>Student 68</v>
      </c>
      <c r="B78" s="121" t="s">
        <v>40</v>
      </c>
      <c r="C78" s="65">
        <f>ESE!Z79</f>
        <v>0</v>
      </c>
      <c r="D78" s="65">
        <f>ESE!AA79</f>
        <v>0</v>
      </c>
      <c r="E78" s="65">
        <f>ESE!AB79</f>
        <v>0</v>
      </c>
      <c r="F78" s="65">
        <f>ESE!AC79</f>
        <v>0</v>
      </c>
      <c r="G78" s="65">
        <f>ESE!AD79</f>
        <v>0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1:23" ht="16.5" customHeight="1">
      <c r="A79" s="62" t="str">
        <f>ESE!A80</f>
        <v>Student 69</v>
      </c>
      <c r="B79" s="121" t="s">
        <v>40</v>
      </c>
      <c r="C79" s="65">
        <f>ESE!Z80</f>
        <v>0</v>
      </c>
      <c r="D79" s="65">
        <f>ESE!AA80</f>
        <v>0</v>
      </c>
      <c r="E79" s="65">
        <f>ESE!AB80</f>
        <v>0</v>
      </c>
      <c r="F79" s="65">
        <f>ESE!AC80</f>
        <v>0</v>
      </c>
      <c r="G79" s="65">
        <f>ESE!AD80</f>
        <v>0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1:23" ht="16.5" customHeight="1">
      <c r="A80" s="62" t="str">
        <f>ESE!A81</f>
        <v>Student 70</v>
      </c>
      <c r="B80" s="121" t="s">
        <v>40</v>
      </c>
      <c r="C80" s="65">
        <f>ESE!Z81</f>
        <v>0</v>
      </c>
      <c r="D80" s="65">
        <f>ESE!AA81</f>
        <v>0</v>
      </c>
      <c r="E80" s="65">
        <f>ESE!AB81</f>
        <v>0</v>
      </c>
      <c r="F80" s="65">
        <f>ESE!AC81</f>
        <v>0</v>
      </c>
      <c r="G80" s="65">
        <f>ESE!AD81</f>
        <v>0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1:23" ht="16.5" customHeight="1">
      <c r="A81" s="62" t="str">
        <f>ESE!A82</f>
        <v>Student 71</v>
      </c>
      <c r="B81" s="121" t="s">
        <v>40</v>
      </c>
      <c r="C81" s="65">
        <f>ESE!Z82</f>
        <v>0</v>
      </c>
      <c r="D81" s="65">
        <f>ESE!AA82</f>
        <v>0</v>
      </c>
      <c r="E81" s="65">
        <f>ESE!AB82</f>
        <v>0</v>
      </c>
      <c r="F81" s="65">
        <f>ESE!AC82</f>
        <v>0</v>
      </c>
      <c r="G81" s="65">
        <f>ESE!AD82</f>
        <v>0</v>
      </c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1:23" ht="16.5" customHeight="1">
      <c r="A82" s="62" t="str">
        <f>ESE!A83</f>
        <v>Student 72</v>
      </c>
      <c r="B82" s="121" t="s">
        <v>40</v>
      </c>
      <c r="C82" s="65">
        <f>ESE!Z83</f>
        <v>0</v>
      </c>
      <c r="D82" s="65">
        <f>ESE!AA83</f>
        <v>0</v>
      </c>
      <c r="E82" s="65">
        <f>ESE!AB83</f>
        <v>0</v>
      </c>
      <c r="F82" s="65">
        <f>ESE!AC83</f>
        <v>0</v>
      </c>
      <c r="G82" s="65">
        <f>ESE!AD83</f>
        <v>0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1:23" ht="16.5" customHeight="1">
      <c r="A83" s="62" t="str">
        <f>ESE!A84</f>
        <v>Student 73</v>
      </c>
      <c r="B83" s="121" t="s">
        <v>40</v>
      </c>
      <c r="C83" s="65">
        <f>ESE!Z84</f>
        <v>0</v>
      </c>
      <c r="D83" s="65">
        <f>ESE!AA84</f>
        <v>0</v>
      </c>
      <c r="E83" s="65">
        <f>ESE!AB84</f>
        <v>0</v>
      </c>
      <c r="F83" s="65">
        <f>ESE!AC84</f>
        <v>0</v>
      </c>
      <c r="G83" s="65">
        <f>ESE!AD84</f>
        <v>0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1:23" ht="16.5" customHeight="1">
      <c r="A84" s="62" t="str">
        <f>ESE!A85</f>
        <v>Student 74</v>
      </c>
      <c r="B84" s="121" t="s">
        <v>40</v>
      </c>
      <c r="C84" s="65">
        <f>ESE!Z85</f>
        <v>0</v>
      </c>
      <c r="D84" s="65">
        <f>ESE!AA85</f>
        <v>0</v>
      </c>
      <c r="E84" s="65">
        <f>ESE!AB85</f>
        <v>0</v>
      </c>
      <c r="F84" s="65">
        <f>ESE!AC85</f>
        <v>0</v>
      </c>
      <c r="G84" s="65">
        <f>ESE!AD85</f>
        <v>0</v>
      </c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spans="1:23" ht="16.5" customHeight="1">
      <c r="A85" s="62" t="str">
        <f>ESE!A86</f>
        <v>Student 75</v>
      </c>
      <c r="B85" s="121" t="s">
        <v>40</v>
      </c>
      <c r="C85" s="65">
        <f>ESE!Z86</f>
        <v>0</v>
      </c>
      <c r="D85" s="65">
        <f>ESE!AA86</f>
        <v>0</v>
      </c>
      <c r="E85" s="65">
        <f>ESE!AB86</f>
        <v>0</v>
      </c>
      <c r="F85" s="65">
        <f>ESE!AC86</f>
        <v>0</v>
      </c>
      <c r="G85" s="65">
        <f>ESE!AD86</f>
        <v>0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 ht="16.5" customHeight="1">
      <c r="A86" s="62" t="str">
        <f>ESE!A87</f>
        <v>Student 76</v>
      </c>
      <c r="B86" s="121" t="s">
        <v>40</v>
      </c>
      <c r="C86" s="65">
        <f>ESE!Z87</f>
        <v>0</v>
      </c>
      <c r="D86" s="65">
        <f>ESE!AA87</f>
        <v>0</v>
      </c>
      <c r="E86" s="65">
        <f>ESE!AB87</f>
        <v>0</v>
      </c>
      <c r="F86" s="65">
        <f>ESE!AC87</f>
        <v>0</v>
      </c>
      <c r="G86" s="65">
        <f>ESE!AD87</f>
        <v>0</v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 ht="16.5" customHeight="1">
      <c r="A87" s="62" t="str">
        <f>ESE!A88</f>
        <v>Student 77</v>
      </c>
      <c r="B87" s="121" t="s">
        <v>40</v>
      </c>
      <c r="C87" s="65">
        <f>ESE!Z88</f>
        <v>0</v>
      </c>
      <c r="D87" s="65">
        <f>ESE!AA88</f>
        <v>0</v>
      </c>
      <c r="E87" s="65">
        <f>ESE!AB88</f>
        <v>0</v>
      </c>
      <c r="F87" s="65">
        <f>ESE!AC88</f>
        <v>0</v>
      </c>
      <c r="G87" s="65">
        <f>ESE!AD88</f>
        <v>0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 ht="16.5" customHeight="1">
      <c r="A88" s="62" t="str">
        <f>ESE!A89</f>
        <v>Student 78</v>
      </c>
      <c r="B88" s="121" t="s">
        <v>40</v>
      </c>
      <c r="C88" s="65">
        <f>ESE!Z89</f>
        <v>0</v>
      </c>
      <c r="D88" s="65">
        <f>ESE!AA89</f>
        <v>0</v>
      </c>
      <c r="E88" s="65">
        <f>ESE!AB89</f>
        <v>0</v>
      </c>
      <c r="F88" s="65">
        <f>ESE!AC89</f>
        <v>0</v>
      </c>
      <c r="G88" s="65">
        <f>ESE!AD89</f>
        <v>0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 ht="16.5" customHeight="1">
      <c r="A89" s="62" t="str">
        <f>ESE!A90</f>
        <v>Student 79</v>
      </c>
      <c r="B89" s="121" t="s">
        <v>40</v>
      </c>
      <c r="C89" s="65">
        <f>ESE!Z90</f>
        <v>0</v>
      </c>
      <c r="D89" s="65">
        <f>ESE!AA90</f>
        <v>0</v>
      </c>
      <c r="E89" s="65">
        <f>ESE!AB90</f>
        <v>0</v>
      </c>
      <c r="F89" s="65">
        <f>ESE!AC90</f>
        <v>0</v>
      </c>
      <c r="G89" s="65">
        <f>ESE!AD90</f>
        <v>0</v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spans="1:23" ht="16.5" customHeight="1">
      <c r="A90" s="62" t="str">
        <f>ESE!A91</f>
        <v>Student 80</v>
      </c>
      <c r="B90" s="121" t="s">
        <v>40</v>
      </c>
      <c r="C90" s="65">
        <f>ESE!Z91</f>
        <v>0</v>
      </c>
      <c r="D90" s="65">
        <f>ESE!AA91</f>
        <v>0</v>
      </c>
      <c r="E90" s="65">
        <f>ESE!AB91</f>
        <v>0</v>
      </c>
      <c r="F90" s="65">
        <f>ESE!AC91</f>
        <v>0</v>
      </c>
      <c r="G90" s="65">
        <f>ESE!AD91</f>
        <v>0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1:23" ht="16.5" customHeight="1">
      <c r="A91" s="62" t="str">
        <f>ESE!A92</f>
        <v>Student 81</v>
      </c>
      <c r="B91" s="121" t="s">
        <v>40</v>
      </c>
      <c r="C91" s="65">
        <f>ESE!Z92</f>
        <v>0</v>
      </c>
      <c r="D91" s="65">
        <f>ESE!AA92</f>
        <v>0</v>
      </c>
      <c r="E91" s="65">
        <f>ESE!AB92</f>
        <v>0</v>
      </c>
      <c r="F91" s="65">
        <f>ESE!AC92</f>
        <v>0</v>
      </c>
      <c r="G91" s="65">
        <f>ESE!AD92</f>
        <v>0</v>
      </c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spans="1:23" ht="16.5" customHeight="1">
      <c r="A92" s="62" t="str">
        <f>ESE!A93</f>
        <v>Student 82</v>
      </c>
      <c r="B92" s="121" t="s">
        <v>40</v>
      </c>
      <c r="C92" s="65">
        <f>ESE!Z93</f>
        <v>0</v>
      </c>
      <c r="D92" s="65">
        <f>ESE!AA93</f>
        <v>0</v>
      </c>
      <c r="E92" s="65">
        <f>ESE!AB93</f>
        <v>0</v>
      </c>
      <c r="F92" s="65">
        <f>ESE!AC93</f>
        <v>0</v>
      </c>
      <c r="G92" s="65">
        <f>ESE!AD93</f>
        <v>0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1:23" ht="16.5" customHeight="1">
      <c r="A93" s="62" t="str">
        <f>ESE!A94</f>
        <v>Student 83</v>
      </c>
      <c r="B93" s="121" t="s">
        <v>40</v>
      </c>
      <c r="C93" s="65">
        <f>ESE!Z94</f>
        <v>0</v>
      </c>
      <c r="D93" s="65">
        <f>ESE!AA94</f>
        <v>0</v>
      </c>
      <c r="E93" s="65">
        <f>ESE!AB94</f>
        <v>0</v>
      </c>
      <c r="F93" s="65">
        <f>ESE!AC94</f>
        <v>0</v>
      </c>
      <c r="G93" s="65">
        <f>ESE!AD94</f>
        <v>0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1:23" ht="16.5" customHeight="1">
      <c r="A94" s="62" t="str">
        <f>ESE!A95</f>
        <v>Student 84</v>
      </c>
      <c r="B94" s="121" t="s">
        <v>40</v>
      </c>
      <c r="C94" s="65">
        <f>ESE!Z95</f>
        <v>0</v>
      </c>
      <c r="D94" s="65">
        <f>ESE!AA95</f>
        <v>0</v>
      </c>
      <c r="E94" s="65">
        <f>ESE!AB95</f>
        <v>0</v>
      </c>
      <c r="F94" s="65">
        <f>ESE!AC95</f>
        <v>0</v>
      </c>
      <c r="G94" s="65">
        <f>ESE!AD95</f>
        <v>0</v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1:23" ht="16.5" customHeight="1">
      <c r="A95" s="62" t="str">
        <f>ESE!A96</f>
        <v>Student 85</v>
      </c>
      <c r="B95" s="121" t="s">
        <v>40</v>
      </c>
      <c r="C95" s="65">
        <f>ESE!Z96</f>
        <v>0</v>
      </c>
      <c r="D95" s="65">
        <f>ESE!AA96</f>
        <v>0</v>
      </c>
      <c r="E95" s="65">
        <f>ESE!AB96</f>
        <v>0</v>
      </c>
      <c r="F95" s="65">
        <f>ESE!AC96</f>
        <v>0</v>
      </c>
      <c r="G95" s="65">
        <f>ESE!AD96</f>
        <v>0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1:23" ht="16.5" customHeight="1">
      <c r="A96" s="62" t="str">
        <f>ESE!A97</f>
        <v>Student 86</v>
      </c>
      <c r="B96" s="121" t="s">
        <v>40</v>
      </c>
      <c r="C96" s="65">
        <f>ESE!Z97</f>
        <v>0</v>
      </c>
      <c r="D96" s="65">
        <f>ESE!AA97</f>
        <v>0</v>
      </c>
      <c r="E96" s="65">
        <f>ESE!AB97</f>
        <v>0</v>
      </c>
      <c r="F96" s="65">
        <f>ESE!AC97</f>
        <v>0</v>
      </c>
      <c r="G96" s="65">
        <f>ESE!AD97</f>
        <v>0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spans="1:23" ht="16.5" customHeight="1">
      <c r="A97" s="62" t="str">
        <f>ESE!A98</f>
        <v>Student 87</v>
      </c>
      <c r="B97" s="121" t="s">
        <v>40</v>
      </c>
      <c r="C97" s="65">
        <f>ESE!Z98</f>
        <v>0</v>
      </c>
      <c r="D97" s="65">
        <f>ESE!AA98</f>
        <v>0</v>
      </c>
      <c r="E97" s="65">
        <f>ESE!AB98</f>
        <v>0</v>
      </c>
      <c r="F97" s="65">
        <f>ESE!AC98</f>
        <v>0</v>
      </c>
      <c r="G97" s="65">
        <f>ESE!AD98</f>
        <v>0</v>
      </c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1:23" ht="16.5" customHeight="1">
      <c r="A98" s="62" t="str">
        <f>ESE!A99</f>
        <v>Student 88</v>
      </c>
      <c r="B98" s="121" t="s">
        <v>40</v>
      </c>
      <c r="C98" s="65">
        <f>ESE!Z99</f>
        <v>0</v>
      </c>
      <c r="D98" s="65">
        <f>ESE!AA99</f>
        <v>0</v>
      </c>
      <c r="E98" s="65">
        <f>ESE!AB99</f>
        <v>0</v>
      </c>
      <c r="F98" s="65">
        <f>ESE!AC99</f>
        <v>0</v>
      </c>
      <c r="G98" s="65">
        <f>ESE!AD99</f>
        <v>0</v>
      </c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spans="1:23" ht="16.5" customHeight="1">
      <c r="A99" s="62" t="str">
        <f>ESE!A100</f>
        <v>Student 89</v>
      </c>
      <c r="B99" s="121" t="s">
        <v>40</v>
      </c>
      <c r="C99" s="65">
        <f>ESE!Z100</f>
        <v>0</v>
      </c>
      <c r="D99" s="65">
        <f>ESE!AA100</f>
        <v>0</v>
      </c>
      <c r="E99" s="65">
        <f>ESE!AB100</f>
        <v>0</v>
      </c>
      <c r="F99" s="65">
        <f>ESE!AC100</f>
        <v>0</v>
      </c>
      <c r="G99" s="65">
        <f>ESE!AD100</f>
        <v>0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spans="1:23" ht="16.5" customHeight="1">
      <c r="A100" s="62" t="str">
        <f>ESE!A101</f>
        <v>Student 90</v>
      </c>
      <c r="B100" s="121" t="s">
        <v>40</v>
      </c>
      <c r="C100" s="65">
        <f>ESE!Z101</f>
        <v>0</v>
      </c>
      <c r="D100" s="65">
        <f>ESE!AA101</f>
        <v>0</v>
      </c>
      <c r="E100" s="65">
        <f>ESE!AB101</f>
        <v>0</v>
      </c>
      <c r="F100" s="65">
        <f>ESE!AC101</f>
        <v>0</v>
      </c>
      <c r="G100" s="65">
        <f>ESE!AD101</f>
        <v>0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spans="1:23" ht="16.5" customHeight="1">
      <c r="A101" s="62" t="str">
        <f>ESE!A102</f>
        <v>Student 91</v>
      </c>
      <c r="B101" s="121" t="s">
        <v>40</v>
      </c>
      <c r="C101" s="65">
        <f>ESE!Z102</f>
        <v>0</v>
      </c>
      <c r="D101" s="65">
        <f>ESE!AA102</f>
        <v>0</v>
      </c>
      <c r="E101" s="65">
        <f>ESE!AB102</f>
        <v>0</v>
      </c>
      <c r="F101" s="65">
        <f>ESE!AC102</f>
        <v>0</v>
      </c>
      <c r="G101" s="65">
        <f>ESE!AD102</f>
        <v>0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3" ht="16.5" customHeight="1">
      <c r="A102" s="62" t="str">
        <f>ESE!A103</f>
        <v>Student 92</v>
      </c>
      <c r="B102" s="121" t="s">
        <v>40</v>
      </c>
      <c r="C102" s="65">
        <f>ESE!Z103</f>
        <v>0</v>
      </c>
      <c r="D102" s="65">
        <f>ESE!AA103</f>
        <v>0</v>
      </c>
      <c r="E102" s="65">
        <f>ESE!AB103</f>
        <v>0</v>
      </c>
      <c r="F102" s="65">
        <f>ESE!AC103</f>
        <v>0</v>
      </c>
      <c r="G102" s="65">
        <f>ESE!AD103</f>
        <v>0</v>
      </c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1:23" ht="16.5" customHeight="1">
      <c r="A103" s="62" t="str">
        <f>ESE!A104</f>
        <v>Student 93</v>
      </c>
      <c r="B103" s="121" t="s">
        <v>40</v>
      </c>
      <c r="C103" s="65">
        <f>ESE!Z104</f>
        <v>0</v>
      </c>
      <c r="D103" s="65">
        <f>ESE!AA104</f>
        <v>0</v>
      </c>
      <c r="E103" s="65">
        <f>ESE!AB104</f>
        <v>0</v>
      </c>
      <c r="F103" s="65">
        <f>ESE!AC104</f>
        <v>0</v>
      </c>
      <c r="G103" s="65">
        <f>ESE!AD104</f>
        <v>0</v>
      </c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1:23" ht="16.5" customHeight="1">
      <c r="A104" s="62" t="str">
        <f>ESE!A105</f>
        <v>Student 94</v>
      </c>
      <c r="B104" s="121" t="s">
        <v>40</v>
      </c>
      <c r="C104" s="65">
        <f>ESE!Z105</f>
        <v>0</v>
      </c>
      <c r="D104" s="65">
        <f>ESE!AA105</f>
        <v>0</v>
      </c>
      <c r="E104" s="65">
        <f>ESE!AB105</f>
        <v>0</v>
      </c>
      <c r="F104" s="65">
        <f>ESE!AC105</f>
        <v>0</v>
      </c>
      <c r="G104" s="65">
        <f>ESE!AD105</f>
        <v>0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 ht="16.5" customHeight="1">
      <c r="A105" s="62" t="str">
        <f>ESE!A106</f>
        <v>Student 95</v>
      </c>
      <c r="B105" s="121" t="s">
        <v>40</v>
      </c>
      <c r="C105" s="65">
        <f>ESE!Z106</f>
        <v>0</v>
      </c>
      <c r="D105" s="65">
        <f>ESE!AA106</f>
        <v>0</v>
      </c>
      <c r="E105" s="65">
        <f>ESE!AB106</f>
        <v>0</v>
      </c>
      <c r="F105" s="65">
        <f>ESE!AC106</f>
        <v>0</v>
      </c>
      <c r="G105" s="65">
        <f>ESE!AD106</f>
        <v>0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spans="1:23" ht="16.5" customHeight="1">
      <c r="A106" s="62" t="str">
        <f>ESE!A107</f>
        <v>Student 96</v>
      </c>
      <c r="B106" s="121" t="s">
        <v>40</v>
      </c>
      <c r="C106" s="65">
        <f>ESE!Z107</f>
        <v>0</v>
      </c>
      <c r="D106" s="65">
        <f>ESE!AA107</f>
        <v>0</v>
      </c>
      <c r="E106" s="65">
        <f>ESE!AB107</f>
        <v>0</v>
      </c>
      <c r="F106" s="65">
        <f>ESE!AC107</f>
        <v>0</v>
      </c>
      <c r="G106" s="65">
        <f>ESE!AD107</f>
        <v>0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spans="1:23" ht="16.5" customHeight="1">
      <c r="A107" s="62" t="str">
        <f>ESE!A108</f>
        <v>Student 97</v>
      </c>
      <c r="B107" s="121" t="s">
        <v>40</v>
      </c>
      <c r="C107" s="65">
        <f>ESE!Z108</f>
        <v>0</v>
      </c>
      <c r="D107" s="65">
        <f>ESE!AA108</f>
        <v>0</v>
      </c>
      <c r="E107" s="65">
        <f>ESE!AB108</f>
        <v>0</v>
      </c>
      <c r="F107" s="65">
        <f>ESE!AC108</f>
        <v>0</v>
      </c>
      <c r="G107" s="65">
        <f>ESE!AD108</f>
        <v>0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1:23" ht="16.5" customHeight="1">
      <c r="A108" s="62" t="str">
        <f>ESE!A109</f>
        <v>Student 98</v>
      </c>
      <c r="B108" s="121" t="s">
        <v>40</v>
      </c>
      <c r="C108" s="65">
        <f>ESE!Z109</f>
        <v>0</v>
      </c>
      <c r="D108" s="65">
        <f>ESE!AA109</f>
        <v>0</v>
      </c>
      <c r="E108" s="65">
        <f>ESE!AB109</f>
        <v>0</v>
      </c>
      <c r="F108" s="65">
        <f>ESE!AC109</f>
        <v>0</v>
      </c>
      <c r="G108" s="65">
        <f>ESE!AD109</f>
        <v>0</v>
      </c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1:23" ht="16.5" customHeight="1">
      <c r="A109" s="62" t="str">
        <f>ESE!A110</f>
        <v>Student 99</v>
      </c>
      <c r="B109" s="121" t="s">
        <v>40</v>
      </c>
      <c r="C109" s="65">
        <f>ESE!Z110</f>
        <v>0</v>
      </c>
      <c r="D109" s="65">
        <f>ESE!AA110</f>
        <v>0</v>
      </c>
      <c r="E109" s="65">
        <f>ESE!AB110</f>
        <v>0</v>
      </c>
      <c r="F109" s="65">
        <f>ESE!AC110</f>
        <v>0</v>
      </c>
      <c r="G109" s="65">
        <f>ESE!AD110</f>
        <v>0</v>
      </c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1:23" ht="16.5" customHeight="1">
      <c r="A110" s="62" t="str">
        <f>ESE!A111</f>
        <v>Student 100</v>
      </c>
      <c r="B110" s="121" t="s">
        <v>40</v>
      </c>
      <c r="C110" s="65">
        <f>ESE!Z111</f>
        <v>0</v>
      </c>
      <c r="D110" s="65">
        <f>ESE!AA111</f>
        <v>0</v>
      </c>
      <c r="E110" s="65">
        <f>ESE!AB111</f>
        <v>0</v>
      </c>
      <c r="F110" s="65">
        <f>ESE!AC111</f>
        <v>0</v>
      </c>
      <c r="G110" s="65">
        <f>ESE!AD111</f>
        <v>0</v>
      </c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1:23" ht="16.5" customHeight="1">
      <c r="A111" s="62" t="str">
        <f>ESE!A112</f>
        <v>Student 101</v>
      </c>
      <c r="B111" s="121" t="s">
        <v>40</v>
      </c>
      <c r="C111" s="65">
        <f>ESE!Z112</f>
        <v>0</v>
      </c>
      <c r="D111" s="65">
        <f>ESE!AA112</f>
        <v>0</v>
      </c>
      <c r="E111" s="65">
        <f>ESE!AB112</f>
        <v>0</v>
      </c>
      <c r="F111" s="65">
        <f>ESE!AC112</f>
        <v>0</v>
      </c>
      <c r="G111" s="65">
        <f>ESE!AD112</f>
        <v>0</v>
      </c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1:23" ht="16.5" customHeight="1">
      <c r="A112" s="62" t="str">
        <f>ESE!A113</f>
        <v>Student 102</v>
      </c>
      <c r="B112" s="121" t="s">
        <v>40</v>
      </c>
      <c r="C112" s="65">
        <f>ESE!Z113</f>
        <v>0</v>
      </c>
      <c r="D112" s="65">
        <f>ESE!AA113</f>
        <v>0</v>
      </c>
      <c r="E112" s="65">
        <f>ESE!AB113</f>
        <v>0</v>
      </c>
      <c r="F112" s="65">
        <f>ESE!AC113</f>
        <v>0</v>
      </c>
      <c r="G112" s="65">
        <f>ESE!AD113</f>
        <v>0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spans="1:23" ht="16.5" customHeight="1">
      <c r="A113" s="62" t="str">
        <f>ESE!A114</f>
        <v>Student 103</v>
      </c>
      <c r="B113" s="121" t="s">
        <v>40</v>
      </c>
      <c r="C113" s="65">
        <f>ESE!Z114</f>
        <v>0</v>
      </c>
      <c r="D113" s="65">
        <f>ESE!AA114</f>
        <v>0</v>
      </c>
      <c r="E113" s="65">
        <f>ESE!AB114</f>
        <v>0</v>
      </c>
      <c r="F113" s="65">
        <f>ESE!AC114</f>
        <v>0</v>
      </c>
      <c r="G113" s="65">
        <f>ESE!AD114</f>
        <v>0</v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spans="1:23" ht="16.5" customHeight="1">
      <c r="A114" s="62" t="str">
        <f>ESE!A115</f>
        <v>Student 104</v>
      </c>
      <c r="B114" s="121" t="s">
        <v>40</v>
      </c>
      <c r="C114" s="65">
        <f>ESE!Z115</f>
        <v>0</v>
      </c>
      <c r="D114" s="65">
        <f>ESE!AA115</f>
        <v>0</v>
      </c>
      <c r="E114" s="65">
        <f>ESE!AB115</f>
        <v>0</v>
      </c>
      <c r="F114" s="65">
        <f>ESE!AC115</f>
        <v>0</v>
      </c>
      <c r="G114" s="65">
        <f>ESE!AD115</f>
        <v>0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1:23" ht="16.5" customHeight="1">
      <c r="A115" s="62" t="str">
        <f>ESE!A116</f>
        <v>Student 105</v>
      </c>
      <c r="B115" s="121" t="s">
        <v>40</v>
      </c>
      <c r="C115" s="65">
        <f>ESE!Z116</f>
        <v>0</v>
      </c>
      <c r="D115" s="65">
        <f>ESE!AA116</f>
        <v>0</v>
      </c>
      <c r="E115" s="65">
        <f>ESE!AB116</f>
        <v>0</v>
      </c>
      <c r="F115" s="65">
        <f>ESE!AC116</f>
        <v>0</v>
      </c>
      <c r="G115" s="65">
        <f>ESE!AD116</f>
        <v>0</v>
      </c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1:23" ht="16.5" customHeight="1">
      <c r="A116" s="62" t="str">
        <f>ESE!A117</f>
        <v>Student 106</v>
      </c>
      <c r="B116" s="121" t="s">
        <v>40</v>
      </c>
      <c r="C116" s="65">
        <f>ESE!Z117</f>
        <v>0</v>
      </c>
      <c r="D116" s="65">
        <f>ESE!AA117</f>
        <v>0</v>
      </c>
      <c r="E116" s="65">
        <f>ESE!AB117</f>
        <v>0</v>
      </c>
      <c r="F116" s="65">
        <f>ESE!AC117</f>
        <v>0</v>
      </c>
      <c r="G116" s="65">
        <f>ESE!AD117</f>
        <v>0</v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spans="1:23" ht="16.5" customHeight="1">
      <c r="A117" s="62" t="str">
        <f>ESE!A118</f>
        <v>Student 107</v>
      </c>
      <c r="B117" s="121" t="s">
        <v>40</v>
      </c>
      <c r="C117" s="65">
        <f>ESE!Z118</f>
        <v>0</v>
      </c>
      <c r="D117" s="65">
        <f>ESE!AA118</f>
        <v>0</v>
      </c>
      <c r="E117" s="65">
        <f>ESE!AB118</f>
        <v>0</v>
      </c>
      <c r="F117" s="65">
        <f>ESE!AC118</f>
        <v>0</v>
      </c>
      <c r="G117" s="65">
        <f>ESE!AD118</f>
        <v>0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spans="1:23" ht="16.5" customHeight="1">
      <c r="A118" s="62" t="str">
        <f>ESE!A119</f>
        <v>Student 108</v>
      </c>
      <c r="B118" s="121" t="s">
        <v>40</v>
      </c>
      <c r="C118" s="65">
        <f>ESE!Z119</f>
        <v>0</v>
      </c>
      <c r="D118" s="65">
        <f>ESE!AA119</f>
        <v>0</v>
      </c>
      <c r="E118" s="65">
        <f>ESE!AB119</f>
        <v>0</v>
      </c>
      <c r="F118" s="65">
        <f>ESE!AC119</f>
        <v>0</v>
      </c>
      <c r="G118" s="65">
        <f>ESE!AD119</f>
        <v>0</v>
      </c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1:23" ht="16.5" customHeight="1">
      <c r="A119" s="62" t="str">
        <f>ESE!A120</f>
        <v>Student 109</v>
      </c>
      <c r="B119" s="121" t="s">
        <v>40</v>
      </c>
      <c r="C119" s="65">
        <f>ESE!Z120</f>
        <v>0</v>
      </c>
      <c r="D119" s="65">
        <f>ESE!AA120</f>
        <v>0</v>
      </c>
      <c r="E119" s="65">
        <f>ESE!AB120</f>
        <v>0</v>
      </c>
      <c r="F119" s="65">
        <f>ESE!AC120</f>
        <v>0</v>
      </c>
      <c r="G119" s="65">
        <f>ESE!AD120</f>
        <v>0</v>
      </c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spans="1:23" ht="16.5" customHeight="1">
      <c r="A120" s="62" t="str">
        <f>ESE!A121</f>
        <v>Student 110</v>
      </c>
      <c r="B120" s="121" t="s">
        <v>40</v>
      </c>
      <c r="C120" s="65">
        <f>ESE!Z121</f>
        <v>0</v>
      </c>
      <c r="D120" s="65">
        <f>ESE!AA121</f>
        <v>0</v>
      </c>
      <c r="E120" s="65">
        <f>ESE!AB121</f>
        <v>0</v>
      </c>
      <c r="F120" s="65">
        <f>ESE!AC121</f>
        <v>0</v>
      </c>
      <c r="G120" s="65">
        <f>ESE!AD121</f>
        <v>0</v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spans="1:23" ht="16.5" customHeight="1">
      <c r="A121" s="62" t="str">
        <f>ESE!A122</f>
        <v>Student 111</v>
      </c>
      <c r="B121" s="121" t="s">
        <v>40</v>
      </c>
      <c r="C121" s="65">
        <f>ESE!Z122</f>
        <v>0</v>
      </c>
      <c r="D121" s="65">
        <f>ESE!AA122</f>
        <v>0</v>
      </c>
      <c r="E121" s="65">
        <f>ESE!AB122</f>
        <v>0</v>
      </c>
      <c r="F121" s="65">
        <f>ESE!AC122</f>
        <v>0</v>
      </c>
      <c r="G121" s="65">
        <f>ESE!AD122</f>
        <v>0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1:23" ht="16.5" customHeight="1">
      <c r="A122" s="62" t="str">
        <f>ESE!A123</f>
        <v>Student 112</v>
      </c>
      <c r="B122" s="121" t="s">
        <v>40</v>
      </c>
      <c r="C122" s="65">
        <f>ESE!Z123</f>
        <v>0</v>
      </c>
      <c r="D122" s="65">
        <f>ESE!AA123</f>
        <v>0</v>
      </c>
      <c r="E122" s="65">
        <f>ESE!AB123</f>
        <v>0</v>
      </c>
      <c r="F122" s="65">
        <f>ESE!AC123</f>
        <v>0</v>
      </c>
      <c r="G122" s="65">
        <f>ESE!AD123</f>
        <v>0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spans="1:23" ht="16.5" customHeight="1">
      <c r="A123" s="62" t="str">
        <f>ESE!A124</f>
        <v>Student 113</v>
      </c>
      <c r="B123" s="121" t="s">
        <v>40</v>
      </c>
      <c r="C123" s="65">
        <f>ESE!Z124</f>
        <v>0</v>
      </c>
      <c r="D123" s="65">
        <f>ESE!AA124</f>
        <v>0</v>
      </c>
      <c r="E123" s="65">
        <f>ESE!AB124</f>
        <v>0</v>
      </c>
      <c r="F123" s="65">
        <f>ESE!AC124</f>
        <v>0</v>
      </c>
      <c r="G123" s="65">
        <f>ESE!AD124</f>
        <v>0</v>
      </c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spans="1:23" ht="16.5" customHeight="1">
      <c r="A124" s="62" t="str">
        <f>ESE!A125</f>
        <v>Student 114</v>
      </c>
      <c r="B124" s="121" t="s">
        <v>40</v>
      </c>
      <c r="C124" s="65">
        <f>ESE!Z125</f>
        <v>0</v>
      </c>
      <c r="D124" s="65">
        <f>ESE!AA125</f>
        <v>0</v>
      </c>
      <c r="E124" s="65">
        <f>ESE!AB125</f>
        <v>0</v>
      </c>
      <c r="F124" s="65">
        <f>ESE!AC125</f>
        <v>0</v>
      </c>
      <c r="G124" s="65">
        <f>ESE!AD125</f>
        <v>0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spans="1:23" ht="16.5" customHeight="1">
      <c r="A125" s="62" t="str">
        <f>ESE!A126</f>
        <v>Student 115</v>
      </c>
      <c r="B125" s="121" t="s">
        <v>40</v>
      </c>
      <c r="C125" s="65">
        <f>ESE!Z126</f>
        <v>0</v>
      </c>
      <c r="D125" s="65">
        <f>ESE!AA126</f>
        <v>0</v>
      </c>
      <c r="E125" s="65">
        <f>ESE!AB126</f>
        <v>0</v>
      </c>
      <c r="F125" s="65">
        <f>ESE!AC126</f>
        <v>0</v>
      </c>
      <c r="G125" s="65">
        <f>ESE!AD126</f>
        <v>0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spans="1:23" ht="16.5" customHeight="1">
      <c r="A126" s="62" t="str">
        <f>ESE!A127</f>
        <v>Student 116</v>
      </c>
      <c r="B126" s="121" t="s">
        <v>40</v>
      </c>
      <c r="C126" s="65">
        <f>ESE!Z127</f>
        <v>0</v>
      </c>
      <c r="D126" s="65">
        <f>ESE!AA127</f>
        <v>0</v>
      </c>
      <c r="E126" s="65">
        <f>ESE!AB127</f>
        <v>0</v>
      </c>
      <c r="F126" s="65">
        <f>ESE!AC127</f>
        <v>0</v>
      </c>
      <c r="G126" s="65">
        <f>ESE!AD127</f>
        <v>0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spans="1:23" ht="16.5" customHeight="1">
      <c r="A127" s="62" t="str">
        <f>ESE!A128</f>
        <v>Student 117</v>
      </c>
      <c r="B127" s="121" t="s">
        <v>40</v>
      </c>
      <c r="C127" s="65">
        <f>ESE!Z128</f>
        <v>0</v>
      </c>
      <c r="D127" s="65">
        <f>ESE!AA128</f>
        <v>0</v>
      </c>
      <c r="E127" s="65">
        <f>ESE!AB128</f>
        <v>0</v>
      </c>
      <c r="F127" s="65">
        <f>ESE!AC128</f>
        <v>0</v>
      </c>
      <c r="G127" s="65">
        <f>ESE!AD128</f>
        <v>0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spans="1:23" ht="16.5" customHeight="1">
      <c r="A128" s="62" t="str">
        <f>ESE!A129</f>
        <v>Student 118</v>
      </c>
      <c r="B128" s="121" t="s">
        <v>40</v>
      </c>
      <c r="C128" s="65">
        <f>ESE!Z129</f>
        <v>0</v>
      </c>
      <c r="D128" s="65">
        <f>ESE!AA129</f>
        <v>0</v>
      </c>
      <c r="E128" s="65">
        <f>ESE!AB129</f>
        <v>0</v>
      </c>
      <c r="F128" s="65">
        <f>ESE!AC129</f>
        <v>0</v>
      </c>
      <c r="G128" s="65">
        <f>ESE!AD129</f>
        <v>0</v>
      </c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spans="1:23" ht="16.5" customHeight="1">
      <c r="A129" s="62" t="str">
        <f>ESE!A130</f>
        <v>Student 119</v>
      </c>
      <c r="B129" s="121" t="s">
        <v>40</v>
      </c>
      <c r="C129" s="65">
        <f>ESE!Z130</f>
        <v>0</v>
      </c>
      <c r="D129" s="65">
        <f>ESE!AA130</f>
        <v>0</v>
      </c>
      <c r="E129" s="65">
        <f>ESE!AB130</f>
        <v>0</v>
      </c>
      <c r="F129" s="65">
        <f>ESE!AC130</f>
        <v>0</v>
      </c>
      <c r="G129" s="65">
        <f>ESE!AD130</f>
        <v>0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spans="1:23" ht="16.5" customHeight="1">
      <c r="A130" s="62" t="str">
        <f>ESE!A131</f>
        <v>Student 120</v>
      </c>
      <c r="B130" s="121" t="s">
        <v>40</v>
      </c>
      <c r="C130" s="65">
        <f>ESE!Z131</f>
        <v>0</v>
      </c>
      <c r="D130" s="65">
        <f>ESE!AA131</f>
        <v>0</v>
      </c>
      <c r="E130" s="65">
        <f>ESE!AB131</f>
        <v>0</v>
      </c>
      <c r="F130" s="65">
        <f>ESE!AC131</f>
        <v>0</v>
      </c>
      <c r="G130" s="65">
        <f>ESE!AD131</f>
        <v>0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spans="1:23" ht="16.5" customHeight="1">
      <c r="A131" s="62" t="str">
        <f>ESE!A132</f>
        <v>Student 121</v>
      </c>
      <c r="B131" s="121" t="s">
        <v>40</v>
      </c>
      <c r="C131" s="65">
        <f>ESE!Z132</f>
        <v>0</v>
      </c>
      <c r="D131" s="65">
        <f>ESE!AA132</f>
        <v>0</v>
      </c>
      <c r="E131" s="65">
        <f>ESE!AB132</f>
        <v>0</v>
      </c>
      <c r="F131" s="65">
        <f>ESE!AC132</f>
        <v>0</v>
      </c>
      <c r="G131" s="65">
        <f>ESE!AD132</f>
        <v>0</v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spans="1:23" ht="16.5" customHeight="1">
      <c r="A132" s="62" t="str">
        <f>ESE!A133</f>
        <v>Student 122</v>
      </c>
      <c r="B132" s="121" t="s">
        <v>40</v>
      </c>
      <c r="C132" s="65">
        <f>ESE!Z133</f>
        <v>0</v>
      </c>
      <c r="D132" s="65">
        <f>ESE!AA133</f>
        <v>0</v>
      </c>
      <c r="E132" s="65">
        <f>ESE!AB133</f>
        <v>0</v>
      </c>
      <c r="F132" s="65">
        <f>ESE!AC133</f>
        <v>0</v>
      </c>
      <c r="G132" s="65">
        <f>ESE!AD133</f>
        <v>0</v>
      </c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spans="1:23" ht="16.5" customHeight="1">
      <c r="A133" s="62" t="str">
        <f>ESE!A134</f>
        <v>Student 123</v>
      </c>
      <c r="B133" s="121" t="s">
        <v>40</v>
      </c>
      <c r="C133" s="65">
        <f>ESE!Z134</f>
        <v>0</v>
      </c>
      <c r="D133" s="65">
        <f>ESE!AA134</f>
        <v>0</v>
      </c>
      <c r="E133" s="65">
        <f>ESE!AB134</f>
        <v>0</v>
      </c>
      <c r="F133" s="65">
        <f>ESE!AC134</f>
        <v>0</v>
      </c>
      <c r="G133" s="65">
        <f>ESE!AD134</f>
        <v>0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spans="1:23" ht="16.5" customHeight="1">
      <c r="A134" s="62" t="str">
        <f>ESE!A135</f>
        <v>Student 124</v>
      </c>
      <c r="B134" s="121" t="s">
        <v>40</v>
      </c>
      <c r="C134" s="65">
        <f>ESE!Z135</f>
        <v>0</v>
      </c>
      <c r="D134" s="65">
        <f>ESE!AA135</f>
        <v>0</v>
      </c>
      <c r="E134" s="65">
        <f>ESE!AB135</f>
        <v>0</v>
      </c>
      <c r="F134" s="65">
        <f>ESE!AC135</f>
        <v>0</v>
      </c>
      <c r="G134" s="65">
        <f>ESE!AD135</f>
        <v>0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spans="1:23" ht="16.5" customHeight="1">
      <c r="A135" s="62" t="str">
        <f>ESE!A136</f>
        <v>Student 125</v>
      </c>
      <c r="B135" s="121" t="s">
        <v>40</v>
      </c>
      <c r="C135" s="65">
        <f>ESE!Z136</f>
        <v>0</v>
      </c>
      <c r="D135" s="65">
        <f>ESE!AA136</f>
        <v>0</v>
      </c>
      <c r="E135" s="65">
        <f>ESE!AB136</f>
        <v>0</v>
      </c>
      <c r="F135" s="65">
        <f>ESE!AC136</f>
        <v>0</v>
      </c>
      <c r="G135" s="65">
        <f>ESE!AD136</f>
        <v>0</v>
      </c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spans="1:23" ht="16.5" customHeight="1">
      <c r="A136" s="62" t="str">
        <f>ESE!A137</f>
        <v>Student 126</v>
      </c>
      <c r="B136" s="121" t="s">
        <v>40</v>
      </c>
      <c r="C136" s="65">
        <f>ESE!Z137</f>
        <v>0</v>
      </c>
      <c r="D136" s="65">
        <f>ESE!AA137</f>
        <v>0</v>
      </c>
      <c r="E136" s="65">
        <f>ESE!AB137</f>
        <v>0</v>
      </c>
      <c r="F136" s="65">
        <f>ESE!AC137</f>
        <v>0</v>
      </c>
      <c r="G136" s="65">
        <f>ESE!AD137</f>
        <v>0</v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spans="1:23" ht="16.5" customHeight="1">
      <c r="A137" s="62" t="str">
        <f>ESE!A138</f>
        <v>Student 127</v>
      </c>
      <c r="B137" s="121" t="s">
        <v>40</v>
      </c>
      <c r="C137" s="65">
        <f>ESE!Z138</f>
        <v>0</v>
      </c>
      <c r="D137" s="65">
        <f>ESE!AA138</f>
        <v>0</v>
      </c>
      <c r="E137" s="65">
        <f>ESE!AB138</f>
        <v>0</v>
      </c>
      <c r="F137" s="65">
        <f>ESE!AC138</f>
        <v>0</v>
      </c>
      <c r="G137" s="65">
        <f>ESE!AD138</f>
        <v>0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spans="1:23" ht="16.5" customHeight="1">
      <c r="A138" s="62" t="str">
        <f>ESE!A139</f>
        <v>Student 128</v>
      </c>
      <c r="B138" s="121" t="s">
        <v>40</v>
      </c>
      <c r="C138" s="65">
        <f>ESE!Z139</f>
        <v>0</v>
      </c>
      <c r="D138" s="65">
        <f>ESE!AA139</f>
        <v>0</v>
      </c>
      <c r="E138" s="65">
        <f>ESE!AB139</f>
        <v>0</v>
      </c>
      <c r="F138" s="65">
        <f>ESE!AC139</f>
        <v>0</v>
      </c>
      <c r="G138" s="65">
        <f>ESE!AD139</f>
        <v>0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spans="1:23" ht="16.5" customHeight="1">
      <c r="A139" s="62" t="str">
        <f>ESE!A140</f>
        <v>Student 129</v>
      </c>
      <c r="B139" s="121" t="s">
        <v>40</v>
      </c>
      <c r="C139" s="65">
        <f>ESE!Z140</f>
        <v>0</v>
      </c>
      <c r="D139" s="65">
        <f>ESE!AA140</f>
        <v>0</v>
      </c>
      <c r="E139" s="65">
        <f>ESE!AB140</f>
        <v>0</v>
      </c>
      <c r="F139" s="65">
        <f>ESE!AC140</f>
        <v>0</v>
      </c>
      <c r="G139" s="65">
        <f>ESE!AD140</f>
        <v>0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spans="1:23" ht="16.5" customHeight="1">
      <c r="A140" s="62" t="str">
        <f>ESE!A141</f>
        <v>Student 130</v>
      </c>
      <c r="B140" s="121" t="s">
        <v>40</v>
      </c>
      <c r="C140" s="65">
        <f>ESE!Z141</f>
        <v>0</v>
      </c>
      <c r="D140" s="65">
        <f>ESE!AA141</f>
        <v>0</v>
      </c>
      <c r="E140" s="65">
        <f>ESE!AB141</f>
        <v>0</v>
      </c>
      <c r="F140" s="65">
        <f>ESE!AC141</f>
        <v>0</v>
      </c>
      <c r="G140" s="65">
        <f>ESE!AD141</f>
        <v>0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spans="1:23" ht="16.5" customHeight="1">
      <c r="A141" s="62" t="str">
        <f>ESE!A142</f>
        <v>Student 131</v>
      </c>
      <c r="B141" s="121" t="s">
        <v>40</v>
      </c>
      <c r="C141" s="65">
        <f>ESE!Z142</f>
        <v>0</v>
      </c>
      <c r="D141" s="65">
        <f>ESE!AA142</f>
        <v>0</v>
      </c>
      <c r="E141" s="65">
        <f>ESE!AB142</f>
        <v>0</v>
      </c>
      <c r="F141" s="65">
        <f>ESE!AC142</f>
        <v>0</v>
      </c>
      <c r="G141" s="65">
        <f>ESE!AD142</f>
        <v>0</v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spans="1:23" ht="16.5" customHeight="1">
      <c r="A142" s="62" t="str">
        <f>ESE!A143</f>
        <v>Student 132</v>
      </c>
      <c r="B142" s="121" t="s">
        <v>40</v>
      </c>
      <c r="C142" s="65">
        <f>ESE!Z143</f>
        <v>0</v>
      </c>
      <c r="D142" s="65">
        <f>ESE!AA143</f>
        <v>0</v>
      </c>
      <c r="E142" s="65">
        <f>ESE!AB143</f>
        <v>0</v>
      </c>
      <c r="F142" s="65">
        <f>ESE!AC143</f>
        <v>0</v>
      </c>
      <c r="G142" s="65">
        <f>ESE!AD143</f>
        <v>0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spans="1:23" ht="16.5" customHeight="1">
      <c r="A143" s="62" t="str">
        <f>ESE!A144</f>
        <v>Student 133</v>
      </c>
      <c r="B143" s="121" t="s">
        <v>40</v>
      </c>
      <c r="C143" s="65">
        <f>ESE!Z144</f>
        <v>0</v>
      </c>
      <c r="D143" s="65">
        <f>ESE!AA144</f>
        <v>0</v>
      </c>
      <c r="E143" s="65">
        <f>ESE!AB144</f>
        <v>0</v>
      </c>
      <c r="F143" s="65">
        <f>ESE!AC144</f>
        <v>0</v>
      </c>
      <c r="G143" s="65">
        <f>ESE!AD144</f>
        <v>0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spans="1:23" ht="16.5" customHeight="1">
      <c r="A144" s="62" t="str">
        <f>ESE!A145</f>
        <v>Student 134</v>
      </c>
      <c r="B144" s="121" t="s">
        <v>40</v>
      </c>
      <c r="C144" s="65">
        <f>ESE!Z145</f>
        <v>0</v>
      </c>
      <c r="D144" s="65">
        <f>ESE!AA145</f>
        <v>0</v>
      </c>
      <c r="E144" s="65">
        <f>ESE!AB145</f>
        <v>0</v>
      </c>
      <c r="F144" s="65">
        <f>ESE!AC145</f>
        <v>0</v>
      </c>
      <c r="G144" s="65">
        <f>ESE!AD145</f>
        <v>0</v>
      </c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spans="1:23" ht="16.5" customHeight="1">
      <c r="A145" s="62" t="str">
        <f>ESE!A146</f>
        <v>Student 135</v>
      </c>
      <c r="B145" s="121" t="s">
        <v>40</v>
      </c>
      <c r="C145" s="65">
        <f>ESE!Z146</f>
        <v>0</v>
      </c>
      <c r="D145" s="65">
        <f>ESE!AA146</f>
        <v>0</v>
      </c>
      <c r="E145" s="65">
        <f>ESE!AB146</f>
        <v>0</v>
      </c>
      <c r="F145" s="65">
        <f>ESE!AC146</f>
        <v>0</v>
      </c>
      <c r="G145" s="65">
        <f>ESE!AD146</f>
        <v>0</v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spans="1:23" ht="16.5" customHeight="1">
      <c r="A146" s="62" t="str">
        <f>ESE!A147</f>
        <v>Student 136</v>
      </c>
      <c r="B146" s="121" t="s">
        <v>40</v>
      </c>
      <c r="C146" s="65">
        <f>ESE!Z147</f>
        <v>0</v>
      </c>
      <c r="D146" s="65">
        <f>ESE!AA147</f>
        <v>0</v>
      </c>
      <c r="E146" s="65">
        <f>ESE!AB147</f>
        <v>0</v>
      </c>
      <c r="F146" s="65">
        <f>ESE!AC147</f>
        <v>0</v>
      </c>
      <c r="G146" s="65">
        <f>ESE!AD147</f>
        <v>0</v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spans="1:23" ht="16.5" customHeight="1">
      <c r="A147" s="62" t="str">
        <f>ESE!A148</f>
        <v>Student 137</v>
      </c>
      <c r="B147" s="121" t="s">
        <v>40</v>
      </c>
      <c r="C147" s="65">
        <f>ESE!Z148</f>
        <v>0</v>
      </c>
      <c r="D147" s="65">
        <f>ESE!AA148</f>
        <v>0</v>
      </c>
      <c r="E147" s="65">
        <f>ESE!AB148</f>
        <v>0</v>
      </c>
      <c r="F147" s="65">
        <f>ESE!AC148</f>
        <v>0</v>
      </c>
      <c r="G147" s="65">
        <f>ESE!AD148</f>
        <v>0</v>
      </c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spans="1:23" ht="16.5" customHeight="1">
      <c r="A148" s="62" t="str">
        <f>ESE!A149</f>
        <v>Student 138</v>
      </c>
      <c r="B148" s="121" t="s">
        <v>40</v>
      </c>
      <c r="C148" s="65">
        <f>ESE!Z149</f>
        <v>0</v>
      </c>
      <c r="D148" s="65">
        <f>ESE!AA149</f>
        <v>0</v>
      </c>
      <c r="E148" s="65">
        <f>ESE!AB149</f>
        <v>0</v>
      </c>
      <c r="F148" s="65">
        <f>ESE!AC149</f>
        <v>0</v>
      </c>
      <c r="G148" s="65">
        <f>ESE!AD149</f>
        <v>0</v>
      </c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spans="1:23" ht="16.5" customHeight="1">
      <c r="A149" s="62" t="str">
        <f>ESE!A150</f>
        <v>Student 139</v>
      </c>
      <c r="B149" s="121" t="s">
        <v>40</v>
      </c>
      <c r="C149" s="65">
        <f>ESE!Z150</f>
        <v>0</v>
      </c>
      <c r="D149" s="65">
        <f>ESE!AA150</f>
        <v>0</v>
      </c>
      <c r="E149" s="65">
        <f>ESE!AB150</f>
        <v>0</v>
      </c>
      <c r="F149" s="65">
        <f>ESE!AC150</f>
        <v>0</v>
      </c>
      <c r="G149" s="65">
        <f>ESE!AD150</f>
        <v>0</v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spans="1:23" ht="16.5" customHeight="1">
      <c r="A150" s="62" t="str">
        <f>ESE!A151</f>
        <v>Student 140</v>
      </c>
      <c r="B150" s="121" t="s">
        <v>40</v>
      </c>
      <c r="C150" s="65">
        <f>ESE!Z151</f>
        <v>0</v>
      </c>
      <c r="D150" s="65">
        <f>ESE!AA151</f>
        <v>0</v>
      </c>
      <c r="E150" s="65">
        <f>ESE!AB151</f>
        <v>0</v>
      </c>
      <c r="F150" s="65">
        <f>ESE!AC151</f>
        <v>0</v>
      </c>
      <c r="G150" s="65">
        <f>ESE!AD151</f>
        <v>0</v>
      </c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spans="1:23" ht="16.5" customHeight="1">
      <c r="A151" s="62" t="str">
        <f>ESE!A152</f>
        <v>Student 141</v>
      </c>
      <c r="B151" s="121" t="s">
        <v>40</v>
      </c>
      <c r="C151" s="65">
        <f>ESE!Z152</f>
        <v>0</v>
      </c>
      <c r="D151" s="65">
        <f>ESE!AA152</f>
        <v>0</v>
      </c>
      <c r="E151" s="65">
        <f>ESE!AB152</f>
        <v>0</v>
      </c>
      <c r="F151" s="65">
        <f>ESE!AC152</f>
        <v>0</v>
      </c>
      <c r="G151" s="65">
        <f>ESE!AD152</f>
        <v>0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spans="1:23" ht="16.5" customHeight="1">
      <c r="A152" s="62" t="str">
        <f>ESE!A153</f>
        <v>Student 142</v>
      </c>
      <c r="B152" s="121" t="s">
        <v>40</v>
      </c>
      <c r="C152" s="65">
        <f>ESE!Z153</f>
        <v>0</v>
      </c>
      <c r="D152" s="65">
        <f>ESE!AA153</f>
        <v>0</v>
      </c>
      <c r="E152" s="65">
        <f>ESE!AB153</f>
        <v>0</v>
      </c>
      <c r="F152" s="65">
        <f>ESE!AC153</f>
        <v>0</v>
      </c>
      <c r="G152" s="65">
        <f>ESE!AD153</f>
        <v>0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spans="1:23" ht="16.5" customHeight="1">
      <c r="A153" s="62" t="str">
        <f>ESE!A154</f>
        <v>Student 143</v>
      </c>
      <c r="B153" s="121" t="s">
        <v>40</v>
      </c>
      <c r="C153" s="65">
        <f>ESE!Z154</f>
        <v>0</v>
      </c>
      <c r="D153" s="65">
        <f>ESE!AA154</f>
        <v>0</v>
      </c>
      <c r="E153" s="65">
        <f>ESE!AB154</f>
        <v>0</v>
      </c>
      <c r="F153" s="65">
        <f>ESE!AC154</f>
        <v>0</v>
      </c>
      <c r="G153" s="65">
        <f>ESE!AD154</f>
        <v>0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spans="1:23" ht="16.5" customHeight="1">
      <c r="A154" s="62" t="str">
        <f>ESE!A155</f>
        <v>Student 144</v>
      </c>
      <c r="B154" s="121" t="s">
        <v>40</v>
      </c>
      <c r="C154" s="65">
        <f>ESE!Z155</f>
        <v>0</v>
      </c>
      <c r="D154" s="65">
        <f>ESE!AA155</f>
        <v>0</v>
      </c>
      <c r="E154" s="65">
        <f>ESE!AB155</f>
        <v>0</v>
      </c>
      <c r="F154" s="65">
        <f>ESE!AC155</f>
        <v>0</v>
      </c>
      <c r="G154" s="65">
        <f>ESE!AD155</f>
        <v>0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spans="1:23" ht="16.5" customHeight="1">
      <c r="A155" s="62" t="str">
        <f>ESE!A156</f>
        <v>Student 145</v>
      </c>
      <c r="B155" s="121" t="s">
        <v>40</v>
      </c>
      <c r="C155" s="65">
        <f>ESE!Z156</f>
        <v>0</v>
      </c>
      <c r="D155" s="65">
        <f>ESE!AA156</f>
        <v>0</v>
      </c>
      <c r="E155" s="65">
        <f>ESE!AB156</f>
        <v>0</v>
      </c>
      <c r="F155" s="65">
        <f>ESE!AC156</f>
        <v>0</v>
      </c>
      <c r="G155" s="65">
        <f>ESE!AD156</f>
        <v>0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spans="1:23" ht="16.5" customHeight="1">
      <c r="A156" s="62" t="str">
        <f>ESE!A157</f>
        <v>Student 146</v>
      </c>
      <c r="B156" s="121" t="s">
        <v>40</v>
      </c>
      <c r="C156" s="65">
        <f>ESE!Z157</f>
        <v>0</v>
      </c>
      <c r="D156" s="65">
        <f>ESE!AA157</f>
        <v>0</v>
      </c>
      <c r="E156" s="65">
        <f>ESE!AB157</f>
        <v>0</v>
      </c>
      <c r="F156" s="65">
        <f>ESE!AC157</f>
        <v>0</v>
      </c>
      <c r="G156" s="65">
        <f>ESE!AD157</f>
        <v>0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spans="1:23" ht="16.5" customHeight="1">
      <c r="A157" s="62" t="str">
        <f>ESE!A158</f>
        <v>Student 147</v>
      </c>
      <c r="B157" s="121" t="s">
        <v>40</v>
      </c>
      <c r="C157" s="65">
        <f>ESE!Z158</f>
        <v>0</v>
      </c>
      <c r="D157" s="65">
        <f>ESE!AA158</f>
        <v>0</v>
      </c>
      <c r="E157" s="65">
        <f>ESE!AB158</f>
        <v>0</v>
      </c>
      <c r="F157" s="65">
        <f>ESE!AC158</f>
        <v>0</v>
      </c>
      <c r="G157" s="65">
        <f>ESE!AD158</f>
        <v>0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spans="1:23" ht="16.5" customHeight="1">
      <c r="A158" s="62" t="str">
        <f>ESE!A159</f>
        <v>Student 148</v>
      </c>
      <c r="B158" s="121" t="s">
        <v>40</v>
      </c>
      <c r="C158" s="65">
        <f>ESE!Z159</f>
        <v>0</v>
      </c>
      <c r="D158" s="65">
        <f>ESE!AA159</f>
        <v>0</v>
      </c>
      <c r="E158" s="65">
        <f>ESE!AB159</f>
        <v>0</v>
      </c>
      <c r="F158" s="65">
        <f>ESE!AC159</f>
        <v>0</v>
      </c>
      <c r="G158" s="65">
        <f>ESE!AD159</f>
        <v>0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spans="1:23" ht="16.5" customHeight="1">
      <c r="A159" s="62" t="str">
        <f>ESE!A160</f>
        <v>Student 149</v>
      </c>
      <c r="B159" s="121" t="s">
        <v>40</v>
      </c>
      <c r="C159" s="65">
        <f>ESE!Z160</f>
        <v>0</v>
      </c>
      <c r="D159" s="65">
        <f>ESE!AA160</f>
        <v>0</v>
      </c>
      <c r="E159" s="65">
        <f>ESE!AB160</f>
        <v>0</v>
      </c>
      <c r="F159" s="65">
        <f>ESE!AC160</f>
        <v>0</v>
      </c>
      <c r="G159" s="65">
        <f>ESE!AD160</f>
        <v>0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spans="1:23" ht="16.5" customHeight="1">
      <c r="A160" s="62" t="str">
        <f>ESE!A161</f>
        <v>Student 150</v>
      </c>
      <c r="B160" s="121" t="s">
        <v>40</v>
      </c>
      <c r="C160" s="65">
        <f>ESE!Z161</f>
        <v>0</v>
      </c>
      <c r="D160" s="65">
        <f>ESE!AA161</f>
        <v>0</v>
      </c>
      <c r="E160" s="65">
        <f>ESE!AB161</f>
        <v>0</v>
      </c>
      <c r="F160" s="65">
        <f>ESE!AC161</f>
        <v>0</v>
      </c>
      <c r="G160" s="65">
        <f>ESE!AD161</f>
        <v>0</v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spans="1:23" ht="16.5" customHeight="1">
      <c r="A161" s="62" t="str">
        <f>ESE!A162</f>
        <v>Student 151</v>
      </c>
      <c r="B161" s="121" t="s">
        <v>40</v>
      </c>
      <c r="C161" s="65">
        <f>ESE!Z162</f>
        <v>0</v>
      </c>
      <c r="D161" s="65">
        <f>ESE!AA162</f>
        <v>0</v>
      </c>
      <c r="E161" s="65">
        <f>ESE!AB162</f>
        <v>0</v>
      </c>
      <c r="F161" s="65">
        <f>ESE!AC162</f>
        <v>0</v>
      </c>
      <c r="G161" s="65">
        <f>ESE!AD162</f>
        <v>0</v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 spans="1:23" ht="16.5" customHeight="1">
      <c r="A162" s="62" t="str">
        <f>ESE!A163</f>
        <v>Student 152</v>
      </c>
      <c r="B162" s="121" t="s">
        <v>40</v>
      </c>
      <c r="C162" s="65">
        <f>ESE!Z163</f>
        <v>0</v>
      </c>
      <c r="D162" s="65">
        <f>ESE!AA163</f>
        <v>0</v>
      </c>
      <c r="E162" s="65">
        <f>ESE!AB163</f>
        <v>0</v>
      </c>
      <c r="F162" s="65">
        <f>ESE!AC163</f>
        <v>0</v>
      </c>
      <c r="G162" s="65">
        <f>ESE!AD163</f>
        <v>0</v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spans="1:23" ht="16.5" customHeight="1">
      <c r="A163" s="62" t="str">
        <f>ESE!A164</f>
        <v>Student 153</v>
      </c>
      <c r="B163" s="121" t="s">
        <v>40</v>
      </c>
      <c r="C163" s="65">
        <f>ESE!Z164</f>
        <v>0</v>
      </c>
      <c r="D163" s="65">
        <f>ESE!AA164</f>
        <v>0</v>
      </c>
      <c r="E163" s="65">
        <f>ESE!AB164</f>
        <v>0</v>
      </c>
      <c r="F163" s="65">
        <f>ESE!AC164</f>
        <v>0</v>
      </c>
      <c r="G163" s="65">
        <f>ESE!AD164</f>
        <v>0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spans="1:23" ht="16.5" customHeight="1">
      <c r="A164" s="62" t="str">
        <f>ESE!A165</f>
        <v>Student 154</v>
      </c>
      <c r="B164" s="121" t="s">
        <v>40</v>
      </c>
      <c r="C164" s="65">
        <f>ESE!Z165</f>
        <v>0</v>
      </c>
      <c r="D164" s="65">
        <f>ESE!AA165</f>
        <v>0</v>
      </c>
      <c r="E164" s="65">
        <f>ESE!AB165</f>
        <v>0</v>
      </c>
      <c r="F164" s="65">
        <f>ESE!AC165</f>
        <v>0</v>
      </c>
      <c r="G164" s="65">
        <f>ESE!AD165</f>
        <v>0</v>
      </c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spans="1:23" ht="16.5" customHeight="1">
      <c r="A165" s="62" t="str">
        <f>ESE!A166</f>
        <v>Student 155</v>
      </c>
      <c r="B165" s="121" t="s">
        <v>40</v>
      </c>
      <c r="C165" s="65">
        <f>ESE!Z166</f>
        <v>0</v>
      </c>
      <c r="D165" s="65">
        <f>ESE!AA166</f>
        <v>0</v>
      </c>
      <c r="E165" s="65">
        <f>ESE!AB166</f>
        <v>0</v>
      </c>
      <c r="F165" s="65">
        <f>ESE!AC166</f>
        <v>0</v>
      </c>
      <c r="G165" s="65">
        <f>ESE!AD166</f>
        <v>0</v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spans="1:23" ht="16.5" customHeight="1">
      <c r="A166" s="62" t="str">
        <f>ESE!A167</f>
        <v>Student 156</v>
      </c>
      <c r="B166" s="121" t="s">
        <v>40</v>
      </c>
      <c r="C166" s="65">
        <f>ESE!Z167</f>
        <v>0</v>
      </c>
      <c r="D166" s="65">
        <f>ESE!AA167</f>
        <v>0</v>
      </c>
      <c r="E166" s="65">
        <f>ESE!AB167</f>
        <v>0</v>
      </c>
      <c r="F166" s="65">
        <f>ESE!AC167</f>
        <v>0</v>
      </c>
      <c r="G166" s="65">
        <f>ESE!AD167</f>
        <v>0</v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spans="1:23" ht="16.5" customHeight="1">
      <c r="A167" s="62" t="str">
        <f>ESE!A168</f>
        <v>Student 157</v>
      </c>
      <c r="B167" s="121" t="s">
        <v>40</v>
      </c>
      <c r="C167" s="65">
        <f>ESE!Z168</f>
        <v>0</v>
      </c>
      <c r="D167" s="65">
        <f>ESE!AA168</f>
        <v>0</v>
      </c>
      <c r="E167" s="65">
        <f>ESE!AB168</f>
        <v>0</v>
      </c>
      <c r="F167" s="65">
        <f>ESE!AC168</f>
        <v>0</v>
      </c>
      <c r="G167" s="65">
        <f>ESE!AD168</f>
        <v>0</v>
      </c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spans="1:23" ht="16.5" customHeight="1">
      <c r="A168" s="62" t="str">
        <f>ESE!A169</f>
        <v>Student 158</v>
      </c>
      <c r="B168" s="121" t="s">
        <v>40</v>
      </c>
      <c r="C168" s="65">
        <f>ESE!Z169</f>
        <v>0</v>
      </c>
      <c r="D168" s="65">
        <f>ESE!AA169</f>
        <v>0</v>
      </c>
      <c r="E168" s="65">
        <f>ESE!AB169</f>
        <v>0</v>
      </c>
      <c r="F168" s="65">
        <f>ESE!AC169</f>
        <v>0</v>
      </c>
      <c r="G168" s="65">
        <f>ESE!AD169</f>
        <v>0</v>
      </c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spans="1:23" ht="16.5" customHeight="1">
      <c r="A169" s="62" t="str">
        <f>ESE!A170</f>
        <v>Student 159</v>
      </c>
      <c r="B169" s="121" t="s">
        <v>40</v>
      </c>
      <c r="C169" s="65">
        <f>ESE!Z170</f>
        <v>0</v>
      </c>
      <c r="D169" s="65">
        <f>ESE!AA170</f>
        <v>0</v>
      </c>
      <c r="E169" s="65">
        <f>ESE!AB170</f>
        <v>0</v>
      </c>
      <c r="F169" s="65">
        <f>ESE!AC170</f>
        <v>0</v>
      </c>
      <c r="G169" s="65">
        <f>ESE!AD170</f>
        <v>0</v>
      </c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 spans="1:23" ht="16.5" customHeight="1">
      <c r="A170" s="62" t="str">
        <f>ESE!A171</f>
        <v>Student 160</v>
      </c>
      <c r="B170" s="121" t="s">
        <v>40</v>
      </c>
      <c r="C170" s="65">
        <f>ESE!Z171</f>
        <v>0</v>
      </c>
      <c r="D170" s="65">
        <f>ESE!AA171</f>
        <v>0</v>
      </c>
      <c r="E170" s="65">
        <f>ESE!AB171</f>
        <v>0</v>
      </c>
      <c r="F170" s="65">
        <f>ESE!AC171</f>
        <v>0</v>
      </c>
      <c r="G170" s="65">
        <f>ESE!AD171</f>
        <v>0</v>
      </c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 spans="1:23" ht="16.5" customHeight="1">
      <c r="A171" s="62" t="str">
        <f>ESE!A172</f>
        <v>Student 161</v>
      </c>
      <c r="B171" s="121" t="s">
        <v>40</v>
      </c>
      <c r="C171" s="65">
        <f>ESE!Z172</f>
        <v>0</v>
      </c>
      <c r="D171" s="65">
        <f>ESE!AA172</f>
        <v>0</v>
      </c>
      <c r="E171" s="65">
        <f>ESE!AB172</f>
        <v>0</v>
      </c>
      <c r="F171" s="65">
        <f>ESE!AC172</f>
        <v>0</v>
      </c>
      <c r="G171" s="65">
        <f>ESE!AD172</f>
        <v>0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 spans="1:23" ht="16.5" customHeight="1">
      <c r="A172" s="62" t="str">
        <f>ESE!A173</f>
        <v>Student 162</v>
      </c>
      <c r="B172" s="121" t="s">
        <v>40</v>
      </c>
      <c r="C172" s="65">
        <f>ESE!Z173</f>
        <v>0</v>
      </c>
      <c r="D172" s="65">
        <f>ESE!AA173</f>
        <v>0</v>
      </c>
      <c r="E172" s="65">
        <f>ESE!AB173</f>
        <v>0</v>
      </c>
      <c r="F172" s="65">
        <f>ESE!AC173</f>
        <v>0</v>
      </c>
      <c r="G172" s="65">
        <f>ESE!AD173</f>
        <v>0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 spans="1:23" ht="16.5" customHeight="1">
      <c r="A173" s="62" t="str">
        <f>ESE!A174</f>
        <v>Student 163</v>
      </c>
      <c r="B173" s="121" t="s">
        <v>40</v>
      </c>
      <c r="C173" s="65">
        <f>ESE!Z174</f>
        <v>0</v>
      </c>
      <c r="D173" s="65">
        <f>ESE!AA174</f>
        <v>0</v>
      </c>
      <c r="E173" s="65">
        <f>ESE!AB174</f>
        <v>0</v>
      </c>
      <c r="F173" s="65">
        <f>ESE!AC174</f>
        <v>0</v>
      </c>
      <c r="G173" s="65">
        <f>ESE!AD174</f>
        <v>0</v>
      </c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 spans="1:23" ht="16.5" customHeight="1">
      <c r="A174" s="62" t="str">
        <f>ESE!A175</f>
        <v>Student 164</v>
      </c>
      <c r="B174" s="121" t="s">
        <v>40</v>
      </c>
      <c r="C174" s="65">
        <f>ESE!Z175</f>
        <v>0</v>
      </c>
      <c r="D174" s="65">
        <f>ESE!AA175</f>
        <v>0</v>
      </c>
      <c r="E174" s="65">
        <f>ESE!AB175</f>
        <v>0</v>
      </c>
      <c r="F174" s="65">
        <f>ESE!AC175</f>
        <v>0</v>
      </c>
      <c r="G174" s="65">
        <f>ESE!AD175</f>
        <v>0</v>
      </c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 spans="1:23" ht="16.5" customHeight="1">
      <c r="A175" s="62" t="str">
        <f>ESE!A176</f>
        <v>Student 165</v>
      </c>
      <c r="B175" s="121" t="s">
        <v>40</v>
      </c>
      <c r="C175" s="65">
        <f>ESE!Z176</f>
        <v>0</v>
      </c>
      <c r="D175" s="65">
        <f>ESE!AA176</f>
        <v>0</v>
      </c>
      <c r="E175" s="65">
        <f>ESE!AB176</f>
        <v>0</v>
      </c>
      <c r="F175" s="65">
        <f>ESE!AC176</f>
        <v>0</v>
      </c>
      <c r="G175" s="65">
        <f>ESE!AD176</f>
        <v>0</v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spans="1:23" ht="16.5" customHeight="1">
      <c r="A176" s="62" t="str">
        <f>ESE!A177</f>
        <v>Student 166</v>
      </c>
      <c r="B176" s="121" t="s">
        <v>40</v>
      </c>
      <c r="C176" s="65">
        <f>ESE!Z177</f>
        <v>0</v>
      </c>
      <c r="D176" s="65">
        <f>ESE!AA177</f>
        <v>0</v>
      </c>
      <c r="E176" s="65">
        <f>ESE!AB177</f>
        <v>0</v>
      </c>
      <c r="F176" s="65">
        <f>ESE!AC177</f>
        <v>0</v>
      </c>
      <c r="G176" s="65">
        <f>ESE!AD177</f>
        <v>0</v>
      </c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 spans="1:23" ht="16.5" customHeight="1">
      <c r="A177" s="62" t="str">
        <f>ESE!A178</f>
        <v>Student 167</v>
      </c>
      <c r="B177" s="121" t="s">
        <v>40</v>
      </c>
      <c r="C177" s="65">
        <f>ESE!Z178</f>
        <v>0</v>
      </c>
      <c r="D177" s="65">
        <f>ESE!AA178</f>
        <v>0</v>
      </c>
      <c r="E177" s="65">
        <f>ESE!AB178</f>
        <v>0</v>
      </c>
      <c r="F177" s="65">
        <f>ESE!AC178</f>
        <v>0</v>
      </c>
      <c r="G177" s="65">
        <f>ESE!AD178</f>
        <v>0</v>
      </c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spans="1:23" ht="16.5" customHeight="1">
      <c r="A178" s="62" t="str">
        <f>ESE!A179</f>
        <v>Student 168</v>
      </c>
      <c r="B178" s="121" t="s">
        <v>40</v>
      </c>
      <c r="C178" s="65">
        <f>ESE!Z179</f>
        <v>0</v>
      </c>
      <c r="D178" s="65">
        <f>ESE!AA179</f>
        <v>0</v>
      </c>
      <c r="E178" s="65">
        <f>ESE!AB179</f>
        <v>0</v>
      </c>
      <c r="F178" s="65">
        <f>ESE!AC179</f>
        <v>0</v>
      </c>
      <c r="G178" s="65">
        <f>ESE!AD179</f>
        <v>0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spans="1:23" ht="16.5" customHeight="1">
      <c r="A179" s="62" t="str">
        <f>ESE!A180</f>
        <v>Student 169</v>
      </c>
      <c r="B179" s="121" t="s">
        <v>40</v>
      </c>
      <c r="C179" s="65">
        <f>ESE!Z180</f>
        <v>0</v>
      </c>
      <c r="D179" s="65">
        <f>ESE!AA180</f>
        <v>0</v>
      </c>
      <c r="E179" s="65">
        <f>ESE!AB180</f>
        <v>0</v>
      </c>
      <c r="F179" s="65">
        <f>ESE!AC180</f>
        <v>0</v>
      </c>
      <c r="G179" s="65">
        <f>ESE!AD180</f>
        <v>0</v>
      </c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spans="1:23" ht="16.5" customHeight="1">
      <c r="A180" s="62" t="str">
        <f>ESE!A181</f>
        <v>Student 170</v>
      </c>
      <c r="B180" s="121" t="s">
        <v>40</v>
      </c>
      <c r="C180" s="65">
        <f>ESE!Z181</f>
        <v>0</v>
      </c>
      <c r="D180" s="65">
        <f>ESE!AA181</f>
        <v>0</v>
      </c>
      <c r="E180" s="65">
        <f>ESE!AB181</f>
        <v>0</v>
      </c>
      <c r="F180" s="65">
        <f>ESE!AC181</f>
        <v>0</v>
      </c>
      <c r="G180" s="65">
        <f>ESE!AD181</f>
        <v>0</v>
      </c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spans="1:23" ht="16.5" customHeight="1">
      <c r="A181" s="62" t="str">
        <f>ESE!A182</f>
        <v>Student 171</v>
      </c>
      <c r="B181" s="121" t="s">
        <v>40</v>
      </c>
      <c r="C181" s="65">
        <f>ESE!Z182</f>
        <v>0</v>
      </c>
      <c r="D181" s="65">
        <f>ESE!AA182</f>
        <v>0</v>
      </c>
      <c r="E181" s="65">
        <f>ESE!AB182</f>
        <v>0</v>
      </c>
      <c r="F181" s="65">
        <f>ESE!AC182</f>
        <v>0</v>
      </c>
      <c r="G181" s="65">
        <f>ESE!AD182</f>
        <v>0</v>
      </c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spans="1:23" ht="16.5" customHeight="1">
      <c r="A182" s="62" t="str">
        <f>ESE!A183</f>
        <v>Student 172</v>
      </c>
      <c r="B182" s="121" t="s">
        <v>40</v>
      </c>
      <c r="C182" s="65">
        <f>ESE!Z183</f>
        <v>0</v>
      </c>
      <c r="D182" s="65">
        <f>ESE!AA183</f>
        <v>0</v>
      </c>
      <c r="E182" s="65">
        <f>ESE!AB183</f>
        <v>0</v>
      </c>
      <c r="F182" s="65">
        <f>ESE!AC183</f>
        <v>0</v>
      </c>
      <c r="G182" s="65">
        <f>ESE!AD183</f>
        <v>0</v>
      </c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spans="1:23" ht="16.5" customHeight="1">
      <c r="A183" s="62" t="str">
        <f>ESE!A184</f>
        <v>Student 173</v>
      </c>
      <c r="B183" s="121" t="s">
        <v>40</v>
      </c>
      <c r="C183" s="65">
        <f>ESE!Z184</f>
        <v>0</v>
      </c>
      <c r="D183" s="65">
        <f>ESE!AA184</f>
        <v>0</v>
      </c>
      <c r="E183" s="65">
        <f>ESE!AB184</f>
        <v>0</v>
      </c>
      <c r="F183" s="65">
        <f>ESE!AC184</f>
        <v>0</v>
      </c>
      <c r="G183" s="65">
        <f>ESE!AD184</f>
        <v>0</v>
      </c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spans="1:23" ht="16.5" customHeight="1">
      <c r="A184" s="62" t="str">
        <f>ESE!A185</f>
        <v>Student 174</v>
      </c>
      <c r="B184" s="121" t="s">
        <v>40</v>
      </c>
      <c r="C184" s="65">
        <f>ESE!Z185</f>
        <v>0</v>
      </c>
      <c r="D184" s="65">
        <f>ESE!AA185</f>
        <v>0</v>
      </c>
      <c r="E184" s="65">
        <f>ESE!AB185</f>
        <v>0</v>
      </c>
      <c r="F184" s="65">
        <f>ESE!AC185</f>
        <v>0</v>
      </c>
      <c r="G184" s="65">
        <f>ESE!AD185</f>
        <v>0</v>
      </c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 spans="1:23" ht="16.5" customHeight="1">
      <c r="A185" s="62" t="str">
        <f>ESE!A186</f>
        <v>Student 175</v>
      </c>
      <c r="B185" s="121" t="s">
        <v>40</v>
      </c>
      <c r="C185" s="65">
        <f>ESE!Z186</f>
        <v>0</v>
      </c>
      <c r="D185" s="65">
        <f>ESE!AA186</f>
        <v>0</v>
      </c>
      <c r="E185" s="65">
        <f>ESE!AB186</f>
        <v>0</v>
      </c>
      <c r="F185" s="65">
        <f>ESE!AC186</f>
        <v>0</v>
      </c>
      <c r="G185" s="65">
        <f>ESE!AD186</f>
        <v>0</v>
      </c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spans="1:23" ht="16.5" customHeight="1">
      <c r="A186" s="62" t="str">
        <f>ESE!A187</f>
        <v>Student 176</v>
      </c>
      <c r="B186" s="121" t="s">
        <v>40</v>
      </c>
      <c r="C186" s="65">
        <f>ESE!Z187</f>
        <v>0</v>
      </c>
      <c r="D186" s="65">
        <f>ESE!AA187</f>
        <v>0</v>
      </c>
      <c r="E186" s="65">
        <f>ESE!AB187</f>
        <v>0</v>
      </c>
      <c r="F186" s="65">
        <f>ESE!AC187</f>
        <v>0</v>
      </c>
      <c r="G186" s="65">
        <f>ESE!AD187</f>
        <v>0</v>
      </c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spans="1:23" ht="16.5" customHeight="1">
      <c r="A187" s="62" t="str">
        <f>ESE!A188</f>
        <v>Student 177</v>
      </c>
      <c r="B187" s="121" t="s">
        <v>40</v>
      </c>
      <c r="C187" s="65">
        <f>ESE!Z188</f>
        <v>0</v>
      </c>
      <c r="D187" s="65">
        <f>ESE!AA188</f>
        <v>0</v>
      </c>
      <c r="E187" s="65">
        <f>ESE!AB188</f>
        <v>0</v>
      </c>
      <c r="F187" s="65">
        <f>ESE!AC188</f>
        <v>0</v>
      </c>
      <c r="G187" s="65">
        <f>ESE!AD188</f>
        <v>0</v>
      </c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 spans="1:23" ht="16.5" customHeight="1">
      <c r="A188" s="62" t="str">
        <f>ESE!A189</f>
        <v>Student 178</v>
      </c>
      <c r="B188" s="121" t="s">
        <v>40</v>
      </c>
      <c r="C188" s="65">
        <f>ESE!Z189</f>
        <v>0</v>
      </c>
      <c r="D188" s="65">
        <f>ESE!AA189</f>
        <v>0</v>
      </c>
      <c r="E188" s="65">
        <f>ESE!AB189</f>
        <v>0</v>
      </c>
      <c r="F188" s="65">
        <f>ESE!AC189</f>
        <v>0</v>
      </c>
      <c r="G188" s="65">
        <f>ESE!AD189</f>
        <v>0</v>
      </c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 spans="1:23" ht="16.5" customHeight="1">
      <c r="A189" s="62" t="str">
        <f>ESE!A190</f>
        <v>Student 179</v>
      </c>
      <c r="B189" s="121" t="s">
        <v>40</v>
      </c>
      <c r="C189" s="65">
        <f>ESE!Z190</f>
        <v>0</v>
      </c>
      <c r="D189" s="65">
        <f>ESE!AA190</f>
        <v>0</v>
      </c>
      <c r="E189" s="65">
        <f>ESE!AB190</f>
        <v>0</v>
      </c>
      <c r="F189" s="65">
        <f>ESE!AC190</f>
        <v>0</v>
      </c>
      <c r="G189" s="65">
        <f>ESE!AD190</f>
        <v>0</v>
      </c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 spans="1:23" ht="16.5" customHeight="1">
      <c r="A190" s="62" t="str">
        <f>ESE!A191</f>
        <v>Student 180</v>
      </c>
      <c r="B190" s="121" t="s">
        <v>40</v>
      </c>
      <c r="C190" s="65">
        <f>ESE!Z191</f>
        <v>0</v>
      </c>
      <c r="D190" s="65">
        <f>ESE!AA191</f>
        <v>0</v>
      </c>
      <c r="E190" s="65">
        <f>ESE!AB191</f>
        <v>0</v>
      </c>
      <c r="F190" s="65">
        <f>ESE!AC191</f>
        <v>0</v>
      </c>
      <c r="G190" s="65">
        <f>ESE!AD191</f>
        <v>0</v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 spans="1:23" ht="16.5" customHeight="1">
      <c r="A191" s="62" t="str">
        <f>ESE!A192</f>
        <v>Student 181</v>
      </c>
      <c r="B191" s="121" t="s">
        <v>40</v>
      </c>
      <c r="C191" s="65">
        <f>ESE!Z192</f>
        <v>0</v>
      </c>
      <c r="D191" s="65">
        <f>ESE!AA192</f>
        <v>0</v>
      </c>
      <c r="E191" s="65">
        <f>ESE!AB192</f>
        <v>0</v>
      </c>
      <c r="F191" s="65">
        <f>ESE!AC192</f>
        <v>0</v>
      </c>
      <c r="G191" s="65">
        <f>ESE!AD192</f>
        <v>0</v>
      </c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spans="1:23" ht="16.5" customHeight="1">
      <c r="A192" s="62" t="str">
        <f>ESE!A193</f>
        <v>Student 182</v>
      </c>
      <c r="B192" s="121" t="s">
        <v>40</v>
      </c>
      <c r="C192" s="65">
        <f>ESE!Z193</f>
        <v>0</v>
      </c>
      <c r="D192" s="65">
        <f>ESE!AA193</f>
        <v>0</v>
      </c>
      <c r="E192" s="65">
        <f>ESE!AB193</f>
        <v>0</v>
      </c>
      <c r="F192" s="65">
        <f>ESE!AC193</f>
        <v>0</v>
      </c>
      <c r="G192" s="65">
        <f>ESE!AD193</f>
        <v>0</v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spans="1:23" ht="16.5" customHeight="1">
      <c r="A193" s="62" t="str">
        <f>ESE!A194</f>
        <v>Student 183</v>
      </c>
      <c r="B193" s="121" t="s">
        <v>40</v>
      </c>
      <c r="C193" s="65">
        <f>ESE!Z194</f>
        <v>0</v>
      </c>
      <c r="D193" s="65">
        <f>ESE!AA194</f>
        <v>0</v>
      </c>
      <c r="E193" s="65">
        <f>ESE!AB194</f>
        <v>0</v>
      </c>
      <c r="F193" s="65">
        <f>ESE!AC194</f>
        <v>0</v>
      </c>
      <c r="G193" s="65">
        <f>ESE!AD194</f>
        <v>0</v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spans="1:23" ht="16.5" customHeight="1">
      <c r="A194" s="62" t="str">
        <f>ESE!A195</f>
        <v>Student 184</v>
      </c>
      <c r="B194" s="121" t="s">
        <v>40</v>
      </c>
      <c r="C194" s="65">
        <f>ESE!Z195</f>
        <v>0</v>
      </c>
      <c r="D194" s="65">
        <f>ESE!AA195</f>
        <v>0</v>
      </c>
      <c r="E194" s="65">
        <f>ESE!AB195</f>
        <v>0</v>
      </c>
      <c r="F194" s="65">
        <f>ESE!AC195</f>
        <v>0</v>
      </c>
      <c r="G194" s="65">
        <f>ESE!AD195</f>
        <v>0</v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spans="1:23" ht="16.5" customHeight="1">
      <c r="A195" s="62" t="str">
        <f>ESE!A196</f>
        <v>Student 185</v>
      </c>
      <c r="B195" s="121" t="s">
        <v>40</v>
      </c>
      <c r="C195" s="65">
        <f>ESE!Z196</f>
        <v>0</v>
      </c>
      <c r="D195" s="65">
        <f>ESE!AA196</f>
        <v>0</v>
      </c>
      <c r="E195" s="65">
        <f>ESE!AB196</f>
        <v>0</v>
      </c>
      <c r="F195" s="65">
        <f>ESE!AC196</f>
        <v>0</v>
      </c>
      <c r="G195" s="65">
        <f>ESE!AD196</f>
        <v>0</v>
      </c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spans="1:23" ht="16.5" customHeight="1">
      <c r="A196" s="62" t="str">
        <f>ESE!A197</f>
        <v>Student 186</v>
      </c>
      <c r="B196" s="121" t="s">
        <v>40</v>
      </c>
      <c r="C196" s="65">
        <f>ESE!Z197</f>
        <v>0</v>
      </c>
      <c r="D196" s="65">
        <f>ESE!AA197</f>
        <v>0</v>
      </c>
      <c r="E196" s="65">
        <f>ESE!AB197</f>
        <v>0</v>
      </c>
      <c r="F196" s="65">
        <f>ESE!AC197</f>
        <v>0</v>
      </c>
      <c r="G196" s="65">
        <f>ESE!AD197</f>
        <v>0</v>
      </c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spans="1:23" ht="16.5" customHeight="1">
      <c r="A197" s="62" t="str">
        <f>ESE!A198</f>
        <v>Student 187</v>
      </c>
      <c r="B197" s="121" t="s">
        <v>40</v>
      </c>
      <c r="C197" s="65">
        <f>ESE!Z198</f>
        <v>0</v>
      </c>
      <c r="D197" s="65">
        <f>ESE!AA198</f>
        <v>0</v>
      </c>
      <c r="E197" s="65">
        <f>ESE!AB198</f>
        <v>0</v>
      </c>
      <c r="F197" s="65">
        <f>ESE!AC198</f>
        <v>0</v>
      </c>
      <c r="G197" s="65">
        <f>ESE!AD198</f>
        <v>0</v>
      </c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spans="1:23" ht="16.5" customHeight="1">
      <c r="A198" s="62" t="str">
        <f>ESE!A199</f>
        <v>Student 188</v>
      </c>
      <c r="B198" s="121" t="s">
        <v>40</v>
      </c>
      <c r="C198" s="65">
        <f>ESE!Z199</f>
        <v>0</v>
      </c>
      <c r="D198" s="65">
        <f>ESE!AA199</f>
        <v>0</v>
      </c>
      <c r="E198" s="65">
        <f>ESE!AB199</f>
        <v>0</v>
      </c>
      <c r="F198" s="65">
        <f>ESE!AC199</f>
        <v>0</v>
      </c>
      <c r="G198" s="65">
        <f>ESE!AD199</f>
        <v>0</v>
      </c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spans="1:23" ht="16.5" customHeight="1">
      <c r="A199" s="62" t="str">
        <f>ESE!A200</f>
        <v>Student 189</v>
      </c>
      <c r="B199" s="121" t="s">
        <v>40</v>
      </c>
      <c r="C199" s="65">
        <f>ESE!Z200</f>
        <v>0</v>
      </c>
      <c r="D199" s="65">
        <f>ESE!AA200</f>
        <v>0</v>
      </c>
      <c r="E199" s="65">
        <f>ESE!AB200</f>
        <v>0</v>
      </c>
      <c r="F199" s="65">
        <f>ESE!AC200</f>
        <v>0</v>
      </c>
      <c r="G199" s="65">
        <f>ESE!AD200</f>
        <v>0</v>
      </c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spans="1:23" ht="16.5" customHeight="1">
      <c r="A200" s="62" t="str">
        <f>ESE!A201</f>
        <v>Student 190</v>
      </c>
      <c r="B200" s="121" t="s">
        <v>40</v>
      </c>
      <c r="C200" s="65">
        <f>ESE!Z201</f>
        <v>0</v>
      </c>
      <c r="D200" s="65">
        <f>ESE!AA201</f>
        <v>0</v>
      </c>
      <c r="E200" s="65">
        <f>ESE!AB201</f>
        <v>0</v>
      </c>
      <c r="F200" s="65">
        <f>ESE!AC201</f>
        <v>0</v>
      </c>
      <c r="G200" s="65">
        <f>ESE!AD201</f>
        <v>0</v>
      </c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spans="1:23" ht="16.5" customHeight="1">
      <c r="A201" s="62" t="str">
        <f>ESE!A202</f>
        <v>Student 191</v>
      </c>
      <c r="B201" s="121" t="s">
        <v>40</v>
      </c>
      <c r="C201" s="65">
        <f>ESE!Z202</f>
        <v>0</v>
      </c>
      <c r="D201" s="65">
        <f>ESE!AA202</f>
        <v>0</v>
      </c>
      <c r="E201" s="65">
        <f>ESE!AB202</f>
        <v>0</v>
      </c>
      <c r="F201" s="65">
        <f>ESE!AC202</f>
        <v>0</v>
      </c>
      <c r="G201" s="65">
        <f>ESE!AD202</f>
        <v>0</v>
      </c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spans="1:23" ht="16.5" customHeight="1">
      <c r="A202" s="62" t="str">
        <f>ESE!A203</f>
        <v>Student 192</v>
      </c>
      <c r="B202" s="121" t="s">
        <v>40</v>
      </c>
      <c r="C202" s="65">
        <f>ESE!Z203</f>
        <v>0</v>
      </c>
      <c r="D202" s="65">
        <f>ESE!AA203</f>
        <v>0</v>
      </c>
      <c r="E202" s="65">
        <f>ESE!AB203</f>
        <v>0</v>
      </c>
      <c r="F202" s="65">
        <f>ESE!AC203</f>
        <v>0</v>
      </c>
      <c r="G202" s="65">
        <f>ESE!AD203</f>
        <v>0</v>
      </c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spans="1:23" ht="16.5" customHeight="1">
      <c r="A203" s="62" t="str">
        <f>ESE!A204</f>
        <v>Student 193</v>
      </c>
      <c r="B203" s="121" t="s">
        <v>40</v>
      </c>
      <c r="C203" s="65">
        <f>ESE!Z204</f>
        <v>0</v>
      </c>
      <c r="D203" s="65">
        <f>ESE!AA204</f>
        <v>0</v>
      </c>
      <c r="E203" s="65">
        <f>ESE!AB204</f>
        <v>0</v>
      </c>
      <c r="F203" s="65">
        <f>ESE!AC204</f>
        <v>0</v>
      </c>
      <c r="G203" s="65">
        <f>ESE!AD204</f>
        <v>0</v>
      </c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spans="1:23" ht="16.5" customHeight="1">
      <c r="A204" s="62" t="str">
        <f>ESE!A205</f>
        <v>Student 194</v>
      </c>
      <c r="B204" s="121" t="s">
        <v>40</v>
      </c>
      <c r="C204" s="65">
        <f>ESE!Z205</f>
        <v>0</v>
      </c>
      <c r="D204" s="65">
        <f>ESE!AA205</f>
        <v>0</v>
      </c>
      <c r="E204" s="65">
        <f>ESE!AB205</f>
        <v>0</v>
      </c>
      <c r="F204" s="65">
        <f>ESE!AC205</f>
        <v>0</v>
      </c>
      <c r="G204" s="65">
        <f>ESE!AD205</f>
        <v>0</v>
      </c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spans="1:23" ht="16.5" customHeight="1">
      <c r="A205" s="62" t="str">
        <f>ESE!A206</f>
        <v>Student 195</v>
      </c>
      <c r="B205" s="121" t="s">
        <v>40</v>
      </c>
      <c r="C205" s="65">
        <f>ESE!Z206</f>
        <v>0</v>
      </c>
      <c r="D205" s="65">
        <f>ESE!AA206</f>
        <v>0</v>
      </c>
      <c r="E205" s="65">
        <f>ESE!AB206</f>
        <v>0</v>
      </c>
      <c r="F205" s="65">
        <f>ESE!AC206</f>
        <v>0</v>
      </c>
      <c r="G205" s="65">
        <f>ESE!AD206</f>
        <v>0</v>
      </c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 spans="1:23" ht="16.5" customHeight="1">
      <c r="A206" s="62" t="str">
        <f>ESE!A207</f>
        <v>Student 196</v>
      </c>
      <c r="B206" s="121" t="s">
        <v>40</v>
      </c>
      <c r="C206" s="65">
        <f>ESE!Z207</f>
        <v>0</v>
      </c>
      <c r="D206" s="65">
        <f>ESE!AA207</f>
        <v>0</v>
      </c>
      <c r="E206" s="65">
        <f>ESE!AB207</f>
        <v>0</v>
      </c>
      <c r="F206" s="65">
        <f>ESE!AC207</f>
        <v>0</v>
      </c>
      <c r="G206" s="65">
        <f>ESE!AD207</f>
        <v>0</v>
      </c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 spans="1:23" ht="16.5" customHeight="1">
      <c r="A207" s="62" t="str">
        <f>ESE!A208</f>
        <v>Student 197</v>
      </c>
      <c r="B207" s="121" t="s">
        <v>40</v>
      </c>
      <c r="C207" s="65">
        <f>ESE!Z208</f>
        <v>0</v>
      </c>
      <c r="D207" s="65">
        <f>ESE!AA208</f>
        <v>0</v>
      </c>
      <c r="E207" s="65">
        <f>ESE!AB208</f>
        <v>0</v>
      </c>
      <c r="F207" s="65">
        <f>ESE!AC208</f>
        <v>0</v>
      </c>
      <c r="G207" s="65">
        <f>ESE!AD208</f>
        <v>0</v>
      </c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 spans="1:23" ht="16.5" customHeight="1">
      <c r="A208" s="62" t="str">
        <f>ESE!A209</f>
        <v>Student 198</v>
      </c>
      <c r="B208" s="121" t="s">
        <v>40</v>
      </c>
      <c r="C208" s="65">
        <f>ESE!Z209</f>
        <v>0</v>
      </c>
      <c r="D208" s="65">
        <f>ESE!AA209</f>
        <v>0</v>
      </c>
      <c r="E208" s="65">
        <f>ESE!AB209</f>
        <v>0</v>
      </c>
      <c r="F208" s="65">
        <f>ESE!AC209</f>
        <v>0</v>
      </c>
      <c r="G208" s="65">
        <f>ESE!AD209</f>
        <v>0</v>
      </c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spans="1:23" ht="16.5" customHeight="1">
      <c r="A209" s="62" t="str">
        <f>ESE!A210</f>
        <v>Student 199</v>
      </c>
      <c r="B209" s="121" t="s">
        <v>40</v>
      </c>
      <c r="C209" s="65">
        <f>ESE!Z210</f>
        <v>0</v>
      </c>
      <c r="D209" s="65">
        <f>ESE!AA210</f>
        <v>0</v>
      </c>
      <c r="E209" s="65">
        <f>ESE!AB210</f>
        <v>0</v>
      </c>
      <c r="F209" s="65">
        <f>ESE!AC210</f>
        <v>0</v>
      </c>
      <c r="G209" s="65">
        <f>ESE!AD210</f>
        <v>0</v>
      </c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 spans="1:23" ht="16.5" customHeight="1">
      <c r="A210" s="62" t="str">
        <f>ESE!A211</f>
        <v>Student 200</v>
      </c>
      <c r="B210" s="121" t="s">
        <v>40</v>
      </c>
      <c r="C210" s="65">
        <f>ESE!Z211</f>
        <v>0</v>
      </c>
      <c r="D210" s="65">
        <f>ESE!AA211</f>
        <v>0</v>
      </c>
      <c r="E210" s="65">
        <f>ESE!AB211</f>
        <v>0</v>
      </c>
      <c r="F210" s="65">
        <f>ESE!AC211</f>
        <v>0</v>
      </c>
      <c r="G210" s="65">
        <f>ESE!AD211</f>
        <v>0</v>
      </c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 spans="1:23" ht="16.5" customHeight="1">
      <c r="A211" s="62" t="str">
        <f>ESE!A212</f>
        <v>Student 201</v>
      </c>
      <c r="B211" s="121" t="s">
        <v>40</v>
      </c>
      <c r="C211" s="65">
        <f>ESE!Z212</f>
        <v>0</v>
      </c>
      <c r="D211" s="65">
        <f>ESE!AA212</f>
        <v>0</v>
      </c>
      <c r="E211" s="65">
        <f>ESE!AB212</f>
        <v>0</v>
      </c>
      <c r="F211" s="65">
        <f>ESE!AC212</f>
        <v>0</v>
      </c>
      <c r="G211" s="65">
        <f>ESE!AD212</f>
        <v>0</v>
      </c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 spans="1:23" ht="16.5" customHeight="1">
      <c r="A212" s="62" t="str">
        <f>ESE!A213</f>
        <v>Student 202</v>
      </c>
      <c r="B212" s="121" t="s">
        <v>40</v>
      </c>
      <c r="C212" s="65">
        <f>ESE!Z213</f>
        <v>0</v>
      </c>
      <c r="D212" s="65">
        <f>ESE!AA213</f>
        <v>0</v>
      </c>
      <c r="E212" s="65">
        <f>ESE!AB213</f>
        <v>0</v>
      </c>
      <c r="F212" s="65">
        <f>ESE!AC213</f>
        <v>0</v>
      </c>
      <c r="G212" s="65">
        <f>ESE!AD213</f>
        <v>0</v>
      </c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 spans="1:23" ht="16.5" customHeight="1">
      <c r="A213" s="62" t="str">
        <f>ESE!A214</f>
        <v>Student 203</v>
      </c>
      <c r="B213" s="121" t="s">
        <v>40</v>
      </c>
      <c r="C213" s="65">
        <f>ESE!Z214</f>
        <v>0</v>
      </c>
      <c r="D213" s="65">
        <f>ESE!AA214</f>
        <v>0</v>
      </c>
      <c r="E213" s="65">
        <f>ESE!AB214</f>
        <v>0</v>
      </c>
      <c r="F213" s="65">
        <f>ESE!AC214</f>
        <v>0</v>
      </c>
      <c r="G213" s="65">
        <f>ESE!AD214</f>
        <v>0</v>
      </c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 spans="1:23" ht="16.5" customHeight="1">
      <c r="A214" s="62" t="str">
        <f>ESE!A215</f>
        <v>Student 204</v>
      </c>
      <c r="B214" s="121" t="s">
        <v>40</v>
      </c>
      <c r="C214" s="65">
        <f>ESE!Z215</f>
        <v>0</v>
      </c>
      <c r="D214" s="65">
        <f>ESE!AA215</f>
        <v>0</v>
      </c>
      <c r="E214" s="65">
        <f>ESE!AB215</f>
        <v>0</v>
      </c>
      <c r="F214" s="65">
        <f>ESE!AC215</f>
        <v>0</v>
      </c>
      <c r="G214" s="65">
        <f>ESE!AD215</f>
        <v>0</v>
      </c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spans="1:23" ht="16.5" customHeight="1">
      <c r="A215" s="62" t="str">
        <f>ESE!A216</f>
        <v>Student 205</v>
      </c>
      <c r="B215" s="121" t="s">
        <v>40</v>
      </c>
      <c r="C215" s="65">
        <f>ESE!Z216</f>
        <v>0</v>
      </c>
      <c r="D215" s="65">
        <f>ESE!AA216</f>
        <v>0</v>
      </c>
      <c r="E215" s="65">
        <f>ESE!AB216</f>
        <v>0</v>
      </c>
      <c r="F215" s="65">
        <f>ESE!AC216</f>
        <v>0</v>
      </c>
      <c r="G215" s="65">
        <f>ESE!AD216</f>
        <v>0</v>
      </c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 spans="1:23" ht="16.5" customHeight="1">
      <c r="A216" s="62" t="str">
        <f>ESE!A217</f>
        <v>Student 206</v>
      </c>
      <c r="B216" s="121" t="s">
        <v>40</v>
      </c>
      <c r="C216" s="65">
        <f>ESE!Z217</f>
        <v>0</v>
      </c>
      <c r="D216" s="65">
        <f>ESE!AA217</f>
        <v>0</v>
      </c>
      <c r="E216" s="65">
        <f>ESE!AB217</f>
        <v>0</v>
      </c>
      <c r="F216" s="65">
        <f>ESE!AC217</f>
        <v>0</v>
      </c>
      <c r="G216" s="65">
        <f>ESE!AD217</f>
        <v>0</v>
      </c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 spans="1:23" ht="16.5" customHeight="1">
      <c r="A217" s="62" t="str">
        <f>ESE!A218</f>
        <v>Student 207</v>
      </c>
      <c r="B217" s="121" t="s">
        <v>40</v>
      </c>
      <c r="C217" s="65">
        <f>ESE!Z218</f>
        <v>0</v>
      </c>
      <c r="D217" s="65">
        <f>ESE!AA218</f>
        <v>0</v>
      </c>
      <c r="E217" s="65">
        <f>ESE!AB218</f>
        <v>0</v>
      </c>
      <c r="F217" s="65">
        <f>ESE!AC218</f>
        <v>0</v>
      </c>
      <c r="G217" s="65">
        <f>ESE!AD218</f>
        <v>0</v>
      </c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 spans="1:23" ht="16.5" customHeight="1">
      <c r="A218" s="62" t="str">
        <f>ESE!A219</f>
        <v>Student 208</v>
      </c>
      <c r="B218" s="121" t="s">
        <v>40</v>
      </c>
      <c r="C218" s="65">
        <f>ESE!Z219</f>
        <v>0</v>
      </c>
      <c r="D218" s="65">
        <f>ESE!AA219</f>
        <v>0</v>
      </c>
      <c r="E218" s="65">
        <f>ESE!AB219</f>
        <v>0</v>
      </c>
      <c r="F218" s="65">
        <f>ESE!AC219</f>
        <v>0</v>
      </c>
      <c r="G218" s="65">
        <f>ESE!AD219</f>
        <v>0</v>
      </c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 spans="1:23" ht="16.5" customHeight="1">
      <c r="A219" s="62" t="str">
        <f>ESE!A220</f>
        <v>Student 209</v>
      </c>
      <c r="B219" s="121" t="s">
        <v>40</v>
      </c>
      <c r="C219" s="65">
        <f>ESE!Z220</f>
        <v>0</v>
      </c>
      <c r="D219" s="65">
        <f>ESE!AA220</f>
        <v>0</v>
      </c>
      <c r="E219" s="65">
        <f>ESE!AB220</f>
        <v>0</v>
      </c>
      <c r="F219" s="65">
        <f>ESE!AC220</f>
        <v>0</v>
      </c>
      <c r="G219" s="65">
        <f>ESE!AD220</f>
        <v>0</v>
      </c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spans="1:23" ht="16.5" customHeight="1">
      <c r="A220" s="62" t="str">
        <f>ESE!A221</f>
        <v>Student 210</v>
      </c>
      <c r="B220" s="121" t="s">
        <v>40</v>
      </c>
      <c r="C220" s="65">
        <f>ESE!Z221</f>
        <v>0</v>
      </c>
      <c r="D220" s="65">
        <f>ESE!AA221</f>
        <v>0</v>
      </c>
      <c r="E220" s="65">
        <f>ESE!AB221</f>
        <v>0</v>
      </c>
      <c r="F220" s="65">
        <f>ESE!AC221</f>
        <v>0</v>
      </c>
      <c r="G220" s="65">
        <f>ESE!AD221</f>
        <v>0</v>
      </c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spans="1:23" ht="16.5" customHeight="1">
      <c r="A221" s="62" t="str">
        <f>ESE!A222</f>
        <v>Student 211</v>
      </c>
      <c r="B221" s="121" t="s">
        <v>40</v>
      </c>
      <c r="C221" s="65">
        <f>ESE!Z222</f>
        <v>0</v>
      </c>
      <c r="D221" s="65">
        <f>ESE!AA222</f>
        <v>0</v>
      </c>
      <c r="E221" s="65">
        <f>ESE!AB222</f>
        <v>0</v>
      </c>
      <c r="F221" s="65">
        <f>ESE!AC222</f>
        <v>0</v>
      </c>
      <c r="G221" s="65">
        <f>ESE!AD222</f>
        <v>0</v>
      </c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spans="1:23" ht="16.5" customHeight="1">
      <c r="A222" s="62" t="str">
        <f>ESE!A223</f>
        <v>Student 212</v>
      </c>
      <c r="B222" s="121" t="s">
        <v>40</v>
      </c>
      <c r="C222" s="65">
        <f>ESE!Z223</f>
        <v>0</v>
      </c>
      <c r="D222" s="65">
        <f>ESE!AA223</f>
        <v>0</v>
      </c>
      <c r="E222" s="65">
        <f>ESE!AB223</f>
        <v>0</v>
      </c>
      <c r="F222" s="65">
        <f>ESE!AC223</f>
        <v>0</v>
      </c>
      <c r="G222" s="65">
        <f>ESE!AD223</f>
        <v>0</v>
      </c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spans="1:23" ht="16.5" customHeight="1">
      <c r="A223" s="62" t="str">
        <f>ESE!A224</f>
        <v>Student 213</v>
      </c>
      <c r="B223" s="121" t="s">
        <v>40</v>
      </c>
      <c r="C223" s="65">
        <f>ESE!Z224</f>
        <v>0</v>
      </c>
      <c r="D223" s="65">
        <f>ESE!AA224</f>
        <v>0</v>
      </c>
      <c r="E223" s="65">
        <f>ESE!AB224</f>
        <v>0</v>
      </c>
      <c r="F223" s="65">
        <f>ESE!AC224</f>
        <v>0</v>
      </c>
      <c r="G223" s="65">
        <f>ESE!AD224</f>
        <v>0</v>
      </c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spans="1:23" ht="16.5" customHeight="1">
      <c r="A224" s="62" t="str">
        <f>ESE!A225</f>
        <v>Student 214</v>
      </c>
      <c r="B224" s="121" t="s">
        <v>40</v>
      </c>
      <c r="C224" s="65">
        <f>ESE!Z225</f>
        <v>0</v>
      </c>
      <c r="D224" s="65">
        <f>ESE!AA225</f>
        <v>0</v>
      </c>
      <c r="E224" s="65">
        <f>ESE!AB225</f>
        <v>0</v>
      </c>
      <c r="F224" s="65">
        <f>ESE!AC225</f>
        <v>0</v>
      </c>
      <c r="G224" s="65">
        <f>ESE!AD225</f>
        <v>0</v>
      </c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spans="1:23" ht="16.5" customHeight="1">
      <c r="A225" s="62" t="str">
        <f>ESE!A226</f>
        <v>Student 215</v>
      </c>
      <c r="B225" s="121" t="s">
        <v>40</v>
      </c>
      <c r="C225" s="65">
        <f>ESE!Z226</f>
        <v>0</v>
      </c>
      <c r="D225" s="65">
        <f>ESE!AA226</f>
        <v>0</v>
      </c>
      <c r="E225" s="65">
        <f>ESE!AB226</f>
        <v>0</v>
      </c>
      <c r="F225" s="65">
        <f>ESE!AC226</f>
        <v>0</v>
      </c>
      <c r="G225" s="65">
        <f>ESE!AD226</f>
        <v>0</v>
      </c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spans="1:23" ht="16.5" customHeight="1">
      <c r="A226" s="62" t="str">
        <f>ESE!A227</f>
        <v>Student 216</v>
      </c>
      <c r="B226" s="121" t="s">
        <v>40</v>
      </c>
      <c r="C226" s="65">
        <f>ESE!Z227</f>
        <v>0</v>
      </c>
      <c r="D226" s="65">
        <f>ESE!AA227</f>
        <v>0</v>
      </c>
      <c r="E226" s="65">
        <f>ESE!AB227</f>
        <v>0</v>
      </c>
      <c r="F226" s="65">
        <f>ESE!AC227</f>
        <v>0</v>
      </c>
      <c r="G226" s="65">
        <f>ESE!AD227</f>
        <v>0</v>
      </c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spans="1:23" ht="16.5" customHeight="1">
      <c r="A227" s="62" t="str">
        <f>ESE!A228</f>
        <v>Student 217</v>
      </c>
      <c r="B227" s="121" t="s">
        <v>40</v>
      </c>
      <c r="C227" s="65">
        <f>ESE!Z228</f>
        <v>0</v>
      </c>
      <c r="D227" s="65">
        <f>ESE!AA228</f>
        <v>0</v>
      </c>
      <c r="E227" s="65">
        <f>ESE!AB228</f>
        <v>0</v>
      </c>
      <c r="F227" s="65">
        <f>ESE!AC228</f>
        <v>0</v>
      </c>
      <c r="G227" s="65">
        <f>ESE!AD228</f>
        <v>0</v>
      </c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spans="1:23" ht="16.5" customHeight="1">
      <c r="A228" s="62" t="str">
        <f>ESE!A229</f>
        <v>Student 218</v>
      </c>
      <c r="B228" s="121" t="s">
        <v>40</v>
      </c>
      <c r="C228" s="65">
        <f>ESE!Z229</f>
        <v>0</v>
      </c>
      <c r="D228" s="65">
        <f>ESE!AA229</f>
        <v>0</v>
      </c>
      <c r="E228" s="65">
        <f>ESE!AB229</f>
        <v>0</v>
      </c>
      <c r="F228" s="65">
        <f>ESE!AC229</f>
        <v>0</v>
      </c>
      <c r="G228" s="65">
        <f>ESE!AD229</f>
        <v>0</v>
      </c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spans="1:23" ht="16.5" customHeight="1">
      <c r="A229" s="62" t="str">
        <f>ESE!A230</f>
        <v>Student 219</v>
      </c>
      <c r="B229" s="121" t="s">
        <v>40</v>
      </c>
      <c r="C229" s="65">
        <f>ESE!Z230</f>
        <v>0</v>
      </c>
      <c r="D229" s="65">
        <f>ESE!AA230</f>
        <v>0</v>
      </c>
      <c r="E229" s="65">
        <f>ESE!AB230</f>
        <v>0</v>
      </c>
      <c r="F229" s="65">
        <f>ESE!AC230</f>
        <v>0</v>
      </c>
      <c r="G229" s="65">
        <f>ESE!AD230</f>
        <v>0</v>
      </c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spans="1:23" ht="16.5" customHeight="1">
      <c r="A230" s="62" t="str">
        <f>ESE!A231</f>
        <v>Student 220</v>
      </c>
      <c r="B230" s="121" t="s">
        <v>40</v>
      </c>
      <c r="C230" s="65">
        <f>ESE!Z231</f>
        <v>0</v>
      </c>
      <c r="D230" s="65">
        <f>ESE!AA231</f>
        <v>0</v>
      </c>
      <c r="E230" s="65">
        <f>ESE!AB231</f>
        <v>0</v>
      </c>
      <c r="F230" s="65">
        <f>ESE!AC231</f>
        <v>0</v>
      </c>
      <c r="G230" s="65">
        <f>ESE!AD231</f>
        <v>0</v>
      </c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spans="1:23" ht="16.5" customHeight="1">
      <c r="A231" s="62" t="str">
        <f>ESE!A232</f>
        <v>Student 221</v>
      </c>
      <c r="B231" s="121" t="s">
        <v>40</v>
      </c>
      <c r="C231" s="65">
        <f>ESE!Z232</f>
        <v>0</v>
      </c>
      <c r="D231" s="65">
        <f>ESE!AA232</f>
        <v>0</v>
      </c>
      <c r="E231" s="65">
        <f>ESE!AB232</f>
        <v>0</v>
      </c>
      <c r="F231" s="65">
        <f>ESE!AC232</f>
        <v>0</v>
      </c>
      <c r="G231" s="65">
        <f>ESE!AD232</f>
        <v>0</v>
      </c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spans="1:23" ht="16.5" customHeight="1">
      <c r="A232" s="62" t="str">
        <f>ESE!A233</f>
        <v>Student 222</v>
      </c>
      <c r="B232" s="121" t="s">
        <v>40</v>
      </c>
      <c r="C232" s="65">
        <f>ESE!Z233</f>
        <v>0</v>
      </c>
      <c r="D232" s="65">
        <f>ESE!AA233</f>
        <v>0</v>
      </c>
      <c r="E232" s="65">
        <f>ESE!AB233</f>
        <v>0</v>
      </c>
      <c r="F232" s="65">
        <f>ESE!AC233</f>
        <v>0</v>
      </c>
      <c r="G232" s="65">
        <f>ESE!AD233</f>
        <v>0</v>
      </c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spans="1:23" ht="16.5" customHeight="1">
      <c r="A233" s="62" t="str">
        <f>ESE!A234</f>
        <v>Student 223</v>
      </c>
      <c r="B233" s="121" t="s">
        <v>40</v>
      </c>
      <c r="C233" s="65">
        <f>ESE!Z234</f>
        <v>0</v>
      </c>
      <c r="D233" s="65">
        <f>ESE!AA234</f>
        <v>0</v>
      </c>
      <c r="E233" s="65">
        <f>ESE!AB234</f>
        <v>0</v>
      </c>
      <c r="F233" s="65">
        <f>ESE!AC234</f>
        <v>0</v>
      </c>
      <c r="G233" s="65">
        <f>ESE!AD234</f>
        <v>0</v>
      </c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 spans="1:23" ht="16.5" customHeight="1">
      <c r="A234" s="62" t="str">
        <f>ESE!A235</f>
        <v>Student 224</v>
      </c>
      <c r="B234" s="121" t="s">
        <v>40</v>
      </c>
      <c r="C234" s="65">
        <f>ESE!Z235</f>
        <v>0</v>
      </c>
      <c r="D234" s="65">
        <f>ESE!AA235</f>
        <v>0</v>
      </c>
      <c r="E234" s="65">
        <f>ESE!AB235</f>
        <v>0</v>
      </c>
      <c r="F234" s="65">
        <f>ESE!AC235</f>
        <v>0</v>
      </c>
      <c r="G234" s="65">
        <f>ESE!AD235</f>
        <v>0</v>
      </c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 spans="1:23" ht="16.5" customHeight="1">
      <c r="A235" s="62" t="str">
        <f>ESE!A236</f>
        <v>Student 225</v>
      </c>
      <c r="B235" s="121" t="s">
        <v>40</v>
      </c>
      <c r="C235" s="65">
        <f>ESE!Z236</f>
        <v>0</v>
      </c>
      <c r="D235" s="65">
        <f>ESE!AA236</f>
        <v>0</v>
      </c>
      <c r="E235" s="65">
        <f>ESE!AB236</f>
        <v>0</v>
      </c>
      <c r="F235" s="65">
        <f>ESE!AC236</f>
        <v>0</v>
      </c>
      <c r="G235" s="65">
        <f>ESE!AD236</f>
        <v>0</v>
      </c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 spans="1:23" ht="16.5" customHeight="1">
      <c r="A236" s="62" t="str">
        <f>ESE!A237</f>
        <v>Student 226</v>
      </c>
      <c r="B236" s="121" t="s">
        <v>40</v>
      </c>
      <c r="C236" s="65">
        <f>ESE!Z237</f>
        <v>0</v>
      </c>
      <c r="D236" s="65">
        <f>ESE!AA237</f>
        <v>0</v>
      </c>
      <c r="E236" s="65">
        <f>ESE!AB237</f>
        <v>0</v>
      </c>
      <c r="F236" s="65">
        <f>ESE!AC237</f>
        <v>0</v>
      </c>
      <c r="G236" s="65">
        <f>ESE!AD237</f>
        <v>0</v>
      </c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 spans="1:23" ht="16.5" customHeight="1">
      <c r="A237" s="62" t="str">
        <f>ESE!A238</f>
        <v>Student 227</v>
      </c>
      <c r="B237" s="121" t="s">
        <v>40</v>
      </c>
      <c r="C237" s="65">
        <f>ESE!Z238</f>
        <v>0</v>
      </c>
      <c r="D237" s="65">
        <f>ESE!AA238</f>
        <v>0</v>
      </c>
      <c r="E237" s="65">
        <f>ESE!AB238</f>
        <v>0</v>
      </c>
      <c r="F237" s="65">
        <f>ESE!AC238</f>
        <v>0</v>
      </c>
      <c r="G237" s="65">
        <f>ESE!AD238</f>
        <v>0</v>
      </c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spans="1:23" ht="16.5" customHeight="1">
      <c r="A238" s="62" t="str">
        <f>ESE!A239</f>
        <v>Student 228</v>
      </c>
      <c r="B238" s="121" t="s">
        <v>40</v>
      </c>
      <c r="C238" s="65">
        <f>ESE!Z239</f>
        <v>0</v>
      </c>
      <c r="D238" s="65">
        <f>ESE!AA239</f>
        <v>0</v>
      </c>
      <c r="E238" s="65">
        <f>ESE!AB239</f>
        <v>0</v>
      </c>
      <c r="F238" s="65">
        <f>ESE!AC239</f>
        <v>0</v>
      </c>
      <c r="G238" s="65">
        <f>ESE!AD239</f>
        <v>0</v>
      </c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 spans="1:23" ht="16.5" customHeight="1">
      <c r="A239" s="62" t="str">
        <f>ESE!A240</f>
        <v>Student 229</v>
      </c>
      <c r="B239" s="121" t="s">
        <v>40</v>
      </c>
      <c r="C239" s="65">
        <f>ESE!Z240</f>
        <v>0</v>
      </c>
      <c r="D239" s="65">
        <f>ESE!AA240</f>
        <v>0</v>
      </c>
      <c r="E239" s="65">
        <f>ESE!AB240</f>
        <v>0</v>
      </c>
      <c r="F239" s="65">
        <f>ESE!AC240</f>
        <v>0</v>
      </c>
      <c r="G239" s="65">
        <f>ESE!AD240</f>
        <v>0</v>
      </c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 spans="1:23" ht="16.5" customHeight="1">
      <c r="A240" s="62" t="str">
        <f>ESE!A241</f>
        <v>Student 230</v>
      </c>
      <c r="B240" s="121" t="s">
        <v>40</v>
      </c>
      <c r="C240" s="65">
        <f>ESE!Z241</f>
        <v>0</v>
      </c>
      <c r="D240" s="65">
        <f>ESE!AA241</f>
        <v>0</v>
      </c>
      <c r="E240" s="65">
        <f>ESE!AB241</f>
        <v>0</v>
      </c>
      <c r="F240" s="65">
        <f>ESE!AC241</f>
        <v>0</v>
      </c>
      <c r="G240" s="65">
        <f>ESE!AD241</f>
        <v>0</v>
      </c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 spans="1:23" ht="16.5" customHeight="1">
      <c r="A241" s="62" t="str">
        <f>ESE!A242</f>
        <v>Student 231</v>
      </c>
      <c r="B241" s="121" t="s">
        <v>40</v>
      </c>
      <c r="C241" s="65">
        <f>ESE!Z242</f>
        <v>0</v>
      </c>
      <c r="D241" s="65">
        <f>ESE!AA242</f>
        <v>0</v>
      </c>
      <c r="E241" s="65">
        <f>ESE!AB242</f>
        <v>0</v>
      </c>
      <c r="F241" s="65">
        <f>ESE!AC242</f>
        <v>0</v>
      </c>
      <c r="G241" s="65">
        <f>ESE!AD242</f>
        <v>0</v>
      </c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 spans="1:23" ht="16.5" customHeight="1">
      <c r="A242" s="62" t="str">
        <f>ESE!A243</f>
        <v>Student 232</v>
      </c>
      <c r="B242" s="121" t="s">
        <v>40</v>
      </c>
      <c r="C242" s="65">
        <f>ESE!Z243</f>
        <v>0</v>
      </c>
      <c r="D242" s="65">
        <f>ESE!AA243</f>
        <v>0</v>
      </c>
      <c r="E242" s="65">
        <f>ESE!AB243</f>
        <v>0</v>
      </c>
      <c r="F242" s="65">
        <f>ESE!AC243</f>
        <v>0</v>
      </c>
      <c r="G242" s="65">
        <f>ESE!AD243</f>
        <v>0</v>
      </c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 spans="1:23" ht="16.5" customHeight="1">
      <c r="A243" s="62" t="str">
        <f>ESE!A244</f>
        <v>Student 233</v>
      </c>
      <c r="B243" s="121" t="s">
        <v>40</v>
      </c>
      <c r="C243" s="65">
        <f>ESE!Z244</f>
        <v>0</v>
      </c>
      <c r="D243" s="65">
        <f>ESE!AA244</f>
        <v>0</v>
      </c>
      <c r="E243" s="65">
        <f>ESE!AB244</f>
        <v>0</v>
      </c>
      <c r="F243" s="65">
        <f>ESE!AC244</f>
        <v>0</v>
      </c>
      <c r="G243" s="65">
        <f>ESE!AD244</f>
        <v>0</v>
      </c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 spans="1:23" ht="16.5" customHeight="1">
      <c r="A244" s="62" t="str">
        <f>ESE!A245</f>
        <v>Student 234</v>
      </c>
      <c r="B244" s="121" t="s">
        <v>40</v>
      </c>
      <c r="C244" s="65">
        <f>ESE!Z245</f>
        <v>0</v>
      </c>
      <c r="D244" s="65">
        <f>ESE!AA245</f>
        <v>0</v>
      </c>
      <c r="E244" s="65">
        <f>ESE!AB245</f>
        <v>0</v>
      </c>
      <c r="F244" s="65">
        <f>ESE!AC245</f>
        <v>0</v>
      </c>
      <c r="G244" s="65">
        <f>ESE!AD245</f>
        <v>0</v>
      </c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 spans="1:23" ht="16.5" customHeight="1">
      <c r="A245" s="62" t="str">
        <f>ESE!A246</f>
        <v>Student 235</v>
      </c>
      <c r="B245" s="121" t="s">
        <v>40</v>
      </c>
      <c r="C245" s="65">
        <f>ESE!Z246</f>
        <v>0</v>
      </c>
      <c r="D245" s="65">
        <f>ESE!AA246</f>
        <v>0</v>
      </c>
      <c r="E245" s="65">
        <f>ESE!AB246</f>
        <v>0</v>
      </c>
      <c r="F245" s="65">
        <f>ESE!AC246</f>
        <v>0</v>
      </c>
      <c r="G245" s="65">
        <f>ESE!AD246</f>
        <v>0</v>
      </c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 spans="1:23" ht="16.5" customHeight="1">
      <c r="A246" s="62" t="str">
        <f>ESE!A247</f>
        <v>Student 236</v>
      </c>
      <c r="B246" s="121" t="s">
        <v>40</v>
      </c>
      <c r="C246" s="65">
        <f>ESE!Z247</f>
        <v>0</v>
      </c>
      <c r="D246" s="65">
        <f>ESE!AA247</f>
        <v>0</v>
      </c>
      <c r="E246" s="65">
        <f>ESE!AB247</f>
        <v>0</v>
      </c>
      <c r="F246" s="65">
        <f>ESE!AC247</f>
        <v>0</v>
      </c>
      <c r="G246" s="65">
        <f>ESE!AD247</f>
        <v>0</v>
      </c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spans="1:23" ht="16.5" customHeight="1">
      <c r="A247" s="62" t="str">
        <f>ESE!A248</f>
        <v>Student 237</v>
      </c>
      <c r="B247" s="121" t="s">
        <v>40</v>
      </c>
      <c r="C247" s="65">
        <f>ESE!Z248</f>
        <v>0</v>
      </c>
      <c r="D247" s="65">
        <f>ESE!AA248</f>
        <v>0</v>
      </c>
      <c r="E247" s="65">
        <f>ESE!AB248</f>
        <v>0</v>
      </c>
      <c r="F247" s="65">
        <f>ESE!AC248</f>
        <v>0</v>
      </c>
      <c r="G247" s="65">
        <f>ESE!AD248</f>
        <v>0</v>
      </c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spans="1:23" ht="16.5" customHeight="1">
      <c r="A248" s="62" t="str">
        <f>ESE!A249</f>
        <v>Student 238</v>
      </c>
      <c r="B248" s="121" t="s">
        <v>40</v>
      </c>
      <c r="C248" s="65">
        <f>ESE!Z249</f>
        <v>0</v>
      </c>
      <c r="D248" s="65">
        <f>ESE!AA249</f>
        <v>0</v>
      </c>
      <c r="E248" s="65">
        <f>ESE!AB249</f>
        <v>0</v>
      </c>
      <c r="F248" s="65">
        <f>ESE!AC249</f>
        <v>0</v>
      </c>
      <c r="G248" s="65">
        <f>ESE!AD249</f>
        <v>0</v>
      </c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spans="1:23" ht="16.5" customHeight="1">
      <c r="A249" s="62" t="str">
        <f>ESE!A250</f>
        <v>Student 239</v>
      </c>
      <c r="B249" s="121" t="s">
        <v>40</v>
      </c>
      <c r="C249" s="65">
        <f>ESE!Z250</f>
        <v>0</v>
      </c>
      <c r="D249" s="65">
        <f>ESE!AA250</f>
        <v>0</v>
      </c>
      <c r="E249" s="65">
        <f>ESE!AB250</f>
        <v>0</v>
      </c>
      <c r="F249" s="65">
        <f>ESE!AC250</f>
        <v>0</v>
      </c>
      <c r="G249" s="65">
        <f>ESE!AD250</f>
        <v>0</v>
      </c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spans="1:23" ht="16.5" customHeight="1">
      <c r="A250" s="62" t="str">
        <f>ESE!A251</f>
        <v>Student 240</v>
      </c>
      <c r="B250" s="121" t="s">
        <v>40</v>
      </c>
      <c r="C250" s="65">
        <f>ESE!Z251</f>
        <v>0</v>
      </c>
      <c r="D250" s="65">
        <f>ESE!AA251</f>
        <v>0</v>
      </c>
      <c r="E250" s="65">
        <f>ESE!AB251</f>
        <v>0</v>
      </c>
      <c r="F250" s="65">
        <f>ESE!AC251</f>
        <v>0</v>
      </c>
      <c r="G250" s="65">
        <f>ESE!AD251</f>
        <v>0</v>
      </c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spans="1:23" ht="16.5" customHeight="1">
      <c r="A251" s="62" t="str">
        <f>ESE!A252</f>
        <v>Student 241</v>
      </c>
      <c r="B251" s="121" t="s">
        <v>40</v>
      </c>
      <c r="C251" s="65">
        <f>ESE!Z252</f>
        <v>0</v>
      </c>
      <c r="D251" s="65">
        <f>ESE!AA252</f>
        <v>0</v>
      </c>
      <c r="E251" s="65">
        <f>ESE!AB252</f>
        <v>0</v>
      </c>
      <c r="F251" s="65">
        <f>ESE!AC252</f>
        <v>0</v>
      </c>
      <c r="G251" s="65">
        <f>ESE!AD252</f>
        <v>0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spans="1:23" ht="16.5" customHeight="1">
      <c r="A252" s="62" t="str">
        <f>ESE!A253</f>
        <v>Student 242</v>
      </c>
      <c r="B252" s="121" t="s">
        <v>40</v>
      </c>
      <c r="C252" s="65">
        <f>ESE!Z253</f>
        <v>0</v>
      </c>
      <c r="D252" s="65">
        <f>ESE!AA253</f>
        <v>0</v>
      </c>
      <c r="E252" s="65">
        <f>ESE!AB253</f>
        <v>0</v>
      </c>
      <c r="F252" s="65">
        <f>ESE!AC253</f>
        <v>0</v>
      </c>
      <c r="G252" s="65">
        <f>ESE!AD253</f>
        <v>0</v>
      </c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spans="1:23" ht="16.5" customHeight="1">
      <c r="A253" s="62" t="str">
        <f>ESE!A254</f>
        <v>Student 243</v>
      </c>
      <c r="B253" s="121" t="s">
        <v>40</v>
      </c>
      <c r="C253" s="65">
        <f>ESE!Z254</f>
        <v>0</v>
      </c>
      <c r="D253" s="65">
        <f>ESE!AA254</f>
        <v>0</v>
      </c>
      <c r="E253" s="65">
        <f>ESE!AB254</f>
        <v>0</v>
      </c>
      <c r="F253" s="65">
        <f>ESE!AC254</f>
        <v>0</v>
      </c>
      <c r="G253" s="65">
        <f>ESE!AD254</f>
        <v>0</v>
      </c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spans="1:23" ht="16.5" customHeight="1">
      <c r="A254" s="62" t="str">
        <f>ESE!A255</f>
        <v>Student 244</v>
      </c>
      <c r="B254" s="121" t="s">
        <v>40</v>
      </c>
      <c r="C254" s="65">
        <f>ESE!Z255</f>
        <v>0</v>
      </c>
      <c r="D254" s="65">
        <f>ESE!AA255</f>
        <v>0</v>
      </c>
      <c r="E254" s="65">
        <f>ESE!AB255</f>
        <v>0</v>
      </c>
      <c r="F254" s="65">
        <f>ESE!AC255</f>
        <v>0</v>
      </c>
      <c r="G254" s="65">
        <f>ESE!AD255</f>
        <v>0</v>
      </c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spans="1:23" ht="16.5" customHeight="1">
      <c r="A255" s="62" t="str">
        <f>ESE!A256</f>
        <v>Student 245</v>
      </c>
      <c r="B255" s="121" t="s">
        <v>40</v>
      </c>
      <c r="C255" s="65">
        <f>ESE!Z256</f>
        <v>0</v>
      </c>
      <c r="D255" s="65">
        <f>ESE!AA256</f>
        <v>0</v>
      </c>
      <c r="E255" s="65">
        <f>ESE!AB256</f>
        <v>0</v>
      </c>
      <c r="F255" s="65">
        <f>ESE!AC256</f>
        <v>0</v>
      </c>
      <c r="G255" s="65">
        <f>ESE!AD256</f>
        <v>0</v>
      </c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spans="1:23" ht="16.5" customHeight="1">
      <c r="A256" s="62" t="str">
        <f>ESE!A257</f>
        <v>Student 246</v>
      </c>
      <c r="B256" s="121" t="s">
        <v>40</v>
      </c>
      <c r="C256" s="65">
        <f>ESE!Z257</f>
        <v>0</v>
      </c>
      <c r="D256" s="65">
        <f>ESE!AA257</f>
        <v>0</v>
      </c>
      <c r="E256" s="65">
        <f>ESE!AB257</f>
        <v>0</v>
      </c>
      <c r="F256" s="65">
        <f>ESE!AC257</f>
        <v>0</v>
      </c>
      <c r="G256" s="65">
        <f>ESE!AD257</f>
        <v>0</v>
      </c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spans="1:23" ht="16.5" customHeight="1">
      <c r="A257" s="62" t="str">
        <f>ESE!A258</f>
        <v>Student 247</v>
      </c>
      <c r="B257" s="121" t="s">
        <v>40</v>
      </c>
      <c r="C257" s="65">
        <f>ESE!Z258</f>
        <v>0</v>
      </c>
      <c r="D257" s="65">
        <f>ESE!AA258</f>
        <v>0</v>
      </c>
      <c r="E257" s="65">
        <f>ESE!AB258</f>
        <v>0</v>
      </c>
      <c r="F257" s="65">
        <f>ESE!AC258</f>
        <v>0</v>
      </c>
      <c r="G257" s="65">
        <f>ESE!AD258</f>
        <v>0</v>
      </c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spans="1:23" ht="16.5" customHeight="1">
      <c r="A258" s="62" t="str">
        <f>ESE!A259</f>
        <v>Student 248</v>
      </c>
      <c r="B258" s="121" t="s">
        <v>40</v>
      </c>
      <c r="C258" s="65">
        <f>ESE!Z259</f>
        <v>0</v>
      </c>
      <c r="D258" s="65">
        <f>ESE!AA259</f>
        <v>0</v>
      </c>
      <c r="E258" s="65">
        <f>ESE!AB259</f>
        <v>0</v>
      </c>
      <c r="F258" s="65">
        <f>ESE!AC259</f>
        <v>0</v>
      </c>
      <c r="G258" s="65">
        <f>ESE!AD259</f>
        <v>0</v>
      </c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spans="1:23" ht="16.5" customHeight="1">
      <c r="A259" s="62" t="str">
        <f>ESE!A260</f>
        <v>Student 249</v>
      </c>
      <c r="B259" s="121" t="s">
        <v>40</v>
      </c>
      <c r="C259" s="65">
        <f>ESE!Z260</f>
        <v>0</v>
      </c>
      <c r="D259" s="65">
        <f>ESE!AA260</f>
        <v>0</v>
      </c>
      <c r="E259" s="65">
        <f>ESE!AB260</f>
        <v>0</v>
      </c>
      <c r="F259" s="65">
        <f>ESE!AC260</f>
        <v>0</v>
      </c>
      <c r="G259" s="65">
        <f>ESE!AD260</f>
        <v>0</v>
      </c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spans="1:23" ht="16.5" customHeight="1">
      <c r="A260" s="62" t="str">
        <f>ESE!A261</f>
        <v>Student 250</v>
      </c>
      <c r="B260" s="121" t="s">
        <v>40</v>
      </c>
      <c r="C260" s="65">
        <f>ESE!Z261</f>
        <v>0</v>
      </c>
      <c r="D260" s="65">
        <f>ESE!AA261</f>
        <v>0</v>
      </c>
      <c r="E260" s="65">
        <f>ESE!AB261</f>
        <v>0</v>
      </c>
      <c r="F260" s="65">
        <f>ESE!AC261</f>
        <v>0</v>
      </c>
      <c r="G260" s="65">
        <f>ESE!AD261</f>
        <v>0</v>
      </c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spans="1:23" ht="16.5" customHeight="1">
      <c r="A261" s="62" t="str">
        <f>ESE!A262</f>
        <v>Student 251</v>
      </c>
      <c r="B261" s="121" t="s">
        <v>40</v>
      </c>
      <c r="C261" s="65">
        <f>ESE!Z262</f>
        <v>0</v>
      </c>
      <c r="D261" s="65">
        <f>ESE!AA262</f>
        <v>0</v>
      </c>
      <c r="E261" s="65">
        <f>ESE!AB262</f>
        <v>0</v>
      </c>
      <c r="F261" s="65">
        <f>ESE!AC262</f>
        <v>0</v>
      </c>
      <c r="G261" s="65">
        <f>ESE!AD262</f>
        <v>0</v>
      </c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spans="1:23" ht="16.5" customHeight="1">
      <c r="A262" s="62" t="str">
        <f>ESE!A263</f>
        <v>Student 252</v>
      </c>
      <c r="B262" s="121" t="s">
        <v>40</v>
      </c>
      <c r="C262" s="65">
        <f>ESE!Z263</f>
        <v>0</v>
      </c>
      <c r="D262" s="65">
        <f>ESE!AA263</f>
        <v>0</v>
      </c>
      <c r="E262" s="65">
        <f>ESE!AB263</f>
        <v>0</v>
      </c>
      <c r="F262" s="65">
        <f>ESE!AC263</f>
        <v>0</v>
      </c>
      <c r="G262" s="65">
        <f>ESE!AD263</f>
        <v>0</v>
      </c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spans="1:23" ht="16.5" customHeight="1">
      <c r="A263" s="62" t="str">
        <f>ESE!A264</f>
        <v>Student 253</v>
      </c>
      <c r="B263" s="121" t="s">
        <v>40</v>
      </c>
      <c r="C263" s="65">
        <f>ESE!Z264</f>
        <v>0</v>
      </c>
      <c r="D263" s="65">
        <f>ESE!AA264</f>
        <v>0</v>
      </c>
      <c r="E263" s="65">
        <f>ESE!AB264</f>
        <v>0</v>
      </c>
      <c r="F263" s="65">
        <f>ESE!AC264</f>
        <v>0</v>
      </c>
      <c r="G263" s="65">
        <f>ESE!AD264</f>
        <v>0</v>
      </c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spans="1:23" ht="16.5" customHeight="1">
      <c r="A264" s="62" t="str">
        <f>ESE!A265</f>
        <v>Student 254</v>
      </c>
      <c r="B264" s="121" t="s">
        <v>40</v>
      </c>
      <c r="C264" s="65">
        <f>ESE!Z265</f>
        <v>0</v>
      </c>
      <c r="D264" s="65">
        <f>ESE!AA265</f>
        <v>0</v>
      </c>
      <c r="E264" s="65">
        <f>ESE!AB265</f>
        <v>0</v>
      </c>
      <c r="F264" s="65">
        <f>ESE!AC265</f>
        <v>0</v>
      </c>
      <c r="G264" s="65">
        <f>ESE!AD265</f>
        <v>0</v>
      </c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spans="1:23" ht="16.5" customHeight="1">
      <c r="A265" s="62" t="str">
        <f>ESE!A266</f>
        <v>Student 255</v>
      </c>
      <c r="B265" s="121" t="s">
        <v>40</v>
      </c>
      <c r="C265" s="65">
        <f>ESE!Z266</f>
        <v>0</v>
      </c>
      <c r="D265" s="65">
        <f>ESE!AA266</f>
        <v>0</v>
      </c>
      <c r="E265" s="65">
        <f>ESE!AB266</f>
        <v>0</v>
      </c>
      <c r="F265" s="65">
        <f>ESE!AC266</f>
        <v>0</v>
      </c>
      <c r="G265" s="65">
        <f>ESE!AD266</f>
        <v>0</v>
      </c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spans="1:23" ht="16.5" customHeight="1">
      <c r="A266" s="62" t="str">
        <f>ESE!A267</f>
        <v>Student 256</v>
      </c>
      <c r="B266" s="121" t="s">
        <v>40</v>
      </c>
      <c r="C266" s="65">
        <f>ESE!Z267</f>
        <v>0</v>
      </c>
      <c r="D266" s="65">
        <f>ESE!AA267</f>
        <v>0</v>
      </c>
      <c r="E266" s="65">
        <f>ESE!AB267</f>
        <v>0</v>
      </c>
      <c r="F266" s="65">
        <f>ESE!AC267</f>
        <v>0</v>
      </c>
      <c r="G266" s="65">
        <f>ESE!AD267</f>
        <v>0</v>
      </c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spans="1:23" ht="16.5" customHeight="1">
      <c r="A267" s="62" t="str">
        <f>ESE!A268</f>
        <v>Student 257</v>
      </c>
      <c r="B267" s="121" t="s">
        <v>40</v>
      </c>
      <c r="C267" s="65">
        <f>ESE!Z268</f>
        <v>0</v>
      </c>
      <c r="D267" s="65">
        <f>ESE!AA268</f>
        <v>0</v>
      </c>
      <c r="E267" s="65">
        <f>ESE!AB268</f>
        <v>0</v>
      </c>
      <c r="F267" s="65">
        <f>ESE!AC268</f>
        <v>0</v>
      </c>
      <c r="G267" s="65">
        <f>ESE!AD268</f>
        <v>0</v>
      </c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spans="1:23" ht="16.5" customHeight="1">
      <c r="A268" s="62" t="str">
        <f>ESE!A269</f>
        <v>Student 258</v>
      </c>
      <c r="B268" s="121" t="s">
        <v>40</v>
      </c>
      <c r="C268" s="65">
        <f>ESE!Z269</f>
        <v>0</v>
      </c>
      <c r="D268" s="65">
        <f>ESE!AA269</f>
        <v>0</v>
      </c>
      <c r="E268" s="65">
        <f>ESE!AB269</f>
        <v>0</v>
      </c>
      <c r="F268" s="65">
        <f>ESE!AC269</f>
        <v>0</v>
      </c>
      <c r="G268" s="65">
        <f>ESE!AD269</f>
        <v>0</v>
      </c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spans="1:23" ht="16.5" customHeight="1">
      <c r="A269" s="62" t="str">
        <f>ESE!A270</f>
        <v>Student 259</v>
      </c>
      <c r="B269" s="121" t="s">
        <v>40</v>
      </c>
      <c r="C269" s="65">
        <f>ESE!Z270</f>
        <v>0</v>
      </c>
      <c r="D269" s="65">
        <f>ESE!AA270</f>
        <v>0</v>
      </c>
      <c r="E269" s="65">
        <f>ESE!AB270</f>
        <v>0</v>
      </c>
      <c r="F269" s="65">
        <f>ESE!AC270</f>
        <v>0</v>
      </c>
      <c r="G269" s="65">
        <f>ESE!AD270</f>
        <v>0</v>
      </c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spans="1:23" ht="16.5" customHeight="1">
      <c r="A270" s="62" t="str">
        <f>ESE!A271</f>
        <v>Student 260</v>
      </c>
      <c r="B270" s="121" t="s">
        <v>40</v>
      </c>
      <c r="C270" s="65">
        <f>ESE!Z271</f>
        <v>0</v>
      </c>
      <c r="D270" s="65">
        <f>ESE!AA271</f>
        <v>0</v>
      </c>
      <c r="E270" s="65">
        <f>ESE!AB271</f>
        <v>0</v>
      </c>
      <c r="F270" s="65">
        <f>ESE!AC271</f>
        <v>0</v>
      </c>
      <c r="G270" s="65">
        <f>ESE!AD271</f>
        <v>0</v>
      </c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spans="1:23" ht="16.5" customHeight="1">
      <c r="A271" s="62" t="str">
        <f>ESE!A272</f>
        <v>Student 261</v>
      </c>
      <c r="B271" s="121" t="s">
        <v>40</v>
      </c>
      <c r="C271" s="65">
        <f>ESE!Z272</f>
        <v>0</v>
      </c>
      <c r="D271" s="65">
        <f>ESE!AA272</f>
        <v>0</v>
      </c>
      <c r="E271" s="65">
        <f>ESE!AB272</f>
        <v>0</v>
      </c>
      <c r="F271" s="65">
        <f>ESE!AC272</f>
        <v>0</v>
      </c>
      <c r="G271" s="65">
        <f>ESE!AD272</f>
        <v>0</v>
      </c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spans="1:23" ht="16.5" customHeight="1">
      <c r="A272" s="62" t="str">
        <f>ESE!A273</f>
        <v>Student 262</v>
      </c>
      <c r="B272" s="121" t="s">
        <v>40</v>
      </c>
      <c r="C272" s="65">
        <f>ESE!Z273</f>
        <v>0</v>
      </c>
      <c r="D272" s="65">
        <f>ESE!AA273</f>
        <v>0</v>
      </c>
      <c r="E272" s="65">
        <f>ESE!AB273</f>
        <v>0</v>
      </c>
      <c r="F272" s="65">
        <f>ESE!AC273</f>
        <v>0</v>
      </c>
      <c r="G272" s="65">
        <f>ESE!AD273</f>
        <v>0</v>
      </c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spans="1:23" ht="16.5" customHeight="1">
      <c r="A273" s="62" t="str">
        <f>ESE!A274</f>
        <v>Student 263</v>
      </c>
      <c r="B273" s="121" t="s">
        <v>40</v>
      </c>
      <c r="C273" s="65">
        <f>ESE!Z274</f>
        <v>0</v>
      </c>
      <c r="D273" s="65">
        <f>ESE!AA274</f>
        <v>0</v>
      </c>
      <c r="E273" s="65">
        <f>ESE!AB274</f>
        <v>0</v>
      </c>
      <c r="F273" s="65">
        <f>ESE!AC274</f>
        <v>0</v>
      </c>
      <c r="G273" s="65">
        <f>ESE!AD274</f>
        <v>0</v>
      </c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spans="1:23" ht="16.5" customHeight="1">
      <c r="A274" s="62" t="str">
        <f>ESE!A275</f>
        <v>Student 264</v>
      </c>
      <c r="B274" s="121" t="s">
        <v>40</v>
      </c>
      <c r="C274" s="65">
        <f>ESE!Z275</f>
        <v>0</v>
      </c>
      <c r="D274" s="65">
        <f>ESE!AA275</f>
        <v>0</v>
      </c>
      <c r="E274" s="65">
        <f>ESE!AB275</f>
        <v>0</v>
      </c>
      <c r="F274" s="65">
        <f>ESE!AC275</f>
        <v>0</v>
      </c>
      <c r="G274" s="65">
        <f>ESE!AD275</f>
        <v>0</v>
      </c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spans="1:23" ht="16.5" customHeight="1">
      <c r="A275" s="62" t="str">
        <f>ESE!A276</f>
        <v>Student 265</v>
      </c>
      <c r="B275" s="121" t="s">
        <v>40</v>
      </c>
      <c r="C275" s="65">
        <f>ESE!Z276</f>
        <v>0</v>
      </c>
      <c r="D275" s="65">
        <f>ESE!AA276</f>
        <v>0</v>
      </c>
      <c r="E275" s="65">
        <f>ESE!AB276</f>
        <v>0</v>
      </c>
      <c r="F275" s="65">
        <f>ESE!AC276</f>
        <v>0</v>
      </c>
      <c r="G275" s="65">
        <f>ESE!AD276</f>
        <v>0</v>
      </c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spans="1:23" ht="16.5" customHeight="1">
      <c r="A276" s="62" t="str">
        <f>ESE!A277</f>
        <v>Student 266</v>
      </c>
      <c r="B276" s="121" t="s">
        <v>40</v>
      </c>
      <c r="C276" s="65">
        <f>ESE!Z277</f>
        <v>0</v>
      </c>
      <c r="D276" s="65">
        <f>ESE!AA277</f>
        <v>0</v>
      </c>
      <c r="E276" s="65">
        <f>ESE!AB277</f>
        <v>0</v>
      </c>
      <c r="F276" s="65">
        <f>ESE!AC277</f>
        <v>0</v>
      </c>
      <c r="G276" s="65">
        <f>ESE!AD277</f>
        <v>0</v>
      </c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spans="1:23" ht="16.5" customHeight="1">
      <c r="A277" s="62" t="str">
        <f>ESE!A278</f>
        <v>Student 267</v>
      </c>
      <c r="B277" s="121" t="s">
        <v>40</v>
      </c>
      <c r="C277" s="65">
        <f>ESE!Z278</f>
        <v>0</v>
      </c>
      <c r="D277" s="65">
        <f>ESE!AA278</f>
        <v>0</v>
      </c>
      <c r="E277" s="65">
        <f>ESE!AB278</f>
        <v>0</v>
      </c>
      <c r="F277" s="65">
        <f>ESE!AC278</f>
        <v>0</v>
      </c>
      <c r="G277" s="65">
        <f>ESE!AD278</f>
        <v>0</v>
      </c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spans="1:23" ht="16.5" customHeight="1">
      <c r="A278" s="62" t="str">
        <f>ESE!A279</f>
        <v>Student 268</v>
      </c>
      <c r="B278" s="121" t="s">
        <v>40</v>
      </c>
      <c r="C278" s="65">
        <f>ESE!Z279</f>
        <v>0</v>
      </c>
      <c r="D278" s="65">
        <f>ESE!AA279</f>
        <v>0</v>
      </c>
      <c r="E278" s="65">
        <f>ESE!AB279</f>
        <v>0</v>
      </c>
      <c r="F278" s="65">
        <f>ESE!AC279</f>
        <v>0</v>
      </c>
      <c r="G278" s="65">
        <f>ESE!AD279</f>
        <v>0</v>
      </c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spans="1:23" ht="16.5" customHeight="1">
      <c r="A279" s="62" t="str">
        <f>ESE!A280</f>
        <v>Student 269</v>
      </c>
      <c r="B279" s="121" t="s">
        <v>40</v>
      </c>
      <c r="C279" s="65">
        <f>ESE!Z280</f>
        <v>0</v>
      </c>
      <c r="D279" s="65">
        <f>ESE!AA280</f>
        <v>0</v>
      </c>
      <c r="E279" s="65">
        <f>ESE!AB280</f>
        <v>0</v>
      </c>
      <c r="F279" s="65">
        <f>ESE!AC280</f>
        <v>0</v>
      </c>
      <c r="G279" s="65">
        <f>ESE!AD280</f>
        <v>0</v>
      </c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spans="1:23" ht="16.5" customHeight="1">
      <c r="A280" s="62" t="str">
        <f>ESE!A281</f>
        <v>Student 270</v>
      </c>
      <c r="B280" s="121" t="s">
        <v>40</v>
      </c>
      <c r="C280" s="65">
        <f>ESE!Z281</f>
        <v>0</v>
      </c>
      <c r="D280" s="65">
        <f>ESE!AA281</f>
        <v>0</v>
      </c>
      <c r="E280" s="65">
        <f>ESE!AB281</f>
        <v>0</v>
      </c>
      <c r="F280" s="65">
        <f>ESE!AC281</f>
        <v>0</v>
      </c>
      <c r="G280" s="65">
        <f>ESE!AD281</f>
        <v>0</v>
      </c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spans="1:23" ht="16.5" customHeight="1">
      <c r="A281" s="62" t="str">
        <f>ESE!A282</f>
        <v>Student 271</v>
      </c>
      <c r="B281" s="121" t="s">
        <v>40</v>
      </c>
      <c r="C281" s="65">
        <f>ESE!Z282</f>
        <v>0</v>
      </c>
      <c r="D281" s="65">
        <f>ESE!AA282</f>
        <v>0</v>
      </c>
      <c r="E281" s="65">
        <f>ESE!AB282</f>
        <v>0</v>
      </c>
      <c r="F281" s="65">
        <f>ESE!AC282</f>
        <v>0</v>
      </c>
      <c r="G281" s="65">
        <f>ESE!AD282</f>
        <v>0</v>
      </c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spans="1:23" ht="16.5" customHeight="1">
      <c r="A282" s="62" t="str">
        <f>ESE!A283</f>
        <v>Student 272</v>
      </c>
      <c r="B282" s="121" t="s">
        <v>40</v>
      </c>
      <c r="C282" s="65">
        <f>ESE!Z283</f>
        <v>0</v>
      </c>
      <c r="D282" s="65">
        <f>ESE!AA283</f>
        <v>0</v>
      </c>
      <c r="E282" s="65">
        <f>ESE!AB283</f>
        <v>0</v>
      </c>
      <c r="F282" s="65">
        <f>ESE!AC283</f>
        <v>0</v>
      </c>
      <c r="G282" s="65">
        <f>ESE!AD283</f>
        <v>0</v>
      </c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spans="1:23" ht="16.5" customHeight="1">
      <c r="A283" s="62" t="str">
        <f>ESE!A284</f>
        <v>Student 273</v>
      </c>
      <c r="B283" s="121" t="s">
        <v>40</v>
      </c>
      <c r="C283" s="65">
        <f>ESE!Z284</f>
        <v>0</v>
      </c>
      <c r="D283" s="65">
        <f>ESE!AA284</f>
        <v>0</v>
      </c>
      <c r="E283" s="65">
        <f>ESE!AB284</f>
        <v>0</v>
      </c>
      <c r="F283" s="65">
        <f>ESE!AC284</f>
        <v>0</v>
      </c>
      <c r="G283" s="65">
        <f>ESE!AD284</f>
        <v>0</v>
      </c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spans="1:23" ht="16.5" customHeight="1">
      <c r="A284" s="62" t="str">
        <f>ESE!A285</f>
        <v>Student 274</v>
      </c>
      <c r="B284" s="121" t="s">
        <v>40</v>
      </c>
      <c r="C284" s="65">
        <f>ESE!Z285</f>
        <v>0</v>
      </c>
      <c r="D284" s="65">
        <f>ESE!AA285</f>
        <v>0</v>
      </c>
      <c r="E284" s="65">
        <f>ESE!AB285</f>
        <v>0</v>
      </c>
      <c r="F284" s="65">
        <f>ESE!AC285</f>
        <v>0</v>
      </c>
      <c r="G284" s="65">
        <f>ESE!AD285</f>
        <v>0</v>
      </c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spans="1:23" ht="16.5" customHeight="1">
      <c r="A285" s="62" t="str">
        <f>ESE!A286</f>
        <v>Student 275</v>
      </c>
      <c r="B285" s="121" t="s">
        <v>40</v>
      </c>
      <c r="C285" s="65">
        <f>ESE!Z286</f>
        <v>0</v>
      </c>
      <c r="D285" s="65">
        <f>ESE!AA286</f>
        <v>0</v>
      </c>
      <c r="E285" s="65">
        <f>ESE!AB286</f>
        <v>0</v>
      </c>
      <c r="F285" s="65">
        <f>ESE!AC286</f>
        <v>0</v>
      </c>
      <c r="G285" s="65">
        <f>ESE!AD286</f>
        <v>0</v>
      </c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spans="1:23" ht="16.5" customHeight="1">
      <c r="A286" s="62" t="str">
        <f>ESE!A287</f>
        <v>Student 276</v>
      </c>
      <c r="B286" s="121" t="s">
        <v>40</v>
      </c>
      <c r="C286" s="65">
        <f>ESE!Z287</f>
        <v>0</v>
      </c>
      <c r="D286" s="65">
        <f>ESE!AA287</f>
        <v>0</v>
      </c>
      <c r="E286" s="65">
        <f>ESE!AB287</f>
        <v>0</v>
      </c>
      <c r="F286" s="65">
        <f>ESE!AC287</f>
        <v>0</v>
      </c>
      <c r="G286" s="65">
        <f>ESE!AD287</f>
        <v>0</v>
      </c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spans="1:23" ht="16.5" customHeight="1">
      <c r="A287" s="62" t="str">
        <f>ESE!A288</f>
        <v>Student 277</v>
      </c>
      <c r="B287" s="121" t="s">
        <v>40</v>
      </c>
      <c r="C287" s="65">
        <f>ESE!Z288</f>
        <v>0</v>
      </c>
      <c r="D287" s="65">
        <f>ESE!AA288</f>
        <v>0</v>
      </c>
      <c r="E287" s="65">
        <f>ESE!AB288</f>
        <v>0</v>
      </c>
      <c r="F287" s="65">
        <f>ESE!AC288</f>
        <v>0</v>
      </c>
      <c r="G287" s="65">
        <f>ESE!AD288</f>
        <v>0</v>
      </c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spans="1:23" ht="16.5" customHeight="1">
      <c r="A288" s="62" t="str">
        <f>ESE!A289</f>
        <v>Student 278</v>
      </c>
      <c r="B288" s="121" t="s">
        <v>40</v>
      </c>
      <c r="C288" s="65">
        <f>ESE!Z289</f>
        <v>0</v>
      </c>
      <c r="D288" s="65">
        <f>ESE!AA289</f>
        <v>0</v>
      </c>
      <c r="E288" s="65">
        <f>ESE!AB289</f>
        <v>0</v>
      </c>
      <c r="F288" s="65">
        <f>ESE!AC289</f>
        <v>0</v>
      </c>
      <c r="G288" s="65">
        <f>ESE!AD289</f>
        <v>0</v>
      </c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spans="1:23" ht="16.5" customHeight="1">
      <c r="A289" s="62" t="str">
        <f>ESE!A290</f>
        <v>Student 279</v>
      </c>
      <c r="B289" s="121" t="s">
        <v>40</v>
      </c>
      <c r="C289" s="65">
        <f>ESE!Z290</f>
        <v>0</v>
      </c>
      <c r="D289" s="65">
        <f>ESE!AA290</f>
        <v>0</v>
      </c>
      <c r="E289" s="65">
        <f>ESE!AB290</f>
        <v>0</v>
      </c>
      <c r="F289" s="65">
        <f>ESE!AC290</f>
        <v>0</v>
      </c>
      <c r="G289" s="65">
        <f>ESE!AD290</f>
        <v>0</v>
      </c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spans="1:23" ht="16.5" customHeight="1">
      <c r="A290" s="62" t="str">
        <f>ESE!A291</f>
        <v>Student 280</v>
      </c>
      <c r="B290" s="121" t="s">
        <v>40</v>
      </c>
      <c r="C290" s="65">
        <f>ESE!Z291</f>
        <v>0</v>
      </c>
      <c r="D290" s="65">
        <f>ESE!AA291</f>
        <v>0</v>
      </c>
      <c r="E290" s="65">
        <f>ESE!AB291</f>
        <v>0</v>
      </c>
      <c r="F290" s="65">
        <f>ESE!AC291</f>
        <v>0</v>
      </c>
      <c r="G290" s="65">
        <f>ESE!AD291</f>
        <v>0</v>
      </c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spans="1:23" ht="16.5" customHeight="1">
      <c r="A291" s="62" t="str">
        <f>ESE!A292</f>
        <v>Student 281</v>
      </c>
      <c r="B291" s="121" t="s">
        <v>40</v>
      </c>
      <c r="C291" s="65">
        <f>ESE!Z292</f>
        <v>0</v>
      </c>
      <c r="D291" s="65">
        <f>ESE!AA292</f>
        <v>0</v>
      </c>
      <c r="E291" s="65">
        <f>ESE!AB292</f>
        <v>0</v>
      </c>
      <c r="F291" s="65">
        <f>ESE!AC292</f>
        <v>0</v>
      </c>
      <c r="G291" s="65">
        <f>ESE!AD292</f>
        <v>0</v>
      </c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spans="1:23" ht="16.5" customHeight="1">
      <c r="A292" s="62" t="str">
        <f>ESE!A293</f>
        <v>Student 282</v>
      </c>
      <c r="B292" s="121" t="s">
        <v>40</v>
      </c>
      <c r="C292" s="65">
        <f>ESE!Z293</f>
        <v>0</v>
      </c>
      <c r="D292" s="65">
        <f>ESE!AA293</f>
        <v>0</v>
      </c>
      <c r="E292" s="65">
        <f>ESE!AB293</f>
        <v>0</v>
      </c>
      <c r="F292" s="65">
        <f>ESE!AC293</f>
        <v>0</v>
      </c>
      <c r="G292" s="65">
        <f>ESE!AD293</f>
        <v>0</v>
      </c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spans="1:23" ht="16.5" customHeight="1">
      <c r="A293" s="62" t="str">
        <f>ESE!A294</f>
        <v>Student 283</v>
      </c>
      <c r="B293" s="121" t="s">
        <v>40</v>
      </c>
      <c r="C293" s="65">
        <f>ESE!Z294</f>
        <v>0</v>
      </c>
      <c r="D293" s="65">
        <f>ESE!AA294</f>
        <v>0</v>
      </c>
      <c r="E293" s="65">
        <f>ESE!AB294</f>
        <v>0</v>
      </c>
      <c r="F293" s="65">
        <f>ESE!AC294</f>
        <v>0</v>
      </c>
      <c r="G293" s="65">
        <f>ESE!AD294</f>
        <v>0</v>
      </c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spans="1:23" ht="16.5" customHeight="1">
      <c r="A294" s="62" t="str">
        <f>ESE!A295</f>
        <v>Student 284</v>
      </c>
      <c r="B294" s="121" t="s">
        <v>40</v>
      </c>
      <c r="C294" s="65">
        <f>ESE!Z295</f>
        <v>0</v>
      </c>
      <c r="D294" s="65">
        <f>ESE!AA295</f>
        <v>0</v>
      </c>
      <c r="E294" s="65">
        <f>ESE!AB295</f>
        <v>0</v>
      </c>
      <c r="F294" s="65">
        <f>ESE!AC295</f>
        <v>0</v>
      </c>
      <c r="G294" s="65">
        <f>ESE!AD295</f>
        <v>0</v>
      </c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spans="1:23" ht="16.5" customHeight="1">
      <c r="A295" s="62" t="str">
        <f>ESE!A296</f>
        <v>Student 285</v>
      </c>
      <c r="B295" s="121" t="s">
        <v>40</v>
      </c>
      <c r="C295" s="65">
        <f>ESE!Z296</f>
        <v>0</v>
      </c>
      <c r="D295" s="65">
        <f>ESE!AA296</f>
        <v>0</v>
      </c>
      <c r="E295" s="65">
        <f>ESE!AB296</f>
        <v>0</v>
      </c>
      <c r="F295" s="65">
        <f>ESE!AC296</f>
        <v>0</v>
      </c>
      <c r="G295" s="65">
        <f>ESE!AD296</f>
        <v>0</v>
      </c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spans="1:23" ht="16.5" customHeight="1">
      <c r="A296" s="62" t="str">
        <f>ESE!A297</f>
        <v>Student 286</v>
      </c>
      <c r="B296" s="121" t="s">
        <v>40</v>
      </c>
      <c r="C296" s="65">
        <f>ESE!Z297</f>
        <v>0</v>
      </c>
      <c r="D296" s="65">
        <f>ESE!AA297</f>
        <v>0</v>
      </c>
      <c r="E296" s="65">
        <f>ESE!AB297</f>
        <v>0</v>
      </c>
      <c r="F296" s="65">
        <f>ESE!AC297</f>
        <v>0</v>
      </c>
      <c r="G296" s="65">
        <f>ESE!AD297</f>
        <v>0</v>
      </c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spans="1:23" ht="16.5" customHeight="1">
      <c r="A297" s="62" t="str">
        <f>ESE!A298</f>
        <v>Student 287</v>
      </c>
      <c r="B297" s="121" t="s">
        <v>40</v>
      </c>
      <c r="C297" s="65">
        <f>ESE!Z298</f>
        <v>0</v>
      </c>
      <c r="D297" s="65">
        <f>ESE!AA298</f>
        <v>0</v>
      </c>
      <c r="E297" s="65">
        <f>ESE!AB298</f>
        <v>0</v>
      </c>
      <c r="F297" s="65">
        <f>ESE!AC298</f>
        <v>0</v>
      </c>
      <c r="G297" s="65">
        <f>ESE!AD298</f>
        <v>0</v>
      </c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spans="1:23" ht="16.5" customHeight="1">
      <c r="A298" s="62" t="str">
        <f>ESE!A299</f>
        <v>Student 288</v>
      </c>
      <c r="B298" s="121" t="s">
        <v>40</v>
      </c>
      <c r="C298" s="65">
        <f>ESE!Z299</f>
        <v>0</v>
      </c>
      <c r="D298" s="65">
        <f>ESE!AA299</f>
        <v>0</v>
      </c>
      <c r="E298" s="65">
        <f>ESE!AB299</f>
        <v>0</v>
      </c>
      <c r="F298" s="65">
        <f>ESE!AC299</f>
        <v>0</v>
      </c>
      <c r="G298" s="65">
        <f>ESE!AD299</f>
        <v>0</v>
      </c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spans="1:23" ht="16.5" customHeight="1">
      <c r="A299" s="62" t="str">
        <f>ESE!A300</f>
        <v>Student 289</v>
      </c>
      <c r="B299" s="121" t="s">
        <v>40</v>
      </c>
      <c r="C299" s="65">
        <f>ESE!Z300</f>
        <v>0</v>
      </c>
      <c r="D299" s="65">
        <f>ESE!AA300</f>
        <v>0</v>
      </c>
      <c r="E299" s="65">
        <f>ESE!AB300</f>
        <v>0</v>
      </c>
      <c r="F299" s="65">
        <f>ESE!AC300</f>
        <v>0</v>
      </c>
      <c r="G299" s="65">
        <f>ESE!AD300</f>
        <v>0</v>
      </c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spans="1:23" ht="16.5" customHeight="1">
      <c r="A300" s="62" t="str">
        <f>ESE!A301</f>
        <v>Student 290</v>
      </c>
      <c r="B300" s="121" t="s">
        <v>40</v>
      </c>
      <c r="C300" s="65">
        <f>ESE!Z301</f>
        <v>0</v>
      </c>
      <c r="D300" s="65">
        <f>ESE!AA301</f>
        <v>0</v>
      </c>
      <c r="E300" s="65">
        <f>ESE!AB301</f>
        <v>0</v>
      </c>
      <c r="F300" s="65">
        <f>ESE!AC301</f>
        <v>0</v>
      </c>
      <c r="G300" s="65">
        <f>ESE!AD301</f>
        <v>0</v>
      </c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spans="1:23" ht="16.5" customHeight="1">
      <c r="A301" s="62" t="str">
        <f>ESE!A302</f>
        <v>Student 291</v>
      </c>
      <c r="B301" s="121" t="s">
        <v>40</v>
      </c>
      <c r="C301" s="65">
        <f>ESE!Z302</f>
        <v>0</v>
      </c>
      <c r="D301" s="65">
        <f>ESE!AA302</f>
        <v>0</v>
      </c>
      <c r="E301" s="65">
        <f>ESE!AB302</f>
        <v>0</v>
      </c>
      <c r="F301" s="65">
        <f>ESE!AC302</f>
        <v>0</v>
      </c>
      <c r="G301" s="65">
        <f>ESE!AD302</f>
        <v>0</v>
      </c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spans="1:23" ht="16.5" customHeight="1">
      <c r="A302" s="62" t="str">
        <f>ESE!A303</f>
        <v>Student 292</v>
      </c>
      <c r="B302" s="121" t="s">
        <v>40</v>
      </c>
      <c r="C302" s="65">
        <f>ESE!Z303</f>
        <v>0</v>
      </c>
      <c r="D302" s="65">
        <f>ESE!AA303</f>
        <v>0</v>
      </c>
      <c r="E302" s="65">
        <f>ESE!AB303</f>
        <v>0</v>
      </c>
      <c r="F302" s="65">
        <f>ESE!AC303</f>
        <v>0</v>
      </c>
      <c r="G302" s="65">
        <f>ESE!AD303</f>
        <v>0</v>
      </c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spans="1:23" ht="16.5" customHeight="1">
      <c r="A303" s="62" t="str">
        <f>ESE!A304</f>
        <v>Student 293</v>
      </c>
      <c r="B303" s="121" t="s">
        <v>40</v>
      </c>
      <c r="C303" s="65">
        <f>ESE!Z304</f>
        <v>0</v>
      </c>
      <c r="D303" s="65">
        <f>ESE!AA304</f>
        <v>0</v>
      </c>
      <c r="E303" s="65">
        <f>ESE!AB304</f>
        <v>0</v>
      </c>
      <c r="F303" s="65">
        <f>ESE!AC304</f>
        <v>0</v>
      </c>
      <c r="G303" s="65">
        <f>ESE!AD304</f>
        <v>0</v>
      </c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spans="1:23" ht="16.5" customHeight="1">
      <c r="A304" s="62" t="str">
        <f>ESE!A305</f>
        <v>Student 294</v>
      </c>
      <c r="B304" s="121" t="s">
        <v>40</v>
      </c>
      <c r="C304" s="65">
        <f>ESE!Z305</f>
        <v>0</v>
      </c>
      <c r="D304" s="65">
        <f>ESE!AA305</f>
        <v>0</v>
      </c>
      <c r="E304" s="65">
        <f>ESE!AB305</f>
        <v>0</v>
      </c>
      <c r="F304" s="65">
        <f>ESE!AC305</f>
        <v>0</v>
      </c>
      <c r="G304" s="65">
        <f>ESE!AD305</f>
        <v>0</v>
      </c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spans="1:23" ht="16.5" customHeight="1">
      <c r="A305" s="62" t="str">
        <f>ESE!A306</f>
        <v>Student 295</v>
      </c>
      <c r="B305" s="121" t="s">
        <v>40</v>
      </c>
      <c r="C305" s="65">
        <f>ESE!Z306</f>
        <v>0</v>
      </c>
      <c r="D305" s="65">
        <f>ESE!AA306</f>
        <v>0</v>
      </c>
      <c r="E305" s="65">
        <f>ESE!AB306</f>
        <v>0</v>
      </c>
      <c r="F305" s="65">
        <f>ESE!AC306</f>
        <v>0</v>
      </c>
      <c r="G305" s="65">
        <f>ESE!AD306</f>
        <v>0</v>
      </c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spans="1:23" ht="16.5" customHeight="1">
      <c r="A306" s="62" t="str">
        <f>ESE!A307</f>
        <v>Student 296</v>
      </c>
      <c r="B306" s="121" t="s">
        <v>40</v>
      </c>
      <c r="C306" s="65">
        <f>ESE!Z307</f>
        <v>0</v>
      </c>
      <c r="D306" s="65">
        <f>ESE!AA307</f>
        <v>0</v>
      </c>
      <c r="E306" s="65">
        <f>ESE!AB307</f>
        <v>0</v>
      </c>
      <c r="F306" s="65">
        <f>ESE!AC307</f>
        <v>0</v>
      </c>
      <c r="G306" s="65">
        <f>ESE!AD307</f>
        <v>0</v>
      </c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spans="1:23" ht="16.5" customHeight="1">
      <c r="A307" s="62" t="str">
        <f>ESE!A308</f>
        <v>Student 297</v>
      </c>
      <c r="B307" s="121" t="s">
        <v>40</v>
      </c>
      <c r="C307" s="65">
        <f>ESE!Z308</f>
        <v>0</v>
      </c>
      <c r="D307" s="65">
        <f>ESE!AA308</f>
        <v>0</v>
      </c>
      <c r="E307" s="65">
        <f>ESE!AB308</f>
        <v>0</v>
      </c>
      <c r="F307" s="65">
        <f>ESE!AC308</f>
        <v>0</v>
      </c>
      <c r="G307" s="65">
        <f>ESE!AD308</f>
        <v>0</v>
      </c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spans="1:23" ht="16.5" customHeight="1">
      <c r="A308" s="62" t="str">
        <f>ESE!A309</f>
        <v>Student 298</v>
      </c>
      <c r="B308" s="121" t="s">
        <v>40</v>
      </c>
      <c r="C308" s="65">
        <f>ESE!Z309</f>
        <v>0</v>
      </c>
      <c r="D308" s="65">
        <f>ESE!AA309</f>
        <v>0</v>
      </c>
      <c r="E308" s="65">
        <f>ESE!AB309</f>
        <v>0</v>
      </c>
      <c r="F308" s="65">
        <f>ESE!AC309</f>
        <v>0</v>
      </c>
      <c r="G308" s="65">
        <f>ESE!AD309</f>
        <v>0</v>
      </c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spans="1:23" ht="16.5" customHeight="1">
      <c r="A309" s="62" t="str">
        <f>ESE!A310</f>
        <v>Student 299</v>
      </c>
      <c r="B309" s="121" t="s">
        <v>40</v>
      </c>
      <c r="C309" s="65">
        <f>ESE!Z310</f>
        <v>0</v>
      </c>
      <c r="D309" s="65">
        <f>ESE!AA310</f>
        <v>0</v>
      </c>
      <c r="E309" s="65">
        <f>ESE!AB310</f>
        <v>0</v>
      </c>
      <c r="F309" s="65">
        <f>ESE!AC310</f>
        <v>0</v>
      </c>
      <c r="G309" s="65">
        <f>ESE!AD310</f>
        <v>0</v>
      </c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spans="1:23" ht="16.5" customHeight="1">
      <c r="A310" s="62" t="str">
        <f>ESE!A311</f>
        <v>Student 300</v>
      </c>
      <c r="B310" s="121" t="s">
        <v>40</v>
      </c>
      <c r="C310" s="65">
        <f>ESE!Z311</f>
        <v>0</v>
      </c>
      <c r="D310" s="65">
        <f>ESE!AA311</f>
        <v>0</v>
      </c>
      <c r="E310" s="65">
        <f>ESE!AB311</f>
        <v>0</v>
      </c>
      <c r="F310" s="65">
        <f>ESE!AC311</f>
        <v>0</v>
      </c>
      <c r="G310" s="65">
        <f>ESE!AD311</f>
        <v>0</v>
      </c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spans="1:23" ht="16.5" customHeight="1">
      <c r="A311" s="62" t="str">
        <f>ESE!A312</f>
        <v>Student 301</v>
      </c>
      <c r="B311" s="121" t="s">
        <v>40</v>
      </c>
      <c r="C311" s="65">
        <f>ESE!Z312</f>
        <v>0</v>
      </c>
      <c r="D311" s="65">
        <f>ESE!AA312</f>
        <v>0</v>
      </c>
      <c r="E311" s="65">
        <f>ESE!AB312</f>
        <v>0</v>
      </c>
      <c r="F311" s="65">
        <f>ESE!AC312</f>
        <v>0</v>
      </c>
      <c r="G311" s="65">
        <f>ESE!AD312</f>
        <v>0</v>
      </c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spans="1:23" ht="16.5" customHeight="1">
      <c r="A312" s="62" t="str">
        <f>ESE!A313</f>
        <v>Student 302</v>
      </c>
      <c r="B312" s="121" t="s">
        <v>40</v>
      </c>
      <c r="C312" s="65">
        <f>ESE!Z313</f>
        <v>0</v>
      </c>
      <c r="D312" s="65">
        <f>ESE!AA313</f>
        <v>0</v>
      </c>
      <c r="E312" s="65">
        <f>ESE!AB313</f>
        <v>0</v>
      </c>
      <c r="F312" s="65">
        <f>ESE!AC313</f>
        <v>0</v>
      </c>
      <c r="G312" s="65">
        <f>ESE!AD313</f>
        <v>0</v>
      </c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spans="1:23" ht="16.5" customHeight="1">
      <c r="A313" s="62" t="str">
        <f>ESE!A314</f>
        <v>Student 303</v>
      </c>
      <c r="B313" s="121" t="s">
        <v>40</v>
      </c>
      <c r="C313" s="65">
        <f>ESE!Z314</f>
        <v>0</v>
      </c>
      <c r="D313" s="65">
        <f>ESE!AA314</f>
        <v>0</v>
      </c>
      <c r="E313" s="65">
        <f>ESE!AB314</f>
        <v>0</v>
      </c>
      <c r="F313" s="65">
        <f>ESE!AC314</f>
        <v>0</v>
      </c>
      <c r="G313" s="65">
        <f>ESE!AD314</f>
        <v>0</v>
      </c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spans="1:23" ht="16.5" customHeight="1">
      <c r="A314" s="62" t="str">
        <f>ESE!A315</f>
        <v>Student 304</v>
      </c>
      <c r="B314" s="121" t="s">
        <v>40</v>
      </c>
      <c r="C314" s="65">
        <f>ESE!Z315</f>
        <v>0</v>
      </c>
      <c r="D314" s="65">
        <f>ESE!AA315</f>
        <v>0</v>
      </c>
      <c r="E314" s="65">
        <f>ESE!AB315</f>
        <v>0</v>
      </c>
      <c r="F314" s="65">
        <f>ESE!AC315</f>
        <v>0</v>
      </c>
      <c r="G314" s="65">
        <f>ESE!AD315</f>
        <v>0</v>
      </c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spans="1:23" ht="16.5" customHeight="1">
      <c r="A315" s="62" t="str">
        <f>ESE!A316</f>
        <v>Student 305</v>
      </c>
      <c r="B315" s="121" t="s">
        <v>40</v>
      </c>
      <c r="C315" s="65">
        <f>ESE!Z316</f>
        <v>0</v>
      </c>
      <c r="D315" s="65">
        <f>ESE!AA316</f>
        <v>0</v>
      </c>
      <c r="E315" s="65">
        <f>ESE!AB316</f>
        <v>0</v>
      </c>
      <c r="F315" s="65">
        <f>ESE!AC316</f>
        <v>0</v>
      </c>
      <c r="G315" s="65">
        <f>ESE!AD316</f>
        <v>0</v>
      </c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spans="1:23" ht="16.5" customHeight="1">
      <c r="A316" s="62" t="str">
        <f>ESE!A317</f>
        <v>Student 306</v>
      </c>
      <c r="B316" s="121" t="s">
        <v>40</v>
      </c>
      <c r="C316" s="65">
        <f>ESE!Z317</f>
        <v>0</v>
      </c>
      <c r="D316" s="65">
        <f>ESE!AA317</f>
        <v>0</v>
      </c>
      <c r="E316" s="65">
        <f>ESE!AB317</f>
        <v>0</v>
      </c>
      <c r="F316" s="65">
        <f>ESE!AC317</f>
        <v>0</v>
      </c>
      <c r="G316" s="65">
        <f>ESE!AD317</f>
        <v>0</v>
      </c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spans="1:23" ht="16.5" customHeight="1">
      <c r="A317" s="62" t="str">
        <f>ESE!A318</f>
        <v>Student 307</v>
      </c>
      <c r="B317" s="121" t="s">
        <v>40</v>
      </c>
      <c r="C317" s="65">
        <f>ESE!Z318</f>
        <v>0</v>
      </c>
      <c r="D317" s="65">
        <f>ESE!AA318</f>
        <v>0</v>
      </c>
      <c r="E317" s="65">
        <f>ESE!AB318</f>
        <v>0</v>
      </c>
      <c r="F317" s="65">
        <f>ESE!AC318</f>
        <v>0</v>
      </c>
      <c r="G317" s="65">
        <f>ESE!AD318</f>
        <v>0</v>
      </c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spans="1:23" ht="16.5" customHeight="1">
      <c r="A318" s="62" t="str">
        <f>ESE!A319</f>
        <v>Student 308</v>
      </c>
      <c r="B318" s="121" t="s">
        <v>40</v>
      </c>
      <c r="C318" s="65">
        <f>ESE!Z319</f>
        <v>0</v>
      </c>
      <c r="D318" s="65">
        <f>ESE!AA319</f>
        <v>0</v>
      </c>
      <c r="E318" s="65">
        <f>ESE!AB319</f>
        <v>0</v>
      </c>
      <c r="F318" s="65">
        <f>ESE!AC319</f>
        <v>0</v>
      </c>
      <c r="G318" s="65">
        <f>ESE!AD319</f>
        <v>0</v>
      </c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spans="1:23" ht="16.5" customHeight="1">
      <c r="A319" s="62" t="str">
        <f>ESE!A320</f>
        <v>Student 309</v>
      </c>
      <c r="B319" s="121" t="s">
        <v>40</v>
      </c>
      <c r="C319" s="65">
        <f>ESE!Z320</f>
        <v>0</v>
      </c>
      <c r="D319" s="65">
        <f>ESE!AA320</f>
        <v>0</v>
      </c>
      <c r="E319" s="65">
        <f>ESE!AB320</f>
        <v>0</v>
      </c>
      <c r="F319" s="65">
        <f>ESE!AC320</f>
        <v>0</v>
      </c>
      <c r="G319" s="65">
        <f>ESE!AD320</f>
        <v>0</v>
      </c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spans="1:23" ht="16.5" customHeight="1">
      <c r="A320" s="62" t="str">
        <f>ESE!A321</f>
        <v>Student 310</v>
      </c>
      <c r="B320" s="121" t="s">
        <v>40</v>
      </c>
      <c r="C320" s="65">
        <f>ESE!Z321</f>
        <v>0</v>
      </c>
      <c r="D320" s="65">
        <f>ESE!AA321</f>
        <v>0</v>
      </c>
      <c r="E320" s="65">
        <f>ESE!AB321</f>
        <v>0</v>
      </c>
      <c r="F320" s="65">
        <f>ESE!AC321</f>
        <v>0</v>
      </c>
      <c r="G320" s="65">
        <f>ESE!AD321</f>
        <v>0</v>
      </c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spans="1:23" ht="16.5" customHeight="1">
      <c r="A321" s="62" t="str">
        <f>ESE!A322</f>
        <v>Student 311</v>
      </c>
      <c r="B321" s="121" t="s">
        <v>40</v>
      </c>
      <c r="C321" s="65">
        <f>ESE!Z322</f>
        <v>0</v>
      </c>
      <c r="D321" s="65">
        <f>ESE!AA322</f>
        <v>0</v>
      </c>
      <c r="E321" s="65">
        <f>ESE!AB322</f>
        <v>0</v>
      </c>
      <c r="F321" s="65">
        <f>ESE!AC322</f>
        <v>0</v>
      </c>
      <c r="G321" s="65">
        <f>ESE!AD322</f>
        <v>0</v>
      </c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spans="1:23" ht="16.5" customHeight="1">
      <c r="A322" s="62" t="str">
        <f>ESE!A323</f>
        <v>Student 312</v>
      </c>
      <c r="B322" s="121" t="s">
        <v>40</v>
      </c>
      <c r="C322" s="65">
        <f>ESE!Z323</f>
        <v>0</v>
      </c>
      <c r="D322" s="65">
        <f>ESE!AA323</f>
        <v>0</v>
      </c>
      <c r="E322" s="65">
        <f>ESE!AB323</f>
        <v>0</v>
      </c>
      <c r="F322" s="65">
        <f>ESE!AC323</f>
        <v>0</v>
      </c>
      <c r="G322" s="65">
        <f>ESE!AD323</f>
        <v>0</v>
      </c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spans="1:23" ht="16.5" customHeight="1">
      <c r="A323" s="62" t="str">
        <f>ESE!A324</f>
        <v>Student 313</v>
      </c>
      <c r="B323" s="121" t="s">
        <v>40</v>
      </c>
      <c r="C323" s="65">
        <f>ESE!Z324</f>
        <v>0</v>
      </c>
      <c r="D323" s="65">
        <f>ESE!AA324</f>
        <v>0</v>
      </c>
      <c r="E323" s="65">
        <f>ESE!AB324</f>
        <v>0</v>
      </c>
      <c r="F323" s="65">
        <f>ESE!AC324</f>
        <v>0</v>
      </c>
      <c r="G323" s="65">
        <f>ESE!AD324</f>
        <v>0</v>
      </c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spans="1:23" ht="16.5" customHeight="1">
      <c r="A324" s="62" t="str">
        <f>ESE!A325</f>
        <v>Student 314</v>
      </c>
      <c r="B324" s="121" t="s">
        <v>40</v>
      </c>
      <c r="C324" s="65">
        <f>ESE!Z325</f>
        <v>0</v>
      </c>
      <c r="D324" s="65">
        <f>ESE!AA325</f>
        <v>0</v>
      </c>
      <c r="E324" s="65">
        <f>ESE!AB325</f>
        <v>0</v>
      </c>
      <c r="F324" s="65">
        <f>ESE!AC325</f>
        <v>0</v>
      </c>
      <c r="G324" s="65">
        <f>ESE!AD325</f>
        <v>0</v>
      </c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spans="1:23" ht="16.5" customHeight="1">
      <c r="A325" s="62" t="str">
        <f>ESE!A326</f>
        <v>Student 315</v>
      </c>
      <c r="B325" s="121" t="s">
        <v>40</v>
      </c>
      <c r="C325" s="65">
        <f>ESE!Z326</f>
        <v>0</v>
      </c>
      <c r="D325" s="65">
        <f>ESE!AA326</f>
        <v>0</v>
      </c>
      <c r="E325" s="65">
        <f>ESE!AB326</f>
        <v>0</v>
      </c>
      <c r="F325" s="65">
        <f>ESE!AC326</f>
        <v>0</v>
      </c>
      <c r="G325" s="65">
        <f>ESE!AD326</f>
        <v>0</v>
      </c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spans="1:23" ht="16.5" customHeight="1">
      <c r="A326" s="62" t="str">
        <f>ESE!A327</f>
        <v>Student 316</v>
      </c>
      <c r="B326" s="121" t="s">
        <v>40</v>
      </c>
      <c r="C326" s="65">
        <f>ESE!Z327</f>
        <v>0</v>
      </c>
      <c r="D326" s="65">
        <f>ESE!AA327</f>
        <v>0</v>
      </c>
      <c r="E326" s="65">
        <f>ESE!AB327</f>
        <v>0</v>
      </c>
      <c r="F326" s="65">
        <f>ESE!AC327</f>
        <v>0</v>
      </c>
      <c r="G326" s="65">
        <f>ESE!AD327</f>
        <v>0</v>
      </c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spans="1:23" ht="16.5" customHeight="1">
      <c r="A327" s="62" t="str">
        <f>ESE!A328</f>
        <v>Student 317</v>
      </c>
      <c r="B327" s="121" t="s">
        <v>40</v>
      </c>
      <c r="C327" s="65">
        <f>ESE!Z328</f>
        <v>0</v>
      </c>
      <c r="D327" s="65">
        <f>ESE!AA328</f>
        <v>0</v>
      </c>
      <c r="E327" s="65">
        <f>ESE!AB328</f>
        <v>0</v>
      </c>
      <c r="F327" s="65">
        <f>ESE!AC328</f>
        <v>0</v>
      </c>
      <c r="G327" s="65">
        <f>ESE!AD328</f>
        <v>0</v>
      </c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spans="1:23" ht="16.5" customHeight="1">
      <c r="A328" s="62" t="str">
        <f>ESE!A329</f>
        <v>Student 318</v>
      </c>
      <c r="B328" s="121" t="s">
        <v>40</v>
      </c>
      <c r="C328" s="65">
        <f>ESE!Z329</f>
        <v>0</v>
      </c>
      <c r="D328" s="65">
        <f>ESE!AA329</f>
        <v>0</v>
      </c>
      <c r="E328" s="65">
        <f>ESE!AB329</f>
        <v>0</v>
      </c>
      <c r="F328" s="65">
        <f>ESE!AC329</f>
        <v>0</v>
      </c>
      <c r="G328" s="65">
        <f>ESE!AD329</f>
        <v>0</v>
      </c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spans="1:23" ht="16.5" customHeight="1">
      <c r="A329" s="62" t="str">
        <f>ESE!A330</f>
        <v>Student 319</v>
      </c>
      <c r="B329" s="121" t="s">
        <v>40</v>
      </c>
      <c r="C329" s="65">
        <f>ESE!Z330</f>
        <v>0</v>
      </c>
      <c r="D329" s="65">
        <f>ESE!AA330</f>
        <v>0</v>
      </c>
      <c r="E329" s="65">
        <f>ESE!AB330</f>
        <v>0</v>
      </c>
      <c r="F329" s="65">
        <f>ESE!AC330</f>
        <v>0</v>
      </c>
      <c r="G329" s="65">
        <f>ESE!AD330</f>
        <v>0</v>
      </c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spans="1:23" ht="16.5" customHeight="1">
      <c r="A330" s="62" t="str">
        <f>ESE!A331</f>
        <v>Student 320</v>
      </c>
      <c r="B330" s="121" t="s">
        <v>40</v>
      </c>
      <c r="C330" s="65">
        <f>ESE!Z331</f>
        <v>0</v>
      </c>
      <c r="D330" s="65">
        <f>ESE!AA331</f>
        <v>0</v>
      </c>
      <c r="E330" s="65">
        <f>ESE!AB331</f>
        <v>0</v>
      </c>
      <c r="F330" s="65">
        <f>ESE!AC331</f>
        <v>0</v>
      </c>
      <c r="G330" s="65">
        <f>ESE!AD331</f>
        <v>0</v>
      </c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spans="1:23" ht="16.5" customHeight="1">
      <c r="A331" s="62" t="str">
        <f>ESE!A332</f>
        <v>Student 321</v>
      </c>
      <c r="B331" s="121" t="s">
        <v>40</v>
      </c>
      <c r="C331" s="65">
        <f>ESE!Z332</f>
        <v>0</v>
      </c>
      <c r="D331" s="65">
        <f>ESE!AA332</f>
        <v>0</v>
      </c>
      <c r="E331" s="65">
        <f>ESE!AB332</f>
        <v>0</v>
      </c>
      <c r="F331" s="65">
        <f>ESE!AC332</f>
        <v>0</v>
      </c>
      <c r="G331" s="65">
        <f>ESE!AD332</f>
        <v>0</v>
      </c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spans="1:23" ht="16.5" customHeight="1">
      <c r="A332" s="62" t="str">
        <f>ESE!A333</f>
        <v>Student 322</v>
      </c>
      <c r="B332" s="121" t="s">
        <v>40</v>
      </c>
      <c r="C332" s="65">
        <f>ESE!Z333</f>
        <v>0</v>
      </c>
      <c r="D332" s="65">
        <f>ESE!AA333</f>
        <v>0</v>
      </c>
      <c r="E332" s="65">
        <f>ESE!AB333</f>
        <v>0</v>
      </c>
      <c r="F332" s="65">
        <f>ESE!AC333</f>
        <v>0</v>
      </c>
      <c r="G332" s="65">
        <f>ESE!AD333</f>
        <v>0</v>
      </c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spans="1:23" ht="16.5" customHeight="1">
      <c r="A333" s="62" t="str">
        <f>ESE!A334</f>
        <v>Student 323</v>
      </c>
      <c r="B333" s="121" t="s">
        <v>40</v>
      </c>
      <c r="C333" s="65">
        <f>ESE!Z334</f>
        <v>0</v>
      </c>
      <c r="D333" s="65">
        <f>ESE!AA334</f>
        <v>0</v>
      </c>
      <c r="E333" s="65">
        <f>ESE!AB334</f>
        <v>0</v>
      </c>
      <c r="F333" s="65">
        <f>ESE!AC334</f>
        <v>0</v>
      </c>
      <c r="G333" s="65">
        <f>ESE!AD334</f>
        <v>0</v>
      </c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spans="1:23" ht="16.5" customHeight="1">
      <c r="A334" s="62" t="str">
        <f>ESE!A335</f>
        <v>Student 324</v>
      </c>
      <c r="B334" s="121" t="s">
        <v>40</v>
      </c>
      <c r="C334" s="65">
        <f>ESE!Z335</f>
        <v>0</v>
      </c>
      <c r="D334" s="65">
        <f>ESE!AA335</f>
        <v>0</v>
      </c>
      <c r="E334" s="65">
        <f>ESE!AB335</f>
        <v>0</v>
      </c>
      <c r="F334" s="65">
        <f>ESE!AC335</f>
        <v>0</v>
      </c>
      <c r="G334" s="65">
        <f>ESE!AD335</f>
        <v>0</v>
      </c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spans="1:23" ht="16.5" customHeight="1">
      <c r="A335" s="62" t="str">
        <f>ESE!A336</f>
        <v>Student 325</v>
      </c>
      <c r="B335" s="121" t="s">
        <v>40</v>
      </c>
      <c r="C335" s="65">
        <f>ESE!Z336</f>
        <v>0</v>
      </c>
      <c r="D335" s="65">
        <f>ESE!AA336</f>
        <v>0</v>
      </c>
      <c r="E335" s="65">
        <f>ESE!AB336</f>
        <v>0</v>
      </c>
      <c r="F335" s="65">
        <f>ESE!AC336</f>
        <v>0</v>
      </c>
      <c r="G335" s="65">
        <f>ESE!AD336</f>
        <v>0</v>
      </c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spans="1:23" ht="16.5" customHeight="1">
      <c r="A336" s="62" t="str">
        <f>ESE!A337</f>
        <v>Student 326</v>
      </c>
      <c r="B336" s="121" t="s">
        <v>40</v>
      </c>
      <c r="C336" s="65">
        <f>ESE!Z337</f>
        <v>0</v>
      </c>
      <c r="D336" s="65">
        <f>ESE!AA337</f>
        <v>0</v>
      </c>
      <c r="E336" s="65">
        <f>ESE!AB337</f>
        <v>0</v>
      </c>
      <c r="F336" s="65">
        <f>ESE!AC337</f>
        <v>0</v>
      </c>
      <c r="G336" s="65">
        <f>ESE!AD337</f>
        <v>0</v>
      </c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spans="1:23" ht="16.5" customHeight="1">
      <c r="A337" s="62" t="str">
        <f>ESE!A338</f>
        <v>Student 327</v>
      </c>
      <c r="B337" s="121" t="s">
        <v>40</v>
      </c>
      <c r="C337" s="65">
        <f>ESE!Z338</f>
        <v>0</v>
      </c>
      <c r="D337" s="65">
        <f>ESE!AA338</f>
        <v>0</v>
      </c>
      <c r="E337" s="65">
        <f>ESE!AB338</f>
        <v>0</v>
      </c>
      <c r="F337" s="65">
        <f>ESE!AC338</f>
        <v>0</v>
      </c>
      <c r="G337" s="65">
        <f>ESE!AD338</f>
        <v>0</v>
      </c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spans="1:23" ht="16.5" customHeight="1">
      <c r="A338" s="62" t="str">
        <f>ESE!A339</f>
        <v>Student 328</v>
      </c>
      <c r="B338" s="121" t="s">
        <v>40</v>
      </c>
      <c r="C338" s="65">
        <f>ESE!Z339</f>
        <v>0</v>
      </c>
      <c r="D338" s="65">
        <f>ESE!AA339</f>
        <v>0</v>
      </c>
      <c r="E338" s="65">
        <f>ESE!AB339</f>
        <v>0</v>
      </c>
      <c r="F338" s="65">
        <f>ESE!AC339</f>
        <v>0</v>
      </c>
      <c r="G338" s="65">
        <f>ESE!AD339</f>
        <v>0</v>
      </c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spans="1:23" ht="16.5" customHeight="1">
      <c r="A339" s="62" t="str">
        <f>ESE!A340</f>
        <v>Student 329</v>
      </c>
      <c r="B339" s="121" t="s">
        <v>40</v>
      </c>
      <c r="C339" s="65">
        <f>ESE!Z340</f>
        <v>0</v>
      </c>
      <c r="D339" s="65">
        <f>ESE!AA340</f>
        <v>0</v>
      </c>
      <c r="E339" s="65">
        <f>ESE!AB340</f>
        <v>0</v>
      </c>
      <c r="F339" s="65">
        <f>ESE!AC340</f>
        <v>0</v>
      </c>
      <c r="G339" s="65">
        <f>ESE!AD340</f>
        <v>0</v>
      </c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spans="1:23" ht="16.5" customHeight="1">
      <c r="A340" s="62" t="str">
        <f>ESE!A341</f>
        <v>Student 330</v>
      </c>
      <c r="B340" s="121" t="s">
        <v>40</v>
      </c>
      <c r="C340" s="65">
        <f>ESE!Z341</f>
        <v>0</v>
      </c>
      <c r="D340" s="65">
        <f>ESE!AA341</f>
        <v>0</v>
      </c>
      <c r="E340" s="65">
        <f>ESE!AB341</f>
        <v>0</v>
      </c>
      <c r="F340" s="65">
        <f>ESE!AC341</f>
        <v>0</v>
      </c>
      <c r="G340" s="65">
        <f>ESE!AD341</f>
        <v>0</v>
      </c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spans="1:23" ht="16.5" customHeight="1">
      <c r="A341" s="62" t="str">
        <f>ESE!A342</f>
        <v>Student 331</v>
      </c>
      <c r="B341" s="121" t="s">
        <v>40</v>
      </c>
      <c r="C341" s="65">
        <f>ESE!Z342</f>
        <v>0</v>
      </c>
      <c r="D341" s="65">
        <f>ESE!AA342</f>
        <v>0</v>
      </c>
      <c r="E341" s="65">
        <f>ESE!AB342</f>
        <v>0</v>
      </c>
      <c r="F341" s="65">
        <f>ESE!AC342</f>
        <v>0</v>
      </c>
      <c r="G341" s="65">
        <f>ESE!AD342</f>
        <v>0</v>
      </c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spans="1:23" ht="16.5" customHeight="1">
      <c r="A342" s="62" t="str">
        <f>ESE!A343</f>
        <v>Student 332</v>
      </c>
      <c r="B342" s="121" t="s">
        <v>40</v>
      </c>
      <c r="C342" s="65">
        <f>ESE!Z343</f>
        <v>0</v>
      </c>
      <c r="D342" s="65">
        <f>ESE!AA343</f>
        <v>0</v>
      </c>
      <c r="E342" s="65">
        <f>ESE!AB343</f>
        <v>0</v>
      </c>
      <c r="F342" s="65">
        <f>ESE!AC343</f>
        <v>0</v>
      </c>
      <c r="G342" s="65">
        <f>ESE!AD343</f>
        <v>0</v>
      </c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spans="1:23" ht="16.5" customHeight="1">
      <c r="A343" s="62" t="str">
        <f>ESE!A344</f>
        <v>Student 333</v>
      </c>
      <c r="B343" s="121" t="s">
        <v>40</v>
      </c>
      <c r="C343" s="65">
        <f>ESE!Z344</f>
        <v>0</v>
      </c>
      <c r="D343" s="65">
        <f>ESE!AA344</f>
        <v>0</v>
      </c>
      <c r="E343" s="65">
        <f>ESE!AB344</f>
        <v>0</v>
      </c>
      <c r="F343" s="65">
        <f>ESE!AC344</f>
        <v>0</v>
      </c>
      <c r="G343" s="65">
        <f>ESE!AD344</f>
        <v>0</v>
      </c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spans="1:23" ht="16.5" customHeight="1">
      <c r="A344" s="62" t="str">
        <f>ESE!A345</f>
        <v>Student 334</v>
      </c>
      <c r="B344" s="121" t="s">
        <v>40</v>
      </c>
      <c r="C344" s="65">
        <f>ESE!Z345</f>
        <v>0</v>
      </c>
      <c r="D344" s="65">
        <f>ESE!AA345</f>
        <v>0</v>
      </c>
      <c r="E344" s="65">
        <f>ESE!AB345</f>
        <v>0</v>
      </c>
      <c r="F344" s="65">
        <f>ESE!AC345</f>
        <v>0</v>
      </c>
      <c r="G344" s="65">
        <f>ESE!AD345</f>
        <v>0</v>
      </c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spans="1:23" ht="16.5" customHeight="1">
      <c r="A345" s="62" t="str">
        <f>ESE!A346</f>
        <v>Student 335</v>
      </c>
      <c r="B345" s="121" t="s">
        <v>40</v>
      </c>
      <c r="C345" s="65">
        <f>ESE!Z346</f>
        <v>0</v>
      </c>
      <c r="D345" s="65">
        <f>ESE!AA346</f>
        <v>0</v>
      </c>
      <c r="E345" s="65">
        <f>ESE!AB346</f>
        <v>0</v>
      </c>
      <c r="F345" s="65">
        <f>ESE!AC346</f>
        <v>0</v>
      </c>
      <c r="G345" s="65">
        <f>ESE!AD346</f>
        <v>0</v>
      </c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spans="1:23" ht="16.5" customHeight="1">
      <c r="A346" s="62" t="str">
        <f>ESE!A347</f>
        <v>Student 336</v>
      </c>
      <c r="B346" s="121" t="s">
        <v>40</v>
      </c>
      <c r="C346" s="65">
        <f>ESE!Z347</f>
        <v>0</v>
      </c>
      <c r="D346" s="65">
        <f>ESE!AA347</f>
        <v>0</v>
      </c>
      <c r="E346" s="65">
        <f>ESE!AB347</f>
        <v>0</v>
      </c>
      <c r="F346" s="65">
        <f>ESE!AC347</f>
        <v>0</v>
      </c>
      <c r="G346" s="65">
        <f>ESE!AD347</f>
        <v>0</v>
      </c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spans="1:23" ht="16.5" customHeight="1">
      <c r="A347" s="62" t="str">
        <f>ESE!A348</f>
        <v>Student 337</v>
      </c>
      <c r="B347" s="121" t="s">
        <v>40</v>
      </c>
      <c r="C347" s="65">
        <f>ESE!Z348</f>
        <v>0</v>
      </c>
      <c r="D347" s="65">
        <f>ESE!AA348</f>
        <v>0</v>
      </c>
      <c r="E347" s="65">
        <f>ESE!AB348</f>
        <v>0</v>
      </c>
      <c r="F347" s="65">
        <f>ESE!AC348</f>
        <v>0</v>
      </c>
      <c r="G347" s="65">
        <f>ESE!AD348</f>
        <v>0</v>
      </c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spans="1:23" ht="16.5" customHeight="1">
      <c r="A348" s="62" t="str">
        <f>ESE!A349</f>
        <v>Student 338</v>
      </c>
      <c r="B348" s="121" t="s">
        <v>40</v>
      </c>
      <c r="C348" s="65">
        <f>ESE!Z349</f>
        <v>0</v>
      </c>
      <c r="D348" s="65">
        <f>ESE!AA349</f>
        <v>0</v>
      </c>
      <c r="E348" s="65">
        <f>ESE!AB349</f>
        <v>0</v>
      </c>
      <c r="F348" s="65">
        <f>ESE!AC349</f>
        <v>0</v>
      </c>
      <c r="G348" s="65">
        <f>ESE!AD349</f>
        <v>0</v>
      </c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spans="1:23" ht="16.5" customHeight="1">
      <c r="A349" s="62" t="str">
        <f>ESE!A350</f>
        <v>Student 339</v>
      </c>
      <c r="B349" s="121" t="s">
        <v>40</v>
      </c>
      <c r="C349" s="65">
        <f>ESE!Z350</f>
        <v>0</v>
      </c>
      <c r="D349" s="65">
        <f>ESE!AA350</f>
        <v>0</v>
      </c>
      <c r="E349" s="65">
        <f>ESE!AB350</f>
        <v>0</v>
      </c>
      <c r="F349" s="65">
        <f>ESE!AC350</f>
        <v>0</v>
      </c>
      <c r="G349" s="65">
        <f>ESE!AD350</f>
        <v>0</v>
      </c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spans="1:23" ht="16.5" customHeight="1">
      <c r="A350" s="62" t="str">
        <f>ESE!A351</f>
        <v>Student 340</v>
      </c>
      <c r="B350" s="121" t="s">
        <v>40</v>
      </c>
      <c r="C350" s="65">
        <f>ESE!Z351</f>
        <v>0</v>
      </c>
      <c r="D350" s="65">
        <f>ESE!AA351</f>
        <v>0</v>
      </c>
      <c r="E350" s="65">
        <f>ESE!AB351</f>
        <v>0</v>
      </c>
      <c r="F350" s="65">
        <f>ESE!AC351</f>
        <v>0</v>
      </c>
      <c r="G350" s="65">
        <f>ESE!AD351</f>
        <v>0</v>
      </c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spans="1:23" ht="16.5" customHeight="1">
      <c r="A351" s="62" t="str">
        <f>ESE!A352</f>
        <v>Student 341</v>
      </c>
      <c r="B351" s="121" t="s">
        <v>40</v>
      </c>
      <c r="C351" s="65">
        <f>ESE!Z352</f>
        <v>0</v>
      </c>
      <c r="D351" s="65">
        <f>ESE!AA352</f>
        <v>0</v>
      </c>
      <c r="E351" s="65">
        <f>ESE!AB352</f>
        <v>0</v>
      </c>
      <c r="F351" s="65">
        <f>ESE!AC352</f>
        <v>0</v>
      </c>
      <c r="G351" s="65">
        <f>ESE!AD352</f>
        <v>0</v>
      </c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spans="1:23" ht="16.5" customHeight="1">
      <c r="A352" s="62" t="str">
        <f>ESE!A353</f>
        <v>Student 342</v>
      </c>
      <c r="B352" s="121" t="s">
        <v>40</v>
      </c>
      <c r="C352" s="65">
        <f>ESE!Z353</f>
        <v>0</v>
      </c>
      <c r="D352" s="65">
        <f>ESE!AA353</f>
        <v>0</v>
      </c>
      <c r="E352" s="65">
        <f>ESE!AB353</f>
        <v>0</v>
      </c>
      <c r="F352" s="65">
        <f>ESE!AC353</f>
        <v>0</v>
      </c>
      <c r="G352" s="65">
        <f>ESE!AD353</f>
        <v>0</v>
      </c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spans="1:23" ht="16.5" customHeight="1">
      <c r="A353" s="62" t="str">
        <f>ESE!A354</f>
        <v>Student 343</v>
      </c>
      <c r="B353" s="121" t="s">
        <v>40</v>
      </c>
      <c r="C353" s="65">
        <f>ESE!Z354</f>
        <v>0</v>
      </c>
      <c r="D353" s="65">
        <f>ESE!AA354</f>
        <v>0</v>
      </c>
      <c r="E353" s="65">
        <f>ESE!AB354</f>
        <v>0</v>
      </c>
      <c r="F353" s="65">
        <f>ESE!AC354</f>
        <v>0</v>
      </c>
      <c r="G353" s="65">
        <f>ESE!AD354</f>
        <v>0</v>
      </c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spans="1:23" ht="16.5" customHeight="1">
      <c r="A354" s="62" t="str">
        <f>ESE!A355</f>
        <v>Student 344</v>
      </c>
      <c r="B354" s="121" t="s">
        <v>40</v>
      </c>
      <c r="C354" s="65">
        <f>ESE!Z355</f>
        <v>0</v>
      </c>
      <c r="D354" s="65">
        <f>ESE!AA355</f>
        <v>0</v>
      </c>
      <c r="E354" s="65">
        <f>ESE!AB355</f>
        <v>0</v>
      </c>
      <c r="F354" s="65">
        <f>ESE!AC355</f>
        <v>0</v>
      </c>
      <c r="G354" s="65">
        <f>ESE!AD355</f>
        <v>0</v>
      </c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spans="1:23" ht="16.5" customHeight="1">
      <c r="A355" s="62" t="str">
        <f>ESE!A356</f>
        <v>Student 345</v>
      </c>
      <c r="B355" s="121" t="s">
        <v>40</v>
      </c>
      <c r="C355" s="65">
        <f>ESE!Z356</f>
        <v>0</v>
      </c>
      <c r="D355" s="65">
        <f>ESE!AA356</f>
        <v>0</v>
      </c>
      <c r="E355" s="65">
        <f>ESE!AB356</f>
        <v>0</v>
      </c>
      <c r="F355" s="65">
        <f>ESE!AC356</f>
        <v>0</v>
      </c>
      <c r="G355" s="65">
        <f>ESE!AD356</f>
        <v>0</v>
      </c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spans="1:23" ht="16.5" customHeight="1">
      <c r="A356" s="62" t="str">
        <f>ESE!A357</f>
        <v>Student 346</v>
      </c>
      <c r="B356" s="121" t="s">
        <v>40</v>
      </c>
      <c r="C356" s="65">
        <f>ESE!Z357</f>
        <v>0</v>
      </c>
      <c r="D356" s="65">
        <f>ESE!AA357</f>
        <v>0</v>
      </c>
      <c r="E356" s="65">
        <f>ESE!AB357</f>
        <v>0</v>
      </c>
      <c r="F356" s="65">
        <f>ESE!AC357</f>
        <v>0</v>
      </c>
      <c r="G356" s="65">
        <f>ESE!AD357</f>
        <v>0</v>
      </c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spans="1:23" ht="16.5" customHeight="1">
      <c r="A357" s="62" t="str">
        <f>ESE!A358</f>
        <v>Student 347</v>
      </c>
      <c r="B357" s="121" t="s">
        <v>40</v>
      </c>
      <c r="C357" s="65">
        <f>ESE!Z358</f>
        <v>0</v>
      </c>
      <c r="D357" s="65">
        <f>ESE!AA358</f>
        <v>0</v>
      </c>
      <c r="E357" s="65">
        <f>ESE!AB358</f>
        <v>0</v>
      </c>
      <c r="F357" s="65">
        <f>ESE!AC358</f>
        <v>0</v>
      </c>
      <c r="G357" s="65">
        <f>ESE!AD358</f>
        <v>0</v>
      </c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spans="1:23" ht="16.5" customHeight="1">
      <c r="A358" s="62" t="str">
        <f>ESE!A359</f>
        <v>Student 348</v>
      </c>
      <c r="B358" s="121" t="s">
        <v>40</v>
      </c>
      <c r="C358" s="65">
        <f>ESE!Z359</f>
        <v>0</v>
      </c>
      <c r="D358" s="65">
        <f>ESE!AA359</f>
        <v>0</v>
      </c>
      <c r="E358" s="65">
        <f>ESE!AB359</f>
        <v>0</v>
      </c>
      <c r="F358" s="65">
        <f>ESE!AC359</f>
        <v>0</v>
      </c>
      <c r="G358" s="65">
        <f>ESE!AD359</f>
        <v>0</v>
      </c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spans="1:23" ht="16.5" customHeight="1">
      <c r="A359" s="62" t="str">
        <f>ESE!A360</f>
        <v>Student 349</v>
      </c>
      <c r="B359" s="121" t="s">
        <v>40</v>
      </c>
      <c r="C359" s="65">
        <f>ESE!Z360</f>
        <v>0</v>
      </c>
      <c r="D359" s="65">
        <f>ESE!AA360</f>
        <v>0</v>
      </c>
      <c r="E359" s="65">
        <f>ESE!AB360</f>
        <v>0</v>
      </c>
      <c r="F359" s="65">
        <f>ESE!AC360</f>
        <v>0</v>
      </c>
      <c r="G359" s="65">
        <f>ESE!AD360</f>
        <v>0</v>
      </c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spans="1:23" ht="16.5" customHeight="1">
      <c r="A360" s="62" t="str">
        <f>ESE!A361</f>
        <v>Student 350</v>
      </c>
      <c r="B360" s="121" t="s">
        <v>40</v>
      </c>
      <c r="C360" s="65">
        <f>ESE!Z361</f>
        <v>0</v>
      </c>
      <c r="D360" s="65">
        <f>ESE!AA361</f>
        <v>0</v>
      </c>
      <c r="E360" s="65">
        <f>ESE!AB361</f>
        <v>0</v>
      </c>
      <c r="F360" s="65">
        <f>ESE!AC361</f>
        <v>0</v>
      </c>
      <c r="G360" s="65">
        <f>ESE!AD361</f>
        <v>0</v>
      </c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spans="1:23" ht="16.5" customHeight="1">
      <c r="A361" s="62" t="str">
        <f>ESE!A362</f>
        <v>Student 351</v>
      </c>
      <c r="B361" s="121" t="s">
        <v>40</v>
      </c>
      <c r="C361" s="65">
        <f>ESE!Z362</f>
        <v>0</v>
      </c>
      <c r="D361" s="65">
        <f>ESE!AA362</f>
        <v>0</v>
      </c>
      <c r="E361" s="65">
        <f>ESE!AB362</f>
        <v>0</v>
      </c>
      <c r="F361" s="65">
        <f>ESE!AC362</f>
        <v>0</v>
      </c>
      <c r="G361" s="65">
        <f>ESE!AD362</f>
        <v>0</v>
      </c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spans="1:23" ht="16.5" customHeight="1">
      <c r="A362" s="62" t="str">
        <f>ESE!A363</f>
        <v>Student 352</v>
      </c>
      <c r="B362" s="121" t="s">
        <v>40</v>
      </c>
      <c r="C362" s="65">
        <f>ESE!Z363</f>
        <v>0</v>
      </c>
      <c r="D362" s="65">
        <f>ESE!AA363</f>
        <v>0</v>
      </c>
      <c r="E362" s="65">
        <f>ESE!AB363</f>
        <v>0</v>
      </c>
      <c r="F362" s="65">
        <f>ESE!AC363</f>
        <v>0</v>
      </c>
      <c r="G362" s="65">
        <f>ESE!AD363</f>
        <v>0</v>
      </c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spans="1:23" ht="16.5" customHeight="1">
      <c r="A363" s="62" t="str">
        <f>ESE!A364</f>
        <v>Student 353</v>
      </c>
      <c r="B363" s="121" t="s">
        <v>40</v>
      </c>
      <c r="C363" s="65">
        <f>ESE!Z364</f>
        <v>0</v>
      </c>
      <c r="D363" s="65">
        <f>ESE!AA364</f>
        <v>0</v>
      </c>
      <c r="E363" s="65">
        <f>ESE!AB364</f>
        <v>0</v>
      </c>
      <c r="F363" s="65">
        <f>ESE!AC364</f>
        <v>0</v>
      </c>
      <c r="G363" s="65">
        <f>ESE!AD364</f>
        <v>0</v>
      </c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spans="1:23" ht="16.5" customHeight="1">
      <c r="A364" s="62" t="str">
        <f>ESE!A365</f>
        <v>Student 354</v>
      </c>
      <c r="B364" s="121" t="s">
        <v>40</v>
      </c>
      <c r="C364" s="65">
        <f>ESE!Z365</f>
        <v>0</v>
      </c>
      <c r="D364" s="65">
        <f>ESE!AA365</f>
        <v>0</v>
      </c>
      <c r="E364" s="65">
        <f>ESE!AB365</f>
        <v>0</v>
      </c>
      <c r="F364" s="65">
        <f>ESE!AC365</f>
        <v>0</v>
      </c>
      <c r="G364" s="65">
        <f>ESE!AD365</f>
        <v>0</v>
      </c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spans="1:23" ht="16.5" customHeight="1">
      <c r="A365" s="62" t="str">
        <f>ESE!A366</f>
        <v>Student 355</v>
      </c>
      <c r="B365" s="121" t="s">
        <v>40</v>
      </c>
      <c r="C365" s="65">
        <f>ESE!Z366</f>
        <v>0</v>
      </c>
      <c r="D365" s="65">
        <f>ESE!AA366</f>
        <v>0</v>
      </c>
      <c r="E365" s="65">
        <f>ESE!AB366</f>
        <v>0</v>
      </c>
      <c r="F365" s="65">
        <f>ESE!AC366</f>
        <v>0</v>
      </c>
      <c r="G365" s="65">
        <f>ESE!AD366</f>
        <v>0</v>
      </c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spans="1:23" ht="16.5" customHeight="1">
      <c r="A366" s="62" t="str">
        <f>ESE!A367</f>
        <v>Student 356</v>
      </c>
      <c r="B366" s="121" t="s">
        <v>40</v>
      </c>
      <c r="C366" s="65">
        <f>ESE!Z367</f>
        <v>0</v>
      </c>
      <c r="D366" s="65">
        <f>ESE!AA367</f>
        <v>0</v>
      </c>
      <c r="E366" s="65">
        <f>ESE!AB367</f>
        <v>0</v>
      </c>
      <c r="F366" s="65">
        <f>ESE!AC367</f>
        <v>0</v>
      </c>
      <c r="G366" s="65">
        <f>ESE!AD367</f>
        <v>0</v>
      </c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spans="1:23" ht="16.5" customHeight="1">
      <c r="A367" s="62" t="str">
        <f>ESE!A368</f>
        <v>Student 357</v>
      </c>
      <c r="B367" s="121" t="s">
        <v>40</v>
      </c>
      <c r="C367" s="65">
        <f>ESE!Z368</f>
        <v>0</v>
      </c>
      <c r="D367" s="65">
        <f>ESE!AA368</f>
        <v>0</v>
      </c>
      <c r="E367" s="65">
        <f>ESE!AB368</f>
        <v>0</v>
      </c>
      <c r="F367" s="65">
        <f>ESE!AC368</f>
        <v>0</v>
      </c>
      <c r="G367" s="65">
        <f>ESE!AD368</f>
        <v>0</v>
      </c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spans="1:23" ht="16.5" customHeight="1">
      <c r="A368" s="62" t="str">
        <f>ESE!A369</f>
        <v>Student 358</v>
      </c>
      <c r="B368" s="121" t="s">
        <v>40</v>
      </c>
      <c r="C368" s="65">
        <f>ESE!Z369</f>
        <v>0</v>
      </c>
      <c r="D368" s="65">
        <f>ESE!AA369</f>
        <v>0</v>
      </c>
      <c r="E368" s="65">
        <f>ESE!AB369</f>
        <v>0</v>
      </c>
      <c r="F368" s="65">
        <f>ESE!AC369</f>
        <v>0</v>
      </c>
      <c r="G368" s="65">
        <f>ESE!AD369</f>
        <v>0</v>
      </c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spans="1:23" ht="16.5" customHeight="1">
      <c r="A369" s="62" t="str">
        <f>ESE!A370</f>
        <v>Student 359</v>
      </c>
      <c r="B369" s="121" t="s">
        <v>40</v>
      </c>
      <c r="C369" s="65">
        <f>ESE!Z370</f>
        <v>0</v>
      </c>
      <c r="D369" s="65">
        <f>ESE!AA370</f>
        <v>0</v>
      </c>
      <c r="E369" s="65">
        <f>ESE!AB370</f>
        <v>0</v>
      </c>
      <c r="F369" s="65">
        <f>ESE!AC370</f>
        <v>0</v>
      </c>
      <c r="G369" s="65">
        <f>ESE!AD370</f>
        <v>0</v>
      </c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spans="1:23" ht="16.5" customHeight="1">
      <c r="A370" s="62" t="str">
        <f>ESE!A371</f>
        <v>Student 360</v>
      </c>
      <c r="B370" s="121" t="s">
        <v>40</v>
      </c>
      <c r="C370" s="65">
        <f>ESE!Z371</f>
        <v>0</v>
      </c>
      <c r="D370" s="65">
        <f>ESE!AA371</f>
        <v>0</v>
      </c>
      <c r="E370" s="65">
        <f>ESE!AB371</f>
        <v>0</v>
      </c>
      <c r="F370" s="65">
        <f>ESE!AC371</f>
        <v>0</v>
      </c>
      <c r="G370" s="65">
        <f>ESE!AD371</f>
        <v>0</v>
      </c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spans="1:23" ht="16.5" customHeight="1">
      <c r="A371" s="62" t="str">
        <f>ESE!A372</f>
        <v>Student 361</v>
      </c>
      <c r="B371" s="121" t="s">
        <v>40</v>
      </c>
      <c r="C371" s="65">
        <f>ESE!Z372</f>
        <v>0</v>
      </c>
      <c r="D371" s="65">
        <f>ESE!AA372</f>
        <v>0</v>
      </c>
      <c r="E371" s="65">
        <f>ESE!AB372</f>
        <v>0</v>
      </c>
      <c r="F371" s="65">
        <f>ESE!AC372</f>
        <v>0</v>
      </c>
      <c r="G371" s="65">
        <f>ESE!AD372</f>
        <v>0</v>
      </c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spans="1:23" ht="16.5" customHeight="1">
      <c r="A372" s="62" t="str">
        <f>ESE!A373</f>
        <v>Student 362</v>
      </c>
      <c r="B372" s="121" t="s">
        <v>40</v>
      </c>
      <c r="C372" s="65">
        <f>ESE!Z373</f>
        <v>0</v>
      </c>
      <c r="D372" s="65">
        <f>ESE!AA373</f>
        <v>0</v>
      </c>
      <c r="E372" s="65">
        <f>ESE!AB373</f>
        <v>0</v>
      </c>
      <c r="F372" s="65">
        <f>ESE!AC373</f>
        <v>0</v>
      </c>
      <c r="G372" s="65">
        <f>ESE!AD373</f>
        <v>0</v>
      </c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spans="1:23" ht="16.5" customHeight="1">
      <c r="A373" s="62" t="str">
        <f>ESE!A374</f>
        <v>Student 363</v>
      </c>
      <c r="B373" s="121" t="s">
        <v>40</v>
      </c>
      <c r="C373" s="65">
        <f>ESE!Z374</f>
        <v>0</v>
      </c>
      <c r="D373" s="65">
        <f>ESE!AA374</f>
        <v>0</v>
      </c>
      <c r="E373" s="65">
        <f>ESE!AB374</f>
        <v>0</v>
      </c>
      <c r="F373" s="65">
        <f>ESE!AC374</f>
        <v>0</v>
      </c>
      <c r="G373" s="65">
        <f>ESE!AD374</f>
        <v>0</v>
      </c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spans="1:23" ht="16.5" customHeight="1">
      <c r="A374" s="62" t="str">
        <f>ESE!A375</f>
        <v>Student 364</v>
      </c>
      <c r="B374" s="121" t="s">
        <v>40</v>
      </c>
      <c r="C374" s="65">
        <f>ESE!Z375</f>
        <v>0</v>
      </c>
      <c r="D374" s="65">
        <f>ESE!AA375</f>
        <v>0</v>
      </c>
      <c r="E374" s="65">
        <f>ESE!AB375</f>
        <v>0</v>
      </c>
      <c r="F374" s="65">
        <f>ESE!AC375</f>
        <v>0</v>
      </c>
      <c r="G374" s="65">
        <f>ESE!AD375</f>
        <v>0</v>
      </c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spans="1:23" ht="16.5" customHeight="1">
      <c r="A375" s="62" t="str">
        <f>ESE!A376</f>
        <v>Student 365</v>
      </c>
      <c r="B375" s="121" t="s">
        <v>40</v>
      </c>
      <c r="C375" s="65">
        <f>ESE!Z376</f>
        <v>0</v>
      </c>
      <c r="D375" s="65">
        <f>ESE!AA376</f>
        <v>0</v>
      </c>
      <c r="E375" s="65">
        <f>ESE!AB376</f>
        <v>0</v>
      </c>
      <c r="F375" s="65">
        <f>ESE!AC376</f>
        <v>0</v>
      </c>
      <c r="G375" s="65">
        <f>ESE!AD376</f>
        <v>0</v>
      </c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spans="1:23" ht="16.5" customHeight="1">
      <c r="A376" s="62" t="str">
        <f>ESE!A377</f>
        <v>Student 366</v>
      </c>
      <c r="B376" s="121" t="s">
        <v>40</v>
      </c>
      <c r="C376" s="65">
        <f>ESE!Z377</f>
        <v>0</v>
      </c>
      <c r="D376" s="65">
        <f>ESE!AA377</f>
        <v>0</v>
      </c>
      <c r="E376" s="65">
        <f>ESE!AB377</f>
        <v>0</v>
      </c>
      <c r="F376" s="65">
        <f>ESE!AC377</f>
        <v>0</v>
      </c>
      <c r="G376" s="65">
        <f>ESE!AD377</f>
        <v>0</v>
      </c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spans="1:23" ht="16.5" customHeight="1">
      <c r="A377" s="62" t="str">
        <f>ESE!A378</f>
        <v>Student 367</v>
      </c>
      <c r="B377" s="121" t="s">
        <v>40</v>
      </c>
      <c r="C377" s="65">
        <f>ESE!Z378</f>
        <v>0</v>
      </c>
      <c r="D377" s="65">
        <f>ESE!AA378</f>
        <v>0</v>
      </c>
      <c r="E377" s="65">
        <f>ESE!AB378</f>
        <v>0</v>
      </c>
      <c r="F377" s="65">
        <f>ESE!AC378</f>
        <v>0</v>
      </c>
      <c r="G377" s="65">
        <f>ESE!AD378</f>
        <v>0</v>
      </c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spans="1:23" ht="16.5" customHeight="1">
      <c r="A378" s="62" t="str">
        <f>ESE!A379</f>
        <v>Student 368</v>
      </c>
      <c r="B378" s="121" t="s">
        <v>40</v>
      </c>
      <c r="C378" s="65">
        <f>ESE!Z379</f>
        <v>0</v>
      </c>
      <c r="D378" s="65">
        <f>ESE!AA379</f>
        <v>0</v>
      </c>
      <c r="E378" s="65">
        <f>ESE!AB379</f>
        <v>0</v>
      </c>
      <c r="F378" s="65">
        <f>ESE!AC379</f>
        <v>0</v>
      </c>
      <c r="G378" s="65">
        <f>ESE!AD379</f>
        <v>0</v>
      </c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spans="1:23" ht="16.5" customHeight="1">
      <c r="A379" s="62" t="str">
        <f>ESE!A380</f>
        <v>Student 369</v>
      </c>
      <c r="B379" s="121" t="s">
        <v>40</v>
      </c>
      <c r="C379" s="65">
        <f>ESE!Z380</f>
        <v>0</v>
      </c>
      <c r="D379" s="65">
        <f>ESE!AA380</f>
        <v>0</v>
      </c>
      <c r="E379" s="65">
        <f>ESE!AB380</f>
        <v>0</v>
      </c>
      <c r="F379" s="65">
        <f>ESE!AC380</f>
        <v>0</v>
      </c>
      <c r="G379" s="65">
        <f>ESE!AD380</f>
        <v>0</v>
      </c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spans="1:23" ht="16.5" customHeight="1">
      <c r="A380" s="62" t="str">
        <f>ESE!A381</f>
        <v>Student 370</v>
      </c>
      <c r="B380" s="121" t="s">
        <v>40</v>
      </c>
      <c r="C380" s="65">
        <f>ESE!Z381</f>
        <v>0</v>
      </c>
      <c r="D380" s="65">
        <f>ESE!AA381</f>
        <v>0</v>
      </c>
      <c r="E380" s="65">
        <f>ESE!AB381</f>
        <v>0</v>
      </c>
      <c r="F380" s="65">
        <f>ESE!AC381</f>
        <v>0</v>
      </c>
      <c r="G380" s="65">
        <f>ESE!AD381</f>
        <v>0</v>
      </c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spans="1:23" ht="16.5" customHeight="1">
      <c r="A381" s="62" t="str">
        <f>ESE!A382</f>
        <v>Student 371</v>
      </c>
      <c r="B381" s="121" t="s">
        <v>40</v>
      </c>
      <c r="C381" s="65">
        <f>ESE!Z382</f>
        <v>0</v>
      </c>
      <c r="D381" s="65">
        <f>ESE!AA382</f>
        <v>0</v>
      </c>
      <c r="E381" s="65">
        <f>ESE!AB382</f>
        <v>0</v>
      </c>
      <c r="F381" s="65">
        <f>ESE!AC382</f>
        <v>0</v>
      </c>
      <c r="G381" s="65">
        <f>ESE!AD382</f>
        <v>0</v>
      </c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spans="1:23" ht="16.5" customHeight="1">
      <c r="A382" s="62" t="str">
        <f>ESE!A383</f>
        <v>Student 372</v>
      </c>
      <c r="B382" s="121" t="s">
        <v>40</v>
      </c>
      <c r="C382" s="65">
        <f>ESE!Z383</f>
        <v>0</v>
      </c>
      <c r="D382" s="65">
        <f>ESE!AA383</f>
        <v>0</v>
      </c>
      <c r="E382" s="65">
        <f>ESE!AB383</f>
        <v>0</v>
      </c>
      <c r="F382" s="65">
        <f>ESE!AC383</f>
        <v>0</v>
      </c>
      <c r="G382" s="65">
        <f>ESE!AD383</f>
        <v>0</v>
      </c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spans="1:23" ht="16.5" customHeight="1">
      <c r="A383" s="62" t="str">
        <f>ESE!A384</f>
        <v>Student 373</v>
      </c>
      <c r="B383" s="121" t="s">
        <v>40</v>
      </c>
      <c r="C383" s="65">
        <f>ESE!Z384</f>
        <v>0</v>
      </c>
      <c r="D383" s="65">
        <f>ESE!AA384</f>
        <v>0</v>
      </c>
      <c r="E383" s="65">
        <f>ESE!AB384</f>
        <v>0</v>
      </c>
      <c r="F383" s="65">
        <f>ESE!AC384</f>
        <v>0</v>
      </c>
      <c r="G383" s="65">
        <f>ESE!AD384</f>
        <v>0</v>
      </c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spans="1:23" ht="16.5" customHeight="1">
      <c r="A384" s="62" t="str">
        <f>ESE!A385</f>
        <v>Student 374</v>
      </c>
      <c r="B384" s="121" t="s">
        <v>40</v>
      </c>
      <c r="C384" s="65">
        <f>ESE!Z385</f>
        <v>0</v>
      </c>
      <c r="D384" s="65">
        <f>ESE!AA385</f>
        <v>0</v>
      </c>
      <c r="E384" s="65">
        <f>ESE!AB385</f>
        <v>0</v>
      </c>
      <c r="F384" s="65">
        <f>ESE!AC385</f>
        <v>0</v>
      </c>
      <c r="G384" s="65">
        <f>ESE!AD385</f>
        <v>0</v>
      </c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spans="1:23" ht="16.5" customHeight="1">
      <c r="A385" s="62" t="str">
        <f>ESE!A386</f>
        <v>Student 375</v>
      </c>
      <c r="B385" s="121" t="s">
        <v>40</v>
      </c>
      <c r="C385" s="65">
        <f>ESE!Z386</f>
        <v>0</v>
      </c>
      <c r="D385" s="65">
        <f>ESE!AA386</f>
        <v>0</v>
      </c>
      <c r="E385" s="65">
        <f>ESE!AB386</f>
        <v>0</v>
      </c>
      <c r="F385" s="65">
        <f>ESE!AC386</f>
        <v>0</v>
      </c>
      <c r="G385" s="65">
        <f>ESE!AD386</f>
        <v>0</v>
      </c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spans="1:23" ht="16.5" customHeight="1">
      <c r="A386" s="62" t="str">
        <f>ESE!A387</f>
        <v>Student 376</v>
      </c>
      <c r="B386" s="121" t="s">
        <v>40</v>
      </c>
      <c r="C386" s="65">
        <f>ESE!Z387</f>
        <v>0</v>
      </c>
      <c r="D386" s="65">
        <f>ESE!AA387</f>
        <v>0</v>
      </c>
      <c r="E386" s="65">
        <f>ESE!AB387</f>
        <v>0</v>
      </c>
      <c r="F386" s="65">
        <f>ESE!AC387</f>
        <v>0</v>
      </c>
      <c r="G386" s="65">
        <f>ESE!AD387</f>
        <v>0</v>
      </c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spans="1:23" ht="16.5" customHeight="1">
      <c r="A387" s="62" t="str">
        <f>ESE!A388</f>
        <v>Student 377</v>
      </c>
      <c r="B387" s="121" t="s">
        <v>40</v>
      </c>
      <c r="C387" s="65">
        <f>ESE!Z388</f>
        <v>0</v>
      </c>
      <c r="D387" s="65">
        <f>ESE!AA388</f>
        <v>0</v>
      </c>
      <c r="E387" s="65">
        <f>ESE!AB388</f>
        <v>0</v>
      </c>
      <c r="F387" s="65">
        <f>ESE!AC388</f>
        <v>0</v>
      </c>
      <c r="G387" s="65">
        <f>ESE!AD388</f>
        <v>0</v>
      </c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spans="1:23" ht="16.5" customHeight="1">
      <c r="A388" s="62" t="str">
        <f>ESE!A389</f>
        <v>Student 378</v>
      </c>
      <c r="B388" s="121" t="s">
        <v>40</v>
      </c>
      <c r="C388" s="65">
        <f>ESE!Z389</f>
        <v>0</v>
      </c>
      <c r="D388" s="65">
        <f>ESE!AA389</f>
        <v>0</v>
      </c>
      <c r="E388" s="65">
        <f>ESE!AB389</f>
        <v>0</v>
      </c>
      <c r="F388" s="65">
        <f>ESE!AC389</f>
        <v>0</v>
      </c>
      <c r="G388" s="65">
        <f>ESE!AD389</f>
        <v>0</v>
      </c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spans="1:23" ht="16.5" customHeight="1">
      <c r="A389" s="62" t="str">
        <f>ESE!A390</f>
        <v>Student 379</v>
      </c>
      <c r="B389" s="121" t="s">
        <v>40</v>
      </c>
      <c r="C389" s="65">
        <f>ESE!Z390</f>
        <v>0</v>
      </c>
      <c r="D389" s="65">
        <f>ESE!AA390</f>
        <v>0</v>
      </c>
      <c r="E389" s="65">
        <f>ESE!AB390</f>
        <v>0</v>
      </c>
      <c r="F389" s="65">
        <f>ESE!AC390</f>
        <v>0</v>
      </c>
      <c r="G389" s="65">
        <f>ESE!AD390</f>
        <v>0</v>
      </c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spans="1:23" ht="16.5" customHeight="1">
      <c r="A390" s="62" t="str">
        <f>ESE!A391</f>
        <v>Student 380</v>
      </c>
      <c r="B390" s="121" t="s">
        <v>40</v>
      </c>
      <c r="C390" s="65">
        <f>ESE!Z391</f>
        <v>0</v>
      </c>
      <c r="D390" s="65">
        <f>ESE!AA391</f>
        <v>0</v>
      </c>
      <c r="E390" s="65">
        <f>ESE!AB391</f>
        <v>0</v>
      </c>
      <c r="F390" s="65">
        <f>ESE!AC391</f>
        <v>0</v>
      </c>
      <c r="G390" s="65">
        <f>ESE!AD391</f>
        <v>0</v>
      </c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spans="1:23" ht="16.5" customHeight="1">
      <c r="A391" s="62" t="str">
        <f>ESE!A392</f>
        <v>Student 381</v>
      </c>
      <c r="B391" s="121" t="s">
        <v>40</v>
      </c>
      <c r="C391" s="65">
        <f>ESE!Z392</f>
        <v>0</v>
      </c>
      <c r="D391" s="65">
        <f>ESE!AA392</f>
        <v>0</v>
      </c>
      <c r="E391" s="65">
        <f>ESE!AB392</f>
        <v>0</v>
      </c>
      <c r="F391" s="65">
        <f>ESE!AC392</f>
        <v>0</v>
      </c>
      <c r="G391" s="65">
        <f>ESE!AD392</f>
        <v>0</v>
      </c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spans="1:23" ht="16.5" customHeight="1">
      <c r="A392" s="62" t="str">
        <f>ESE!A393</f>
        <v>Student 382</v>
      </c>
      <c r="B392" s="121" t="s">
        <v>40</v>
      </c>
      <c r="C392" s="65">
        <f>ESE!Z393</f>
        <v>0</v>
      </c>
      <c r="D392" s="65">
        <f>ESE!AA393</f>
        <v>0</v>
      </c>
      <c r="E392" s="65">
        <f>ESE!AB393</f>
        <v>0</v>
      </c>
      <c r="F392" s="65">
        <f>ESE!AC393</f>
        <v>0</v>
      </c>
      <c r="G392" s="65">
        <f>ESE!AD393</f>
        <v>0</v>
      </c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spans="1:23" ht="16.5" customHeight="1">
      <c r="A393" s="62" t="str">
        <f>ESE!A394</f>
        <v>Student 383</v>
      </c>
      <c r="B393" s="121" t="s">
        <v>40</v>
      </c>
      <c r="C393" s="65">
        <f>ESE!Z394</f>
        <v>0</v>
      </c>
      <c r="D393" s="65">
        <f>ESE!AA394</f>
        <v>0</v>
      </c>
      <c r="E393" s="65">
        <f>ESE!AB394</f>
        <v>0</v>
      </c>
      <c r="F393" s="65">
        <f>ESE!AC394</f>
        <v>0</v>
      </c>
      <c r="G393" s="65">
        <f>ESE!AD394</f>
        <v>0</v>
      </c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spans="1:23" ht="16.5" customHeight="1">
      <c r="A394" s="62" t="str">
        <f>ESE!A395</f>
        <v>Student 384</v>
      </c>
      <c r="B394" s="121" t="s">
        <v>40</v>
      </c>
      <c r="C394" s="65">
        <f>ESE!Z395</f>
        <v>0</v>
      </c>
      <c r="D394" s="65">
        <f>ESE!AA395</f>
        <v>0</v>
      </c>
      <c r="E394" s="65">
        <f>ESE!AB395</f>
        <v>0</v>
      </c>
      <c r="F394" s="65">
        <f>ESE!AC395</f>
        <v>0</v>
      </c>
      <c r="G394" s="65">
        <f>ESE!AD395</f>
        <v>0</v>
      </c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spans="1:23" ht="16.5" customHeight="1">
      <c r="A395" s="62" t="str">
        <f>ESE!A396</f>
        <v>Student 385</v>
      </c>
      <c r="B395" s="121" t="s">
        <v>40</v>
      </c>
      <c r="C395" s="65">
        <f>ESE!Z396</f>
        <v>0</v>
      </c>
      <c r="D395" s="65">
        <f>ESE!AA396</f>
        <v>0</v>
      </c>
      <c r="E395" s="65">
        <f>ESE!AB396</f>
        <v>0</v>
      </c>
      <c r="F395" s="65">
        <f>ESE!AC396</f>
        <v>0</v>
      </c>
      <c r="G395" s="65">
        <f>ESE!AD396</f>
        <v>0</v>
      </c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spans="1:23" ht="16.5" customHeight="1">
      <c r="A396" s="62" t="str">
        <f>ESE!A397</f>
        <v>Student 386</v>
      </c>
      <c r="B396" s="121" t="s">
        <v>40</v>
      </c>
      <c r="C396" s="65">
        <f>ESE!Z397</f>
        <v>0</v>
      </c>
      <c r="D396" s="65">
        <f>ESE!AA397</f>
        <v>0</v>
      </c>
      <c r="E396" s="65">
        <f>ESE!AB397</f>
        <v>0</v>
      </c>
      <c r="F396" s="65">
        <f>ESE!AC397</f>
        <v>0</v>
      </c>
      <c r="G396" s="65">
        <f>ESE!AD397</f>
        <v>0</v>
      </c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spans="1:23" ht="16.5" customHeight="1">
      <c r="A397" s="62" t="str">
        <f>ESE!A398</f>
        <v>Student 387</v>
      </c>
      <c r="B397" s="121" t="s">
        <v>40</v>
      </c>
      <c r="C397" s="65">
        <f>ESE!Z398</f>
        <v>0</v>
      </c>
      <c r="D397" s="65">
        <f>ESE!AA398</f>
        <v>0</v>
      </c>
      <c r="E397" s="65">
        <f>ESE!AB398</f>
        <v>0</v>
      </c>
      <c r="F397" s="65">
        <f>ESE!AC398</f>
        <v>0</v>
      </c>
      <c r="G397" s="65">
        <f>ESE!AD398</f>
        <v>0</v>
      </c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spans="1:23" ht="16.5" customHeight="1">
      <c r="A398" s="62" t="str">
        <f>ESE!A399</f>
        <v>Student 388</v>
      </c>
      <c r="B398" s="121" t="s">
        <v>40</v>
      </c>
      <c r="C398" s="65">
        <f>ESE!Z399</f>
        <v>0</v>
      </c>
      <c r="D398" s="65">
        <f>ESE!AA399</f>
        <v>0</v>
      </c>
      <c r="E398" s="65">
        <f>ESE!AB399</f>
        <v>0</v>
      </c>
      <c r="F398" s="65">
        <f>ESE!AC399</f>
        <v>0</v>
      </c>
      <c r="G398" s="65">
        <f>ESE!AD399</f>
        <v>0</v>
      </c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spans="1:23" ht="16.5" customHeight="1">
      <c r="A399" s="62" t="str">
        <f>ESE!A400</f>
        <v>Student 389</v>
      </c>
      <c r="B399" s="121" t="s">
        <v>40</v>
      </c>
      <c r="C399" s="65">
        <f>ESE!Z400</f>
        <v>0</v>
      </c>
      <c r="D399" s="65">
        <f>ESE!AA400</f>
        <v>0</v>
      </c>
      <c r="E399" s="65">
        <f>ESE!AB400</f>
        <v>0</v>
      </c>
      <c r="F399" s="65">
        <f>ESE!AC400</f>
        <v>0</v>
      </c>
      <c r="G399" s="65">
        <f>ESE!AD400</f>
        <v>0</v>
      </c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spans="1:23" ht="16.5" customHeight="1">
      <c r="A400" s="62" t="str">
        <f>ESE!A401</f>
        <v>Student 390</v>
      </c>
      <c r="B400" s="121" t="s">
        <v>40</v>
      </c>
      <c r="C400" s="65">
        <f>ESE!Z401</f>
        <v>0</v>
      </c>
      <c r="D400" s="65">
        <f>ESE!AA401</f>
        <v>0</v>
      </c>
      <c r="E400" s="65">
        <f>ESE!AB401</f>
        <v>0</v>
      </c>
      <c r="F400" s="65">
        <f>ESE!AC401</f>
        <v>0</v>
      </c>
      <c r="G400" s="65">
        <f>ESE!AD401</f>
        <v>0</v>
      </c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spans="1:23" ht="16.5" customHeight="1">
      <c r="A401" s="62" t="str">
        <f>ESE!A402</f>
        <v>Student 391</v>
      </c>
      <c r="B401" s="121" t="s">
        <v>40</v>
      </c>
      <c r="C401" s="65">
        <f>ESE!Z402</f>
        <v>0</v>
      </c>
      <c r="D401" s="65">
        <f>ESE!AA402</f>
        <v>0</v>
      </c>
      <c r="E401" s="65">
        <f>ESE!AB402</f>
        <v>0</v>
      </c>
      <c r="F401" s="65">
        <f>ESE!AC402</f>
        <v>0</v>
      </c>
      <c r="G401" s="65">
        <f>ESE!AD402</f>
        <v>0</v>
      </c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spans="1:23" ht="16.5" customHeight="1">
      <c r="A402" s="62" t="str">
        <f>ESE!A403</f>
        <v>Student 392</v>
      </c>
      <c r="B402" s="121" t="s">
        <v>40</v>
      </c>
      <c r="C402" s="65">
        <f>ESE!Z403</f>
        <v>0</v>
      </c>
      <c r="D402" s="65">
        <f>ESE!AA403</f>
        <v>0</v>
      </c>
      <c r="E402" s="65">
        <f>ESE!AB403</f>
        <v>0</v>
      </c>
      <c r="F402" s="65">
        <f>ESE!AC403</f>
        <v>0</v>
      </c>
      <c r="G402" s="65">
        <f>ESE!AD403</f>
        <v>0</v>
      </c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spans="1:23" ht="16.5" customHeight="1">
      <c r="A403" s="62" t="str">
        <f>ESE!A404</f>
        <v>Student 393</v>
      </c>
      <c r="B403" s="121" t="s">
        <v>40</v>
      </c>
      <c r="C403" s="65">
        <f>ESE!Z404</f>
        <v>0</v>
      </c>
      <c r="D403" s="65">
        <f>ESE!AA404</f>
        <v>0</v>
      </c>
      <c r="E403" s="65">
        <f>ESE!AB404</f>
        <v>0</v>
      </c>
      <c r="F403" s="65">
        <f>ESE!AC404</f>
        <v>0</v>
      </c>
      <c r="G403" s="65">
        <f>ESE!AD404</f>
        <v>0</v>
      </c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spans="1:23" ht="16.5" customHeight="1">
      <c r="A404" s="62" t="str">
        <f>ESE!A405</f>
        <v>Student 394</v>
      </c>
      <c r="B404" s="121" t="s">
        <v>40</v>
      </c>
      <c r="C404" s="65">
        <f>ESE!Z405</f>
        <v>0</v>
      </c>
      <c r="D404" s="65">
        <f>ESE!AA405</f>
        <v>0</v>
      </c>
      <c r="E404" s="65">
        <f>ESE!AB405</f>
        <v>0</v>
      </c>
      <c r="F404" s="65">
        <f>ESE!AC405</f>
        <v>0</v>
      </c>
      <c r="G404" s="65">
        <f>ESE!AD405</f>
        <v>0</v>
      </c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spans="1:23" ht="16.5" customHeight="1">
      <c r="A405" s="62" t="str">
        <f>ESE!A406</f>
        <v>Student 395</v>
      </c>
      <c r="B405" s="121" t="s">
        <v>40</v>
      </c>
      <c r="C405" s="65">
        <f>ESE!Z406</f>
        <v>0</v>
      </c>
      <c r="D405" s="65">
        <f>ESE!AA406</f>
        <v>0</v>
      </c>
      <c r="E405" s="65">
        <f>ESE!AB406</f>
        <v>0</v>
      </c>
      <c r="F405" s="65">
        <f>ESE!AC406</f>
        <v>0</v>
      </c>
      <c r="G405" s="65">
        <f>ESE!AD406</f>
        <v>0</v>
      </c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spans="1:23" ht="16.5" customHeight="1">
      <c r="A406" s="62" t="str">
        <f>ESE!A407</f>
        <v>Student 396</v>
      </c>
      <c r="B406" s="121" t="s">
        <v>40</v>
      </c>
      <c r="C406" s="65">
        <f>ESE!Z407</f>
        <v>0</v>
      </c>
      <c r="D406" s="65">
        <f>ESE!AA407</f>
        <v>0</v>
      </c>
      <c r="E406" s="65">
        <f>ESE!AB407</f>
        <v>0</v>
      </c>
      <c r="F406" s="65">
        <f>ESE!AC407</f>
        <v>0</v>
      </c>
      <c r="G406" s="65">
        <f>ESE!AD407</f>
        <v>0</v>
      </c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spans="1:23" ht="16.5" customHeight="1">
      <c r="A407" s="62" t="str">
        <f>ESE!A408</f>
        <v>Student 397</v>
      </c>
      <c r="B407" s="121" t="s">
        <v>40</v>
      </c>
      <c r="C407" s="65">
        <f>ESE!Z408</f>
        <v>0</v>
      </c>
      <c r="D407" s="65">
        <f>ESE!AA408</f>
        <v>0</v>
      </c>
      <c r="E407" s="65">
        <f>ESE!AB408</f>
        <v>0</v>
      </c>
      <c r="F407" s="65">
        <f>ESE!AC408</f>
        <v>0</v>
      </c>
      <c r="G407" s="65">
        <f>ESE!AD408</f>
        <v>0</v>
      </c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spans="1:23" ht="16.5" customHeight="1">
      <c r="A408" s="62" t="str">
        <f>ESE!A409</f>
        <v>Student 398</v>
      </c>
      <c r="B408" s="121" t="s">
        <v>40</v>
      </c>
      <c r="C408" s="65">
        <f>ESE!Z409</f>
        <v>0</v>
      </c>
      <c r="D408" s="65">
        <f>ESE!AA409</f>
        <v>0</v>
      </c>
      <c r="E408" s="65">
        <f>ESE!AB409</f>
        <v>0</v>
      </c>
      <c r="F408" s="65">
        <f>ESE!AC409</f>
        <v>0</v>
      </c>
      <c r="G408" s="65">
        <f>ESE!AD409</f>
        <v>0</v>
      </c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spans="1:23" ht="16.5" customHeight="1">
      <c r="A409" s="62" t="str">
        <f>ESE!A410</f>
        <v>Student 399</v>
      </c>
      <c r="B409" s="121" t="s">
        <v>40</v>
      </c>
      <c r="C409" s="65">
        <f>ESE!Z410</f>
        <v>0</v>
      </c>
      <c r="D409" s="65">
        <f>ESE!AA410</f>
        <v>0</v>
      </c>
      <c r="E409" s="65">
        <f>ESE!AB410</f>
        <v>0</v>
      </c>
      <c r="F409" s="65">
        <f>ESE!AC410</f>
        <v>0</v>
      </c>
      <c r="G409" s="65">
        <f>ESE!AD410</f>
        <v>0</v>
      </c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spans="1:23" ht="16.5" customHeight="1">
      <c r="A410" s="62" t="str">
        <f>ESE!A411</f>
        <v>Student 400</v>
      </c>
      <c r="B410" s="121" t="s">
        <v>40</v>
      </c>
      <c r="C410" s="65">
        <f>ESE!Z411</f>
        <v>0</v>
      </c>
      <c r="D410" s="65">
        <f>ESE!AA411</f>
        <v>0</v>
      </c>
      <c r="E410" s="65">
        <f>ESE!AB411</f>
        <v>0</v>
      </c>
      <c r="F410" s="65">
        <f>ESE!AC411</f>
        <v>0</v>
      </c>
      <c r="G410" s="65">
        <f>ESE!AD411</f>
        <v>0</v>
      </c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spans="1:23" ht="16.5" customHeight="1">
      <c r="A411" s="62" t="str">
        <f>ESE!A412</f>
        <v>Student 401</v>
      </c>
      <c r="B411" s="121" t="s">
        <v>40</v>
      </c>
      <c r="C411" s="65">
        <f>ESE!Z412</f>
        <v>0</v>
      </c>
      <c r="D411" s="65">
        <f>ESE!AA412</f>
        <v>0</v>
      </c>
      <c r="E411" s="65">
        <f>ESE!AB412</f>
        <v>0</v>
      </c>
      <c r="F411" s="65">
        <f>ESE!AC412</f>
        <v>0</v>
      </c>
      <c r="G411" s="65">
        <f>ESE!AD412</f>
        <v>0</v>
      </c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spans="1:23" ht="16.5" customHeight="1">
      <c r="A412" s="62" t="str">
        <f>ESE!A413</f>
        <v>Student 402</v>
      </c>
      <c r="B412" s="121" t="s">
        <v>40</v>
      </c>
      <c r="C412" s="65">
        <f>ESE!Z413</f>
        <v>0</v>
      </c>
      <c r="D412" s="65">
        <f>ESE!AA413</f>
        <v>0</v>
      </c>
      <c r="E412" s="65">
        <f>ESE!AB413</f>
        <v>0</v>
      </c>
      <c r="F412" s="65">
        <f>ESE!AC413</f>
        <v>0</v>
      </c>
      <c r="G412" s="65">
        <f>ESE!AD413</f>
        <v>0</v>
      </c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spans="1:23" ht="16.5" customHeight="1">
      <c r="A413" s="62" t="str">
        <f>ESE!A414</f>
        <v>Student 403</v>
      </c>
      <c r="B413" s="121" t="s">
        <v>40</v>
      </c>
      <c r="C413" s="65">
        <f>ESE!Z414</f>
        <v>0</v>
      </c>
      <c r="D413" s="65">
        <f>ESE!AA414</f>
        <v>0</v>
      </c>
      <c r="E413" s="65">
        <f>ESE!AB414</f>
        <v>0</v>
      </c>
      <c r="F413" s="65">
        <f>ESE!AC414</f>
        <v>0</v>
      </c>
      <c r="G413" s="65">
        <f>ESE!AD414</f>
        <v>0</v>
      </c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spans="1:23" ht="16.5" customHeight="1">
      <c r="A414" s="62" t="str">
        <f>ESE!A415</f>
        <v>Student 404</v>
      </c>
      <c r="B414" s="121" t="s">
        <v>40</v>
      </c>
      <c r="C414" s="65">
        <f>ESE!Z415</f>
        <v>0</v>
      </c>
      <c r="D414" s="65">
        <f>ESE!AA415</f>
        <v>0</v>
      </c>
      <c r="E414" s="65">
        <f>ESE!AB415</f>
        <v>0</v>
      </c>
      <c r="F414" s="65">
        <f>ESE!AC415</f>
        <v>0</v>
      </c>
      <c r="G414" s="65">
        <f>ESE!AD415</f>
        <v>0</v>
      </c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spans="1:23" ht="16.5" customHeight="1">
      <c r="A415" s="62" t="str">
        <f>ESE!A416</f>
        <v>Student 405</v>
      </c>
      <c r="B415" s="121" t="s">
        <v>40</v>
      </c>
      <c r="C415" s="65">
        <f>ESE!Z416</f>
        <v>0</v>
      </c>
      <c r="D415" s="65">
        <f>ESE!AA416</f>
        <v>0</v>
      </c>
      <c r="E415" s="65">
        <f>ESE!AB416</f>
        <v>0</v>
      </c>
      <c r="F415" s="65">
        <f>ESE!AC416</f>
        <v>0</v>
      </c>
      <c r="G415" s="65">
        <f>ESE!AD416</f>
        <v>0</v>
      </c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spans="1:23" ht="16.5" customHeight="1">
      <c r="A416" s="62" t="str">
        <f>ESE!A417</f>
        <v>Student 406</v>
      </c>
      <c r="B416" s="121" t="s">
        <v>40</v>
      </c>
      <c r="C416" s="65">
        <f>ESE!Z417</f>
        <v>0</v>
      </c>
      <c r="D416" s="65">
        <f>ESE!AA417</f>
        <v>0</v>
      </c>
      <c r="E416" s="65">
        <f>ESE!AB417</f>
        <v>0</v>
      </c>
      <c r="F416" s="65">
        <f>ESE!AC417</f>
        <v>0</v>
      </c>
      <c r="G416" s="65">
        <f>ESE!AD417</f>
        <v>0</v>
      </c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spans="1:23" ht="16.5" customHeight="1">
      <c r="A417" s="62" t="str">
        <f>ESE!A418</f>
        <v>Student 407</v>
      </c>
      <c r="B417" s="121" t="s">
        <v>40</v>
      </c>
      <c r="C417" s="65">
        <f>ESE!Z418</f>
        <v>0</v>
      </c>
      <c r="D417" s="65">
        <f>ESE!AA418</f>
        <v>0</v>
      </c>
      <c r="E417" s="65">
        <f>ESE!AB418</f>
        <v>0</v>
      </c>
      <c r="F417" s="65">
        <f>ESE!AC418</f>
        <v>0</v>
      </c>
      <c r="G417" s="65">
        <f>ESE!AD418</f>
        <v>0</v>
      </c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spans="1:23" ht="16.5" customHeight="1">
      <c r="A418" s="62" t="str">
        <f>ESE!A419</f>
        <v>Student 408</v>
      </c>
      <c r="B418" s="121" t="s">
        <v>40</v>
      </c>
      <c r="C418" s="65">
        <f>ESE!Z419</f>
        <v>0</v>
      </c>
      <c r="D418" s="65">
        <f>ESE!AA419</f>
        <v>0</v>
      </c>
      <c r="E418" s="65">
        <f>ESE!AB419</f>
        <v>0</v>
      </c>
      <c r="F418" s="65">
        <f>ESE!AC419</f>
        <v>0</v>
      </c>
      <c r="G418" s="65">
        <f>ESE!AD419</f>
        <v>0</v>
      </c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spans="1:23" ht="16.5" customHeight="1">
      <c r="A419" s="62" t="str">
        <f>ESE!A420</f>
        <v>Student 409</v>
      </c>
      <c r="B419" s="121" t="s">
        <v>40</v>
      </c>
      <c r="C419" s="65">
        <f>ESE!Z420</f>
        <v>0</v>
      </c>
      <c r="D419" s="65">
        <f>ESE!AA420</f>
        <v>0</v>
      </c>
      <c r="E419" s="65">
        <f>ESE!AB420</f>
        <v>0</v>
      </c>
      <c r="F419" s="65">
        <f>ESE!AC420</f>
        <v>0</v>
      </c>
      <c r="G419" s="65">
        <f>ESE!AD420</f>
        <v>0</v>
      </c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spans="1:23" ht="16.5" customHeight="1">
      <c r="A420" s="62" t="str">
        <f>ESE!A421</f>
        <v>Student 410</v>
      </c>
      <c r="B420" s="121" t="s">
        <v>40</v>
      </c>
      <c r="C420" s="65">
        <f>ESE!Z421</f>
        <v>0</v>
      </c>
      <c r="D420" s="65">
        <f>ESE!AA421</f>
        <v>0</v>
      </c>
      <c r="E420" s="65">
        <f>ESE!AB421</f>
        <v>0</v>
      </c>
      <c r="F420" s="65">
        <f>ESE!AC421</f>
        <v>0</v>
      </c>
      <c r="G420" s="65">
        <f>ESE!AD421</f>
        <v>0</v>
      </c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spans="1:23" ht="16.5" customHeight="1">
      <c r="A421" s="62" t="str">
        <f>ESE!A422</f>
        <v>Student 411</v>
      </c>
      <c r="B421" s="121" t="s">
        <v>40</v>
      </c>
      <c r="C421" s="65">
        <f>ESE!Z422</f>
        <v>0</v>
      </c>
      <c r="D421" s="65">
        <f>ESE!AA422</f>
        <v>0</v>
      </c>
      <c r="E421" s="65">
        <f>ESE!AB422</f>
        <v>0</v>
      </c>
      <c r="F421" s="65">
        <f>ESE!AC422</f>
        <v>0</v>
      </c>
      <c r="G421" s="65">
        <f>ESE!AD422</f>
        <v>0</v>
      </c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spans="1:23" ht="16.5" customHeight="1">
      <c r="A422" s="62" t="str">
        <f>ESE!A423</f>
        <v>Student 412</v>
      </c>
      <c r="B422" s="121" t="s">
        <v>40</v>
      </c>
      <c r="C422" s="65">
        <f>ESE!Z423</f>
        <v>0</v>
      </c>
      <c r="D422" s="65">
        <f>ESE!AA423</f>
        <v>0</v>
      </c>
      <c r="E422" s="65">
        <f>ESE!AB423</f>
        <v>0</v>
      </c>
      <c r="F422" s="65">
        <f>ESE!AC423</f>
        <v>0</v>
      </c>
      <c r="G422" s="65">
        <f>ESE!AD423</f>
        <v>0</v>
      </c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spans="1:23" ht="16.5" customHeight="1">
      <c r="A423" s="62" t="str">
        <f>ESE!A424</f>
        <v>Student 413</v>
      </c>
      <c r="B423" s="121" t="s">
        <v>40</v>
      </c>
      <c r="C423" s="65">
        <f>ESE!Z424</f>
        <v>0</v>
      </c>
      <c r="D423" s="65">
        <f>ESE!AA424</f>
        <v>0</v>
      </c>
      <c r="E423" s="65">
        <f>ESE!AB424</f>
        <v>0</v>
      </c>
      <c r="F423" s="65">
        <f>ESE!AC424</f>
        <v>0</v>
      </c>
      <c r="G423" s="65">
        <f>ESE!AD424</f>
        <v>0</v>
      </c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spans="1:23" ht="16.5" customHeight="1">
      <c r="A424" s="62" t="str">
        <f>ESE!A425</f>
        <v>Student 414</v>
      </c>
      <c r="B424" s="121" t="s">
        <v>40</v>
      </c>
      <c r="C424" s="65">
        <f>ESE!Z425</f>
        <v>0</v>
      </c>
      <c r="D424" s="65">
        <f>ESE!AA425</f>
        <v>0</v>
      </c>
      <c r="E424" s="65">
        <f>ESE!AB425</f>
        <v>0</v>
      </c>
      <c r="F424" s="65">
        <f>ESE!AC425</f>
        <v>0</v>
      </c>
      <c r="G424" s="65">
        <f>ESE!AD425</f>
        <v>0</v>
      </c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spans="1:23" ht="16.5" customHeight="1">
      <c r="A425" s="62" t="str">
        <f>ESE!A426</f>
        <v>Student 415</v>
      </c>
      <c r="B425" s="121" t="s">
        <v>40</v>
      </c>
      <c r="C425" s="65">
        <f>ESE!Z426</f>
        <v>0</v>
      </c>
      <c r="D425" s="65">
        <f>ESE!AA426</f>
        <v>0</v>
      </c>
      <c r="E425" s="65">
        <f>ESE!AB426</f>
        <v>0</v>
      </c>
      <c r="F425" s="65">
        <f>ESE!AC426</f>
        <v>0</v>
      </c>
      <c r="G425" s="65">
        <f>ESE!AD426</f>
        <v>0</v>
      </c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 spans="1:23" ht="16.5" customHeight="1">
      <c r="A426" s="62" t="str">
        <f>ESE!A427</f>
        <v>Student 416</v>
      </c>
      <c r="B426" s="121" t="s">
        <v>40</v>
      </c>
      <c r="C426" s="65">
        <f>ESE!Z427</f>
        <v>0</v>
      </c>
      <c r="D426" s="65">
        <f>ESE!AA427</f>
        <v>0</v>
      </c>
      <c r="E426" s="65">
        <f>ESE!AB427</f>
        <v>0</v>
      </c>
      <c r="F426" s="65">
        <f>ESE!AC427</f>
        <v>0</v>
      </c>
      <c r="G426" s="65">
        <f>ESE!AD427</f>
        <v>0</v>
      </c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 spans="1:23" ht="16.5" customHeight="1">
      <c r="A427" s="62" t="str">
        <f>ESE!A428</f>
        <v>Student 417</v>
      </c>
      <c r="B427" s="121" t="s">
        <v>40</v>
      </c>
      <c r="C427" s="65">
        <f>ESE!Z428</f>
        <v>0</v>
      </c>
      <c r="D427" s="65">
        <f>ESE!AA428</f>
        <v>0</v>
      </c>
      <c r="E427" s="65">
        <f>ESE!AB428</f>
        <v>0</v>
      </c>
      <c r="F427" s="65">
        <f>ESE!AC428</f>
        <v>0</v>
      </c>
      <c r="G427" s="65">
        <f>ESE!AD428</f>
        <v>0</v>
      </c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 spans="1:23" ht="16.5" customHeight="1">
      <c r="A428" s="62" t="str">
        <f>ESE!A429</f>
        <v>Student 418</v>
      </c>
      <c r="B428" s="121" t="s">
        <v>40</v>
      </c>
      <c r="C428" s="65">
        <f>ESE!Z429</f>
        <v>0</v>
      </c>
      <c r="D428" s="65">
        <f>ESE!AA429</f>
        <v>0</v>
      </c>
      <c r="E428" s="65">
        <f>ESE!AB429</f>
        <v>0</v>
      </c>
      <c r="F428" s="65">
        <f>ESE!AC429</f>
        <v>0</v>
      </c>
      <c r="G428" s="65">
        <f>ESE!AD429</f>
        <v>0</v>
      </c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 spans="1:23" ht="16.5" customHeight="1">
      <c r="A429" s="62" t="str">
        <f>ESE!A430</f>
        <v>Student 419</v>
      </c>
      <c r="B429" s="121" t="s">
        <v>40</v>
      </c>
      <c r="C429" s="65">
        <f>ESE!Z430</f>
        <v>0</v>
      </c>
      <c r="D429" s="65">
        <f>ESE!AA430</f>
        <v>0</v>
      </c>
      <c r="E429" s="65">
        <f>ESE!AB430</f>
        <v>0</v>
      </c>
      <c r="F429" s="65">
        <f>ESE!AC430</f>
        <v>0</v>
      </c>
      <c r="G429" s="65">
        <f>ESE!AD430</f>
        <v>0</v>
      </c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 spans="1:23" ht="16.5" customHeight="1">
      <c r="A430" s="62" t="str">
        <f>ESE!A431</f>
        <v>Student 420</v>
      </c>
      <c r="B430" s="121" t="s">
        <v>40</v>
      </c>
      <c r="C430" s="65">
        <f>ESE!Z431</f>
        <v>0</v>
      </c>
      <c r="D430" s="65">
        <f>ESE!AA431</f>
        <v>0</v>
      </c>
      <c r="E430" s="65">
        <f>ESE!AB431</f>
        <v>0</v>
      </c>
      <c r="F430" s="65">
        <f>ESE!AC431</f>
        <v>0</v>
      </c>
      <c r="G430" s="65">
        <f>ESE!AD431</f>
        <v>0</v>
      </c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 spans="1:23" ht="16.5" customHeight="1">
      <c r="A431" s="62" t="str">
        <f>ESE!A432</f>
        <v>Student 421</v>
      </c>
      <c r="B431" s="121" t="s">
        <v>40</v>
      </c>
      <c r="C431" s="65">
        <f>ESE!Z432</f>
        <v>0</v>
      </c>
      <c r="D431" s="65">
        <f>ESE!AA432</f>
        <v>0</v>
      </c>
      <c r="E431" s="65">
        <f>ESE!AB432</f>
        <v>0</v>
      </c>
      <c r="F431" s="65">
        <f>ESE!AC432</f>
        <v>0</v>
      </c>
      <c r="G431" s="65">
        <f>ESE!AD432</f>
        <v>0</v>
      </c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 spans="1:23" ht="16.5" customHeight="1">
      <c r="A432" s="62" t="str">
        <f>ESE!A433</f>
        <v>Student 422</v>
      </c>
      <c r="B432" s="121" t="s">
        <v>40</v>
      </c>
      <c r="C432" s="65">
        <f>ESE!Z433</f>
        <v>0</v>
      </c>
      <c r="D432" s="65">
        <f>ESE!AA433</f>
        <v>0</v>
      </c>
      <c r="E432" s="65">
        <f>ESE!AB433</f>
        <v>0</v>
      </c>
      <c r="F432" s="65">
        <f>ESE!AC433</f>
        <v>0</v>
      </c>
      <c r="G432" s="65">
        <f>ESE!AD433</f>
        <v>0</v>
      </c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 spans="1:23" ht="16.5" customHeight="1">
      <c r="A433" s="62" t="str">
        <f>ESE!A434</f>
        <v>Student 423</v>
      </c>
      <c r="B433" s="121" t="s">
        <v>40</v>
      </c>
      <c r="C433" s="65">
        <f>ESE!Z434</f>
        <v>0</v>
      </c>
      <c r="D433" s="65">
        <f>ESE!AA434</f>
        <v>0</v>
      </c>
      <c r="E433" s="65">
        <f>ESE!AB434</f>
        <v>0</v>
      </c>
      <c r="F433" s="65">
        <f>ESE!AC434</f>
        <v>0</v>
      </c>
      <c r="G433" s="65">
        <f>ESE!AD434</f>
        <v>0</v>
      </c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spans="1:23" ht="16.5" customHeight="1">
      <c r="A434" s="62" t="str">
        <f>ESE!A435</f>
        <v>Student 424</v>
      </c>
      <c r="B434" s="121" t="s">
        <v>40</v>
      </c>
      <c r="C434" s="65">
        <f>ESE!Z435</f>
        <v>0</v>
      </c>
      <c r="D434" s="65">
        <f>ESE!AA435</f>
        <v>0</v>
      </c>
      <c r="E434" s="65">
        <f>ESE!AB435</f>
        <v>0</v>
      </c>
      <c r="F434" s="65">
        <f>ESE!AC435</f>
        <v>0</v>
      </c>
      <c r="G434" s="65">
        <f>ESE!AD435</f>
        <v>0</v>
      </c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spans="1:23" ht="16.5" customHeight="1">
      <c r="A435" s="62" t="str">
        <f>ESE!A436</f>
        <v>Student 425</v>
      </c>
      <c r="B435" s="121" t="s">
        <v>40</v>
      </c>
      <c r="C435" s="65">
        <f>ESE!Z436</f>
        <v>0</v>
      </c>
      <c r="D435" s="65">
        <f>ESE!AA436</f>
        <v>0</v>
      </c>
      <c r="E435" s="65">
        <f>ESE!AB436</f>
        <v>0</v>
      </c>
      <c r="F435" s="65">
        <f>ESE!AC436</f>
        <v>0</v>
      </c>
      <c r="G435" s="65">
        <f>ESE!AD436</f>
        <v>0</v>
      </c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spans="1:23" ht="16.5" customHeight="1">
      <c r="A436" s="62" t="str">
        <f>ESE!A437</f>
        <v>Student 426</v>
      </c>
      <c r="B436" s="121" t="s">
        <v>40</v>
      </c>
      <c r="C436" s="65">
        <f>ESE!Z437</f>
        <v>0</v>
      </c>
      <c r="D436" s="65">
        <f>ESE!AA437</f>
        <v>0</v>
      </c>
      <c r="E436" s="65">
        <f>ESE!AB437</f>
        <v>0</v>
      </c>
      <c r="F436" s="65">
        <f>ESE!AC437</f>
        <v>0</v>
      </c>
      <c r="G436" s="65">
        <f>ESE!AD437</f>
        <v>0</v>
      </c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 spans="1:23" ht="16.5" customHeight="1">
      <c r="A437" s="62" t="str">
        <f>ESE!A438</f>
        <v>Student 427</v>
      </c>
      <c r="B437" s="121" t="s">
        <v>40</v>
      </c>
      <c r="C437" s="65">
        <f>ESE!Z438</f>
        <v>0</v>
      </c>
      <c r="D437" s="65">
        <f>ESE!AA438</f>
        <v>0</v>
      </c>
      <c r="E437" s="65">
        <f>ESE!AB438</f>
        <v>0</v>
      </c>
      <c r="F437" s="65">
        <f>ESE!AC438</f>
        <v>0</v>
      </c>
      <c r="G437" s="65">
        <f>ESE!AD438</f>
        <v>0</v>
      </c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 spans="1:23" ht="16.5" customHeight="1">
      <c r="A438" s="62" t="str">
        <f>ESE!A439</f>
        <v>Student 428</v>
      </c>
      <c r="B438" s="121" t="s">
        <v>40</v>
      </c>
      <c r="C438" s="65">
        <f>ESE!Z439</f>
        <v>0</v>
      </c>
      <c r="D438" s="65">
        <f>ESE!AA439</f>
        <v>0</v>
      </c>
      <c r="E438" s="65">
        <f>ESE!AB439</f>
        <v>0</v>
      </c>
      <c r="F438" s="65">
        <f>ESE!AC439</f>
        <v>0</v>
      </c>
      <c r="G438" s="65">
        <f>ESE!AD439</f>
        <v>0</v>
      </c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 spans="1:23" ht="16.5" customHeight="1">
      <c r="A439" s="62" t="str">
        <f>ESE!A440</f>
        <v>Student 429</v>
      </c>
      <c r="B439" s="121" t="s">
        <v>40</v>
      </c>
      <c r="C439" s="65">
        <f>ESE!Z440</f>
        <v>0</v>
      </c>
      <c r="D439" s="65">
        <f>ESE!AA440</f>
        <v>0</v>
      </c>
      <c r="E439" s="65">
        <f>ESE!AB440</f>
        <v>0</v>
      </c>
      <c r="F439" s="65">
        <f>ESE!AC440</f>
        <v>0</v>
      </c>
      <c r="G439" s="65">
        <f>ESE!AD440</f>
        <v>0</v>
      </c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 spans="1:23" ht="16.5" customHeight="1">
      <c r="A440" s="62" t="str">
        <f>ESE!A441</f>
        <v>Student 430</v>
      </c>
      <c r="B440" s="121" t="s">
        <v>40</v>
      </c>
      <c r="C440" s="65">
        <f>ESE!Z441</f>
        <v>0</v>
      </c>
      <c r="D440" s="65">
        <f>ESE!AA441</f>
        <v>0</v>
      </c>
      <c r="E440" s="65">
        <f>ESE!AB441</f>
        <v>0</v>
      </c>
      <c r="F440" s="65">
        <f>ESE!AC441</f>
        <v>0</v>
      </c>
      <c r="G440" s="65">
        <f>ESE!AD441</f>
        <v>0</v>
      </c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 spans="1:23" ht="16.5" customHeight="1">
      <c r="A441" s="62" t="str">
        <f>ESE!A442</f>
        <v>Student 431</v>
      </c>
      <c r="B441" s="121" t="s">
        <v>40</v>
      </c>
      <c r="C441" s="65">
        <f>ESE!Z442</f>
        <v>0</v>
      </c>
      <c r="D441" s="65">
        <f>ESE!AA442</f>
        <v>0</v>
      </c>
      <c r="E441" s="65">
        <f>ESE!AB442</f>
        <v>0</v>
      </c>
      <c r="F441" s="65">
        <f>ESE!AC442</f>
        <v>0</v>
      </c>
      <c r="G441" s="65">
        <f>ESE!AD442</f>
        <v>0</v>
      </c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 spans="1:23" ht="16.5" customHeight="1">
      <c r="A442" s="62" t="str">
        <f>ESE!A443</f>
        <v>Student 432</v>
      </c>
      <c r="B442" s="121" t="s">
        <v>40</v>
      </c>
      <c r="C442" s="65">
        <f>ESE!Z443</f>
        <v>0</v>
      </c>
      <c r="D442" s="65">
        <f>ESE!AA443</f>
        <v>0</v>
      </c>
      <c r="E442" s="65">
        <f>ESE!AB443</f>
        <v>0</v>
      </c>
      <c r="F442" s="65">
        <f>ESE!AC443</f>
        <v>0</v>
      </c>
      <c r="G442" s="65">
        <f>ESE!AD443</f>
        <v>0</v>
      </c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 spans="1:23" ht="16.5" customHeight="1">
      <c r="A443" s="62" t="str">
        <f>ESE!A444</f>
        <v>Student 433</v>
      </c>
      <c r="B443" s="121" t="s">
        <v>40</v>
      </c>
      <c r="C443" s="65">
        <f>ESE!Z444</f>
        <v>0</v>
      </c>
      <c r="D443" s="65">
        <f>ESE!AA444</f>
        <v>0</v>
      </c>
      <c r="E443" s="65">
        <f>ESE!AB444</f>
        <v>0</v>
      </c>
      <c r="F443" s="65">
        <f>ESE!AC444</f>
        <v>0</v>
      </c>
      <c r="G443" s="65">
        <f>ESE!AD444</f>
        <v>0</v>
      </c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 spans="1:23" ht="16.5" customHeight="1">
      <c r="A444" s="62" t="str">
        <f>ESE!A445</f>
        <v>Student 434</v>
      </c>
      <c r="B444" s="121" t="s">
        <v>40</v>
      </c>
      <c r="C444" s="65">
        <f>ESE!Z445</f>
        <v>0</v>
      </c>
      <c r="D444" s="65">
        <f>ESE!AA445</f>
        <v>0</v>
      </c>
      <c r="E444" s="65">
        <f>ESE!AB445</f>
        <v>0</v>
      </c>
      <c r="F444" s="65">
        <f>ESE!AC445</f>
        <v>0</v>
      </c>
      <c r="G444" s="65">
        <f>ESE!AD445</f>
        <v>0</v>
      </c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 spans="1:23" ht="16.5" customHeight="1">
      <c r="A445" s="62" t="str">
        <f>ESE!A446</f>
        <v>Student 435</v>
      </c>
      <c r="B445" s="121" t="s">
        <v>40</v>
      </c>
      <c r="C445" s="65">
        <f>ESE!Z446</f>
        <v>0</v>
      </c>
      <c r="D445" s="65">
        <f>ESE!AA446</f>
        <v>0</v>
      </c>
      <c r="E445" s="65">
        <f>ESE!AB446</f>
        <v>0</v>
      </c>
      <c r="F445" s="65">
        <f>ESE!AC446</f>
        <v>0</v>
      </c>
      <c r="G445" s="65">
        <f>ESE!AD446</f>
        <v>0</v>
      </c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 spans="1:23" ht="16.5" customHeight="1">
      <c r="A446" s="62" t="str">
        <f>ESE!A447</f>
        <v>Student 436</v>
      </c>
      <c r="B446" s="121" t="s">
        <v>40</v>
      </c>
      <c r="C446" s="65">
        <f>ESE!Z447</f>
        <v>0</v>
      </c>
      <c r="D446" s="65">
        <f>ESE!AA447</f>
        <v>0</v>
      </c>
      <c r="E446" s="65">
        <f>ESE!AB447</f>
        <v>0</v>
      </c>
      <c r="F446" s="65">
        <f>ESE!AC447</f>
        <v>0</v>
      </c>
      <c r="G446" s="65">
        <f>ESE!AD447</f>
        <v>0</v>
      </c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 spans="1:23" ht="16.5" customHeight="1">
      <c r="A447" s="62" t="str">
        <f>ESE!A448</f>
        <v>Student 437</v>
      </c>
      <c r="B447" s="121" t="s">
        <v>40</v>
      </c>
      <c r="C447" s="65">
        <f>ESE!Z448</f>
        <v>0</v>
      </c>
      <c r="D447" s="65">
        <f>ESE!AA448</f>
        <v>0</v>
      </c>
      <c r="E447" s="65">
        <f>ESE!AB448</f>
        <v>0</v>
      </c>
      <c r="F447" s="65">
        <f>ESE!AC448</f>
        <v>0</v>
      </c>
      <c r="G447" s="65">
        <f>ESE!AD448</f>
        <v>0</v>
      </c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 spans="1:23" ht="16.5" customHeight="1">
      <c r="A448" s="62" t="str">
        <f>ESE!A449</f>
        <v>Student 438</v>
      </c>
      <c r="B448" s="121" t="s">
        <v>40</v>
      </c>
      <c r="C448" s="65">
        <f>ESE!Z449</f>
        <v>0</v>
      </c>
      <c r="D448" s="65">
        <f>ESE!AA449</f>
        <v>0</v>
      </c>
      <c r="E448" s="65">
        <f>ESE!AB449</f>
        <v>0</v>
      </c>
      <c r="F448" s="65">
        <f>ESE!AC449</f>
        <v>0</v>
      </c>
      <c r="G448" s="65">
        <f>ESE!AD449</f>
        <v>0</v>
      </c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 spans="1:23" ht="16.5" customHeight="1">
      <c r="A449" s="62" t="str">
        <f>ESE!A450</f>
        <v>Student 439</v>
      </c>
      <c r="B449" s="121" t="s">
        <v>40</v>
      </c>
      <c r="C449" s="65">
        <f>ESE!Z450</f>
        <v>0</v>
      </c>
      <c r="D449" s="65">
        <f>ESE!AA450</f>
        <v>0</v>
      </c>
      <c r="E449" s="65">
        <f>ESE!AB450</f>
        <v>0</v>
      </c>
      <c r="F449" s="65">
        <f>ESE!AC450</f>
        <v>0</v>
      </c>
      <c r="G449" s="65">
        <f>ESE!AD450</f>
        <v>0</v>
      </c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 spans="1:23" ht="16.5" customHeight="1">
      <c r="A450" s="62" t="str">
        <f>ESE!A451</f>
        <v>Student 440</v>
      </c>
      <c r="B450" s="121" t="s">
        <v>40</v>
      </c>
      <c r="C450" s="65">
        <f>ESE!Z451</f>
        <v>0</v>
      </c>
      <c r="D450" s="65">
        <f>ESE!AA451</f>
        <v>0</v>
      </c>
      <c r="E450" s="65">
        <f>ESE!AB451</f>
        <v>0</v>
      </c>
      <c r="F450" s="65">
        <f>ESE!AC451</f>
        <v>0</v>
      </c>
      <c r="G450" s="65">
        <f>ESE!AD451</f>
        <v>0</v>
      </c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 spans="1:23" ht="16.5" customHeight="1">
      <c r="A451" s="62" t="str">
        <f>ESE!A452</f>
        <v>Student 441</v>
      </c>
      <c r="B451" s="121" t="s">
        <v>40</v>
      </c>
      <c r="C451" s="65">
        <f>ESE!Z452</f>
        <v>0</v>
      </c>
      <c r="D451" s="65">
        <f>ESE!AA452</f>
        <v>0</v>
      </c>
      <c r="E451" s="65">
        <f>ESE!AB452</f>
        <v>0</v>
      </c>
      <c r="F451" s="65">
        <f>ESE!AC452</f>
        <v>0</v>
      </c>
      <c r="G451" s="65">
        <f>ESE!AD452</f>
        <v>0</v>
      </c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 spans="1:23" ht="16.5" customHeight="1">
      <c r="A452" s="62" t="str">
        <f>ESE!A453</f>
        <v>Student 442</v>
      </c>
      <c r="B452" s="121" t="s">
        <v>40</v>
      </c>
      <c r="C452" s="65">
        <f>ESE!Z453</f>
        <v>0</v>
      </c>
      <c r="D452" s="65">
        <f>ESE!AA453</f>
        <v>0</v>
      </c>
      <c r="E452" s="65">
        <f>ESE!AB453</f>
        <v>0</v>
      </c>
      <c r="F452" s="65">
        <f>ESE!AC453</f>
        <v>0</v>
      </c>
      <c r="G452" s="65">
        <f>ESE!AD453</f>
        <v>0</v>
      </c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 spans="1:23" ht="16.5" customHeight="1">
      <c r="A453" s="62" t="str">
        <f>ESE!A454</f>
        <v>Student 443</v>
      </c>
      <c r="B453" s="121" t="s">
        <v>40</v>
      </c>
      <c r="C453" s="65">
        <f>ESE!Z454</f>
        <v>0</v>
      </c>
      <c r="D453" s="65">
        <f>ESE!AA454</f>
        <v>0</v>
      </c>
      <c r="E453" s="65">
        <f>ESE!AB454</f>
        <v>0</v>
      </c>
      <c r="F453" s="65">
        <f>ESE!AC454</f>
        <v>0</v>
      </c>
      <c r="G453" s="65">
        <f>ESE!AD454</f>
        <v>0</v>
      </c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 spans="1:23" ht="16.5" customHeight="1">
      <c r="A454" s="62" t="str">
        <f>ESE!A455</f>
        <v>Student 444</v>
      </c>
      <c r="B454" s="121" t="s">
        <v>40</v>
      </c>
      <c r="C454" s="65">
        <f>ESE!Z455</f>
        <v>0</v>
      </c>
      <c r="D454" s="65">
        <f>ESE!AA455</f>
        <v>0</v>
      </c>
      <c r="E454" s="65">
        <f>ESE!AB455</f>
        <v>0</v>
      </c>
      <c r="F454" s="65">
        <f>ESE!AC455</f>
        <v>0</v>
      </c>
      <c r="G454" s="65">
        <f>ESE!AD455</f>
        <v>0</v>
      </c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 spans="1:23" ht="16.5" customHeight="1">
      <c r="A455" s="62" t="str">
        <f>ESE!A456</f>
        <v>Student 445</v>
      </c>
      <c r="B455" s="121" t="s">
        <v>40</v>
      </c>
      <c r="C455" s="65">
        <f>ESE!Z456</f>
        <v>0</v>
      </c>
      <c r="D455" s="65">
        <f>ESE!AA456</f>
        <v>0</v>
      </c>
      <c r="E455" s="65">
        <f>ESE!AB456</f>
        <v>0</v>
      </c>
      <c r="F455" s="65">
        <f>ESE!AC456</f>
        <v>0</v>
      </c>
      <c r="G455" s="65">
        <f>ESE!AD456</f>
        <v>0</v>
      </c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 spans="1:23" ht="16.5" customHeight="1">
      <c r="A456" s="62" t="str">
        <f>ESE!A457</f>
        <v>Student 446</v>
      </c>
      <c r="B456" s="121" t="s">
        <v>40</v>
      </c>
      <c r="C456" s="65">
        <f>ESE!Z457</f>
        <v>0</v>
      </c>
      <c r="D456" s="65">
        <f>ESE!AA457</f>
        <v>0</v>
      </c>
      <c r="E456" s="65">
        <f>ESE!AB457</f>
        <v>0</v>
      </c>
      <c r="F456" s="65">
        <f>ESE!AC457</f>
        <v>0</v>
      </c>
      <c r="G456" s="65">
        <f>ESE!AD457</f>
        <v>0</v>
      </c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 spans="1:23" ht="16.5" customHeight="1">
      <c r="A457" s="62" t="str">
        <f>ESE!A458</f>
        <v>Student 447</v>
      </c>
      <c r="B457" s="121" t="s">
        <v>40</v>
      </c>
      <c r="C457" s="65">
        <f>ESE!Z458</f>
        <v>0</v>
      </c>
      <c r="D457" s="65">
        <f>ESE!AA458</f>
        <v>0</v>
      </c>
      <c r="E457" s="65">
        <f>ESE!AB458</f>
        <v>0</v>
      </c>
      <c r="F457" s="65">
        <f>ESE!AC458</f>
        <v>0</v>
      </c>
      <c r="G457" s="65">
        <f>ESE!AD458</f>
        <v>0</v>
      </c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 spans="1:23" ht="16.5" customHeight="1">
      <c r="A458" s="62" t="str">
        <f>ESE!A459</f>
        <v>Student 448</v>
      </c>
      <c r="B458" s="121" t="s">
        <v>40</v>
      </c>
      <c r="C458" s="65">
        <f>ESE!Z459</f>
        <v>0</v>
      </c>
      <c r="D458" s="65">
        <f>ESE!AA459</f>
        <v>0</v>
      </c>
      <c r="E458" s="65">
        <f>ESE!AB459</f>
        <v>0</v>
      </c>
      <c r="F458" s="65">
        <f>ESE!AC459</f>
        <v>0</v>
      </c>
      <c r="G458" s="65">
        <f>ESE!AD459</f>
        <v>0</v>
      </c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 spans="1:23" ht="16.5" customHeight="1">
      <c r="A459" s="62" t="str">
        <f>ESE!A460</f>
        <v>Student 449</v>
      </c>
      <c r="B459" s="121" t="s">
        <v>40</v>
      </c>
      <c r="C459" s="65">
        <f>ESE!Z460</f>
        <v>0</v>
      </c>
      <c r="D459" s="65">
        <f>ESE!AA460</f>
        <v>0</v>
      </c>
      <c r="E459" s="65">
        <f>ESE!AB460</f>
        <v>0</v>
      </c>
      <c r="F459" s="65">
        <f>ESE!AC460</f>
        <v>0</v>
      </c>
      <c r="G459" s="65">
        <f>ESE!AD460</f>
        <v>0</v>
      </c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 spans="1:23" ht="16.5" customHeight="1">
      <c r="A460" s="62" t="str">
        <f>ESE!A461</f>
        <v>Student 450</v>
      </c>
      <c r="B460" s="121" t="s">
        <v>40</v>
      </c>
      <c r="C460" s="65">
        <f>ESE!Z461</f>
        <v>0</v>
      </c>
      <c r="D460" s="65">
        <f>ESE!AA461</f>
        <v>0</v>
      </c>
      <c r="E460" s="65">
        <f>ESE!AB461</f>
        <v>0</v>
      </c>
      <c r="F460" s="65">
        <f>ESE!AC461</f>
        <v>0</v>
      </c>
      <c r="G460" s="65">
        <f>ESE!AD461</f>
        <v>0</v>
      </c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 spans="1:23" ht="15.75" customHeight="1">
      <c r="A461" s="63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 spans="1:23" ht="24.75" customHeight="1">
      <c r="A462" s="297" t="s">
        <v>84</v>
      </c>
      <c r="B462" s="190"/>
      <c r="C462" s="11" t="str">
        <f>IFERROR(AVERAGEIF(C11:C460,"&lt;&gt;0"),"")</f>
        <v/>
      </c>
      <c r="D462" s="11" t="str">
        <f t="shared" ref="D462:G462" si="0">IFERROR(AVERAGEIF(D11:D460,"&lt;&gt;0"),"")</f>
        <v/>
      </c>
      <c r="E462" s="11" t="str">
        <f t="shared" si="0"/>
        <v/>
      </c>
      <c r="F462" s="11" t="str">
        <f t="shared" si="0"/>
        <v/>
      </c>
      <c r="G462" s="11" t="str">
        <f t="shared" si="0"/>
        <v/>
      </c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 spans="1:23" ht="36.75" customHeight="1">
      <c r="A463" s="330" t="s">
        <v>85</v>
      </c>
      <c r="B463" s="190"/>
      <c r="C463" s="65">
        <f>COUNTIF(C11:C460,"&gt;="&amp;C462)</f>
        <v>0</v>
      </c>
      <c r="D463" s="65">
        <f t="shared" ref="D463:F463" si="1">COUNTIF(D11:D460,"&gt;="&amp;D462)</f>
        <v>0</v>
      </c>
      <c r="E463" s="65">
        <f t="shared" si="1"/>
        <v>0</v>
      </c>
      <c r="F463" s="65">
        <f t="shared" si="1"/>
        <v>0</v>
      </c>
      <c r="G463" s="65">
        <f>COUNTIF(G11:G460,"&gt;="&amp;G462)</f>
        <v>0</v>
      </c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 spans="1:23" ht="40.5" customHeight="1">
      <c r="A464" s="285" t="s">
        <v>86</v>
      </c>
      <c r="B464" s="190"/>
      <c r="C464" s="11">
        <f>IFERROR(MIN((C463/$G$7)*100,100),"")</f>
        <v>0</v>
      </c>
      <c r="D464" s="11">
        <f t="shared" ref="D464:G464" si="2">IFERROR(MIN((D463/$G$7)*100,100),"")</f>
        <v>0</v>
      </c>
      <c r="E464" s="11">
        <f t="shared" si="2"/>
        <v>0</v>
      </c>
      <c r="F464" s="11">
        <f t="shared" si="2"/>
        <v>0</v>
      </c>
      <c r="G464" s="11">
        <f t="shared" si="2"/>
        <v>0</v>
      </c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 spans="1:23" ht="17.2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 spans="1:23" ht="17.2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 spans="1:23" ht="17.2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 spans="1:23" ht="17.25" customHeight="1">
      <c r="A468" s="16"/>
      <c r="B468" s="67"/>
      <c r="C468" s="67"/>
      <c r="D468" s="67"/>
      <c r="E468" s="67"/>
      <c r="F468" s="67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 spans="1:23" ht="17.25" customHeight="1">
      <c r="A469" s="16"/>
      <c r="B469" s="67"/>
      <c r="C469" s="67"/>
      <c r="D469" s="67"/>
      <c r="E469" s="67"/>
      <c r="F469" s="67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 spans="1:23" ht="17.2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 spans="1:23" ht="17.2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 spans="1:23" ht="17.2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 spans="1:23" ht="17.2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 spans="1:23" ht="17.2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 spans="1:23" ht="17.2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 spans="1:23" ht="17.2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 spans="1:23" ht="17.2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 spans="1:23" ht="17.2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 spans="1:23" ht="17.2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 spans="1:23" ht="17.2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 spans="1:23" ht="17.2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 spans="1:23" ht="17.2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 spans="1:23" ht="17.2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 spans="1:23" ht="17.2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 spans="1:23" ht="17.2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 spans="1:23" ht="17.2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 spans="1:23" ht="17.2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 spans="1:23" ht="17.2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 spans="1:23" ht="17.2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 spans="1:23" ht="17.2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 spans="1:23" ht="17.2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 spans="1:23" ht="17.2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 spans="1:23" ht="17.2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 spans="1:23" ht="17.2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 spans="1:23" ht="17.2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 spans="1:23" ht="17.2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 spans="1:23" ht="17.2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 spans="1:23" ht="17.2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 spans="1:23" ht="17.2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 spans="1:23" ht="17.2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 spans="1:23" ht="17.2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 spans="1:23" ht="17.2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 spans="1:23" ht="17.2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 spans="1:23" ht="17.2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 spans="1:23" ht="17.2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 spans="1:23" ht="17.2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 spans="1:23" ht="17.2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 spans="1:23" ht="17.2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 spans="1:23" ht="17.2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 spans="1:23" ht="17.2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 spans="1:23" ht="17.2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 spans="1:23" ht="17.2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 spans="1:23" ht="17.2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 spans="1:23" ht="17.2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 spans="1:23" ht="17.2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 spans="1:23" ht="17.2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 spans="1:23" ht="17.2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 spans="1:23" ht="17.2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 spans="1:23" ht="17.2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 spans="1:23" ht="17.2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 spans="1:23" ht="17.2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 spans="1:23" ht="17.2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 spans="1:23" ht="17.2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 spans="1:23" ht="17.2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 spans="1:23" ht="17.2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 spans="1:23" ht="17.2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 spans="1:23" ht="17.2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 spans="1:23" ht="17.2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 spans="1:23" ht="17.2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 spans="1:23" ht="17.2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 spans="1:23" ht="17.2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 spans="1:23" ht="17.2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 spans="1:23" ht="17.2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 spans="1:23" ht="17.2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 spans="1:23" ht="17.2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 spans="1:23" ht="17.2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 spans="1:23" ht="17.2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 spans="1:23" ht="17.2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 spans="1:23" ht="17.2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 spans="1:23" ht="17.2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 spans="1:23" ht="17.2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 spans="1:23" ht="17.2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 spans="1:23" ht="17.2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 spans="1:23" ht="17.2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 spans="1:23" ht="17.2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 spans="1:23" ht="17.2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 spans="1:23" ht="17.2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 spans="1:23" ht="17.2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 spans="1:23" ht="17.2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 spans="1:23" ht="17.2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 spans="1:23" ht="17.2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 spans="1:23" ht="17.2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 spans="1:23" ht="17.2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 spans="1:23" ht="17.2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 spans="1:23" ht="17.2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 spans="1:23" ht="17.2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 spans="1:23" ht="17.2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 spans="1:23" ht="17.2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 spans="1:23" ht="17.2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 spans="1:23" ht="17.2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 spans="1:23" ht="17.2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 spans="1:23" ht="17.2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 spans="1:23" ht="17.2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 spans="1:23" ht="17.2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 spans="1:23" ht="17.2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 spans="1:23" ht="17.2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 spans="1:23" ht="17.2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 spans="1:23" ht="17.2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 spans="1:23" ht="17.2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 spans="1:23" ht="17.2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 spans="1:23" ht="17.2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 spans="1:23" ht="17.2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 spans="1:23" ht="17.2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 spans="1:23" ht="17.2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 spans="1:23" ht="17.2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 spans="1:23" ht="17.2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 spans="1:23" ht="17.2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 spans="1:23" ht="17.2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 spans="1:23" ht="17.2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 spans="1:23" ht="17.2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 spans="1:23" ht="17.2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 spans="1:23" ht="17.2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 spans="1:23" ht="17.2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 spans="1:23" ht="17.2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 spans="1:23" ht="17.2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 spans="1:23" ht="17.2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 spans="1:23" ht="17.2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 spans="1:23" ht="17.2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 spans="1:23" ht="17.2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 spans="1:23" ht="17.2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 spans="1:23" ht="17.2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 spans="1:23" ht="17.2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 spans="1:23" ht="17.2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 spans="1:23" ht="17.2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 spans="1:23" ht="17.2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 spans="1:23" ht="17.2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 spans="1:23" ht="17.2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 spans="1:23" ht="17.2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 spans="1:23" ht="17.2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 spans="1:23" ht="17.2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 spans="1:23" ht="17.2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 spans="1:23" ht="17.2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 spans="1:23" ht="17.2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 spans="1:23" ht="17.2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 spans="1:23" ht="17.2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 spans="1:23" ht="17.2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 spans="1:23" ht="17.2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 spans="1:23" ht="17.2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 spans="1:23" ht="17.2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 spans="1:23" ht="17.2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 spans="1:23" ht="17.2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 spans="1:23" ht="17.2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 spans="1:23" ht="17.2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 spans="1:23" ht="17.2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 spans="1:23" ht="17.2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 spans="1:23" ht="17.2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 spans="1:23" ht="17.2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 spans="1:23" ht="17.2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 spans="1:23" ht="17.2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 spans="1:23" ht="17.2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 spans="1:23" ht="17.2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 spans="1:23" ht="17.2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 spans="1:23" ht="17.2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 spans="1:23" ht="17.2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 spans="1:23" ht="17.2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 spans="1:23" ht="17.2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 spans="1:23" ht="17.2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 spans="1:23" ht="17.2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 spans="1:23" ht="17.2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 spans="1:23" ht="17.2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 spans="1:23" ht="17.2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 spans="1:23" ht="17.2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 spans="1:23" ht="17.2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 spans="1:23" ht="17.2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 spans="1:23" ht="17.2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 spans="1:23" ht="17.2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 spans="1:23" ht="17.2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 spans="1:23" ht="17.2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 spans="1:23" ht="17.2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 spans="1:23" ht="17.2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 spans="1:23" ht="17.2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 spans="1:23" ht="17.2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 spans="1:23" ht="17.2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 spans="1:23" ht="17.2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 spans="1:23" ht="17.2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 spans="1:23" ht="17.2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 spans="1:23" ht="17.2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 spans="1:23" ht="17.2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 spans="1:23" ht="17.2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 spans="1:23" ht="17.2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 spans="1:23" ht="17.2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 spans="1:23" ht="17.2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 spans="1:23" ht="17.2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 spans="1:23" ht="17.2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 spans="1:23" ht="17.2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 spans="1:23" ht="17.2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 spans="1:23" ht="17.2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 spans="1:23" ht="17.2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 spans="1:23" ht="17.2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 spans="1:23" ht="17.2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 spans="1:23" ht="17.2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 spans="1:23" ht="17.2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 spans="1:23" ht="17.2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 spans="1:23" ht="17.2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 spans="1:23" ht="15.75" customHeight="1"/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</sheetData>
  <sheetProtection password="CC28" sheet="1" objects="1" scenarios="1"/>
  <mergeCells count="15">
    <mergeCell ref="A462:B462"/>
    <mergeCell ref="A463:B463"/>
    <mergeCell ref="A464:B464"/>
    <mergeCell ref="A1:M1"/>
    <mergeCell ref="A2:M2"/>
    <mergeCell ref="A3:M3"/>
    <mergeCell ref="C4:D4"/>
    <mergeCell ref="E4:G4"/>
    <mergeCell ref="H4:J4"/>
    <mergeCell ref="K4:M4"/>
    <mergeCell ref="C5:D5"/>
    <mergeCell ref="E5:M5"/>
    <mergeCell ref="C6:E6"/>
    <mergeCell ref="C7:F7"/>
    <mergeCell ref="C10:G10"/>
  </mergeCells>
  <printOptions horizontalCentered="1"/>
  <pageMargins left="0.45" right="0.2" top="0.5" bottom="0.5" header="0" footer="0"/>
  <pageSetup orientation="portrait"/>
  <rowBreaks count="2" manualBreakCount="2">
    <brk id="42" man="1"/>
    <brk id="7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Z1000"/>
  <sheetViews>
    <sheetView tabSelected="1" view="pageLayout" topLeftCell="A2" workbookViewId="0">
      <selection activeCell="E14" sqref="E14:O18"/>
    </sheetView>
  </sheetViews>
  <sheetFormatPr defaultColWidth="14.42578125" defaultRowHeight="15" customHeight="1"/>
  <cols>
    <col min="1" max="1" width="9.140625" customWidth="1"/>
    <col min="2" max="2" width="11.5703125" customWidth="1"/>
    <col min="3" max="3" width="13.5703125" customWidth="1"/>
    <col min="5" max="5" width="7.7109375" customWidth="1"/>
    <col min="6" max="6" width="10.140625" customWidth="1"/>
    <col min="7" max="8" width="7.7109375" customWidth="1"/>
    <col min="9" max="9" width="10.28515625" customWidth="1"/>
    <col min="10" max="11" width="7.7109375" customWidth="1"/>
    <col min="12" max="12" width="8.140625" customWidth="1"/>
    <col min="13" max="14" width="7.7109375" customWidth="1"/>
    <col min="15" max="15" width="10.140625" customWidth="1"/>
    <col min="16" max="26" width="9.140625" customWidth="1"/>
  </cols>
  <sheetData>
    <row r="1" spans="1:26" ht="21" customHeight="1">
      <c r="A1" s="313">
        <f>BASE!A7</f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s="179" customFormat="1" ht="21" customHeight="1">
      <c r="A2" s="180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s="179" customFormat="1" ht="21" customHeight="1">
      <c r="A3" s="180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s="179" customFormat="1" ht="21" customHeight="1">
      <c r="A4" s="180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s="179" customFormat="1" ht="21" customHeight="1">
      <c r="A5" s="180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s="179" customFormat="1" ht="21" customHeight="1">
      <c r="A6" s="180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1" customHeight="1">
      <c r="A7" s="313" t="str">
        <f>BASE!A8</f>
        <v>DEPARTMENT OF __________________________________</v>
      </c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1" customHeight="1">
      <c r="A8" s="313" t="str">
        <f>BASE!A9</f>
        <v>THEORY CUM PRACTICAL COURSE OUTCOME ANALYSIS</v>
      </c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7.2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31.5" customHeight="1">
      <c r="A10" s="285" t="str">
        <f>BASE!A11</f>
        <v>Name of Faculty(s)</v>
      </c>
      <c r="B10" s="189"/>
      <c r="C10" s="190"/>
      <c r="D10" s="285">
        <f>BASE!D11</f>
        <v>1</v>
      </c>
      <c r="E10" s="189"/>
      <c r="F10" s="190"/>
      <c r="G10" s="285">
        <f>BASE!G11</f>
        <v>1</v>
      </c>
      <c r="H10" s="189"/>
      <c r="I10" s="190"/>
      <c r="J10" s="285">
        <f>BASE!J11</f>
        <v>1</v>
      </c>
      <c r="K10" s="189"/>
      <c r="L10" s="190"/>
      <c r="M10" s="285">
        <f>BASE!M11</f>
        <v>1</v>
      </c>
      <c r="N10" s="189"/>
      <c r="O10" s="190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31.5" customHeight="1">
      <c r="A11" s="285" t="str">
        <f>BASE!A12</f>
        <v>Course Code and Name</v>
      </c>
      <c r="B11" s="189"/>
      <c r="C11" s="190"/>
      <c r="D11" s="275" t="str">
        <f>BASE!D12</f>
        <v>22ABXCXX</v>
      </c>
      <c r="E11" s="189"/>
      <c r="F11" s="190"/>
      <c r="G11" s="275" t="str">
        <f>BASE!G12</f>
        <v>XXXXXXXX XXXXX XXXXXXXX</v>
      </c>
      <c r="H11" s="189"/>
      <c r="I11" s="189"/>
      <c r="J11" s="189"/>
      <c r="K11" s="189"/>
      <c r="L11" s="189"/>
      <c r="M11" s="189"/>
      <c r="N11" s="189"/>
      <c r="O11" s="190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31.5" customHeight="1">
      <c r="A12" s="285" t="str">
        <f>BASE!A13</f>
        <v>Branch / Year / Semester</v>
      </c>
      <c r="B12" s="189"/>
      <c r="C12" s="190"/>
      <c r="D12" s="275" t="str">
        <f>BASE!D13</f>
        <v>abcd</v>
      </c>
      <c r="E12" s="189"/>
      <c r="F12" s="189"/>
      <c r="G12" s="190"/>
      <c r="H12" s="275">
        <f>BASE!H13</f>
        <v>1</v>
      </c>
      <c r="I12" s="189"/>
      <c r="J12" s="189"/>
      <c r="K12" s="190"/>
      <c r="L12" s="275" t="str">
        <f>BASE!L13</f>
        <v>IV</v>
      </c>
      <c r="M12" s="189"/>
      <c r="N12" s="189"/>
      <c r="O12" s="190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7.2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7.25" customHeight="1">
      <c r="A14" s="334" t="s">
        <v>98</v>
      </c>
      <c r="B14" s="335"/>
      <c r="C14" s="335"/>
      <c r="D14" s="336"/>
      <c r="E14" s="342"/>
      <c r="F14" s="343"/>
      <c r="G14" s="343"/>
      <c r="H14" s="343"/>
      <c r="I14" s="343"/>
      <c r="J14" s="343"/>
      <c r="K14" s="343"/>
      <c r="L14" s="343"/>
      <c r="M14" s="343"/>
      <c r="N14" s="343"/>
      <c r="O14" s="344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31.5" customHeight="1">
      <c r="A15" s="337"/>
      <c r="B15" s="220"/>
      <c r="C15" s="220"/>
      <c r="D15" s="338"/>
      <c r="E15" s="345"/>
      <c r="F15" s="346"/>
      <c r="G15" s="346"/>
      <c r="H15" s="346"/>
      <c r="I15" s="346"/>
      <c r="J15" s="346"/>
      <c r="K15" s="346"/>
      <c r="L15" s="346"/>
      <c r="M15" s="346"/>
      <c r="N15" s="346"/>
      <c r="O15" s="347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38.25" customHeight="1">
      <c r="A16" s="337"/>
      <c r="B16" s="220"/>
      <c r="C16" s="220"/>
      <c r="D16" s="338"/>
      <c r="E16" s="345"/>
      <c r="F16" s="346"/>
      <c r="G16" s="346"/>
      <c r="H16" s="346"/>
      <c r="I16" s="346"/>
      <c r="J16" s="346"/>
      <c r="K16" s="346"/>
      <c r="L16" s="346"/>
      <c r="M16" s="346"/>
      <c r="N16" s="346"/>
      <c r="O16" s="347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38.25" customHeight="1">
      <c r="A17" s="337"/>
      <c r="B17" s="220"/>
      <c r="C17" s="220"/>
      <c r="D17" s="338"/>
      <c r="E17" s="345"/>
      <c r="F17" s="346"/>
      <c r="G17" s="346"/>
      <c r="H17" s="346"/>
      <c r="I17" s="346"/>
      <c r="J17" s="346"/>
      <c r="K17" s="346"/>
      <c r="L17" s="346"/>
      <c r="M17" s="346"/>
      <c r="N17" s="346"/>
      <c r="O17" s="347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39" customHeight="1">
      <c r="A18" s="339"/>
      <c r="B18" s="340"/>
      <c r="C18" s="340"/>
      <c r="D18" s="341"/>
      <c r="E18" s="348"/>
      <c r="F18" s="349"/>
      <c r="G18" s="349"/>
      <c r="H18" s="349"/>
      <c r="I18" s="349"/>
      <c r="J18" s="349"/>
      <c r="K18" s="349"/>
      <c r="L18" s="349"/>
      <c r="M18" s="349"/>
      <c r="N18" s="349"/>
      <c r="O18" s="350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31.5" customHeight="1">
      <c r="A19" s="351" t="s">
        <v>100</v>
      </c>
      <c r="B19" s="352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3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5.5" customHeight="1">
      <c r="A20" s="354" t="s">
        <v>101</v>
      </c>
      <c r="B20" s="356" t="s">
        <v>102</v>
      </c>
      <c r="C20" s="356" t="s">
        <v>103</v>
      </c>
      <c r="D20" s="358" t="s">
        <v>104</v>
      </c>
      <c r="E20" s="359" t="s">
        <v>105</v>
      </c>
      <c r="F20" s="335"/>
      <c r="G20" s="336"/>
      <c r="H20" s="359" t="s">
        <v>106</v>
      </c>
      <c r="I20" s="335"/>
      <c r="J20" s="335"/>
      <c r="K20" s="335"/>
      <c r="L20" s="335"/>
      <c r="M20" s="335"/>
      <c r="N20" s="335"/>
      <c r="O20" s="336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27" customHeight="1">
      <c r="A21" s="355"/>
      <c r="B21" s="357"/>
      <c r="C21" s="357"/>
      <c r="D21" s="355"/>
      <c r="E21" s="360"/>
      <c r="F21" s="361"/>
      <c r="G21" s="362"/>
      <c r="H21" s="360"/>
      <c r="I21" s="361"/>
      <c r="J21" s="361"/>
      <c r="K21" s="361"/>
      <c r="L21" s="361"/>
      <c r="M21" s="361"/>
      <c r="N21" s="361"/>
      <c r="O21" s="362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30" customHeight="1">
      <c r="A22" s="75" t="s">
        <v>26</v>
      </c>
      <c r="B22" s="76" t="str">
        <f>BASE!F34</f>
        <v>-</v>
      </c>
      <c r="C22" s="76" t="str">
        <f>BASE!F49</f>
        <v>-</v>
      </c>
      <c r="D22" s="77" t="str">
        <f t="shared" ref="D22:D35" si="0">IF(C22="-","-",(C22/B22))</f>
        <v>-</v>
      </c>
      <c r="E22" s="333"/>
      <c r="F22" s="322"/>
      <c r="G22" s="323"/>
      <c r="H22" s="333"/>
      <c r="I22" s="322"/>
      <c r="J22" s="322"/>
      <c r="K22" s="322"/>
      <c r="L22" s="322"/>
      <c r="M22" s="322"/>
      <c r="N22" s="322"/>
      <c r="O22" s="323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30" customHeight="1">
      <c r="A23" s="75" t="s">
        <v>27</v>
      </c>
      <c r="B23" s="76" t="str">
        <f>BASE!G34</f>
        <v>-</v>
      </c>
      <c r="C23" s="76" t="str">
        <f>BASE!G49</f>
        <v>-</v>
      </c>
      <c r="D23" s="77" t="str">
        <f t="shared" si="0"/>
        <v>-</v>
      </c>
      <c r="E23" s="333"/>
      <c r="F23" s="322"/>
      <c r="G23" s="323"/>
      <c r="H23" s="333"/>
      <c r="I23" s="322"/>
      <c r="J23" s="322"/>
      <c r="K23" s="322"/>
      <c r="L23" s="322"/>
      <c r="M23" s="322"/>
      <c r="N23" s="322"/>
      <c r="O23" s="323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30" customHeight="1">
      <c r="A24" s="75" t="s">
        <v>28</v>
      </c>
      <c r="B24" s="76" t="str">
        <f>BASE!H34</f>
        <v>-</v>
      </c>
      <c r="C24" s="76" t="str">
        <f>BASE!H49</f>
        <v>-</v>
      </c>
      <c r="D24" s="77" t="str">
        <f t="shared" si="0"/>
        <v>-</v>
      </c>
      <c r="E24" s="333"/>
      <c r="F24" s="322"/>
      <c r="G24" s="323"/>
      <c r="H24" s="333"/>
      <c r="I24" s="322"/>
      <c r="J24" s="322"/>
      <c r="K24" s="322"/>
      <c r="L24" s="322"/>
      <c r="M24" s="322"/>
      <c r="N24" s="322"/>
      <c r="O24" s="323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30" customHeight="1">
      <c r="A25" s="75" t="s">
        <v>29</v>
      </c>
      <c r="B25" s="76" t="str">
        <f>BASE!I34</f>
        <v>-</v>
      </c>
      <c r="C25" s="76" t="str">
        <f>BASE!I49</f>
        <v>-</v>
      </c>
      <c r="D25" s="77" t="str">
        <f t="shared" si="0"/>
        <v>-</v>
      </c>
      <c r="E25" s="333"/>
      <c r="F25" s="322"/>
      <c r="G25" s="323"/>
      <c r="H25" s="333"/>
      <c r="I25" s="322"/>
      <c r="J25" s="322"/>
      <c r="K25" s="322"/>
      <c r="L25" s="322"/>
      <c r="M25" s="322"/>
      <c r="N25" s="322"/>
      <c r="O25" s="323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30" customHeight="1">
      <c r="A26" s="75" t="s">
        <v>30</v>
      </c>
      <c r="B26" s="76" t="str">
        <f>BASE!J34</f>
        <v>-</v>
      </c>
      <c r="C26" s="76" t="str">
        <f>BASE!J49</f>
        <v>-</v>
      </c>
      <c r="D26" s="77" t="str">
        <f t="shared" si="0"/>
        <v>-</v>
      </c>
      <c r="E26" s="333"/>
      <c r="F26" s="322"/>
      <c r="G26" s="323"/>
      <c r="H26" s="333"/>
      <c r="I26" s="322"/>
      <c r="J26" s="322"/>
      <c r="K26" s="322"/>
      <c r="L26" s="322"/>
      <c r="M26" s="322"/>
      <c r="N26" s="322"/>
      <c r="O26" s="323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30" customHeight="1">
      <c r="A27" s="75" t="s">
        <v>31</v>
      </c>
      <c r="B27" s="76" t="str">
        <f>BASE!K34</f>
        <v>-</v>
      </c>
      <c r="C27" s="76" t="str">
        <f>BASE!K49</f>
        <v>-</v>
      </c>
      <c r="D27" s="77" t="str">
        <f t="shared" si="0"/>
        <v>-</v>
      </c>
      <c r="E27" s="333"/>
      <c r="F27" s="322"/>
      <c r="G27" s="323"/>
      <c r="H27" s="333"/>
      <c r="I27" s="322"/>
      <c r="J27" s="322"/>
      <c r="K27" s="322"/>
      <c r="L27" s="322"/>
      <c r="M27" s="322"/>
      <c r="N27" s="322"/>
      <c r="O27" s="323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30" customHeight="1">
      <c r="A28" s="75" t="s">
        <v>32</v>
      </c>
      <c r="B28" s="76" t="str">
        <f>BASE!L34</f>
        <v>-</v>
      </c>
      <c r="C28" s="76" t="str">
        <f>BASE!L49</f>
        <v>-</v>
      </c>
      <c r="D28" s="77" t="str">
        <f t="shared" si="0"/>
        <v>-</v>
      </c>
      <c r="E28" s="333"/>
      <c r="F28" s="322"/>
      <c r="G28" s="323"/>
      <c r="H28" s="333"/>
      <c r="I28" s="322"/>
      <c r="J28" s="322"/>
      <c r="K28" s="322"/>
      <c r="L28" s="322"/>
      <c r="M28" s="322"/>
      <c r="N28" s="322"/>
      <c r="O28" s="323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30" customHeight="1">
      <c r="A29" s="75" t="s">
        <v>33</v>
      </c>
      <c r="B29" s="76" t="str">
        <f>BASE!M34</f>
        <v>-</v>
      </c>
      <c r="C29" s="76" t="str">
        <f>BASE!M49</f>
        <v>-</v>
      </c>
      <c r="D29" s="77" t="str">
        <f t="shared" si="0"/>
        <v>-</v>
      </c>
      <c r="E29" s="333"/>
      <c r="F29" s="322"/>
      <c r="G29" s="323"/>
      <c r="H29" s="333"/>
      <c r="I29" s="322"/>
      <c r="J29" s="322"/>
      <c r="K29" s="322"/>
      <c r="L29" s="322"/>
      <c r="M29" s="322"/>
      <c r="N29" s="322"/>
      <c r="O29" s="323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30" customHeight="1">
      <c r="A30" s="75" t="s">
        <v>34</v>
      </c>
      <c r="B30" s="76" t="str">
        <f>BASE!N34</f>
        <v>-</v>
      </c>
      <c r="C30" s="76" t="str">
        <f>BASE!N49</f>
        <v>-</v>
      </c>
      <c r="D30" s="77" t="str">
        <f t="shared" si="0"/>
        <v>-</v>
      </c>
      <c r="E30" s="333"/>
      <c r="F30" s="322"/>
      <c r="G30" s="323"/>
      <c r="H30" s="333"/>
      <c r="I30" s="322"/>
      <c r="J30" s="322"/>
      <c r="K30" s="322"/>
      <c r="L30" s="322"/>
      <c r="M30" s="322"/>
      <c r="N30" s="322"/>
      <c r="O30" s="323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30" customHeight="1">
      <c r="A31" s="75" t="s">
        <v>35</v>
      </c>
      <c r="B31" s="76" t="str">
        <f>BASE!O34</f>
        <v>-</v>
      </c>
      <c r="C31" s="76" t="str">
        <f>BASE!O49</f>
        <v>-</v>
      </c>
      <c r="D31" s="77" t="str">
        <f t="shared" si="0"/>
        <v>-</v>
      </c>
      <c r="E31" s="333"/>
      <c r="F31" s="322"/>
      <c r="G31" s="323"/>
      <c r="H31" s="333"/>
      <c r="I31" s="322"/>
      <c r="J31" s="322"/>
      <c r="K31" s="322"/>
      <c r="L31" s="322"/>
      <c r="M31" s="322"/>
      <c r="N31" s="322"/>
      <c r="O31" s="323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30" customHeight="1">
      <c r="A32" s="75" t="s">
        <v>36</v>
      </c>
      <c r="B32" s="76" t="str">
        <f>BASE!P34</f>
        <v>-</v>
      </c>
      <c r="C32" s="76" t="str">
        <f>BASE!P49</f>
        <v>-</v>
      </c>
      <c r="D32" s="77" t="str">
        <f t="shared" si="0"/>
        <v>-</v>
      </c>
      <c r="E32" s="333"/>
      <c r="F32" s="322"/>
      <c r="G32" s="323"/>
      <c r="H32" s="333"/>
      <c r="I32" s="322"/>
      <c r="J32" s="322"/>
      <c r="K32" s="322"/>
      <c r="L32" s="322"/>
      <c r="M32" s="322"/>
      <c r="N32" s="322"/>
      <c r="O32" s="323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30" customHeight="1">
      <c r="A33" s="75" t="s">
        <v>37</v>
      </c>
      <c r="B33" s="76" t="str">
        <f>BASE!Q34</f>
        <v>-</v>
      </c>
      <c r="C33" s="76" t="str">
        <f>BASE!Q49</f>
        <v>-</v>
      </c>
      <c r="D33" s="77" t="str">
        <f t="shared" si="0"/>
        <v>-</v>
      </c>
      <c r="E33" s="333"/>
      <c r="F33" s="322"/>
      <c r="G33" s="323"/>
      <c r="H33" s="333"/>
      <c r="I33" s="322"/>
      <c r="J33" s="322"/>
      <c r="K33" s="322"/>
      <c r="L33" s="322"/>
      <c r="M33" s="322"/>
      <c r="N33" s="322"/>
      <c r="O33" s="323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30" customHeight="1">
      <c r="A34" s="75" t="s">
        <v>38</v>
      </c>
      <c r="B34" s="76" t="str">
        <f>BASE!R34</f>
        <v>-</v>
      </c>
      <c r="C34" s="76" t="str">
        <f>BASE!R49</f>
        <v>-</v>
      </c>
      <c r="D34" s="77" t="str">
        <f t="shared" si="0"/>
        <v>-</v>
      </c>
      <c r="E34" s="333"/>
      <c r="F34" s="322"/>
      <c r="G34" s="323"/>
      <c r="H34" s="333"/>
      <c r="I34" s="322"/>
      <c r="J34" s="322"/>
      <c r="K34" s="322"/>
      <c r="L34" s="322"/>
      <c r="M34" s="322"/>
      <c r="N34" s="322"/>
      <c r="O34" s="323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30" customHeight="1">
      <c r="A35" s="75" t="s">
        <v>39</v>
      </c>
      <c r="B35" s="76" t="str">
        <f>BASE!S34</f>
        <v>-</v>
      </c>
      <c r="C35" s="76" t="str">
        <f>BASE!S49</f>
        <v>-</v>
      </c>
      <c r="D35" s="77" t="str">
        <f t="shared" si="0"/>
        <v>-</v>
      </c>
      <c r="E35" s="333"/>
      <c r="F35" s="322"/>
      <c r="G35" s="323"/>
      <c r="H35" s="333"/>
      <c r="I35" s="322"/>
      <c r="J35" s="322"/>
      <c r="K35" s="322"/>
      <c r="L35" s="322"/>
      <c r="M35" s="322"/>
      <c r="N35" s="322"/>
      <c r="O35" s="323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7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7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7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7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7.25" customHeight="1">
      <c r="A40" s="28"/>
      <c r="B40" s="126" t="s">
        <v>123</v>
      </c>
      <c r="C40" s="28"/>
      <c r="D40" s="28"/>
      <c r="E40" s="28" t="s">
        <v>124</v>
      </c>
      <c r="F40" s="28"/>
      <c r="G40" s="28"/>
      <c r="H40" s="28"/>
      <c r="I40" s="28" t="s">
        <v>1012</v>
      </c>
      <c r="J40" s="28"/>
      <c r="K40" s="28"/>
      <c r="L40" s="28"/>
      <c r="M40" s="28" t="s">
        <v>122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7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7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7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7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7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7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7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7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7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7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7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7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7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7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7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7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7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7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7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7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7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7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7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7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7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7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7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7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7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7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7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7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7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7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7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7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7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7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7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7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7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7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7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7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7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7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7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7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7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7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7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7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7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7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7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7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7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7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7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7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7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7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7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7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7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7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7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7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7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7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7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7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7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7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7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7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7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7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7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7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7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7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7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7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7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7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7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7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7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7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7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7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7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7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7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7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7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7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7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7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7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7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7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7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7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7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7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7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7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7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7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7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7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7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7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7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7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7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7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7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7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7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7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7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7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7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7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7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7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7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7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7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7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7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7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7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7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7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7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7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7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7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7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7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7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7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7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7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7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7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7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7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7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7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7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7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7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7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7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7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7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7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7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7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7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7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7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7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7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7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7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7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7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7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7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7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7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7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7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7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7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7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7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7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7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7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7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7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7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7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7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7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7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7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28" sheet="1" objects="1" scenarios="1" selectLockedCells="1"/>
  <protectedRanges>
    <protectedRange sqref="S15 A1:O6 A8:O8 A10:O12 A20:D35" name="Range2"/>
    <protectedRange sqref="S15 A1:O6 A8:O8 A10:O12 A20:D35" name="Range1"/>
  </protectedRanges>
  <mergeCells count="52">
    <mergeCell ref="E22:G22"/>
    <mergeCell ref="E30:G30"/>
    <mergeCell ref="H30:O30"/>
    <mergeCell ref="H31:O31"/>
    <mergeCell ref="H32:O32"/>
    <mergeCell ref="E28:G28"/>
    <mergeCell ref="E29:G29"/>
    <mergeCell ref="E23:G23"/>
    <mergeCell ref="E24:G24"/>
    <mergeCell ref="E25:G25"/>
    <mergeCell ref="E26:G26"/>
    <mergeCell ref="E27:G27"/>
    <mergeCell ref="E31:G31"/>
    <mergeCell ref="E32:G32"/>
    <mergeCell ref="H27:O27"/>
    <mergeCell ref="H22:O22"/>
    <mergeCell ref="A14:D18"/>
    <mergeCell ref="E14:O18"/>
    <mergeCell ref="A19:O19"/>
    <mergeCell ref="A20:A21"/>
    <mergeCell ref="B20:B21"/>
    <mergeCell ref="C20:C21"/>
    <mergeCell ref="D20:D21"/>
    <mergeCell ref="E20:G21"/>
    <mergeCell ref="H20:O21"/>
    <mergeCell ref="A1:O1"/>
    <mergeCell ref="A7:O7"/>
    <mergeCell ref="A8:O8"/>
    <mergeCell ref="D10:F10"/>
    <mergeCell ref="G10:I10"/>
    <mergeCell ref="J10:L10"/>
    <mergeCell ref="M10:O10"/>
    <mergeCell ref="G11:O11"/>
    <mergeCell ref="A10:C10"/>
    <mergeCell ref="A11:C11"/>
    <mergeCell ref="D11:F11"/>
    <mergeCell ref="A12:C12"/>
    <mergeCell ref="D12:G12"/>
    <mergeCell ref="H12:K12"/>
    <mergeCell ref="L12:O12"/>
    <mergeCell ref="E34:G34"/>
    <mergeCell ref="E35:G35"/>
    <mergeCell ref="H28:O28"/>
    <mergeCell ref="H29:O29"/>
    <mergeCell ref="H33:O33"/>
    <mergeCell ref="H34:O34"/>
    <mergeCell ref="H35:O35"/>
    <mergeCell ref="H23:O23"/>
    <mergeCell ref="H24:O24"/>
    <mergeCell ref="H25:O25"/>
    <mergeCell ref="H26:O26"/>
    <mergeCell ref="E33:G33"/>
  </mergeCells>
  <printOptions horizontalCentered="1"/>
  <pageMargins left="0.45" right="0.45" top="0.5" bottom="0.5" header="0" footer="0"/>
  <pageSetup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Target</vt:lpstr>
      <vt:lpstr>BASE</vt:lpstr>
      <vt:lpstr>CAT-1</vt:lpstr>
      <vt:lpstr>CAT- 2</vt:lpstr>
      <vt:lpstr>CAT-3</vt:lpstr>
      <vt:lpstr>Tut-Ass-OA</vt:lpstr>
      <vt:lpstr>LAB Asseement</vt:lpstr>
      <vt:lpstr>Internal CO</vt:lpstr>
      <vt:lpstr>ESE</vt:lpstr>
      <vt:lpstr>ESE CO</vt:lpstr>
      <vt:lpstr>Course Ass report</vt:lpstr>
      <vt:lpstr>'Course Ass report'!Z_56799CC1_F484_4137_8B81_ABA0C19A048B_.wvu.PrintArea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IQAC</cp:lastModifiedBy>
  <cp:lastPrinted>2024-09-30T11:20:40Z</cp:lastPrinted>
  <dcterms:created xsi:type="dcterms:W3CDTF">2018-03-07T04:31:46Z</dcterms:created>
  <dcterms:modified xsi:type="dcterms:W3CDTF">2026-02-16T10:17:29Z</dcterms:modified>
</cp:coreProperties>
</file>