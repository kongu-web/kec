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get" sheetId="1" r:id="rId4"/>
    <sheet state="visible" name="BASE" sheetId="2" r:id="rId5"/>
    <sheet state="visible" name="exp marks" sheetId="3" r:id="rId6"/>
    <sheet state="visible" name="Internal CO" sheetId="4" r:id="rId7"/>
    <sheet state="visible" name="ESE" sheetId="5" r:id="rId8"/>
    <sheet state="visible" name="ESE CO" sheetId="6" r:id="rId9"/>
    <sheet state="visible" name="Course Ass report" sheetId="7" r:id="rId10"/>
  </sheets>
  <externalReferences>
    <externalReference r:id="rId11"/>
  </externalReferences>
  <definedNames>
    <definedName localSheetId="6" name="Z_56799CC1_F484_4137_8B81_ABA0C19A048B_.wvu.PrintArea">'Course Ass report'!$A$7:$O$36</definedName>
  </definedNames>
  <calcPr/>
</workbook>
</file>

<file path=xl/sharedStrings.xml><?xml version="1.0" encoding="utf-8"?>
<sst xmlns="http://schemas.openxmlformats.org/spreadsheetml/2006/main" count="2549" uniqueCount="613">
  <si>
    <t>KONGU ENGINEERING COLLEGE, ERODE - 638 060</t>
  </si>
  <si>
    <t>THEORY CUM LABORATORY COURSE OUTCOME ANALYSIS - TARGET FIXING</t>
  </si>
  <si>
    <t>S.NO</t>
  </si>
  <si>
    <t>(X-2) SEM</t>
  </si>
  <si>
    <t>(X-1) SEM</t>
  </si>
  <si>
    <t>A Sec</t>
  </si>
  <si>
    <t>B sec</t>
  </si>
  <si>
    <t>C Sec</t>
  </si>
  <si>
    <t xml:space="preserve">D Sec </t>
  </si>
  <si>
    <t>E Sec</t>
  </si>
  <si>
    <t xml:space="preserve">F Sec </t>
  </si>
  <si>
    <t>Mean of individual class GPA(a.)</t>
  </si>
  <si>
    <t xml:space="preserve">Total No. of successful students (b.)                                                                       
</t>
  </si>
  <si>
    <t>Total No. of students appeared in the examination (c.)</t>
  </si>
  <si>
    <t>Academic Performance Index  (d.)</t>
  </si>
  <si>
    <t>Total No. of students above API (e.)</t>
  </si>
  <si>
    <t>Percentage of Equal and above API for individual class (f.)</t>
  </si>
  <si>
    <t>Toatl Average of ALL sections</t>
  </si>
  <si>
    <t>Semester (X-2)</t>
  </si>
  <si>
    <t>Semester (X-1)</t>
  </si>
  <si>
    <t>Avg of previous two semester</t>
  </si>
  <si>
    <t>LABORATORY COURSE OUTCOME ANALYSIS</t>
  </si>
  <si>
    <t>Name of Faculty(s)</t>
  </si>
  <si>
    <t>a</t>
  </si>
  <si>
    <t>b</t>
  </si>
  <si>
    <t>c</t>
  </si>
  <si>
    <t>d</t>
  </si>
  <si>
    <t>BATCH</t>
  </si>
  <si>
    <t>Course Code and Name</t>
  </si>
  <si>
    <t>XXXXXXXX XXXXX XXXXXXXX</t>
  </si>
  <si>
    <t>2T+1P</t>
  </si>
  <si>
    <t>Branch / Year / Semester</t>
  </si>
  <si>
    <t>abcd</t>
  </si>
  <si>
    <t>II</t>
  </si>
  <si>
    <t>IV</t>
  </si>
  <si>
    <t>3T+1P</t>
  </si>
  <si>
    <t>3.5T+0.5P</t>
  </si>
  <si>
    <t>S.No</t>
  </si>
  <si>
    <t xml:space="preserve">Roll No. of Students </t>
  </si>
  <si>
    <t>Name of the student</t>
  </si>
  <si>
    <t>Target Plan</t>
  </si>
  <si>
    <t>21FTR001</t>
  </si>
  <si>
    <t xml:space="preserve">Percentage of Marks Expected : </t>
  </si>
  <si>
    <t>Average Marks of Each CO</t>
  </si>
  <si>
    <t>Calculated Target</t>
  </si>
  <si>
    <t>TARGET</t>
  </si>
  <si>
    <t>21FTR002</t>
  </si>
  <si>
    <t>21FTR003</t>
  </si>
  <si>
    <t xml:space="preserve">Percentage of Students Expected to attain Expected Marks: </t>
  </si>
  <si>
    <t>Percentage of students secured average API and above( Previous 2 semester average)</t>
  </si>
  <si>
    <t>21FTR004</t>
  </si>
  <si>
    <t>21FTR005</t>
  </si>
  <si>
    <t>21FTR006</t>
  </si>
  <si>
    <t>21FTR007</t>
  </si>
  <si>
    <t>Total No of Students enrolled in the course:</t>
  </si>
  <si>
    <t xml:space="preserve">Number  of Students Expected to attain Expected Marks: </t>
  </si>
  <si>
    <t>21FTR008</t>
  </si>
  <si>
    <t>21FTR009</t>
  </si>
  <si>
    <t>21FTR010</t>
  </si>
  <si>
    <t>21FTR011</t>
  </si>
  <si>
    <t>Course Articulation Matrix</t>
  </si>
  <si>
    <t>21FTR012</t>
  </si>
  <si>
    <t>COs/POs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</si>
  <si>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</si>
  <si>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</si>
  <si>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</si>
  <si>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</si>
  <si>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</si>
  <si>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</si>
  <si>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</si>
  <si>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</si>
  <si>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</si>
  <si>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</si>
  <si>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</si>
  <si>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</si>
  <si>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PSO1</t>
  </si>
  <si>
    <t>PSO2</t>
  </si>
  <si>
    <t>21FTR013</t>
  </si>
  <si>
    <t>21FTR014</t>
  </si>
  <si>
    <t>21FTR015</t>
  </si>
  <si>
    <t>21FTR016</t>
  </si>
  <si>
    <t>21FTR017</t>
  </si>
  <si>
    <t>21FTR018</t>
  </si>
  <si>
    <t>21FTR019</t>
  </si>
  <si>
    <t>Avg</t>
  </si>
  <si>
    <t xml:space="preserve"> </t>
  </si>
  <si>
    <t>21FTR020</t>
  </si>
  <si>
    <t>21FTR021</t>
  </si>
  <si>
    <t>CO ATTAINMENT:</t>
  </si>
  <si>
    <t>21FTR022</t>
  </si>
  <si>
    <t>Course Outcomes</t>
  </si>
  <si>
    <t>CO-1</t>
  </si>
  <si>
    <t>CO-2</t>
  </si>
  <si>
    <t>CO-3</t>
  </si>
  <si>
    <t>21FTR023</t>
  </si>
  <si>
    <t>Continuous Assessment Based Analysis (%)</t>
  </si>
  <si>
    <t>21FTR024</t>
  </si>
  <si>
    <t>End Semester Exam Based Analysis (%)</t>
  </si>
  <si>
    <t>21FTR025</t>
  </si>
  <si>
    <t xml:space="preserve">Overall Attainment </t>
  </si>
  <si>
    <t>21FTR026</t>
  </si>
  <si>
    <t>21FTR027</t>
  </si>
  <si>
    <t>PO ATTAINMENT</t>
  </si>
  <si>
    <t>21FTR028</t>
  </si>
  <si>
    <t>21FTR029</t>
  </si>
  <si>
    <t>21FTR030</t>
  </si>
  <si>
    <t>21FTR031</t>
  </si>
  <si>
    <t>21FTR032</t>
  </si>
  <si>
    <t>21FTR033</t>
  </si>
  <si>
    <t>21FTR034</t>
  </si>
  <si>
    <t>21FTR035</t>
  </si>
  <si>
    <t>21FTR036</t>
  </si>
  <si>
    <t>21FTR037</t>
  </si>
  <si>
    <t>21FTR038</t>
  </si>
  <si>
    <t>21FTR039</t>
  </si>
  <si>
    <t>21FTR040</t>
  </si>
  <si>
    <t>21FTR041</t>
  </si>
  <si>
    <t>21FTR042</t>
  </si>
  <si>
    <t>21FTR043</t>
  </si>
  <si>
    <t>21FTR044</t>
  </si>
  <si>
    <t>21FTR045</t>
  </si>
  <si>
    <t>21FTR046</t>
  </si>
  <si>
    <t>:</t>
  </si>
  <si>
    <t>Course Code</t>
  </si>
  <si>
    <t>Course Name</t>
  </si>
  <si>
    <t>Total No. of Students</t>
  </si>
  <si>
    <t>Max marks</t>
  </si>
  <si>
    <t xml:space="preserve">Roll No </t>
  </si>
  <si>
    <t>Q. Nos</t>
  </si>
  <si>
    <t>TOT MARKS</t>
  </si>
  <si>
    <t>CO1</t>
  </si>
  <si>
    <t>CO2</t>
  </si>
  <si>
    <t>CO3</t>
  </si>
  <si>
    <t>Max Marks</t>
  </si>
  <si>
    <t>COs</t>
  </si>
  <si>
    <t xml:space="preserve">Total No of Students </t>
  </si>
  <si>
    <t>Percentage of Students Expected</t>
  </si>
  <si>
    <t>CO - 1</t>
  </si>
  <si>
    <t>CO - 2</t>
  </si>
  <si>
    <t>CO - 3</t>
  </si>
  <si>
    <t>Maximum Marks/ Grade Evaluated</t>
  </si>
  <si>
    <t xml:space="preserve">Roll No of Students </t>
  </si>
  <si>
    <t>Expected Marks</t>
  </si>
  <si>
    <t>No of Students obtained                        Expected Marks</t>
  </si>
  <si>
    <t>Percentage of CO / ESE Attainment</t>
  </si>
  <si>
    <t>Date</t>
  </si>
  <si>
    <t>End semester Examination</t>
  </si>
  <si>
    <t>ESE</t>
  </si>
  <si>
    <t>End Semester Examination</t>
  </si>
  <si>
    <t xml:space="preserve">Total 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</si>
  <si>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</si>
  <si>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</si>
  <si>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</si>
  <si>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</si>
  <si>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</si>
  <si>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</si>
  <si>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</si>
  <si>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</si>
  <si>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</si>
  <si>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</si>
  <si>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</si>
  <si>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</si>
  <si>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</si>
  <si>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</si>
  <si>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</si>
  <si>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</si>
  <si>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</si>
  <si>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</si>
  <si>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</si>
  <si>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</si>
  <si>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Student 21</t>
  </si>
  <si>
    <t>Student 22</t>
  </si>
  <si>
    <t>Student 23</t>
  </si>
  <si>
    <t>Student 24</t>
  </si>
  <si>
    <t>Student 25</t>
  </si>
  <si>
    <t>Student 26</t>
  </si>
  <si>
    <t>Student 27</t>
  </si>
  <si>
    <t>Student 28</t>
  </si>
  <si>
    <t>Student 29</t>
  </si>
  <si>
    <t>Student 30</t>
  </si>
  <si>
    <t>Student 31</t>
  </si>
  <si>
    <t>Student 32</t>
  </si>
  <si>
    <t>Student 33</t>
  </si>
  <si>
    <t>Student 34</t>
  </si>
  <si>
    <t>Student 35</t>
  </si>
  <si>
    <t>Student 36</t>
  </si>
  <si>
    <t>Student 37</t>
  </si>
  <si>
    <t>Student 38</t>
  </si>
  <si>
    <t>Student 39</t>
  </si>
  <si>
    <t>Student 40</t>
  </si>
  <si>
    <t>Student 41</t>
  </si>
  <si>
    <t>Student 42</t>
  </si>
  <si>
    <t>Student 43</t>
  </si>
  <si>
    <t>Student 44</t>
  </si>
  <si>
    <t>Student 45</t>
  </si>
  <si>
    <t>Student 46</t>
  </si>
  <si>
    <t>Maxmum Marks/ Grade Evaluated</t>
  </si>
  <si>
    <t>Student 47</t>
  </si>
  <si>
    <t>Student 48</t>
  </si>
  <si>
    <t>Student 49</t>
  </si>
  <si>
    <t>Student 50</t>
  </si>
  <si>
    <t>Student 51</t>
  </si>
  <si>
    <t>Student 52</t>
  </si>
  <si>
    <t>Student 53</t>
  </si>
  <si>
    <t>Student 54</t>
  </si>
  <si>
    <t>Student 55</t>
  </si>
  <si>
    <t>Student 56</t>
  </si>
  <si>
    <t>Student 57</t>
  </si>
  <si>
    <t>Student 58</t>
  </si>
  <si>
    <t>Student 59</t>
  </si>
  <si>
    <t>Student 60</t>
  </si>
  <si>
    <t>Student 61</t>
  </si>
  <si>
    <t>Student 62</t>
  </si>
  <si>
    <t>Student 63</t>
  </si>
  <si>
    <t>Student 64</t>
  </si>
  <si>
    <t>Student 65</t>
  </si>
  <si>
    <t>Student 66</t>
  </si>
  <si>
    <t>Student 67</t>
  </si>
  <si>
    <t>Student 68</t>
  </si>
  <si>
    <t>Student 69</t>
  </si>
  <si>
    <t>Student 70</t>
  </si>
  <si>
    <t>Student 71</t>
  </si>
  <si>
    <t>Student 72</t>
  </si>
  <si>
    <t>Student 73</t>
  </si>
  <si>
    <t>Student 74</t>
  </si>
  <si>
    <t>Student 75</t>
  </si>
  <si>
    <t>Student 76</t>
  </si>
  <si>
    <t>Student 77</t>
  </si>
  <si>
    <t>Student 78</t>
  </si>
  <si>
    <t>Student 79</t>
  </si>
  <si>
    <t>Student 80</t>
  </si>
  <si>
    <t>Student 81</t>
  </si>
  <si>
    <t>Student 82</t>
  </si>
  <si>
    <t>Student 83</t>
  </si>
  <si>
    <t>Student 84</t>
  </si>
  <si>
    <t>Student 85</t>
  </si>
  <si>
    <t>Student 86</t>
  </si>
  <si>
    <t>Student 87</t>
  </si>
  <si>
    <t>Student 88</t>
  </si>
  <si>
    <t>Student 89</t>
  </si>
  <si>
    <t>Student 90</t>
  </si>
  <si>
    <t>Student 91</t>
  </si>
  <si>
    <t>Student 92</t>
  </si>
  <si>
    <t>Student 93</t>
  </si>
  <si>
    <t>Student 94</t>
  </si>
  <si>
    <t>Student 95</t>
  </si>
  <si>
    <t>Student 96</t>
  </si>
  <si>
    <t>Student 97</t>
  </si>
  <si>
    <t>Student 98</t>
  </si>
  <si>
    <t>Student 99</t>
  </si>
  <si>
    <t>Student 100</t>
  </si>
  <si>
    <t>Student 101</t>
  </si>
  <si>
    <t>Student 102</t>
  </si>
  <si>
    <t>Student 103</t>
  </si>
  <si>
    <t>Student 104</t>
  </si>
  <si>
    <t>Student 105</t>
  </si>
  <si>
    <t>Student 106</t>
  </si>
  <si>
    <t>Student 107</t>
  </si>
  <si>
    <t>Student 108</t>
  </si>
  <si>
    <t>Student 109</t>
  </si>
  <si>
    <t>Student 110</t>
  </si>
  <si>
    <t>Student 111</t>
  </si>
  <si>
    <t>Student 112</t>
  </si>
  <si>
    <t>Student 113</t>
  </si>
  <si>
    <t>Student 114</t>
  </si>
  <si>
    <t>Student 115</t>
  </si>
  <si>
    <t>Student 116</t>
  </si>
  <si>
    <t>Student 117</t>
  </si>
  <si>
    <t>Student 118</t>
  </si>
  <si>
    <t>Student 119</t>
  </si>
  <si>
    <t>Student 120</t>
  </si>
  <si>
    <t>Student 121</t>
  </si>
  <si>
    <t>Student 122</t>
  </si>
  <si>
    <t>Student 123</t>
  </si>
  <si>
    <t>Student 124</t>
  </si>
  <si>
    <t>Student 125</t>
  </si>
  <si>
    <t>Student 126</t>
  </si>
  <si>
    <t>Student 127</t>
  </si>
  <si>
    <t>Student 128</t>
  </si>
  <si>
    <t>Student 129</t>
  </si>
  <si>
    <t>Student 130</t>
  </si>
  <si>
    <t>Student 131</t>
  </si>
  <si>
    <t>Student 132</t>
  </si>
  <si>
    <t>Student 133</t>
  </si>
  <si>
    <t>Student 134</t>
  </si>
  <si>
    <t>Student 135</t>
  </si>
  <si>
    <t>Student 136</t>
  </si>
  <si>
    <t>Student 137</t>
  </si>
  <si>
    <t>Student 138</t>
  </si>
  <si>
    <t>Student 139</t>
  </si>
  <si>
    <t>Student 140</t>
  </si>
  <si>
    <t>Student 141</t>
  </si>
  <si>
    <t>Student 142</t>
  </si>
  <si>
    <t>Student 143</t>
  </si>
  <si>
    <t>Student 144</t>
  </si>
  <si>
    <t>Student 145</t>
  </si>
  <si>
    <t>Student 146</t>
  </si>
  <si>
    <t>Student 147</t>
  </si>
  <si>
    <t>Student 148</t>
  </si>
  <si>
    <t>Student 149</t>
  </si>
  <si>
    <t>Student 150</t>
  </si>
  <si>
    <t>Student 151</t>
  </si>
  <si>
    <t>Student 152</t>
  </si>
  <si>
    <t>Student 153</t>
  </si>
  <si>
    <t>Student 154</t>
  </si>
  <si>
    <t>Student 155</t>
  </si>
  <si>
    <t>Student 156</t>
  </si>
  <si>
    <t>Student 157</t>
  </si>
  <si>
    <t>Student 158</t>
  </si>
  <si>
    <t>Student 159</t>
  </si>
  <si>
    <t>Student 160</t>
  </si>
  <si>
    <t>Student 161</t>
  </si>
  <si>
    <t>Student 162</t>
  </si>
  <si>
    <t>Student 163</t>
  </si>
  <si>
    <t>Student 164</t>
  </si>
  <si>
    <t>Student 165</t>
  </si>
  <si>
    <t>Student 166</t>
  </si>
  <si>
    <t>Student 167</t>
  </si>
  <si>
    <t>Student 168</t>
  </si>
  <si>
    <t>Student 169</t>
  </si>
  <si>
    <t>Student 170</t>
  </si>
  <si>
    <t>Student 171</t>
  </si>
  <si>
    <t>Student 172</t>
  </si>
  <si>
    <t>Student 173</t>
  </si>
  <si>
    <t>Student 174</t>
  </si>
  <si>
    <t>Student 175</t>
  </si>
  <si>
    <t>Student 176</t>
  </si>
  <si>
    <t>Student 177</t>
  </si>
  <si>
    <t>Student 178</t>
  </si>
  <si>
    <t>Student 179</t>
  </si>
  <si>
    <t>Student 180</t>
  </si>
  <si>
    <t>Student 181</t>
  </si>
  <si>
    <t>Student 182</t>
  </si>
  <si>
    <t>Student 183</t>
  </si>
  <si>
    <t>Student 184</t>
  </si>
  <si>
    <t>Student 185</t>
  </si>
  <si>
    <t>Student 186</t>
  </si>
  <si>
    <t>Student 187</t>
  </si>
  <si>
    <t>Student 188</t>
  </si>
  <si>
    <t>Student 189</t>
  </si>
  <si>
    <t>Student 190</t>
  </si>
  <si>
    <t>Student 191</t>
  </si>
  <si>
    <t>Student 192</t>
  </si>
  <si>
    <t>Student 193</t>
  </si>
  <si>
    <t>Student 194</t>
  </si>
  <si>
    <t>Student 195</t>
  </si>
  <si>
    <t>Student 196</t>
  </si>
  <si>
    <t>Student 197</t>
  </si>
  <si>
    <t>Student 198</t>
  </si>
  <si>
    <t>Student 199</t>
  </si>
  <si>
    <t>Student 200</t>
  </si>
  <si>
    <t>Student 201</t>
  </si>
  <si>
    <t>Student 202</t>
  </si>
  <si>
    <t>Student 203</t>
  </si>
  <si>
    <t>Student 204</t>
  </si>
  <si>
    <t>Student 205</t>
  </si>
  <si>
    <t>Student 206</t>
  </si>
  <si>
    <t>Student 207</t>
  </si>
  <si>
    <t>Student 208</t>
  </si>
  <si>
    <t>Student 209</t>
  </si>
  <si>
    <t>Student 210</t>
  </si>
  <si>
    <t>Student 211</t>
  </si>
  <si>
    <t>Student 212</t>
  </si>
  <si>
    <t>Student 213</t>
  </si>
  <si>
    <t>Student 214</t>
  </si>
  <si>
    <t>Student 215</t>
  </si>
  <si>
    <t>Student 216</t>
  </si>
  <si>
    <t>Student 217</t>
  </si>
  <si>
    <t>Student 218</t>
  </si>
  <si>
    <t>Student 219</t>
  </si>
  <si>
    <t>Student 220</t>
  </si>
  <si>
    <t>Student 221</t>
  </si>
  <si>
    <t>Student 222</t>
  </si>
  <si>
    <t>Student 223</t>
  </si>
  <si>
    <t>Student 224</t>
  </si>
  <si>
    <t>Student 225</t>
  </si>
  <si>
    <t>Student 226</t>
  </si>
  <si>
    <t>Student 227</t>
  </si>
  <si>
    <t>Student 228</t>
  </si>
  <si>
    <t>Student 229</t>
  </si>
  <si>
    <t>Student 230</t>
  </si>
  <si>
    <t>Student 231</t>
  </si>
  <si>
    <t>Student 232</t>
  </si>
  <si>
    <t>Student 233</t>
  </si>
  <si>
    <t>Student 234</t>
  </si>
  <si>
    <t>Student 235</t>
  </si>
  <si>
    <t>Student 236</t>
  </si>
  <si>
    <t>Student 237</t>
  </si>
  <si>
    <t>Student 238</t>
  </si>
  <si>
    <t>Student 239</t>
  </si>
  <si>
    <t>Student 240</t>
  </si>
  <si>
    <t>Student 241</t>
  </si>
  <si>
    <t>Student 242</t>
  </si>
  <si>
    <t>Student 243</t>
  </si>
  <si>
    <t>Student 244</t>
  </si>
  <si>
    <t>Student 245</t>
  </si>
  <si>
    <t>Student 246</t>
  </si>
  <si>
    <t>Student 247</t>
  </si>
  <si>
    <t>Student 248</t>
  </si>
  <si>
    <t>Student 249</t>
  </si>
  <si>
    <t>Student 250</t>
  </si>
  <si>
    <t>Student 251</t>
  </si>
  <si>
    <t>Student 252</t>
  </si>
  <si>
    <t>Student 253</t>
  </si>
  <si>
    <t>Student 254</t>
  </si>
  <si>
    <t>Student 255</t>
  </si>
  <si>
    <t>Student 256</t>
  </si>
  <si>
    <t>Student 257</t>
  </si>
  <si>
    <t>Student 258</t>
  </si>
  <si>
    <t>Student 259</t>
  </si>
  <si>
    <t>Student 260</t>
  </si>
  <si>
    <t>Student 261</t>
  </si>
  <si>
    <t>Student 262</t>
  </si>
  <si>
    <t>Student 263</t>
  </si>
  <si>
    <t>Student 264</t>
  </si>
  <si>
    <t>Student 265</t>
  </si>
  <si>
    <t>Student 266</t>
  </si>
  <si>
    <t>Student 267</t>
  </si>
  <si>
    <t>Student 268</t>
  </si>
  <si>
    <t>Student 269</t>
  </si>
  <si>
    <t>Student 270</t>
  </si>
  <si>
    <t>Student 271</t>
  </si>
  <si>
    <t>Student 272</t>
  </si>
  <si>
    <t>Student 273</t>
  </si>
  <si>
    <t>Student 274</t>
  </si>
  <si>
    <t>Student 275</t>
  </si>
  <si>
    <t>Student 276</t>
  </si>
  <si>
    <t>Student 277</t>
  </si>
  <si>
    <t>Student 278</t>
  </si>
  <si>
    <t>Student 279</t>
  </si>
  <si>
    <t>Student 280</t>
  </si>
  <si>
    <t>Student 281</t>
  </si>
  <si>
    <t>Student 282</t>
  </si>
  <si>
    <t>Student 283</t>
  </si>
  <si>
    <t>Student 284</t>
  </si>
  <si>
    <t>Student 285</t>
  </si>
  <si>
    <t>Student 286</t>
  </si>
  <si>
    <t>Student 287</t>
  </si>
  <si>
    <t>Student 288</t>
  </si>
  <si>
    <t>Student 289</t>
  </si>
  <si>
    <t>Student 290</t>
  </si>
  <si>
    <t>Student 291</t>
  </si>
  <si>
    <t>Student 292</t>
  </si>
  <si>
    <t>Student 293</t>
  </si>
  <si>
    <t>Student 294</t>
  </si>
  <si>
    <t>Student 295</t>
  </si>
  <si>
    <t>Student 296</t>
  </si>
  <si>
    <t>Student 297</t>
  </si>
  <si>
    <t>Student 298</t>
  </si>
  <si>
    <t>Student 299</t>
  </si>
  <si>
    <t>Student 300</t>
  </si>
  <si>
    <t>Student 301</t>
  </si>
  <si>
    <t>Student 302</t>
  </si>
  <si>
    <t>Student 303</t>
  </si>
  <si>
    <t>Student 304</t>
  </si>
  <si>
    <t>Student 305</t>
  </si>
  <si>
    <t>Student 306</t>
  </si>
  <si>
    <t>Student 307</t>
  </si>
  <si>
    <t>Student 308</t>
  </si>
  <si>
    <t>Student 309</t>
  </si>
  <si>
    <t>Student 310</t>
  </si>
  <si>
    <t>Student 311</t>
  </si>
  <si>
    <t>Student 312</t>
  </si>
  <si>
    <t>Student 313</t>
  </si>
  <si>
    <t>Student 314</t>
  </si>
  <si>
    <t>Student 315</t>
  </si>
  <si>
    <t>Student 316</t>
  </si>
  <si>
    <t>Student 317</t>
  </si>
  <si>
    <t>Student 318</t>
  </si>
  <si>
    <t>Student 319</t>
  </si>
  <si>
    <t>Student 320</t>
  </si>
  <si>
    <t>Student 321</t>
  </si>
  <si>
    <t>Student 322</t>
  </si>
  <si>
    <t>Student 323</t>
  </si>
  <si>
    <t>Student 324</t>
  </si>
  <si>
    <t>Student 325</t>
  </si>
  <si>
    <t>Student 326</t>
  </si>
  <si>
    <t>Student 327</t>
  </si>
  <si>
    <t>Student 328</t>
  </si>
  <si>
    <t>Student 329</t>
  </si>
  <si>
    <t>Student 330</t>
  </si>
  <si>
    <t>Student 331</t>
  </si>
  <si>
    <t>Student 332</t>
  </si>
  <si>
    <t>Student 333</t>
  </si>
  <si>
    <t>Student 334</t>
  </si>
  <si>
    <t>Student 335</t>
  </si>
  <si>
    <t>Student 336</t>
  </si>
  <si>
    <t>Student 337</t>
  </si>
  <si>
    <t>Student 338</t>
  </si>
  <si>
    <t>Student 339</t>
  </si>
  <si>
    <t>Student 340</t>
  </si>
  <si>
    <t>Student 341</t>
  </si>
  <si>
    <t>Student 342</t>
  </si>
  <si>
    <t>Student 343</t>
  </si>
  <si>
    <t>Student 344</t>
  </si>
  <si>
    <t>Student 345</t>
  </si>
  <si>
    <t>Student 346</t>
  </si>
  <si>
    <t>Student 347</t>
  </si>
  <si>
    <t>Student 348</t>
  </si>
  <si>
    <t>Student 349</t>
  </si>
  <si>
    <t>Student 350</t>
  </si>
  <si>
    <t>Student 351</t>
  </si>
  <si>
    <t>Student 352</t>
  </si>
  <si>
    <t>Student 353</t>
  </si>
  <si>
    <t>Student 354</t>
  </si>
  <si>
    <t>Student 355</t>
  </si>
  <si>
    <t>Student 356</t>
  </si>
  <si>
    <t>Student 357</t>
  </si>
  <si>
    <t>Student 358</t>
  </si>
  <si>
    <t>Student 359</t>
  </si>
  <si>
    <t>Student 360</t>
  </si>
  <si>
    <t>Student 361</t>
  </si>
  <si>
    <t>Student 362</t>
  </si>
  <si>
    <t>Student 363</t>
  </si>
  <si>
    <t>Student 364</t>
  </si>
  <si>
    <t>Student 365</t>
  </si>
  <si>
    <t>Student 366</t>
  </si>
  <si>
    <t>Student 367</t>
  </si>
  <si>
    <t>Student 368</t>
  </si>
  <si>
    <t>Student 369</t>
  </si>
  <si>
    <t>Student 370</t>
  </si>
  <si>
    <t>Student 371</t>
  </si>
  <si>
    <t>Student 372</t>
  </si>
  <si>
    <t>Student 373</t>
  </si>
  <si>
    <t>Student 374</t>
  </si>
  <si>
    <t>Student 375</t>
  </si>
  <si>
    <t>Student 376</t>
  </si>
  <si>
    <t>Student 377</t>
  </si>
  <si>
    <t>Student 378</t>
  </si>
  <si>
    <t>Student 379</t>
  </si>
  <si>
    <t>Student 380</t>
  </si>
  <si>
    <t>Student 381</t>
  </si>
  <si>
    <t>Student 382</t>
  </si>
  <si>
    <t>Student 383</t>
  </si>
  <si>
    <t>Student 384</t>
  </si>
  <si>
    <t>Student 385</t>
  </si>
  <si>
    <t>Student 386</t>
  </si>
  <si>
    <t>Student 387</t>
  </si>
  <si>
    <t>Student 388</t>
  </si>
  <si>
    <t>Student 389</t>
  </si>
  <si>
    <t>Student 390</t>
  </si>
  <si>
    <t>Student 391</t>
  </si>
  <si>
    <t>Student 392</t>
  </si>
  <si>
    <t>Student 393</t>
  </si>
  <si>
    <t>Student 394</t>
  </si>
  <si>
    <t>Student 395</t>
  </si>
  <si>
    <t>Student 396</t>
  </si>
  <si>
    <t>Student 397</t>
  </si>
  <si>
    <t>Student 398</t>
  </si>
  <si>
    <t>Student 399</t>
  </si>
  <si>
    <t>Student 400</t>
  </si>
  <si>
    <t>Student 401</t>
  </si>
  <si>
    <t>Student 402</t>
  </si>
  <si>
    <t>Student 403</t>
  </si>
  <si>
    <t>Student 404</t>
  </si>
  <si>
    <t>Student 405</t>
  </si>
  <si>
    <t>Student 406</t>
  </si>
  <si>
    <t>Student 407</t>
  </si>
  <si>
    <t>Student 408</t>
  </si>
  <si>
    <t>Student 409</t>
  </si>
  <si>
    <t>Student 410</t>
  </si>
  <si>
    <t>Student 411</t>
  </si>
  <si>
    <t>Student 412</t>
  </si>
  <si>
    <t>Student 413</t>
  </si>
  <si>
    <t>Student 414</t>
  </si>
  <si>
    <t>Student 415</t>
  </si>
  <si>
    <t>Student 416</t>
  </si>
  <si>
    <t>Student 417</t>
  </si>
  <si>
    <t>Student 418</t>
  </si>
  <si>
    <t>Student 419</t>
  </si>
  <si>
    <t>Student 420</t>
  </si>
  <si>
    <t>Student 421</t>
  </si>
  <si>
    <t>Student 422</t>
  </si>
  <si>
    <t>Student 423</t>
  </si>
  <si>
    <t>Student 424</t>
  </si>
  <si>
    <t>Student 425</t>
  </si>
  <si>
    <t>Student 426</t>
  </si>
  <si>
    <t>Student 427</t>
  </si>
  <si>
    <t>Student 428</t>
  </si>
  <si>
    <t>Student 429</t>
  </si>
  <si>
    <t>Student 430</t>
  </si>
  <si>
    <t>Student 431</t>
  </si>
  <si>
    <t>Student 432</t>
  </si>
  <si>
    <t>Student 433</t>
  </si>
  <si>
    <t>Student 434</t>
  </si>
  <si>
    <t>Student 435</t>
  </si>
  <si>
    <t>Student 436</t>
  </si>
  <si>
    <t>Student 437</t>
  </si>
  <si>
    <t>Student 438</t>
  </si>
  <si>
    <t>Student 439</t>
  </si>
  <si>
    <t>Student 440</t>
  </si>
  <si>
    <t>Student 441</t>
  </si>
  <si>
    <t>Student 442</t>
  </si>
  <si>
    <t>Student 443</t>
  </si>
  <si>
    <t>Student 444</t>
  </si>
  <si>
    <t>Student 445</t>
  </si>
  <si>
    <t>Student 446</t>
  </si>
  <si>
    <t>Student 447</t>
  </si>
  <si>
    <t>Student 448</t>
  </si>
  <si>
    <t>Student 449</t>
  </si>
  <si>
    <t>Student 450</t>
  </si>
  <si>
    <t xml:space="preserve">Impact of delivery methods </t>
  </si>
  <si>
    <r>
      <rPr>
        <rFont val="Palatino Linotype"/>
        <b/>
        <color rgb="FF000000"/>
        <sz val="12.0"/>
      </rPr>
      <t>POs attainment remarks</t>
    </r>
    <r>
      <rPr>
        <rFont val="Palatino Linotype"/>
        <b/>
        <color rgb="FF000000"/>
        <sz val="12.0"/>
      </rPr>
      <t xml:space="preserve"> </t>
    </r>
  </si>
  <si>
    <t>POs</t>
  </si>
  <si>
    <t>Target Level</t>
  </si>
  <si>
    <t>Attainment Level</t>
  </si>
  <si>
    <t xml:space="preserve">% of Attainment </t>
  </si>
  <si>
    <t>Observations</t>
  </si>
  <si>
    <t>Actions for improvement</t>
  </si>
  <si>
    <t>Course Handling faculty</t>
  </si>
  <si>
    <t xml:space="preserve">Course  Coordinator </t>
  </si>
  <si>
    <t xml:space="preserve">Year  Coordinator </t>
  </si>
  <si>
    <t>HoD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</si>
</sst>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 * #,##0.00_ ;_ * \-#,##0.00_ ;_ * &quot;-&quot;??_ ;_ @_ "/>
    <numFmt numFmtId="165" formatCode="_(* #,##0.00_);_(* \(#,##0.00\);_(* &quot;-&quot;??_);_(@_)"/>
    <numFmt numFmtId="166" formatCode="0.0"/>
  </numFmts>
  <fonts count="19">
    <font>
      <sz val="11.0"/>
      <color/>
      <name val="Arial"/>
      <scheme val="minor"/>
    </font>
    <font>
      <b/>
      <sz val="12.0"/>
      <color/>
      <name val="Palatino Linotype"/>
    </font>
    <font/>
    <font>
      <b/>
      <sz val="12.0"/>
      <name val="Palatino Linotype"/>
    </font>
    <font>
      <sz val="12.0"/>
      <color/>
      <name val="Times New Roman"/>
    </font>
    <font>
      <sz val="12.0"/>
      <color rgb="FF000000"/>
      <name val="Times New Roman"/>
    </font>
    <font>
      <sz val="11.0"/>
      <color/>
      <name val="Calibri"/>
    </font>
    <font>
      <sz val="12.0"/>
      <color/>
      <name val="Palatino Linotype"/>
    </font>
    <font>
      <u/>
      <sz val="12.0"/>
      <color/>
      <name val="Palatino Linotype"/>
    </font>
    <font>
      <b/>
      <sz val="11.0"/>
      <color/>
      <name val="Palatino Linotype"/>
    </font>
    <font>
      <sz val="11.0"/>
      <name val="Calibri"/>
    </font>
    <font>
      <b/>
      <sz val="18.0"/>
      <color/>
      <name val="Calibri"/>
    </font>
    <font>
      <b/>
      <sz val="13.0"/>
      <color/>
      <name val="Palatino Linotype"/>
    </font>
    <font>
      <sz val="13.0"/>
      <color/>
      <name val="Palatino Linotype"/>
    </font>
    <font>
      <b/>
      <sz val="12.0"/>
      <color rgb="FF000000"/>
      <name val="Palatino Linotype"/>
    </font>
    <font>
      <b/>
      <sz val="11.0"/>
      <color/>
      <name val="Calibri"/>
    </font>
    <font>
      <sz val="11.0"/>
      <color/>
      <name val="Palatino Linotype"/>
    </font>
    <font>
      <sz val="12.0"/>
      <color rgb="FFFF0000"/>
      <name val="Palatino Linotype"/>
    </font>
    <font>
      <sz val="12.0"/>
      <color rgb="FF000000"/>
      <name val="Palatino Linotype"/>
    </font>
  </fonts>
  <fills count="7">
    <fill>
      <patternFill patternType="none"/>
    </fill>
    <fill>
      <patternFill patternType="lightGray"/>
    </fill>
    <fill>
      <patternFill patternType="solid">
        <fgColor rgb="FFFDFDD9"/>
        <bgColor rgb="FFFDFDD9"/>
      </patternFill>
    </fill>
    <fill>
      <patternFill patternType="solid">
        <fgColor rgb="FFE5DFEC"/>
        <bgColor rgb="FFE5DFEC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7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/>
    </border>
    <border>
      <top/>
    </border>
    <border>
      <right style="thin">
        <color rgb="FF000000"/>
      </right>
      <top/>
    </border>
    <border>
      <right/>
      <top/>
    </border>
    <border>
      <right/>
      <bottom style="thin">
        <color rgb="FF000000"/>
      </bottom>
    </border>
    <border>
      <right/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right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right/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/>
      <right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/>
      <right style="medium">
        <color rgb="FF000000"/>
      </right>
      <top style="medium">
        <color rgb="FF000000"/>
      </top>
    </border>
    <border>
      <left/>
      <top style="medium">
        <color rgb="FF000000"/>
      </top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/>
      <bottom/>
    </border>
    <border>
      <bottom/>
    </border>
    <border>
      <right style="medium">
        <color rgb="FF000000"/>
      </right>
      <bottom/>
    </border>
  </borders>
  <cellStyleXfs count="1">
    <xf borderId="0" fillId="0" fontId="0" numFmtId="0" applyAlignment="1" applyFont="1"/>
  </cellStyleXfs>
  <cellXfs count="2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2" fontId="1" numFmtId="0" xfId="0" applyAlignment="1" applyBorder="1" applyFill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4" fillId="3" fontId="4" numFmtId="0" xfId="0" applyAlignment="1" applyBorder="1" applyFill="1" applyFont="1">
      <alignment horizontal="center" vertical="center"/>
    </xf>
    <xf borderId="1" fillId="3" fontId="4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shrinkToFit="0" vertical="center" wrapText="1"/>
    </xf>
    <xf borderId="4" fillId="2" fontId="5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/>
    </xf>
    <xf borderId="4" fillId="0" fontId="4" numFmtId="0" xfId="0" applyBorder="1" applyFont="1"/>
    <xf borderId="4" fillId="0" fontId="4" numFmtId="0" xfId="0" applyAlignment="1" applyBorder="1" applyFont="1">
      <alignment horizontal="center" shrinkToFit="0" wrapText="1"/>
    </xf>
    <xf borderId="4" fillId="0" fontId="4" numFmtId="2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left" shrinkToFit="0" vertical="center" wrapText="1"/>
    </xf>
    <xf borderId="4" fillId="0" fontId="4" numFmtId="0" xfId="0" applyAlignment="1" applyBorder="1" applyFont="1">
      <alignment horizontal="center" shrinkToFit="0" wrapText="1"/>
    </xf>
    <xf borderId="1" fillId="0" fontId="4" numFmtId="2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/>
    </xf>
    <xf borderId="4" fillId="0" fontId="4" numFmtId="2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0" fontId="4" numFmtId="0" xfId="0" applyBorder="1" applyFont="1"/>
    <xf borderId="4" fillId="0" fontId="4" numFmtId="164" xfId="0" applyBorder="1" applyFont="1" applyNumberFormat="1"/>
    <xf borderId="4" fillId="0" fontId="4" numFmtId="165" xfId="0" applyBorder="1" applyFont="1" applyNumberFormat="1"/>
    <xf borderId="0" fillId="0" fontId="6" numFmtId="0" xfId="0" applyFont="1"/>
    <xf borderId="5" fillId="0" fontId="1" numFmtId="0" xfId="0" applyAlignment="1" applyBorder="1" applyFont="1">
      <alignment horizontal="center"/>
    </xf>
    <xf borderId="6" fillId="0" fontId="2" numFmtId="0" xfId="0" applyBorder="1" applyFont="1"/>
    <xf borderId="7" fillId="0" fontId="2" numFmtId="0" xfId="0" applyBorder="1" applyFont="1"/>
    <xf borderId="8" fillId="0" fontId="7" numFmtId="0" xfId="0" applyBorder="1" applyFont="1"/>
    <xf borderId="8" fillId="0" fontId="1" numFmtId="0" xfId="0" applyBorder="1" applyFont="1"/>
    <xf borderId="8" fillId="0" fontId="8" numFmtId="0" xfId="0" applyBorder="1" applyFont="1"/>
    <xf borderId="8" fillId="0" fontId="7" numFmtId="0" xfId="0" applyAlignment="1" applyBorder="1" applyFont="1">
      <alignment horizontal="center"/>
    </xf>
    <xf borderId="8" fillId="0" fontId="7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vertical="center" wrapText="1"/>
    </xf>
    <xf borderId="9" fillId="0" fontId="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vertical="center"/>
    </xf>
    <xf borderId="8" fillId="0" fontId="10" numFmtId="0" xfId="0" applyBorder="1" applyFont="1"/>
    <xf borderId="5" fillId="0" fontId="1" numFmtId="0" xfId="0" applyAlignment="1" applyBorder="1" applyFont="1">
      <alignment horizontal="center" vertical="center"/>
    </xf>
    <xf borderId="10" fillId="0" fontId="2" numFmtId="0" xfId="0" applyBorder="1" applyFont="1"/>
    <xf borderId="11" fillId="2" fontId="1" numFmtId="0" xfId="0" applyAlignment="1" applyBorder="1" applyFont="1">
      <alignment horizontal="center" vertical="center"/>
    </xf>
    <xf borderId="9" fillId="0" fontId="11" numFmtId="0" xfId="0" applyAlignment="1" applyBorder="1" applyFont="1">
      <alignment horizontal="center" vertical="center"/>
    </xf>
    <xf borderId="12" fillId="0" fontId="2" numFmtId="0" xfId="0" applyBorder="1" applyFont="1"/>
    <xf borderId="13" fillId="0" fontId="2" numFmtId="0" xfId="0" applyBorder="1" applyFont="1"/>
    <xf borderId="8" fillId="0" fontId="11" numFmtId="0" xfId="0" applyAlignment="1" applyBorder="1" applyFont="1">
      <alignment vertical="center"/>
    </xf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4" fillId="0" fontId="1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0" fillId="0" fontId="6" numFmtId="0" xfId="0" applyAlignment="1" applyFont="1">
      <alignment horizontal="center"/>
    </xf>
    <xf borderId="4" fillId="0" fontId="7" numFmtId="0" xfId="0" applyAlignment="1" applyBorder="1" applyFont="1">
      <alignment horizontal="center"/>
    </xf>
    <xf borderId="4" fillId="2" fontId="7" numFmtId="1" xfId="0" applyAlignment="1" applyBorder="1" applyFont="1" applyNumberFormat="1">
      <alignment horizontal="center" vertical="center"/>
    </xf>
    <xf borderId="4" fillId="2" fontId="6" numFmtId="0" xfId="0" applyBorder="1" applyFont="1"/>
    <xf borderId="18" fillId="0" fontId="1" numFmtId="0" xfId="0" applyAlignment="1" applyBorder="1" applyFont="1">
      <alignment horizontal="center" shrinkToFit="0" vertical="center" wrapText="1"/>
    </xf>
    <xf borderId="19" fillId="0" fontId="2" numFmtId="0" xfId="0" applyBorder="1" applyFont="1"/>
    <xf borderId="20" fillId="0" fontId="2" numFmtId="0" xfId="0" applyBorder="1" applyFont="1"/>
    <xf borderId="21" fillId="0" fontId="2" numFmtId="0" xfId="0" applyBorder="1" applyFont="1"/>
    <xf borderId="9" fillId="0" fontId="1" numFmtId="0" xfId="0" applyAlignment="1" applyBorder="1" applyFont="1">
      <alignment horizontal="center" shrinkToFit="0" vertical="center" wrapText="1"/>
    </xf>
    <xf borderId="22" fillId="0" fontId="2" numFmtId="0" xfId="0" applyBorder="1" applyFont="1"/>
    <xf borderId="9" fillId="0" fontId="3" numFmtId="0" xfId="0" applyAlignment="1" applyBorder="1" applyFont="1">
      <alignment horizontal="center" shrinkToFit="0" vertical="center" wrapText="1"/>
    </xf>
    <xf borderId="9" fillId="3" fontId="1" numFmtId="2" xfId="0" applyAlignment="1" applyBorder="1" applyFont="1" applyNumberFormat="1">
      <alignment horizontal="center" vertical="center"/>
    </xf>
    <xf borderId="23" fillId="0" fontId="2" numFmtId="0" xfId="0" applyBorder="1" applyFont="1"/>
    <xf borderId="24" fillId="0" fontId="2" numFmtId="0" xfId="0" applyBorder="1" applyFont="1"/>
    <xf borderId="25" fillId="0" fontId="2" numFmtId="0" xfId="0" applyBorder="1" applyFont="1"/>
    <xf borderId="26" fillId="0" fontId="2" numFmtId="0" xfId="0" applyBorder="1" applyFont="1"/>
    <xf borderId="27" fillId="3" fontId="1" numFmtId="0" xfId="0" applyAlignment="1" applyBorder="1" applyFont="1">
      <alignment horizontal="center" vertical="center"/>
    </xf>
    <xf borderId="9" fillId="3" fontId="1" numFmtId="0" xfId="0" applyAlignment="1" applyBorder="1" applyFont="1">
      <alignment horizontal="center" vertical="center"/>
    </xf>
    <xf borderId="28" fillId="0" fontId="2" numFmtId="0" xfId="0" applyBorder="1" applyFont="1"/>
    <xf borderId="29" fillId="0" fontId="2" numFmtId="0" xfId="0" applyBorder="1" applyFont="1"/>
    <xf borderId="30" fillId="2" fontId="1" numFmtId="0" xfId="0" applyAlignment="1" applyBorder="1" applyFont="1">
      <alignment horizontal="center" shrinkToFit="0" vertical="center" wrapText="1"/>
    </xf>
    <xf borderId="31" fillId="0" fontId="2" numFmtId="0" xfId="0" applyBorder="1" applyFont="1"/>
    <xf borderId="32" fillId="0" fontId="2" numFmtId="0" xfId="0" applyBorder="1" applyFont="1"/>
    <xf borderId="33" fillId="4" fontId="1" numFmtId="0" xfId="0" applyAlignment="1" applyBorder="1" applyFill="1" applyFont="1">
      <alignment horizontal="center" shrinkToFit="0" vertical="center" wrapText="1"/>
    </xf>
    <xf borderId="34" fillId="4" fontId="1" numFmtId="0" xfId="0" applyAlignment="1" applyBorder="1" applyFont="1">
      <alignment horizontal="center" shrinkToFit="0" vertical="center" wrapText="1"/>
    </xf>
    <xf borderId="35" fillId="4" fontId="1" numFmtId="0" xfId="0" applyAlignment="1" applyBorder="1" applyFont="1">
      <alignment horizontal="center" shrinkToFit="0" vertical="center" wrapText="1"/>
    </xf>
    <xf borderId="36" fillId="0" fontId="12" numFmtId="0" xfId="0" applyAlignment="1" applyBorder="1" applyFont="1">
      <alignment horizontal="center" shrinkToFit="0" vertical="center" wrapText="1"/>
    </xf>
    <xf borderId="32" fillId="0" fontId="12" numFmtId="0" xfId="0" applyAlignment="1" applyBorder="1" applyFont="1">
      <alignment horizontal="center" shrinkToFit="0" vertical="center" wrapText="1"/>
    </xf>
    <xf borderId="37" fillId="0" fontId="2" numFmtId="0" xfId="0" applyBorder="1" applyFont="1"/>
    <xf borderId="38" fillId="0" fontId="2" numFmtId="0" xfId="0" applyBorder="1" applyFont="1"/>
    <xf borderId="39" fillId="0" fontId="2" numFmtId="0" xfId="0" applyBorder="1" applyFont="1"/>
    <xf borderId="40" fillId="5" fontId="13" numFmtId="0" xfId="0" applyAlignment="1" applyBorder="1" applyFill="1" applyFont="1">
      <alignment horizontal="center" shrinkToFit="0" vertical="center" wrapText="1"/>
    </xf>
    <xf borderId="40" fillId="4" fontId="7" numFmtId="0" xfId="0" applyAlignment="1" applyBorder="1" applyFont="1">
      <alignment horizontal="center" shrinkToFit="0" vertical="center" wrapText="1"/>
    </xf>
    <xf borderId="40" fillId="2" fontId="7" numFmtId="0" xfId="0" applyAlignment="1" applyBorder="1" applyFont="1">
      <alignment horizontal="center" shrinkToFit="0" vertical="center" wrapText="1"/>
    </xf>
    <xf borderId="38" fillId="0" fontId="12" numFmtId="0" xfId="0" applyAlignment="1" applyBorder="1" applyFont="1">
      <alignment horizontal="center" shrinkToFit="0" vertical="center" wrapText="1"/>
    </xf>
    <xf borderId="40" fillId="4" fontId="1" numFmtId="0" xfId="0" applyAlignment="1" applyBorder="1" applyFont="1">
      <alignment horizontal="center" shrinkToFit="0" vertical="center" wrapText="1"/>
    </xf>
    <xf borderId="8" fillId="0" fontId="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1" fillId="4" fontId="14" numFmtId="0" xfId="0" applyAlignment="1" applyBorder="1" applyFont="1">
      <alignment horizontal="center" vertical="center"/>
    </xf>
    <xf borderId="41" fillId="4" fontId="1" numFmtId="0" xfId="0" applyAlignment="1" applyBorder="1" applyFont="1">
      <alignment horizontal="center" vertical="center"/>
    </xf>
    <xf borderId="4" fillId="4" fontId="1" numFmtId="0" xfId="0" applyAlignment="1" applyBorder="1" applyFont="1">
      <alignment horizontal="center" vertical="center"/>
    </xf>
    <xf borderId="1" fillId="4" fontId="14" numFmtId="0" xfId="0" applyAlignment="1" applyBorder="1" applyFont="1">
      <alignment horizontal="center" shrinkToFit="0" vertical="center" wrapText="1"/>
    </xf>
    <xf borderId="3" fillId="0" fontId="7" numFmtId="166" xfId="0" applyAlignment="1" applyBorder="1" applyFont="1" applyNumberFormat="1">
      <alignment horizontal="center" vertical="center"/>
    </xf>
    <xf borderId="4" fillId="0" fontId="7" numFmtId="166" xfId="0" applyAlignment="1" applyBorder="1" applyFont="1" applyNumberFormat="1">
      <alignment horizontal="center" vertical="center"/>
    </xf>
    <xf borderId="1" fillId="4" fontId="1" numFmtId="0" xfId="0" applyAlignment="1" applyBorder="1" applyFont="1">
      <alignment horizontal="center" shrinkToFit="0" vertical="center" wrapText="1"/>
    </xf>
    <xf borderId="41" fillId="4" fontId="1" numFmtId="166" xfId="0" applyAlignment="1" applyBorder="1" applyFont="1" applyNumberFormat="1">
      <alignment horizontal="center" vertical="center"/>
    </xf>
    <xf borderId="4" fillId="4" fontId="1" numFmtId="166" xfId="0" applyAlignment="1" applyBorder="1" applyFont="1" applyNumberFormat="1">
      <alignment horizontal="center" vertical="center"/>
    </xf>
    <xf borderId="42" fillId="0" fontId="1" numFmtId="0" xfId="0" applyAlignment="1" applyBorder="1" applyFont="1">
      <alignment horizontal="center"/>
    </xf>
    <xf borderId="43" fillId="0" fontId="2" numFmtId="0" xfId="0" applyBorder="1" applyFont="1"/>
    <xf borderId="44" fillId="0" fontId="2" numFmtId="0" xfId="0" applyBorder="1" applyFont="1"/>
    <xf borderId="36" fillId="4" fontId="1" numFmtId="0" xfId="0" applyAlignment="1" applyBorder="1" applyFont="1">
      <alignment horizontal="center" shrinkToFit="0" vertical="center" wrapText="1"/>
    </xf>
    <xf borderId="45" fillId="4" fontId="1" numFmtId="0" xfId="0" applyAlignment="1" applyBorder="1" applyFont="1">
      <alignment horizontal="center" shrinkToFit="0" vertical="center" wrapText="1"/>
    </xf>
    <xf borderId="46" fillId="0" fontId="7" numFmtId="2" xfId="0" applyAlignment="1" applyBorder="1" applyFont="1" applyNumberFormat="1">
      <alignment horizontal="center" shrinkToFit="0" vertical="center" wrapText="1"/>
    </xf>
    <xf borderId="40" fillId="4" fontId="1" numFmtId="2" xfId="0" applyAlignment="1" applyBorder="1" applyFont="1" applyNumberFormat="1">
      <alignment horizontal="center" shrinkToFit="0" vertical="center" wrapText="1"/>
    </xf>
    <xf borderId="47" fillId="0" fontId="7" numFmtId="0" xfId="0" applyAlignment="1" applyBorder="1" applyFont="1">
      <alignment horizontal="center"/>
    </xf>
    <xf borderId="47" fillId="2" fontId="6" numFmtId="0" xfId="0" applyBorder="1" applyFont="1"/>
    <xf borderId="4" fillId="2" fontId="7" numFmtId="0" xfId="0" applyAlignment="1" applyBorder="1" applyFont="1">
      <alignment horizontal="center" vertical="center"/>
    </xf>
    <xf borderId="0" fillId="0" fontId="7" numFmtId="0" xfId="0" applyAlignment="1" applyFont="1">
      <alignment vertical="center"/>
    </xf>
    <xf borderId="4" fillId="0" fontId="1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48" fillId="0" fontId="1" numFmtId="0" xfId="0" applyAlignment="1" applyBorder="1" applyFont="1">
      <alignment horizontal="center" shrinkToFit="0" vertical="center" wrapText="1"/>
    </xf>
    <xf borderId="0" fillId="0" fontId="7" numFmtId="0" xfId="0" applyFont="1"/>
    <xf borderId="48" fillId="0" fontId="1" numFmtId="0" xfId="0" applyAlignment="1" applyBorder="1" applyFont="1">
      <alignment horizontal="center" vertical="center"/>
    </xf>
    <xf borderId="27" fillId="0" fontId="1" numFmtId="0" xfId="0" applyAlignment="1" applyBorder="1" applyFont="1">
      <alignment horizontal="center" shrinkToFit="0" vertical="center" wrapText="1"/>
    </xf>
    <xf borderId="27" fillId="0" fontId="1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49" fillId="0" fontId="1" numFmtId="0" xfId="0" applyAlignment="1" applyBorder="1" applyFont="1">
      <alignment horizontal="center" vertical="center"/>
    </xf>
    <xf borderId="50" fillId="0" fontId="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shrinkToFit="0" vertical="center" wrapText="1"/>
    </xf>
    <xf borderId="4" fillId="0" fontId="15" numFmtId="0" xfId="0" applyAlignment="1" applyBorder="1" applyFont="1">
      <alignment horizontal="center" vertical="center"/>
    </xf>
    <xf borderId="1" fillId="0" fontId="15" numFmtId="1" xfId="0" applyAlignment="1" applyBorder="1" applyFont="1" applyNumberFormat="1">
      <alignment horizontal="center" vertical="center"/>
    </xf>
    <xf borderId="51" fillId="0" fontId="2" numFmtId="0" xfId="0" applyBorder="1" applyFont="1"/>
    <xf borderId="52" fillId="0" fontId="2" numFmtId="0" xfId="0" applyBorder="1" applyFont="1"/>
    <xf borderId="53" fillId="0" fontId="1" numFmtId="0" xfId="0" applyAlignment="1" applyBorder="1" applyFont="1">
      <alignment horizontal="center" vertical="center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4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4" fillId="0" fontId="7" numFmtId="1" xfId="0" applyAlignment="1" applyBorder="1" applyFont="1" applyNumberFormat="1">
      <alignment horizontal="center" vertical="center"/>
    </xf>
    <xf borderId="4" fillId="2" fontId="16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0" fontId="6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27" fillId="0" fontId="1" numFmtId="0" xfId="0" applyAlignment="1" applyBorder="1" applyFont="1">
      <alignment horizontal="center" vertical="center"/>
    </xf>
    <xf borderId="54" fillId="0" fontId="7" numFmtId="0" xfId="0" applyAlignment="1" applyBorder="1" applyFont="1">
      <alignment horizontal="center" shrinkToFit="0" vertical="center" wrapText="1"/>
    </xf>
    <xf borderId="55" fillId="0" fontId="7" numFmtId="0" xfId="0" applyAlignment="1" applyBorder="1" applyFont="1">
      <alignment horizontal="center" vertical="center"/>
    </xf>
    <xf borderId="56" fillId="0" fontId="7" numFmtId="0" xfId="0" applyAlignment="1" applyBorder="1" applyFont="1">
      <alignment horizontal="center" vertical="center"/>
    </xf>
    <xf borderId="27" fillId="0" fontId="7" numFmtId="0" xfId="0" applyAlignment="1" applyBorder="1" applyFont="1">
      <alignment horizontal="center" vertical="center"/>
    </xf>
    <xf borderId="57" fillId="0" fontId="1" numFmtId="0" xfId="0" applyAlignment="1" applyBorder="1" applyFont="1">
      <alignment horizontal="center" shrinkToFit="0" vertical="center" wrapText="1"/>
    </xf>
    <xf borderId="24" fillId="0" fontId="7" numFmtId="0" xfId="0" applyAlignment="1" applyBorder="1" applyFont="1">
      <alignment vertical="center"/>
    </xf>
    <xf borderId="57" fillId="0" fontId="7" numFmtId="1" xfId="0" applyAlignment="1" applyBorder="1" applyFont="1" applyNumberFormat="1">
      <alignment horizontal="center" vertical="center"/>
    </xf>
    <xf borderId="58" fillId="0" fontId="1" numFmtId="0" xfId="0" applyAlignment="1" applyBorder="1" applyFont="1">
      <alignment horizontal="center" vertical="center"/>
    </xf>
    <xf borderId="53" fillId="0" fontId="7" numFmtId="0" xfId="0" applyAlignment="1" applyBorder="1" applyFont="1">
      <alignment horizontal="center" vertical="center"/>
    </xf>
    <xf borderId="4" fillId="0" fontId="10" numFmtId="0" xfId="0" applyBorder="1" applyFont="1"/>
    <xf borderId="0" fillId="0" fontId="7" numFmtId="166" xfId="0" applyAlignment="1" applyFont="1" applyNumberFormat="1">
      <alignment horizontal="center" vertical="center"/>
    </xf>
    <xf borderId="4" fillId="0" fontId="7" numFmtId="0" xfId="0" applyAlignment="1" applyBorder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59" fillId="6" fontId="1" numFmtId="0" xfId="0" applyAlignment="1" applyBorder="1" applyFill="1" applyFont="1">
      <alignment horizontal="center" vertical="center"/>
    </xf>
    <xf borderId="60" fillId="0" fontId="2" numFmtId="0" xfId="0" applyBorder="1" applyFont="1"/>
    <xf borderId="61" fillId="0" fontId="2" numFmtId="0" xfId="0" applyBorder="1" applyFont="1"/>
    <xf borderId="5" fillId="6" fontId="1" numFmtId="0" xfId="0" applyAlignment="1" applyBorder="1" applyFont="1">
      <alignment horizontal="center" vertical="center"/>
    </xf>
    <xf borderId="62" fillId="6" fontId="1" numFmtId="0" xfId="0" applyAlignment="1" applyBorder="1" applyFont="1">
      <alignment horizontal="center" vertical="center"/>
    </xf>
    <xf borderId="4" fillId="6" fontId="1" numFmtId="0" xfId="0" applyAlignment="1" applyBorder="1" applyFont="1">
      <alignment horizontal="center" shrinkToFit="0" vertical="center" wrapText="1"/>
    </xf>
    <xf borderId="4" fillId="6" fontId="1" numFmtId="0" xfId="0" applyAlignment="1" applyBorder="1" applyFont="1">
      <alignment horizontal="center" vertical="center"/>
    </xf>
    <xf borderId="1" fillId="6" fontId="1" numFmtId="0" xfId="0" applyAlignment="1" applyBorder="1" applyFont="1">
      <alignment horizontal="center" shrinkToFit="0" vertical="center" wrapText="1"/>
    </xf>
    <xf borderId="1" fillId="6" fontId="7" numFmtId="0" xfId="0" applyAlignment="1" applyBorder="1" applyFont="1">
      <alignment horizontal="center" shrinkToFit="0" vertical="center" wrapText="1"/>
    </xf>
    <xf borderId="1" fillId="6" fontId="1" numFmtId="0" xfId="0" applyAlignment="1" applyBorder="1" applyFont="1">
      <alignment horizontal="center" vertical="center"/>
    </xf>
    <xf borderId="47" fillId="6" fontId="1" numFmtId="0" xfId="0" applyAlignment="1" applyBorder="1" applyFont="1">
      <alignment horizontal="center" shrinkToFit="0" vertical="center" wrapText="1"/>
    </xf>
    <xf borderId="63" fillId="6" fontId="1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/>
    </xf>
    <xf borderId="58" fillId="6" fontId="1" numFmtId="0" xfId="0" applyAlignment="1" applyBorder="1" applyFont="1">
      <alignment horizontal="center" vertical="center"/>
    </xf>
    <xf borderId="3" fillId="0" fontId="15" numFmtId="0" xfId="0" applyAlignment="1" applyBorder="1" applyFont="1">
      <alignment horizontal="center" vertical="center"/>
    </xf>
    <xf borderId="1" fillId="0" fontId="15" numFmtId="0" xfId="0" applyAlignment="1" applyBorder="1" applyFont="1">
      <alignment horizontal="center" vertical="center"/>
    </xf>
    <xf borderId="8" fillId="6" fontId="1" numFmtId="0" xfId="0" applyAlignment="1" applyBorder="1" applyFont="1">
      <alignment horizontal="center" shrinkToFit="0" vertical="center" wrapText="1"/>
    </xf>
    <xf borderId="8" fillId="6" fontId="1" numFmtId="0" xfId="0" applyAlignment="1" applyBorder="1" applyFont="1">
      <alignment horizontal="center" vertical="center"/>
    </xf>
    <xf borderId="8" fillId="6" fontId="1" numFmtId="0" xfId="0" applyAlignment="1" applyBorder="1" applyFont="1">
      <alignment shrinkToFit="0" vertical="center" wrapText="1"/>
    </xf>
    <xf borderId="8" fillId="6" fontId="7" numFmtId="0" xfId="0" applyAlignment="1" applyBorder="1" applyFont="1">
      <alignment horizontal="center" vertical="center"/>
    </xf>
    <xf borderId="27" fillId="6" fontId="1" numFmtId="0" xfId="0" applyAlignment="1" applyBorder="1" applyFont="1">
      <alignment horizontal="center" shrinkToFit="0" vertical="center" wrapText="1"/>
    </xf>
    <xf borderId="1" fillId="6" fontId="7" numFmtId="0" xfId="0" applyAlignment="1" applyBorder="1" applyFont="1">
      <alignment horizontal="center" vertical="center"/>
    </xf>
    <xf borderId="4" fillId="6" fontId="7" numFmtId="0" xfId="0" applyAlignment="1" applyBorder="1" applyFont="1">
      <alignment horizontal="center" vertical="center"/>
    </xf>
    <xf borderId="41" fillId="6" fontId="1" numFmtId="0" xfId="0" applyAlignment="1" applyBorder="1" applyFont="1">
      <alignment horizontal="center" shrinkToFit="0" vertical="center" wrapText="1"/>
    </xf>
    <xf borderId="4" fillId="6" fontId="7" numFmtId="1" xfId="0" applyAlignment="1" applyBorder="1" applyFont="1" applyNumberFormat="1">
      <alignment horizontal="center" vertical="center"/>
    </xf>
    <xf borderId="64" fillId="6" fontId="1" numFmtId="0" xfId="0" applyAlignment="1" applyBorder="1" applyFont="1">
      <alignment horizontal="center" vertical="center"/>
    </xf>
    <xf borderId="65" fillId="6" fontId="1" numFmtId="0" xfId="0" applyAlignment="1" applyBorder="1" applyFont="1">
      <alignment horizontal="center" vertical="center"/>
    </xf>
    <xf borderId="65" fillId="6" fontId="7" numFmtId="0" xfId="0" applyAlignment="1" applyBorder="1" applyFont="1">
      <alignment horizontal="center" vertical="center"/>
    </xf>
    <xf borderId="41" fillId="6" fontId="1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 shrinkToFit="0" vertical="center" wrapText="1"/>
    </xf>
    <xf borderId="9" fillId="0" fontId="7" numFmtId="0" xfId="0" applyAlignment="1" applyBorder="1" applyFont="1">
      <alignment horizontal="center" vertical="center"/>
    </xf>
    <xf borderId="29" fillId="0" fontId="1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66" fillId="4" fontId="14" numFmtId="0" xfId="0" applyAlignment="1" applyBorder="1" applyFont="1">
      <alignment horizontal="center" shrinkToFit="0" vertical="center" wrapText="1"/>
    </xf>
    <xf borderId="67" fillId="0" fontId="2" numFmtId="0" xfId="0" applyBorder="1" applyFont="1"/>
    <xf borderId="68" fillId="0" fontId="2" numFmtId="0" xfId="0" applyBorder="1" applyFont="1"/>
    <xf borderId="66" fillId="2" fontId="7" numFmtId="0" xfId="0" applyAlignment="1" applyBorder="1" applyFont="1">
      <alignment horizontal="left" shrinkToFit="0" vertical="center" wrapText="1"/>
    </xf>
    <xf borderId="53" fillId="0" fontId="2" numFmtId="0" xfId="0" applyBorder="1" applyFont="1"/>
    <xf borderId="69" fillId="0" fontId="2" numFmtId="0" xfId="0" applyBorder="1" applyFont="1"/>
    <xf borderId="70" fillId="0" fontId="2" numFmtId="0" xfId="0" applyBorder="1" applyFont="1"/>
    <xf borderId="71" fillId="0" fontId="2" numFmtId="0" xfId="0" applyBorder="1" applyFont="1"/>
    <xf borderId="46" fillId="0" fontId="2" numFmtId="0" xfId="0" applyBorder="1" applyFont="1"/>
    <xf borderId="30" fillId="0" fontId="14" numFmtId="0" xfId="0" applyAlignment="1" applyBorder="1" applyFont="1">
      <alignment horizontal="center" shrinkToFit="0" vertical="center" wrapText="1"/>
    </xf>
    <xf borderId="34" fillId="4" fontId="14" numFmtId="0" xfId="0" applyAlignment="1" applyBorder="1" applyFont="1">
      <alignment horizontal="center" shrinkToFit="0" vertical="center" wrapText="1"/>
    </xf>
    <xf borderId="72" fillId="4" fontId="1" numFmtId="0" xfId="0" applyAlignment="1" applyBorder="1" applyFont="1">
      <alignment horizontal="center" shrinkToFit="0" vertical="center" wrapText="1"/>
    </xf>
    <xf borderId="73" fillId="4" fontId="1" numFmtId="0" xfId="0" applyAlignment="1" applyBorder="1" applyFont="1">
      <alignment horizontal="center" shrinkToFit="0" vertical="center" wrapText="1"/>
    </xf>
    <xf borderId="74" fillId="0" fontId="2" numFmtId="0" xfId="0" applyBorder="1" applyFont="1"/>
    <xf borderId="75" fillId="0" fontId="2" numFmtId="0" xfId="0" applyBorder="1" applyFont="1"/>
    <xf borderId="76" fillId="0" fontId="2" numFmtId="0" xfId="0" applyBorder="1" applyFont="1"/>
    <xf borderId="77" fillId="0" fontId="2" numFmtId="0" xfId="0" applyBorder="1" applyFont="1"/>
    <xf borderId="78" fillId="0" fontId="2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4" fillId="0" fontId="7" numFmtId="10" xfId="0" applyAlignment="1" applyBorder="1" applyFont="1" applyNumberFormat="1">
      <alignment horizontal="center" shrinkToFit="0" vertical="center" wrapText="1"/>
    </xf>
    <xf borderId="1" fillId="2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638175</xdr:colOff>
      <xdr:row>0</xdr:row>
      <xdr:rowOff>0</xdr:rowOff>
    </xdr:from>
    <xdr:ext cx="6238875" cy="13525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438150</xdr:colOff>
      <xdr:row>0</xdr:row>
      <xdr:rowOff>0</xdr:rowOff>
    </xdr:from>
    <xdr:ext cx="6229350" cy="13620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3.THEORY%20CUM%20LABORATORY%20COURSE%20%20%20R20,R22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Target"/>
      <sheetName val="BASE"/>
      <sheetName val="CAT-1"/>
      <sheetName val="CAT- 2"/>
      <sheetName val="CAT-3"/>
      <sheetName val="Tut-Ass-OA"/>
      <sheetName val="LAB Asseement"/>
      <sheetName val="Internal CO"/>
      <sheetName val="ESE"/>
      <sheetName val="ESE CO"/>
      <sheetName val="Course Ass 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8.56"/>
    <col customWidth="1" min="2" max="13" width="6.7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 ht="15.0" customHeight="1">
      <c r="A2" s="4" t="str">
        <f>[1]BASE!A2</f>
        <v>#ERROR!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</row>
    <row r="3" ht="15.0" customHeight="1">
      <c r="A3" s="5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3"/>
    </row>
    <row r="4" ht="15.0" customHeight="1">
      <c r="A4" s="6" t="s">
        <v>2</v>
      </c>
      <c r="B4" s="7" t="s">
        <v>3</v>
      </c>
      <c r="C4" s="2"/>
      <c r="D4" s="2"/>
      <c r="E4" s="2"/>
      <c r="F4" s="2"/>
      <c r="G4" s="3"/>
      <c r="H4" s="7" t="s">
        <v>4</v>
      </c>
      <c r="I4" s="2"/>
      <c r="J4" s="2"/>
      <c r="K4" s="2"/>
      <c r="L4" s="2"/>
      <c r="M4" s="3"/>
    </row>
    <row r="5" ht="15.0" customHeight="1">
      <c r="A5" s="6"/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5</v>
      </c>
      <c r="I5" s="6" t="s">
        <v>6</v>
      </c>
      <c r="J5" s="6" t="s">
        <v>7</v>
      </c>
      <c r="K5" s="6" t="s">
        <v>8</v>
      </c>
      <c r="L5" s="6" t="s">
        <v>9</v>
      </c>
      <c r="M5" s="6" t="s">
        <v>10</v>
      </c>
    </row>
    <row r="6" ht="15.0" customHeight="1">
      <c r="A6" s="8">
        <v>1.0</v>
      </c>
      <c r="B6" s="9"/>
      <c r="C6" s="10"/>
      <c r="D6" s="10"/>
      <c r="E6" s="10"/>
      <c r="F6" s="11"/>
      <c r="G6" s="11"/>
      <c r="H6" s="9"/>
      <c r="I6" s="10"/>
      <c r="J6" s="10"/>
      <c r="K6" s="10"/>
      <c r="L6" s="11"/>
      <c r="M6" s="11"/>
    </row>
    <row r="7" ht="15.0" customHeight="1">
      <c r="A7" s="8">
        <v>2.0</v>
      </c>
      <c r="B7" s="9"/>
      <c r="C7" s="10"/>
      <c r="D7" s="10"/>
      <c r="E7" s="10"/>
      <c r="F7" s="11"/>
      <c r="G7" s="11"/>
      <c r="H7" s="9"/>
      <c r="I7" s="10"/>
      <c r="J7" s="10"/>
      <c r="K7" s="10"/>
      <c r="L7" s="11"/>
      <c r="M7" s="11"/>
    </row>
    <row r="8" ht="15.0" customHeight="1">
      <c r="A8" s="8">
        <v>3.0</v>
      </c>
      <c r="B8" s="9"/>
      <c r="C8" s="10"/>
      <c r="D8" s="10"/>
      <c r="E8" s="10"/>
      <c r="F8" s="11"/>
      <c r="G8" s="11"/>
      <c r="H8" s="9"/>
      <c r="I8" s="10"/>
      <c r="J8" s="10"/>
      <c r="K8" s="10"/>
      <c r="L8" s="11"/>
      <c r="M8" s="11"/>
    </row>
    <row r="9" ht="15.0" customHeight="1">
      <c r="A9" s="8">
        <v>4.0</v>
      </c>
      <c r="B9" s="9"/>
      <c r="C9" s="10"/>
      <c r="D9" s="10"/>
      <c r="E9" s="10"/>
      <c r="F9" s="11"/>
      <c r="G9" s="11"/>
      <c r="H9" s="9"/>
      <c r="I9" s="10"/>
      <c r="J9" s="10"/>
      <c r="K9" s="10"/>
      <c r="L9" s="11"/>
      <c r="M9" s="11"/>
    </row>
    <row r="10" ht="15.0" customHeight="1">
      <c r="A10" s="8">
        <v>5.0</v>
      </c>
      <c r="B10" s="9"/>
      <c r="C10" s="10"/>
      <c r="D10" s="10"/>
      <c r="E10" s="10"/>
      <c r="F10" s="11"/>
      <c r="G10" s="11"/>
      <c r="H10" s="9"/>
      <c r="I10" s="10"/>
      <c r="J10" s="10"/>
      <c r="K10" s="10"/>
      <c r="L10" s="11"/>
      <c r="M10" s="11"/>
    </row>
    <row r="11" ht="15.0" customHeight="1">
      <c r="A11" s="8">
        <v>6.0</v>
      </c>
      <c r="B11" s="9"/>
      <c r="C11" s="10"/>
      <c r="D11" s="10"/>
      <c r="E11" s="10"/>
      <c r="F11" s="11"/>
      <c r="G11" s="11"/>
      <c r="H11" s="9"/>
      <c r="I11" s="10"/>
      <c r="J11" s="10"/>
      <c r="K11" s="10"/>
      <c r="L11" s="11"/>
      <c r="M11" s="11"/>
    </row>
    <row r="12" ht="15.0" customHeight="1">
      <c r="A12" s="8">
        <v>7.0</v>
      </c>
      <c r="B12" s="9"/>
      <c r="C12" s="10"/>
      <c r="D12" s="10"/>
      <c r="E12" s="10"/>
      <c r="F12" s="11"/>
      <c r="G12" s="11"/>
      <c r="H12" s="9"/>
      <c r="I12" s="10"/>
      <c r="J12" s="10"/>
      <c r="K12" s="10"/>
      <c r="L12" s="11"/>
      <c r="M12" s="11"/>
    </row>
    <row r="13" ht="15.0" customHeight="1">
      <c r="A13" s="8">
        <v>8.0</v>
      </c>
      <c r="B13" s="9"/>
      <c r="C13" s="10"/>
      <c r="D13" s="10"/>
      <c r="E13" s="10"/>
      <c r="F13" s="11"/>
      <c r="G13" s="11"/>
      <c r="H13" s="9"/>
      <c r="I13" s="10"/>
      <c r="J13" s="10"/>
      <c r="K13" s="10"/>
      <c r="L13" s="11"/>
      <c r="M13" s="11"/>
    </row>
    <row r="14" ht="15.0" customHeight="1">
      <c r="A14" s="8">
        <v>9.0</v>
      </c>
      <c r="B14" s="9"/>
      <c r="C14" s="10"/>
      <c r="D14" s="10"/>
      <c r="E14" s="10"/>
      <c r="F14" s="11"/>
      <c r="G14" s="11"/>
      <c r="H14" s="9"/>
      <c r="I14" s="10"/>
      <c r="J14" s="10"/>
      <c r="K14" s="10"/>
      <c r="L14" s="11"/>
      <c r="M14" s="11"/>
    </row>
    <row r="15" ht="15.0" customHeight="1">
      <c r="A15" s="8">
        <v>10.0</v>
      </c>
      <c r="B15" s="9"/>
      <c r="C15" s="10"/>
      <c r="D15" s="10"/>
      <c r="E15" s="10"/>
      <c r="F15" s="11"/>
      <c r="G15" s="11"/>
      <c r="H15" s="9"/>
      <c r="I15" s="10"/>
      <c r="J15" s="10"/>
      <c r="K15" s="10"/>
      <c r="L15" s="11"/>
      <c r="M15" s="11"/>
    </row>
    <row r="16" ht="15.0" customHeight="1">
      <c r="A16" s="8">
        <v>11.0</v>
      </c>
      <c r="B16" s="9"/>
      <c r="C16" s="10"/>
      <c r="D16" s="10"/>
      <c r="E16" s="10"/>
      <c r="F16" s="11"/>
      <c r="G16" s="11"/>
      <c r="H16" s="9"/>
      <c r="I16" s="10"/>
      <c r="J16" s="10"/>
      <c r="K16" s="10"/>
      <c r="L16" s="11"/>
      <c r="M16" s="11"/>
    </row>
    <row r="17" ht="15.0" customHeight="1">
      <c r="A17" s="8">
        <v>12.0</v>
      </c>
      <c r="B17" s="9"/>
      <c r="C17" s="10"/>
      <c r="D17" s="10"/>
      <c r="E17" s="10"/>
      <c r="F17" s="11"/>
      <c r="G17" s="11"/>
      <c r="H17" s="9"/>
      <c r="I17" s="10"/>
      <c r="J17" s="10"/>
      <c r="K17" s="10"/>
      <c r="L17" s="11"/>
      <c r="M17" s="11"/>
    </row>
    <row r="18" ht="15.0" customHeight="1">
      <c r="A18" s="8">
        <v>13.0</v>
      </c>
      <c r="B18" s="9"/>
      <c r="C18" s="10"/>
      <c r="D18" s="10"/>
      <c r="E18" s="10"/>
      <c r="F18" s="11"/>
      <c r="G18" s="11"/>
      <c r="H18" s="9"/>
      <c r="I18" s="10"/>
      <c r="J18" s="10"/>
      <c r="K18" s="10"/>
      <c r="L18" s="11"/>
      <c r="M18" s="11"/>
    </row>
    <row r="19" ht="15.0" customHeight="1">
      <c r="A19" s="8">
        <v>14.0</v>
      </c>
      <c r="B19" s="9"/>
      <c r="C19" s="10"/>
      <c r="D19" s="10"/>
      <c r="E19" s="10"/>
      <c r="F19" s="11"/>
      <c r="G19" s="11"/>
      <c r="H19" s="9"/>
      <c r="I19" s="10"/>
      <c r="J19" s="10"/>
      <c r="K19" s="10"/>
      <c r="L19" s="11"/>
      <c r="M19" s="11"/>
    </row>
    <row r="20" ht="15.0" customHeight="1">
      <c r="A20" s="8">
        <v>15.0</v>
      </c>
      <c r="B20" s="9"/>
      <c r="C20" s="10"/>
      <c r="D20" s="10"/>
      <c r="E20" s="10"/>
      <c r="F20" s="11"/>
      <c r="G20" s="11"/>
      <c r="H20" s="9"/>
      <c r="I20" s="10"/>
      <c r="J20" s="10"/>
      <c r="K20" s="10"/>
      <c r="L20" s="11"/>
      <c r="M20" s="11"/>
    </row>
    <row r="21" ht="15.0" customHeight="1">
      <c r="A21" s="8">
        <v>16.0</v>
      </c>
      <c r="B21" s="9"/>
      <c r="C21" s="10"/>
      <c r="D21" s="10"/>
      <c r="E21" s="10"/>
      <c r="F21" s="11"/>
      <c r="G21" s="11"/>
      <c r="H21" s="9"/>
      <c r="I21" s="10"/>
      <c r="J21" s="10"/>
      <c r="K21" s="10"/>
      <c r="L21" s="11"/>
      <c r="M21" s="11"/>
    </row>
    <row r="22" ht="15.0" customHeight="1">
      <c r="A22" s="8">
        <v>17.0</v>
      </c>
      <c r="B22" s="9"/>
      <c r="C22" s="10"/>
      <c r="D22" s="10"/>
      <c r="E22" s="10"/>
      <c r="F22" s="11"/>
      <c r="G22" s="11"/>
      <c r="H22" s="9"/>
      <c r="I22" s="10"/>
      <c r="J22" s="10"/>
      <c r="K22" s="10"/>
      <c r="L22" s="11"/>
      <c r="M22" s="11"/>
    </row>
    <row r="23" ht="15.75" customHeight="1">
      <c r="A23" s="8">
        <v>18.0</v>
      </c>
      <c r="B23" s="9"/>
      <c r="C23" s="10"/>
      <c r="D23" s="10"/>
      <c r="E23" s="10"/>
      <c r="F23" s="11"/>
      <c r="G23" s="11"/>
      <c r="H23" s="9"/>
      <c r="I23" s="10"/>
      <c r="J23" s="10"/>
      <c r="K23" s="10"/>
      <c r="L23" s="11"/>
      <c r="M23" s="11"/>
    </row>
    <row r="24" ht="15.75" customHeight="1">
      <c r="A24" s="8">
        <v>19.0</v>
      </c>
      <c r="B24" s="9"/>
      <c r="C24" s="10"/>
      <c r="D24" s="10"/>
      <c r="E24" s="10"/>
      <c r="F24" s="11"/>
      <c r="G24" s="11"/>
      <c r="H24" s="9"/>
      <c r="I24" s="10"/>
      <c r="J24" s="10"/>
      <c r="K24" s="10"/>
      <c r="L24" s="11"/>
      <c r="M24" s="11"/>
    </row>
    <row r="25" ht="15.75" customHeight="1">
      <c r="A25" s="8">
        <v>20.0</v>
      </c>
      <c r="B25" s="9"/>
      <c r="C25" s="10"/>
      <c r="D25" s="10"/>
      <c r="E25" s="10"/>
      <c r="F25" s="11"/>
      <c r="G25" s="11"/>
      <c r="H25" s="9"/>
      <c r="I25" s="10"/>
      <c r="J25" s="10"/>
      <c r="K25" s="10"/>
      <c r="L25" s="11"/>
      <c r="M25" s="11"/>
    </row>
    <row r="26" ht="15.75" customHeight="1">
      <c r="A26" s="8">
        <v>21.0</v>
      </c>
      <c r="B26" s="9"/>
      <c r="C26" s="10"/>
      <c r="D26" s="10"/>
      <c r="E26" s="10"/>
      <c r="F26" s="11"/>
      <c r="G26" s="11"/>
      <c r="H26" s="9"/>
      <c r="I26" s="10"/>
      <c r="J26" s="10"/>
      <c r="K26" s="10"/>
      <c r="L26" s="11"/>
      <c r="M26" s="11"/>
    </row>
    <row r="27" ht="15.75" customHeight="1">
      <c r="A27" s="8">
        <v>22.0</v>
      </c>
      <c r="B27" s="9"/>
      <c r="C27" s="10"/>
      <c r="D27" s="10"/>
      <c r="E27" s="10"/>
      <c r="F27" s="11"/>
      <c r="G27" s="11"/>
      <c r="H27" s="9"/>
      <c r="I27" s="10"/>
      <c r="J27" s="10"/>
      <c r="K27" s="10"/>
      <c r="L27" s="11"/>
      <c r="M27" s="11"/>
    </row>
    <row r="28" ht="15.75" customHeight="1">
      <c r="A28" s="8">
        <v>23.0</v>
      </c>
      <c r="B28" s="9"/>
      <c r="C28" s="10"/>
      <c r="D28" s="10"/>
      <c r="E28" s="10"/>
      <c r="F28" s="11"/>
      <c r="G28" s="11"/>
      <c r="H28" s="9"/>
      <c r="I28" s="10"/>
      <c r="J28" s="10"/>
      <c r="K28" s="10"/>
      <c r="L28" s="11"/>
      <c r="M28" s="11"/>
    </row>
    <row r="29" ht="15.75" customHeight="1">
      <c r="A29" s="8">
        <v>24.0</v>
      </c>
      <c r="B29" s="9"/>
      <c r="C29" s="10"/>
      <c r="D29" s="10"/>
      <c r="E29" s="10"/>
      <c r="F29" s="11"/>
      <c r="G29" s="11"/>
      <c r="H29" s="9"/>
      <c r="I29" s="10"/>
      <c r="J29" s="10"/>
      <c r="K29" s="10"/>
      <c r="L29" s="11"/>
      <c r="M29" s="11"/>
    </row>
    <row r="30" ht="15.75" customHeight="1">
      <c r="A30" s="8">
        <v>25.0</v>
      </c>
      <c r="B30" s="9"/>
      <c r="C30" s="10"/>
      <c r="D30" s="10"/>
      <c r="E30" s="10"/>
      <c r="F30" s="11"/>
      <c r="G30" s="11"/>
      <c r="H30" s="9"/>
      <c r="I30" s="10"/>
      <c r="J30" s="10"/>
      <c r="K30" s="10"/>
      <c r="L30" s="11"/>
      <c r="M30" s="11"/>
    </row>
    <row r="31" ht="15.75" customHeight="1">
      <c r="A31" s="8">
        <v>26.0</v>
      </c>
      <c r="B31" s="9"/>
      <c r="C31" s="10"/>
      <c r="D31" s="10"/>
      <c r="E31" s="10"/>
      <c r="F31" s="11"/>
      <c r="G31" s="11"/>
      <c r="H31" s="9"/>
      <c r="I31" s="10"/>
      <c r="J31" s="10"/>
      <c r="K31" s="10"/>
      <c r="L31" s="11"/>
      <c r="M31" s="11"/>
    </row>
    <row r="32" ht="15.75" customHeight="1">
      <c r="A32" s="8">
        <v>27.0</v>
      </c>
      <c r="B32" s="9"/>
      <c r="C32" s="10"/>
      <c r="D32" s="10"/>
      <c r="E32" s="10"/>
      <c r="F32" s="11"/>
      <c r="G32" s="11"/>
      <c r="H32" s="9"/>
      <c r="I32" s="10"/>
      <c r="J32" s="10"/>
      <c r="K32" s="10"/>
      <c r="L32" s="11"/>
      <c r="M32" s="11"/>
    </row>
    <row r="33" ht="15.75" customHeight="1">
      <c r="A33" s="8">
        <v>28.0</v>
      </c>
      <c r="B33" s="9"/>
      <c r="C33" s="10"/>
      <c r="D33" s="10"/>
      <c r="E33" s="10"/>
      <c r="F33" s="11"/>
      <c r="G33" s="11"/>
      <c r="H33" s="9"/>
      <c r="I33" s="10"/>
      <c r="J33" s="10"/>
      <c r="K33" s="10"/>
      <c r="L33" s="11"/>
      <c r="M33" s="11"/>
    </row>
    <row r="34" ht="15.75" customHeight="1">
      <c r="A34" s="8">
        <v>29.0</v>
      </c>
      <c r="B34" s="9"/>
      <c r="C34" s="10"/>
      <c r="D34" s="10"/>
      <c r="E34" s="10"/>
      <c r="F34" s="11"/>
      <c r="G34" s="11"/>
      <c r="H34" s="9"/>
      <c r="I34" s="10"/>
      <c r="J34" s="10"/>
      <c r="K34" s="10"/>
      <c r="L34" s="11"/>
      <c r="M34" s="11"/>
    </row>
    <row r="35" ht="15.75" customHeight="1">
      <c r="A35" s="8">
        <v>30.0</v>
      </c>
      <c r="B35" s="9"/>
      <c r="C35" s="10"/>
      <c r="D35" s="10"/>
      <c r="E35" s="10"/>
      <c r="F35" s="11"/>
      <c r="G35" s="11"/>
      <c r="H35" s="9"/>
      <c r="I35" s="10"/>
      <c r="J35" s="10"/>
      <c r="K35" s="10"/>
      <c r="L35" s="11"/>
      <c r="M35" s="11"/>
    </row>
    <row r="36" ht="15.75" customHeight="1">
      <c r="A36" s="8">
        <v>31.0</v>
      </c>
      <c r="B36" s="9"/>
      <c r="C36" s="10"/>
      <c r="D36" s="10"/>
      <c r="E36" s="10"/>
      <c r="F36" s="11"/>
      <c r="G36" s="11"/>
      <c r="H36" s="9"/>
      <c r="I36" s="10"/>
      <c r="J36" s="10"/>
      <c r="K36" s="10"/>
      <c r="L36" s="11"/>
      <c r="M36" s="11"/>
    </row>
    <row r="37" ht="15.75" customHeight="1">
      <c r="A37" s="8">
        <v>32.0</v>
      </c>
      <c r="B37" s="9"/>
      <c r="C37" s="10"/>
      <c r="D37" s="10"/>
      <c r="E37" s="10"/>
      <c r="F37" s="11"/>
      <c r="G37" s="11"/>
      <c r="H37" s="9"/>
      <c r="I37" s="10"/>
      <c r="J37" s="10"/>
      <c r="K37" s="10"/>
      <c r="L37" s="11"/>
      <c r="M37" s="11"/>
    </row>
    <row r="38" ht="15.75" customHeight="1">
      <c r="A38" s="8">
        <v>33.0</v>
      </c>
      <c r="B38" s="9"/>
      <c r="C38" s="10"/>
      <c r="D38" s="10"/>
      <c r="E38" s="10"/>
      <c r="F38" s="11"/>
      <c r="G38" s="11"/>
      <c r="H38" s="9"/>
      <c r="I38" s="10"/>
      <c r="J38" s="10"/>
      <c r="K38" s="10"/>
      <c r="L38" s="11"/>
      <c r="M38" s="11"/>
    </row>
    <row r="39" ht="15.75" customHeight="1">
      <c r="A39" s="8">
        <v>34.0</v>
      </c>
      <c r="B39" s="9"/>
      <c r="C39" s="10"/>
      <c r="D39" s="10"/>
      <c r="E39" s="10"/>
      <c r="F39" s="11"/>
      <c r="G39" s="11"/>
      <c r="H39" s="9"/>
      <c r="I39" s="10"/>
      <c r="J39" s="10"/>
      <c r="K39" s="10"/>
      <c r="L39" s="11"/>
      <c r="M39" s="11"/>
    </row>
    <row r="40" ht="15.75" customHeight="1">
      <c r="A40" s="8">
        <v>35.0</v>
      </c>
      <c r="B40" s="9"/>
      <c r="C40" s="10"/>
      <c r="D40" s="10"/>
      <c r="E40" s="10"/>
      <c r="F40" s="11"/>
      <c r="G40" s="11"/>
      <c r="H40" s="9"/>
      <c r="I40" s="10"/>
      <c r="J40" s="10"/>
      <c r="K40" s="10"/>
      <c r="L40" s="11"/>
      <c r="M40" s="11"/>
    </row>
    <row r="41" ht="15.75" customHeight="1">
      <c r="A41" s="8">
        <v>36.0</v>
      </c>
      <c r="B41" s="9"/>
      <c r="C41" s="10"/>
      <c r="D41" s="10"/>
      <c r="E41" s="10"/>
      <c r="F41" s="11"/>
      <c r="G41" s="11"/>
      <c r="H41" s="9"/>
      <c r="I41" s="10"/>
      <c r="J41" s="10"/>
      <c r="K41" s="10"/>
      <c r="L41" s="11"/>
      <c r="M41" s="11"/>
    </row>
    <row r="42" ht="15.75" customHeight="1">
      <c r="A42" s="8">
        <v>37.0</v>
      </c>
      <c r="B42" s="9"/>
      <c r="C42" s="10"/>
      <c r="D42" s="10"/>
      <c r="E42" s="10"/>
      <c r="F42" s="11"/>
      <c r="G42" s="11"/>
      <c r="H42" s="9"/>
      <c r="I42" s="10"/>
      <c r="J42" s="10"/>
      <c r="K42" s="10"/>
      <c r="L42" s="11"/>
      <c r="M42" s="11"/>
    </row>
    <row r="43" ht="15.75" customHeight="1">
      <c r="A43" s="8">
        <v>38.0</v>
      </c>
      <c r="B43" s="9"/>
      <c r="C43" s="10"/>
      <c r="D43" s="10"/>
      <c r="E43" s="10"/>
      <c r="F43" s="11"/>
      <c r="G43" s="11"/>
      <c r="H43" s="9"/>
      <c r="I43" s="10"/>
      <c r="J43" s="10"/>
      <c r="K43" s="10"/>
      <c r="L43" s="11"/>
      <c r="M43" s="11"/>
    </row>
    <row r="44" ht="15.75" customHeight="1">
      <c r="A44" s="8">
        <v>39.0</v>
      </c>
      <c r="B44" s="9"/>
      <c r="C44" s="10"/>
      <c r="D44" s="10"/>
      <c r="E44" s="10"/>
      <c r="F44" s="11"/>
      <c r="G44" s="11"/>
      <c r="H44" s="9"/>
      <c r="I44" s="10"/>
      <c r="J44" s="10"/>
      <c r="K44" s="10"/>
      <c r="L44" s="11"/>
      <c r="M44" s="11"/>
    </row>
    <row r="45" ht="15.75" customHeight="1">
      <c r="A45" s="8">
        <v>40.0</v>
      </c>
      <c r="B45" s="9"/>
      <c r="C45" s="10"/>
      <c r="D45" s="10"/>
      <c r="E45" s="10"/>
      <c r="F45" s="11"/>
      <c r="G45" s="11"/>
      <c r="H45" s="9"/>
      <c r="I45" s="10"/>
      <c r="J45" s="10"/>
      <c r="K45" s="10"/>
      <c r="L45" s="11"/>
      <c r="M45" s="11"/>
    </row>
    <row r="46" ht="15.75" customHeight="1">
      <c r="A46" s="8">
        <v>41.0</v>
      </c>
      <c r="B46" s="9"/>
      <c r="C46" s="10"/>
      <c r="D46" s="10"/>
      <c r="E46" s="10"/>
      <c r="F46" s="11"/>
      <c r="G46" s="11"/>
      <c r="H46" s="9"/>
      <c r="I46" s="10"/>
      <c r="J46" s="10"/>
      <c r="K46" s="10"/>
      <c r="L46" s="11"/>
      <c r="M46" s="11"/>
    </row>
    <row r="47" ht="15.75" customHeight="1">
      <c r="A47" s="8">
        <v>42.0</v>
      </c>
      <c r="B47" s="9"/>
      <c r="C47" s="10"/>
      <c r="D47" s="10"/>
      <c r="E47" s="10"/>
      <c r="F47" s="11"/>
      <c r="G47" s="11"/>
      <c r="H47" s="9"/>
      <c r="I47" s="10"/>
      <c r="J47" s="10"/>
      <c r="K47" s="10"/>
      <c r="L47" s="11"/>
      <c r="M47" s="11"/>
    </row>
    <row r="48" ht="15.75" customHeight="1">
      <c r="A48" s="8">
        <v>43.0</v>
      </c>
      <c r="B48" s="9"/>
      <c r="C48" s="10"/>
      <c r="D48" s="10"/>
      <c r="E48" s="10"/>
      <c r="F48" s="11"/>
      <c r="G48" s="11"/>
      <c r="H48" s="9"/>
      <c r="I48" s="10"/>
      <c r="J48" s="10"/>
      <c r="K48" s="10"/>
      <c r="L48" s="11"/>
      <c r="M48" s="11"/>
    </row>
    <row r="49" ht="15.75" customHeight="1">
      <c r="A49" s="8">
        <v>44.0</v>
      </c>
      <c r="B49" s="9"/>
      <c r="C49" s="10"/>
      <c r="D49" s="10"/>
      <c r="E49" s="10"/>
      <c r="F49" s="11"/>
      <c r="G49" s="11"/>
      <c r="H49" s="9"/>
      <c r="I49" s="10"/>
      <c r="J49" s="10"/>
      <c r="K49" s="10"/>
      <c r="L49" s="11"/>
      <c r="M49" s="11"/>
    </row>
    <row r="50" ht="15.75" customHeight="1">
      <c r="A50" s="8">
        <v>45.0</v>
      </c>
      <c r="B50" s="9"/>
      <c r="C50" s="10"/>
      <c r="D50" s="10"/>
      <c r="E50" s="10"/>
      <c r="F50" s="11"/>
      <c r="G50" s="11"/>
      <c r="H50" s="9"/>
      <c r="I50" s="10"/>
      <c r="J50" s="10"/>
      <c r="K50" s="10"/>
      <c r="L50" s="11"/>
      <c r="M50" s="11"/>
    </row>
    <row r="51" ht="15.75" customHeight="1">
      <c r="A51" s="8">
        <v>46.0</v>
      </c>
      <c r="B51" s="9"/>
      <c r="C51" s="10"/>
      <c r="D51" s="10"/>
      <c r="E51" s="10"/>
      <c r="F51" s="11"/>
      <c r="G51" s="11"/>
      <c r="H51" s="9"/>
      <c r="I51" s="10"/>
      <c r="J51" s="10"/>
      <c r="K51" s="10"/>
      <c r="L51" s="11"/>
      <c r="M51" s="11"/>
    </row>
    <row r="52" ht="15.75" customHeight="1">
      <c r="A52" s="8">
        <v>47.0</v>
      </c>
      <c r="B52" s="9"/>
      <c r="C52" s="10"/>
      <c r="D52" s="10"/>
      <c r="E52" s="10"/>
      <c r="F52" s="11"/>
      <c r="G52" s="11"/>
      <c r="H52" s="9"/>
      <c r="I52" s="10"/>
      <c r="J52" s="10"/>
      <c r="K52" s="10"/>
      <c r="L52" s="11"/>
      <c r="M52" s="11"/>
    </row>
    <row r="53" ht="15.75" customHeight="1">
      <c r="A53" s="8">
        <v>48.0</v>
      </c>
      <c r="B53" s="9"/>
      <c r="C53" s="10"/>
      <c r="D53" s="10"/>
      <c r="E53" s="10"/>
      <c r="F53" s="11"/>
      <c r="G53" s="11"/>
      <c r="H53" s="9"/>
      <c r="I53" s="10"/>
      <c r="J53" s="10"/>
      <c r="K53" s="10"/>
      <c r="L53" s="11"/>
      <c r="M53" s="11"/>
    </row>
    <row r="54" ht="15.75" customHeight="1">
      <c r="A54" s="8">
        <v>49.0</v>
      </c>
      <c r="B54" s="9"/>
      <c r="C54" s="10"/>
      <c r="D54" s="10"/>
      <c r="E54" s="10"/>
      <c r="F54" s="11"/>
      <c r="G54" s="11"/>
      <c r="H54" s="9"/>
      <c r="I54" s="10"/>
      <c r="J54" s="10"/>
      <c r="K54" s="10"/>
      <c r="L54" s="11"/>
      <c r="M54" s="11"/>
    </row>
    <row r="55" ht="15.75" customHeight="1">
      <c r="A55" s="8">
        <v>50.0</v>
      </c>
      <c r="B55" s="9"/>
      <c r="C55" s="10"/>
      <c r="D55" s="10"/>
      <c r="E55" s="10"/>
      <c r="F55" s="11"/>
      <c r="G55" s="11"/>
      <c r="H55" s="9"/>
      <c r="I55" s="10"/>
      <c r="J55" s="10"/>
      <c r="K55" s="10"/>
      <c r="L55" s="11"/>
      <c r="M55" s="11"/>
    </row>
    <row r="56" ht="15.75" customHeight="1">
      <c r="A56" s="8">
        <v>51.0</v>
      </c>
      <c r="B56" s="9"/>
      <c r="C56" s="10"/>
      <c r="D56" s="10"/>
      <c r="E56" s="10"/>
      <c r="F56" s="11"/>
      <c r="G56" s="11"/>
      <c r="H56" s="9"/>
      <c r="I56" s="10"/>
      <c r="J56" s="10"/>
      <c r="K56" s="10"/>
      <c r="L56" s="11"/>
      <c r="M56" s="11"/>
    </row>
    <row r="57" ht="15.75" customHeight="1">
      <c r="A57" s="8">
        <v>52.0</v>
      </c>
      <c r="B57" s="9"/>
      <c r="C57" s="10"/>
      <c r="D57" s="10"/>
      <c r="E57" s="10"/>
      <c r="F57" s="11"/>
      <c r="G57" s="11"/>
      <c r="H57" s="9"/>
      <c r="I57" s="10"/>
      <c r="J57" s="10"/>
      <c r="K57" s="10"/>
      <c r="L57" s="11"/>
      <c r="M57" s="11"/>
    </row>
    <row r="58" ht="15.75" customHeight="1">
      <c r="A58" s="8">
        <v>53.0</v>
      </c>
      <c r="B58" s="9"/>
      <c r="C58" s="10"/>
      <c r="D58" s="10"/>
      <c r="E58" s="10"/>
      <c r="F58" s="11"/>
      <c r="G58" s="11"/>
      <c r="H58" s="9"/>
      <c r="I58" s="10"/>
      <c r="J58" s="10"/>
      <c r="K58" s="10"/>
      <c r="L58" s="11"/>
      <c r="M58" s="11"/>
    </row>
    <row r="59" ht="15.75" customHeight="1">
      <c r="A59" s="8">
        <v>54.0</v>
      </c>
      <c r="B59" s="9"/>
      <c r="C59" s="10"/>
      <c r="D59" s="10"/>
      <c r="E59" s="10"/>
      <c r="F59" s="11"/>
      <c r="G59" s="11"/>
      <c r="H59" s="9"/>
      <c r="I59" s="10"/>
      <c r="J59" s="10"/>
      <c r="K59" s="10"/>
      <c r="L59" s="11"/>
      <c r="M59" s="11"/>
    </row>
    <row r="60" ht="15.75" customHeight="1">
      <c r="A60" s="8">
        <v>55.0</v>
      </c>
      <c r="B60" s="9"/>
      <c r="C60" s="10"/>
      <c r="D60" s="10"/>
      <c r="E60" s="10"/>
      <c r="F60" s="11"/>
      <c r="G60" s="11"/>
      <c r="H60" s="9"/>
      <c r="I60" s="10"/>
      <c r="J60" s="10"/>
      <c r="K60" s="10"/>
      <c r="L60" s="11"/>
      <c r="M60" s="11"/>
    </row>
    <row r="61" ht="15.75" customHeight="1">
      <c r="A61" s="8">
        <v>56.0</v>
      </c>
      <c r="B61" s="9"/>
      <c r="C61" s="10"/>
      <c r="D61" s="10"/>
      <c r="E61" s="10"/>
      <c r="F61" s="11"/>
      <c r="G61" s="11"/>
      <c r="H61" s="9"/>
      <c r="I61" s="10"/>
      <c r="J61" s="10"/>
      <c r="K61" s="10"/>
      <c r="L61" s="11"/>
      <c r="M61" s="11"/>
    </row>
    <row r="62" ht="15.75" customHeight="1">
      <c r="A62" s="8">
        <v>57.0</v>
      </c>
      <c r="B62" s="9"/>
      <c r="C62" s="10"/>
      <c r="D62" s="10"/>
      <c r="E62" s="10"/>
      <c r="F62" s="11"/>
      <c r="G62" s="11"/>
      <c r="H62" s="9"/>
      <c r="I62" s="10"/>
      <c r="J62" s="10"/>
      <c r="K62" s="10"/>
      <c r="L62" s="11"/>
      <c r="M62" s="11"/>
    </row>
    <row r="63" ht="15.75" customHeight="1">
      <c r="A63" s="8">
        <v>58.0</v>
      </c>
      <c r="B63" s="9"/>
      <c r="C63" s="10"/>
      <c r="D63" s="10"/>
      <c r="E63" s="10"/>
      <c r="F63" s="11"/>
      <c r="G63" s="11"/>
      <c r="H63" s="9"/>
      <c r="I63" s="10"/>
      <c r="J63" s="10"/>
      <c r="K63" s="10"/>
      <c r="L63" s="11"/>
      <c r="M63" s="11"/>
    </row>
    <row r="64" ht="15.75" customHeight="1">
      <c r="A64" s="8">
        <v>59.0</v>
      </c>
      <c r="B64" s="9"/>
      <c r="C64" s="10"/>
      <c r="D64" s="10"/>
      <c r="E64" s="10"/>
      <c r="F64" s="11"/>
      <c r="G64" s="11"/>
      <c r="H64" s="9"/>
      <c r="I64" s="10"/>
      <c r="J64" s="10"/>
      <c r="K64" s="10"/>
      <c r="L64" s="11"/>
      <c r="M64" s="11"/>
    </row>
    <row r="65" ht="15.75" customHeight="1">
      <c r="A65" s="8">
        <v>60.0</v>
      </c>
      <c r="B65" s="9"/>
      <c r="C65" s="10"/>
      <c r="D65" s="10"/>
      <c r="E65" s="10"/>
      <c r="F65" s="11"/>
      <c r="G65" s="11"/>
      <c r="H65" s="9"/>
      <c r="I65" s="10"/>
      <c r="J65" s="10"/>
      <c r="K65" s="10"/>
      <c r="L65" s="11"/>
      <c r="M65" s="11"/>
    </row>
    <row r="66" ht="15.75" customHeight="1">
      <c r="A66" s="8">
        <v>61.0</v>
      </c>
      <c r="B66" s="9"/>
      <c r="C66" s="10"/>
      <c r="D66" s="10"/>
      <c r="E66" s="10"/>
      <c r="F66" s="11"/>
      <c r="G66" s="11"/>
      <c r="H66" s="9"/>
      <c r="I66" s="10"/>
      <c r="J66" s="10"/>
      <c r="K66" s="10"/>
      <c r="L66" s="11"/>
      <c r="M66" s="11"/>
    </row>
    <row r="67" ht="15.75" customHeight="1">
      <c r="A67" s="8">
        <v>62.0</v>
      </c>
      <c r="B67" s="9"/>
      <c r="C67" s="10"/>
      <c r="D67" s="10"/>
      <c r="E67" s="10"/>
      <c r="F67" s="11"/>
      <c r="G67" s="11"/>
      <c r="H67" s="9"/>
      <c r="I67" s="10"/>
      <c r="J67" s="10"/>
      <c r="K67" s="10"/>
      <c r="L67" s="11"/>
      <c r="M67" s="11"/>
    </row>
    <row r="68" ht="15.75" customHeight="1">
      <c r="A68" s="8">
        <v>63.0</v>
      </c>
      <c r="B68" s="9"/>
      <c r="C68" s="10"/>
      <c r="D68" s="10"/>
      <c r="E68" s="10"/>
      <c r="F68" s="11"/>
      <c r="G68" s="11"/>
      <c r="H68" s="9"/>
      <c r="I68" s="10"/>
      <c r="J68" s="10"/>
      <c r="K68" s="10"/>
      <c r="L68" s="11"/>
      <c r="M68" s="11"/>
    </row>
    <row r="69" ht="15.75" customHeight="1">
      <c r="A69" s="8">
        <v>64.0</v>
      </c>
      <c r="B69" s="9"/>
      <c r="C69" s="10"/>
      <c r="D69" s="10"/>
      <c r="E69" s="10"/>
      <c r="F69" s="11"/>
      <c r="G69" s="11"/>
      <c r="H69" s="9"/>
      <c r="I69" s="10"/>
      <c r="J69" s="10"/>
      <c r="K69" s="10"/>
      <c r="L69" s="11"/>
      <c r="M69" s="11"/>
    </row>
    <row r="70" ht="15.75" customHeight="1">
      <c r="A70" s="8">
        <v>65.0</v>
      </c>
      <c r="B70" s="9"/>
      <c r="C70" s="10"/>
      <c r="D70" s="10"/>
      <c r="E70" s="10"/>
      <c r="F70" s="11"/>
      <c r="G70" s="9"/>
      <c r="H70" s="9"/>
      <c r="I70" s="10"/>
      <c r="J70" s="10"/>
      <c r="K70" s="10"/>
      <c r="L70" s="11"/>
      <c r="M70" s="9"/>
    </row>
    <row r="71" ht="15.75" customHeight="1">
      <c r="A71" s="8">
        <v>66.0</v>
      </c>
      <c r="B71" s="9"/>
      <c r="C71" s="10"/>
      <c r="D71" s="10"/>
      <c r="E71" s="10"/>
      <c r="F71" s="9"/>
      <c r="G71" s="9"/>
      <c r="H71" s="9"/>
      <c r="I71" s="10"/>
      <c r="J71" s="10"/>
      <c r="K71" s="10"/>
      <c r="L71" s="9"/>
      <c r="M71" s="9"/>
    </row>
    <row r="72" ht="15.75" customHeight="1">
      <c r="A72" s="8">
        <v>67.0</v>
      </c>
      <c r="B72" s="9"/>
      <c r="C72" s="10"/>
      <c r="D72" s="10"/>
      <c r="E72" s="10"/>
      <c r="F72" s="9"/>
      <c r="G72" s="9"/>
      <c r="H72" s="9"/>
      <c r="I72" s="10"/>
      <c r="J72" s="10"/>
      <c r="K72" s="10"/>
      <c r="L72" s="9"/>
      <c r="M72" s="9"/>
    </row>
    <row r="73" ht="15.75" customHeight="1">
      <c r="A73" s="8">
        <v>68.0</v>
      </c>
      <c r="B73" s="9"/>
      <c r="C73" s="10"/>
      <c r="D73" s="10"/>
      <c r="E73" s="10"/>
      <c r="F73" s="9"/>
      <c r="G73" s="9"/>
      <c r="H73" s="9"/>
      <c r="I73" s="10"/>
      <c r="J73" s="10"/>
      <c r="K73" s="10"/>
      <c r="L73" s="9"/>
      <c r="M73" s="9"/>
    </row>
    <row r="74" ht="15.75" customHeight="1">
      <c r="A74" s="8">
        <v>69.0</v>
      </c>
      <c r="B74" s="9"/>
      <c r="C74" s="10"/>
      <c r="D74" s="10"/>
      <c r="E74" s="10"/>
      <c r="F74" s="9"/>
      <c r="G74" s="9"/>
      <c r="H74" s="9"/>
      <c r="I74" s="10"/>
      <c r="J74" s="10"/>
      <c r="K74" s="10"/>
      <c r="L74" s="9"/>
      <c r="M74" s="9"/>
    </row>
    <row r="75" ht="15.75" customHeight="1">
      <c r="A75" s="8">
        <v>70.0</v>
      </c>
      <c r="B75" s="9"/>
      <c r="C75" s="10"/>
      <c r="D75" s="10"/>
      <c r="E75" s="10"/>
      <c r="F75" s="9"/>
      <c r="G75" s="9"/>
      <c r="H75" s="9"/>
      <c r="I75" s="10"/>
      <c r="J75" s="10"/>
      <c r="K75" s="10"/>
      <c r="L75" s="9"/>
      <c r="M75" s="9"/>
    </row>
    <row r="76" ht="15.75" customHeight="1">
      <c r="A76" s="12"/>
      <c r="B76" s="8"/>
      <c r="C76" s="8"/>
      <c r="D76" s="8"/>
      <c r="E76" s="8"/>
      <c r="F76" s="8"/>
      <c r="G76" s="8"/>
      <c r="H76" s="8"/>
      <c r="I76" s="8"/>
      <c r="J76" s="8"/>
      <c r="K76" s="8"/>
      <c r="L76" s="13"/>
      <c r="M76" s="13"/>
    </row>
    <row r="77" ht="15.75" customHeight="1">
      <c r="A77" s="14" t="s">
        <v>11</v>
      </c>
      <c r="B77" s="15" t="str">
        <f t="shared" ref="B77:M77" si="1">IFERROR(AVERAGE(B6:B76),0)</f>
        <v>0.00</v>
      </c>
      <c r="C77" s="15" t="str">
        <f t="shared" si="1"/>
        <v>0.00</v>
      </c>
      <c r="D77" s="15" t="str">
        <f t="shared" si="1"/>
        <v>0.00</v>
      </c>
      <c r="E77" s="15" t="str">
        <f t="shared" si="1"/>
        <v>0.00</v>
      </c>
      <c r="F77" s="15" t="str">
        <f t="shared" si="1"/>
        <v>0.00</v>
      </c>
      <c r="G77" s="15" t="str">
        <f t="shared" si="1"/>
        <v>0.00</v>
      </c>
      <c r="H77" s="15" t="str">
        <f t="shared" si="1"/>
        <v>0.00</v>
      </c>
      <c r="I77" s="15" t="str">
        <f t="shared" si="1"/>
        <v>0.00</v>
      </c>
      <c r="J77" s="15" t="str">
        <f t="shared" si="1"/>
        <v>0.00</v>
      </c>
      <c r="K77" s="15" t="str">
        <f t="shared" si="1"/>
        <v>0.00</v>
      </c>
      <c r="L77" s="15" t="str">
        <f t="shared" si="1"/>
        <v>0.00</v>
      </c>
      <c r="M77" s="15" t="str">
        <f t="shared" si="1"/>
        <v>0.00</v>
      </c>
    </row>
    <row r="78" ht="15.75" customHeight="1">
      <c r="A78" s="16" t="s">
        <v>12</v>
      </c>
      <c r="B78" s="8" t="str">
        <f t="shared" ref="B78:M78" si="2">COUNTA(B6:B76)</f>
        <v>0</v>
      </c>
      <c r="C78" s="8" t="str">
        <f t="shared" si="2"/>
        <v>0</v>
      </c>
      <c r="D78" s="8" t="str">
        <f t="shared" si="2"/>
        <v>0</v>
      </c>
      <c r="E78" s="8" t="str">
        <f t="shared" si="2"/>
        <v>0</v>
      </c>
      <c r="F78" s="8" t="str">
        <f t="shared" si="2"/>
        <v>0</v>
      </c>
      <c r="G78" s="8" t="str">
        <f t="shared" si="2"/>
        <v>0</v>
      </c>
      <c r="H78" s="8" t="str">
        <f t="shared" si="2"/>
        <v>0</v>
      </c>
      <c r="I78" s="8" t="str">
        <f t="shared" si="2"/>
        <v>0</v>
      </c>
      <c r="J78" s="8" t="str">
        <f t="shared" si="2"/>
        <v>0</v>
      </c>
      <c r="K78" s="8" t="str">
        <f t="shared" si="2"/>
        <v>0</v>
      </c>
      <c r="L78" s="8" t="str">
        <f t="shared" si="2"/>
        <v>0</v>
      </c>
      <c r="M78" s="8" t="str">
        <f t="shared" si="2"/>
        <v>0</v>
      </c>
    </row>
    <row r="79" ht="15.75" customHeight="1">
      <c r="A79" s="14" t="s">
        <v>13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</row>
    <row r="80" ht="15.75" customHeight="1">
      <c r="A80" s="14" t="s">
        <v>14</v>
      </c>
      <c r="B80" s="15" t="str">
        <f t="shared" ref="B80:M80" si="3">IFERROR(B77*(B78/B79),0)</f>
        <v>0.00</v>
      </c>
      <c r="C80" s="15" t="str">
        <f t="shared" si="3"/>
        <v>0.00</v>
      </c>
      <c r="D80" s="15" t="str">
        <f t="shared" si="3"/>
        <v>0.00</v>
      </c>
      <c r="E80" s="15" t="str">
        <f t="shared" si="3"/>
        <v>0.00</v>
      </c>
      <c r="F80" s="15" t="str">
        <f t="shared" si="3"/>
        <v>0.00</v>
      </c>
      <c r="G80" s="15" t="str">
        <f t="shared" si="3"/>
        <v>0.00</v>
      </c>
      <c r="H80" s="15" t="str">
        <f t="shared" si="3"/>
        <v>0.00</v>
      </c>
      <c r="I80" s="15" t="str">
        <f t="shared" si="3"/>
        <v>0.00</v>
      </c>
      <c r="J80" s="15" t="str">
        <f t="shared" si="3"/>
        <v>0.00</v>
      </c>
      <c r="K80" s="15" t="str">
        <f t="shared" si="3"/>
        <v>0.00</v>
      </c>
      <c r="L80" s="15" t="str">
        <f t="shared" si="3"/>
        <v>0.00</v>
      </c>
      <c r="M80" s="15" t="str">
        <f t="shared" si="3"/>
        <v>0.00</v>
      </c>
    </row>
    <row r="81" ht="15.75" customHeight="1">
      <c r="A81" s="14" t="s">
        <v>15</v>
      </c>
      <c r="B81" s="8" t="str">
        <f t="shared" ref="B81:M81" si="4">COUNTIF(B6:B76,"&gt;="&amp;B80)</f>
        <v>0</v>
      </c>
      <c r="C81" s="8" t="str">
        <f t="shared" si="4"/>
        <v>0</v>
      </c>
      <c r="D81" s="8" t="str">
        <f t="shared" si="4"/>
        <v>0</v>
      </c>
      <c r="E81" s="8" t="str">
        <f t="shared" si="4"/>
        <v>0</v>
      </c>
      <c r="F81" s="8" t="str">
        <f t="shared" si="4"/>
        <v>0</v>
      </c>
      <c r="G81" s="8" t="str">
        <f t="shared" si="4"/>
        <v>0</v>
      </c>
      <c r="H81" s="8" t="str">
        <f t="shared" si="4"/>
        <v>0</v>
      </c>
      <c r="I81" s="8" t="str">
        <f t="shared" si="4"/>
        <v>0</v>
      </c>
      <c r="J81" s="8" t="str">
        <f t="shared" si="4"/>
        <v>0</v>
      </c>
      <c r="K81" s="8" t="str">
        <f t="shared" si="4"/>
        <v>0</v>
      </c>
      <c r="L81" s="8" t="str">
        <f t="shared" si="4"/>
        <v>0</v>
      </c>
      <c r="M81" s="8" t="str">
        <f t="shared" si="4"/>
        <v>0</v>
      </c>
    </row>
    <row r="82" ht="15.75" customHeight="1">
      <c r="A82" s="14" t="s">
        <v>16</v>
      </c>
      <c r="B82" s="15" t="str">
        <f t="shared" ref="B82:M82" si="5">IFERROR((B81/B79)*100,0)</f>
        <v>0.00</v>
      </c>
      <c r="C82" s="15" t="str">
        <f t="shared" si="5"/>
        <v>0.00</v>
      </c>
      <c r="D82" s="15" t="str">
        <f t="shared" si="5"/>
        <v>0.00</v>
      </c>
      <c r="E82" s="15" t="str">
        <f t="shared" si="5"/>
        <v>0.00</v>
      </c>
      <c r="F82" s="15" t="str">
        <f t="shared" si="5"/>
        <v>0.00</v>
      </c>
      <c r="G82" s="15" t="str">
        <f t="shared" si="5"/>
        <v>0.00</v>
      </c>
      <c r="H82" s="15" t="str">
        <f t="shared" si="5"/>
        <v>0.00</v>
      </c>
      <c r="I82" s="15" t="str">
        <f t="shared" si="5"/>
        <v>0.00</v>
      </c>
      <c r="J82" s="15" t="str">
        <f t="shared" si="5"/>
        <v>0.00</v>
      </c>
      <c r="K82" s="15" t="str">
        <f t="shared" si="5"/>
        <v>0.00</v>
      </c>
      <c r="L82" s="15" t="str">
        <f t="shared" si="5"/>
        <v>0.00</v>
      </c>
      <c r="M82" s="15" t="str">
        <f t="shared" si="5"/>
        <v>0.00</v>
      </c>
    </row>
    <row r="83" ht="15.75" customHeight="1">
      <c r="A83" s="17" t="s">
        <v>17</v>
      </c>
      <c r="B83" s="18" t="str">
        <f>IFERROR(SUM(B82:G82)/COUNTIF(B82:G82,"&lt;&gt;0"),0)</f>
        <v>0.00</v>
      </c>
      <c r="C83" s="2"/>
      <c r="D83" s="2"/>
      <c r="E83" s="2"/>
      <c r="F83" s="2"/>
      <c r="G83" s="3"/>
      <c r="H83" s="18" t="str">
        <f>IFERROR(SUM(H82:M82)/COUNTIF(H82:M82,"&lt;&gt;0"),0)</f>
        <v>0.00</v>
      </c>
      <c r="I83" s="2"/>
      <c r="J83" s="2"/>
      <c r="K83" s="2"/>
      <c r="L83" s="2"/>
      <c r="M83" s="3"/>
    </row>
    <row r="84" ht="15.75" customHeight="1">
      <c r="A84" s="19" t="s">
        <v>18</v>
      </c>
      <c r="B84" s="20" t="str">
        <f>B83</f>
        <v>0.00</v>
      </c>
      <c r="C84" s="21"/>
      <c r="D84" s="21"/>
      <c r="E84" s="21"/>
      <c r="F84" s="21"/>
      <c r="G84" s="21"/>
      <c r="H84" s="21"/>
      <c r="I84" s="21"/>
      <c r="J84" s="21"/>
      <c r="K84" s="21"/>
      <c r="L84" s="22"/>
      <c r="M84" s="22"/>
    </row>
    <row r="85" ht="15.75" customHeight="1">
      <c r="A85" s="19" t="s">
        <v>19</v>
      </c>
      <c r="B85" s="20" t="str">
        <f>H83</f>
        <v>0.00</v>
      </c>
      <c r="C85" s="21"/>
      <c r="D85" s="21"/>
      <c r="E85" s="21"/>
      <c r="F85" s="21"/>
      <c r="G85" s="21"/>
      <c r="H85" s="21"/>
      <c r="I85" s="21"/>
      <c r="J85" s="21"/>
      <c r="K85" s="21"/>
      <c r="L85" s="23"/>
      <c r="M85" s="24"/>
    </row>
    <row r="86" ht="46.5" customHeight="1">
      <c r="A86" s="17" t="s">
        <v>20</v>
      </c>
      <c r="B86" s="20" t="str">
        <f>AVERAGE(B84:B85)</f>
        <v>0.00</v>
      </c>
      <c r="C86" s="21"/>
      <c r="D86" s="21"/>
      <c r="E86" s="21"/>
      <c r="F86" s="21"/>
      <c r="G86" s="21"/>
      <c r="H86" s="21"/>
      <c r="I86" s="21"/>
      <c r="J86" s="21"/>
      <c r="K86" s="21"/>
      <c r="L86" s="22"/>
      <c r="M86" s="22"/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7">
    <mergeCell ref="B83:G83"/>
    <mergeCell ref="H83:M83"/>
    <mergeCell ref="A1:M1"/>
    <mergeCell ref="A2:M2"/>
    <mergeCell ref="A3:M3"/>
    <mergeCell ref="B4:G4"/>
    <mergeCell ref="H4:M4"/>
  </mergeCells>
  <dataValidations>
    <dataValidation type="decimal" allowBlank="1" showInputMessage="1" showErrorMessage="1" prompt="ENTER the GPA&#10;&#10;IF THERE IS NO GPA, LEAVE THE CELL AS BLANK" sqref="C6:E70 I6:K70 C72:E75 I72:K75">
      <formula1>0.1</formula1>
      <formula2>10.0</formula2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8.67"/>
    <col customWidth="1" min="2" max="2" width="16.89"/>
    <col customWidth="1" min="3" max="3" width="25.44"/>
    <col customWidth="1" min="4" max="4" width="5.11"/>
    <col customWidth="1" min="5" max="5" width="8.89"/>
    <col customWidth="1" min="6" max="8" width="7.11"/>
    <col customWidth="1" min="9" max="9" width="8.0"/>
    <col customWidth="1" min="10" max="14" width="7.11"/>
    <col customWidth="1" min="15" max="15" width="8.78"/>
    <col customWidth="1" min="16" max="16" width="8.44"/>
    <col customWidth="1" min="17" max="20" width="7.11"/>
    <col customWidth="1" hidden="1" min="21" max="25" width="7.11"/>
    <col customWidth="1" hidden="1" min="26" max="35" width="11.22"/>
  </cols>
  <sheetData>
    <row r="1" ht="15.0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</row>
    <row r="2" ht="15.0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</row>
    <row r="3" ht="15.0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</row>
    <row r="4" ht="15.0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</row>
    <row r="5" ht="15.0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</row>
    <row r="6" ht="15.0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</row>
    <row r="7" ht="17.25" customHeight="1">
      <c r="A7" s="26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8"/>
      <c r="P7" s="29"/>
      <c r="Q7" s="29"/>
      <c r="R7" s="29"/>
      <c r="S7" s="29"/>
      <c r="T7" s="29"/>
      <c r="U7" s="29"/>
      <c r="V7" s="29"/>
      <c r="W7" s="29"/>
      <c r="X7" s="30"/>
      <c r="Y7" s="30"/>
    </row>
    <row r="8" ht="17.25" customHeight="1">
      <c r="A8" s="26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8"/>
      <c r="P8" s="29"/>
      <c r="Q8" s="29"/>
      <c r="R8" s="31"/>
      <c r="S8" s="29"/>
      <c r="T8" s="29"/>
      <c r="U8" s="29"/>
      <c r="V8" s="29"/>
      <c r="W8" s="29"/>
      <c r="X8" s="30"/>
      <c r="Y8" s="30"/>
    </row>
    <row r="9" ht="17.25" customHeight="1">
      <c r="A9" s="26" t="s">
        <v>21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8"/>
      <c r="P9" s="29"/>
      <c r="Q9" s="29"/>
      <c r="R9" s="31"/>
      <c r="S9" s="29"/>
      <c r="T9" s="29"/>
      <c r="U9" s="29"/>
      <c r="V9" s="29"/>
      <c r="W9" s="29"/>
      <c r="X9" s="30"/>
      <c r="Y9" s="30"/>
    </row>
    <row r="10" ht="31.5" customHeight="1">
      <c r="A10" s="32"/>
      <c r="B10" s="32"/>
      <c r="C10" s="33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31"/>
      <c r="S10" s="29"/>
      <c r="T10" s="29"/>
      <c r="U10" s="29"/>
      <c r="V10" s="29"/>
      <c r="W10" s="29"/>
      <c r="X10" s="29"/>
      <c r="Y10" s="29"/>
    </row>
    <row r="11" ht="31.5" customHeight="1">
      <c r="A11" s="34" t="s">
        <v>22</v>
      </c>
      <c r="B11" s="2"/>
      <c r="C11" s="3"/>
      <c r="D11" s="4" t="s">
        <v>23</v>
      </c>
      <c r="E11" s="2"/>
      <c r="F11" s="3"/>
      <c r="G11" s="4" t="s">
        <v>24</v>
      </c>
      <c r="H11" s="2"/>
      <c r="I11" s="3"/>
      <c r="J11" s="4" t="s">
        <v>25</v>
      </c>
      <c r="K11" s="2"/>
      <c r="L11" s="3"/>
      <c r="M11" s="4" t="s">
        <v>26</v>
      </c>
      <c r="N11" s="2"/>
      <c r="O11" s="3"/>
      <c r="P11" s="35" t="s">
        <v>27</v>
      </c>
      <c r="Q11" s="36"/>
      <c r="R11" s="2"/>
      <c r="S11" s="3"/>
      <c r="T11" s="37"/>
      <c r="U11" s="37"/>
      <c r="V11" s="38"/>
      <c r="W11" s="27"/>
      <c r="X11" s="27"/>
      <c r="Y11" s="27"/>
      <c r="Z11" s="28"/>
    </row>
    <row r="12" ht="36.0" customHeight="1">
      <c r="A12" s="34" t="s">
        <v>28</v>
      </c>
      <c r="B12" s="2"/>
      <c r="C12" s="3"/>
      <c r="D12" s="4"/>
      <c r="E12" s="2"/>
      <c r="F12" s="3"/>
      <c r="G12" s="4" t="s">
        <v>29</v>
      </c>
      <c r="H12" s="2"/>
      <c r="I12" s="2"/>
      <c r="J12" s="2"/>
      <c r="K12" s="2"/>
      <c r="L12" s="2"/>
      <c r="M12" s="2"/>
      <c r="N12" s="2"/>
      <c r="O12" s="39"/>
      <c r="P12" s="40"/>
      <c r="Q12" s="41"/>
      <c r="R12" s="42"/>
      <c r="S12" s="43"/>
      <c r="T12" s="44"/>
      <c r="U12" s="44"/>
      <c r="V12" s="29"/>
      <c r="W12" s="29"/>
      <c r="X12" s="29"/>
      <c r="Y12" s="29"/>
      <c r="Z12" s="25"/>
      <c r="AA12" s="25" t="s">
        <v>30</v>
      </c>
    </row>
    <row r="13" ht="33.0" customHeight="1">
      <c r="A13" s="34" t="s">
        <v>31</v>
      </c>
      <c r="B13" s="2"/>
      <c r="C13" s="3"/>
      <c r="D13" s="4" t="s">
        <v>32</v>
      </c>
      <c r="E13" s="2"/>
      <c r="F13" s="2"/>
      <c r="G13" s="3"/>
      <c r="H13" s="4" t="s">
        <v>33</v>
      </c>
      <c r="I13" s="2"/>
      <c r="J13" s="2"/>
      <c r="K13" s="3"/>
      <c r="L13" s="4" t="s">
        <v>34</v>
      </c>
      <c r="M13" s="2"/>
      <c r="N13" s="2"/>
      <c r="O13" s="39"/>
      <c r="P13" s="45"/>
      <c r="Q13" s="46"/>
      <c r="R13" s="47"/>
      <c r="S13" s="48"/>
      <c r="T13" s="44"/>
      <c r="U13" s="44"/>
      <c r="V13" s="29"/>
      <c r="W13" s="29"/>
      <c r="X13" s="29"/>
      <c r="Y13" s="29"/>
      <c r="Z13" s="25"/>
      <c r="AA13" s="25" t="s">
        <v>35</v>
      </c>
    </row>
    <row r="14" ht="17.25" customHeight="1">
      <c r="A14" s="32"/>
      <c r="B14" s="32"/>
      <c r="C14" s="33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AA14" s="25" t="s">
        <v>36</v>
      </c>
    </row>
    <row r="15" ht="29.25" customHeight="1">
      <c r="A15" s="49" t="s">
        <v>37</v>
      </c>
      <c r="B15" s="49" t="s">
        <v>38</v>
      </c>
      <c r="C15" s="50" t="s">
        <v>39</v>
      </c>
      <c r="D15" s="32"/>
      <c r="E15" s="51" t="s">
        <v>40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3"/>
      <c r="Q15" s="32"/>
      <c r="R15" s="32"/>
      <c r="S15" s="32"/>
      <c r="T15" s="32"/>
      <c r="U15" s="32"/>
      <c r="V15" s="32"/>
      <c r="W15" s="32"/>
      <c r="X15" s="32"/>
      <c r="Y15" s="32"/>
      <c r="Z15" s="52"/>
    </row>
    <row r="16" ht="21.75" customHeight="1">
      <c r="A16" s="53">
        <v>1.0</v>
      </c>
      <c r="B16" s="54" t="s">
        <v>41</v>
      </c>
      <c r="C16" s="55"/>
      <c r="D16" s="29"/>
      <c r="E16" s="56" t="s">
        <v>42</v>
      </c>
      <c r="F16" s="57"/>
      <c r="G16" s="57"/>
      <c r="H16" s="58"/>
      <c r="I16" s="56" t="s">
        <v>43</v>
      </c>
      <c r="J16" s="57"/>
      <c r="K16" s="57"/>
      <c r="L16" s="58"/>
      <c r="M16" s="56" t="s">
        <v>44</v>
      </c>
      <c r="N16" s="59"/>
      <c r="O16" s="60" t="s">
        <v>45</v>
      </c>
      <c r="P16" s="43"/>
      <c r="Q16" s="29"/>
      <c r="R16" s="29"/>
      <c r="S16" s="29"/>
      <c r="T16" s="29"/>
      <c r="U16" s="29"/>
      <c r="V16" s="29"/>
      <c r="W16" s="29"/>
      <c r="X16" s="29"/>
      <c r="Y16" s="29"/>
    </row>
    <row r="17" ht="21.75" customHeight="1">
      <c r="A17" s="53">
        <v>2.0</v>
      </c>
      <c r="B17" s="54" t="s">
        <v>46</v>
      </c>
      <c r="C17" s="55"/>
      <c r="D17" s="29"/>
      <c r="E17" s="46"/>
      <c r="F17" s="47"/>
      <c r="G17" s="47"/>
      <c r="H17" s="48"/>
      <c r="I17" s="46"/>
      <c r="J17" s="47"/>
      <c r="K17" s="47"/>
      <c r="L17" s="48"/>
      <c r="M17" s="46"/>
      <c r="N17" s="61"/>
      <c r="O17" s="46"/>
      <c r="P17" s="48"/>
      <c r="Q17" s="25"/>
      <c r="R17" s="29"/>
      <c r="S17" s="29"/>
      <c r="T17" s="29"/>
      <c r="U17" s="29"/>
      <c r="V17" s="29"/>
      <c r="W17" s="29"/>
      <c r="X17" s="29"/>
      <c r="Y17" s="29"/>
    </row>
    <row r="18" ht="23.25" customHeight="1">
      <c r="A18" s="53">
        <v>3.0</v>
      </c>
      <c r="B18" s="54" t="s">
        <v>47</v>
      </c>
      <c r="C18" s="55"/>
      <c r="D18" s="29"/>
      <c r="E18" s="60" t="s">
        <v>48</v>
      </c>
      <c r="F18" s="42"/>
      <c r="G18" s="42"/>
      <c r="H18" s="43"/>
      <c r="I18" s="62" t="s">
        <v>49</v>
      </c>
      <c r="J18" s="42"/>
      <c r="K18" s="42"/>
      <c r="L18" s="43"/>
      <c r="M18" s="63" t="str">
        <f>Target!B86</f>
        <v>0.00</v>
      </c>
      <c r="N18" s="64"/>
      <c r="O18" s="63" t="str">
        <f>ROUND(M18+5,0)</f>
        <v>5.00</v>
      </c>
      <c r="P18" s="43"/>
      <c r="Q18" s="25"/>
      <c r="R18" s="29"/>
      <c r="S18" s="29"/>
      <c r="T18" s="29"/>
      <c r="U18" s="29"/>
      <c r="V18" s="29"/>
      <c r="W18" s="29"/>
      <c r="X18" s="29"/>
      <c r="Y18" s="29"/>
    </row>
    <row r="19" ht="24.75" customHeight="1">
      <c r="A19" s="53">
        <v>4.0</v>
      </c>
      <c r="B19" s="54" t="s">
        <v>50</v>
      </c>
      <c r="C19" s="55"/>
      <c r="D19" s="29"/>
      <c r="E19" s="65"/>
      <c r="H19" s="66"/>
      <c r="I19" s="65"/>
      <c r="L19" s="66"/>
      <c r="M19" s="65"/>
      <c r="N19" s="67"/>
      <c r="O19" s="65"/>
      <c r="P19" s="66"/>
      <c r="Q19" s="29"/>
      <c r="R19" s="29"/>
      <c r="S19" s="29"/>
      <c r="T19" s="29"/>
      <c r="U19" s="29"/>
      <c r="V19" s="29"/>
      <c r="W19" s="29"/>
      <c r="X19" s="29"/>
      <c r="Y19" s="29"/>
    </row>
    <row r="20" ht="21.75" customHeight="1">
      <c r="A20" s="53">
        <v>5.0</v>
      </c>
      <c r="B20" s="54" t="s">
        <v>51</v>
      </c>
      <c r="C20" s="55"/>
      <c r="D20" s="29"/>
      <c r="E20" s="46"/>
      <c r="F20" s="47"/>
      <c r="G20" s="47"/>
      <c r="H20" s="48"/>
      <c r="I20" s="46"/>
      <c r="J20" s="47"/>
      <c r="K20" s="47"/>
      <c r="L20" s="48"/>
      <c r="M20" s="46"/>
      <c r="N20" s="61"/>
      <c r="O20" s="46"/>
      <c r="P20" s="48"/>
      <c r="Q20" s="29"/>
      <c r="R20" s="29"/>
      <c r="S20" s="29"/>
      <c r="T20" s="29"/>
      <c r="U20" s="29"/>
      <c r="V20" s="29"/>
      <c r="W20" s="29"/>
      <c r="X20" s="29"/>
      <c r="Y20" s="29"/>
    </row>
    <row r="21" ht="21.75" customHeight="1">
      <c r="A21" s="53">
        <v>6.0</v>
      </c>
      <c r="B21" s="54" t="s">
        <v>52</v>
      </c>
      <c r="C21" s="55"/>
      <c r="D21" s="29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29"/>
      <c r="R21" s="29"/>
      <c r="S21" s="29"/>
      <c r="T21" s="29"/>
      <c r="U21" s="29"/>
      <c r="V21" s="29"/>
      <c r="W21" s="29"/>
      <c r="X21" s="29"/>
      <c r="Y21" s="29"/>
    </row>
    <row r="22" ht="21.75" customHeight="1">
      <c r="A22" s="53">
        <v>7.0</v>
      </c>
      <c r="B22" s="54" t="s">
        <v>53</v>
      </c>
      <c r="C22" s="55"/>
      <c r="D22" s="29"/>
      <c r="E22" s="60" t="s">
        <v>54</v>
      </c>
      <c r="F22" s="42"/>
      <c r="G22" s="42"/>
      <c r="H22" s="43"/>
      <c r="I22" s="68" t="str">
        <f>+COUNTA(B16:B476)</f>
        <v>46</v>
      </c>
      <c r="J22" s="60" t="s">
        <v>55</v>
      </c>
      <c r="K22" s="42"/>
      <c r="L22" s="42"/>
      <c r="M22" s="64"/>
      <c r="N22" s="69" t="str">
        <f>ROUND((O18/100)*I22,0)</f>
        <v>2</v>
      </c>
      <c r="O22" s="42"/>
      <c r="P22" s="43"/>
      <c r="Q22" s="29"/>
      <c r="R22" s="29"/>
      <c r="S22" s="29"/>
      <c r="T22" s="29"/>
      <c r="U22" s="29"/>
      <c r="V22" s="29"/>
      <c r="W22" s="29"/>
      <c r="X22" s="29"/>
      <c r="Y22" s="29"/>
    </row>
    <row r="23" ht="21.75" customHeight="1">
      <c r="A23" s="53">
        <v>8.0</v>
      </c>
      <c r="B23" s="54" t="s">
        <v>56</v>
      </c>
      <c r="C23" s="55"/>
      <c r="D23" s="29"/>
      <c r="E23" s="65"/>
      <c r="H23" s="66"/>
      <c r="I23" s="70"/>
      <c r="J23" s="65"/>
      <c r="M23" s="67"/>
      <c r="N23" s="65"/>
      <c r="P23" s="66"/>
      <c r="Q23" s="29"/>
      <c r="R23" s="29"/>
      <c r="S23" s="29"/>
      <c r="T23" s="29"/>
      <c r="U23" s="29"/>
      <c r="V23" s="29"/>
      <c r="W23" s="29"/>
      <c r="X23" s="29"/>
      <c r="Y23" s="29"/>
    </row>
    <row r="24" ht="21.75" customHeight="1">
      <c r="A24" s="53">
        <v>9.0</v>
      </c>
      <c r="B24" s="54" t="s">
        <v>57</v>
      </c>
      <c r="C24" s="55"/>
      <c r="D24" s="29"/>
      <c r="E24" s="46"/>
      <c r="F24" s="47"/>
      <c r="G24" s="47"/>
      <c r="H24" s="48"/>
      <c r="I24" s="71"/>
      <c r="J24" s="46"/>
      <c r="K24" s="47"/>
      <c r="L24" s="47"/>
      <c r="M24" s="61"/>
      <c r="N24" s="46"/>
      <c r="O24" s="47"/>
      <c r="P24" s="48"/>
      <c r="Q24" s="29"/>
      <c r="R24" s="29"/>
      <c r="S24" s="29"/>
      <c r="T24" s="29"/>
      <c r="U24" s="29"/>
      <c r="V24" s="29"/>
      <c r="W24" s="29"/>
      <c r="X24" s="29"/>
      <c r="Y24" s="29"/>
    </row>
    <row r="25" ht="21.75" customHeight="1">
      <c r="A25" s="53">
        <v>10.0</v>
      </c>
      <c r="B25" s="54" t="s">
        <v>58</v>
      </c>
      <c r="C25" s="55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ht="21.75" customHeight="1">
      <c r="A26" s="53">
        <v>11.0</v>
      </c>
      <c r="B26" s="54" t="s">
        <v>59</v>
      </c>
      <c r="C26" s="55"/>
      <c r="D26" s="29"/>
      <c r="E26" s="72" t="s">
        <v>60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4"/>
      <c r="T26" s="29"/>
      <c r="U26" s="29"/>
      <c r="V26" s="29"/>
      <c r="W26" s="29"/>
      <c r="X26" s="29"/>
      <c r="Y26" s="29"/>
    </row>
    <row r="27" ht="21.75" customHeight="1">
      <c r="A27" s="53">
        <v>12.0</v>
      </c>
      <c r="B27" s="54" t="s">
        <v>61</v>
      </c>
      <c r="C27" s="55"/>
      <c r="D27" s="29"/>
      <c r="E27" s="75" t="s">
        <v>62</v>
      </c>
      <c r="F27" s="75" t="s">
        <v>63</v>
      </c>
      <c r="G27" s="75" t="s">
        <v>64</v>
      </c>
      <c r="H27" s="75" t="s">
        <v>65</v>
      </c>
      <c r="I27" s="75" t="s">
        <v>66</v>
      </c>
      <c r="J27" s="75" t="s">
        <v>67</v>
      </c>
      <c r="K27" s="75" t="s">
        <v>68</v>
      </c>
      <c r="L27" s="76" t="s">
        <v>69</v>
      </c>
      <c r="M27" s="76" t="s">
        <v>70</v>
      </c>
      <c r="N27" s="77" t="s">
        <v>71</v>
      </c>
      <c r="O27" s="75" t="s">
        <v>72</v>
      </c>
      <c r="P27" s="75" t="s">
        <v>73</v>
      </c>
      <c r="Q27" s="76" t="s">
        <v>74</v>
      </c>
      <c r="R27" s="77" t="s">
        <v>75</v>
      </c>
      <c r="S27" s="76" t="s">
        <v>76</v>
      </c>
      <c r="T27" s="29"/>
      <c r="U27" s="29"/>
      <c r="V27" s="78" t="s">
        <v>63</v>
      </c>
      <c r="W27" s="79" t="s">
        <v>64</v>
      </c>
      <c r="X27" s="79" t="s">
        <v>65</v>
      </c>
      <c r="Y27" s="79" t="s">
        <v>66</v>
      </c>
      <c r="Z27" s="79" t="s">
        <v>67</v>
      </c>
      <c r="AA27" s="79" t="s">
        <v>68</v>
      </c>
      <c r="AB27" s="79" t="s">
        <v>69</v>
      </c>
      <c r="AC27" s="79" t="s">
        <v>70</v>
      </c>
      <c r="AD27" s="79" t="s">
        <v>71</v>
      </c>
      <c r="AE27" s="79" t="s">
        <v>72</v>
      </c>
      <c r="AF27" s="79" t="s">
        <v>73</v>
      </c>
      <c r="AG27" s="79" t="s">
        <v>74</v>
      </c>
      <c r="AH27" s="79" t="s">
        <v>75</v>
      </c>
      <c r="AI27" s="79" t="s">
        <v>76</v>
      </c>
    </row>
    <row r="28" ht="21.75" customHeight="1">
      <c r="A28" s="53">
        <v>13.0</v>
      </c>
      <c r="B28" s="54" t="s">
        <v>77</v>
      </c>
      <c r="C28" s="55"/>
      <c r="D28" s="29"/>
      <c r="E28" s="80"/>
      <c r="F28" s="80"/>
      <c r="G28" s="80"/>
      <c r="H28" s="80"/>
      <c r="I28" s="80"/>
      <c r="J28" s="80"/>
      <c r="K28" s="80"/>
      <c r="L28" s="81"/>
      <c r="M28" s="81"/>
      <c r="N28" s="82"/>
      <c r="O28" s="80"/>
      <c r="P28" s="80"/>
      <c r="Q28" s="81"/>
      <c r="R28" s="82"/>
      <c r="S28" s="81"/>
      <c r="T28" s="29"/>
      <c r="U28" s="29"/>
      <c r="V28" s="83" t="str">
        <f t="shared" ref="V28:AI28" si="1">IF(ISBLANK(F29),"","P")</f>
        <v/>
      </c>
      <c r="W28" s="83" t="str">
        <f t="shared" si="1"/>
        <v/>
      </c>
      <c r="X28" s="83" t="str">
        <f t="shared" si="1"/>
        <v/>
      </c>
      <c r="Y28" s="83" t="str">
        <f t="shared" si="1"/>
        <v/>
      </c>
      <c r="Z28" s="83" t="str">
        <f t="shared" si="1"/>
        <v/>
      </c>
      <c r="AA28" s="83" t="str">
        <f t="shared" si="1"/>
        <v/>
      </c>
      <c r="AB28" s="83" t="str">
        <f t="shared" si="1"/>
        <v/>
      </c>
      <c r="AC28" s="83" t="str">
        <f t="shared" si="1"/>
        <v/>
      </c>
      <c r="AD28" s="83" t="str">
        <f t="shared" si="1"/>
        <v/>
      </c>
      <c r="AE28" s="83" t="str">
        <f t="shared" si="1"/>
        <v/>
      </c>
      <c r="AF28" s="83" t="str">
        <f t="shared" si="1"/>
        <v/>
      </c>
      <c r="AG28" s="83" t="str">
        <f t="shared" si="1"/>
        <v/>
      </c>
      <c r="AH28" s="83" t="str">
        <f t="shared" si="1"/>
        <v/>
      </c>
      <c r="AI28" s="83" t="str">
        <f t="shared" si="1"/>
        <v/>
      </c>
    </row>
    <row r="29" ht="21.75" customHeight="1">
      <c r="A29" s="53">
        <v>14.0</v>
      </c>
      <c r="B29" s="54" t="s">
        <v>78</v>
      </c>
      <c r="C29" s="55"/>
      <c r="D29" s="29"/>
      <c r="E29" s="84" t="str">
        <f>M37</f>
        <v>CO-1</v>
      </c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29"/>
      <c r="U29" s="29"/>
      <c r="V29" s="83" t="str">
        <f t="shared" ref="V29:AI29" si="2">IF(ISBLANK(F30),"","P")</f>
        <v/>
      </c>
      <c r="W29" s="83" t="str">
        <f t="shared" si="2"/>
        <v/>
      </c>
      <c r="X29" s="83" t="str">
        <f t="shared" si="2"/>
        <v/>
      </c>
      <c r="Y29" s="83" t="str">
        <f t="shared" si="2"/>
        <v/>
      </c>
      <c r="Z29" s="83" t="str">
        <f t="shared" si="2"/>
        <v/>
      </c>
      <c r="AA29" s="83" t="str">
        <f t="shared" si="2"/>
        <v/>
      </c>
      <c r="AB29" s="83" t="str">
        <f t="shared" si="2"/>
        <v/>
      </c>
      <c r="AC29" s="83" t="str">
        <f t="shared" si="2"/>
        <v/>
      </c>
      <c r="AD29" s="83" t="str">
        <f t="shared" si="2"/>
        <v/>
      </c>
      <c r="AE29" s="83" t="str">
        <f t="shared" si="2"/>
        <v/>
      </c>
      <c r="AF29" s="83" t="str">
        <f t="shared" si="2"/>
        <v/>
      </c>
      <c r="AG29" s="83" t="str">
        <f t="shared" si="2"/>
        <v/>
      </c>
      <c r="AH29" s="83" t="str">
        <f t="shared" si="2"/>
        <v/>
      </c>
      <c r="AI29" s="83" t="str">
        <f t="shared" si="2"/>
        <v/>
      </c>
    </row>
    <row r="30" ht="21.75" customHeight="1">
      <c r="A30" s="53">
        <v>15.0</v>
      </c>
      <c r="B30" s="54" t="s">
        <v>79</v>
      </c>
      <c r="C30" s="55">
        <v>1.0</v>
      </c>
      <c r="D30" s="29"/>
      <c r="E30" s="84" t="str">
        <f>N37</f>
        <v>CO-2</v>
      </c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29"/>
      <c r="U30" s="29"/>
      <c r="V30" s="83" t="str">
        <f t="shared" ref="V30:AI30" si="3">IF(ISBLANK(F31),"","P")</f>
        <v/>
      </c>
      <c r="W30" s="83" t="str">
        <f t="shared" si="3"/>
        <v/>
      </c>
      <c r="X30" s="83" t="str">
        <f t="shared" si="3"/>
        <v/>
      </c>
      <c r="Y30" s="83" t="str">
        <f t="shared" si="3"/>
        <v/>
      </c>
      <c r="Z30" s="83" t="str">
        <f t="shared" si="3"/>
        <v/>
      </c>
      <c r="AA30" s="83" t="str">
        <f t="shared" si="3"/>
        <v/>
      </c>
      <c r="AB30" s="83" t="str">
        <f t="shared" si="3"/>
        <v/>
      </c>
      <c r="AC30" s="83" t="str">
        <f t="shared" si="3"/>
        <v/>
      </c>
      <c r="AD30" s="83" t="str">
        <f t="shared" si="3"/>
        <v/>
      </c>
      <c r="AE30" s="83" t="str">
        <f t="shared" si="3"/>
        <v/>
      </c>
      <c r="AF30" s="83" t="str">
        <f t="shared" si="3"/>
        <v/>
      </c>
      <c r="AG30" s="83" t="str">
        <f t="shared" si="3"/>
        <v/>
      </c>
      <c r="AH30" s="83" t="str">
        <f t="shared" si="3"/>
        <v/>
      </c>
      <c r="AI30" s="83" t="str">
        <f t="shared" si="3"/>
        <v/>
      </c>
    </row>
    <row r="31" ht="21.75" customHeight="1">
      <c r="A31" s="53">
        <v>16.0</v>
      </c>
      <c r="B31" s="54" t="s">
        <v>80</v>
      </c>
      <c r="C31" s="55"/>
      <c r="D31" s="29"/>
      <c r="E31" s="84" t="str">
        <f>O37</f>
        <v>CO-3</v>
      </c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29"/>
      <c r="U31" s="29"/>
      <c r="V31" s="83" t="str">
        <f t="shared" ref="V31:AI31" si="4">IF(ISBLANK(F32),"","P")</f>
        <v/>
      </c>
      <c r="W31" s="83" t="str">
        <f t="shared" si="4"/>
        <v/>
      </c>
      <c r="X31" s="83" t="str">
        <f t="shared" si="4"/>
        <v/>
      </c>
      <c r="Y31" s="83" t="str">
        <f t="shared" si="4"/>
        <v/>
      </c>
      <c r="Z31" s="83" t="str">
        <f t="shared" si="4"/>
        <v/>
      </c>
      <c r="AA31" s="83" t="str">
        <f t="shared" si="4"/>
        <v/>
      </c>
      <c r="AB31" s="83" t="str">
        <f t="shared" si="4"/>
        <v/>
      </c>
      <c r="AC31" s="83" t="str">
        <f t="shared" si="4"/>
        <v/>
      </c>
      <c r="AD31" s="83" t="str">
        <f t="shared" si="4"/>
        <v/>
      </c>
      <c r="AE31" s="83" t="str">
        <f t="shared" si="4"/>
        <v/>
      </c>
      <c r="AF31" s="83" t="str">
        <f t="shared" si="4"/>
        <v/>
      </c>
      <c r="AG31" s="83" t="str">
        <f t="shared" si="4"/>
        <v/>
      </c>
      <c r="AH31" s="83" t="str">
        <f t="shared" si="4"/>
        <v/>
      </c>
      <c r="AI31" s="83" t="str">
        <f t="shared" si="4"/>
        <v/>
      </c>
    </row>
    <row r="32" ht="21.75" customHeight="1">
      <c r="A32" s="53">
        <v>17.0</v>
      </c>
      <c r="B32" s="54" t="s">
        <v>81</v>
      </c>
      <c r="C32" s="55"/>
      <c r="D32" s="29"/>
      <c r="E32" s="84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29"/>
      <c r="U32" s="29"/>
      <c r="V32" s="83" t="str">
        <f t="shared" ref="V32:AI32" si="5">IF(ISBLANK(F33),"","P")</f>
        <v/>
      </c>
      <c r="W32" s="83" t="str">
        <f t="shared" si="5"/>
        <v/>
      </c>
      <c r="X32" s="83" t="str">
        <f t="shared" si="5"/>
        <v/>
      </c>
      <c r="Y32" s="83" t="str">
        <f t="shared" si="5"/>
        <v/>
      </c>
      <c r="Z32" s="83" t="str">
        <f t="shared" si="5"/>
        <v/>
      </c>
      <c r="AA32" s="83" t="str">
        <f t="shared" si="5"/>
        <v/>
      </c>
      <c r="AB32" s="83" t="str">
        <f t="shared" si="5"/>
        <v/>
      </c>
      <c r="AC32" s="83" t="str">
        <f t="shared" si="5"/>
        <v/>
      </c>
      <c r="AD32" s="83" t="str">
        <f t="shared" si="5"/>
        <v/>
      </c>
      <c r="AE32" s="83" t="str">
        <f t="shared" si="5"/>
        <v/>
      </c>
      <c r="AF32" s="83" t="str">
        <f t="shared" si="5"/>
        <v/>
      </c>
      <c r="AG32" s="83" t="str">
        <f t="shared" si="5"/>
        <v/>
      </c>
      <c r="AH32" s="83" t="str">
        <f t="shared" si="5"/>
        <v/>
      </c>
      <c r="AI32" s="83" t="str">
        <f t="shared" si="5"/>
        <v/>
      </c>
    </row>
    <row r="33" ht="21.75" customHeight="1">
      <c r="A33" s="53">
        <v>18.0</v>
      </c>
      <c r="B33" s="54" t="s">
        <v>82</v>
      </c>
      <c r="C33" s="55"/>
      <c r="D33" s="29"/>
      <c r="E33" s="84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29"/>
      <c r="U33" s="29"/>
      <c r="V33" s="86" t="str">
        <f t="shared" ref="V33:AI33" si="6">IF(SUM(V28:V32)=0,"-",ROUND(((SUM(V28:V32))/COUNT(V28:V32)),2))</f>
        <v>-</v>
      </c>
      <c r="W33" s="86" t="str">
        <f t="shared" si="6"/>
        <v>-</v>
      </c>
      <c r="X33" s="86" t="str">
        <f t="shared" si="6"/>
        <v>-</v>
      </c>
      <c r="Y33" s="86" t="str">
        <f t="shared" si="6"/>
        <v>-</v>
      </c>
      <c r="Z33" s="86" t="str">
        <f t="shared" si="6"/>
        <v>-</v>
      </c>
      <c r="AA33" s="86" t="str">
        <f t="shared" si="6"/>
        <v>-</v>
      </c>
      <c r="AB33" s="86" t="str">
        <f t="shared" si="6"/>
        <v>-</v>
      </c>
      <c r="AC33" s="86" t="str">
        <f t="shared" si="6"/>
        <v>-</v>
      </c>
      <c r="AD33" s="86" t="str">
        <f t="shared" si="6"/>
        <v>-</v>
      </c>
      <c r="AE33" s="86" t="str">
        <f t="shared" si="6"/>
        <v>-</v>
      </c>
      <c r="AF33" s="86" t="str">
        <f t="shared" si="6"/>
        <v>-</v>
      </c>
      <c r="AG33" s="86" t="str">
        <f t="shared" si="6"/>
        <v>-</v>
      </c>
      <c r="AH33" s="86" t="str">
        <f t="shared" si="6"/>
        <v>-</v>
      </c>
      <c r="AI33" s="86" t="str">
        <f t="shared" si="6"/>
        <v>-</v>
      </c>
    </row>
    <row r="34" ht="21.75" customHeight="1">
      <c r="A34" s="53">
        <v>19.0</v>
      </c>
      <c r="B34" s="54" t="s">
        <v>83</v>
      </c>
      <c r="C34" s="55"/>
      <c r="D34" s="29"/>
      <c r="E34" s="87" t="s">
        <v>84</v>
      </c>
      <c r="F34" s="87" t="str">
        <f t="shared" ref="F34:S34" si="7">IF(SUM(F29:F31)=0,"-",ROUND(((SUM(F29:F31))/COUNT(F29:F31)),2))</f>
        <v>-</v>
      </c>
      <c r="G34" s="87" t="str">
        <f t="shared" si="7"/>
        <v>-</v>
      </c>
      <c r="H34" s="87" t="str">
        <f t="shared" si="7"/>
        <v>-</v>
      </c>
      <c r="I34" s="87" t="str">
        <f t="shared" si="7"/>
        <v>-</v>
      </c>
      <c r="J34" s="87" t="str">
        <f t="shared" si="7"/>
        <v>-</v>
      </c>
      <c r="K34" s="87" t="str">
        <f t="shared" si="7"/>
        <v>-</v>
      </c>
      <c r="L34" s="87" t="str">
        <f t="shared" si="7"/>
        <v>-</v>
      </c>
      <c r="M34" s="87" t="str">
        <f t="shared" si="7"/>
        <v>-</v>
      </c>
      <c r="N34" s="87" t="str">
        <f t="shared" si="7"/>
        <v>-</v>
      </c>
      <c r="O34" s="87" t="str">
        <f t="shared" si="7"/>
        <v>-</v>
      </c>
      <c r="P34" s="87" t="str">
        <f t="shared" si="7"/>
        <v>-</v>
      </c>
      <c r="Q34" s="87" t="str">
        <f t="shared" si="7"/>
        <v>-</v>
      </c>
      <c r="R34" s="87" t="str">
        <f t="shared" si="7"/>
        <v>-</v>
      </c>
      <c r="S34" s="87" t="str">
        <f t="shared" si="7"/>
        <v>-</v>
      </c>
      <c r="T34" s="29"/>
      <c r="U34" s="29"/>
      <c r="V34" s="29"/>
      <c r="W34" s="29"/>
      <c r="X34" s="29"/>
      <c r="Y34" s="29"/>
      <c r="AJ34" s="25" t="s">
        <v>85</v>
      </c>
    </row>
    <row r="35" ht="21.75" customHeight="1">
      <c r="A35" s="53">
        <v>20.0</v>
      </c>
      <c r="B35" s="54" t="s">
        <v>86</v>
      </c>
      <c r="C35" s="55"/>
      <c r="D35" s="29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29"/>
      <c r="U35" s="29"/>
      <c r="V35" s="29"/>
      <c r="W35" s="29"/>
      <c r="X35" s="29"/>
      <c r="Y35" s="29"/>
    </row>
    <row r="36" ht="21.75" customHeight="1">
      <c r="A36" s="53">
        <v>21.0</v>
      </c>
      <c r="B36" s="54" t="s">
        <v>87</v>
      </c>
      <c r="C36" s="55"/>
      <c r="D36" s="30"/>
      <c r="E36" s="89" t="s">
        <v>88</v>
      </c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29"/>
      <c r="U36" s="29"/>
      <c r="V36" s="29"/>
      <c r="W36" s="29"/>
      <c r="X36" s="29"/>
      <c r="Y36" s="29"/>
    </row>
    <row r="37" ht="21.75" customHeight="1">
      <c r="A37" s="53">
        <v>22.0</v>
      </c>
      <c r="B37" s="54" t="s">
        <v>89</v>
      </c>
      <c r="C37" s="55"/>
      <c r="D37" s="29"/>
      <c r="G37" s="90" t="s">
        <v>90</v>
      </c>
      <c r="H37" s="2"/>
      <c r="I37" s="2"/>
      <c r="J37" s="2"/>
      <c r="K37" s="2"/>
      <c r="L37" s="3"/>
      <c r="M37" s="91" t="s">
        <v>91</v>
      </c>
      <c r="N37" s="92" t="s">
        <v>92</v>
      </c>
      <c r="O37" s="92" t="s">
        <v>93</v>
      </c>
      <c r="P37" s="92"/>
      <c r="Q37" s="92"/>
      <c r="T37" s="29"/>
      <c r="U37" s="29"/>
      <c r="V37" s="29"/>
      <c r="W37" s="29"/>
      <c r="X37" s="29"/>
      <c r="Y37" s="29"/>
    </row>
    <row r="38" ht="21.75" customHeight="1">
      <c r="A38" s="53">
        <v>23.0</v>
      </c>
      <c r="B38" s="54" t="s">
        <v>94</v>
      </c>
      <c r="C38" s="55"/>
      <c r="D38" s="29"/>
      <c r="G38" s="93" t="s">
        <v>95</v>
      </c>
      <c r="H38" s="2"/>
      <c r="I38" s="2"/>
      <c r="J38" s="2"/>
      <c r="K38" s="2"/>
      <c r="L38" s="3"/>
      <c r="M38" s="94" t="str">
        <f>'Internal CO'!C464</f>
        <v>0.0</v>
      </c>
      <c r="N38" s="95" t="str">
        <f>'Internal CO'!D464</f>
        <v>0.0</v>
      </c>
      <c r="O38" s="95" t="str">
        <f>'Internal CO'!E464</f>
        <v>0.0</v>
      </c>
      <c r="P38" s="95"/>
      <c r="Q38" s="95"/>
      <c r="T38" s="29"/>
      <c r="U38" s="29"/>
      <c r="V38" s="29"/>
      <c r="W38" s="29"/>
      <c r="X38" s="29"/>
      <c r="Y38" s="29"/>
    </row>
    <row r="39" ht="21.75" customHeight="1">
      <c r="A39" s="53">
        <v>24.0</v>
      </c>
      <c r="B39" s="54" t="s">
        <v>96</v>
      </c>
      <c r="C39" s="55">
        <v>1.0</v>
      </c>
      <c r="D39" s="29"/>
      <c r="G39" s="96" t="s">
        <v>97</v>
      </c>
      <c r="H39" s="2"/>
      <c r="I39" s="2"/>
      <c r="J39" s="2"/>
      <c r="K39" s="2"/>
      <c r="L39" s="3"/>
      <c r="M39" s="94" t="str">
        <f>'ESE CO'!C464</f>
        <v>0.0</v>
      </c>
      <c r="N39" s="95" t="str">
        <f>'ESE CO'!D464</f>
        <v>0.0</v>
      </c>
      <c r="O39" s="95" t="str">
        <f>'ESE CO'!E464</f>
        <v>0.0</v>
      </c>
      <c r="P39" s="95"/>
      <c r="Q39" s="95"/>
      <c r="T39" s="29"/>
      <c r="U39" s="29"/>
      <c r="V39" s="29"/>
      <c r="W39" s="29"/>
      <c r="X39" s="29"/>
      <c r="Y39" s="29"/>
    </row>
    <row r="40" ht="21.75" customHeight="1">
      <c r="A40" s="53">
        <v>25.0</v>
      </c>
      <c r="B40" s="54" t="s">
        <v>98</v>
      </c>
      <c r="C40" s="55"/>
      <c r="D40" s="29"/>
      <c r="G40" s="96" t="s">
        <v>99</v>
      </c>
      <c r="H40" s="2"/>
      <c r="I40" s="2"/>
      <c r="J40" s="2"/>
      <c r="K40" s="2"/>
      <c r="L40" s="3"/>
      <c r="M40" s="97" t="str">
        <f t="shared" ref="M40:O40" si="8">IFERROR(M38*0.6+M39*0.4,"")</f>
        <v>0.0</v>
      </c>
      <c r="N40" s="97" t="str">
        <f t="shared" si="8"/>
        <v>0.0</v>
      </c>
      <c r="O40" s="97" t="str">
        <f t="shared" si="8"/>
        <v>0.0</v>
      </c>
      <c r="P40" s="98"/>
      <c r="Q40" s="98"/>
      <c r="T40" s="29"/>
      <c r="U40" s="29"/>
      <c r="V40" s="29"/>
      <c r="W40" s="29"/>
      <c r="X40" s="29"/>
      <c r="Y40" s="29"/>
    </row>
    <row r="41" ht="21.75" customHeight="1">
      <c r="A41" s="53">
        <v>26.0</v>
      </c>
      <c r="B41" s="54" t="s">
        <v>100</v>
      </c>
      <c r="C41" s="55"/>
      <c r="D41" s="29"/>
      <c r="T41" s="29"/>
      <c r="U41" s="29"/>
      <c r="V41" s="29"/>
      <c r="W41" s="29"/>
      <c r="X41" s="29"/>
      <c r="Y41" s="29"/>
    </row>
    <row r="42" ht="21.75" customHeight="1">
      <c r="A42" s="53">
        <v>27.0</v>
      </c>
      <c r="B42" s="54" t="s">
        <v>101</v>
      </c>
      <c r="C42" s="55"/>
      <c r="D42" s="29"/>
      <c r="E42" s="99" t="s">
        <v>102</v>
      </c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1"/>
      <c r="T42" s="29"/>
      <c r="U42" s="29"/>
      <c r="V42" s="29"/>
      <c r="W42" s="29"/>
      <c r="X42" s="29"/>
      <c r="Y42" s="29"/>
    </row>
    <row r="43" ht="21.75" customHeight="1">
      <c r="A43" s="53">
        <v>28.0</v>
      </c>
      <c r="B43" s="54" t="s">
        <v>103</v>
      </c>
      <c r="C43" s="55"/>
      <c r="D43" s="29"/>
      <c r="E43" s="102" t="s">
        <v>62</v>
      </c>
      <c r="F43" s="103" t="s">
        <v>63</v>
      </c>
      <c r="G43" s="103" t="s">
        <v>64</v>
      </c>
      <c r="H43" s="103" t="s">
        <v>65</v>
      </c>
      <c r="I43" s="103" t="s">
        <v>66</v>
      </c>
      <c r="J43" s="103" t="s">
        <v>67</v>
      </c>
      <c r="K43" s="103" t="s">
        <v>68</v>
      </c>
      <c r="L43" s="103" t="s">
        <v>69</v>
      </c>
      <c r="M43" s="103" t="s">
        <v>70</v>
      </c>
      <c r="N43" s="103" t="s">
        <v>71</v>
      </c>
      <c r="O43" s="103" t="s">
        <v>72</v>
      </c>
      <c r="P43" s="103" t="s">
        <v>73</v>
      </c>
      <c r="Q43" s="103" t="s">
        <v>74</v>
      </c>
      <c r="R43" s="103" t="s">
        <v>75</v>
      </c>
      <c r="S43" s="103" t="s">
        <v>76</v>
      </c>
      <c r="T43" s="29"/>
      <c r="U43" s="29"/>
      <c r="V43" s="29"/>
      <c r="W43" s="29"/>
      <c r="X43" s="29"/>
      <c r="Y43" s="29"/>
    </row>
    <row r="44" ht="21.75" customHeight="1">
      <c r="A44" s="53">
        <v>29.0</v>
      </c>
      <c r="B44" s="54" t="s">
        <v>104</v>
      </c>
      <c r="C44" s="55"/>
      <c r="D44" s="29"/>
      <c r="E44" s="87" t="str">
        <f t="shared" ref="E44:E46" si="10">+E29</f>
        <v>CO-1</v>
      </c>
      <c r="F44" s="104" t="str">
        <f t="shared" ref="F44:S44" si="9">IF(V28="P",(F29*($M$40/100)),"-")</f>
        <v>-</v>
      </c>
      <c r="G44" s="104" t="str">
        <f t="shared" si="9"/>
        <v>-</v>
      </c>
      <c r="H44" s="104" t="str">
        <f t="shared" si="9"/>
        <v>-</v>
      </c>
      <c r="I44" s="104" t="str">
        <f t="shared" si="9"/>
        <v>-</v>
      </c>
      <c r="J44" s="104" t="str">
        <f t="shared" si="9"/>
        <v>-</v>
      </c>
      <c r="K44" s="104" t="str">
        <f t="shared" si="9"/>
        <v>-</v>
      </c>
      <c r="L44" s="104" t="str">
        <f t="shared" si="9"/>
        <v>-</v>
      </c>
      <c r="M44" s="104" t="str">
        <f t="shared" si="9"/>
        <v>-</v>
      </c>
      <c r="N44" s="104" t="str">
        <f t="shared" si="9"/>
        <v>-</v>
      </c>
      <c r="O44" s="104" t="str">
        <f t="shared" si="9"/>
        <v>-</v>
      </c>
      <c r="P44" s="104" t="str">
        <f t="shared" si="9"/>
        <v>-</v>
      </c>
      <c r="Q44" s="104" t="str">
        <f t="shared" si="9"/>
        <v>-</v>
      </c>
      <c r="R44" s="104" t="str">
        <f t="shared" si="9"/>
        <v>-</v>
      </c>
      <c r="S44" s="104" t="str">
        <f t="shared" si="9"/>
        <v>-</v>
      </c>
      <c r="T44" s="29"/>
      <c r="U44" s="29"/>
      <c r="V44" s="29"/>
      <c r="W44" s="29"/>
      <c r="X44" s="29"/>
      <c r="Y44" s="29"/>
    </row>
    <row r="45" ht="21.75" customHeight="1">
      <c r="A45" s="53">
        <v>30.0</v>
      </c>
      <c r="B45" s="54" t="s">
        <v>105</v>
      </c>
      <c r="C45" s="55"/>
      <c r="D45" s="29"/>
      <c r="E45" s="87" t="str">
        <f t="shared" si="10"/>
        <v>CO-2</v>
      </c>
      <c r="F45" s="104" t="str">
        <f t="shared" ref="F45:S45" si="11">IF(V29="P",(F30*($N$40/100)),"-")</f>
        <v>-</v>
      </c>
      <c r="G45" s="104" t="str">
        <f t="shared" si="11"/>
        <v>-</v>
      </c>
      <c r="H45" s="104" t="str">
        <f t="shared" si="11"/>
        <v>-</v>
      </c>
      <c r="I45" s="104" t="str">
        <f t="shared" si="11"/>
        <v>-</v>
      </c>
      <c r="J45" s="104" t="str">
        <f t="shared" si="11"/>
        <v>-</v>
      </c>
      <c r="K45" s="104" t="str">
        <f t="shared" si="11"/>
        <v>-</v>
      </c>
      <c r="L45" s="104" t="str">
        <f t="shared" si="11"/>
        <v>-</v>
      </c>
      <c r="M45" s="104" t="str">
        <f t="shared" si="11"/>
        <v>-</v>
      </c>
      <c r="N45" s="104" t="str">
        <f t="shared" si="11"/>
        <v>-</v>
      </c>
      <c r="O45" s="104" t="str">
        <f t="shared" si="11"/>
        <v>-</v>
      </c>
      <c r="P45" s="104" t="str">
        <f t="shared" si="11"/>
        <v>-</v>
      </c>
      <c r="Q45" s="104" t="str">
        <f t="shared" si="11"/>
        <v>-</v>
      </c>
      <c r="R45" s="104" t="str">
        <f t="shared" si="11"/>
        <v>-</v>
      </c>
      <c r="S45" s="104" t="str">
        <f t="shared" si="11"/>
        <v>-</v>
      </c>
      <c r="T45" s="29"/>
      <c r="U45" s="29"/>
      <c r="V45" s="29"/>
      <c r="W45" s="29"/>
      <c r="X45" s="29"/>
      <c r="Y45" s="29"/>
    </row>
    <row r="46" ht="21.75" customHeight="1">
      <c r="A46" s="53">
        <v>31.0</v>
      </c>
      <c r="B46" s="54" t="s">
        <v>106</v>
      </c>
      <c r="C46" s="55"/>
      <c r="D46" s="29"/>
      <c r="E46" s="87" t="str">
        <f t="shared" si="10"/>
        <v>CO-3</v>
      </c>
      <c r="F46" s="104" t="str">
        <f t="shared" ref="F46:S46" si="12">IF(V30="P",(F31*($O$40/100)),"-")</f>
        <v>-</v>
      </c>
      <c r="G46" s="104" t="str">
        <f t="shared" si="12"/>
        <v>-</v>
      </c>
      <c r="H46" s="104" t="str">
        <f t="shared" si="12"/>
        <v>-</v>
      </c>
      <c r="I46" s="104" t="str">
        <f t="shared" si="12"/>
        <v>-</v>
      </c>
      <c r="J46" s="104" t="str">
        <f t="shared" si="12"/>
        <v>-</v>
      </c>
      <c r="K46" s="104" t="str">
        <f t="shared" si="12"/>
        <v>-</v>
      </c>
      <c r="L46" s="104" t="str">
        <f t="shared" si="12"/>
        <v>-</v>
      </c>
      <c r="M46" s="104" t="str">
        <f t="shared" si="12"/>
        <v>-</v>
      </c>
      <c r="N46" s="104" t="str">
        <f t="shared" si="12"/>
        <v>-</v>
      </c>
      <c r="O46" s="104" t="str">
        <f t="shared" si="12"/>
        <v>-</v>
      </c>
      <c r="P46" s="104" t="str">
        <f t="shared" si="12"/>
        <v>-</v>
      </c>
      <c r="Q46" s="104" t="str">
        <f t="shared" si="12"/>
        <v>-</v>
      </c>
      <c r="R46" s="104" t="str">
        <f t="shared" si="12"/>
        <v>-</v>
      </c>
      <c r="S46" s="104" t="str">
        <f t="shared" si="12"/>
        <v>-</v>
      </c>
      <c r="T46" s="29"/>
      <c r="U46" s="29"/>
      <c r="V46" s="29"/>
      <c r="W46" s="29"/>
      <c r="X46" s="29"/>
      <c r="Y46" s="29"/>
    </row>
    <row r="47" ht="21.75" customHeight="1">
      <c r="A47" s="53">
        <v>32.0</v>
      </c>
      <c r="B47" s="54" t="s">
        <v>107</v>
      </c>
      <c r="C47" s="55"/>
      <c r="D47" s="29"/>
      <c r="E47" s="87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29"/>
      <c r="U47" s="29"/>
      <c r="V47" s="29"/>
      <c r="W47" s="29"/>
      <c r="X47" s="29"/>
      <c r="Y47" s="29"/>
    </row>
    <row r="48" ht="21.75" customHeight="1">
      <c r="A48" s="53">
        <v>33.0</v>
      </c>
      <c r="B48" s="54" t="s">
        <v>108</v>
      </c>
      <c r="C48" s="55"/>
      <c r="D48" s="29"/>
      <c r="E48" s="87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29"/>
      <c r="U48" s="29"/>
      <c r="V48" s="29"/>
      <c r="W48" s="29"/>
      <c r="X48" s="29"/>
      <c r="Y48" s="29"/>
    </row>
    <row r="49" ht="21.75" customHeight="1">
      <c r="A49" s="53">
        <v>34.0</v>
      </c>
      <c r="B49" s="54" t="s">
        <v>109</v>
      </c>
      <c r="C49" s="55"/>
      <c r="D49" s="29"/>
      <c r="E49" s="87" t="s">
        <v>84</v>
      </c>
      <c r="F49" s="105" t="str">
        <f t="shared" ref="F49:S49" si="13">IF(SUM(F44:F46)=0,"-",ROUND(((SUM(F44:F46))/COUNT(F44:F46)),2))</f>
        <v>-</v>
      </c>
      <c r="G49" s="105" t="str">
        <f t="shared" si="13"/>
        <v>-</v>
      </c>
      <c r="H49" s="105" t="str">
        <f t="shared" si="13"/>
        <v>-</v>
      </c>
      <c r="I49" s="105" t="str">
        <f t="shared" si="13"/>
        <v>-</v>
      </c>
      <c r="J49" s="105" t="str">
        <f t="shared" si="13"/>
        <v>-</v>
      </c>
      <c r="K49" s="105" t="str">
        <f t="shared" si="13"/>
        <v>-</v>
      </c>
      <c r="L49" s="105" t="str">
        <f t="shared" si="13"/>
        <v>-</v>
      </c>
      <c r="M49" s="105" t="str">
        <f t="shared" si="13"/>
        <v>-</v>
      </c>
      <c r="N49" s="105" t="str">
        <f t="shared" si="13"/>
        <v>-</v>
      </c>
      <c r="O49" s="105" t="str">
        <f t="shared" si="13"/>
        <v>-</v>
      </c>
      <c r="P49" s="105" t="str">
        <f t="shared" si="13"/>
        <v>-</v>
      </c>
      <c r="Q49" s="105" t="str">
        <f t="shared" si="13"/>
        <v>-</v>
      </c>
      <c r="R49" s="105" t="str">
        <f t="shared" si="13"/>
        <v>-</v>
      </c>
      <c r="S49" s="105" t="str">
        <f t="shared" si="13"/>
        <v>-</v>
      </c>
      <c r="T49" s="29"/>
      <c r="U49" s="29"/>
      <c r="V49" s="29"/>
      <c r="W49" s="29"/>
      <c r="X49" s="29"/>
      <c r="Y49" s="29"/>
    </row>
    <row r="50" ht="21.75" customHeight="1">
      <c r="A50" s="53">
        <v>35.0</v>
      </c>
      <c r="B50" s="54" t="s">
        <v>110</v>
      </c>
      <c r="C50" s="55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</row>
    <row r="51" ht="21.75" customHeight="1">
      <c r="A51" s="53">
        <v>36.0</v>
      </c>
      <c r="B51" s="54" t="s">
        <v>111</v>
      </c>
      <c r="C51" s="55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</row>
    <row r="52" ht="21.75" customHeight="1">
      <c r="A52" s="53">
        <v>37.0</v>
      </c>
      <c r="B52" s="54" t="s">
        <v>112</v>
      </c>
      <c r="C52" s="55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</row>
    <row r="53" ht="21.75" customHeight="1">
      <c r="A53" s="53">
        <v>38.0</v>
      </c>
      <c r="B53" s="54" t="s">
        <v>113</v>
      </c>
      <c r="C53" s="55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</row>
    <row r="54" ht="21.75" customHeight="1">
      <c r="A54" s="53">
        <v>39.0</v>
      </c>
      <c r="B54" s="54" t="s">
        <v>114</v>
      </c>
      <c r="C54" s="55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</row>
    <row r="55" ht="21.75" customHeight="1">
      <c r="A55" s="53">
        <v>40.0</v>
      </c>
      <c r="B55" s="54" t="s">
        <v>115</v>
      </c>
      <c r="C55" s="55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21.75" customHeight="1">
      <c r="A56" s="53">
        <v>41.0</v>
      </c>
      <c r="B56" s="54" t="s">
        <v>116</v>
      </c>
      <c r="C56" s="55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ht="21.75" customHeight="1">
      <c r="A57" s="53">
        <v>42.0</v>
      </c>
      <c r="B57" s="54" t="s">
        <v>117</v>
      </c>
      <c r="C57" s="55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ht="21.75" customHeight="1">
      <c r="A58" s="53">
        <v>43.0</v>
      </c>
      <c r="B58" s="54" t="s">
        <v>118</v>
      </c>
      <c r="C58" s="55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21.75" customHeight="1">
      <c r="A59" s="53">
        <v>44.0</v>
      </c>
      <c r="B59" s="54" t="s">
        <v>119</v>
      </c>
      <c r="C59" s="55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ht="21.75" customHeight="1">
      <c r="A60" s="53">
        <v>45.0</v>
      </c>
      <c r="B60" s="54" t="s">
        <v>120</v>
      </c>
      <c r="C60" s="55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</row>
    <row r="61" ht="21.75" customHeight="1">
      <c r="A61" s="53">
        <v>46.0</v>
      </c>
      <c r="B61" s="54" t="s">
        <v>121</v>
      </c>
      <c r="C61" s="55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21.75" customHeight="1">
      <c r="A62" s="53">
        <v>47.0</v>
      </c>
      <c r="B62" s="54"/>
      <c r="C62" s="55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</row>
    <row r="63" ht="21.75" customHeight="1">
      <c r="A63" s="53">
        <v>48.0</v>
      </c>
      <c r="B63" s="54"/>
      <c r="C63" s="55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</row>
    <row r="64" ht="21.75" customHeight="1">
      <c r="A64" s="53">
        <v>49.0</v>
      </c>
      <c r="B64" s="54"/>
      <c r="C64" s="55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21.75" customHeight="1">
      <c r="A65" s="53">
        <v>50.0</v>
      </c>
      <c r="B65" s="54"/>
      <c r="C65" s="55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ht="21.75" customHeight="1">
      <c r="A66" s="53">
        <v>51.0</v>
      </c>
      <c r="B66" s="54"/>
      <c r="C66" s="55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</row>
    <row r="67" ht="21.75" customHeight="1">
      <c r="A67" s="53">
        <v>52.0</v>
      </c>
      <c r="B67" s="54"/>
      <c r="C67" s="55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21.75" customHeight="1">
      <c r="A68" s="53">
        <v>53.0</v>
      </c>
      <c r="B68" s="54"/>
      <c r="C68" s="55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ht="21.75" customHeight="1">
      <c r="A69" s="53">
        <v>54.0</v>
      </c>
      <c r="B69" s="54"/>
      <c r="C69" s="55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</row>
    <row r="70" ht="21.75" customHeight="1">
      <c r="A70" s="53">
        <v>55.0</v>
      </c>
      <c r="B70" s="54"/>
      <c r="C70" s="55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21.75" customHeight="1">
      <c r="A71" s="53">
        <v>56.0</v>
      </c>
      <c r="B71" s="54"/>
      <c r="C71" s="55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ht="21.75" customHeight="1">
      <c r="A72" s="53">
        <v>57.0</v>
      </c>
      <c r="B72" s="54"/>
      <c r="C72" s="55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ht="21.75" customHeight="1">
      <c r="A73" s="53">
        <v>58.0</v>
      </c>
      <c r="B73" s="54"/>
      <c r="C73" s="55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</row>
    <row r="74" ht="21.75" customHeight="1">
      <c r="A74" s="53">
        <v>59.0</v>
      </c>
      <c r="B74" s="54"/>
      <c r="C74" s="55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5" ht="21.75" customHeight="1">
      <c r="A75" s="53">
        <v>60.0</v>
      </c>
      <c r="B75" s="54"/>
      <c r="C75" s="55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</row>
    <row r="76" ht="21.75" customHeight="1">
      <c r="A76" s="53">
        <v>61.0</v>
      </c>
      <c r="B76" s="54"/>
      <c r="C76" s="55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</row>
    <row r="77" ht="21.75" customHeight="1">
      <c r="A77" s="53">
        <v>62.0</v>
      </c>
      <c r="B77" s="54"/>
      <c r="C77" s="55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ht="21.75" customHeight="1">
      <c r="A78" s="53">
        <v>63.0</v>
      </c>
      <c r="B78" s="54"/>
      <c r="C78" s="55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ht="21.75" customHeight="1">
      <c r="A79" s="53">
        <v>64.0</v>
      </c>
      <c r="B79" s="54"/>
      <c r="C79" s="55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</row>
    <row r="80" ht="21.75" customHeight="1">
      <c r="A80" s="53">
        <v>65.0</v>
      </c>
      <c r="B80" s="54"/>
      <c r="C80" s="55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</row>
    <row r="81" ht="21.75" customHeight="1">
      <c r="A81" s="53">
        <v>66.0</v>
      </c>
      <c r="B81" s="54"/>
      <c r="C81" s="55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</row>
    <row r="82" ht="21.75" customHeight="1">
      <c r="A82" s="53">
        <v>67.0</v>
      </c>
      <c r="B82" s="54"/>
      <c r="C82" s="55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</row>
    <row r="83" ht="21.75" customHeight="1">
      <c r="A83" s="53">
        <v>68.0</v>
      </c>
      <c r="B83" s="54"/>
      <c r="C83" s="55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</row>
    <row r="84" ht="21.75" customHeight="1">
      <c r="A84" s="53">
        <v>69.0</v>
      </c>
      <c r="B84" s="54"/>
      <c r="C84" s="55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</row>
    <row r="85" ht="21.75" customHeight="1">
      <c r="A85" s="53">
        <v>70.0</v>
      </c>
      <c r="B85" s="54"/>
      <c r="C85" s="55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</row>
    <row r="86" ht="21.75" customHeight="1">
      <c r="A86" s="53">
        <v>71.0</v>
      </c>
      <c r="B86" s="54"/>
      <c r="C86" s="55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</row>
    <row r="87" ht="21.75" customHeight="1">
      <c r="A87" s="53">
        <v>72.0</v>
      </c>
      <c r="B87" s="54"/>
      <c r="C87" s="55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</row>
    <row r="88" ht="21.75" customHeight="1">
      <c r="A88" s="53">
        <v>73.0</v>
      </c>
      <c r="B88" s="54"/>
      <c r="C88" s="55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</row>
    <row r="89" ht="21.75" customHeight="1">
      <c r="A89" s="53">
        <v>74.0</v>
      </c>
      <c r="B89" s="54"/>
      <c r="C89" s="55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</row>
    <row r="90" ht="21.75" customHeight="1">
      <c r="A90" s="53">
        <v>75.0</v>
      </c>
      <c r="B90" s="54"/>
      <c r="C90" s="55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</row>
    <row r="91" ht="21.75" customHeight="1">
      <c r="A91" s="53">
        <v>76.0</v>
      </c>
      <c r="B91" s="54"/>
      <c r="C91" s="55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</row>
    <row r="92" ht="21.75" customHeight="1">
      <c r="A92" s="53">
        <v>77.0</v>
      </c>
      <c r="B92" s="54"/>
      <c r="C92" s="55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</row>
    <row r="93" ht="21.75" customHeight="1">
      <c r="A93" s="53">
        <v>78.0</v>
      </c>
      <c r="B93" s="54"/>
      <c r="C93" s="55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</row>
    <row r="94" ht="21.75" customHeight="1">
      <c r="A94" s="53">
        <v>79.0</v>
      </c>
      <c r="B94" s="54"/>
      <c r="C94" s="55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</row>
    <row r="95" ht="21.75" customHeight="1">
      <c r="A95" s="53">
        <v>80.0</v>
      </c>
      <c r="B95" s="54"/>
      <c r="C95" s="55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</row>
    <row r="96" ht="21.75" customHeight="1">
      <c r="A96" s="53">
        <v>81.0</v>
      </c>
      <c r="B96" s="54"/>
      <c r="C96" s="55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</row>
    <row r="97" ht="21.75" customHeight="1">
      <c r="A97" s="53">
        <v>82.0</v>
      </c>
      <c r="B97" s="54"/>
      <c r="C97" s="55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</row>
    <row r="98" ht="21.75" customHeight="1">
      <c r="A98" s="53">
        <v>83.0</v>
      </c>
      <c r="B98" s="54"/>
      <c r="C98" s="55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</row>
    <row r="99" ht="21.75" customHeight="1">
      <c r="A99" s="53">
        <v>84.0</v>
      </c>
      <c r="B99" s="54"/>
      <c r="C99" s="55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</row>
    <row r="100" ht="21.75" customHeight="1">
      <c r="A100" s="53">
        <v>85.0</v>
      </c>
      <c r="B100" s="54"/>
      <c r="C100" s="55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</row>
    <row r="101" ht="21.75" customHeight="1">
      <c r="A101" s="53">
        <v>86.0</v>
      </c>
      <c r="B101" s="54"/>
      <c r="C101" s="55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</row>
    <row r="102" ht="21.75" customHeight="1">
      <c r="A102" s="53">
        <v>87.0</v>
      </c>
      <c r="B102" s="54"/>
      <c r="C102" s="55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</row>
    <row r="103" ht="21.75" customHeight="1">
      <c r="A103" s="53">
        <v>88.0</v>
      </c>
      <c r="B103" s="54"/>
      <c r="C103" s="55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</row>
    <row r="104" ht="21.75" customHeight="1">
      <c r="A104" s="53">
        <v>89.0</v>
      </c>
      <c r="B104" s="54"/>
      <c r="C104" s="55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</row>
    <row r="105" ht="21.75" customHeight="1">
      <c r="A105" s="53">
        <v>90.0</v>
      </c>
      <c r="B105" s="54"/>
      <c r="C105" s="55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</row>
    <row r="106" ht="21.75" customHeight="1">
      <c r="A106" s="53">
        <v>91.0</v>
      </c>
      <c r="B106" s="54"/>
      <c r="C106" s="55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</row>
    <row r="107" ht="21.75" customHeight="1">
      <c r="A107" s="53">
        <v>92.0</v>
      </c>
      <c r="B107" s="54"/>
      <c r="C107" s="55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</row>
    <row r="108" ht="21.75" customHeight="1">
      <c r="A108" s="53">
        <v>93.0</v>
      </c>
      <c r="B108" s="54"/>
      <c r="C108" s="55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</row>
    <row r="109" ht="21.75" customHeight="1">
      <c r="A109" s="53">
        <v>94.0</v>
      </c>
      <c r="B109" s="54"/>
      <c r="C109" s="55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</row>
    <row r="110" ht="21.75" customHeight="1">
      <c r="A110" s="53">
        <v>95.0</v>
      </c>
      <c r="B110" s="54"/>
      <c r="C110" s="55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</row>
    <row r="111" ht="21.75" customHeight="1">
      <c r="A111" s="53">
        <v>96.0</v>
      </c>
      <c r="B111" s="54"/>
      <c r="C111" s="55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</row>
    <row r="112" ht="21.75" customHeight="1">
      <c r="A112" s="53">
        <v>97.0</v>
      </c>
      <c r="B112" s="54"/>
      <c r="C112" s="55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</row>
    <row r="113" ht="21.75" customHeight="1">
      <c r="A113" s="53">
        <v>98.0</v>
      </c>
      <c r="B113" s="54"/>
      <c r="C113" s="55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</row>
    <row r="114" ht="21.75" customHeight="1">
      <c r="A114" s="53">
        <v>99.0</v>
      </c>
      <c r="B114" s="54"/>
      <c r="C114" s="55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</row>
    <row r="115" ht="21.75" customHeight="1">
      <c r="A115" s="53">
        <v>100.0</v>
      </c>
      <c r="B115" s="54"/>
      <c r="C115" s="55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</row>
    <row r="116" ht="21.75" customHeight="1">
      <c r="A116" s="53">
        <v>101.0</v>
      </c>
      <c r="B116" s="54"/>
      <c r="C116" s="55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</row>
    <row r="117" ht="21.75" customHeight="1">
      <c r="A117" s="53">
        <v>102.0</v>
      </c>
      <c r="B117" s="54"/>
      <c r="C117" s="55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</row>
    <row r="118" ht="21.75" customHeight="1">
      <c r="A118" s="53">
        <v>103.0</v>
      </c>
      <c r="B118" s="54"/>
      <c r="C118" s="55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</row>
    <row r="119" ht="21.75" customHeight="1">
      <c r="A119" s="53">
        <v>104.0</v>
      </c>
      <c r="B119" s="54"/>
      <c r="C119" s="55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</row>
    <row r="120" ht="21.75" customHeight="1">
      <c r="A120" s="53">
        <v>105.0</v>
      </c>
      <c r="B120" s="54"/>
      <c r="C120" s="55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</row>
    <row r="121" ht="21.75" customHeight="1">
      <c r="A121" s="53">
        <v>106.0</v>
      </c>
      <c r="B121" s="54"/>
      <c r="C121" s="55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</row>
    <row r="122" ht="21.75" customHeight="1">
      <c r="A122" s="53">
        <v>107.0</v>
      </c>
      <c r="B122" s="54"/>
      <c r="C122" s="55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</row>
    <row r="123" ht="21.75" customHeight="1">
      <c r="A123" s="53">
        <v>108.0</v>
      </c>
      <c r="B123" s="54"/>
      <c r="C123" s="55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</row>
    <row r="124" ht="21.75" customHeight="1">
      <c r="A124" s="53">
        <v>109.0</v>
      </c>
      <c r="B124" s="54"/>
      <c r="C124" s="55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</row>
    <row r="125" ht="21.75" customHeight="1">
      <c r="A125" s="53">
        <v>110.0</v>
      </c>
      <c r="B125" s="54"/>
      <c r="C125" s="55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</row>
    <row r="126" ht="21.75" customHeight="1">
      <c r="A126" s="53">
        <v>111.0</v>
      </c>
      <c r="B126" s="54"/>
      <c r="C126" s="55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</row>
    <row r="127" ht="21.75" customHeight="1">
      <c r="A127" s="53">
        <v>112.0</v>
      </c>
      <c r="B127" s="54"/>
      <c r="C127" s="55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</row>
    <row r="128" ht="21.75" customHeight="1">
      <c r="A128" s="53">
        <v>113.0</v>
      </c>
      <c r="B128" s="54"/>
      <c r="C128" s="55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</row>
    <row r="129" ht="21.75" customHeight="1">
      <c r="A129" s="53">
        <v>114.0</v>
      </c>
      <c r="B129" s="54"/>
      <c r="C129" s="55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</row>
    <row r="130" ht="21.75" customHeight="1">
      <c r="A130" s="53">
        <v>115.0</v>
      </c>
      <c r="B130" s="54"/>
      <c r="C130" s="55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</row>
    <row r="131" ht="21.75" customHeight="1">
      <c r="A131" s="53">
        <v>116.0</v>
      </c>
      <c r="B131" s="54"/>
      <c r="C131" s="55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</row>
    <row r="132" ht="21.75" customHeight="1">
      <c r="A132" s="53">
        <v>117.0</v>
      </c>
      <c r="B132" s="54"/>
      <c r="C132" s="55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</row>
    <row r="133" ht="21.75" customHeight="1">
      <c r="A133" s="53">
        <v>118.0</v>
      </c>
      <c r="B133" s="54"/>
      <c r="C133" s="55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</row>
    <row r="134" ht="21.75" customHeight="1">
      <c r="A134" s="53">
        <v>119.0</v>
      </c>
      <c r="B134" s="54"/>
      <c r="C134" s="55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</row>
    <row r="135" ht="21.75" customHeight="1">
      <c r="A135" s="53">
        <v>120.0</v>
      </c>
      <c r="B135" s="54"/>
      <c r="C135" s="55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</row>
    <row r="136" ht="21.75" customHeight="1">
      <c r="A136" s="53">
        <v>121.0</v>
      </c>
      <c r="B136" s="54"/>
      <c r="C136" s="55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</row>
    <row r="137" ht="21.75" customHeight="1">
      <c r="A137" s="53">
        <v>122.0</v>
      </c>
      <c r="B137" s="54"/>
      <c r="C137" s="55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</row>
    <row r="138" ht="21.75" customHeight="1">
      <c r="A138" s="53">
        <v>123.0</v>
      </c>
      <c r="B138" s="54"/>
      <c r="C138" s="55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</row>
    <row r="139" ht="21.75" customHeight="1">
      <c r="A139" s="53">
        <v>124.0</v>
      </c>
      <c r="B139" s="54"/>
      <c r="C139" s="55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</row>
    <row r="140" ht="21.75" customHeight="1">
      <c r="A140" s="53">
        <v>125.0</v>
      </c>
      <c r="B140" s="54"/>
      <c r="C140" s="55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</row>
    <row r="141" ht="21.75" customHeight="1">
      <c r="A141" s="53">
        <v>126.0</v>
      </c>
      <c r="B141" s="54"/>
      <c r="C141" s="55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</row>
    <row r="142" ht="21.75" customHeight="1">
      <c r="A142" s="53">
        <v>127.0</v>
      </c>
      <c r="B142" s="54"/>
      <c r="C142" s="55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</row>
    <row r="143" ht="21.75" customHeight="1">
      <c r="A143" s="53">
        <v>128.0</v>
      </c>
      <c r="B143" s="54"/>
      <c r="C143" s="55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</row>
    <row r="144" ht="21.75" customHeight="1">
      <c r="A144" s="53">
        <v>129.0</v>
      </c>
      <c r="B144" s="54"/>
      <c r="C144" s="55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</row>
    <row r="145" ht="21.75" customHeight="1">
      <c r="A145" s="53">
        <v>130.0</v>
      </c>
      <c r="B145" s="54"/>
      <c r="C145" s="55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</row>
    <row r="146" ht="21.75" customHeight="1">
      <c r="A146" s="53">
        <v>131.0</v>
      </c>
      <c r="B146" s="54"/>
      <c r="C146" s="55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</row>
    <row r="147" ht="21.75" customHeight="1">
      <c r="A147" s="53">
        <v>132.0</v>
      </c>
      <c r="B147" s="54"/>
      <c r="C147" s="55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</row>
    <row r="148" ht="21.75" customHeight="1">
      <c r="A148" s="53">
        <v>133.0</v>
      </c>
      <c r="B148" s="54"/>
      <c r="C148" s="55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</row>
    <row r="149" ht="21.75" customHeight="1">
      <c r="A149" s="53">
        <v>134.0</v>
      </c>
      <c r="B149" s="54"/>
      <c r="C149" s="55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</row>
    <row r="150" ht="21.75" customHeight="1">
      <c r="A150" s="53">
        <v>135.0</v>
      </c>
      <c r="B150" s="54"/>
      <c r="C150" s="55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</row>
    <row r="151" ht="21.75" customHeight="1">
      <c r="A151" s="53">
        <v>136.0</v>
      </c>
      <c r="B151" s="54"/>
      <c r="C151" s="55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</row>
    <row r="152" ht="21.75" customHeight="1">
      <c r="A152" s="53">
        <v>137.0</v>
      </c>
      <c r="B152" s="54"/>
      <c r="C152" s="55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</row>
    <row r="153" ht="21.75" customHeight="1">
      <c r="A153" s="53">
        <v>138.0</v>
      </c>
      <c r="B153" s="54"/>
      <c r="C153" s="55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</row>
    <row r="154" ht="21.75" customHeight="1">
      <c r="A154" s="53">
        <v>139.0</v>
      </c>
      <c r="B154" s="54"/>
      <c r="C154" s="55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</row>
    <row r="155" ht="21.75" customHeight="1">
      <c r="A155" s="53">
        <v>140.0</v>
      </c>
      <c r="B155" s="54"/>
      <c r="C155" s="55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</row>
    <row r="156" ht="21.75" customHeight="1">
      <c r="A156" s="53">
        <v>141.0</v>
      </c>
      <c r="B156" s="54"/>
      <c r="C156" s="55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</row>
    <row r="157" ht="21.75" customHeight="1">
      <c r="A157" s="53">
        <v>142.0</v>
      </c>
      <c r="B157" s="54"/>
      <c r="C157" s="55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</row>
    <row r="158" ht="21.75" customHeight="1">
      <c r="A158" s="53">
        <v>143.0</v>
      </c>
      <c r="B158" s="54"/>
      <c r="C158" s="55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</row>
    <row r="159" ht="21.75" customHeight="1">
      <c r="A159" s="53">
        <v>144.0</v>
      </c>
      <c r="B159" s="54"/>
      <c r="C159" s="55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</row>
    <row r="160" ht="21.75" customHeight="1">
      <c r="A160" s="53">
        <v>145.0</v>
      </c>
      <c r="B160" s="54"/>
      <c r="C160" s="55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</row>
    <row r="161" ht="21.75" customHeight="1">
      <c r="A161" s="53">
        <v>146.0</v>
      </c>
      <c r="B161" s="54"/>
      <c r="C161" s="55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</row>
    <row r="162" ht="21.75" customHeight="1">
      <c r="A162" s="53">
        <v>147.0</v>
      </c>
      <c r="B162" s="54"/>
      <c r="C162" s="55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</row>
    <row r="163" ht="21.75" customHeight="1">
      <c r="A163" s="53">
        <v>148.0</v>
      </c>
      <c r="B163" s="54"/>
      <c r="C163" s="55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</row>
    <row r="164" ht="21.75" customHeight="1">
      <c r="A164" s="53">
        <v>149.0</v>
      </c>
      <c r="B164" s="54"/>
      <c r="C164" s="55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</row>
    <row r="165" ht="21.75" customHeight="1">
      <c r="A165" s="53">
        <v>150.0</v>
      </c>
      <c r="B165" s="54"/>
      <c r="C165" s="55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</row>
    <row r="166" ht="21.75" customHeight="1">
      <c r="A166" s="53">
        <v>151.0</v>
      </c>
      <c r="B166" s="54"/>
      <c r="C166" s="55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</row>
    <row r="167" ht="21.75" customHeight="1">
      <c r="A167" s="53">
        <v>152.0</v>
      </c>
      <c r="B167" s="54"/>
      <c r="C167" s="55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</row>
    <row r="168" ht="21.75" customHeight="1">
      <c r="A168" s="53">
        <v>153.0</v>
      </c>
      <c r="B168" s="54"/>
      <c r="C168" s="55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</row>
    <row r="169" ht="21.75" customHeight="1">
      <c r="A169" s="53">
        <v>154.0</v>
      </c>
      <c r="B169" s="54"/>
      <c r="C169" s="55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</row>
    <row r="170" ht="21.75" customHeight="1">
      <c r="A170" s="53">
        <v>155.0</v>
      </c>
      <c r="B170" s="54"/>
      <c r="C170" s="55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</row>
    <row r="171" ht="21.75" customHeight="1">
      <c r="A171" s="53">
        <v>156.0</v>
      </c>
      <c r="B171" s="54"/>
      <c r="C171" s="55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</row>
    <row r="172" ht="21.75" customHeight="1">
      <c r="A172" s="53">
        <v>157.0</v>
      </c>
      <c r="B172" s="54"/>
      <c r="C172" s="55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</row>
    <row r="173" ht="21.75" customHeight="1">
      <c r="A173" s="53">
        <v>158.0</v>
      </c>
      <c r="B173" s="54"/>
      <c r="C173" s="55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</row>
    <row r="174" ht="21.75" customHeight="1">
      <c r="A174" s="53">
        <v>159.0</v>
      </c>
      <c r="B174" s="54"/>
      <c r="C174" s="55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</row>
    <row r="175" ht="21.75" customHeight="1">
      <c r="A175" s="53">
        <v>160.0</v>
      </c>
      <c r="B175" s="54"/>
      <c r="C175" s="55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</row>
    <row r="176" ht="21.75" customHeight="1">
      <c r="A176" s="53">
        <v>161.0</v>
      </c>
      <c r="B176" s="54"/>
      <c r="C176" s="55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</row>
    <row r="177" ht="21.75" customHeight="1">
      <c r="A177" s="53">
        <v>162.0</v>
      </c>
      <c r="B177" s="54"/>
      <c r="C177" s="55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</row>
    <row r="178" ht="21.75" customHeight="1">
      <c r="A178" s="53">
        <v>163.0</v>
      </c>
      <c r="B178" s="54"/>
      <c r="C178" s="55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</row>
    <row r="179" ht="21.75" customHeight="1">
      <c r="A179" s="53">
        <v>164.0</v>
      </c>
      <c r="B179" s="54"/>
      <c r="C179" s="55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</row>
    <row r="180" ht="21.75" customHeight="1">
      <c r="A180" s="53">
        <v>165.0</v>
      </c>
      <c r="B180" s="54"/>
      <c r="C180" s="55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</row>
    <row r="181" ht="21.75" customHeight="1">
      <c r="A181" s="53">
        <v>166.0</v>
      </c>
      <c r="B181" s="54"/>
      <c r="C181" s="55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</row>
    <row r="182" ht="21.75" customHeight="1">
      <c r="A182" s="53">
        <v>167.0</v>
      </c>
      <c r="B182" s="54"/>
      <c r="C182" s="55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</row>
    <row r="183" ht="21.75" customHeight="1">
      <c r="A183" s="53">
        <v>168.0</v>
      </c>
      <c r="B183" s="54"/>
      <c r="C183" s="55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</row>
    <row r="184" ht="21.75" customHeight="1">
      <c r="A184" s="53">
        <v>169.0</v>
      </c>
      <c r="B184" s="54"/>
      <c r="C184" s="55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</row>
    <row r="185" ht="21.75" customHeight="1">
      <c r="A185" s="53">
        <v>170.0</v>
      </c>
      <c r="B185" s="54"/>
      <c r="C185" s="55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</row>
    <row r="186" ht="21.75" customHeight="1">
      <c r="A186" s="53">
        <v>171.0</v>
      </c>
      <c r="B186" s="54"/>
      <c r="C186" s="55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</row>
    <row r="187" ht="21.75" customHeight="1">
      <c r="A187" s="53">
        <v>172.0</v>
      </c>
      <c r="B187" s="54"/>
      <c r="C187" s="55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</row>
    <row r="188" ht="21.75" customHeight="1">
      <c r="A188" s="53">
        <v>173.0</v>
      </c>
      <c r="B188" s="54"/>
      <c r="C188" s="55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</row>
    <row r="189" ht="21.75" customHeight="1">
      <c r="A189" s="53">
        <v>174.0</v>
      </c>
      <c r="B189" s="54"/>
      <c r="C189" s="55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</row>
    <row r="190" ht="21.75" customHeight="1">
      <c r="A190" s="53">
        <v>175.0</v>
      </c>
      <c r="B190" s="54"/>
      <c r="C190" s="55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</row>
    <row r="191" ht="21.75" customHeight="1">
      <c r="A191" s="53">
        <v>176.0</v>
      </c>
      <c r="B191" s="54"/>
      <c r="C191" s="55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</row>
    <row r="192" ht="21.75" customHeight="1">
      <c r="A192" s="53">
        <v>177.0</v>
      </c>
      <c r="B192" s="54"/>
      <c r="C192" s="55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</row>
    <row r="193" ht="21.75" customHeight="1">
      <c r="A193" s="53">
        <v>178.0</v>
      </c>
      <c r="B193" s="54"/>
      <c r="C193" s="55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</row>
    <row r="194" ht="21.75" customHeight="1">
      <c r="A194" s="53">
        <v>179.0</v>
      </c>
      <c r="B194" s="54"/>
      <c r="C194" s="55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</row>
    <row r="195" ht="21.75" customHeight="1">
      <c r="A195" s="53">
        <v>180.0</v>
      </c>
      <c r="B195" s="54"/>
      <c r="C195" s="55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</row>
    <row r="196" ht="21.75" customHeight="1">
      <c r="A196" s="53">
        <v>181.0</v>
      </c>
      <c r="B196" s="54"/>
      <c r="C196" s="55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</row>
    <row r="197" ht="21.75" customHeight="1">
      <c r="A197" s="53">
        <v>182.0</v>
      </c>
      <c r="B197" s="54"/>
      <c r="C197" s="55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</row>
    <row r="198" ht="21.75" customHeight="1">
      <c r="A198" s="53">
        <v>183.0</v>
      </c>
      <c r="B198" s="54"/>
      <c r="C198" s="55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</row>
    <row r="199" ht="21.75" customHeight="1">
      <c r="A199" s="53">
        <v>184.0</v>
      </c>
      <c r="B199" s="54"/>
      <c r="C199" s="55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</row>
    <row r="200" ht="21.75" customHeight="1">
      <c r="A200" s="53">
        <v>185.0</v>
      </c>
      <c r="B200" s="54"/>
      <c r="C200" s="55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</row>
    <row r="201" ht="17.25" customHeight="1">
      <c r="A201" s="53">
        <v>186.0</v>
      </c>
      <c r="B201" s="54"/>
      <c r="C201" s="55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</row>
    <row r="202" ht="17.25" customHeight="1">
      <c r="A202" s="53">
        <v>187.0</v>
      </c>
      <c r="B202" s="54"/>
      <c r="C202" s="55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</row>
    <row r="203" ht="17.25" customHeight="1">
      <c r="A203" s="53">
        <v>188.0</v>
      </c>
      <c r="B203" s="54"/>
      <c r="C203" s="55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</row>
    <row r="204" ht="17.25" customHeight="1">
      <c r="A204" s="53">
        <v>189.0</v>
      </c>
      <c r="B204" s="54"/>
      <c r="C204" s="55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</row>
    <row r="205" ht="17.25" customHeight="1">
      <c r="A205" s="53">
        <v>190.0</v>
      </c>
      <c r="B205" s="54"/>
      <c r="C205" s="55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</row>
    <row r="206" ht="17.25" customHeight="1">
      <c r="A206" s="53">
        <v>191.0</v>
      </c>
      <c r="B206" s="54"/>
      <c r="C206" s="55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</row>
    <row r="207" ht="17.25" customHeight="1">
      <c r="A207" s="53">
        <v>192.0</v>
      </c>
      <c r="B207" s="54"/>
      <c r="C207" s="55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</row>
    <row r="208" ht="17.25" customHeight="1">
      <c r="A208" s="53">
        <v>193.0</v>
      </c>
      <c r="B208" s="54"/>
      <c r="C208" s="55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</row>
    <row r="209" ht="17.25" customHeight="1">
      <c r="A209" s="53">
        <v>194.0</v>
      </c>
      <c r="B209" s="54"/>
      <c r="C209" s="55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</row>
    <row r="210" ht="17.25" customHeight="1">
      <c r="A210" s="53">
        <v>195.0</v>
      </c>
      <c r="B210" s="54"/>
      <c r="C210" s="55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</row>
    <row r="211" ht="17.25" customHeight="1">
      <c r="A211" s="53">
        <v>196.0</v>
      </c>
      <c r="B211" s="54"/>
      <c r="C211" s="55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</row>
    <row r="212" ht="17.25" customHeight="1">
      <c r="A212" s="53">
        <v>197.0</v>
      </c>
      <c r="B212" s="54"/>
      <c r="C212" s="55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</row>
    <row r="213" ht="17.25" customHeight="1">
      <c r="A213" s="53">
        <v>198.0</v>
      </c>
      <c r="B213" s="54"/>
      <c r="C213" s="55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</row>
    <row r="214" ht="17.25" customHeight="1">
      <c r="A214" s="53">
        <v>199.0</v>
      </c>
      <c r="B214" s="54"/>
      <c r="C214" s="55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</row>
    <row r="215" ht="17.25" customHeight="1">
      <c r="A215" s="53">
        <v>200.0</v>
      </c>
      <c r="B215" s="54"/>
      <c r="C215" s="55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</row>
    <row r="216" ht="17.25" customHeight="1">
      <c r="A216" s="53">
        <v>201.0</v>
      </c>
      <c r="B216" s="54"/>
      <c r="C216" s="55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</row>
    <row r="217" ht="17.25" customHeight="1">
      <c r="A217" s="53">
        <v>202.0</v>
      </c>
      <c r="B217" s="54"/>
      <c r="C217" s="55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</row>
    <row r="218" ht="17.25" customHeight="1">
      <c r="A218" s="53">
        <v>203.0</v>
      </c>
      <c r="B218" s="54"/>
      <c r="C218" s="55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</row>
    <row r="219" ht="17.25" customHeight="1">
      <c r="A219" s="53">
        <v>204.0</v>
      </c>
      <c r="B219" s="54"/>
      <c r="C219" s="55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</row>
    <row r="220" ht="17.25" customHeight="1">
      <c r="A220" s="53">
        <v>205.0</v>
      </c>
      <c r="B220" s="54"/>
      <c r="C220" s="55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</row>
    <row r="221" ht="17.25" customHeight="1">
      <c r="A221" s="53">
        <v>206.0</v>
      </c>
      <c r="B221" s="54"/>
      <c r="C221" s="55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</row>
    <row r="222" ht="17.25" customHeight="1">
      <c r="A222" s="53">
        <v>207.0</v>
      </c>
      <c r="B222" s="54"/>
      <c r="C222" s="55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</row>
    <row r="223" ht="17.25" customHeight="1">
      <c r="A223" s="53">
        <v>208.0</v>
      </c>
      <c r="B223" s="54"/>
      <c r="C223" s="55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</row>
    <row r="224" ht="17.25" customHeight="1">
      <c r="A224" s="53">
        <v>209.0</v>
      </c>
      <c r="B224" s="54"/>
      <c r="C224" s="55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</row>
    <row r="225" ht="17.25" customHeight="1">
      <c r="A225" s="53">
        <v>210.0</v>
      </c>
      <c r="B225" s="54"/>
      <c r="C225" s="55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</row>
    <row r="226" ht="17.25" customHeight="1">
      <c r="A226" s="53">
        <v>211.0</v>
      </c>
      <c r="B226" s="54"/>
      <c r="C226" s="55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</row>
    <row r="227" ht="17.25" customHeight="1">
      <c r="A227" s="53">
        <v>212.0</v>
      </c>
      <c r="B227" s="54"/>
      <c r="C227" s="55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</row>
    <row r="228" ht="17.25" customHeight="1">
      <c r="A228" s="53">
        <v>213.0</v>
      </c>
      <c r="B228" s="54"/>
      <c r="C228" s="55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</row>
    <row r="229" ht="17.25" customHeight="1">
      <c r="A229" s="53">
        <v>214.0</v>
      </c>
      <c r="B229" s="54"/>
      <c r="C229" s="55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</row>
    <row r="230" ht="17.25" customHeight="1">
      <c r="A230" s="53">
        <v>215.0</v>
      </c>
      <c r="B230" s="54"/>
      <c r="C230" s="55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</row>
    <row r="231" ht="17.25" customHeight="1">
      <c r="A231" s="53">
        <v>216.0</v>
      </c>
      <c r="B231" s="54"/>
      <c r="C231" s="55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</row>
    <row r="232" ht="17.25" customHeight="1">
      <c r="A232" s="53">
        <v>217.0</v>
      </c>
      <c r="B232" s="54"/>
      <c r="C232" s="55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</row>
    <row r="233" ht="17.25" customHeight="1">
      <c r="A233" s="53">
        <v>218.0</v>
      </c>
      <c r="B233" s="54"/>
      <c r="C233" s="55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</row>
    <row r="234" ht="17.25" customHeight="1">
      <c r="A234" s="53">
        <v>219.0</v>
      </c>
      <c r="B234" s="54"/>
      <c r="C234" s="55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</row>
    <row r="235" ht="17.25" customHeight="1">
      <c r="A235" s="53">
        <v>220.0</v>
      </c>
      <c r="B235" s="54"/>
      <c r="C235" s="55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</row>
    <row r="236" ht="17.25" customHeight="1">
      <c r="A236" s="53">
        <v>221.0</v>
      </c>
      <c r="B236" s="54"/>
      <c r="C236" s="55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</row>
    <row r="237" ht="17.25" customHeight="1">
      <c r="A237" s="53">
        <v>222.0</v>
      </c>
      <c r="B237" s="54"/>
      <c r="C237" s="55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</row>
    <row r="238" ht="17.25" customHeight="1">
      <c r="A238" s="53">
        <v>223.0</v>
      </c>
      <c r="B238" s="54"/>
      <c r="C238" s="55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</row>
    <row r="239" ht="17.25" customHeight="1">
      <c r="A239" s="53">
        <v>224.0</v>
      </c>
      <c r="B239" s="54"/>
      <c r="C239" s="55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</row>
    <row r="240" ht="17.25" customHeight="1">
      <c r="A240" s="53">
        <v>225.0</v>
      </c>
      <c r="B240" s="54"/>
      <c r="C240" s="55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</row>
    <row r="241" ht="17.25" customHeight="1">
      <c r="A241" s="53">
        <v>226.0</v>
      </c>
      <c r="B241" s="54"/>
      <c r="C241" s="55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</row>
    <row r="242" ht="17.25" customHeight="1">
      <c r="A242" s="53">
        <v>227.0</v>
      </c>
      <c r="B242" s="54"/>
      <c r="C242" s="55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</row>
    <row r="243" ht="17.25" customHeight="1">
      <c r="A243" s="53">
        <v>228.0</v>
      </c>
      <c r="B243" s="54"/>
      <c r="C243" s="55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</row>
    <row r="244" ht="17.25" customHeight="1">
      <c r="A244" s="53">
        <v>229.0</v>
      </c>
      <c r="B244" s="54"/>
      <c r="C244" s="55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</row>
    <row r="245" ht="17.25" customHeight="1">
      <c r="A245" s="53">
        <v>230.0</v>
      </c>
      <c r="B245" s="54"/>
      <c r="C245" s="55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</row>
    <row r="246" ht="17.25" customHeight="1">
      <c r="A246" s="53">
        <v>231.0</v>
      </c>
      <c r="B246" s="54"/>
      <c r="C246" s="55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</row>
    <row r="247" ht="17.25" customHeight="1">
      <c r="A247" s="53">
        <v>232.0</v>
      </c>
      <c r="B247" s="54"/>
      <c r="C247" s="55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</row>
    <row r="248" ht="17.25" customHeight="1">
      <c r="A248" s="53">
        <v>233.0</v>
      </c>
      <c r="B248" s="54"/>
      <c r="C248" s="55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</row>
    <row r="249" ht="17.25" customHeight="1">
      <c r="A249" s="53">
        <v>234.0</v>
      </c>
      <c r="B249" s="54"/>
      <c r="C249" s="55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</row>
    <row r="250" ht="17.25" customHeight="1">
      <c r="A250" s="53">
        <v>235.0</v>
      </c>
      <c r="B250" s="54"/>
      <c r="C250" s="55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</row>
    <row r="251" ht="17.25" customHeight="1">
      <c r="A251" s="53">
        <v>236.0</v>
      </c>
      <c r="B251" s="54"/>
      <c r="C251" s="55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</row>
    <row r="252" ht="17.25" customHeight="1">
      <c r="A252" s="53">
        <v>237.0</v>
      </c>
      <c r="B252" s="54"/>
      <c r="C252" s="55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</row>
    <row r="253" ht="17.25" customHeight="1">
      <c r="A253" s="53">
        <v>238.0</v>
      </c>
      <c r="B253" s="54"/>
      <c r="C253" s="55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</row>
    <row r="254" ht="17.25" customHeight="1">
      <c r="A254" s="106">
        <v>239.0</v>
      </c>
      <c r="B254" s="54"/>
      <c r="C254" s="107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</row>
    <row r="255" ht="17.25" customHeight="1">
      <c r="A255" s="53">
        <v>240.0</v>
      </c>
      <c r="B255" s="54"/>
      <c r="C255" s="55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</row>
    <row r="256" ht="17.25" customHeight="1">
      <c r="A256" s="53" t="str">
        <f t="shared" ref="A256:A465" si="14">A255+1</f>
        <v>241</v>
      </c>
      <c r="B256" s="54"/>
      <c r="C256" s="54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</row>
    <row r="257" ht="17.25" customHeight="1">
      <c r="A257" s="53" t="str">
        <f t="shared" si="14"/>
        <v>242</v>
      </c>
      <c r="B257" s="54"/>
      <c r="C257" s="54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</row>
    <row r="258" ht="17.25" customHeight="1">
      <c r="A258" s="53" t="str">
        <f t="shared" si="14"/>
        <v>243</v>
      </c>
      <c r="B258" s="54"/>
      <c r="C258" s="54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</row>
    <row r="259" ht="17.25" customHeight="1">
      <c r="A259" s="53" t="str">
        <f t="shared" si="14"/>
        <v>244</v>
      </c>
      <c r="B259" s="54"/>
      <c r="C259" s="54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</row>
    <row r="260" ht="17.25" customHeight="1">
      <c r="A260" s="53" t="str">
        <f t="shared" si="14"/>
        <v>245</v>
      </c>
      <c r="B260" s="54"/>
      <c r="C260" s="54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</row>
    <row r="261" ht="17.25" customHeight="1">
      <c r="A261" s="53" t="str">
        <f t="shared" si="14"/>
        <v>246</v>
      </c>
      <c r="B261" s="54"/>
      <c r="C261" s="54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</row>
    <row r="262" ht="17.25" customHeight="1">
      <c r="A262" s="53" t="str">
        <f t="shared" si="14"/>
        <v>247</v>
      </c>
      <c r="B262" s="54"/>
      <c r="C262" s="54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</row>
    <row r="263" ht="17.25" customHeight="1">
      <c r="A263" s="53" t="str">
        <f t="shared" si="14"/>
        <v>248</v>
      </c>
      <c r="B263" s="54"/>
      <c r="C263" s="54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</row>
    <row r="264" ht="17.25" customHeight="1">
      <c r="A264" s="53" t="str">
        <f t="shared" si="14"/>
        <v>249</v>
      </c>
      <c r="B264" s="54"/>
      <c r="C264" s="54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</row>
    <row r="265" ht="17.25" customHeight="1">
      <c r="A265" s="53" t="str">
        <f t="shared" si="14"/>
        <v>250</v>
      </c>
      <c r="B265" s="54"/>
      <c r="C265" s="54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</row>
    <row r="266" ht="17.25" customHeight="1">
      <c r="A266" s="53" t="str">
        <f t="shared" si="14"/>
        <v>251</v>
      </c>
      <c r="B266" s="54"/>
      <c r="C266" s="54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</row>
    <row r="267" ht="17.25" customHeight="1">
      <c r="A267" s="53" t="str">
        <f t="shared" si="14"/>
        <v>252</v>
      </c>
      <c r="B267" s="54"/>
      <c r="C267" s="54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</row>
    <row r="268" ht="17.25" customHeight="1">
      <c r="A268" s="53" t="str">
        <f t="shared" si="14"/>
        <v>253</v>
      </c>
      <c r="B268" s="54"/>
      <c r="C268" s="54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</row>
    <row r="269" ht="17.25" customHeight="1">
      <c r="A269" s="53" t="str">
        <f t="shared" si="14"/>
        <v>254</v>
      </c>
      <c r="B269" s="54"/>
      <c r="C269" s="54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</row>
    <row r="270" ht="17.25" customHeight="1">
      <c r="A270" s="53" t="str">
        <f t="shared" si="14"/>
        <v>255</v>
      </c>
      <c r="B270" s="54"/>
      <c r="C270" s="54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</row>
    <row r="271" ht="17.25" customHeight="1">
      <c r="A271" s="53" t="str">
        <f t="shared" si="14"/>
        <v>256</v>
      </c>
      <c r="B271" s="54"/>
      <c r="C271" s="54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</row>
    <row r="272" ht="17.25" customHeight="1">
      <c r="A272" s="53" t="str">
        <f t="shared" si="14"/>
        <v>257</v>
      </c>
      <c r="B272" s="54"/>
      <c r="C272" s="54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</row>
    <row r="273" ht="17.25" customHeight="1">
      <c r="A273" s="53" t="str">
        <f t="shared" si="14"/>
        <v>258</v>
      </c>
      <c r="B273" s="54"/>
      <c r="C273" s="54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</row>
    <row r="274" ht="17.25" customHeight="1">
      <c r="A274" s="53" t="str">
        <f t="shared" si="14"/>
        <v>259</v>
      </c>
      <c r="B274" s="54"/>
      <c r="C274" s="54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</row>
    <row r="275" ht="17.25" customHeight="1">
      <c r="A275" s="53" t="str">
        <f t="shared" si="14"/>
        <v>260</v>
      </c>
      <c r="B275" s="54"/>
      <c r="C275" s="54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</row>
    <row r="276" ht="17.25" customHeight="1">
      <c r="A276" s="53" t="str">
        <f t="shared" si="14"/>
        <v>261</v>
      </c>
      <c r="B276" s="54"/>
      <c r="C276" s="54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</row>
    <row r="277" ht="17.25" customHeight="1">
      <c r="A277" s="53" t="str">
        <f t="shared" si="14"/>
        <v>262</v>
      </c>
      <c r="B277" s="54"/>
      <c r="C277" s="54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</row>
    <row r="278" ht="17.25" customHeight="1">
      <c r="A278" s="53" t="str">
        <f t="shared" si="14"/>
        <v>263</v>
      </c>
      <c r="B278" s="54"/>
      <c r="C278" s="54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</row>
    <row r="279" ht="17.25" customHeight="1">
      <c r="A279" s="53" t="str">
        <f t="shared" si="14"/>
        <v>264</v>
      </c>
      <c r="B279" s="54"/>
      <c r="C279" s="54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</row>
    <row r="280" ht="17.25" customHeight="1">
      <c r="A280" s="53" t="str">
        <f t="shared" si="14"/>
        <v>265</v>
      </c>
      <c r="B280" s="54"/>
      <c r="C280" s="54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</row>
    <row r="281" ht="17.25" customHeight="1">
      <c r="A281" s="53" t="str">
        <f t="shared" si="14"/>
        <v>266</v>
      </c>
      <c r="B281" s="54"/>
      <c r="C281" s="54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</row>
    <row r="282" ht="17.25" customHeight="1">
      <c r="A282" s="53" t="str">
        <f t="shared" si="14"/>
        <v>267</v>
      </c>
      <c r="B282" s="54"/>
      <c r="C282" s="54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</row>
    <row r="283" ht="17.25" customHeight="1">
      <c r="A283" s="53" t="str">
        <f t="shared" si="14"/>
        <v>268</v>
      </c>
      <c r="B283" s="54"/>
      <c r="C283" s="54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</row>
    <row r="284" ht="17.25" customHeight="1">
      <c r="A284" s="53" t="str">
        <f t="shared" si="14"/>
        <v>269</v>
      </c>
      <c r="B284" s="54"/>
      <c r="C284" s="54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</row>
    <row r="285" ht="17.25" customHeight="1">
      <c r="A285" s="53" t="str">
        <f t="shared" si="14"/>
        <v>270</v>
      </c>
      <c r="B285" s="54"/>
      <c r="C285" s="54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</row>
    <row r="286" ht="17.25" customHeight="1">
      <c r="A286" s="53" t="str">
        <f t="shared" si="14"/>
        <v>271</v>
      </c>
      <c r="B286" s="54"/>
      <c r="C286" s="54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</row>
    <row r="287" ht="17.25" customHeight="1">
      <c r="A287" s="53" t="str">
        <f t="shared" si="14"/>
        <v>272</v>
      </c>
      <c r="B287" s="54"/>
      <c r="C287" s="54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</row>
    <row r="288" ht="17.25" customHeight="1">
      <c r="A288" s="53" t="str">
        <f t="shared" si="14"/>
        <v>273</v>
      </c>
      <c r="B288" s="54"/>
      <c r="C288" s="54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</row>
    <row r="289" ht="17.25" customHeight="1">
      <c r="A289" s="53" t="str">
        <f t="shared" si="14"/>
        <v>274</v>
      </c>
      <c r="B289" s="54"/>
      <c r="C289" s="54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</row>
    <row r="290" ht="17.25" customHeight="1">
      <c r="A290" s="53" t="str">
        <f t="shared" si="14"/>
        <v>275</v>
      </c>
      <c r="B290" s="54"/>
      <c r="C290" s="54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</row>
    <row r="291" ht="17.25" customHeight="1">
      <c r="A291" s="53" t="str">
        <f t="shared" si="14"/>
        <v>276</v>
      </c>
      <c r="B291" s="54"/>
      <c r="C291" s="54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</row>
    <row r="292" ht="17.25" customHeight="1">
      <c r="A292" s="53" t="str">
        <f t="shared" si="14"/>
        <v>277</v>
      </c>
      <c r="B292" s="54"/>
      <c r="C292" s="54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</row>
    <row r="293" ht="17.25" customHeight="1">
      <c r="A293" s="53" t="str">
        <f t="shared" si="14"/>
        <v>278</v>
      </c>
      <c r="B293" s="54"/>
      <c r="C293" s="54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</row>
    <row r="294" ht="17.25" customHeight="1">
      <c r="A294" s="53" t="str">
        <f t="shared" si="14"/>
        <v>279</v>
      </c>
      <c r="B294" s="54"/>
      <c r="C294" s="54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</row>
    <row r="295" ht="17.25" customHeight="1">
      <c r="A295" s="53" t="str">
        <f t="shared" si="14"/>
        <v>280</v>
      </c>
      <c r="B295" s="54"/>
      <c r="C295" s="54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</row>
    <row r="296" ht="17.25" customHeight="1">
      <c r="A296" s="53" t="str">
        <f t="shared" si="14"/>
        <v>281</v>
      </c>
      <c r="B296" s="54"/>
      <c r="C296" s="54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</row>
    <row r="297" ht="17.25" customHeight="1">
      <c r="A297" s="53" t="str">
        <f t="shared" si="14"/>
        <v>282</v>
      </c>
      <c r="B297" s="54"/>
      <c r="C297" s="54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</row>
    <row r="298" ht="17.25" customHeight="1">
      <c r="A298" s="53" t="str">
        <f t="shared" si="14"/>
        <v>283</v>
      </c>
      <c r="B298" s="54"/>
      <c r="C298" s="54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</row>
    <row r="299" ht="17.25" customHeight="1">
      <c r="A299" s="53" t="str">
        <f t="shared" si="14"/>
        <v>284</v>
      </c>
      <c r="B299" s="54"/>
      <c r="C299" s="54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</row>
    <row r="300" ht="17.25" customHeight="1">
      <c r="A300" s="53" t="str">
        <f t="shared" si="14"/>
        <v>285</v>
      </c>
      <c r="B300" s="54"/>
      <c r="C300" s="54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</row>
    <row r="301" ht="17.25" customHeight="1">
      <c r="A301" s="53" t="str">
        <f t="shared" si="14"/>
        <v>286</v>
      </c>
      <c r="B301" s="54"/>
      <c r="C301" s="54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</row>
    <row r="302" ht="17.25" customHeight="1">
      <c r="A302" s="53" t="str">
        <f t="shared" si="14"/>
        <v>287</v>
      </c>
      <c r="B302" s="54"/>
      <c r="C302" s="54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</row>
    <row r="303" ht="17.25" customHeight="1">
      <c r="A303" s="53" t="str">
        <f t="shared" si="14"/>
        <v>288</v>
      </c>
      <c r="B303" s="54"/>
      <c r="C303" s="54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</row>
    <row r="304" ht="17.25" customHeight="1">
      <c r="A304" s="53" t="str">
        <f t="shared" si="14"/>
        <v>289</v>
      </c>
      <c r="B304" s="54"/>
      <c r="C304" s="54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</row>
    <row r="305" ht="17.25" customHeight="1">
      <c r="A305" s="53" t="str">
        <f t="shared" si="14"/>
        <v>290</v>
      </c>
      <c r="B305" s="54"/>
      <c r="C305" s="54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</row>
    <row r="306" ht="17.25" customHeight="1">
      <c r="A306" s="53" t="str">
        <f t="shared" si="14"/>
        <v>291</v>
      </c>
      <c r="B306" s="54"/>
      <c r="C306" s="54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</row>
    <row r="307" ht="17.25" customHeight="1">
      <c r="A307" s="53" t="str">
        <f t="shared" si="14"/>
        <v>292</v>
      </c>
      <c r="B307" s="54"/>
      <c r="C307" s="54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</row>
    <row r="308" ht="17.25" customHeight="1">
      <c r="A308" s="53" t="str">
        <f t="shared" si="14"/>
        <v>293</v>
      </c>
      <c r="B308" s="54"/>
      <c r="C308" s="54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</row>
    <row r="309" ht="17.25" customHeight="1">
      <c r="A309" s="53" t="str">
        <f t="shared" si="14"/>
        <v>294</v>
      </c>
      <c r="B309" s="54"/>
      <c r="C309" s="54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</row>
    <row r="310" ht="17.25" customHeight="1">
      <c r="A310" s="53" t="str">
        <f t="shared" si="14"/>
        <v>295</v>
      </c>
      <c r="B310" s="54"/>
      <c r="C310" s="54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</row>
    <row r="311" ht="17.25" customHeight="1">
      <c r="A311" s="53" t="str">
        <f t="shared" si="14"/>
        <v>296</v>
      </c>
      <c r="B311" s="54"/>
      <c r="C311" s="54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</row>
    <row r="312" ht="17.25" customHeight="1">
      <c r="A312" s="53" t="str">
        <f t="shared" si="14"/>
        <v>297</v>
      </c>
      <c r="B312" s="54"/>
      <c r="C312" s="54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</row>
    <row r="313" ht="17.25" customHeight="1">
      <c r="A313" s="53" t="str">
        <f t="shared" si="14"/>
        <v>298</v>
      </c>
      <c r="B313" s="54"/>
      <c r="C313" s="54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</row>
    <row r="314" ht="17.25" customHeight="1">
      <c r="A314" s="53" t="str">
        <f t="shared" si="14"/>
        <v>299</v>
      </c>
      <c r="B314" s="54"/>
      <c r="C314" s="54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</row>
    <row r="315" ht="17.25" customHeight="1">
      <c r="A315" s="53" t="str">
        <f t="shared" si="14"/>
        <v>300</v>
      </c>
      <c r="B315" s="54"/>
      <c r="C315" s="54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</row>
    <row r="316" ht="17.25" customHeight="1">
      <c r="A316" s="53" t="str">
        <f t="shared" si="14"/>
        <v>301</v>
      </c>
      <c r="B316" s="54"/>
      <c r="C316" s="54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</row>
    <row r="317" ht="17.25" customHeight="1">
      <c r="A317" s="53" t="str">
        <f t="shared" si="14"/>
        <v>302</v>
      </c>
      <c r="B317" s="54"/>
      <c r="C317" s="54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</row>
    <row r="318" ht="17.25" customHeight="1">
      <c r="A318" s="53" t="str">
        <f t="shared" si="14"/>
        <v>303</v>
      </c>
      <c r="B318" s="54"/>
      <c r="C318" s="54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</row>
    <row r="319" ht="17.25" customHeight="1">
      <c r="A319" s="53" t="str">
        <f t="shared" si="14"/>
        <v>304</v>
      </c>
      <c r="B319" s="54"/>
      <c r="C319" s="54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</row>
    <row r="320" ht="17.25" customHeight="1">
      <c r="A320" s="53" t="str">
        <f t="shared" si="14"/>
        <v>305</v>
      </c>
      <c r="B320" s="54"/>
      <c r="C320" s="54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</row>
    <row r="321" ht="17.25" customHeight="1">
      <c r="A321" s="53" t="str">
        <f t="shared" si="14"/>
        <v>306</v>
      </c>
      <c r="B321" s="54"/>
      <c r="C321" s="54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</row>
    <row r="322" ht="17.25" customHeight="1">
      <c r="A322" s="53" t="str">
        <f t="shared" si="14"/>
        <v>307</v>
      </c>
      <c r="B322" s="54"/>
      <c r="C322" s="54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</row>
    <row r="323" ht="17.25" customHeight="1">
      <c r="A323" s="53" t="str">
        <f t="shared" si="14"/>
        <v>308</v>
      </c>
      <c r="B323" s="54"/>
      <c r="C323" s="54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</row>
    <row r="324" ht="17.25" customHeight="1">
      <c r="A324" s="53" t="str">
        <f t="shared" si="14"/>
        <v>309</v>
      </c>
      <c r="B324" s="54"/>
      <c r="C324" s="54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</row>
    <row r="325" ht="17.25" customHeight="1">
      <c r="A325" s="53" t="str">
        <f t="shared" si="14"/>
        <v>310</v>
      </c>
      <c r="B325" s="54"/>
      <c r="C325" s="54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</row>
    <row r="326" ht="17.25" customHeight="1">
      <c r="A326" s="53" t="str">
        <f t="shared" si="14"/>
        <v>311</v>
      </c>
      <c r="B326" s="54"/>
      <c r="C326" s="54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</row>
    <row r="327" ht="17.25" customHeight="1">
      <c r="A327" s="53" t="str">
        <f t="shared" si="14"/>
        <v>312</v>
      </c>
      <c r="B327" s="54"/>
      <c r="C327" s="54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</row>
    <row r="328" ht="17.25" customHeight="1">
      <c r="A328" s="53" t="str">
        <f t="shared" si="14"/>
        <v>313</v>
      </c>
      <c r="B328" s="54"/>
      <c r="C328" s="54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</row>
    <row r="329" ht="17.25" customHeight="1">
      <c r="A329" s="53" t="str">
        <f t="shared" si="14"/>
        <v>314</v>
      </c>
      <c r="B329" s="54"/>
      <c r="C329" s="54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</row>
    <row r="330" ht="17.25" customHeight="1">
      <c r="A330" s="53" t="str">
        <f t="shared" si="14"/>
        <v>315</v>
      </c>
      <c r="B330" s="54"/>
      <c r="C330" s="54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</row>
    <row r="331" ht="17.25" customHeight="1">
      <c r="A331" s="53" t="str">
        <f t="shared" si="14"/>
        <v>316</v>
      </c>
      <c r="B331" s="54"/>
      <c r="C331" s="54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</row>
    <row r="332" ht="17.25" customHeight="1">
      <c r="A332" s="53" t="str">
        <f t="shared" si="14"/>
        <v>317</v>
      </c>
      <c r="B332" s="54"/>
      <c r="C332" s="54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</row>
    <row r="333" ht="17.25" customHeight="1">
      <c r="A333" s="53" t="str">
        <f t="shared" si="14"/>
        <v>318</v>
      </c>
      <c r="B333" s="54"/>
      <c r="C333" s="54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</row>
    <row r="334" ht="17.25" customHeight="1">
      <c r="A334" s="53" t="str">
        <f t="shared" si="14"/>
        <v>319</v>
      </c>
      <c r="B334" s="54"/>
      <c r="C334" s="54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</row>
    <row r="335" ht="17.25" customHeight="1">
      <c r="A335" s="53" t="str">
        <f t="shared" si="14"/>
        <v>320</v>
      </c>
      <c r="B335" s="54"/>
      <c r="C335" s="54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</row>
    <row r="336" ht="17.25" customHeight="1">
      <c r="A336" s="53" t="str">
        <f t="shared" si="14"/>
        <v>321</v>
      </c>
      <c r="B336" s="54"/>
      <c r="C336" s="54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</row>
    <row r="337" ht="17.25" customHeight="1">
      <c r="A337" s="53" t="str">
        <f t="shared" si="14"/>
        <v>322</v>
      </c>
      <c r="B337" s="54"/>
      <c r="C337" s="54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</row>
    <row r="338" ht="17.25" customHeight="1">
      <c r="A338" s="53" t="str">
        <f t="shared" si="14"/>
        <v>323</v>
      </c>
      <c r="B338" s="54"/>
      <c r="C338" s="54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</row>
    <row r="339" ht="17.25" customHeight="1">
      <c r="A339" s="53" t="str">
        <f t="shared" si="14"/>
        <v>324</v>
      </c>
      <c r="B339" s="54"/>
      <c r="C339" s="54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</row>
    <row r="340" ht="17.25" customHeight="1">
      <c r="A340" s="53" t="str">
        <f t="shared" si="14"/>
        <v>325</v>
      </c>
      <c r="B340" s="54"/>
      <c r="C340" s="54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</row>
    <row r="341" ht="17.25" customHeight="1">
      <c r="A341" s="53" t="str">
        <f t="shared" si="14"/>
        <v>326</v>
      </c>
      <c r="B341" s="54"/>
      <c r="C341" s="54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</row>
    <row r="342" ht="17.25" customHeight="1">
      <c r="A342" s="53" t="str">
        <f t="shared" si="14"/>
        <v>327</v>
      </c>
      <c r="B342" s="54"/>
      <c r="C342" s="54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</row>
    <row r="343" ht="17.25" customHeight="1">
      <c r="A343" s="53" t="str">
        <f t="shared" si="14"/>
        <v>328</v>
      </c>
      <c r="B343" s="54"/>
      <c r="C343" s="54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</row>
    <row r="344" ht="17.25" customHeight="1">
      <c r="A344" s="53" t="str">
        <f t="shared" si="14"/>
        <v>329</v>
      </c>
      <c r="B344" s="54"/>
      <c r="C344" s="54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</row>
    <row r="345" ht="17.25" customHeight="1">
      <c r="A345" s="53" t="str">
        <f t="shared" si="14"/>
        <v>330</v>
      </c>
      <c r="B345" s="54"/>
      <c r="C345" s="54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</row>
    <row r="346" ht="17.25" customHeight="1">
      <c r="A346" s="53" t="str">
        <f t="shared" si="14"/>
        <v>331</v>
      </c>
      <c r="B346" s="54"/>
      <c r="C346" s="54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</row>
    <row r="347" ht="17.25" customHeight="1">
      <c r="A347" s="53" t="str">
        <f t="shared" si="14"/>
        <v>332</v>
      </c>
      <c r="B347" s="54"/>
      <c r="C347" s="54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</row>
    <row r="348" ht="17.25" customHeight="1">
      <c r="A348" s="53" t="str">
        <f t="shared" si="14"/>
        <v>333</v>
      </c>
      <c r="B348" s="54"/>
      <c r="C348" s="54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</row>
    <row r="349" ht="17.25" customHeight="1">
      <c r="A349" s="53" t="str">
        <f t="shared" si="14"/>
        <v>334</v>
      </c>
      <c r="B349" s="54"/>
      <c r="C349" s="54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</row>
    <row r="350" ht="17.25" customHeight="1">
      <c r="A350" s="53" t="str">
        <f t="shared" si="14"/>
        <v>335</v>
      </c>
      <c r="B350" s="54"/>
      <c r="C350" s="54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</row>
    <row r="351" ht="17.25" customHeight="1">
      <c r="A351" s="53" t="str">
        <f t="shared" si="14"/>
        <v>336</v>
      </c>
      <c r="B351" s="54"/>
      <c r="C351" s="108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</row>
    <row r="352" ht="17.25" customHeight="1">
      <c r="A352" s="53" t="str">
        <f t="shared" si="14"/>
        <v>337</v>
      </c>
      <c r="B352" s="54"/>
      <c r="C352" s="108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</row>
    <row r="353" ht="17.25" customHeight="1">
      <c r="A353" s="53" t="str">
        <f t="shared" si="14"/>
        <v>338</v>
      </c>
      <c r="B353" s="54"/>
      <c r="C353" s="108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</row>
    <row r="354" ht="17.25" customHeight="1">
      <c r="A354" s="53" t="str">
        <f t="shared" si="14"/>
        <v>339</v>
      </c>
      <c r="B354" s="54"/>
      <c r="C354" s="108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</row>
    <row r="355" ht="17.25" customHeight="1">
      <c r="A355" s="53" t="str">
        <f t="shared" si="14"/>
        <v>340</v>
      </c>
      <c r="B355" s="54"/>
      <c r="C355" s="108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</row>
    <row r="356" ht="17.25" customHeight="1">
      <c r="A356" s="53" t="str">
        <f t="shared" si="14"/>
        <v>341</v>
      </c>
      <c r="B356" s="54"/>
      <c r="C356" s="108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</row>
    <row r="357" ht="17.25" customHeight="1">
      <c r="A357" s="53" t="str">
        <f t="shared" si="14"/>
        <v>342</v>
      </c>
      <c r="B357" s="54"/>
      <c r="C357" s="108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</row>
    <row r="358" ht="17.25" customHeight="1">
      <c r="A358" s="53" t="str">
        <f t="shared" si="14"/>
        <v>343</v>
      </c>
      <c r="B358" s="54"/>
      <c r="C358" s="108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</row>
    <row r="359" ht="17.25" customHeight="1">
      <c r="A359" s="53" t="str">
        <f t="shared" si="14"/>
        <v>344</v>
      </c>
      <c r="B359" s="54"/>
      <c r="C359" s="108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</row>
    <row r="360" ht="17.25" customHeight="1">
      <c r="A360" s="53" t="str">
        <f t="shared" si="14"/>
        <v>345</v>
      </c>
      <c r="B360" s="54"/>
      <c r="C360" s="108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</row>
    <row r="361" ht="17.25" customHeight="1">
      <c r="A361" s="53" t="str">
        <f t="shared" si="14"/>
        <v>346</v>
      </c>
      <c r="B361" s="54"/>
      <c r="C361" s="108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</row>
    <row r="362" ht="17.25" customHeight="1">
      <c r="A362" s="53" t="str">
        <f t="shared" si="14"/>
        <v>347</v>
      </c>
      <c r="B362" s="54"/>
      <c r="C362" s="108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</row>
    <row r="363" ht="17.25" customHeight="1">
      <c r="A363" s="53" t="str">
        <f t="shared" si="14"/>
        <v>348</v>
      </c>
      <c r="B363" s="54"/>
      <c r="C363" s="108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</row>
    <row r="364" ht="17.25" customHeight="1">
      <c r="A364" s="53" t="str">
        <f t="shared" si="14"/>
        <v>349</v>
      </c>
      <c r="B364" s="54"/>
      <c r="C364" s="108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</row>
    <row r="365" ht="17.25" customHeight="1">
      <c r="A365" s="53" t="str">
        <f t="shared" si="14"/>
        <v>350</v>
      </c>
      <c r="B365" s="54"/>
      <c r="C365" s="108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</row>
    <row r="366" ht="17.25" customHeight="1">
      <c r="A366" s="53" t="str">
        <f t="shared" si="14"/>
        <v>351</v>
      </c>
      <c r="B366" s="54"/>
      <c r="C366" s="108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</row>
    <row r="367" ht="17.25" customHeight="1">
      <c r="A367" s="53" t="str">
        <f t="shared" si="14"/>
        <v>352</v>
      </c>
      <c r="B367" s="54"/>
      <c r="C367" s="108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</row>
    <row r="368" ht="17.25" customHeight="1">
      <c r="A368" s="53" t="str">
        <f t="shared" si="14"/>
        <v>353</v>
      </c>
      <c r="B368" s="54"/>
      <c r="C368" s="108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</row>
    <row r="369" ht="17.25" customHeight="1">
      <c r="A369" s="53" t="str">
        <f t="shared" si="14"/>
        <v>354</v>
      </c>
      <c r="B369" s="54"/>
      <c r="C369" s="108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</row>
    <row r="370" ht="17.25" customHeight="1">
      <c r="A370" s="53" t="str">
        <f t="shared" si="14"/>
        <v>355</v>
      </c>
      <c r="B370" s="54"/>
      <c r="C370" s="108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</row>
    <row r="371" ht="17.25" customHeight="1">
      <c r="A371" s="53" t="str">
        <f t="shared" si="14"/>
        <v>356</v>
      </c>
      <c r="B371" s="54"/>
      <c r="C371" s="108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</row>
    <row r="372" ht="17.25" customHeight="1">
      <c r="A372" s="53" t="str">
        <f t="shared" si="14"/>
        <v>357</v>
      </c>
      <c r="B372" s="54"/>
      <c r="C372" s="108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</row>
    <row r="373" ht="17.25" customHeight="1">
      <c r="A373" s="53" t="str">
        <f t="shared" si="14"/>
        <v>358</v>
      </c>
      <c r="B373" s="54"/>
      <c r="C373" s="108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</row>
    <row r="374" ht="17.25" customHeight="1">
      <c r="A374" s="53" t="str">
        <f t="shared" si="14"/>
        <v>359</v>
      </c>
      <c r="B374" s="54"/>
      <c r="C374" s="108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</row>
    <row r="375" ht="17.25" customHeight="1">
      <c r="A375" s="53" t="str">
        <f t="shared" si="14"/>
        <v>360</v>
      </c>
      <c r="B375" s="54"/>
      <c r="C375" s="108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</row>
    <row r="376" ht="17.25" customHeight="1">
      <c r="A376" s="53" t="str">
        <f t="shared" si="14"/>
        <v>361</v>
      </c>
      <c r="B376" s="54"/>
      <c r="C376" s="108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</row>
    <row r="377" ht="17.25" customHeight="1">
      <c r="A377" s="53" t="str">
        <f t="shared" si="14"/>
        <v>362</v>
      </c>
      <c r="B377" s="54"/>
      <c r="C377" s="108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</row>
    <row r="378" ht="17.25" customHeight="1">
      <c r="A378" s="53" t="str">
        <f t="shared" si="14"/>
        <v>363</v>
      </c>
      <c r="B378" s="54"/>
      <c r="C378" s="108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</row>
    <row r="379" ht="17.25" customHeight="1">
      <c r="A379" s="53" t="str">
        <f t="shared" si="14"/>
        <v>364</v>
      </c>
      <c r="B379" s="54"/>
      <c r="C379" s="108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</row>
    <row r="380" ht="17.25" customHeight="1">
      <c r="A380" s="53" t="str">
        <f t="shared" si="14"/>
        <v>365</v>
      </c>
      <c r="B380" s="54"/>
      <c r="C380" s="108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</row>
    <row r="381" ht="17.25" customHeight="1">
      <c r="A381" s="53" t="str">
        <f t="shared" si="14"/>
        <v>366</v>
      </c>
      <c r="B381" s="54"/>
      <c r="C381" s="108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</row>
    <row r="382" ht="17.25" customHeight="1">
      <c r="A382" s="53" t="str">
        <f t="shared" si="14"/>
        <v>367</v>
      </c>
      <c r="B382" s="54"/>
      <c r="C382" s="108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</row>
    <row r="383" ht="17.25" customHeight="1">
      <c r="A383" s="53" t="str">
        <f t="shared" si="14"/>
        <v>368</v>
      </c>
      <c r="B383" s="54"/>
      <c r="C383" s="108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</row>
    <row r="384" ht="17.25" customHeight="1">
      <c r="A384" s="53" t="str">
        <f t="shared" si="14"/>
        <v>369</v>
      </c>
      <c r="B384" s="54"/>
      <c r="C384" s="108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</row>
    <row r="385" ht="17.25" customHeight="1">
      <c r="A385" s="53" t="str">
        <f t="shared" si="14"/>
        <v>370</v>
      </c>
      <c r="B385" s="54"/>
      <c r="C385" s="108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</row>
    <row r="386" ht="17.25" customHeight="1">
      <c r="A386" s="53" t="str">
        <f t="shared" si="14"/>
        <v>371</v>
      </c>
      <c r="B386" s="54"/>
      <c r="C386" s="108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</row>
    <row r="387" ht="17.25" customHeight="1">
      <c r="A387" s="53" t="str">
        <f t="shared" si="14"/>
        <v>372</v>
      </c>
      <c r="B387" s="54"/>
      <c r="C387" s="108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</row>
    <row r="388" ht="17.25" customHeight="1">
      <c r="A388" s="53" t="str">
        <f t="shared" si="14"/>
        <v>373</v>
      </c>
      <c r="B388" s="54"/>
      <c r="C388" s="108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</row>
    <row r="389" ht="17.25" customHeight="1">
      <c r="A389" s="53" t="str">
        <f t="shared" si="14"/>
        <v>374</v>
      </c>
      <c r="B389" s="54"/>
      <c r="C389" s="108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</row>
    <row r="390" ht="17.25" customHeight="1">
      <c r="A390" s="53" t="str">
        <f t="shared" si="14"/>
        <v>375</v>
      </c>
      <c r="B390" s="54"/>
      <c r="C390" s="108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</row>
    <row r="391" ht="17.25" customHeight="1">
      <c r="A391" s="53" t="str">
        <f t="shared" si="14"/>
        <v>376</v>
      </c>
      <c r="B391" s="54"/>
      <c r="C391" s="108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</row>
    <row r="392" ht="17.25" customHeight="1">
      <c r="A392" s="53" t="str">
        <f t="shared" si="14"/>
        <v>377</v>
      </c>
      <c r="B392" s="54"/>
      <c r="C392" s="108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</row>
    <row r="393" ht="17.25" customHeight="1">
      <c r="A393" s="53" t="str">
        <f t="shared" si="14"/>
        <v>378</v>
      </c>
      <c r="B393" s="54"/>
      <c r="C393" s="108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</row>
    <row r="394" ht="17.25" customHeight="1">
      <c r="A394" s="53" t="str">
        <f t="shared" si="14"/>
        <v>379</v>
      </c>
      <c r="B394" s="54"/>
      <c r="C394" s="108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</row>
    <row r="395" ht="17.25" customHeight="1">
      <c r="A395" s="53" t="str">
        <f t="shared" si="14"/>
        <v>380</v>
      </c>
      <c r="B395" s="54"/>
      <c r="C395" s="108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</row>
    <row r="396" ht="17.25" customHeight="1">
      <c r="A396" s="53" t="str">
        <f t="shared" si="14"/>
        <v>381</v>
      </c>
      <c r="B396" s="54"/>
      <c r="C396" s="108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</row>
    <row r="397" ht="17.25" customHeight="1">
      <c r="A397" s="53" t="str">
        <f t="shared" si="14"/>
        <v>382</v>
      </c>
      <c r="B397" s="54"/>
      <c r="C397" s="108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</row>
    <row r="398" ht="17.25" customHeight="1">
      <c r="A398" s="53" t="str">
        <f t="shared" si="14"/>
        <v>383</v>
      </c>
      <c r="B398" s="54"/>
      <c r="C398" s="108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</row>
    <row r="399" ht="17.25" customHeight="1">
      <c r="A399" s="53" t="str">
        <f t="shared" si="14"/>
        <v>384</v>
      </c>
      <c r="B399" s="54"/>
      <c r="C399" s="108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</row>
    <row r="400" ht="17.25" customHeight="1">
      <c r="A400" s="53" t="str">
        <f t="shared" si="14"/>
        <v>385</v>
      </c>
      <c r="B400" s="54"/>
      <c r="C400" s="108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</row>
    <row r="401" ht="17.25" customHeight="1">
      <c r="A401" s="53" t="str">
        <f t="shared" si="14"/>
        <v>386</v>
      </c>
      <c r="B401" s="54"/>
      <c r="C401" s="108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</row>
    <row r="402" ht="17.25" customHeight="1">
      <c r="A402" s="53" t="str">
        <f t="shared" si="14"/>
        <v>387</v>
      </c>
      <c r="B402" s="54"/>
      <c r="C402" s="108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</row>
    <row r="403" ht="17.25" customHeight="1">
      <c r="A403" s="53" t="str">
        <f t="shared" si="14"/>
        <v>388</v>
      </c>
      <c r="B403" s="54"/>
      <c r="C403" s="108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</row>
    <row r="404" ht="17.25" customHeight="1">
      <c r="A404" s="53" t="str">
        <f t="shared" si="14"/>
        <v>389</v>
      </c>
      <c r="B404" s="54"/>
      <c r="C404" s="108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</row>
    <row r="405" ht="17.25" customHeight="1">
      <c r="A405" s="53" t="str">
        <f t="shared" si="14"/>
        <v>390</v>
      </c>
      <c r="B405" s="54"/>
      <c r="C405" s="108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</row>
    <row r="406" ht="17.25" customHeight="1">
      <c r="A406" s="53" t="str">
        <f t="shared" si="14"/>
        <v>391</v>
      </c>
      <c r="B406" s="54"/>
      <c r="C406" s="108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</row>
    <row r="407" ht="17.25" customHeight="1">
      <c r="A407" s="53" t="str">
        <f t="shared" si="14"/>
        <v>392</v>
      </c>
      <c r="B407" s="54"/>
      <c r="C407" s="108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</row>
    <row r="408" ht="17.25" customHeight="1">
      <c r="A408" s="53" t="str">
        <f t="shared" si="14"/>
        <v>393</v>
      </c>
      <c r="B408" s="54"/>
      <c r="C408" s="108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</row>
    <row r="409" ht="17.25" customHeight="1">
      <c r="A409" s="53" t="str">
        <f t="shared" si="14"/>
        <v>394</v>
      </c>
      <c r="B409" s="54"/>
      <c r="C409" s="108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</row>
    <row r="410" ht="17.25" customHeight="1">
      <c r="A410" s="53" t="str">
        <f t="shared" si="14"/>
        <v>395</v>
      </c>
      <c r="B410" s="54"/>
      <c r="C410" s="108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</row>
    <row r="411" ht="17.25" customHeight="1">
      <c r="A411" s="53" t="str">
        <f t="shared" si="14"/>
        <v>396</v>
      </c>
      <c r="B411" s="54"/>
      <c r="C411" s="108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</row>
    <row r="412" ht="17.25" customHeight="1">
      <c r="A412" s="53" t="str">
        <f t="shared" si="14"/>
        <v>397</v>
      </c>
      <c r="B412" s="54"/>
      <c r="C412" s="108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</row>
    <row r="413" ht="17.25" customHeight="1">
      <c r="A413" s="53" t="str">
        <f t="shared" si="14"/>
        <v>398</v>
      </c>
      <c r="B413" s="54"/>
      <c r="C413" s="108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</row>
    <row r="414" ht="17.25" customHeight="1">
      <c r="A414" s="53" t="str">
        <f t="shared" si="14"/>
        <v>399</v>
      </c>
      <c r="B414" s="54"/>
      <c r="C414" s="108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</row>
    <row r="415" ht="17.25" customHeight="1">
      <c r="A415" s="53" t="str">
        <f t="shared" si="14"/>
        <v>400</v>
      </c>
      <c r="B415" s="54"/>
      <c r="C415" s="108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</row>
    <row r="416" ht="17.25" customHeight="1">
      <c r="A416" s="53" t="str">
        <f t="shared" si="14"/>
        <v>401</v>
      </c>
      <c r="B416" s="54"/>
      <c r="C416" s="108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</row>
    <row r="417" ht="17.25" customHeight="1">
      <c r="A417" s="53" t="str">
        <f t="shared" si="14"/>
        <v>402</v>
      </c>
      <c r="B417" s="54"/>
      <c r="C417" s="108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</row>
    <row r="418" ht="17.25" customHeight="1">
      <c r="A418" s="53" t="str">
        <f t="shared" si="14"/>
        <v>403</v>
      </c>
      <c r="B418" s="54"/>
      <c r="C418" s="108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</row>
    <row r="419" ht="17.25" customHeight="1">
      <c r="A419" s="53" t="str">
        <f t="shared" si="14"/>
        <v>404</v>
      </c>
      <c r="B419" s="54"/>
      <c r="C419" s="108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</row>
    <row r="420" ht="17.25" customHeight="1">
      <c r="A420" s="53" t="str">
        <f t="shared" si="14"/>
        <v>405</v>
      </c>
      <c r="B420" s="54"/>
      <c r="C420" s="108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</row>
    <row r="421" ht="17.25" customHeight="1">
      <c r="A421" s="53" t="str">
        <f t="shared" si="14"/>
        <v>406</v>
      </c>
      <c r="B421" s="54"/>
      <c r="C421" s="108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</row>
    <row r="422" ht="17.25" customHeight="1">
      <c r="A422" s="53" t="str">
        <f t="shared" si="14"/>
        <v>407</v>
      </c>
      <c r="B422" s="54"/>
      <c r="C422" s="108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</row>
    <row r="423" ht="17.25" customHeight="1">
      <c r="A423" s="53" t="str">
        <f t="shared" si="14"/>
        <v>408</v>
      </c>
      <c r="B423" s="54"/>
      <c r="C423" s="108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</row>
    <row r="424" ht="17.25" customHeight="1">
      <c r="A424" s="53" t="str">
        <f t="shared" si="14"/>
        <v>409</v>
      </c>
      <c r="B424" s="54"/>
      <c r="C424" s="108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</row>
    <row r="425" ht="17.25" customHeight="1">
      <c r="A425" s="53" t="str">
        <f t="shared" si="14"/>
        <v>410</v>
      </c>
      <c r="B425" s="54"/>
      <c r="C425" s="108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</row>
    <row r="426" ht="17.25" customHeight="1">
      <c r="A426" s="53" t="str">
        <f t="shared" si="14"/>
        <v>411</v>
      </c>
      <c r="B426" s="54"/>
      <c r="C426" s="108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</row>
    <row r="427" ht="17.25" customHeight="1">
      <c r="A427" s="53" t="str">
        <f t="shared" si="14"/>
        <v>412</v>
      </c>
      <c r="B427" s="54"/>
      <c r="C427" s="108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</row>
    <row r="428" ht="17.25" customHeight="1">
      <c r="A428" s="53" t="str">
        <f t="shared" si="14"/>
        <v>413</v>
      </c>
      <c r="B428" s="54"/>
      <c r="C428" s="108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</row>
    <row r="429" ht="17.25" customHeight="1">
      <c r="A429" s="53" t="str">
        <f t="shared" si="14"/>
        <v>414</v>
      </c>
      <c r="B429" s="54"/>
      <c r="C429" s="108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</row>
    <row r="430" ht="17.25" customHeight="1">
      <c r="A430" s="53" t="str">
        <f t="shared" si="14"/>
        <v>415</v>
      </c>
      <c r="B430" s="54"/>
      <c r="C430" s="108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</row>
    <row r="431" ht="17.25" customHeight="1">
      <c r="A431" s="53" t="str">
        <f t="shared" si="14"/>
        <v>416</v>
      </c>
      <c r="B431" s="54"/>
      <c r="C431" s="108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</row>
    <row r="432" ht="17.25" customHeight="1">
      <c r="A432" s="53" t="str">
        <f t="shared" si="14"/>
        <v>417</v>
      </c>
      <c r="B432" s="54"/>
      <c r="C432" s="108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</row>
    <row r="433" ht="17.25" customHeight="1">
      <c r="A433" s="53" t="str">
        <f t="shared" si="14"/>
        <v>418</v>
      </c>
      <c r="B433" s="54"/>
      <c r="C433" s="108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</row>
    <row r="434" ht="17.25" customHeight="1">
      <c r="A434" s="53" t="str">
        <f t="shared" si="14"/>
        <v>419</v>
      </c>
      <c r="B434" s="54"/>
      <c r="C434" s="108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</row>
    <row r="435" ht="17.25" customHeight="1">
      <c r="A435" s="53" t="str">
        <f t="shared" si="14"/>
        <v>420</v>
      </c>
      <c r="B435" s="54"/>
      <c r="C435" s="108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</row>
    <row r="436" ht="17.25" customHeight="1">
      <c r="A436" s="53" t="str">
        <f t="shared" si="14"/>
        <v>421</v>
      </c>
      <c r="B436" s="54"/>
      <c r="C436" s="108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</row>
    <row r="437" ht="17.25" customHeight="1">
      <c r="A437" s="53" t="str">
        <f t="shared" si="14"/>
        <v>422</v>
      </c>
      <c r="B437" s="54"/>
      <c r="C437" s="108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</row>
    <row r="438" ht="17.25" customHeight="1">
      <c r="A438" s="53" t="str">
        <f t="shared" si="14"/>
        <v>423</v>
      </c>
      <c r="B438" s="54"/>
      <c r="C438" s="108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</row>
    <row r="439" ht="17.25" customHeight="1">
      <c r="A439" s="53" t="str">
        <f t="shared" si="14"/>
        <v>424</v>
      </c>
      <c r="B439" s="54"/>
      <c r="C439" s="108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</row>
    <row r="440" ht="17.25" customHeight="1">
      <c r="A440" s="53" t="str">
        <f t="shared" si="14"/>
        <v>425</v>
      </c>
      <c r="B440" s="54"/>
      <c r="C440" s="108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</row>
    <row r="441" ht="17.25" customHeight="1">
      <c r="A441" s="53" t="str">
        <f t="shared" si="14"/>
        <v>426</v>
      </c>
      <c r="B441" s="54"/>
      <c r="C441" s="108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</row>
    <row r="442" ht="17.25" customHeight="1">
      <c r="A442" s="53" t="str">
        <f t="shared" si="14"/>
        <v>427</v>
      </c>
      <c r="B442" s="54"/>
      <c r="C442" s="108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</row>
    <row r="443" ht="17.25" customHeight="1">
      <c r="A443" s="53" t="str">
        <f t="shared" si="14"/>
        <v>428</v>
      </c>
      <c r="B443" s="54"/>
      <c r="C443" s="108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</row>
    <row r="444" ht="17.25" customHeight="1">
      <c r="A444" s="53" t="str">
        <f t="shared" si="14"/>
        <v>429</v>
      </c>
      <c r="B444" s="54"/>
      <c r="C444" s="108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</row>
    <row r="445" ht="17.25" customHeight="1">
      <c r="A445" s="53" t="str">
        <f t="shared" si="14"/>
        <v>430</v>
      </c>
      <c r="B445" s="54"/>
      <c r="C445" s="108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</row>
    <row r="446" ht="17.25" customHeight="1">
      <c r="A446" s="53" t="str">
        <f t="shared" si="14"/>
        <v>431</v>
      </c>
      <c r="B446" s="54"/>
      <c r="C446" s="108"/>
      <c r="D446" s="29"/>
      <c r="T446" s="29"/>
      <c r="U446" s="29"/>
      <c r="V446" s="29"/>
      <c r="W446" s="29"/>
      <c r="X446" s="29"/>
      <c r="Y446" s="29"/>
    </row>
    <row r="447" ht="17.25" customHeight="1">
      <c r="A447" s="53" t="str">
        <f t="shared" si="14"/>
        <v>432</v>
      </c>
      <c r="B447" s="54"/>
      <c r="C447" s="108"/>
      <c r="D447" s="29"/>
      <c r="T447" s="29"/>
      <c r="U447" s="29"/>
      <c r="V447" s="29"/>
      <c r="W447" s="29"/>
      <c r="X447" s="29"/>
      <c r="Y447" s="29"/>
    </row>
    <row r="448" ht="17.25" customHeight="1">
      <c r="A448" s="53" t="str">
        <f t="shared" si="14"/>
        <v>433</v>
      </c>
      <c r="B448" s="54"/>
      <c r="C448" s="108"/>
      <c r="D448" s="29"/>
      <c r="T448" s="29"/>
      <c r="U448" s="29"/>
      <c r="V448" s="29"/>
      <c r="W448" s="29"/>
      <c r="X448" s="29"/>
      <c r="Y448" s="29"/>
    </row>
    <row r="449" ht="17.25" customHeight="1">
      <c r="A449" s="53" t="str">
        <f t="shared" si="14"/>
        <v>434</v>
      </c>
      <c r="B449" s="54"/>
      <c r="C449" s="108"/>
      <c r="D449" s="29"/>
      <c r="T449" s="29"/>
      <c r="U449" s="29"/>
      <c r="V449" s="29"/>
      <c r="W449" s="29"/>
      <c r="X449" s="29"/>
      <c r="Y449" s="29"/>
    </row>
    <row r="450" ht="17.25" customHeight="1">
      <c r="A450" s="53" t="str">
        <f t="shared" si="14"/>
        <v>435</v>
      </c>
      <c r="B450" s="54"/>
      <c r="C450" s="108"/>
      <c r="D450" s="29"/>
      <c r="T450" s="29"/>
      <c r="U450" s="29"/>
    </row>
    <row r="451" ht="17.25" customHeight="1">
      <c r="A451" s="53" t="str">
        <f t="shared" si="14"/>
        <v>436</v>
      </c>
      <c r="B451" s="54"/>
      <c r="C451" s="108"/>
      <c r="D451" s="29"/>
      <c r="U451" s="29"/>
    </row>
    <row r="452" ht="17.25" customHeight="1">
      <c r="A452" s="53" t="str">
        <f t="shared" si="14"/>
        <v>437</v>
      </c>
      <c r="B452" s="54"/>
      <c r="C452" s="108"/>
      <c r="D452" s="29"/>
      <c r="U452" s="29"/>
    </row>
    <row r="453" ht="17.25" customHeight="1">
      <c r="A453" s="53" t="str">
        <f t="shared" si="14"/>
        <v>438</v>
      </c>
      <c r="B453" s="54"/>
      <c r="C453" s="108"/>
      <c r="D453" s="29"/>
      <c r="U453" s="29"/>
    </row>
    <row r="454" ht="17.25" customHeight="1">
      <c r="A454" s="53" t="str">
        <f t="shared" si="14"/>
        <v>439</v>
      </c>
      <c r="B454" s="54"/>
      <c r="C454" s="108"/>
      <c r="D454" s="29"/>
      <c r="U454" s="29"/>
    </row>
    <row r="455" ht="17.25" customHeight="1">
      <c r="A455" s="53" t="str">
        <f t="shared" si="14"/>
        <v>440</v>
      </c>
      <c r="B455" s="54"/>
      <c r="C455" s="108"/>
      <c r="D455" s="29"/>
      <c r="U455" s="29"/>
    </row>
    <row r="456" ht="15.75" customHeight="1">
      <c r="A456" s="53" t="str">
        <f t="shared" si="14"/>
        <v>441</v>
      </c>
      <c r="B456" s="54"/>
      <c r="C456" s="55"/>
    </row>
    <row r="457" ht="15.75" customHeight="1">
      <c r="A457" s="53" t="str">
        <f t="shared" si="14"/>
        <v>442</v>
      </c>
      <c r="B457" s="54"/>
      <c r="C457" s="55"/>
    </row>
    <row r="458" ht="15.75" customHeight="1">
      <c r="A458" s="53" t="str">
        <f t="shared" si="14"/>
        <v>443</v>
      </c>
      <c r="B458" s="54"/>
      <c r="C458" s="55"/>
    </row>
    <row r="459" ht="15.75" customHeight="1">
      <c r="A459" s="53" t="str">
        <f t="shared" si="14"/>
        <v>444</v>
      </c>
      <c r="B459" s="54"/>
      <c r="C459" s="55"/>
    </row>
    <row r="460" ht="15.75" customHeight="1">
      <c r="A460" s="53" t="str">
        <f t="shared" si="14"/>
        <v>445</v>
      </c>
      <c r="B460" s="54"/>
      <c r="C460" s="55"/>
    </row>
    <row r="461" ht="15.75" customHeight="1">
      <c r="A461" s="53" t="str">
        <f t="shared" si="14"/>
        <v>446</v>
      </c>
      <c r="B461" s="54"/>
      <c r="C461" s="55"/>
    </row>
    <row r="462" ht="15.75" customHeight="1">
      <c r="A462" s="53" t="str">
        <f t="shared" si="14"/>
        <v>447</v>
      </c>
      <c r="B462" s="54"/>
      <c r="C462" s="55"/>
    </row>
    <row r="463" ht="15.75" customHeight="1">
      <c r="A463" s="53" t="str">
        <f t="shared" si="14"/>
        <v>448</v>
      </c>
      <c r="B463" s="54"/>
      <c r="C463" s="55"/>
    </row>
    <row r="464" ht="15.75" customHeight="1">
      <c r="A464" s="53" t="str">
        <f t="shared" si="14"/>
        <v>449</v>
      </c>
      <c r="B464" s="54"/>
      <c r="C464" s="55"/>
    </row>
    <row r="465" ht="15.75" customHeight="1">
      <c r="A465" s="53" t="str">
        <f t="shared" si="14"/>
        <v>450</v>
      </c>
      <c r="B465" s="54"/>
      <c r="C465" s="55"/>
    </row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</sheetData>
  <mergeCells count="53">
    <mergeCell ref="I18:L20"/>
    <mergeCell ref="M18:N20"/>
    <mergeCell ref="I16:L17"/>
    <mergeCell ref="M16:N17"/>
    <mergeCell ref="Q11:S11"/>
    <mergeCell ref="Q12:S13"/>
    <mergeCell ref="P12:P13"/>
    <mergeCell ref="L13:O13"/>
    <mergeCell ref="E15:P15"/>
    <mergeCell ref="G40:L40"/>
    <mergeCell ref="E42:S42"/>
    <mergeCell ref="J11:L11"/>
    <mergeCell ref="M11:O11"/>
    <mergeCell ref="G37:L37"/>
    <mergeCell ref="G38:L38"/>
    <mergeCell ref="G39:L39"/>
    <mergeCell ref="J22:M24"/>
    <mergeCell ref="H13:K13"/>
    <mergeCell ref="O27:O28"/>
    <mergeCell ref="P27:P28"/>
    <mergeCell ref="R27:R28"/>
    <mergeCell ref="E26:S26"/>
    <mergeCell ref="J27:J28"/>
    <mergeCell ref="K27:K28"/>
    <mergeCell ref="S27:S28"/>
    <mergeCell ref="Q27:Q28"/>
    <mergeCell ref="L27:L28"/>
    <mergeCell ref="M27:M28"/>
    <mergeCell ref="N27:N28"/>
    <mergeCell ref="D11:F11"/>
    <mergeCell ref="G11:I11"/>
    <mergeCell ref="V11:Z11"/>
    <mergeCell ref="D12:F12"/>
    <mergeCell ref="G12:O12"/>
    <mergeCell ref="A12:C12"/>
    <mergeCell ref="A13:C13"/>
    <mergeCell ref="D13:G13"/>
    <mergeCell ref="A7:O7"/>
    <mergeCell ref="A8:O8"/>
    <mergeCell ref="A9:O9"/>
    <mergeCell ref="A11:C11"/>
    <mergeCell ref="F27:F28"/>
    <mergeCell ref="G27:G28"/>
    <mergeCell ref="H27:H28"/>
    <mergeCell ref="I27:I28"/>
    <mergeCell ref="E22:H24"/>
    <mergeCell ref="I22:I24"/>
    <mergeCell ref="N22:P24"/>
    <mergeCell ref="O18:P20"/>
    <mergeCell ref="O16:P17"/>
    <mergeCell ref="E16:H17"/>
    <mergeCell ref="E27:E28"/>
    <mergeCell ref="E18:H20"/>
  </mergeCells>
  <dataValidations>
    <dataValidation type="list" allowBlank="1" showErrorMessage="1" sqref="V11 T12:U13">
      <formula1>$AA$12:$AA$14</formula1>
    </dataValidation>
    <dataValidation type="decimal" allowBlank="1" showErrorMessage="1" sqref="F29:S31">
      <formula1>0.0</formula1>
      <formula2>3.0</formula2>
    </dataValidation>
  </dataValidations>
  <printOptions/>
  <pageMargins bottom="0.5" footer="0.0" header="0.0" left="0.2" right="0.2" top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5.89"/>
    <col customWidth="1" min="2" max="2" width="6.0"/>
    <col customWidth="1" min="3" max="16" width="4.11"/>
    <col customWidth="1" min="17" max="17" width="4.0"/>
    <col customWidth="1" min="18" max="18" width="8.22"/>
    <col customWidth="1" min="19" max="19" width="8.67"/>
    <col customWidth="1" min="20" max="24" width="6.33"/>
    <col customWidth="1" min="25" max="25" width="7.11"/>
  </cols>
  <sheetData>
    <row r="1" ht="23.25" customHeight="1">
      <c r="A1" s="38" t="str">
        <f>BASE!A7</f>
        <v/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8"/>
      <c r="S1" s="38" t="str">
        <f>BASE!A7</f>
        <v/>
      </c>
      <c r="T1" s="27"/>
      <c r="U1" s="27"/>
      <c r="V1" s="27"/>
      <c r="W1" s="27"/>
      <c r="X1" s="28"/>
      <c r="Y1" s="109"/>
    </row>
    <row r="2" ht="23.25" customHeight="1">
      <c r="A2" s="38" t="str">
        <f>+BASE!A8</f>
        <v/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/>
      <c r="S2" s="38" t="str">
        <f>BASE!A8</f>
        <v/>
      </c>
      <c r="T2" s="27"/>
      <c r="U2" s="27"/>
      <c r="V2" s="27"/>
      <c r="W2" s="27"/>
      <c r="X2" s="28"/>
      <c r="Y2" s="109"/>
    </row>
    <row r="3" ht="23.25" customHeight="1">
      <c r="A3" s="38" t="str">
        <f>+BASE!A9</f>
        <v>LABORATORY COURSE OUTCOME ANALYSIS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8"/>
      <c r="S3" s="38" t="str">
        <f>BASE!A9</f>
        <v>LABORATORY COURSE OUTCOME ANALYSIS</v>
      </c>
      <c r="T3" s="27"/>
      <c r="U3" s="27"/>
      <c r="V3" s="27"/>
      <c r="W3" s="27"/>
      <c r="X3" s="28"/>
      <c r="Y3" s="109"/>
    </row>
    <row r="4" ht="47.25" customHeight="1">
      <c r="A4" s="110" t="str">
        <f>BASE!A11</f>
        <v>Name of Faculty(s)</v>
      </c>
      <c r="B4" s="49" t="s">
        <v>122</v>
      </c>
      <c r="C4" s="34" t="str">
        <f>BASE!D11</f>
        <v>a</v>
      </c>
      <c r="D4" s="2"/>
      <c r="E4" s="2"/>
      <c r="F4" s="3"/>
      <c r="G4" s="34" t="str">
        <f>BASE!G11</f>
        <v>b</v>
      </c>
      <c r="H4" s="2"/>
      <c r="I4" s="2"/>
      <c r="J4" s="3"/>
      <c r="K4" s="34" t="str">
        <f>BASE!J11</f>
        <v>c</v>
      </c>
      <c r="L4" s="2"/>
      <c r="M4" s="2"/>
      <c r="N4" s="3"/>
      <c r="O4" s="111" t="str">
        <f>BASE!M11</f>
        <v>d</v>
      </c>
      <c r="P4" s="2"/>
      <c r="Q4" s="2"/>
      <c r="R4" s="3"/>
      <c r="S4" s="112" t="s">
        <v>123</v>
      </c>
      <c r="T4" s="39"/>
      <c r="U4" s="51" t="str">
        <f>BASE!D12</f>
        <v/>
      </c>
      <c r="V4" s="2"/>
      <c r="W4" s="2"/>
      <c r="X4" s="3"/>
      <c r="Y4" s="113"/>
    </row>
    <row r="5" ht="39.0" customHeight="1">
      <c r="A5" s="110" t="str">
        <f>BASE!A12</f>
        <v>Course Code and Name</v>
      </c>
      <c r="B5" s="49" t="s">
        <v>122</v>
      </c>
      <c r="C5" s="34" t="str">
        <f>BASE!D12</f>
        <v/>
      </c>
      <c r="D5" s="2"/>
      <c r="E5" s="2"/>
      <c r="F5" s="3"/>
      <c r="G5" s="34" t="str">
        <f>BASE!G12</f>
        <v>XXXXXXXX XXXXX XXXXXXXX</v>
      </c>
      <c r="H5" s="2"/>
      <c r="I5" s="2"/>
      <c r="J5" s="2"/>
      <c r="K5" s="2"/>
      <c r="L5" s="2"/>
      <c r="M5" s="2"/>
      <c r="N5" s="2"/>
      <c r="O5" s="2"/>
      <c r="P5" s="2"/>
      <c r="Q5" s="2"/>
      <c r="R5" s="3"/>
      <c r="S5" s="114" t="s">
        <v>124</v>
      </c>
      <c r="T5" s="39"/>
      <c r="U5" s="34" t="str">
        <f>BASE!G12</f>
        <v>XXXXXXXX XXXXX XXXXXXXX</v>
      </c>
      <c r="V5" s="2"/>
      <c r="W5" s="2"/>
      <c r="X5" s="3"/>
      <c r="Y5" s="113"/>
    </row>
    <row r="6" ht="51.0" customHeight="1">
      <c r="A6" s="115" t="str">
        <f>BASE!A13</f>
        <v>Branch / Year / Semester</v>
      </c>
      <c r="B6" s="116" t="s">
        <v>122</v>
      </c>
      <c r="C6" s="60" t="str">
        <f>+BASE!D13</f>
        <v>abcd</v>
      </c>
      <c r="D6" s="42"/>
      <c r="E6" s="42"/>
      <c r="F6" s="43"/>
      <c r="G6" s="51" t="str">
        <f>BASE!H13</f>
        <v>II</v>
      </c>
      <c r="H6" s="3"/>
      <c r="I6" s="51" t="str">
        <f>BASE!L13</f>
        <v>IV</v>
      </c>
      <c r="J6" s="3"/>
      <c r="K6" s="51"/>
      <c r="L6" s="2"/>
      <c r="M6" s="2"/>
      <c r="N6" s="2"/>
      <c r="O6" s="2"/>
      <c r="P6" s="2"/>
      <c r="Q6" s="2"/>
      <c r="R6" s="3"/>
      <c r="S6" s="60" t="str">
        <f>BASE!A13</f>
        <v>Branch / Year / Semester</v>
      </c>
      <c r="T6" s="43"/>
      <c r="U6" s="117" t="str">
        <f>BASE!D13</f>
        <v>abcd</v>
      </c>
      <c r="V6" s="64"/>
      <c r="W6" s="118" t="str">
        <f>BASE!H13</f>
        <v>II</v>
      </c>
      <c r="X6" s="119" t="str">
        <f>BASE!L13</f>
        <v>IV</v>
      </c>
      <c r="Y6" s="113"/>
    </row>
    <row r="7" ht="51.0" customHeight="1">
      <c r="A7" s="71"/>
      <c r="B7" s="71"/>
      <c r="C7" s="46"/>
      <c r="D7" s="47"/>
      <c r="E7" s="47"/>
      <c r="F7" s="48"/>
      <c r="G7" s="120" t="s">
        <v>125</v>
      </c>
      <c r="H7" s="2"/>
      <c r="I7" s="2"/>
      <c r="J7" s="3"/>
      <c r="K7" s="121" t="s">
        <v>122</v>
      </c>
      <c r="L7" s="122" t="str">
        <f>ROWS(A12:A480)-COUNTIF(A12:A480,"")</f>
        <v>46</v>
      </c>
      <c r="M7" s="2"/>
      <c r="N7" s="3"/>
      <c r="O7" s="36" t="s">
        <v>126</v>
      </c>
      <c r="P7" s="3"/>
      <c r="Q7" s="121" t="s">
        <v>122</v>
      </c>
      <c r="R7" s="121"/>
      <c r="S7" s="46"/>
      <c r="T7" s="48"/>
      <c r="U7" s="46"/>
      <c r="V7" s="61"/>
      <c r="W7" s="123"/>
      <c r="X7" s="124"/>
      <c r="Y7" s="113"/>
    </row>
    <row r="8" ht="21.0" customHeight="1">
      <c r="A8" s="125"/>
      <c r="B8" s="126"/>
      <c r="C8" s="127"/>
      <c r="D8" s="127"/>
      <c r="E8" s="127"/>
      <c r="F8" s="127"/>
      <c r="G8" s="127"/>
      <c r="H8" s="127"/>
      <c r="I8" s="89"/>
      <c r="J8" s="89"/>
      <c r="K8" s="89"/>
      <c r="L8" s="89"/>
      <c r="M8" s="89"/>
      <c r="N8" s="89"/>
      <c r="O8" s="89"/>
      <c r="P8" s="89"/>
      <c r="Q8" s="89"/>
      <c r="R8" s="128"/>
      <c r="S8" s="127"/>
      <c r="T8" s="113"/>
      <c r="U8" s="113"/>
      <c r="V8" s="113"/>
      <c r="W8" s="113"/>
      <c r="X8" s="113"/>
      <c r="Y8" s="113"/>
    </row>
    <row r="9" ht="22.5" customHeight="1">
      <c r="A9" s="115" t="s">
        <v>127</v>
      </c>
      <c r="B9" s="49" t="s">
        <v>128</v>
      </c>
      <c r="C9" s="129">
        <v>1.0</v>
      </c>
      <c r="D9" s="129">
        <v>2.0</v>
      </c>
      <c r="E9" s="129">
        <v>3.0</v>
      </c>
      <c r="F9" s="129">
        <v>4.0</v>
      </c>
      <c r="G9" s="129">
        <v>5.0</v>
      </c>
      <c r="H9" s="129">
        <v>6.0</v>
      </c>
      <c r="I9" s="129">
        <v>7.0</v>
      </c>
      <c r="J9" s="129">
        <v>8.0</v>
      </c>
      <c r="K9" s="129">
        <v>9.0</v>
      </c>
      <c r="L9" s="129">
        <v>10.0</v>
      </c>
      <c r="M9" s="129">
        <v>11.0</v>
      </c>
      <c r="N9" s="129"/>
      <c r="O9" s="129"/>
      <c r="P9" s="129"/>
      <c r="Q9" s="129"/>
      <c r="R9" s="115" t="s">
        <v>129</v>
      </c>
      <c r="S9" s="115" t="s">
        <v>2</v>
      </c>
      <c r="T9" s="49" t="s">
        <v>130</v>
      </c>
      <c r="U9" s="49" t="s">
        <v>131</v>
      </c>
      <c r="V9" s="49" t="s">
        <v>132</v>
      </c>
      <c r="W9" s="49"/>
      <c r="X9" s="49"/>
      <c r="Y9" s="113"/>
    </row>
    <row r="10" ht="40.5" customHeight="1">
      <c r="A10" s="70"/>
      <c r="B10" s="110" t="s">
        <v>133</v>
      </c>
      <c r="C10" s="49">
        <v>60.0</v>
      </c>
      <c r="D10" s="49">
        <v>60.0</v>
      </c>
      <c r="E10" s="49">
        <v>60.0</v>
      </c>
      <c r="F10" s="49">
        <v>60.0</v>
      </c>
      <c r="G10" s="49">
        <v>60.0</v>
      </c>
      <c r="H10" s="49">
        <v>60.0</v>
      </c>
      <c r="I10" s="49">
        <v>60.0</v>
      </c>
      <c r="J10" s="49">
        <v>60.0</v>
      </c>
      <c r="K10" s="49">
        <v>60.0</v>
      </c>
      <c r="L10" s="49">
        <v>60.0</v>
      </c>
      <c r="M10" s="49">
        <v>60.0</v>
      </c>
      <c r="N10" s="49"/>
      <c r="O10" s="49"/>
      <c r="P10" s="49"/>
      <c r="Q10" s="49"/>
      <c r="R10" s="70"/>
      <c r="S10" s="70"/>
      <c r="T10" s="129" t="str">
        <f>SUMIF($C$11:$Q$11,1,C10:Q10)</f>
        <v>180</v>
      </c>
      <c r="U10" s="129" t="str">
        <f>SUMIF($C$11:$Q$11,2,C10:Q10)</f>
        <v>240</v>
      </c>
      <c r="V10" s="129" t="str">
        <f>SUMIF($C$11:$Q$11,3,C10:Q10)</f>
        <v>240</v>
      </c>
      <c r="W10" s="129"/>
      <c r="X10" s="129"/>
      <c r="Y10" s="113"/>
    </row>
    <row r="11" ht="22.5" customHeight="1">
      <c r="A11" s="71"/>
      <c r="B11" s="49" t="s">
        <v>134</v>
      </c>
      <c r="C11" s="49">
        <v>1.0</v>
      </c>
      <c r="D11" s="49">
        <v>1.0</v>
      </c>
      <c r="E11" s="49">
        <v>1.0</v>
      </c>
      <c r="F11" s="49">
        <v>2.0</v>
      </c>
      <c r="G11" s="49">
        <v>2.0</v>
      </c>
      <c r="H11" s="49">
        <v>2.0</v>
      </c>
      <c r="I11" s="49">
        <v>2.0</v>
      </c>
      <c r="J11" s="49">
        <v>3.0</v>
      </c>
      <c r="K11" s="49">
        <v>3.0</v>
      </c>
      <c r="L11" s="49">
        <v>3.0</v>
      </c>
      <c r="M11" s="49">
        <v>3.0</v>
      </c>
      <c r="N11" s="49"/>
      <c r="O11" s="49"/>
      <c r="P11" s="49"/>
      <c r="Q11" s="49"/>
      <c r="R11" s="71"/>
      <c r="S11" s="71"/>
      <c r="T11" s="130"/>
      <c r="U11" s="2"/>
      <c r="V11" s="2"/>
      <c r="W11" s="2"/>
      <c r="X11" s="3"/>
      <c r="Y11" s="113"/>
    </row>
    <row r="12" ht="20.25" customHeight="1">
      <c r="A12" s="131" t="str">
        <f>IF(BASE!B16="","",BASE!B16)</f>
        <v>21FTR001</v>
      </c>
      <c r="B12" s="49" t="s">
        <v>122</v>
      </c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29"/>
      <c r="R12" s="49" t="str">
        <f t="shared" ref="R12:R461" si="1">SUM(C12:Q12)</f>
        <v>0</v>
      </c>
      <c r="S12" s="49" t="str">
        <f>BASE!A16</f>
        <v>1</v>
      </c>
      <c r="T12" s="129" t="str">
        <f t="shared" ref="T12:T461" si="2">SUMIF($C$11:$Q$11,1,C12:Q12)</f>
        <v>0</v>
      </c>
      <c r="U12" s="129" t="str">
        <f t="shared" ref="U12:U461" si="3">SUMIF($C$11:$Q$11,2,C12:Q12)</f>
        <v>0</v>
      </c>
      <c r="V12" s="129" t="str">
        <f t="shared" ref="V12:V461" si="4">SUMIF($C$11:$Q$11,3,C12:Q12)</f>
        <v>0</v>
      </c>
      <c r="W12" s="129"/>
      <c r="X12" s="129"/>
      <c r="Y12" s="113"/>
    </row>
    <row r="13" ht="20.25" customHeight="1">
      <c r="A13" s="131" t="str">
        <f>IF(BASE!B17="","",BASE!B17)</f>
        <v>21FTR002</v>
      </c>
      <c r="B13" s="49" t="s">
        <v>122</v>
      </c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  <c r="O13" s="108"/>
      <c r="P13" s="108"/>
      <c r="Q13" s="129"/>
      <c r="R13" s="49" t="str">
        <f t="shared" si="1"/>
        <v>0</v>
      </c>
      <c r="S13" s="49" t="str">
        <f>BASE!A17</f>
        <v>2</v>
      </c>
      <c r="T13" s="129" t="str">
        <f t="shared" si="2"/>
        <v>0</v>
      </c>
      <c r="U13" s="129" t="str">
        <f t="shared" si="3"/>
        <v>0</v>
      </c>
      <c r="V13" s="129" t="str">
        <f t="shared" si="4"/>
        <v>0</v>
      </c>
      <c r="W13" s="129"/>
      <c r="X13" s="129"/>
      <c r="Y13" s="113"/>
    </row>
    <row r="14" ht="20.25" customHeight="1">
      <c r="A14" s="131" t="str">
        <f>IF(BASE!B18="","",BASE!B18)</f>
        <v>21FTR003</v>
      </c>
      <c r="B14" s="49" t="s">
        <v>122</v>
      </c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29"/>
      <c r="R14" s="49" t="str">
        <f t="shared" si="1"/>
        <v>0</v>
      </c>
      <c r="S14" s="49" t="str">
        <f>BASE!A18</f>
        <v>3</v>
      </c>
      <c r="T14" s="129" t="str">
        <f t="shared" si="2"/>
        <v>0</v>
      </c>
      <c r="U14" s="129" t="str">
        <f t="shared" si="3"/>
        <v>0</v>
      </c>
      <c r="V14" s="129" t="str">
        <f t="shared" si="4"/>
        <v>0</v>
      </c>
      <c r="W14" s="129"/>
      <c r="X14" s="129"/>
      <c r="Y14" s="113"/>
    </row>
    <row r="15" ht="20.25" customHeight="1">
      <c r="A15" s="131" t="str">
        <f>IF(BASE!B19="","",BASE!B19)</f>
        <v>21FTR004</v>
      </c>
      <c r="B15" s="49" t="s">
        <v>122</v>
      </c>
      <c r="C15" s="108"/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  <c r="O15" s="108"/>
      <c r="P15" s="108"/>
      <c r="Q15" s="129"/>
      <c r="R15" s="49" t="str">
        <f t="shared" si="1"/>
        <v>0</v>
      </c>
      <c r="S15" s="49" t="str">
        <f>BASE!A19</f>
        <v>4</v>
      </c>
      <c r="T15" s="129" t="str">
        <f t="shared" si="2"/>
        <v>0</v>
      </c>
      <c r="U15" s="129" t="str">
        <f t="shared" si="3"/>
        <v>0</v>
      </c>
      <c r="V15" s="129" t="str">
        <f t="shared" si="4"/>
        <v>0</v>
      </c>
      <c r="W15" s="129"/>
      <c r="X15" s="129"/>
      <c r="Y15" s="113"/>
    </row>
    <row r="16" ht="20.25" customHeight="1">
      <c r="A16" s="131" t="str">
        <f>IF(BASE!B20="","",BASE!B20)</f>
        <v>21FTR005</v>
      </c>
      <c r="B16" s="49" t="s">
        <v>122</v>
      </c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29"/>
      <c r="R16" s="49" t="str">
        <f t="shared" si="1"/>
        <v>0</v>
      </c>
      <c r="S16" s="49" t="str">
        <f>BASE!A20</f>
        <v>5</v>
      </c>
      <c r="T16" s="129" t="str">
        <f t="shared" si="2"/>
        <v>0</v>
      </c>
      <c r="U16" s="129" t="str">
        <f t="shared" si="3"/>
        <v>0</v>
      </c>
      <c r="V16" s="129" t="str">
        <f t="shared" si="4"/>
        <v>0</v>
      </c>
      <c r="W16" s="129"/>
      <c r="X16" s="129"/>
      <c r="Y16" s="113"/>
    </row>
    <row r="17" ht="20.25" customHeight="1">
      <c r="A17" s="131" t="str">
        <f>IF(BASE!B21="","",BASE!B21)</f>
        <v>21FTR006</v>
      </c>
      <c r="B17" s="49" t="s">
        <v>122</v>
      </c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29"/>
      <c r="R17" s="49" t="str">
        <f t="shared" si="1"/>
        <v>0</v>
      </c>
      <c r="S17" s="49" t="str">
        <f>BASE!A21</f>
        <v>6</v>
      </c>
      <c r="T17" s="129" t="str">
        <f t="shared" si="2"/>
        <v>0</v>
      </c>
      <c r="U17" s="129" t="str">
        <f t="shared" si="3"/>
        <v>0</v>
      </c>
      <c r="V17" s="129" t="str">
        <f t="shared" si="4"/>
        <v>0</v>
      </c>
      <c r="W17" s="129"/>
      <c r="X17" s="129"/>
      <c r="Y17" s="113"/>
    </row>
    <row r="18" ht="20.25" customHeight="1">
      <c r="A18" s="131" t="str">
        <f>IF(BASE!B22="","",BASE!B22)</f>
        <v>21FTR007</v>
      </c>
      <c r="B18" s="49" t="s">
        <v>122</v>
      </c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29"/>
      <c r="R18" s="49" t="str">
        <f t="shared" si="1"/>
        <v>0</v>
      </c>
      <c r="S18" s="49" t="str">
        <f>BASE!A22</f>
        <v>7</v>
      </c>
      <c r="T18" s="129" t="str">
        <f t="shared" si="2"/>
        <v>0</v>
      </c>
      <c r="U18" s="129" t="str">
        <f t="shared" si="3"/>
        <v>0</v>
      </c>
      <c r="V18" s="129" t="str">
        <f t="shared" si="4"/>
        <v>0</v>
      </c>
      <c r="W18" s="129"/>
      <c r="X18" s="129"/>
      <c r="Y18" s="113"/>
    </row>
    <row r="19" ht="20.25" customHeight="1">
      <c r="A19" s="131" t="str">
        <f>IF(BASE!B23="","",BASE!B23)</f>
        <v>21FTR008</v>
      </c>
      <c r="B19" s="49" t="s">
        <v>122</v>
      </c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29"/>
      <c r="R19" s="49" t="str">
        <f t="shared" si="1"/>
        <v>0</v>
      </c>
      <c r="S19" s="49" t="str">
        <f>BASE!A23</f>
        <v>8</v>
      </c>
      <c r="T19" s="129" t="str">
        <f t="shared" si="2"/>
        <v>0</v>
      </c>
      <c r="U19" s="129" t="str">
        <f t="shared" si="3"/>
        <v>0</v>
      </c>
      <c r="V19" s="129" t="str">
        <f t="shared" si="4"/>
        <v>0</v>
      </c>
      <c r="W19" s="129"/>
      <c r="X19" s="129"/>
      <c r="Y19" s="113"/>
    </row>
    <row r="20" ht="20.25" customHeight="1">
      <c r="A20" s="131" t="str">
        <f>IF(BASE!B24="","",BASE!B24)</f>
        <v>21FTR009</v>
      </c>
      <c r="B20" s="49" t="s">
        <v>122</v>
      </c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29"/>
      <c r="R20" s="49" t="str">
        <f t="shared" si="1"/>
        <v>0</v>
      </c>
      <c r="S20" s="49" t="str">
        <f>BASE!A24</f>
        <v>9</v>
      </c>
      <c r="T20" s="129" t="str">
        <f t="shared" si="2"/>
        <v>0</v>
      </c>
      <c r="U20" s="129" t="str">
        <f t="shared" si="3"/>
        <v>0</v>
      </c>
      <c r="V20" s="129" t="str">
        <f t="shared" si="4"/>
        <v>0</v>
      </c>
      <c r="W20" s="129"/>
      <c r="X20" s="129"/>
      <c r="Y20" s="113"/>
    </row>
    <row r="21" ht="20.25" customHeight="1">
      <c r="A21" s="131" t="str">
        <f>IF(BASE!B25="","",BASE!B25)</f>
        <v>21FTR010</v>
      </c>
      <c r="B21" s="49" t="s">
        <v>122</v>
      </c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29"/>
      <c r="R21" s="49" t="str">
        <f t="shared" si="1"/>
        <v>0</v>
      </c>
      <c r="S21" s="49" t="str">
        <f>BASE!A25</f>
        <v>10</v>
      </c>
      <c r="T21" s="129" t="str">
        <f t="shared" si="2"/>
        <v>0</v>
      </c>
      <c r="U21" s="129" t="str">
        <f t="shared" si="3"/>
        <v>0</v>
      </c>
      <c r="V21" s="129" t="str">
        <f t="shared" si="4"/>
        <v>0</v>
      </c>
      <c r="W21" s="129"/>
      <c r="X21" s="129"/>
      <c r="Y21" s="113"/>
    </row>
    <row r="22" ht="20.25" customHeight="1">
      <c r="A22" s="131" t="str">
        <f>IF(BASE!B26="","",BASE!B26)</f>
        <v>21FTR011</v>
      </c>
      <c r="B22" s="49" t="s">
        <v>122</v>
      </c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29"/>
      <c r="R22" s="49" t="str">
        <f t="shared" si="1"/>
        <v>0</v>
      </c>
      <c r="S22" s="49" t="str">
        <f>BASE!A26</f>
        <v>11</v>
      </c>
      <c r="T22" s="129" t="str">
        <f t="shared" si="2"/>
        <v>0</v>
      </c>
      <c r="U22" s="129" t="str">
        <f t="shared" si="3"/>
        <v>0</v>
      </c>
      <c r="V22" s="129" t="str">
        <f t="shared" si="4"/>
        <v>0</v>
      </c>
      <c r="W22" s="129"/>
      <c r="X22" s="129"/>
      <c r="Y22" s="113"/>
    </row>
    <row r="23" ht="20.25" customHeight="1">
      <c r="A23" s="131" t="str">
        <f>IF(BASE!B27="","",BASE!B27)</f>
        <v>21FTR012</v>
      </c>
      <c r="B23" s="49" t="s">
        <v>122</v>
      </c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29"/>
      <c r="R23" s="49" t="str">
        <f t="shared" si="1"/>
        <v>0</v>
      </c>
      <c r="S23" s="49" t="str">
        <f>BASE!A27</f>
        <v>12</v>
      </c>
      <c r="T23" s="129" t="str">
        <f t="shared" si="2"/>
        <v>0</v>
      </c>
      <c r="U23" s="129" t="str">
        <f t="shared" si="3"/>
        <v>0</v>
      </c>
      <c r="V23" s="129" t="str">
        <f t="shared" si="4"/>
        <v>0</v>
      </c>
      <c r="W23" s="129"/>
      <c r="X23" s="129"/>
      <c r="Y23" s="113"/>
    </row>
    <row r="24" ht="20.25" customHeight="1">
      <c r="A24" s="131" t="str">
        <f>IF(BASE!B28="","",BASE!B28)</f>
        <v>21FTR013</v>
      </c>
      <c r="B24" s="49" t="s">
        <v>122</v>
      </c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29"/>
      <c r="R24" s="49" t="str">
        <f t="shared" si="1"/>
        <v>0</v>
      </c>
      <c r="S24" s="49" t="str">
        <f>BASE!A28</f>
        <v>13</v>
      </c>
      <c r="T24" s="129" t="str">
        <f t="shared" si="2"/>
        <v>0</v>
      </c>
      <c r="U24" s="129" t="str">
        <f t="shared" si="3"/>
        <v>0</v>
      </c>
      <c r="V24" s="129" t="str">
        <f t="shared" si="4"/>
        <v>0</v>
      </c>
      <c r="W24" s="129"/>
      <c r="X24" s="129"/>
      <c r="Y24" s="113"/>
    </row>
    <row r="25" ht="20.25" customHeight="1">
      <c r="A25" s="131" t="str">
        <f>IF(BASE!B29="","",BASE!B29)</f>
        <v>21FTR014</v>
      </c>
      <c r="B25" s="49" t="s">
        <v>122</v>
      </c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29"/>
      <c r="R25" s="49" t="str">
        <f t="shared" si="1"/>
        <v>0</v>
      </c>
      <c r="S25" s="49" t="str">
        <f>BASE!A29</f>
        <v>14</v>
      </c>
      <c r="T25" s="129" t="str">
        <f t="shared" si="2"/>
        <v>0</v>
      </c>
      <c r="U25" s="129" t="str">
        <f t="shared" si="3"/>
        <v>0</v>
      </c>
      <c r="V25" s="129" t="str">
        <f t="shared" si="4"/>
        <v>0</v>
      </c>
      <c r="W25" s="129"/>
      <c r="X25" s="129"/>
      <c r="Y25" s="113"/>
    </row>
    <row r="26" ht="20.25" customHeight="1">
      <c r="A26" s="131" t="str">
        <f>IF(BASE!B30="","",BASE!B30)</f>
        <v>21FTR015</v>
      </c>
      <c r="B26" s="49" t="s">
        <v>122</v>
      </c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29"/>
      <c r="R26" s="49" t="str">
        <f t="shared" si="1"/>
        <v>0</v>
      </c>
      <c r="S26" s="49" t="str">
        <f>BASE!A30</f>
        <v>15</v>
      </c>
      <c r="T26" s="129" t="str">
        <f t="shared" si="2"/>
        <v>0</v>
      </c>
      <c r="U26" s="129" t="str">
        <f t="shared" si="3"/>
        <v>0</v>
      </c>
      <c r="V26" s="129" t="str">
        <f t="shared" si="4"/>
        <v>0</v>
      </c>
      <c r="W26" s="129"/>
      <c r="X26" s="129"/>
      <c r="Y26" s="113"/>
    </row>
    <row r="27" ht="20.25" customHeight="1">
      <c r="A27" s="131" t="str">
        <f>IF(BASE!B31="","",BASE!B31)</f>
        <v>21FTR016</v>
      </c>
      <c r="B27" s="49" t="s">
        <v>122</v>
      </c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29"/>
      <c r="R27" s="49" t="str">
        <f t="shared" si="1"/>
        <v>0</v>
      </c>
      <c r="S27" s="49" t="str">
        <f>BASE!A31</f>
        <v>16</v>
      </c>
      <c r="T27" s="129" t="str">
        <f t="shared" si="2"/>
        <v>0</v>
      </c>
      <c r="U27" s="129" t="str">
        <f t="shared" si="3"/>
        <v>0</v>
      </c>
      <c r="V27" s="129" t="str">
        <f t="shared" si="4"/>
        <v>0</v>
      </c>
      <c r="W27" s="129"/>
      <c r="X27" s="129"/>
      <c r="Y27" s="113"/>
    </row>
    <row r="28" ht="20.25" customHeight="1">
      <c r="A28" s="131" t="str">
        <f>IF(BASE!B32="","",BASE!B32)</f>
        <v>21FTR017</v>
      </c>
      <c r="B28" s="49" t="s">
        <v>122</v>
      </c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29"/>
      <c r="R28" s="49" t="str">
        <f t="shared" si="1"/>
        <v>0</v>
      </c>
      <c r="S28" s="49" t="str">
        <f>BASE!A32</f>
        <v>17</v>
      </c>
      <c r="T28" s="129" t="str">
        <f t="shared" si="2"/>
        <v>0</v>
      </c>
      <c r="U28" s="129" t="str">
        <f t="shared" si="3"/>
        <v>0</v>
      </c>
      <c r="V28" s="129" t="str">
        <f t="shared" si="4"/>
        <v>0</v>
      </c>
      <c r="W28" s="129"/>
      <c r="X28" s="129"/>
      <c r="Y28" s="113"/>
    </row>
    <row r="29" ht="20.25" customHeight="1">
      <c r="A29" s="131" t="str">
        <f>IF(BASE!B33="","",BASE!B33)</f>
        <v>21FTR018</v>
      </c>
      <c r="B29" s="49" t="s">
        <v>122</v>
      </c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29"/>
      <c r="R29" s="49" t="str">
        <f t="shared" si="1"/>
        <v>0</v>
      </c>
      <c r="S29" s="49" t="str">
        <f>BASE!A33</f>
        <v>18</v>
      </c>
      <c r="T29" s="129" t="str">
        <f t="shared" si="2"/>
        <v>0</v>
      </c>
      <c r="U29" s="129" t="str">
        <f t="shared" si="3"/>
        <v>0</v>
      </c>
      <c r="V29" s="129" t="str">
        <f t="shared" si="4"/>
        <v>0</v>
      </c>
      <c r="W29" s="129"/>
      <c r="X29" s="129"/>
      <c r="Y29" s="113"/>
    </row>
    <row r="30" ht="20.25" customHeight="1">
      <c r="A30" s="131" t="str">
        <f>IF(BASE!B34="","",BASE!B34)</f>
        <v>21FTR019</v>
      </c>
      <c r="B30" s="49" t="s">
        <v>122</v>
      </c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29"/>
      <c r="R30" s="49" t="str">
        <f t="shared" si="1"/>
        <v>0</v>
      </c>
      <c r="S30" s="49" t="str">
        <f>BASE!A34</f>
        <v>19</v>
      </c>
      <c r="T30" s="129" t="str">
        <f t="shared" si="2"/>
        <v>0</v>
      </c>
      <c r="U30" s="129" t="str">
        <f t="shared" si="3"/>
        <v>0</v>
      </c>
      <c r="V30" s="129" t="str">
        <f t="shared" si="4"/>
        <v>0</v>
      </c>
      <c r="W30" s="129"/>
      <c r="X30" s="129"/>
      <c r="Y30" s="113"/>
    </row>
    <row r="31" ht="20.25" customHeight="1">
      <c r="A31" s="131" t="str">
        <f>IF(BASE!B35="","",BASE!B35)</f>
        <v>21FTR020</v>
      </c>
      <c r="B31" s="49" t="s">
        <v>122</v>
      </c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29"/>
      <c r="R31" s="49" t="str">
        <f t="shared" si="1"/>
        <v>0</v>
      </c>
      <c r="S31" s="49" t="str">
        <f>BASE!A35</f>
        <v>20</v>
      </c>
      <c r="T31" s="129" t="str">
        <f t="shared" si="2"/>
        <v>0</v>
      </c>
      <c r="U31" s="129" t="str">
        <f t="shared" si="3"/>
        <v>0</v>
      </c>
      <c r="V31" s="129" t="str">
        <f t="shared" si="4"/>
        <v>0</v>
      </c>
      <c r="W31" s="129"/>
      <c r="X31" s="129"/>
      <c r="Y31" s="113"/>
    </row>
    <row r="32" ht="20.25" customHeight="1">
      <c r="A32" s="131" t="str">
        <f>IF(BASE!B36="","",BASE!B36)</f>
        <v>21FTR021</v>
      </c>
      <c r="B32" s="49" t="s">
        <v>122</v>
      </c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29"/>
      <c r="R32" s="49" t="str">
        <f t="shared" si="1"/>
        <v>0</v>
      </c>
      <c r="S32" s="49" t="str">
        <f>BASE!A36</f>
        <v>21</v>
      </c>
      <c r="T32" s="129" t="str">
        <f t="shared" si="2"/>
        <v>0</v>
      </c>
      <c r="U32" s="129" t="str">
        <f t="shared" si="3"/>
        <v>0</v>
      </c>
      <c r="V32" s="129" t="str">
        <f t="shared" si="4"/>
        <v>0</v>
      </c>
      <c r="W32" s="129"/>
      <c r="X32" s="129"/>
      <c r="Y32" s="113"/>
    </row>
    <row r="33" ht="20.25" customHeight="1">
      <c r="A33" s="131" t="str">
        <f>IF(BASE!B37="","",BASE!B37)</f>
        <v>21FTR022</v>
      </c>
      <c r="B33" s="49" t="s">
        <v>122</v>
      </c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29"/>
      <c r="R33" s="49" t="str">
        <f t="shared" si="1"/>
        <v>0</v>
      </c>
      <c r="S33" s="49" t="str">
        <f>BASE!A37</f>
        <v>22</v>
      </c>
      <c r="T33" s="129" t="str">
        <f t="shared" si="2"/>
        <v>0</v>
      </c>
      <c r="U33" s="129" t="str">
        <f t="shared" si="3"/>
        <v>0</v>
      </c>
      <c r="V33" s="129" t="str">
        <f t="shared" si="4"/>
        <v>0</v>
      </c>
      <c r="W33" s="129"/>
      <c r="X33" s="129"/>
      <c r="Y33" s="113"/>
    </row>
    <row r="34" ht="20.25" customHeight="1">
      <c r="A34" s="131" t="str">
        <f>IF(BASE!B38="","",BASE!B38)</f>
        <v>21FTR023</v>
      </c>
      <c r="B34" s="49" t="s">
        <v>122</v>
      </c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29"/>
      <c r="R34" s="49" t="str">
        <f t="shared" si="1"/>
        <v>0</v>
      </c>
      <c r="S34" s="49" t="str">
        <f>BASE!A38</f>
        <v>23</v>
      </c>
      <c r="T34" s="129" t="str">
        <f t="shared" si="2"/>
        <v>0</v>
      </c>
      <c r="U34" s="129" t="str">
        <f t="shared" si="3"/>
        <v>0</v>
      </c>
      <c r="V34" s="129" t="str">
        <f t="shared" si="4"/>
        <v>0</v>
      </c>
      <c r="W34" s="129"/>
      <c r="X34" s="129"/>
      <c r="Y34" s="113"/>
    </row>
    <row r="35" ht="20.25" customHeight="1">
      <c r="A35" s="131" t="str">
        <f>IF(BASE!B39="","",BASE!B39)</f>
        <v>21FTR024</v>
      </c>
      <c r="B35" s="49" t="s">
        <v>122</v>
      </c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29"/>
      <c r="R35" s="49" t="str">
        <f t="shared" si="1"/>
        <v>0</v>
      </c>
      <c r="S35" s="49" t="str">
        <f>BASE!A39</f>
        <v>24</v>
      </c>
      <c r="T35" s="129" t="str">
        <f t="shared" si="2"/>
        <v>0</v>
      </c>
      <c r="U35" s="129" t="str">
        <f t="shared" si="3"/>
        <v>0</v>
      </c>
      <c r="V35" s="129" t="str">
        <f t="shared" si="4"/>
        <v>0</v>
      </c>
      <c r="W35" s="129"/>
      <c r="X35" s="129"/>
      <c r="Y35" s="113"/>
    </row>
    <row r="36" ht="20.25" customHeight="1">
      <c r="A36" s="131" t="str">
        <f>IF(BASE!B40="","",BASE!B40)</f>
        <v>21FTR025</v>
      </c>
      <c r="B36" s="49" t="s">
        <v>122</v>
      </c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29"/>
      <c r="R36" s="49" t="str">
        <f t="shared" si="1"/>
        <v>0</v>
      </c>
      <c r="S36" s="49" t="str">
        <f>BASE!A40</f>
        <v>25</v>
      </c>
      <c r="T36" s="129" t="str">
        <f t="shared" si="2"/>
        <v>0</v>
      </c>
      <c r="U36" s="129" t="str">
        <f t="shared" si="3"/>
        <v>0</v>
      </c>
      <c r="V36" s="129" t="str">
        <f t="shared" si="4"/>
        <v>0</v>
      </c>
      <c r="W36" s="129"/>
      <c r="X36" s="129"/>
      <c r="Y36" s="113"/>
    </row>
    <row r="37" ht="20.25" customHeight="1">
      <c r="A37" s="131" t="str">
        <f>IF(BASE!B41="","",BASE!B41)</f>
        <v>21FTR026</v>
      </c>
      <c r="B37" s="49" t="s">
        <v>122</v>
      </c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29"/>
      <c r="R37" s="49" t="str">
        <f t="shared" si="1"/>
        <v>0</v>
      </c>
      <c r="S37" s="49" t="str">
        <f>BASE!A41</f>
        <v>26</v>
      </c>
      <c r="T37" s="129" t="str">
        <f t="shared" si="2"/>
        <v>0</v>
      </c>
      <c r="U37" s="129" t="str">
        <f t="shared" si="3"/>
        <v>0</v>
      </c>
      <c r="V37" s="129" t="str">
        <f t="shared" si="4"/>
        <v>0</v>
      </c>
      <c r="W37" s="129"/>
      <c r="X37" s="129"/>
      <c r="Y37" s="113"/>
    </row>
    <row r="38" ht="20.25" customHeight="1">
      <c r="A38" s="131" t="str">
        <f>IF(BASE!B42="","",BASE!B42)</f>
        <v>21FTR027</v>
      </c>
      <c r="B38" s="49" t="s">
        <v>122</v>
      </c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29"/>
      <c r="R38" s="49" t="str">
        <f t="shared" si="1"/>
        <v>0</v>
      </c>
      <c r="S38" s="49" t="str">
        <f>BASE!A42</f>
        <v>27</v>
      </c>
      <c r="T38" s="129" t="str">
        <f t="shared" si="2"/>
        <v>0</v>
      </c>
      <c r="U38" s="129" t="str">
        <f t="shared" si="3"/>
        <v>0</v>
      </c>
      <c r="V38" s="129" t="str">
        <f t="shared" si="4"/>
        <v>0</v>
      </c>
      <c r="W38" s="129"/>
      <c r="X38" s="129"/>
      <c r="Y38" s="113"/>
    </row>
    <row r="39" ht="20.25" customHeight="1">
      <c r="A39" s="131" t="str">
        <f>IF(BASE!B43="","",BASE!B43)</f>
        <v>21FTR028</v>
      </c>
      <c r="B39" s="49" t="s">
        <v>122</v>
      </c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29"/>
      <c r="R39" s="49" t="str">
        <f t="shared" si="1"/>
        <v>0</v>
      </c>
      <c r="S39" s="49" t="str">
        <f>BASE!A43</f>
        <v>28</v>
      </c>
      <c r="T39" s="129" t="str">
        <f t="shared" si="2"/>
        <v>0</v>
      </c>
      <c r="U39" s="129" t="str">
        <f t="shared" si="3"/>
        <v>0</v>
      </c>
      <c r="V39" s="129" t="str">
        <f t="shared" si="4"/>
        <v>0</v>
      </c>
      <c r="W39" s="129"/>
      <c r="X39" s="129"/>
      <c r="Y39" s="113"/>
    </row>
    <row r="40" ht="20.25" customHeight="1">
      <c r="A40" s="131" t="str">
        <f>IF(BASE!B44="","",BASE!B44)</f>
        <v>21FTR029</v>
      </c>
      <c r="B40" s="49" t="s">
        <v>122</v>
      </c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29"/>
      <c r="R40" s="49" t="str">
        <f t="shared" si="1"/>
        <v>0</v>
      </c>
      <c r="S40" s="49" t="str">
        <f>BASE!A44</f>
        <v>29</v>
      </c>
      <c r="T40" s="129" t="str">
        <f t="shared" si="2"/>
        <v>0</v>
      </c>
      <c r="U40" s="129" t="str">
        <f t="shared" si="3"/>
        <v>0</v>
      </c>
      <c r="V40" s="129" t="str">
        <f t="shared" si="4"/>
        <v>0</v>
      </c>
      <c r="W40" s="129"/>
      <c r="X40" s="129"/>
      <c r="Y40" s="113"/>
    </row>
    <row r="41" ht="20.25" customHeight="1">
      <c r="A41" s="131" t="str">
        <f>IF(BASE!B45="","",BASE!B45)</f>
        <v>21FTR030</v>
      </c>
      <c r="B41" s="49" t="s">
        <v>122</v>
      </c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29"/>
      <c r="R41" s="49" t="str">
        <f t="shared" si="1"/>
        <v>0</v>
      </c>
      <c r="S41" s="49" t="str">
        <f>BASE!A45</f>
        <v>30</v>
      </c>
      <c r="T41" s="129" t="str">
        <f t="shared" si="2"/>
        <v>0</v>
      </c>
      <c r="U41" s="129" t="str">
        <f t="shared" si="3"/>
        <v>0</v>
      </c>
      <c r="V41" s="129" t="str">
        <f t="shared" si="4"/>
        <v>0</v>
      </c>
      <c r="W41" s="129"/>
      <c r="X41" s="129"/>
      <c r="Y41" s="113"/>
    </row>
    <row r="42" ht="20.25" customHeight="1">
      <c r="A42" s="131" t="str">
        <f>IF(BASE!B46="","",BASE!B46)</f>
        <v>21FTR031</v>
      </c>
      <c r="B42" s="49" t="s">
        <v>122</v>
      </c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29"/>
      <c r="R42" s="49" t="str">
        <f t="shared" si="1"/>
        <v>0</v>
      </c>
      <c r="S42" s="49" t="str">
        <f>BASE!A46</f>
        <v>31</v>
      </c>
      <c r="T42" s="129" t="str">
        <f t="shared" si="2"/>
        <v>0</v>
      </c>
      <c r="U42" s="129" t="str">
        <f t="shared" si="3"/>
        <v>0</v>
      </c>
      <c r="V42" s="129" t="str">
        <f t="shared" si="4"/>
        <v>0</v>
      </c>
      <c r="W42" s="129"/>
      <c r="X42" s="129"/>
      <c r="Y42" s="113"/>
    </row>
    <row r="43" ht="20.25" customHeight="1">
      <c r="A43" s="131" t="str">
        <f>IF(BASE!B47="","",BASE!B47)</f>
        <v>21FTR032</v>
      </c>
      <c r="B43" s="49" t="s">
        <v>122</v>
      </c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29"/>
      <c r="R43" s="49" t="str">
        <f t="shared" si="1"/>
        <v>0</v>
      </c>
      <c r="S43" s="49" t="str">
        <f>BASE!A47</f>
        <v>32</v>
      </c>
      <c r="T43" s="129" t="str">
        <f t="shared" si="2"/>
        <v>0</v>
      </c>
      <c r="U43" s="129" t="str">
        <f t="shared" si="3"/>
        <v>0</v>
      </c>
      <c r="V43" s="129" t="str">
        <f t="shared" si="4"/>
        <v>0</v>
      </c>
      <c r="W43" s="129"/>
      <c r="X43" s="129"/>
      <c r="Y43" s="113"/>
    </row>
    <row r="44" ht="20.25" customHeight="1">
      <c r="A44" s="131" t="str">
        <f>IF(BASE!B48="","",BASE!B48)</f>
        <v>21FTR033</v>
      </c>
      <c r="B44" s="49" t="s">
        <v>122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29"/>
      <c r="R44" s="49" t="str">
        <f t="shared" si="1"/>
        <v>0</v>
      </c>
      <c r="S44" s="49" t="str">
        <f>BASE!A48</f>
        <v>33</v>
      </c>
      <c r="T44" s="129" t="str">
        <f t="shared" si="2"/>
        <v>0</v>
      </c>
      <c r="U44" s="129" t="str">
        <f t="shared" si="3"/>
        <v>0</v>
      </c>
      <c r="V44" s="129" t="str">
        <f t="shared" si="4"/>
        <v>0</v>
      </c>
      <c r="W44" s="129"/>
      <c r="X44" s="129"/>
      <c r="Y44" s="113"/>
    </row>
    <row r="45" ht="20.25" customHeight="1">
      <c r="A45" s="131" t="str">
        <f>IF(BASE!B49="","",BASE!B49)</f>
        <v>21FTR034</v>
      </c>
      <c r="B45" s="49" t="s">
        <v>122</v>
      </c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29"/>
      <c r="R45" s="49" t="str">
        <f t="shared" si="1"/>
        <v>0</v>
      </c>
      <c r="S45" s="49" t="str">
        <f>BASE!A49</f>
        <v>34</v>
      </c>
      <c r="T45" s="129" t="str">
        <f t="shared" si="2"/>
        <v>0</v>
      </c>
      <c r="U45" s="129" t="str">
        <f t="shared" si="3"/>
        <v>0</v>
      </c>
      <c r="V45" s="129" t="str">
        <f t="shared" si="4"/>
        <v>0</v>
      </c>
      <c r="W45" s="129"/>
      <c r="X45" s="129"/>
      <c r="Y45" s="113"/>
    </row>
    <row r="46" ht="20.25" customHeight="1">
      <c r="A46" s="131" t="str">
        <f>IF(BASE!B50="","",BASE!B50)</f>
        <v>21FTR035</v>
      </c>
      <c r="B46" s="49" t="s">
        <v>122</v>
      </c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29"/>
      <c r="R46" s="49" t="str">
        <f t="shared" si="1"/>
        <v>0</v>
      </c>
      <c r="S46" s="49" t="str">
        <f>BASE!A50</f>
        <v>35</v>
      </c>
      <c r="T46" s="129" t="str">
        <f t="shared" si="2"/>
        <v>0</v>
      </c>
      <c r="U46" s="129" t="str">
        <f t="shared" si="3"/>
        <v>0</v>
      </c>
      <c r="V46" s="129" t="str">
        <f t="shared" si="4"/>
        <v>0</v>
      </c>
      <c r="W46" s="129"/>
      <c r="X46" s="129"/>
      <c r="Y46" s="113"/>
    </row>
    <row r="47" ht="20.25" customHeight="1">
      <c r="A47" s="131" t="str">
        <f>IF(BASE!B51="","",BASE!B51)</f>
        <v>21FTR036</v>
      </c>
      <c r="B47" s="49" t="s">
        <v>122</v>
      </c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29"/>
      <c r="R47" s="49" t="str">
        <f t="shared" si="1"/>
        <v>0</v>
      </c>
      <c r="S47" s="49" t="str">
        <f>BASE!A51</f>
        <v>36</v>
      </c>
      <c r="T47" s="129" t="str">
        <f t="shared" si="2"/>
        <v>0</v>
      </c>
      <c r="U47" s="129" t="str">
        <f t="shared" si="3"/>
        <v>0</v>
      </c>
      <c r="V47" s="129" t="str">
        <f t="shared" si="4"/>
        <v>0</v>
      </c>
      <c r="W47" s="129"/>
      <c r="X47" s="129"/>
      <c r="Y47" s="113"/>
    </row>
    <row r="48" ht="20.25" customHeight="1">
      <c r="A48" s="131" t="str">
        <f>IF(BASE!B52="","",BASE!B52)</f>
        <v>21FTR037</v>
      </c>
      <c r="B48" s="49" t="s">
        <v>122</v>
      </c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29"/>
      <c r="R48" s="49" t="str">
        <f t="shared" si="1"/>
        <v>0</v>
      </c>
      <c r="S48" s="49" t="str">
        <f>BASE!A52</f>
        <v>37</v>
      </c>
      <c r="T48" s="129" t="str">
        <f t="shared" si="2"/>
        <v>0</v>
      </c>
      <c r="U48" s="129" t="str">
        <f t="shared" si="3"/>
        <v>0</v>
      </c>
      <c r="V48" s="129" t="str">
        <f t="shared" si="4"/>
        <v>0</v>
      </c>
      <c r="W48" s="129"/>
      <c r="X48" s="129"/>
      <c r="Y48" s="113"/>
    </row>
    <row r="49" ht="20.25" customHeight="1">
      <c r="A49" s="131" t="str">
        <f>IF(BASE!B53="","",BASE!B53)</f>
        <v>21FTR038</v>
      </c>
      <c r="B49" s="49" t="s">
        <v>122</v>
      </c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29"/>
      <c r="R49" s="49" t="str">
        <f t="shared" si="1"/>
        <v>0</v>
      </c>
      <c r="S49" s="49" t="str">
        <f>BASE!A53</f>
        <v>38</v>
      </c>
      <c r="T49" s="129" t="str">
        <f t="shared" si="2"/>
        <v>0</v>
      </c>
      <c r="U49" s="129" t="str">
        <f t="shared" si="3"/>
        <v>0</v>
      </c>
      <c r="V49" s="129" t="str">
        <f t="shared" si="4"/>
        <v>0</v>
      </c>
      <c r="W49" s="129"/>
      <c r="X49" s="129"/>
      <c r="Y49" s="113"/>
    </row>
    <row r="50" ht="20.25" customHeight="1">
      <c r="A50" s="131" t="str">
        <f>IF(BASE!B54="","",BASE!B54)</f>
        <v>21FTR039</v>
      </c>
      <c r="B50" s="49" t="s">
        <v>122</v>
      </c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29"/>
      <c r="R50" s="49" t="str">
        <f t="shared" si="1"/>
        <v>0</v>
      </c>
      <c r="S50" s="49" t="str">
        <f>BASE!A54</f>
        <v>39</v>
      </c>
      <c r="T50" s="129" t="str">
        <f t="shared" si="2"/>
        <v>0</v>
      </c>
      <c r="U50" s="129" t="str">
        <f t="shared" si="3"/>
        <v>0</v>
      </c>
      <c r="V50" s="129" t="str">
        <f t="shared" si="4"/>
        <v>0</v>
      </c>
      <c r="W50" s="129"/>
      <c r="X50" s="129"/>
      <c r="Y50" s="113"/>
    </row>
    <row r="51" ht="20.25" customHeight="1">
      <c r="A51" s="131" t="str">
        <f>IF(BASE!B55="","",BASE!B55)</f>
        <v>21FTR040</v>
      </c>
      <c r="B51" s="49" t="s">
        <v>122</v>
      </c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29"/>
      <c r="R51" s="49" t="str">
        <f t="shared" si="1"/>
        <v>0</v>
      </c>
      <c r="S51" s="49" t="str">
        <f>BASE!A55</f>
        <v>40</v>
      </c>
      <c r="T51" s="129" t="str">
        <f t="shared" si="2"/>
        <v>0</v>
      </c>
      <c r="U51" s="129" t="str">
        <f t="shared" si="3"/>
        <v>0</v>
      </c>
      <c r="V51" s="129" t="str">
        <f t="shared" si="4"/>
        <v>0</v>
      </c>
      <c r="W51" s="129"/>
      <c r="X51" s="129"/>
      <c r="Y51" s="113"/>
    </row>
    <row r="52" ht="20.25" customHeight="1">
      <c r="A52" s="131" t="str">
        <f>IF(BASE!B56="","",BASE!B56)</f>
        <v>21FTR041</v>
      </c>
      <c r="B52" s="49" t="s">
        <v>122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29"/>
      <c r="R52" s="49" t="str">
        <f t="shared" si="1"/>
        <v>0</v>
      </c>
      <c r="S52" s="49" t="str">
        <f>BASE!A56</f>
        <v>41</v>
      </c>
      <c r="T52" s="129" t="str">
        <f t="shared" si="2"/>
        <v>0</v>
      </c>
      <c r="U52" s="129" t="str">
        <f t="shared" si="3"/>
        <v>0</v>
      </c>
      <c r="V52" s="129" t="str">
        <f t="shared" si="4"/>
        <v>0</v>
      </c>
      <c r="W52" s="129"/>
      <c r="X52" s="129"/>
      <c r="Y52" s="113"/>
    </row>
    <row r="53" ht="20.25" customHeight="1">
      <c r="A53" s="131" t="str">
        <f>IF(BASE!B57="","",BASE!B57)</f>
        <v>21FTR042</v>
      </c>
      <c r="B53" s="49" t="s">
        <v>122</v>
      </c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29"/>
      <c r="R53" s="49" t="str">
        <f t="shared" si="1"/>
        <v>0</v>
      </c>
      <c r="S53" s="49" t="str">
        <f>BASE!A57</f>
        <v>42</v>
      </c>
      <c r="T53" s="129" t="str">
        <f t="shared" si="2"/>
        <v>0</v>
      </c>
      <c r="U53" s="129" t="str">
        <f t="shared" si="3"/>
        <v>0</v>
      </c>
      <c r="V53" s="129" t="str">
        <f t="shared" si="4"/>
        <v>0</v>
      </c>
      <c r="W53" s="129"/>
      <c r="X53" s="129"/>
      <c r="Y53" s="113"/>
    </row>
    <row r="54" ht="20.25" customHeight="1">
      <c r="A54" s="131" t="str">
        <f>IF(BASE!B58="","",BASE!B58)</f>
        <v>21FTR043</v>
      </c>
      <c r="B54" s="49" t="s">
        <v>122</v>
      </c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29"/>
      <c r="R54" s="49" t="str">
        <f t="shared" si="1"/>
        <v>0</v>
      </c>
      <c r="S54" s="49" t="str">
        <f>BASE!A58</f>
        <v>43</v>
      </c>
      <c r="T54" s="129" t="str">
        <f t="shared" si="2"/>
        <v>0</v>
      </c>
      <c r="U54" s="129" t="str">
        <f t="shared" si="3"/>
        <v>0</v>
      </c>
      <c r="V54" s="129" t="str">
        <f t="shared" si="4"/>
        <v>0</v>
      </c>
      <c r="W54" s="129"/>
      <c r="X54" s="129"/>
      <c r="Y54" s="113"/>
    </row>
    <row r="55" ht="20.25" customHeight="1">
      <c r="A55" s="131" t="str">
        <f>IF(BASE!B59="","",BASE!B59)</f>
        <v>21FTR044</v>
      </c>
      <c r="B55" s="49" t="s">
        <v>122</v>
      </c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29"/>
      <c r="R55" s="49" t="str">
        <f t="shared" si="1"/>
        <v>0</v>
      </c>
      <c r="S55" s="49" t="str">
        <f>BASE!A59</f>
        <v>44</v>
      </c>
      <c r="T55" s="129" t="str">
        <f t="shared" si="2"/>
        <v>0</v>
      </c>
      <c r="U55" s="129" t="str">
        <f t="shared" si="3"/>
        <v>0</v>
      </c>
      <c r="V55" s="129" t="str">
        <f t="shared" si="4"/>
        <v>0</v>
      </c>
      <c r="W55" s="129"/>
      <c r="X55" s="129"/>
      <c r="Y55" s="113"/>
    </row>
    <row r="56" ht="20.25" customHeight="1">
      <c r="A56" s="131" t="str">
        <f>IF(BASE!B60="","",BASE!B60)</f>
        <v>21FTR045</v>
      </c>
      <c r="B56" s="49" t="s">
        <v>122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29"/>
      <c r="R56" s="49" t="str">
        <f t="shared" si="1"/>
        <v>0</v>
      </c>
      <c r="S56" s="49" t="str">
        <f>BASE!A60</f>
        <v>45</v>
      </c>
      <c r="T56" s="129" t="str">
        <f t="shared" si="2"/>
        <v>0</v>
      </c>
      <c r="U56" s="129" t="str">
        <f t="shared" si="3"/>
        <v>0</v>
      </c>
      <c r="V56" s="129" t="str">
        <f t="shared" si="4"/>
        <v>0</v>
      </c>
      <c r="W56" s="129"/>
      <c r="X56" s="129"/>
      <c r="Y56" s="113"/>
    </row>
    <row r="57" ht="20.25" customHeight="1">
      <c r="A57" s="131" t="str">
        <f>IF(BASE!B61="","",BASE!B61)</f>
        <v>21FTR046</v>
      </c>
      <c r="B57" s="49" t="s">
        <v>122</v>
      </c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29"/>
      <c r="R57" s="49" t="str">
        <f t="shared" si="1"/>
        <v>0</v>
      </c>
      <c r="S57" s="49" t="str">
        <f>BASE!A61</f>
        <v>46</v>
      </c>
      <c r="T57" s="129" t="str">
        <f t="shared" si="2"/>
        <v>0</v>
      </c>
      <c r="U57" s="129" t="str">
        <f t="shared" si="3"/>
        <v>0</v>
      </c>
      <c r="V57" s="129" t="str">
        <f t="shared" si="4"/>
        <v>0</v>
      </c>
      <c r="W57" s="129"/>
      <c r="X57" s="129"/>
      <c r="Y57" s="113"/>
    </row>
    <row r="58" ht="20.25" customHeight="1">
      <c r="A58" s="131" t="str">
        <f>IF(BASE!B62="","",BASE!B62)</f>
        <v/>
      </c>
      <c r="B58" s="49" t="s">
        <v>122</v>
      </c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29"/>
      <c r="R58" s="49" t="str">
        <f t="shared" si="1"/>
        <v>0</v>
      </c>
      <c r="S58" s="49" t="str">
        <f>BASE!A62</f>
        <v>47</v>
      </c>
      <c r="T58" s="129" t="str">
        <f t="shared" si="2"/>
        <v>0</v>
      </c>
      <c r="U58" s="129" t="str">
        <f t="shared" si="3"/>
        <v>0</v>
      </c>
      <c r="V58" s="129" t="str">
        <f t="shared" si="4"/>
        <v>0</v>
      </c>
      <c r="W58" s="129"/>
      <c r="X58" s="129"/>
      <c r="Y58" s="113"/>
    </row>
    <row r="59" ht="20.25" customHeight="1">
      <c r="A59" s="131" t="str">
        <f>IF(BASE!B63="","",BASE!B63)</f>
        <v/>
      </c>
      <c r="B59" s="49" t="s">
        <v>122</v>
      </c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29"/>
      <c r="R59" s="49" t="str">
        <f t="shared" si="1"/>
        <v>0</v>
      </c>
      <c r="S59" s="49" t="str">
        <f>BASE!A63</f>
        <v>48</v>
      </c>
      <c r="T59" s="129" t="str">
        <f t="shared" si="2"/>
        <v>0</v>
      </c>
      <c r="U59" s="129" t="str">
        <f t="shared" si="3"/>
        <v>0</v>
      </c>
      <c r="V59" s="129" t="str">
        <f t="shared" si="4"/>
        <v>0</v>
      </c>
      <c r="W59" s="129"/>
      <c r="X59" s="129"/>
      <c r="Y59" s="113"/>
    </row>
    <row r="60" ht="20.25" customHeight="1">
      <c r="A60" s="131" t="str">
        <f>IF(BASE!B64="","",BASE!B64)</f>
        <v/>
      </c>
      <c r="B60" s="49" t="s">
        <v>122</v>
      </c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29"/>
      <c r="R60" s="49" t="str">
        <f t="shared" si="1"/>
        <v>0</v>
      </c>
      <c r="S60" s="49" t="str">
        <f>BASE!A64</f>
        <v>49</v>
      </c>
      <c r="T60" s="129" t="str">
        <f t="shared" si="2"/>
        <v>0</v>
      </c>
      <c r="U60" s="129" t="str">
        <f t="shared" si="3"/>
        <v>0</v>
      </c>
      <c r="V60" s="129" t="str">
        <f t="shared" si="4"/>
        <v>0</v>
      </c>
      <c r="W60" s="129"/>
      <c r="X60" s="129"/>
      <c r="Y60" s="113"/>
    </row>
    <row r="61" ht="20.25" customHeight="1">
      <c r="A61" s="131" t="str">
        <f>IF(BASE!B65="","",BASE!B65)</f>
        <v/>
      </c>
      <c r="B61" s="49" t="s">
        <v>122</v>
      </c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29"/>
      <c r="R61" s="49" t="str">
        <f t="shared" si="1"/>
        <v>0</v>
      </c>
      <c r="S61" s="49" t="str">
        <f>BASE!A65</f>
        <v>50</v>
      </c>
      <c r="T61" s="129" t="str">
        <f t="shared" si="2"/>
        <v>0</v>
      </c>
      <c r="U61" s="129" t="str">
        <f t="shared" si="3"/>
        <v>0</v>
      </c>
      <c r="V61" s="129" t="str">
        <f t="shared" si="4"/>
        <v>0</v>
      </c>
      <c r="W61" s="129"/>
      <c r="X61" s="129"/>
      <c r="Y61" s="113"/>
    </row>
    <row r="62" ht="20.25" customHeight="1">
      <c r="A62" s="131" t="str">
        <f>IF(BASE!B66="","",BASE!B66)</f>
        <v/>
      </c>
      <c r="B62" s="49" t="s">
        <v>122</v>
      </c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29"/>
      <c r="R62" s="49" t="str">
        <f t="shared" si="1"/>
        <v>0</v>
      </c>
      <c r="S62" s="49" t="str">
        <f>BASE!A66</f>
        <v>51</v>
      </c>
      <c r="T62" s="129" t="str">
        <f t="shared" si="2"/>
        <v>0</v>
      </c>
      <c r="U62" s="129" t="str">
        <f t="shared" si="3"/>
        <v>0</v>
      </c>
      <c r="V62" s="129" t="str">
        <f t="shared" si="4"/>
        <v>0</v>
      </c>
      <c r="W62" s="129"/>
      <c r="X62" s="129"/>
      <c r="Y62" s="113"/>
    </row>
    <row r="63" ht="20.25" customHeight="1">
      <c r="A63" s="131" t="str">
        <f>IF(BASE!B67="","",BASE!B67)</f>
        <v/>
      </c>
      <c r="B63" s="49" t="s">
        <v>122</v>
      </c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  <c r="O63" s="108"/>
      <c r="P63" s="108"/>
      <c r="Q63" s="129"/>
      <c r="R63" s="49" t="str">
        <f t="shared" si="1"/>
        <v>0</v>
      </c>
      <c r="S63" s="49" t="str">
        <f>BASE!A67</f>
        <v>52</v>
      </c>
      <c r="T63" s="129" t="str">
        <f t="shared" si="2"/>
        <v>0</v>
      </c>
      <c r="U63" s="129" t="str">
        <f t="shared" si="3"/>
        <v>0</v>
      </c>
      <c r="V63" s="129" t="str">
        <f t="shared" si="4"/>
        <v>0</v>
      </c>
      <c r="W63" s="129"/>
      <c r="X63" s="129"/>
      <c r="Y63" s="113"/>
    </row>
    <row r="64" ht="20.25" customHeight="1">
      <c r="A64" s="131" t="str">
        <f>IF(BASE!B68="","",BASE!B68)</f>
        <v/>
      </c>
      <c r="B64" s="49" t="s">
        <v>122</v>
      </c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  <c r="O64" s="108"/>
      <c r="P64" s="108"/>
      <c r="Q64" s="129"/>
      <c r="R64" s="49" t="str">
        <f t="shared" si="1"/>
        <v>0</v>
      </c>
      <c r="S64" s="49" t="str">
        <f>BASE!A68</f>
        <v>53</v>
      </c>
      <c r="T64" s="129" t="str">
        <f t="shared" si="2"/>
        <v>0</v>
      </c>
      <c r="U64" s="129" t="str">
        <f t="shared" si="3"/>
        <v>0</v>
      </c>
      <c r="V64" s="129" t="str">
        <f t="shared" si="4"/>
        <v>0</v>
      </c>
      <c r="W64" s="129"/>
      <c r="X64" s="129"/>
      <c r="Y64" s="113"/>
    </row>
    <row r="65" ht="20.25" customHeight="1">
      <c r="A65" s="131" t="str">
        <f>IF(BASE!B69="","",BASE!B69)</f>
        <v/>
      </c>
      <c r="B65" s="49" t="s">
        <v>122</v>
      </c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29"/>
      <c r="R65" s="49" t="str">
        <f t="shared" si="1"/>
        <v>0</v>
      </c>
      <c r="S65" s="49" t="str">
        <f>BASE!A69</f>
        <v>54</v>
      </c>
      <c r="T65" s="129" t="str">
        <f t="shared" si="2"/>
        <v>0</v>
      </c>
      <c r="U65" s="129" t="str">
        <f t="shared" si="3"/>
        <v>0</v>
      </c>
      <c r="V65" s="129" t="str">
        <f t="shared" si="4"/>
        <v>0</v>
      </c>
      <c r="W65" s="129"/>
      <c r="X65" s="129"/>
      <c r="Y65" s="113"/>
    </row>
    <row r="66" ht="20.25" customHeight="1">
      <c r="A66" s="131" t="str">
        <f>IF(BASE!B70="","",BASE!B70)</f>
        <v/>
      </c>
      <c r="B66" s="49" t="s">
        <v>122</v>
      </c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29"/>
      <c r="R66" s="49" t="str">
        <f t="shared" si="1"/>
        <v>0</v>
      </c>
      <c r="S66" s="49" t="str">
        <f>BASE!A70</f>
        <v>55</v>
      </c>
      <c r="T66" s="129" t="str">
        <f t="shared" si="2"/>
        <v>0</v>
      </c>
      <c r="U66" s="129" t="str">
        <f t="shared" si="3"/>
        <v>0</v>
      </c>
      <c r="V66" s="129" t="str">
        <f t="shared" si="4"/>
        <v>0</v>
      </c>
      <c r="W66" s="129"/>
      <c r="X66" s="129"/>
      <c r="Y66" s="113"/>
    </row>
    <row r="67" ht="20.25" customHeight="1">
      <c r="A67" s="131" t="str">
        <f>IF(BASE!B71="","",BASE!B71)</f>
        <v/>
      </c>
      <c r="B67" s="49" t="s">
        <v>122</v>
      </c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29"/>
      <c r="R67" s="49" t="str">
        <f t="shared" si="1"/>
        <v>0</v>
      </c>
      <c r="S67" s="49" t="str">
        <f>BASE!A71</f>
        <v>56</v>
      </c>
      <c r="T67" s="129" t="str">
        <f t="shared" si="2"/>
        <v>0</v>
      </c>
      <c r="U67" s="129" t="str">
        <f t="shared" si="3"/>
        <v>0</v>
      </c>
      <c r="V67" s="129" t="str">
        <f t="shared" si="4"/>
        <v>0</v>
      </c>
      <c r="W67" s="129"/>
      <c r="X67" s="129"/>
      <c r="Y67" s="113"/>
    </row>
    <row r="68" ht="20.25" customHeight="1">
      <c r="A68" s="131" t="str">
        <f>IF(BASE!B72="","",BASE!B72)</f>
        <v/>
      </c>
      <c r="B68" s="49" t="s">
        <v>122</v>
      </c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29"/>
      <c r="R68" s="49" t="str">
        <f t="shared" si="1"/>
        <v>0</v>
      </c>
      <c r="S68" s="49" t="str">
        <f>BASE!A72</f>
        <v>57</v>
      </c>
      <c r="T68" s="129" t="str">
        <f t="shared" si="2"/>
        <v>0</v>
      </c>
      <c r="U68" s="129" t="str">
        <f t="shared" si="3"/>
        <v>0</v>
      </c>
      <c r="V68" s="129" t="str">
        <f t="shared" si="4"/>
        <v>0</v>
      </c>
      <c r="W68" s="129"/>
      <c r="X68" s="129"/>
      <c r="Y68" s="113"/>
    </row>
    <row r="69" ht="20.25" customHeight="1">
      <c r="A69" s="131" t="str">
        <f>IF(BASE!B73="","",BASE!B73)</f>
        <v/>
      </c>
      <c r="B69" s="49" t="s">
        <v>122</v>
      </c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29"/>
      <c r="R69" s="49" t="str">
        <f t="shared" si="1"/>
        <v>0</v>
      </c>
      <c r="S69" s="49" t="str">
        <f>BASE!A73</f>
        <v>58</v>
      </c>
      <c r="T69" s="129" t="str">
        <f t="shared" si="2"/>
        <v>0</v>
      </c>
      <c r="U69" s="129" t="str">
        <f t="shared" si="3"/>
        <v>0</v>
      </c>
      <c r="V69" s="129" t="str">
        <f t="shared" si="4"/>
        <v>0</v>
      </c>
      <c r="W69" s="129"/>
      <c r="X69" s="129"/>
      <c r="Y69" s="113"/>
    </row>
    <row r="70" ht="20.25" customHeight="1">
      <c r="A70" s="131" t="str">
        <f>IF(BASE!B74="","",BASE!B74)</f>
        <v/>
      </c>
      <c r="B70" s="49" t="s">
        <v>122</v>
      </c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29"/>
      <c r="R70" s="49" t="str">
        <f t="shared" si="1"/>
        <v>0</v>
      </c>
      <c r="S70" s="49" t="str">
        <f>BASE!A74</f>
        <v>59</v>
      </c>
      <c r="T70" s="129" t="str">
        <f t="shared" si="2"/>
        <v>0</v>
      </c>
      <c r="U70" s="129" t="str">
        <f t="shared" si="3"/>
        <v>0</v>
      </c>
      <c r="V70" s="129" t="str">
        <f t="shared" si="4"/>
        <v>0</v>
      </c>
      <c r="W70" s="129"/>
      <c r="X70" s="129"/>
      <c r="Y70" s="113"/>
    </row>
    <row r="71" ht="20.25" customHeight="1">
      <c r="A71" s="131" t="str">
        <f>IF(BASE!B75="","",BASE!B75)</f>
        <v/>
      </c>
      <c r="B71" s="49" t="s">
        <v>122</v>
      </c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29"/>
      <c r="R71" s="49" t="str">
        <f t="shared" si="1"/>
        <v>0</v>
      </c>
      <c r="S71" s="49" t="str">
        <f>BASE!A75</f>
        <v>60</v>
      </c>
      <c r="T71" s="129" t="str">
        <f t="shared" si="2"/>
        <v>0</v>
      </c>
      <c r="U71" s="129" t="str">
        <f t="shared" si="3"/>
        <v>0</v>
      </c>
      <c r="V71" s="129" t="str">
        <f t="shared" si="4"/>
        <v>0</v>
      </c>
      <c r="W71" s="129"/>
      <c r="X71" s="129"/>
      <c r="Y71" s="113"/>
    </row>
    <row r="72" ht="20.25" customHeight="1">
      <c r="A72" s="131" t="str">
        <f>IF(BASE!B76="","",BASE!B76)</f>
        <v/>
      </c>
      <c r="B72" s="49" t="s">
        <v>122</v>
      </c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29"/>
      <c r="R72" s="49" t="str">
        <f t="shared" si="1"/>
        <v>0</v>
      </c>
      <c r="S72" s="49" t="str">
        <f>BASE!A76</f>
        <v>61</v>
      </c>
      <c r="T72" s="129" t="str">
        <f t="shared" si="2"/>
        <v>0</v>
      </c>
      <c r="U72" s="129" t="str">
        <f t="shared" si="3"/>
        <v>0</v>
      </c>
      <c r="V72" s="129" t="str">
        <f t="shared" si="4"/>
        <v>0</v>
      </c>
      <c r="W72" s="129"/>
      <c r="X72" s="129"/>
      <c r="Y72" s="113"/>
    </row>
    <row r="73" ht="20.25" customHeight="1">
      <c r="A73" s="131" t="str">
        <f>IF(BASE!B77="","",BASE!B77)</f>
        <v/>
      </c>
      <c r="B73" s="49" t="s">
        <v>122</v>
      </c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29"/>
      <c r="R73" s="49" t="str">
        <f t="shared" si="1"/>
        <v>0</v>
      </c>
      <c r="S73" s="49" t="str">
        <f>BASE!A77</f>
        <v>62</v>
      </c>
      <c r="T73" s="129" t="str">
        <f t="shared" si="2"/>
        <v>0</v>
      </c>
      <c r="U73" s="129" t="str">
        <f t="shared" si="3"/>
        <v>0</v>
      </c>
      <c r="V73" s="129" t="str">
        <f t="shared" si="4"/>
        <v>0</v>
      </c>
      <c r="W73" s="129"/>
      <c r="X73" s="129"/>
      <c r="Y73" s="113"/>
    </row>
    <row r="74" ht="20.25" customHeight="1">
      <c r="A74" s="131" t="str">
        <f>IF(BASE!B78="","",BASE!B78)</f>
        <v/>
      </c>
      <c r="B74" s="49" t="s">
        <v>122</v>
      </c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29"/>
      <c r="R74" s="49" t="str">
        <f t="shared" si="1"/>
        <v>0</v>
      </c>
      <c r="S74" s="49" t="str">
        <f>BASE!A78</f>
        <v>63</v>
      </c>
      <c r="T74" s="129" t="str">
        <f t="shared" si="2"/>
        <v>0</v>
      </c>
      <c r="U74" s="129" t="str">
        <f t="shared" si="3"/>
        <v>0</v>
      </c>
      <c r="V74" s="129" t="str">
        <f t="shared" si="4"/>
        <v>0</v>
      </c>
      <c r="W74" s="129"/>
      <c r="X74" s="129"/>
      <c r="Y74" s="113"/>
    </row>
    <row r="75" ht="20.25" customHeight="1">
      <c r="A75" s="131" t="str">
        <f>IF(BASE!B79="","",BASE!B79)</f>
        <v/>
      </c>
      <c r="B75" s="49" t="s">
        <v>122</v>
      </c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  <c r="O75" s="108"/>
      <c r="P75" s="108"/>
      <c r="Q75" s="129"/>
      <c r="R75" s="49" t="str">
        <f t="shared" si="1"/>
        <v>0</v>
      </c>
      <c r="S75" s="49" t="str">
        <f>BASE!A79</f>
        <v>64</v>
      </c>
      <c r="T75" s="129" t="str">
        <f t="shared" si="2"/>
        <v>0</v>
      </c>
      <c r="U75" s="129" t="str">
        <f t="shared" si="3"/>
        <v>0</v>
      </c>
      <c r="V75" s="129" t="str">
        <f t="shared" si="4"/>
        <v>0</v>
      </c>
      <c r="W75" s="129"/>
      <c r="X75" s="129"/>
      <c r="Y75" s="113"/>
    </row>
    <row r="76" ht="20.25" customHeight="1">
      <c r="A76" s="131" t="str">
        <f>IF(BASE!B80="","",BASE!B80)</f>
        <v/>
      </c>
      <c r="B76" s="49" t="s">
        <v>122</v>
      </c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  <c r="O76" s="108"/>
      <c r="P76" s="108"/>
      <c r="Q76" s="129"/>
      <c r="R76" s="49" t="str">
        <f t="shared" si="1"/>
        <v>0</v>
      </c>
      <c r="S76" s="49" t="str">
        <f>BASE!A80</f>
        <v>65</v>
      </c>
      <c r="T76" s="129" t="str">
        <f t="shared" si="2"/>
        <v>0</v>
      </c>
      <c r="U76" s="129" t="str">
        <f t="shared" si="3"/>
        <v>0</v>
      </c>
      <c r="V76" s="129" t="str">
        <f t="shared" si="4"/>
        <v>0</v>
      </c>
      <c r="W76" s="129"/>
      <c r="X76" s="129"/>
      <c r="Y76" s="113"/>
    </row>
    <row r="77" ht="20.25" customHeight="1">
      <c r="A77" s="131" t="str">
        <f>IF(BASE!B81="","",BASE!B81)</f>
        <v/>
      </c>
      <c r="B77" s="49" t="s">
        <v>122</v>
      </c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32"/>
      <c r="O77" s="132"/>
      <c r="P77" s="132"/>
      <c r="Q77" s="129"/>
      <c r="R77" s="49" t="str">
        <f t="shared" si="1"/>
        <v>0</v>
      </c>
      <c r="S77" s="49" t="str">
        <f>BASE!A81</f>
        <v>66</v>
      </c>
      <c r="T77" s="129" t="str">
        <f t="shared" si="2"/>
        <v>0</v>
      </c>
      <c r="U77" s="129" t="str">
        <f t="shared" si="3"/>
        <v>0</v>
      </c>
      <c r="V77" s="129" t="str">
        <f t="shared" si="4"/>
        <v>0</v>
      </c>
      <c r="W77" s="129"/>
      <c r="X77" s="129"/>
      <c r="Y77" s="113"/>
    </row>
    <row r="78" ht="20.25" customHeight="1">
      <c r="A78" s="131" t="str">
        <f>IF(BASE!B82="","",BASE!B82)</f>
        <v/>
      </c>
      <c r="B78" s="49" t="s">
        <v>122</v>
      </c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32"/>
      <c r="O78" s="132"/>
      <c r="P78" s="132"/>
      <c r="Q78" s="129"/>
      <c r="R78" s="49" t="str">
        <f t="shared" si="1"/>
        <v>0</v>
      </c>
      <c r="S78" s="49" t="str">
        <f>BASE!A82</f>
        <v>67</v>
      </c>
      <c r="T78" s="129" t="str">
        <f t="shared" si="2"/>
        <v>0</v>
      </c>
      <c r="U78" s="129" t="str">
        <f t="shared" si="3"/>
        <v>0</v>
      </c>
      <c r="V78" s="129" t="str">
        <f t="shared" si="4"/>
        <v>0</v>
      </c>
      <c r="W78" s="129"/>
      <c r="X78" s="129"/>
      <c r="Y78" s="113"/>
    </row>
    <row r="79" ht="20.25" customHeight="1">
      <c r="A79" s="131" t="str">
        <f>IF(BASE!B83="","",BASE!B83)</f>
        <v/>
      </c>
      <c r="B79" s="49" t="s">
        <v>122</v>
      </c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  <c r="O79" s="108"/>
      <c r="P79" s="108"/>
      <c r="Q79" s="129"/>
      <c r="R79" s="49" t="str">
        <f t="shared" si="1"/>
        <v>0</v>
      </c>
      <c r="S79" s="49" t="str">
        <f>BASE!A83</f>
        <v>68</v>
      </c>
      <c r="T79" s="129" t="str">
        <f t="shared" si="2"/>
        <v>0</v>
      </c>
      <c r="U79" s="129" t="str">
        <f t="shared" si="3"/>
        <v>0</v>
      </c>
      <c r="V79" s="129" t="str">
        <f t="shared" si="4"/>
        <v>0</v>
      </c>
      <c r="W79" s="129"/>
      <c r="X79" s="129"/>
      <c r="Y79" s="113"/>
    </row>
    <row r="80" ht="20.25" customHeight="1">
      <c r="A80" s="131" t="str">
        <f>IF(BASE!B84="","",BASE!B84)</f>
        <v/>
      </c>
      <c r="B80" s="49" t="s">
        <v>122</v>
      </c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  <c r="O80" s="108"/>
      <c r="P80" s="108"/>
      <c r="Q80" s="129"/>
      <c r="R80" s="49" t="str">
        <f t="shared" si="1"/>
        <v>0</v>
      </c>
      <c r="S80" s="49" t="str">
        <f>BASE!A84</f>
        <v>69</v>
      </c>
      <c r="T80" s="129" t="str">
        <f t="shared" si="2"/>
        <v>0</v>
      </c>
      <c r="U80" s="129" t="str">
        <f t="shared" si="3"/>
        <v>0</v>
      </c>
      <c r="V80" s="129" t="str">
        <f t="shared" si="4"/>
        <v>0</v>
      </c>
      <c r="W80" s="129"/>
      <c r="X80" s="129"/>
      <c r="Y80" s="113"/>
    </row>
    <row r="81" ht="20.25" customHeight="1">
      <c r="A81" s="131" t="str">
        <f>IF(BASE!B85="","",BASE!B85)</f>
        <v/>
      </c>
      <c r="B81" s="49" t="s">
        <v>122</v>
      </c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  <c r="O81" s="108"/>
      <c r="P81" s="108"/>
      <c r="Q81" s="129"/>
      <c r="R81" s="49" t="str">
        <f t="shared" si="1"/>
        <v>0</v>
      </c>
      <c r="S81" s="49" t="str">
        <f>BASE!A85</f>
        <v>70</v>
      </c>
      <c r="T81" s="129" t="str">
        <f t="shared" si="2"/>
        <v>0</v>
      </c>
      <c r="U81" s="129" t="str">
        <f t="shared" si="3"/>
        <v>0</v>
      </c>
      <c r="V81" s="129" t="str">
        <f t="shared" si="4"/>
        <v>0</v>
      </c>
      <c r="W81" s="129"/>
      <c r="X81" s="129"/>
      <c r="Y81" s="113"/>
    </row>
    <row r="82" ht="20.25" customHeight="1">
      <c r="A82" s="131" t="str">
        <f>IF(BASE!B86="","",BASE!B86)</f>
        <v/>
      </c>
      <c r="B82" s="49" t="s">
        <v>122</v>
      </c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  <c r="O82" s="108"/>
      <c r="P82" s="108"/>
      <c r="Q82" s="129"/>
      <c r="R82" s="49" t="str">
        <f t="shared" si="1"/>
        <v>0</v>
      </c>
      <c r="S82" s="49" t="str">
        <f>BASE!A86</f>
        <v>71</v>
      </c>
      <c r="T82" s="129" t="str">
        <f t="shared" si="2"/>
        <v>0</v>
      </c>
      <c r="U82" s="129" t="str">
        <f t="shared" si="3"/>
        <v>0</v>
      </c>
      <c r="V82" s="129" t="str">
        <f t="shared" si="4"/>
        <v>0</v>
      </c>
      <c r="W82" s="129"/>
      <c r="X82" s="129"/>
      <c r="Y82" s="113"/>
    </row>
    <row r="83" ht="20.25" customHeight="1">
      <c r="A83" s="131" t="str">
        <f>IF(BASE!B87="","",BASE!B87)</f>
        <v/>
      </c>
      <c r="B83" s="49" t="s">
        <v>122</v>
      </c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  <c r="O83" s="108"/>
      <c r="P83" s="108"/>
      <c r="Q83" s="129"/>
      <c r="R83" s="49" t="str">
        <f t="shared" si="1"/>
        <v>0</v>
      </c>
      <c r="S83" s="49" t="str">
        <f>BASE!A87</f>
        <v>72</v>
      </c>
      <c r="T83" s="129" t="str">
        <f t="shared" si="2"/>
        <v>0</v>
      </c>
      <c r="U83" s="129" t="str">
        <f t="shared" si="3"/>
        <v>0</v>
      </c>
      <c r="V83" s="129" t="str">
        <f t="shared" si="4"/>
        <v>0</v>
      </c>
      <c r="W83" s="129"/>
      <c r="X83" s="129"/>
      <c r="Y83" s="113"/>
    </row>
    <row r="84" ht="20.25" customHeight="1">
      <c r="A84" s="131" t="str">
        <f>IF(BASE!B88="","",BASE!B88)</f>
        <v/>
      </c>
      <c r="B84" s="49" t="s">
        <v>122</v>
      </c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  <c r="O84" s="108"/>
      <c r="P84" s="108"/>
      <c r="Q84" s="129"/>
      <c r="R84" s="49" t="str">
        <f t="shared" si="1"/>
        <v>0</v>
      </c>
      <c r="S84" s="49" t="str">
        <f>BASE!A88</f>
        <v>73</v>
      </c>
      <c r="T84" s="129" t="str">
        <f t="shared" si="2"/>
        <v>0</v>
      </c>
      <c r="U84" s="129" t="str">
        <f t="shared" si="3"/>
        <v>0</v>
      </c>
      <c r="V84" s="129" t="str">
        <f t="shared" si="4"/>
        <v>0</v>
      </c>
      <c r="W84" s="129"/>
      <c r="X84" s="129"/>
      <c r="Y84" s="113"/>
    </row>
    <row r="85" ht="20.25" customHeight="1">
      <c r="A85" s="131" t="str">
        <f>IF(BASE!B89="","",BASE!B89)</f>
        <v/>
      </c>
      <c r="B85" s="49" t="s">
        <v>122</v>
      </c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  <c r="O85" s="108"/>
      <c r="P85" s="108"/>
      <c r="Q85" s="129"/>
      <c r="R85" s="49" t="str">
        <f t="shared" si="1"/>
        <v>0</v>
      </c>
      <c r="S85" s="49" t="str">
        <f>BASE!A89</f>
        <v>74</v>
      </c>
      <c r="T85" s="129" t="str">
        <f t="shared" si="2"/>
        <v>0</v>
      </c>
      <c r="U85" s="129" t="str">
        <f t="shared" si="3"/>
        <v>0</v>
      </c>
      <c r="V85" s="129" t="str">
        <f t="shared" si="4"/>
        <v>0</v>
      </c>
      <c r="W85" s="129"/>
      <c r="X85" s="129"/>
      <c r="Y85" s="113"/>
    </row>
    <row r="86" ht="20.25" customHeight="1">
      <c r="A86" s="131" t="str">
        <f>IF(BASE!B90="","",BASE!B90)</f>
        <v/>
      </c>
      <c r="B86" s="49" t="s">
        <v>122</v>
      </c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  <c r="O86" s="108"/>
      <c r="P86" s="108"/>
      <c r="Q86" s="129"/>
      <c r="R86" s="49" t="str">
        <f t="shared" si="1"/>
        <v>0</v>
      </c>
      <c r="S86" s="49" t="str">
        <f>BASE!A90</f>
        <v>75</v>
      </c>
      <c r="T86" s="129" t="str">
        <f t="shared" si="2"/>
        <v>0</v>
      </c>
      <c r="U86" s="129" t="str">
        <f t="shared" si="3"/>
        <v>0</v>
      </c>
      <c r="V86" s="129" t="str">
        <f t="shared" si="4"/>
        <v>0</v>
      </c>
      <c r="W86" s="129"/>
      <c r="X86" s="129"/>
      <c r="Y86" s="113"/>
    </row>
    <row r="87" ht="20.25" customHeight="1">
      <c r="A87" s="131" t="str">
        <f>IF(BASE!B91="","",BASE!B91)</f>
        <v/>
      </c>
      <c r="B87" s="49" t="s">
        <v>122</v>
      </c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  <c r="O87" s="108"/>
      <c r="P87" s="108"/>
      <c r="Q87" s="129"/>
      <c r="R87" s="49" t="str">
        <f t="shared" si="1"/>
        <v>0</v>
      </c>
      <c r="S87" s="49" t="str">
        <f>BASE!A91</f>
        <v>76</v>
      </c>
      <c r="T87" s="129" t="str">
        <f t="shared" si="2"/>
        <v>0</v>
      </c>
      <c r="U87" s="129" t="str">
        <f t="shared" si="3"/>
        <v>0</v>
      </c>
      <c r="V87" s="129" t="str">
        <f t="shared" si="4"/>
        <v>0</v>
      </c>
      <c r="W87" s="129"/>
      <c r="X87" s="129"/>
      <c r="Y87" s="113"/>
    </row>
    <row r="88" ht="20.25" customHeight="1">
      <c r="A88" s="131" t="str">
        <f>IF(BASE!B92="","",BASE!B92)</f>
        <v/>
      </c>
      <c r="B88" s="49" t="s">
        <v>122</v>
      </c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  <c r="O88" s="108"/>
      <c r="P88" s="108"/>
      <c r="Q88" s="129"/>
      <c r="R88" s="49" t="str">
        <f t="shared" si="1"/>
        <v>0</v>
      </c>
      <c r="S88" s="49" t="str">
        <f>BASE!A92</f>
        <v>77</v>
      </c>
      <c r="T88" s="129" t="str">
        <f t="shared" si="2"/>
        <v>0</v>
      </c>
      <c r="U88" s="129" t="str">
        <f t="shared" si="3"/>
        <v>0</v>
      </c>
      <c r="V88" s="129" t="str">
        <f t="shared" si="4"/>
        <v>0</v>
      </c>
      <c r="W88" s="129"/>
      <c r="X88" s="129"/>
      <c r="Y88" s="113"/>
    </row>
    <row r="89" ht="20.25" customHeight="1">
      <c r="A89" s="131" t="str">
        <f>IF(BASE!B93="","",BASE!B93)</f>
        <v/>
      </c>
      <c r="B89" s="49" t="s">
        <v>122</v>
      </c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  <c r="O89" s="108"/>
      <c r="P89" s="108"/>
      <c r="Q89" s="129"/>
      <c r="R89" s="49" t="str">
        <f t="shared" si="1"/>
        <v>0</v>
      </c>
      <c r="S89" s="49" t="str">
        <f>BASE!A93</f>
        <v>78</v>
      </c>
      <c r="T89" s="129" t="str">
        <f t="shared" si="2"/>
        <v>0</v>
      </c>
      <c r="U89" s="129" t="str">
        <f t="shared" si="3"/>
        <v>0</v>
      </c>
      <c r="V89" s="129" t="str">
        <f t="shared" si="4"/>
        <v>0</v>
      </c>
      <c r="W89" s="129"/>
      <c r="X89" s="129"/>
      <c r="Y89" s="113"/>
    </row>
    <row r="90" ht="20.25" customHeight="1">
      <c r="A90" s="131" t="str">
        <f>IF(BASE!B94="","",BASE!B94)</f>
        <v/>
      </c>
      <c r="B90" s="49" t="s">
        <v>122</v>
      </c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  <c r="O90" s="108"/>
      <c r="P90" s="108"/>
      <c r="Q90" s="129"/>
      <c r="R90" s="49" t="str">
        <f t="shared" si="1"/>
        <v>0</v>
      </c>
      <c r="S90" s="49" t="str">
        <f>BASE!A94</f>
        <v>79</v>
      </c>
      <c r="T90" s="129" t="str">
        <f t="shared" si="2"/>
        <v>0</v>
      </c>
      <c r="U90" s="129" t="str">
        <f t="shared" si="3"/>
        <v>0</v>
      </c>
      <c r="V90" s="129" t="str">
        <f t="shared" si="4"/>
        <v>0</v>
      </c>
      <c r="W90" s="129"/>
      <c r="X90" s="129"/>
      <c r="Y90" s="113"/>
    </row>
    <row r="91" ht="20.25" customHeight="1">
      <c r="A91" s="131" t="str">
        <f>IF(BASE!B95="","",BASE!B95)</f>
        <v/>
      </c>
      <c r="B91" s="49" t="s">
        <v>122</v>
      </c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  <c r="O91" s="108"/>
      <c r="P91" s="108"/>
      <c r="Q91" s="129"/>
      <c r="R91" s="49" t="str">
        <f t="shared" si="1"/>
        <v>0</v>
      </c>
      <c r="S91" s="49" t="str">
        <f>BASE!A95</f>
        <v>80</v>
      </c>
      <c r="T91" s="129" t="str">
        <f t="shared" si="2"/>
        <v>0</v>
      </c>
      <c r="U91" s="129" t="str">
        <f t="shared" si="3"/>
        <v>0</v>
      </c>
      <c r="V91" s="129" t="str">
        <f t="shared" si="4"/>
        <v>0</v>
      </c>
      <c r="W91" s="129"/>
      <c r="X91" s="129"/>
      <c r="Y91" s="113"/>
    </row>
    <row r="92" ht="20.25" customHeight="1">
      <c r="A92" s="131" t="str">
        <f>IF(BASE!B96="","",BASE!B96)</f>
        <v/>
      </c>
      <c r="B92" s="49" t="s">
        <v>122</v>
      </c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  <c r="O92" s="108"/>
      <c r="P92" s="108"/>
      <c r="Q92" s="129"/>
      <c r="R92" s="49" t="str">
        <f t="shared" si="1"/>
        <v>0</v>
      </c>
      <c r="S92" s="49" t="str">
        <f>BASE!A96</f>
        <v>81</v>
      </c>
      <c r="T92" s="129" t="str">
        <f t="shared" si="2"/>
        <v>0</v>
      </c>
      <c r="U92" s="129" t="str">
        <f t="shared" si="3"/>
        <v>0</v>
      </c>
      <c r="V92" s="129" t="str">
        <f t="shared" si="4"/>
        <v>0</v>
      </c>
      <c r="W92" s="129"/>
      <c r="X92" s="129"/>
      <c r="Y92" s="113"/>
    </row>
    <row r="93" ht="20.25" customHeight="1">
      <c r="A93" s="131" t="str">
        <f>IF(BASE!B97="","",BASE!B97)</f>
        <v/>
      </c>
      <c r="B93" s="49" t="s">
        <v>122</v>
      </c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  <c r="O93" s="108"/>
      <c r="P93" s="108"/>
      <c r="Q93" s="129"/>
      <c r="R93" s="49" t="str">
        <f t="shared" si="1"/>
        <v>0</v>
      </c>
      <c r="S93" s="49" t="str">
        <f>BASE!A97</f>
        <v>82</v>
      </c>
      <c r="T93" s="129" t="str">
        <f t="shared" si="2"/>
        <v>0</v>
      </c>
      <c r="U93" s="129" t="str">
        <f t="shared" si="3"/>
        <v>0</v>
      </c>
      <c r="V93" s="129" t="str">
        <f t="shared" si="4"/>
        <v>0</v>
      </c>
      <c r="W93" s="129"/>
      <c r="X93" s="129"/>
      <c r="Y93" s="113"/>
    </row>
    <row r="94" ht="20.25" customHeight="1">
      <c r="A94" s="131" t="str">
        <f>IF(BASE!B98="","",BASE!B98)</f>
        <v/>
      </c>
      <c r="B94" s="49" t="s">
        <v>122</v>
      </c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  <c r="O94" s="108"/>
      <c r="P94" s="108"/>
      <c r="Q94" s="129"/>
      <c r="R94" s="49" t="str">
        <f t="shared" si="1"/>
        <v>0</v>
      </c>
      <c r="S94" s="49" t="str">
        <f>BASE!A98</f>
        <v>83</v>
      </c>
      <c r="T94" s="129" t="str">
        <f t="shared" si="2"/>
        <v>0</v>
      </c>
      <c r="U94" s="129" t="str">
        <f t="shared" si="3"/>
        <v>0</v>
      </c>
      <c r="V94" s="129" t="str">
        <f t="shared" si="4"/>
        <v>0</v>
      </c>
      <c r="W94" s="129"/>
      <c r="X94" s="129"/>
      <c r="Y94" s="113"/>
    </row>
    <row r="95" ht="20.25" customHeight="1">
      <c r="A95" s="131" t="str">
        <f>IF(BASE!B99="","",BASE!B99)</f>
        <v/>
      </c>
      <c r="B95" s="49" t="s">
        <v>122</v>
      </c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  <c r="O95" s="108"/>
      <c r="P95" s="108"/>
      <c r="Q95" s="129"/>
      <c r="R95" s="49" t="str">
        <f t="shared" si="1"/>
        <v>0</v>
      </c>
      <c r="S95" s="49" t="str">
        <f>BASE!A99</f>
        <v>84</v>
      </c>
      <c r="T95" s="129" t="str">
        <f t="shared" si="2"/>
        <v>0</v>
      </c>
      <c r="U95" s="129" t="str">
        <f t="shared" si="3"/>
        <v>0</v>
      </c>
      <c r="V95" s="129" t="str">
        <f t="shared" si="4"/>
        <v>0</v>
      </c>
      <c r="W95" s="129"/>
      <c r="X95" s="129"/>
      <c r="Y95" s="113"/>
    </row>
    <row r="96" ht="20.25" customHeight="1">
      <c r="A96" s="131" t="str">
        <f>IF(BASE!B100="","",BASE!B100)</f>
        <v/>
      </c>
      <c r="B96" s="49" t="s">
        <v>122</v>
      </c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  <c r="O96" s="108"/>
      <c r="P96" s="108"/>
      <c r="Q96" s="129"/>
      <c r="R96" s="49" t="str">
        <f t="shared" si="1"/>
        <v>0</v>
      </c>
      <c r="S96" s="49" t="str">
        <f>BASE!A100</f>
        <v>85</v>
      </c>
      <c r="T96" s="129" t="str">
        <f t="shared" si="2"/>
        <v>0</v>
      </c>
      <c r="U96" s="129" t="str">
        <f t="shared" si="3"/>
        <v>0</v>
      </c>
      <c r="V96" s="129" t="str">
        <f t="shared" si="4"/>
        <v>0</v>
      </c>
      <c r="W96" s="129"/>
      <c r="X96" s="129"/>
      <c r="Y96" s="113"/>
    </row>
    <row r="97" ht="20.25" customHeight="1">
      <c r="A97" s="131" t="str">
        <f>IF(BASE!B101="","",BASE!B101)</f>
        <v/>
      </c>
      <c r="B97" s="49" t="s">
        <v>122</v>
      </c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  <c r="O97" s="108"/>
      <c r="P97" s="108"/>
      <c r="Q97" s="129"/>
      <c r="R97" s="49" t="str">
        <f t="shared" si="1"/>
        <v>0</v>
      </c>
      <c r="S97" s="49" t="str">
        <f>BASE!A101</f>
        <v>86</v>
      </c>
      <c r="T97" s="129" t="str">
        <f t="shared" si="2"/>
        <v>0</v>
      </c>
      <c r="U97" s="129" t="str">
        <f t="shared" si="3"/>
        <v>0</v>
      </c>
      <c r="V97" s="129" t="str">
        <f t="shared" si="4"/>
        <v>0</v>
      </c>
      <c r="W97" s="129"/>
      <c r="X97" s="129"/>
      <c r="Y97" s="113"/>
    </row>
    <row r="98" ht="20.25" customHeight="1">
      <c r="A98" s="131" t="str">
        <f>IF(BASE!B102="","",BASE!B102)</f>
        <v/>
      </c>
      <c r="B98" s="49" t="s">
        <v>122</v>
      </c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  <c r="O98" s="108"/>
      <c r="P98" s="108"/>
      <c r="Q98" s="129"/>
      <c r="R98" s="49" t="str">
        <f t="shared" si="1"/>
        <v>0</v>
      </c>
      <c r="S98" s="49" t="str">
        <f>BASE!A102</f>
        <v>87</v>
      </c>
      <c r="T98" s="129" t="str">
        <f t="shared" si="2"/>
        <v>0</v>
      </c>
      <c r="U98" s="129" t="str">
        <f t="shared" si="3"/>
        <v>0</v>
      </c>
      <c r="V98" s="129" t="str">
        <f t="shared" si="4"/>
        <v>0</v>
      </c>
      <c r="W98" s="129"/>
      <c r="X98" s="129"/>
      <c r="Y98" s="113"/>
    </row>
    <row r="99" ht="20.25" customHeight="1">
      <c r="A99" s="131" t="str">
        <f>IF(BASE!B103="","",BASE!B103)</f>
        <v/>
      </c>
      <c r="B99" s="49" t="s">
        <v>122</v>
      </c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  <c r="O99" s="108"/>
      <c r="P99" s="108"/>
      <c r="Q99" s="129"/>
      <c r="R99" s="49" t="str">
        <f t="shared" si="1"/>
        <v>0</v>
      </c>
      <c r="S99" s="49" t="str">
        <f>BASE!A103</f>
        <v>88</v>
      </c>
      <c r="T99" s="129" t="str">
        <f t="shared" si="2"/>
        <v>0</v>
      </c>
      <c r="U99" s="129" t="str">
        <f t="shared" si="3"/>
        <v>0</v>
      </c>
      <c r="V99" s="129" t="str">
        <f t="shared" si="4"/>
        <v>0</v>
      </c>
      <c r="W99" s="129"/>
      <c r="X99" s="129"/>
      <c r="Y99" s="113"/>
    </row>
    <row r="100" ht="20.25" customHeight="1">
      <c r="A100" s="131" t="str">
        <f>IF(BASE!B104="","",BASE!B104)</f>
        <v/>
      </c>
      <c r="B100" s="49" t="s">
        <v>122</v>
      </c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  <c r="O100" s="108"/>
      <c r="P100" s="108"/>
      <c r="Q100" s="129"/>
      <c r="R100" s="49" t="str">
        <f t="shared" si="1"/>
        <v>0</v>
      </c>
      <c r="S100" s="49" t="str">
        <f>BASE!A104</f>
        <v>89</v>
      </c>
      <c r="T100" s="129" t="str">
        <f t="shared" si="2"/>
        <v>0</v>
      </c>
      <c r="U100" s="129" t="str">
        <f t="shared" si="3"/>
        <v>0</v>
      </c>
      <c r="V100" s="129" t="str">
        <f t="shared" si="4"/>
        <v>0</v>
      </c>
      <c r="W100" s="129"/>
      <c r="X100" s="129"/>
      <c r="Y100" s="113"/>
    </row>
    <row r="101" ht="20.25" customHeight="1">
      <c r="A101" s="131" t="str">
        <f>IF(BASE!B105="","",BASE!B105)</f>
        <v/>
      </c>
      <c r="B101" s="49" t="s">
        <v>122</v>
      </c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  <c r="O101" s="108"/>
      <c r="P101" s="108"/>
      <c r="Q101" s="129"/>
      <c r="R101" s="49" t="str">
        <f t="shared" si="1"/>
        <v>0</v>
      </c>
      <c r="S101" s="49" t="str">
        <f>BASE!A105</f>
        <v>90</v>
      </c>
      <c r="T101" s="129" t="str">
        <f t="shared" si="2"/>
        <v>0</v>
      </c>
      <c r="U101" s="129" t="str">
        <f t="shared" si="3"/>
        <v>0</v>
      </c>
      <c r="V101" s="129" t="str">
        <f t="shared" si="4"/>
        <v>0</v>
      </c>
      <c r="W101" s="129"/>
      <c r="X101" s="129"/>
      <c r="Y101" s="113"/>
    </row>
    <row r="102" ht="20.25" customHeight="1">
      <c r="A102" s="131" t="str">
        <f>IF(BASE!B106="","",BASE!B106)</f>
        <v/>
      </c>
      <c r="B102" s="49" t="s">
        <v>122</v>
      </c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29"/>
      <c r="R102" s="49" t="str">
        <f t="shared" si="1"/>
        <v>0</v>
      </c>
      <c r="S102" s="49" t="str">
        <f>BASE!A106</f>
        <v>91</v>
      </c>
      <c r="T102" s="129" t="str">
        <f t="shared" si="2"/>
        <v>0</v>
      </c>
      <c r="U102" s="129" t="str">
        <f t="shared" si="3"/>
        <v>0</v>
      </c>
      <c r="V102" s="129" t="str">
        <f t="shared" si="4"/>
        <v>0</v>
      </c>
      <c r="W102" s="129"/>
      <c r="X102" s="129"/>
      <c r="Y102" s="113"/>
    </row>
    <row r="103" ht="20.25" customHeight="1">
      <c r="A103" s="131" t="str">
        <f>IF(BASE!B107="","",BASE!B107)</f>
        <v/>
      </c>
      <c r="B103" s="49" t="s">
        <v>122</v>
      </c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29"/>
      <c r="R103" s="49" t="str">
        <f t="shared" si="1"/>
        <v>0</v>
      </c>
      <c r="S103" s="49" t="str">
        <f>BASE!A107</f>
        <v>92</v>
      </c>
      <c r="T103" s="129" t="str">
        <f t="shared" si="2"/>
        <v>0</v>
      </c>
      <c r="U103" s="129" t="str">
        <f t="shared" si="3"/>
        <v>0</v>
      </c>
      <c r="V103" s="129" t="str">
        <f t="shared" si="4"/>
        <v>0</v>
      </c>
      <c r="W103" s="129"/>
      <c r="X103" s="129"/>
      <c r="Y103" s="113"/>
    </row>
    <row r="104" ht="20.25" customHeight="1">
      <c r="A104" s="131" t="str">
        <f>IF(BASE!B108="","",BASE!B108)</f>
        <v/>
      </c>
      <c r="B104" s="49" t="s">
        <v>122</v>
      </c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  <c r="O104" s="108"/>
      <c r="P104" s="108"/>
      <c r="Q104" s="129"/>
      <c r="R104" s="49" t="str">
        <f t="shared" si="1"/>
        <v>0</v>
      </c>
      <c r="S104" s="49" t="str">
        <f>BASE!A108</f>
        <v>93</v>
      </c>
      <c r="T104" s="129" t="str">
        <f t="shared" si="2"/>
        <v>0</v>
      </c>
      <c r="U104" s="129" t="str">
        <f t="shared" si="3"/>
        <v>0</v>
      </c>
      <c r="V104" s="129" t="str">
        <f t="shared" si="4"/>
        <v>0</v>
      </c>
      <c r="W104" s="129"/>
      <c r="X104" s="129"/>
      <c r="Y104" s="113"/>
    </row>
    <row r="105" ht="20.25" customHeight="1">
      <c r="A105" s="131" t="str">
        <f>IF(BASE!B109="","",BASE!B109)</f>
        <v/>
      </c>
      <c r="B105" s="49" t="s">
        <v>122</v>
      </c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  <c r="O105" s="108"/>
      <c r="P105" s="108"/>
      <c r="Q105" s="129"/>
      <c r="R105" s="49" t="str">
        <f t="shared" si="1"/>
        <v>0</v>
      </c>
      <c r="S105" s="49" t="str">
        <f>BASE!A109</f>
        <v>94</v>
      </c>
      <c r="T105" s="129" t="str">
        <f t="shared" si="2"/>
        <v>0</v>
      </c>
      <c r="U105" s="129" t="str">
        <f t="shared" si="3"/>
        <v>0</v>
      </c>
      <c r="V105" s="129" t="str">
        <f t="shared" si="4"/>
        <v>0</v>
      </c>
      <c r="W105" s="129"/>
      <c r="X105" s="129"/>
      <c r="Y105" s="113"/>
    </row>
    <row r="106" ht="20.25" customHeight="1">
      <c r="A106" s="131" t="str">
        <f>IF(BASE!B110="","",BASE!B110)</f>
        <v/>
      </c>
      <c r="B106" s="49" t="s">
        <v>122</v>
      </c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  <c r="O106" s="108"/>
      <c r="P106" s="108"/>
      <c r="Q106" s="129"/>
      <c r="R106" s="49" t="str">
        <f t="shared" si="1"/>
        <v>0</v>
      </c>
      <c r="S106" s="49" t="str">
        <f>BASE!A110</f>
        <v>95</v>
      </c>
      <c r="T106" s="129" t="str">
        <f t="shared" si="2"/>
        <v>0</v>
      </c>
      <c r="U106" s="129" t="str">
        <f t="shared" si="3"/>
        <v>0</v>
      </c>
      <c r="V106" s="129" t="str">
        <f t="shared" si="4"/>
        <v>0</v>
      </c>
      <c r="W106" s="129"/>
      <c r="X106" s="129"/>
      <c r="Y106" s="113"/>
    </row>
    <row r="107" ht="20.25" customHeight="1">
      <c r="A107" s="131" t="str">
        <f>IF(BASE!B111="","",BASE!B111)</f>
        <v/>
      </c>
      <c r="B107" s="49" t="s">
        <v>122</v>
      </c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  <c r="O107" s="108"/>
      <c r="P107" s="108"/>
      <c r="Q107" s="129"/>
      <c r="R107" s="49" t="str">
        <f t="shared" si="1"/>
        <v>0</v>
      </c>
      <c r="S107" s="49" t="str">
        <f>BASE!A111</f>
        <v>96</v>
      </c>
      <c r="T107" s="129" t="str">
        <f t="shared" si="2"/>
        <v>0</v>
      </c>
      <c r="U107" s="129" t="str">
        <f t="shared" si="3"/>
        <v>0</v>
      </c>
      <c r="V107" s="129" t="str">
        <f t="shared" si="4"/>
        <v>0</v>
      </c>
      <c r="W107" s="129"/>
      <c r="X107" s="129"/>
      <c r="Y107" s="113"/>
    </row>
    <row r="108" ht="20.25" customHeight="1">
      <c r="A108" s="131" t="str">
        <f>IF(BASE!B112="","",BASE!B112)</f>
        <v/>
      </c>
      <c r="B108" s="49" t="s">
        <v>122</v>
      </c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  <c r="O108" s="108"/>
      <c r="P108" s="108"/>
      <c r="Q108" s="129"/>
      <c r="R108" s="49" t="str">
        <f t="shared" si="1"/>
        <v>0</v>
      </c>
      <c r="S108" s="49" t="str">
        <f>BASE!A112</f>
        <v>97</v>
      </c>
      <c r="T108" s="129" t="str">
        <f t="shared" si="2"/>
        <v>0</v>
      </c>
      <c r="U108" s="129" t="str">
        <f t="shared" si="3"/>
        <v>0</v>
      </c>
      <c r="V108" s="129" t="str">
        <f t="shared" si="4"/>
        <v>0</v>
      </c>
      <c r="W108" s="129"/>
      <c r="X108" s="129"/>
      <c r="Y108" s="113"/>
    </row>
    <row r="109" ht="20.25" customHeight="1">
      <c r="A109" s="131" t="str">
        <f>IF(BASE!B113="","",BASE!B113)</f>
        <v/>
      </c>
      <c r="B109" s="49" t="s">
        <v>122</v>
      </c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  <c r="O109" s="108"/>
      <c r="P109" s="108"/>
      <c r="Q109" s="129"/>
      <c r="R109" s="49" t="str">
        <f t="shared" si="1"/>
        <v>0</v>
      </c>
      <c r="S109" s="49" t="str">
        <f>BASE!A113</f>
        <v>98</v>
      </c>
      <c r="T109" s="129" t="str">
        <f t="shared" si="2"/>
        <v>0</v>
      </c>
      <c r="U109" s="129" t="str">
        <f t="shared" si="3"/>
        <v>0</v>
      </c>
      <c r="V109" s="129" t="str">
        <f t="shared" si="4"/>
        <v>0</v>
      </c>
      <c r="W109" s="129"/>
      <c r="X109" s="129"/>
      <c r="Y109" s="113"/>
    </row>
    <row r="110" ht="20.25" customHeight="1">
      <c r="A110" s="131" t="str">
        <f>IF(BASE!B114="","",BASE!B114)</f>
        <v/>
      </c>
      <c r="B110" s="49" t="s">
        <v>122</v>
      </c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  <c r="O110" s="108"/>
      <c r="P110" s="108"/>
      <c r="Q110" s="129"/>
      <c r="R110" s="49" t="str">
        <f t="shared" si="1"/>
        <v>0</v>
      </c>
      <c r="S110" s="49" t="str">
        <f>BASE!A114</f>
        <v>99</v>
      </c>
      <c r="T110" s="129" t="str">
        <f t="shared" si="2"/>
        <v>0</v>
      </c>
      <c r="U110" s="129" t="str">
        <f t="shared" si="3"/>
        <v>0</v>
      </c>
      <c r="V110" s="129" t="str">
        <f t="shared" si="4"/>
        <v>0</v>
      </c>
      <c r="W110" s="129"/>
      <c r="X110" s="129"/>
      <c r="Y110" s="113"/>
    </row>
    <row r="111" ht="20.25" customHeight="1">
      <c r="A111" s="131" t="str">
        <f>IF(BASE!B115="","",BASE!B115)</f>
        <v/>
      </c>
      <c r="B111" s="49" t="s">
        <v>122</v>
      </c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  <c r="O111" s="108"/>
      <c r="P111" s="108"/>
      <c r="Q111" s="129"/>
      <c r="R111" s="49" t="str">
        <f t="shared" si="1"/>
        <v>0</v>
      </c>
      <c r="S111" s="49" t="str">
        <f>BASE!A115</f>
        <v>100</v>
      </c>
      <c r="T111" s="129" t="str">
        <f t="shared" si="2"/>
        <v>0</v>
      </c>
      <c r="U111" s="129" t="str">
        <f t="shared" si="3"/>
        <v>0</v>
      </c>
      <c r="V111" s="129" t="str">
        <f t="shared" si="4"/>
        <v>0</v>
      </c>
      <c r="W111" s="129"/>
      <c r="X111" s="129"/>
      <c r="Y111" s="113"/>
    </row>
    <row r="112" ht="20.25" customHeight="1">
      <c r="A112" s="131" t="str">
        <f>IF(BASE!B116="","",BASE!B116)</f>
        <v/>
      </c>
      <c r="B112" s="49" t="s">
        <v>122</v>
      </c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  <c r="O112" s="108"/>
      <c r="P112" s="108"/>
      <c r="Q112" s="129"/>
      <c r="R112" s="49" t="str">
        <f t="shared" si="1"/>
        <v>0</v>
      </c>
      <c r="S112" s="49" t="str">
        <f>BASE!A116</f>
        <v>101</v>
      </c>
      <c r="T112" s="129" t="str">
        <f t="shared" si="2"/>
        <v>0</v>
      </c>
      <c r="U112" s="129" t="str">
        <f t="shared" si="3"/>
        <v>0</v>
      </c>
      <c r="V112" s="129" t="str">
        <f t="shared" si="4"/>
        <v>0</v>
      </c>
      <c r="W112" s="129"/>
      <c r="X112" s="129"/>
      <c r="Y112" s="113"/>
    </row>
    <row r="113" ht="20.25" customHeight="1">
      <c r="A113" s="131" t="str">
        <f>IF(BASE!B117="","",BASE!B117)</f>
        <v/>
      </c>
      <c r="B113" s="49" t="s">
        <v>122</v>
      </c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  <c r="O113" s="108"/>
      <c r="P113" s="108"/>
      <c r="Q113" s="129"/>
      <c r="R113" s="49" t="str">
        <f t="shared" si="1"/>
        <v>0</v>
      </c>
      <c r="S113" s="49" t="str">
        <f>BASE!A117</f>
        <v>102</v>
      </c>
      <c r="T113" s="129" t="str">
        <f t="shared" si="2"/>
        <v>0</v>
      </c>
      <c r="U113" s="129" t="str">
        <f t="shared" si="3"/>
        <v>0</v>
      </c>
      <c r="V113" s="129" t="str">
        <f t="shared" si="4"/>
        <v>0</v>
      </c>
      <c r="W113" s="129"/>
      <c r="X113" s="129"/>
      <c r="Y113" s="113"/>
    </row>
    <row r="114" ht="20.25" customHeight="1">
      <c r="A114" s="131" t="str">
        <f>IF(BASE!B118="","",BASE!B118)</f>
        <v/>
      </c>
      <c r="B114" s="49" t="s">
        <v>122</v>
      </c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29"/>
      <c r="R114" s="49" t="str">
        <f t="shared" si="1"/>
        <v>0</v>
      </c>
      <c r="S114" s="49" t="str">
        <f>BASE!A118</f>
        <v>103</v>
      </c>
      <c r="T114" s="129" t="str">
        <f t="shared" si="2"/>
        <v>0</v>
      </c>
      <c r="U114" s="129" t="str">
        <f t="shared" si="3"/>
        <v>0</v>
      </c>
      <c r="V114" s="129" t="str">
        <f t="shared" si="4"/>
        <v>0</v>
      </c>
      <c r="W114" s="129"/>
      <c r="X114" s="129"/>
      <c r="Y114" s="113"/>
    </row>
    <row r="115" ht="20.25" customHeight="1">
      <c r="A115" s="131" t="str">
        <f>IF(BASE!B119="","",BASE!B119)</f>
        <v/>
      </c>
      <c r="B115" s="49" t="s">
        <v>122</v>
      </c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  <c r="O115" s="108"/>
      <c r="P115" s="108"/>
      <c r="Q115" s="129"/>
      <c r="R115" s="49" t="str">
        <f t="shared" si="1"/>
        <v>0</v>
      </c>
      <c r="S115" s="49" t="str">
        <f>BASE!A119</f>
        <v>104</v>
      </c>
      <c r="T115" s="129" t="str">
        <f t="shared" si="2"/>
        <v>0</v>
      </c>
      <c r="U115" s="129" t="str">
        <f t="shared" si="3"/>
        <v>0</v>
      </c>
      <c r="V115" s="129" t="str">
        <f t="shared" si="4"/>
        <v>0</v>
      </c>
      <c r="W115" s="129"/>
      <c r="X115" s="129"/>
      <c r="Y115" s="113"/>
    </row>
    <row r="116" ht="20.25" customHeight="1">
      <c r="A116" s="131" t="str">
        <f>IF(BASE!B120="","",BASE!B120)</f>
        <v/>
      </c>
      <c r="B116" s="49" t="s">
        <v>122</v>
      </c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29"/>
      <c r="R116" s="49" t="str">
        <f t="shared" si="1"/>
        <v>0</v>
      </c>
      <c r="S116" s="49" t="str">
        <f>BASE!A120</f>
        <v>105</v>
      </c>
      <c r="T116" s="129" t="str">
        <f t="shared" si="2"/>
        <v>0</v>
      </c>
      <c r="U116" s="129" t="str">
        <f t="shared" si="3"/>
        <v>0</v>
      </c>
      <c r="V116" s="129" t="str">
        <f t="shared" si="4"/>
        <v>0</v>
      </c>
      <c r="W116" s="129"/>
      <c r="X116" s="129"/>
      <c r="Y116" s="113"/>
    </row>
    <row r="117" ht="20.25" customHeight="1">
      <c r="A117" s="131" t="str">
        <f>IF(BASE!B121="","",BASE!B121)</f>
        <v/>
      </c>
      <c r="B117" s="49" t="s">
        <v>122</v>
      </c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  <c r="O117" s="108"/>
      <c r="P117" s="108"/>
      <c r="Q117" s="129"/>
      <c r="R117" s="49" t="str">
        <f t="shared" si="1"/>
        <v>0</v>
      </c>
      <c r="S117" s="49" t="str">
        <f>BASE!A121</f>
        <v>106</v>
      </c>
      <c r="T117" s="129" t="str">
        <f t="shared" si="2"/>
        <v>0</v>
      </c>
      <c r="U117" s="129" t="str">
        <f t="shared" si="3"/>
        <v>0</v>
      </c>
      <c r="V117" s="129" t="str">
        <f t="shared" si="4"/>
        <v>0</v>
      </c>
      <c r="W117" s="129"/>
      <c r="X117" s="129"/>
      <c r="Y117" s="113"/>
    </row>
    <row r="118" ht="20.25" customHeight="1">
      <c r="A118" s="131" t="str">
        <f>IF(BASE!B122="","",BASE!B122)</f>
        <v/>
      </c>
      <c r="B118" s="49" t="s">
        <v>122</v>
      </c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  <c r="O118" s="108"/>
      <c r="P118" s="108"/>
      <c r="Q118" s="129"/>
      <c r="R118" s="49" t="str">
        <f t="shared" si="1"/>
        <v>0</v>
      </c>
      <c r="S118" s="49" t="str">
        <f>BASE!A122</f>
        <v>107</v>
      </c>
      <c r="T118" s="129" t="str">
        <f t="shared" si="2"/>
        <v>0</v>
      </c>
      <c r="U118" s="129" t="str">
        <f t="shared" si="3"/>
        <v>0</v>
      </c>
      <c r="V118" s="129" t="str">
        <f t="shared" si="4"/>
        <v>0</v>
      </c>
      <c r="W118" s="129"/>
      <c r="X118" s="129"/>
      <c r="Y118" s="113"/>
    </row>
    <row r="119" ht="20.25" customHeight="1">
      <c r="A119" s="131" t="str">
        <f>IF(BASE!B123="","",BASE!B123)</f>
        <v/>
      </c>
      <c r="B119" s="49" t="s">
        <v>122</v>
      </c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  <c r="O119" s="108"/>
      <c r="P119" s="108"/>
      <c r="Q119" s="129"/>
      <c r="R119" s="49" t="str">
        <f t="shared" si="1"/>
        <v>0</v>
      </c>
      <c r="S119" s="49" t="str">
        <f>BASE!A123</f>
        <v>108</v>
      </c>
      <c r="T119" s="129" t="str">
        <f t="shared" si="2"/>
        <v>0</v>
      </c>
      <c r="U119" s="129" t="str">
        <f t="shared" si="3"/>
        <v>0</v>
      </c>
      <c r="V119" s="129" t="str">
        <f t="shared" si="4"/>
        <v>0</v>
      </c>
      <c r="W119" s="129"/>
      <c r="X119" s="129"/>
      <c r="Y119" s="113"/>
    </row>
    <row r="120" ht="20.25" customHeight="1">
      <c r="A120" s="131" t="str">
        <f>IF(BASE!B124="","",BASE!B124)</f>
        <v/>
      </c>
      <c r="B120" s="49" t="s">
        <v>122</v>
      </c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  <c r="O120" s="108"/>
      <c r="P120" s="108"/>
      <c r="Q120" s="129"/>
      <c r="R120" s="49" t="str">
        <f t="shared" si="1"/>
        <v>0</v>
      </c>
      <c r="S120" s="49" t="str">
        <f>BASE!A124</f>
        <v>109</v>
      </c>
      <c r="T120" s="129" t="str">
        <f t="shared" si="2"/>
        <v>0</v>
      </c>
      <c r="U120" s="129" t="str">
        <f t="shared" si="3"/>
        <v>0</v>
      </c>
      <c r="V120" s="129" t="str">
        <f t="shared" si="4"/>
        <v>0</v>
      </c>
      <c r="W120" s="129"/>
      <c r="X120" s="129"/>
      <c r="Y120" s="113"/>
    </row>
    <row r="121" ht="20.25" customHeight="1">
      <c r="A121" s="131" t="str">
        <f>IF(BASE!B125="","",BASE!B125)</f>
        <v/>
      </c>
      <c r="B121" s="49" t="s">
        <v>122</v>
      </c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  <c r="O121" s="108"/>
      <c r="P121" s="108"/>
      <c r="Q121" s="129"/>
      <c r="R121" s="49" t="str">
        <f t="shared" si="1"/>
        <v>0</v>
      </c>
      <c r="S121" s="49" t="str">
        <f>BASE!A125</f>
        <v>110</v>
      </c>
      <c r="T121" s="129" t="str">
        <f t="shared" si="2"/>
        <v>0</v>
      </c>
      <c r="U121" s="129" t="str">
        <f t="shared" si="3"/>
        <v>0</v>
      </c>
      <c r="V121" s="129" t="str">
        <f t="shared" si="4"/>
        <v>0</v>
      </c>
      <c r="W121" s="129"/>
      <c r="X121" s="129"/>
      <c r="Y121" s="113"/>
    </row>
    <row r="122" ht="20.25" customHeight="1">
      <c r="A122" s="131" t="str">
        <f>IF(BASE!B126="","",BASE!B126)</f>
        <v/>
      </c>
      <c r="B122" s="49" t="s">
        <v>122</v>
      </c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  <c r="O122" s="108"/>
      <c r="P122" s="108"/>
      <c r="Q122" s="129"/>
      <c r="R122" s="49" t="str">
        <f t="shared" si="1"/>
        <v>0</v>
      </c>
      <c r="S122" s="49" t="str">
        <f>BASE!A126</f>
        <v>111</v>
      </c>
      <c r="T122" s="129" t="str">
        <f t="shared" si="2"/>
        <v>0</v>
      </c>
      <c r="U122" s="129" t="str">
        <f t="shared" si="3"/>
        <v>0</v>
      </c>
      <c r="V122" s="129" t="str">
        <f t="shared" si="4"/>
        <v>0</v>
      </c>
      <c r="W122" s="129"/>
      <c r="X122" s="129"/>
      <c r="Y122" s="113"/>
    </row>
    <row r="123" ht="20.25" customHeight="1">
      <c r="A123" s="131" t="str">
        <f>IF(BASE!B127="","",BASE!B127)</f>
        <v/>
      </c>
      <c r="B123" s="49" t="s">
        <v>122</v>
      </c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  <c r="O123" s="108"/>
      <c r="P123" s="108"/>
      <c r="Q123" s="129"/>
      <c r="R123" s="49" t="str">
        <f t="shared" si="1"/>
        <v>0</v>
      </c>
      <c r="S123" s="49" t="str">
        <f>BASE!A127</f>
        <v>112</v>
      </c>
      <c r="T123" s="129" t="str">
        <f t="shared" si="2"/>
        <v>0</v>
      </c>
      <c r="U123" s="129" t="str">
        <f t="shared" si="3"/>
        <v>0</v>
      </c>
      <c r="V123" s="129" t="str">
        <f t="shared" si="4"/>
        <v>0</v>
      </c>
      <c r="W123" s="129"/>
      <c r="X123" s="129"/>
      <c r="Y123" s="113"/>
    </row>
    <row r="124" ht="20.25" customHeight="1">
      <c r="A124" s="131" t="str">
        <f>IF(BASE!B128="","",BASE!B128)</f>
        <v/>
      </c>
      <c r="B124" s="49" t="s">
        <v>122</v>
      </c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  <c r="O124" s="108"/>
      <c r="P124" s="108"/>
      <c r="Q124" s="129"/>
      <c r="R124" s="49" t="str">
        <f t="shared" si="1"/>
        <v>0</v>
      </c>
      <c r="S124" s="49" t="str">
        <f>BASE!A128</f>
        <v>113</v>
      </c>
      <c r="T124" s="129" t="str">
        <f t="shared" si="2"/>
        <v>0</v>
      </c>
      <c r="U124" s="129" t="str">
        <f t="shared" si="3"/>
        <v>0</v>
      </c>
      <c r="V124" s="129" t="str">
        <f t="shared" si="4"/>
        <v>0</v>
      </c>
      <c r="W124" s="129"/>
      <c r="X124" s="129"/>
      <c r="Y124" s="113"/>
    </row>
    <row r="125" ht="20.25" customHeight="1">
      <c r="A125" s="131" t="str">
        <f>IF(BASE!B129="","",BASE!B129)</f>
        <v/>
      </c>
      <c r="B125" s="49" t="s">
        <v>122</v>
      </c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  <c r="O125" s="108"/>
      <c r="P125" s="108"/>
      <c r="Q125" s="129"/>
      <c r="R125" s="49" t="str">
        <f t="shared" si="1"/>
        <v>0</v>
      </c>
      <c r="S125" s="49" t="str">
        <f>BASE!A129</f>
        <v>114</v>
      </c>
      <c r="T125" s="129" t="str">
        <f t="shared" si="2"/>
        <v>0</v>
      </c>
      <c r="U125" s="129" t="str">
        <f t="shared" si="3"/>
        <v>0</v>
      </c>
      <c r="V125" s="129" t="str">
        <f t="shared" si="4"/>
        <v>0</v>
      </c>
      <c r="W125" s="129"/>
      <c r="X125" s="129"/>
      <c r="Y125" s="113"/>
    </row>
    <row r="126" ht="20.25" customHeight="1">
      <c r="A126" s="131" t="str">
        <f>IF(BASE!B130="","",BASE!B130)</f>
        <v/>
      </c>
      <c r="B126" s="49" t="s">
        <v>122</v>
      </c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  <c r="O126" s="108"/>
      <c r="P126" s="108"/>
      <c r="Q126" s="129"/>
      <c r="R126" s="49" t="str">
        <f t="shared" si="1"/>
        <v>0</v>
      </c>
      <c r="S126" s="49" t="str">
        <f>BASE!A130</f>
        <v>115</v>
      </c>
      <c r="T126" s="129" t="str">
        <f t="shared" si="2"/>
        <v>0</v>
      </c>
      <c r="U126" s="129" t="str">
        <f t="shared" si="3"/>
        <v>0</v>
      </c>
      <c r="V126" s="129" t="str">
        <f t="shared" si="4"/>
        <v>0</v>
      </c>
      <c r="W126" s="129"/>
      <c r="X126" s="129"/>
      <c r="Y126" s="113"/>
    </row>
    <row r="127" ht="20.25" customHeight="1">
      <c r="A127" s="131" t="str">
        <f>IF(BASE!B131="","",BASE!B131)</f>
        <v/>
      </c>
      <c r="B127" s="49" t="s">
        <v>122</v>
      </c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  <c r="O127" s="108"/>
      <c r="P127" s="108"/>
      <c r="Q127" s="129"/>
      <c r="R127" s="49" t="str">
        <f t="shared" si="1"/>
        <v>0</v>
      </c>
      <c r="S127" s="49" t="str">
        <f>BASE!A131</f>
        <v>116</v>
      </c>
      <c r="T127" s="129" t="str">
        <f t="shared" si="2"/>
        <v>0</v>
      </c>
      <c r="U127" s="129" t="str">
        <f t="shared" si="3"/>
        <v>0</v>
      </c>
      <c r="V127" s="129" t="str">
        <f t="shared" si="4"/>
        <v>0</v>
      </c>
      <c r="W127" s="129"/>
      <c r="X127" s="129"/>
      <c r="Y127" s="113"/>
    </row>
    <row r="128" ht="20.25" customHeight="1">
      <c r="A128" s="131" t="str">
        <f>IF(BASE!B132="","",BASE!B132)</f>
        <v/>
      </c>
      <c r="B128" s="49" t="s">
        <v>122</v>
      </c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  <c r="O128" s="108"/>
      <c r="P128" s="108"/>
      <c r="Q128" s="129"/>
      <c r="R128" s="49" t="str">
        <f t="shared" si="1"/>
        <v>0</v>
      </c>
      <c r="S128" s="49" t="str">
        <f>BASE!A132</f>
        <v>117</v>
      </c>
      <c r="T128" s="129" t="str">
        <f t="shared" si="2"/>
        <v>0</v>
      </c>
      <c r="U128" s="129" t="str">
        <f t="shared" si="3"/>
        <v>0</v>
      </c>
      <c r="V128" s="129" t="str">
        <f t="shared" si="4"/>
        <v>0</v>
      </c>
      <c r="W128" s="129"/>
      <c r="X128" s="129"/>
      <c r="Y128" s="113"/>
    </row>
    <row r="129" ht="20.25" customHeight="1">
      <c r="A129" s="131" t="str">
        <f>IF(BASE!B133="","",BASE!B133)</f>
        <v/>
      </c>
      <c r="B129" s="49" t="s">
        <v>122</v>
      </c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  <c r="O129" s="108"/>
      <c r="P129" s="108"/>
      <c r="Q129" s="129"/>
      <c r="R129" s="49" t="str">
        <f t="shared" si="1"/>
        <v>0</v>
      </c>
      <c r="S129" s="49" t="str">
        <f>BASE!A133</f>
        <v>118</v>
      </c>
      <c r="T129" s="129" t="str">
        <f t="shared" si="2"/>
        <v>0</v>
      </c>
      <c r="U129" s="129" t="str">
        <f t="shared" si="3"/>
        <v>0</v>
      </c>
      <c r="V129" s="129" t="str">
        <f t="shared" si="4"/>
        <v>0</v>
      </c>
      <c r="W129" s="129"/>
      <c r="X129" s="129"/>
      <c r="Y129" s="113"/>
    </row>
    <row r="130" ht="20.25" customHeight="1">
      <c r="A130" s="131" t="str">
        <f>IF(BASE!B134="","",BASE!B134)</f>
        <v/>
      </c>
      <c r="B130" s="49" t="s">
        <v>122</v>
      </c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  <c r="O130" s="108"/>
      <c r="P130" s="108"/>
      <c r="Q130" s="129"/>
      <c r="R130" s="49" t="str">
        <f t="shared" si="1"/>
        <v>0</v>
      </c>
      <c r="S130" s="49" t="str">
        <f>BASE!A134</f>
        <v>119</v>
      </c>
      <c r="T130" s="129" t="str">
        <f t="shared" si="2"/>
        <v>0</v>
      </c>
      <c r="U130" s="129" t="str">
        <f t="shared" si="3"/>
        <v>0</v>
      </c>
      <c r="V130" s="129" t="str">
        <f t="shared" si="4"/>
        <v>0</v>
      </c>
      <c r="W130" s="129"/>
      <c r="X130" s="129"/>
      <c r="Y130" s="113"/>
    </row>
    <row r="131" ht="20.25" customHeight="1">
      <c r="A131" s="131" t="str">
        <f>IF(BASE!B135="","",BASE!B135)</f>
        <v/>
      </c>
      <c r="B131" s="49" t="s">
        <v>122</v>
      </c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  <c r="O131" s="108"/>
      <c r="P131" s="108"/>
      <c r="Q131" s="129"/>
      <c r="R131" s="49" t="str">
        <f t="shared" si="1"/>
        <v>0</v>
      </c>
      <c r="S131" s="49" t="str">
        <f>BASE!A135</f>
        <v>120</v>
      </c>
      <c r="T131" s="129" t="str">
        <f t="shared" si="2"/>
        <v>0</v>
      </c>
      <c r="U131" s="129" t="str">
        <f t="shared" si="3"/>
        <v>0</v>
      </c>
      <c r="V131" s="129" t="str">
        <f t="shared" si="4"/>
        <v>0</v>
      </c>
      <c r="W131" s="129"/>
      <c r="X131" s="129"/>
      <c r="Y131" s="113"/>
    </row>
    <row r="132" ht="20.25" customHeight="1">
      <c r="A132" s="131" t="str">
        <f>IF(BASE!B136="","",BASE!B136)</f>
        <v/>
      </c>
      <c r="B132" s="49" t="s">
        <v>122</v>
      </c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  <c r="O132" s="108"/>
      <c r="P132" s="108"/>
      <c r="Q132" s="129"/>
      <c r="R132" s="49" t="str">
        <f t="shared" si="1"/>
        <v>0</v>
      </c>
      <c r="S132" s="49" t="str">
        <f>BASE!A136</f>
        <v>121</v>
      </c>
      <c r="T132" s="129" t="str">
        <f t="shared" si="2"/>
        <v>0</v>
      </c>
      <c r="U132" s="129" t="str">
        <f t="shared" si="3"/>
        <v>0</v>
      </c>
      <c r="V132" s="129" t="str">
        <f t="shared" si="4"/>
        <v>0</v>
      </c>
      <c r="W132" s="129"/>
      <c r="X132" s="129"/>
      <c r="Y132" s="113"/>
    </row>
    <row r="133" ht="20.25" customHeight="1">
      <c r="A133" s="131" t="str">
        <f>IF(BASE!B137="","",BASE!B137)</f>
        <v/>
      </c>
      <c r="B133" s="49" t="s">
        <v>122</v>
      </c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  <c r="O133" s="108"/>
      <c r="P133" s="108"/>
      <c r="Q133" s="129"/>
      <c r="R133" s="49" t="str">
        <f t="shared" si="1"/>
        <v>0</v>
      </c>
      <c r="S133" s="49" t="str">
        <f>BASE!A137</f>
        <v>122</v>
      </c>
      <c r="T133" s="129" t="str">
        <f t="shared" si="2"/>
        <v>0</v>
      </c>
      <c r="U133" s="129" t="str">
        <f t="shared" si="3"/>
        <v>0</v>
      </c>
      <c r="V133" s="129" t="str">
        <f t="shared" si="4"/>
        <v>0</v>
      </c>
      <c r="W133" s="129"/>
      <c r="X133" s="129"/>
      <c r="Y133" s="113"/>
    </row>
    <row r="134" ht="20.25" customHeight="1">
      <c r="A134" s="131" t="str">
        <f>IF(BASE!B138="","",BASE!B138)</f>
        <v/>
      </c>
      <c r="B134" s="49" t="s">
        <v>122</v>
      </c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  <c r="O134" s="108"/>
      <c r="P134" s="108"/>
      <c r="Q134" s="129"/>
      <c r="R134" s="49" t="str">
        <f t="shared" si="1"/>
        <v>0</v>
      </c>
      <c r="S134" s="49" t="str">
        <f>BASE!A138</f>
        <v>123</v>
      </c>
      <c r="T134" s="129" t="str">
        <f t="shared" si="2"/>
        <v>0</v>
      </c>
      <c r="U134" s="129" t="str">
        <f t="shared" si="3"/>
        <v>0</v>
      </c>
      <c r="V134" s="129" t="str">
        <f t="shared" si="4"/>
        <v>0</v>
      </c>
      <c r="W134" s="129"/>
      <c r="X134" s="129"/>
      <c r="Y134" s="113"/>
    </row>
    <row r="135" ht="20.25" customHeight="1">
      <c r="A135" s="131" t="str">
        <f>IF(BASE!B139="","",BASE!B139)</f>
        <v/>
      </c>
      <c r="B135" s="49" t="s">
        <v>122</v>
      </c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  <c r="O135" s="108"/>
      <c r="P135" s="108"/>
      <c r="Q135" s="129"/>
      <c r="R135" s="49" t="str">
        <f t="shared" si="1"/>
        <v>0</v>
      </c>
      <c r="S135" s="49" t="str">
        <f>BASE!A139</f>
        <v>124</v>
      </c>
      <c r="T135" s="129" t="str">
        <f t="shared" si="2"/>
        <v>0</v>
      </c>
      <c r="U135" s="129" t="str">
        <f t="shared" si="3"/>
        <v>0</v>
      </c>
      <c r="V135" s="129" t="str">
        <f t="shared" si="4"/>
        <v>0</v>
      </c>
      <c r="W135" s="129"/>
      <c r="X135" s="129"/>
      <c r="Y135" s="113"/>
    </row>
    <row r="136" ht="20.25" customHeight="1">
      <c r="A136" s="131" t="str">
        <f>IF(BASE!B140="","",BASE!B140)</f>
        <v/>
      </c>
      <c r="B136" s="49" t="s">
        <v>122</v>
      </c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  <c r="O136" s="108"/>
      <c r="P136" s="108"/>
      <c r="Q136" s="129"/>
      <c r="R136" s="49" t="str">
        <f t="shared" si="1"/>
        <v>0</v>
      </c>
      <c r="S136" s="49" t="str">
        <f>BASE!A140</f>
        <v>125</v>
      </c>
      <c r="T136" s="129" t="str">
        <f t="shared" si="2"/>
        <v>0</v>
      </c>
      <c r="U136" s="129" t="str">
        <f t="shared" si="3"/>
        <v>0</v>
      </c>
      <c r="V136" s="129" t="str">
        <f t="shared" si="4"/>
        <v>0</v>
      </c>
      <c r="W136" s="129"/>
      <c r="X136" s="129"/>
      <c r="Y136" s="113"/>
    </row>
    <row r="137" ht="20.25" customHeight="1">
      <c r="A137" s="131" t="str">
        <f>IF(BASE!B141="","",BASE!B141)</f>
        <v/>
      </c>
      <c r="B137" s="49" t="s">
        <v>122</v>
      </c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  <c r="O137" s="108"/>
      <c r="P137" s="108"/>
      <c r="Q137" s="129"/>
      <c r="R137" s="49" t="str">
        <f t="shared" si="1"/>
        <v>0</v>
      </c>
      <c r="S137" s="49" t="str">
        <f>BASE!A141</f>
        <v>126</v>
      </c>
      <c r="T137" s="129" t="str">
        <f t="shared" si="2"/>
        <v>0</v>
      </c>
      <c r="U137" s="129" t="str">
        <f t="shared" si="3"/>
        <v>0</v>
      </c>
      <c r="V137" s="129" t="str">
        <f t="shared" si="4"/>
        <v>0</v>
      </c>
      <c r="W137" s="129"/>
      <c r="X137" s="129"/>
      <c r="Y137" s="113"/>
    </row>
    <row r="138" ht="20.25" customHeight="1">
      <c r="A138" s="131" t="str">
        <f>IF(BASE!B142="","",BASE!B142)</f>
        <v/>
      </c>
      <c r="B138" s="49" t="s">
        <v>122</v>
      </c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  <c r="O138" s="108"/>
      <c r="P138" s="108"/>
      <c r="Q138" s="129"/>
      <c r="R138" s="49" t="str">
        <f t="shared" si="1"/>
        <v>0</v>
      </c>
      <c r="S138" s="49" t="str">
        <f>BASE!A142</f>
        <v>127</v>
      </c>
      <c r="T138" s="129" t="str">
        <f t="shared" si="2"/>
        <v>0</v>
      </c>
      <c r="U138" s="129" t="str">
        <f t="shared" si="3"/>
        <v>0</v>
      </c>
      <c r="V138" s="129" t="str">
        <f t="shared" si="4"/>
        <v>0</v>
      </c>
      <c r="W138" s="129"/>
      <c r="X138" s="129"/>
      <c r="Y138" s="113"/>
    </row>
    <row r="139" ht="20.25" customHeight="1">
      <c r="A139" s="131" t="str">
        <f>IF(BASE!B143="","",BASE!B143)</f>
        <v/>
      </c>
      <c r="B139" s="49" t="s">
        <v>122</v>
      </c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29"/>
      <c r="R139" s="49" t="str">
        <f t="shared" si="1"/>
        <v>0</v>
      </c>
      <c r="S139" s="49" t="str">
        <f>BASE!A143</f>
        <v>128</v>
      </c>
      <c r="T139" s="129" t="str">
        <f t="shared" si="2"/>
        <v>0</v>
      </c>
      <c r="U139" s="129" t="str">
        <f t="shared" si="3"/>
        <v>0</v>
      </c>
      <c r="V139" s="129" t="str">
        <f t="shared" si="4"/>
        <v>0</v>
      </c>
      <c r="W139" s="129"/>
      <c r="X139" s="129"/>
      <c r="Y139" s="113"/>
    </row>
    <row r="140" ht="20.25" customHeight="1">
      <c r="A140" s="131" t="str">
        <f>IF(BASE!B144="","",BASE!B144)</f>
        <v/>
      </c>
      <c r="B140" s="49" t="s">
        <v>122</v>
      </c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  <c r="O140" s="108"/>
      <c r="P140" s="108"/>
      <c r="Q140" s="129"/>
      <c r="R140" s="49" t="str">
        <f t="shared" si="1"/>
        <v>0</v>
      </c>
      <c r="S140" s="49" t="str">
        <f>BASE!A144</f>
        <v>129</v>
      </c>
      <c r="T140" s="129" t="str">
        <f t="shared" si="2"/>
        <v>0</v>
      </c>
      <c r="U140" s="129" t="str">
        <f t="shared" si="3"/>
        <v>0</v>
      </c>
      <c r="V140" s="129" t="str">
        <f t="shared" si="4"/>
        <v>0</v>
      </c>
      <c r="W140" s="129"/>
      <c r="X140" s="129"/>
      <c r="Y140" s="113"/>
    </row>
    <row r="141" ht="20.25" customHeight="1">
      <c r="A141" s="131" t="str">
        <f>IF(BASE!B145="","",BASE!B145)</f>
        <v/>
      </c>
      <c r="B141" s="49" t="s">
        <v>122</v>
      </c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  <c r="O141" s="108"/>
      <c r="P141" s="108"/>
      <c r="Q141" s="129"/>
      <c r="R141" s="49" t="str">
        <f t="shared" si="1"/>
        <v>0</v>
      </c>
      <c r="S141" s="49" t="str">
        <f>BASE!A145</f>
        <v>130</v>
      </c>
      <c r="T141" s="129" t="str">
        <f t="shared" si="2"/>
        <v>0</v>
      </c>
      <c r="U141" s="129" t="str">
        <f t="shared" si="3"/>
        <v>0</v>
      </c>
      <c r="V141" s="129" t="str">
        <f t="shared" si="4"/>
        <v>0</v>
      </c>
      <c r="W141" s="129"/>
      <c r="X141" s="129"/>
      <c r="Y141" s="113"/>
    </row>
    <row r="142" ht="20.25" customHeight="1">
      <c r="A142" s="131" t="str">
        <f>IF(BASE!B146="","",BASE!B146)</f>
        <v/>
      </c>
      <c r="B142" s="49" t="s">
        <v>122</v>
      </c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  <c r="O142" s="108"/>
      <c r="P142" s="108"/>
      <c r="Q142" s="129"/>
      <c r="R142" s="49" t="str">
        <f t="shared" si="1"/>
        <v>0</v>
      </c>
      <c r="S142" s="49" t="str">
        <f>BASE!A146</f>
        <v>131</v>
      </c>
      <c r="T142" s="129" t="str">
        <f t="shared" si="2"/>
        <v>0</v>
      </c>
      <c r="U142" s="129" t="str">
        <f t="shared" si="3"/>
        <v>0</v>
      </c>
      <c r="V142" s="129" t="str">
        <f t="shared" si="4"/>
        <v>0</v>
      </c>
      <c r="W142" s="129"/>
      <c r="X142" s="129"/>
      <c r="Y142" s="113"/>
    </row>
    <row r="143" ht="20.25" customHeight="1">
      <c r="A143" s="131" t="str">
        <f>IF(BASE!B147="","",BASE!B147)</f>
        <v/>
      </c>
      <c r="B143" s="49" t="s">
        <v>122</v>
      </c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  <c r="O143" s="108"/>
      <c r="P143" s="108"/>
      <c r="Q143" s="129"/>
      <c r="R143" s="49" t="str">
        <f t="shared" si="1"/>
        <v>0</v>
      </c>
      <c r="S143" s="49" t="str">
        <f>BASE!A147</f>
        <v>132</v>
      </c>
      <c r="T143" s="129" t="str">
        <f t="shared" si="2"/>
        <v>0</v>
      </c>
      <c r="U143" s="129" t="str">
        <f t="shared" si="3"/>
        <v>0</v>
      </c>
      <c r="V143" s="129" t="str">
        <f t="shared" si="4"/>
        <v>0</v>
      </c>
      <c r="W143" s="129"/>
      <c r="X143" s="129"/>
      <c r="Y143" s="113"/>
    </row>
    <row r="144" ht="20.25" customHeight="1">
      <c r="A144" s="131" t="str">
        <f>IF(BASE!B148="","",BASE!B148)</f>
        <v/>
      </c>
      <c r="B144" s="49" t="s">
        <v>122</v>
      </c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  <c r="O144" s="108"/>
      <c r="P144" s="108"/>
      <c r="Q144" s="129"/>
      <c r="R144" s="49" t="str">
        <f t="shared" si="1"/>
        <v>0</v>
      </c>
      <c r="S144" s="49" t="str">
        <f>BASE!A148</f>
        <v>133</v>
      </c>
      <c r="T144" s="129" t="str">
        <f t="shared" si="2"/>
        <v>0</v>
      </c>
      <c r="U144" s="129" t="str">
        <f t="shared" si="3"/>
        <v>0</v>
      </c>
      <c r="V144" s="129" t="str">
        <f t="shared" si="4"/>
        <v>0</v>
      </c>
      <c r="W144" s="129"/>
      <c r="X144" s="129"/>
      <c r="Y144" s="113"/>
    </row>
    <row r="145" ht="20.25" customHeight="1">
      <c r="A145" s="131" t="str">
        <f>IF(BASE!B149="","",BASE!B149)</f>
        <v/>
      </c>
      <c r="B145" s="49" t="s">
        <v>122</v>
      </c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29"/>
      <c r="R145" s="49" t="str">
        <f t="shared" si="1"/>
        <v>0</v>
      </c>
      <c r="S145" s="49" t="str">
        <f>BASE!A149</f>
        <v>134</v>
      </c>
      <c r="T145" s="129" t="str">
        <f t="shared" si="2"/>
        <v>0</v>
      </c>
      <c r="U145" s="129" t="str">
        <f t="shared" si="3"/>
        <v>0</v>
      </c>
      <c r="V145" s="129" t="str">
        <f t="shared" si="4"/>
        <v>0</v>
      </c>
      <c r="W145" s="129"/>
      <c r="X145" s="129"/>
      <c r="Y145" s="113"/>
    </row>
    <row r="146" ht="20.25" customHeight="1">
      <c r="A146" s="131" t="str">
        <f>IF(BASE!B150="","",BASE!B150)</f>
        <v/>
      </c>
      <c r="B146" s="49" t="s">
        <v>122</v>
      </c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  <c r="O146" s="108"/>
      <c r="P146" s="108"/>
      <c r="Q146" s="129"/>
      <c r="R146" s="49" t="str">
        <f t="shared" si="1"/>
        <v>0</v>
      </c>
      <c r="S146" s="49" t="str">
        <f>BASE!A150</f>
        <v>135</v>
      </c>
      <c r="T146" s="129" t="str">
        <f t="shared" si="2"/>
        <v>0</v>
      </c>
      <c r="U146" s="129" t="str">
        <f t="shared" si="3"/>
        <v>0</v>
      </c>
      <c r="V146" s="129" t="str">
        <f t="shared" si="4"/>
        <v>0</v>
      </c>
      <c r="W146" s="129"/>
      <c r="X146" s="129"/>
      <c r="Y146" s="113"/>
    </row>
    <row r="147" ht="20.25" customHeight="1">
      <c r="A147" s="131" t="str">
        <f>IF(BASE!B151="","",BASE!B151)</f>
        <v/>
      </c>
      <c r="B147" s="49" t="s">
        <v>122</v>
      </c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  <c r="O147" s="108"/>
      <c r="P147" s="108"/>
      <c r="Q147" s="129"/>
      <c r="R147" s="49" t="str">
        <f t="shared" si="1"/>
        <v>0</v>
      </c>
      <c r="S147" s="49" t="str">
        <f>BASE!A151</f>
        <v>136</v>
      </c>
      <c r="T147" s="129" t="str">
        <f t="shared" si="2"/>
        <v>0</v>
      </c>
      <c r="U147" s="129" t="str">
        <f t="shared" si="3"/>
        <v>0</v>
      </c>
      <c r="V147" s="129" t="str">
        <f t="shared" si="4"/>
        <v>0</v>
      </c>
      <c r="W147" s="129"/>
      <c r="X147" s="129"/>
      <c r="Y147" s="113"/>
    </row>
    <row r="148" ht="20.25" customHeight="1">
      <c r="A148" s="131" t="str">
        <f>IF(BASE!B152="","",BASE!B152)</f>
        <v/>
      </c>
      <c r="B148" s="49" t="s">
        <v>122</v>
      </c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  <c r="O148" s="108"/>
      <c r="P148" s="108"/>
      <c r="Q148" s="129"/>
      <c r="R148" s="49" t="str">
        <f t="shared" si="1"/>
        <v>0</v>
      </c>
      <c r="S148" s="49" t="str">
        <f>BASE!A152</f>
        <v>137</v>
      </c>
      <c r="T148" s="129" t="str">
        <f t="shared" si="2"/>
        <v>0</v>
      </c>
      <c r="U148" s="129" t="str">
        <f t="shared" si="3"/>
        <v>0</v>
      </c>
      <c r="V148" s="129" t="str">
        <f t="shared" si="4"/>
        <v>0</v>
      </c>
      <c r="W148" s="129"/>
      <c r="X148" s="129"/>
      <c r="Y148" s="113"/>
    </row>
    <row r="149" ht="20.25" customHeight="1">
      <c r="A149" s="131" t="str">
        <f>IF(BASE!B153="","",BASE!B153)</f>
        <v/>
      </c>
      <c r="B149" s="49" t="s">
        <v>122</v>
      </c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  <c r="O149" s="108"/>
      <c r="P149" s="108"/>
      <c r="Q149" s="129"/>
      <c r="R149" s="49" t="str">
        <f t="shared" si="1"/>
        <v>0</v>
      </c>
      <c r="S149" s="49" t="str">
        <f>BASE!A153</f>
        <v>138</v>
      </c>
      <c r="T149" s="129" t="str">
        <f t="shared" si="2"/>
        <v>0</v>
      </c>
      <c r="U149" s="129" t="str">
        <f t="shared" si="3"/>
        <v>0</v>
      </c>
      <c r="V149" s="129" t="str">
        <f t="shared" si="4"/>
        <v>0</v>
      </c>
      <c r="W149" s="129"/>
      <c r="X149" s="129"/>
      <c r="Y149" s="113"/>
    </row>
    <row r="150" ht="20.25" customHeight="1">
      <c r="A150" s="131" t="str">
        <f>IF(BASE!B154="","",BASE!B154)</f>
        <v/>
      </c>
      <c r="B150" s="49" t="s">
        <v>122</v>
      </c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  <c r="O150" s="108"/>
      <c r="P150" s="108"/>
      <c r="Q150" s="129"/>
      <c r="R150" s="49" t="str">
        <f t="shared" si="1"/>
        <v>0</v>
      </c>
      <c r="S150" s="49" t="str">
        <f>BASE!A154</f>
        <v>139</v>
      </c>
      <c r="T150" s="129" t="str">
        <f t="shared" si="2"/>
        <v>0</v>
      </c>
      <c r="U150" s="129" t="str">
        <f t="shared" si="3"/>
        <v>0</v>
      </c>
      <c r="V150" s="129" t="str">
        <f t="shared" si="4"/>
        <v>0</v>
      </c>
      <c r="W150" s="129"/>
      <c r="X150" s="129"/>
      <c r="Y150" s="113"/>
    </row>
    <row r="151" ht="20.25" customHeight="1">
      <c r="A151" s="131" t="str">
        <f>IF(BASE!B155="","",BASE!B155)</f>
        <v/>
      </c>
      <c r="B151" s="49" t="s">
        <v>122</v>
      </c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  <c r="O151" s="108"/>
      <c r="P151" s="108"/>
      <c r="Q151" s="129"/>
      <c r="R151" s="49" t="str">
        <f t="shared" si="1"/>
        <v>0</v>
      </c>
      <c r="S151" s="49" t="str">
        <f>BASE!A155</f>
        <v>140</v>
      </c>
      <c r="T151" s="129" t="str">
        <f t="shared" si="2"/>
        <v>0</v>
      </c>
      <c r="U151" s="129" t="str">
        <f t="shared" si="3"/>
        <v>0</v>
      </c>
      <c r="V151" s="129" t="str">
        <f t="shared" si="4"/>
        <v>0</v>
      </c>
      <c r="W151" s="129"/>
      <c r="X151" s="129"/>
      <c r="Y151" s="113"/>
    </row>
    <row r="152" ht="20.25" customHeight="1">
      <c r="A152" s="131" t="str">
        <f>IF(BASE!B156="","",BASE!B156)</f>
        <v/>
      </c>
      <c r="B152" s="49" t="s">
        <v>122</v>
      </c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  <c r="O152" s="108"/>
      <c r="P152" s="108"/>
      <c r="Q152" s="129"/>
      <c r="R152" s="49" t="str">
        <f t="shared" si="1"/>
        <v>0</v>
      </c>
      <c r="S152" s="49" t="str">
        <f>BASE!A156</f>
        <v>141</v>
      </c>
      <c r="T152" s="129" t="str">
        <f t="shared" si="2"/>
        <v>0</v>
      </c>
      <c r="U152" s="129" t="str">
        <f t="shared" si="3"/>
        <v>0</v>
      </c>
      <c r="V152" s="129" t="str">
        <f t="shared" si="4"/>
        <v>0</v>
      </c>
      <c r="W152" s="129"/>
      <c r="X152" s="129"/>
      <c r="Y152" s="113"/>
    </row>
    <row r="153" ht="20.25" customHeight="1">
      <c r="A153" s="131" t="str">
        <f>IF(BASE!B157="","",BASE!B157)</f>
        <v/>
      </c>
      <c r="B153" s="49" t="s">
        <v>122</v>
      </c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  <c r="O153" s="108"/>
      <c r="P153" s="108"/>
      <c r="Q153" s="129"/>
      <c r="R153" s="49" t="str">
        <f t="shared" si="1"/>
        <v>0</v>
      </c>
      <c r="S153" s="49" t="str">
        <f>BASE!A157</f>
        <v>142</v>
      </c>
      <c r="T153" s="129" t="str">
        <f t="shared" si="2"/>
        <v>0</v>
      </c>
      <c r="U153" s="129" t="str">
        <f t="shared" si="3"/>
        <v>0</v>
      </c>
      <c r="V153" s="129" t="str">
        <f t="shared" si="4"/>
        <v>0</v>
      </c>
      <c r="W153" s="129"/>
      <c r="X153" s="129"/>
      <c r="Y153" s="113"/>
    </row>
    <row r="154" ht="20.25" customHeight="1">
      <c r="A154" s="131" t="str">
        <f>IF(BASE!B158="","",BASE!B158)</f>
        <v/>
      </c>
      <c r="B154" s="49" t="s">
        <v>122</v>
      </c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  <c r="O154" s="108"/>
      <c r="P154" s="108"/>
      <c r="Q154" s="129"/>
      <c r="R154" s="49" t="str">
        <f t="shared" si="1"/>
        <v>0</v>
      </c>
      <c r="S154" s="49" t="str">
        <f>BASE!A158</f>
        <v>143</v>
      </c>
      <c r="T154" s="129" t="str">
        <f t="shared" si="2"/>
        <v>0</v>
      </c>
      <c r="U154" s="129" t="str">
        <f t="shared" si="3"/>
        <v>0</v>
      </c>
      <c r="V154" s="129" t="str">
        <f t="shared" si="4"/>
        <v>0</v>
      </c>
      <c r="W154" s="129"/>
      <c r="X154" s="129"/>
      <c r="Y154" s="113"/>
    </row>
    <row r="155" ht="20.25" customHeight="1">
      <c r="A155" s="131" t="str">
        <f>IF(BASE!B159="","",BASE!B159)</f>
        <v/>
      </c>
      <c r="B155" s="49" t="s">
        <v>122</v>
      </c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  <c r="O155" s="108"/>
      <c r="P155" s="108"/>
      <c r="Q155" s="129"/>
      <c r="R155" s="49" t="str">
        <f t="shared" si="1"/>
        <v>0</v>
      </c>
      <c r="S155" s="49" t="str">
        <f>BASE!A159</f>
        <v>144</v>
      </c>
      <c r="T155" s="129" t="str">
        <f t="shared" si="2"/>
        <v>0</v>
      </c>
      <c r="U155" s="129" t="str">
        <f t="shared" si="3"/>
        <v>0</v>
      </c>
      <c r="V155" s="129" t="str">
        <f t="shared" si="4"/>
        <v>0</v>
      </c>
      <c r="W155" s="129"/>
      <c r="X155" s="129"/>
      <c r="Y155" s="113"/>
    </row>
    <row r="156" ht="20.25" customHeight="1">
      <c r="A156" s="131" t="str">
        <f>IF(BASE!B160="","",BASE!B160)</f>
        <v/>
      </c>
      <c r="B156" s="49" t="s">
        <v>122</v>
      </c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  <c r="O156" s="108"/>
      <c r="P156" s="108"/>
      <c r="Q156" s="129"/>
      <c r="R156" s="49" t="str">
        <f t="shared" si="1"/>
        <v>0</v>
      </c>
      <c r="S156" s="49" t="str">
        <f>BASE!A160</f>
        <v>145</v>
      </c>
      <c r="T156" s="129" t="str">
        <f t="shared" si="2"/>
        <v>0</v>
      </c>
      <c r="U156" s="129" t="str">
        <f t="shared" si="3"/>
        <v>0</v>
      </c>
      <c r="V156" s="129" t="str">
        <f t="shared" si="4"/>
        <v>0</v>
      </c>
      <c r="W156" s="129"/>
      <c r="X156" s="129"/>
      <c r="Y156" s="113"/>
    </row>
    <row r="157" ht="20.25" customHeight="1">
      <c r="A157" s="131" t="str">
        <f>IF(BASE!B161="","",BASE!B161)</f>
        <v/>
      </c>
      <c r="B157" s="49" t="s">
        <v>122</v>
      </c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  <c r="O157" s="108"/>
      <c r="P157" s="108"/>
      <c r="Q157" s="129"/>
      <c r="R157" s="49" t="str">
        <f t="shared" si="1"/>
        <v>0</v>
      </c>
      <c r="S157" s="49" t="str">
        <f>BASE!A161</f>
        <v>146</v>
      </c>
      <c r="T157" s="129" t="str">
        <f t="shared" si="2"/>
        <v>0</v>
      </c>
      <c r="U157" s="129" t="str">
        <f t="shared" si="3"/>
        <v>0</v>
      </c>
      <c r="V157" s="129" t="str">
        <f t="shared" si="4"/>
        <v>0</v>
      </c>
      <c r="W157" s="129"/>
      <c r="X157" s="129"/>
      <c r="Y157" s="113"/>
    </row>
    <row r="158" ht="20.25" customHeight="1">
      <c r="A158" s="131" t="str">
        <f>IF(BASE!B162="","",BASE!B162)</f>
        <v/>
      </c>
      <c r="B158" s="49" t="s">
        <v>122</v>
      </c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  <c r="O158" s="108"/>
      <c r="P158" s="108"/>
      <c r="Q158" s="129"/>
      <c r="R158" s="49" t="str">
        <f t="shared" si="1"/>
        <v>0</v>
      </c>
      <c r="S158" s="49" t="str">
        <f>BASE!A162</f>
        <v>147</v>
      </c>
      <c r="T158" s="129" t="str">
        <f t="shared" si="2"/>
        <v>0</v>
      </c>
      <c r="U158" s="129" t="str">
        <f t="shared" si="3"/>
        <v>0</v>
      </c>
      <c r="V158" s="129" t="str">
        <f t="shared" si="4"/>
        <v>0</v>
      </c>
      <c r="W158" s="129"/>
      <c r="X158" s="129"/>
      <c r="Y158" s="113"/>
    </row>
    <row r="159" ht="20.25" customHeight="1">
      <c r="A159" s="131" t="str">
        <f>IF(BASE!B163="","",BASE!B163)</f>
        <v/>
      </c>
      <c r="B159" s="49" t="s">
        <v>122</v>
      </c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  <c r="O159" s="108"/>
      <c r="P159" s="108"/>
      <c r="Q159" s="129"/>
      <c r="R159" s="49" t="str">
        <f t="shared" si="1"/>
        <v>0</v>
      </c>
      <c r="S159" s="49" t="str">
        <f>BASE!A163</f>
        <v>148</v>
      </c>
      <c r="T159" s="129" t="str">
        <f t="shared" si="2"/>
        <v>0</v>
      </c>
      <c r="U159" s="129" t="str">
        <f t="shared" si="3"/>
        <v>0</v>
      </c>
      <c r="V159" s="129" t="str">
        <f t="shared" si="4"/>
        <v>0</v>
      </c>
      <c r="W159" s="129"/>
      <c r="X159" s="129"/>
      <c r="Y159" s="113"/>
    </row>
    <row r="160" ht="20.25" customHeight="1">
      <c r="A160" s="131" t="str">
        <f>IF(BASE!B164="","",BASE!B164)</f>
        <v/>
      </c>
      <c r="B160" s="49" t="s">
        <v>122</v>
      </c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  <c r="O160" s="108"/>
      <c r="P160" s="108"/>
      <c r="Q160" s="129"/>
      <c r="R160" s="49" t="str">
        <f t="shared" si="1"/>
        <v>0</v>
      </c>
      <c r="S160" s="49" t="str">
        <f>BASE!A164</f>
        <v>149</v>
      </c>
      <c r="T160" s="129" t="str">
        <f t="shared" si="2"/>
        <v>0</v>
      </c>
      <c r="U160" s="129" t="str">
        <f t="shared" si="3"/>
        <v>0</v>
      </c>
      <c r="V160" s="129" t="str">
        <f t="shared" si="4"/>
        <v>0</v>
      </c>
      <c r="W160" s="129"/>
      <c r="X160" s="129"/>
      <c r="Y160" s="113"/>
    </row>
    <row r="161" ht="20.25" customHeight="1">
      <c r="A161" s="131" t="str">
        <f>IF(BASE!B165="","",BASE!B165)</f>
        <v/>
      </c>
      <c r="B161" s="49" t="s">
        <v>122</v>
      </c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  <c r="O161" s="108"/>
      <c r="P161" s="108"/>
      <c r="Q161" s="129"/>
      <c r="R161" s="49" t="str">
        <f t="shared" si="1"/>
        <v>0</v>
      </c>
      <c r="S161" s="49" t="str">
        <f>BASE!A165</f>
        <v>150</v>
      </c>
      <c r="T161" s="129" t="str">
        <f t="shared" si="2"/>
        <v>0</v>
      </c>
      <c r="U161" s="129" t="str">
        <f t="shared" si="3"/>
        <v>0</v>
      </c>
      <c r="V161" s="129" t="str">
        <f t="shared" si="4"/>
        <v>0</v>
      </c>
      <c r="W161" s="129"/>
      <c r="X161" s="129"/>
      <c r="Y161" s="113"/>
    </row>
    <row r="162" ht="20.25" customHeight="1">
      <c r="A162" s="131" t="str">
        <f>IF(BASE!B166="","",BASE!B166)</f>
        <v/>
      </c>
      <c r="B162" s="49" t="s">
        <v>122</v>
      </c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  <c r="O162" s="108"/>
      <c r="P162" s="108"/>
      <c r="Q162" s="129"/>
      <c r="R162" s="49" t="str">
        <f t="shared" si="1"/>
        <v>0</v>
      </c>
      <c r="S162" s="49" t="str">
        <f>BASE!A166</f>
        <v>151</v>
      </c>
      <c r="T162" s="129" t="str">
        <f t="shared" si="2"/>
        <v>0</v>
      </c>
      <c r="U162" s="129" t="str">
        <f t="shared" si="3"/>
        <v>0</v>
      </c>
      <c r="V162" s="129" t="str">
        <f t="shared" si="4"/>
        <v>0</v>
      </c>
      <c r="W162" s="129"/>
      <c r="X162" s="129"/>
      <c r="Y162" s="113"/>
    </row>
    <row r="163" ht="20.25" customHeight="1">
      <c r="A163" s="131" t="str">
        <f>IF(BASE!B167="","",BASE!B167)</f>
        <v/>
      </c>
      <c r="B163" s="49" t="s">
        <v>122</v>
      </c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  <c r="O163" s="108"/>
      <c r="P163" s="108"/>
      <c r="Q163" s="129"/>
      <c r="R163" s="49" t="str">
        <f t="shared" si="1"/>
        <v>0</v>
      </c>
      <c r="S163" s="49" t="str">
        <f>BASE!A167</f>
        <v>152</v>
      </c>
      <c r="T163" s="129" t="str">
        <f t="shared" si="2"/>
        <v>0</v>
      </c>
      <c r="U163" s="129" t="str">
        <f t="shared" si="3"/>
        <v>0</v>
      </c>
      <c r="V163" s="129" t="str">
        <f t="shared" si="4"/>
        <v>0</v>
      </c>
      <c r="W163" s="129"/>
      <c r="X163" s="129"/>
      <c r="Y163" s="113"/>
    </row>
    <row r="164" ht="20.25" customHeight="1">
      <c r="A164" s="131" t="str">
        <f>IF(BASE!B168="","",BASE!B168)</f>
        <v/>
      </c>
      <c r="B164" s="49" t="s">
        <v>122</v>
      </c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  <c r="O164" s="108"/>
      <c r="P164" s="108"/>
      <c r="Q164" s="129"/>
      <c r="R164" s="49" t="str">
        <f t="shared" si="1"/>
        <v>0</v>
      </c>
      <c r="S164" s="49" t="str">
        <f>BASE!A168</f>
        <v>153</v>
      </c>
      <c r="T164" s="129" t="str">
        <f t="shared" si="2"/>
        <v>0</v>
      </c>
      <c r="U164" s="129" t="str">
        <f t="shared" si="3"/>
        <v>0</v>
      </c>
      <c r="V164" s="129" t="str">
        <f t="shared" si="4"/>
        <v>0</v>
      </c>
      <c r="W164" s="129"/>
      <c r="X164" s="129"/>
      <c r="Y164" s="113"/>
    </row>
    <row r="165" ht="20.25" customHeight="1">
      <c r="A165" s="131" t="str">
        <f>IF(BASE!B169="","",BASE!B169)</f>
        <v/>
      </c>
      <c r="B165" s="49" t="s">
        <v>122</v>
      </c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  <c r="O165" s="108"/>
      <c r="P165" s="108"/>
      <c r="Q165" s="129"/>
      <c r="R165" s="49" t="str">
        <f t="shared" si="1"/>
        <v>0</v>
      </c>
      <c r="S165" s="49" t="str">
        <f>BASE!A169</f>
        <v>154</v>
      </c>
      <c r="T165" s="129" t="str">
        <f t="shared" si="2"/>
        <v>0</v>
      </c>
      <c r="U165" s="129" t="str">
        <f t="shared" si="3"/>
        <v>0</v>
      </c>
      <c r="V165" s="129" t="str">
        <f t="shared" si="4"/>
        <v>0</v>
      </c>
      <c r="W165" s="129"/>
      <c r="X165" s="129"/>
      <c r="Y165" s="113"/>
    </row>
    <row r="166" ht="20.25" customHeight="1">
      <c r="A166" s="131" t="str">
        <f>IF(BASE!B170="","",BASE!B170)</f>
        <v/>
      </c>
      <c r="B166" s="49" t="s">
        <v>122</v>
      </c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  <c r="O166" s="108"/>
      <c r="P166" s="108"/>
      <c r="Q166" s="129"/>
      <c r="R166" s="49" t="str">
        <f t="shared" si="1"/>
        <v>0</v>
      </c>
      <c r="S166" s="49" t="str">
        <f>BASE!A170</f>
        <v>155</v>
      </c>
      <c r="T166" s="129" t="str">
        <f t="shared" si="2"/>
        <v>0</v>
      </c>
      <c r="U166" s="129" t="str">
        <f t="shared" si="3"/>
        <v>0</v>
      </c>
      <c r="V166" s="129" t="str">
        <f t="shared" si="4"/>
        <v>0</v>
      </c>
      <c r="W166" s="129"/>
      <c r="X166" s="129"/>
      <c r="Y166" s="113"/>
    </row>
    <row r="167" ht="20.25" customHeight="1">
      <c r="A167" s="131" t="str">
        <f>IF(BASE!B171="","",BASE!B171)</f>
        <v/>
      </c>
      <c r="B167" s="49" t="s">
        <v>122</v>
      </c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  <c r="O167" s="108"/>
      <c r="P167" s="108"/>
      <c r="Q167" s="129"/>
      <c r="R167" s="49" t="str">
        <f t="shared" si="1"/>
        <v>0</v>
      </c>
      <c r="S167" s="49" t="str">
        <f>BASE!A171</f>
        <v>156</v>
      </c>
      <c r="T167" s="129" t="str">
        <f t="shared" si="2"/>
        <v>0</v>
      </c>
      <c r="U167" s="129" t="str">
        <f t="shared" si="3"/>
        <v>0</v>
      </c>
      <c r="V167" s="129" t="str">
        <f t="shared" si="4"/>
        <v>0</v>
      </c>
      <c r="W167" s="129"/>
      <c r="X167" s="129"/>
      <c r="Y167" s="113"/>
    </row>
    <row r="168" ht="20.25" customHeight="1">
      <c r="A168" s="131" t="str">
        <f>IF(BASE!B172="","",BASE!B172)</f>
        <v/>
      </c>
      <c r="B168" s="49" t="s">
        <v>122</v>
      </c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  <c r="O168" s="108"/>
      <c r="P168" s="108"/>
      <c r="Q168" s="129"/>
      <c r="R168" s="49" t="str">
        <f t="shared" si="1"/>
        <v>0</v>
      </c>
      <c r="S168" s="49" t="str">
        <f>BASE!A172</f>
        <v>157</v>
      </c>
      <c r="T168" s="129" t="str">
        <f t="shared" si="2"/>
        <v>0</v>
      </c>
      <c r="U168" s="129" t="str">
        <f t="shared" si="3"/>
        <v>0</v>
      </c>
      <c r="V168" s="129" t="str">
        <f t="shared" si="4"/>
        <v>0</v>
      </c>
      <c r="W168" s="129"/>
      <c r="X168" s="129"/>
      <c r="Y168" s="113"/>
    </row>
    <row r="169" ht="20.25" customHeight="1">
      <c r="A169" s="131" t="str">
        <f>IF(BASE!B173="","",BASE!B173)</f>
        <v/>
      </c>
      <c r="B169" s="49" t="s">
        <v>122</v>
      </c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  <c r="O169" s="108"/>
      <c r="P169" s="108"/>
      <c r="Q169" s="129"/>
      <c r="R169" s="49" t="str">
        <f t="shared" si="1"/>
        <v>0</v>
      </c>
      <c r="S169" s="49" t="str">
        <f>BASE!A173</f>
        <v>158</v>
      </c>
      <c r="T169" s="129" t="str">
        <f t="shared" si="2"/>
        <v>0</v>
      </c>
      <c r="U169" s="129" t="str">
        <f t="shared" si="3"/>
        <v>0</v>
      </c>
      <c r="V169" s="129" t="str">
        <f t="shared" si="4"/>
        <v>0</v>
      </c>
      <c r="W169" s="129"/>
      <c r="X169" s="129"/>
      <c r="Y169" s="113"/>
    </row>
    <row r="170" ht="20.25" customHeight="1">
      <c r="A170" s="131" t="str">
        <f>IF(BASE!B174="","",BASE!B174)</f>
        <v/>
      </c>
      <c r="B170" s="49" t="s">
        <v>122</v>
      </c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  <c r="O170" s="108"/>
      <c r="P170" s="108"/>
      <c r="Q170" s="129"/>
      <c r="R170" s="49" t="str">
        <f t="shared" si="1"/>
        <v>0</v>
      </c>
      <c r="S170" s="49" t="str">
        <f>BASE!A174</f>
        <v>159</v>
      </c>
      <c r="T170" s="129" t="str">
        <f t="shared" si="2"/>
        <v>0</v>
      </c>
      <c r="U170" s="129" t="str">
        <f t="shared" si="3"/>
        <v>0</v>
      </c>
      <c r="V170" s="129" t="str">
        <f t="shared" si="4"/>
        <v>0</v>
      </c>
      <c r="W170" s="129"/>
      <c r="X170" s="129"/>
      <c r="Y170" s="113"/>
    </row>
    <row r="171" ht="20.25" customHeight="1">
      <c r="A171" s="131" t="str">
        <f>IF(BASE!B175="","",BASE!B175)</f>
        <v/>
      </c>
      <c r="B171" s="49" t="s">
        <v>122</v>
      </c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  <c r="O171" s="108"/>
      <c r="P171" s="108"/>
      <c r="Q171" s="129"/>
      <c r="R171" s="49" t="str">
        <f t="shared" si="1"/>
        <v>0</v>
      </c>
      <c r="S171" s="49" t="str">
        <f>BASE!A175</f>
        <v>160</v>
      </c>
      <c r="T171" s="129" t="str">
        <f t="shared" si="2"/>
        <v>0</v>
      </c>
      <c r="U171" s="129" t="str">
        <f t="shared" si="3"/>
        <v>0</v>
      </c>
      <c r="V171" s="129" t="str">
        <f t="shared" si="4"/>
        <v>0</v>
      </c>
      <c r="W171" s="129"/>
      <c r="X171" s="129"/>
      <c r="Y171" s="113"/>
    </row>
    <row r="172" ht="20.25" customHeight="1">
      <c r="A172" s="131" t="str">
        <f>IF(BASE!B176="","",BASE!B176)</f>
        <v/>
      </c>
      <c r="B172" s="49" t="s">
        <v>122</v>
      </c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  <c r="O172" s="108"/>
      <c r="P172" s="108"/>
      <c r="Q172" s="129"/>
      <c r="R172" s="49" t="str">
        <f t="shared" si="1"/>
        <v>0</v>
      </c>
      <c r="S172" s="49" t="str">
        <f>BASE!A176</f>
        <v>161</v>
      </c>
      <c r="T172" s="129" t="str">
        <f t="shared" si="2"/>
        <v>0</v>
      </c>
      <c r="U172" s="129" t="str">
        <f t="shared" si="3"/>
        <v>0</v>
      </c>
      <c r="V172" s="129" t="str">
        <f t="shared" si="4"/>
        <v>0</v>
      </c>
      <c r="W172" s="129"/>
      <c r="X172" s="129"/>
      <c r="Y172" s="113"/>
    </row>
    <row r="173" ht="20.25" customHeight="1">
      <c r="A173" s="131" t="str">
        <f>IF(BASE!B177="","",BASE!B177)</f>
        <v/>
      </c>
      <c r="B173" s="49" t="s">
        <v>122</v>
      </c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  <c r="O173" s="108"/>
      <c r="P173" s="108"/>
      <c r="Q173" s="129"/>
      <c r="R173" s="49" t="str">
        <f t="shared" si="1"/>
        <v>0</v>
      </c>
      <c r="S173" s="49" t="str">
        <f>BASE!A177</f>
        <v>162</v>
      </c>
      <c r="T173" s="129" t="str">
        <f t="shared" si="2"/>
        <v>0</v>
      </c>
      <c r="U173" s="129" t="str">
        <f t="shared" si="3"/>
        <v>0</v>
      </c>
      <c r="V173" s="129" t="str">
        <f t="shared" si="4"/>
        <v>0</v>
      </c>
      <c r="W173" s="129"/>
      <c r="X173" s="129"/>
      <c r="Y173" s="113"/>
    </row>
    <row r="174" ht="20.25" customHeight="1">
      <c r="A174" s="131" t="str">
        <f>IF(BASE!B178="","",BASE!B178)</f>
        <v/>
      </c>
      <c r="B174" s="49" t="s">
        <v>122</v>
      </c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  <c r="O174" s="108"/>
      <c r="P174" s="108"/>
      <c r="Q174" s="129"/>
      <c r="R174" s="49" t="str">
        <f t="shared" si="1"/>
        <v>0</v>
      </c>
      <c r="S174" s="49" t="str">
        <f>BASE!A178</f>
        <v>163</v>
      </c>
      <c r="T174" s="129" t="str">
        <f t="shared" si="2"/>
        <v>0</v>
      </c>
      <c r="U174" s="129" t="str">
        <f t="shared" si="3"/>
        <v>0</v>
      </c>
      <c r="V174" s="129" t="str">
        <f t="shared" si="4"/>
        <v>0</v>
      </c>
      <c r="W174" s="129"/>
      <c r="X174" s="129"/>
      <c r="Y174" s="113"/>
    </row>
    <row r="175" ht="20.25" customHeight="1">
      <c r="A175" s="131" t="str">
        <f>IF(BASE!B179="","",BASE!B179)</f>
        <v/>
      </c>
      <c r="B175" s="49" t="s">
        <v>122</v>
      </c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  <c r="O175" s="108"/>
      <c r="P175" s="108"/>
      <c r="Q175" s="129"/>
      <c r="R175" s="49" t="str">
        <f t="shared" si="1"/>
        <v>0</v>
      </c>
      <c r="S175" s="49" t="str">
        <f>BASE!A179</f>
        <v>164</v>
      </c>
      <c r="T175" s="129" t="str">
        <f t="shared" si="2"/>
        <v>0</v>
      </c>
      <c r="U175" s="129" t="str">
        <f t="shared" si="3"/>
        <v>0</v>
      </c>
      <c r="V175" s="129" t="str">
        <f t="shared" si="4"/>
        <v>0</v>
      </c>
      <c r="W175" s="129"/>
      <c r="X175" s="129"/>
      <c r="Y175" s="113"/>
    </row>
    <row r="176" ht="20.25" customHeight="1">
      <c r="A176" s="131" t="str">
        <f>IF(BASE!B180="","",BASE!B180)</f>
        <v/>
      </c>
      <c r="B176" s="49" t="s">
        <v>122</v>
      </c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  <c r="O176" s="108"/>
      <c r="P176" s="108"/>
      <c r="Q176" s="129"/>
      <c r="R176" s="49" t="str">
        <f t="shared" si="1"/>
        <v>0</v>
      </c>
      <c r="S176" s="49" t="str">
        <f>BASE!A180</f>
        <v>165</v>
      </c>
      <c r="T176" s="129" t="str">
        <f t="shared" si="2"/>
        <v>0</v>
      </c>
      <c r="U176" s="129" t="str">
        <f t="shared" si="3"/>
        <v>0</v>
      </c>
      <c r="V176" s="129" t="str">
        <f t="shared" si="4"/>
        <v>0</v>
      </c>
      <c r="W176" s="129"/>
      <c r="X176" s="129"/>
      <c r="Y176" s="113"/>
    </row>
    <row r="177" ht="20.25" customHeight="1">
      <c r="A177" s="131" t="str">
        <f>IF(BASE!B181="","",BASE!B181)</f>
        <v/>
      </c>
      <c r="B177" s="49" t="s">
        <v>122</v>
      </c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  <c r="O177" s="108"/>
      <c r="P177" s="108"/>
      <c r="Q177" s="129"/>
      <c r="R177" s="49" t="str">
        <f t="shared" si="1"/>
        <v>0</v>
      </c>
      <c r="S177" s="49" t="str">
        <f>BASE!A181</f>
        <v>166</v>
      </c>
      <c r="T177" s="129" t="str">
        <f t="shared" si="2"/>
        <v>0</v>
      </c>
      <c r="U177" s="129" t="str">
        <f t="shared" si="3"/>
        <v>0</v>
      </c>
      <c r="V177" s="129" t="str">
        <f t="shared" si="4"/>
        <v>0</v>
      </c>
      <c r="W177" s="129"/>
      <c r="X177" s="129"/>
      <c r="Y177" s="113"/>
    </row>
    <row r="178" ht="20.25" customHeight="1">
      <c r="A178" s="131" t="str">
        <f>IF(BASE!B182="","",BASE!B182)</f>
        <v/>
      </c>
      <c r="B178" s="49" t="s">
        <v>122</v>
      </c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  <c r="O178" s="108"/>
      <c r="P178" s="108"/>
      <c r="Q178" s="129"/>
      <c r="R178" s="49" t="str">
        <f t="shared" si="1"/>
        <v>0</v>
      </c>
      <c r="S178" s="49" t="str">
        <f>BASE!A182</f>
        <v>167</v>
      </c>
      <c r="T178" s="129" t="str">
        <f t="shared" si="2"/>
        <v>0</v>
      </c>
      <c r="U178" s="129" t="str">
        <f t="shared" si="3"/>
        <v>0</v>
      </c>
      <c r="V178" s="129" t="str">
        <f t="shared" si="4"/>
        <v>0</v>
      </c>
      <c r="W178" s="129"/>
      <c r="X178" s="129"/>
      <c r="Y178" s="113"/>
    </row>
    <row r="179" ht="20.25" customHeight="1">
      <c r="A179" s="131" t="str">
        <f>IF(BASE!B183="","",BASE!B183)</f>
        <v/>
      </c>
      <c r="B179" s="49" t="s">
        <v>122</v>
      </c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  <c r="O179" s="108"/>
      <c r="P179" s="108"/>
      <c r="Q179" s="129"/>
      <c r="R179" s="49" t="str">
        <f t="shared" si="1"/>
        <v>0</v>
      </c>
      <c r="S179" s="49" t="str">
        <f>BASE!A183</f>
        <v>168</v>
      </c>
      <c r="T179" s="129" t="str">
        <f t="shared" si="2"/>
        <v>0</v>
      </c>
      <c r="U179" s="129" t="str">
        <f t="shared" si="3"/>
        <v>0</v>
      </c>
      <c r="V179" s="129" t="str">
        <f t="shared" si="4"/>
        <v>0</v>
      </c>
      <c r="W179" s="129"/>
      <c r="X179" s="129"/>
      <c r="Y179" s="113"/>
    </row>
    <row r="180" ht="20.25" customHeight="1">
      <c r="A180" s="131" t="str">
        <f>IF(BASE!B184="","",BASE!B184)</f>
        <v/>
      </c>
      <c r="B180" s="49" t="s">
        <v>122</v>
      </c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  <c r="O180" s="108"/>
      <c r="P180" s="108"/>
      <c r="Q180" s="129"/>
      <c r="R180" s="49" t="str">
        <f t="shared" si="1"/>
        <v>0</v>
      </c>
      <c r="S180" s="49" t="str">
        <f>BASE!A184</f>
        <v>169</v>
      </c>
      <c r="T180" s="129" t="str">
        <f t="shared" si="2"/>
        <v>0</v>
      </c>
      <c r="U180" s="129" t="str">
        <f t="shared" si="3"/>
        <v>0</v>
      </c>
      <c r="V180" s="129" t="str">
        <f t="shared" si="4"/>
        <v>0</v>
      </c>
      <c r="W180" s="129"/>
      <c r="X180" s="129"/>
      <c r="Y180" s="113"/>
    </row>
    <row r="181" ht="20.25" customHeight="1">
      <c r="A181" s="131" t="str">
        <f>IF(BASE!B185="","",BASE!B185)</f>
        <v/>
      </c>
      <c r="B181" s="49" t="s">
        <v>122</v>
      </c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  <c r="O181" s="108"/>
      <c r="P181" s="108"/>
      <c r="Q181" s="129"/>
      <c r="R181" s="49" t="str">
        <f t="shared" si="1"/>
        <v>0</v>
      </c>
      <c r="S181" s="49" t="str">
        <f>BASE!A185</f>
        <v>170</v>
      </c>
      <c r="T181" s="129" t="str">
        <f t="shared" si="2"/>
        <v>0</v>
      </c>
      <c r="U181" s="129" t="str">
        <f t="shared" si="3"/>
        <v>0</v>
      </c>
      <c r="V181" s="129" t="str">
        <f t="shared" si="4"/>
        <v>0</v>
      </c>
      <c r="W181" s="129"/>
      <c r="X181" s="129"/>
      <c r="Y181" s="113"/>
    </row>
    <row r="182" ht="20.25" customHeight="1">
      <c r="A182" s="131" t="str">
        <f>IF(BASE!B186="","",BASE!B186)</f>
        <v/>
      </c>
      <c r="B182" s="49" t="s">
        <v>122</v>
      </c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  <c r="O182" s="108"/>
      <c r="P182" s="108"/>
      <c r="Q182" s="129"/>
      <c r="R182" s="49" t="str">
        <f t="shared" si="1"/>
        <v>0</v>
      </c>
      <c r="S182" s="49" t="str">
        <f>BASE!A186</f>
        <v>171</v>
      </c>
      <c r="T182" s="129" t="str">
        <f t="shared" si="2"/>
        <v>0</v>
      </c>
      <c r="U182" s="129" t="str">
        <f t="shared" si="3"/>
        <v>0</v>
      </c>
      <c r="V182" s="129" t="str">
        <f t="shared" si="4"/>
        <v>0</v>
      </c>
      <c r="W182" s="129"/>
      <c r="X182" s="129"/>
      <c r="Y182" s="113"/>
    </row>
    <row r="183" ht="20.25" customHeight="1">
      <c r="A183" s="131" t="str">
        <f>IF(BASE!B187="","",BASE!B187)</f>
        <v/>
      </c>
      <c r="B183" s="49" t="s">
        <v>122</v>
      </c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  <c r="O183" s="108"/>
      <c r="P183" s="108"/>
      <c r="Q183" s="129"/>
      <c r="R183" s="49" t="str">
        <f t="shared" si="1"/>
        <v>0</v>
      </c>
      <c r="S183" s="49" t="str">
        <f>BASE!A187</f>
        <v>172</v>
      </c>
      <c r="T183" s="129" t="str">
        <f t="shared" si="2"/>
        <v>0</v>
      </c>
      <c r="U183" s="129" t="str">
        <f t="shared" si="3"/>
        <v>0</v>
      </c>
      <c r="V183" s="129" t="str">
        <f t="shared" si="4"/>
        <v>0</v>
      </c>
      <c r="W183" s="129"/>
      <c r="X183" s="129"/>
      <c r="Y183" s="113"/>
    </row>
    <row r="184" ht="20.25" customHeight="1">
      <c r="A184" s="131" t="str">
        <f>IF(BASE!B188="","",BASE!B188)</f>
        <v/>
      </c>
      <c r="B184" s="49" t="s">
        <v>122</v>
      </c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  <c r="O184" s="108"/>
      <c r="P184" s="108"/>
      <c r="Q184" s="129"/>
      <c r="R184" s="49" t="str">
        <f t="shared" si="1"/>
        <v>0</v>
      </c>
      <c r="S184" s="49" t="str">
        <f>BASE!A188</f>
        <v>173</v>
      </c>
      <c r="T184" s="129" t="str">
        <f t="shared" si="2"/>
        <v>0</v>
      </c>
      <c r="U184" s="129" t="str">
        <f t="shared" si="3"/>
        <v>0</v>
      </c>
      <c r="V184" s="129" t="str">
        <f t="shared" si="4"/>
        <v>0</v>
      </c>
      <c r="W184" s="129"/>
      <c r="X184" s="129"/>
      <c r="Y184" s="113"/>
    </row>
    <row r="185" ht="20.25" customHeight="1">
      <c r="A185" s="131" t="str">
        <f>IF(BASE!B189="","",BASE!B189)</f>
        <v/>
      </c>
      <c r="B185" s="49" t="s">
        <v>122</v>
      </c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  <c r="O185" s="108"/>
      <c r="P185" s="108"/>
      <c r="Q185" s="129"/>
      <c r="R185" s="49" t="str">
        <f t="shared" si="1"/>
        <v>0</v>
      </c>
      <c r="S185" s="49" t="str">
        <f>BASE!A189</f>
        <v>174</v>
      </c>
      <c r="T185" s="129" t="str">
        <f t="shared" si="2"/>
        <v>0</v>
      </c>
      <c r="U185" s="129" t="str">
        <f t="shared" si="3"/>
        <v>0</v>
      </c>
      <c r="V185" s="129" t="str">
        <f t="shared" si="4"/>
        <v>0</v>
      </c>
      <c r="W185" s="129"/>
      <c r="X185" s="129"/>
      <c r="Y185" s="113"/>
    </row>
    <row r="186" ht="20.25" customHeight="1">
      <c r="A186" s="131" t="str">
        <f>IF(BASE!B190="","",BASE!B190)</f>
        <v/>
      </c>
      <c r="B186" s="49" t="s">
        <v>122</v>
      </c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  <c r="O186" s="108"/>
      <c r="P186" s="108"/>
      <c r="Q186" s="129"/>
      <c r="R186" s="49" t="str">
        <f t="shared" si="1"/>
        <v>0</v>
      </c>
      <c r="S186" s="49" t="str">
        <f>BASE!A190</f>
        <v>175</v>
      </c>
      <c r="T186" s="129" t="str">
        <f t="shared" si="2"/>
        <v>0</v>
      </c>
      <c r="U186" s="129" t="str">
        <f t="shared" si="3"/>
        <v>0</v>
      </c>
      <c r="V186" s="129" t="str">
        <f t="shared" si="4"/>
        <v>0</v>
      </c>
      <c r="W186" s="129"/>
      <c r="X186" s="129"/>
      <c r="Y186" s="113"/>
    </row>
    <row r="187" ht="20.25" customHeight="1">
      <c r="A187" s="131" t="str">
        <f>IF(BASE!B191="","",BASE!B191)</f>
        <v/>
      </c>
      <c r="B187" s="49" t="s">
        <v>122</v>
      </c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  <c r="O187" s="108"/>
      <c r="P187" s="108"/>
      <c r="Q187" s="129"/>
      <c r="R187" s="49" t="str">
        <f t="shared" si="1"/>
        <v>0</v>
      </c>
      <c r="S187" s="49" t="str">
        <f>BASE!A191</f>
        <v>176</v>
      </c>
      <c r="T187" s="129" t="str">
        <f t="shared" si="2"/>
        <v>0</v>
      </c>
      <c r="U187" s="129" t="str">
        <f t="shared" si="3"/>
        <v>0</v>
      </c>
      <c r="V187" s="129" t="str">
        <f t="shared" si="4"/>
        <v>0</v>
      </c>
      <c r="W187" s="129"/>
      <c r="X187" s="129"/>
      <c r="Y187" s="113"/>
    </row>
    <row r="188" ht="20.25" customHeight="1">
      <c r="A188" s="131" t="str">
        <f>IF(BASE!B192="","",BASE!B192)</f>
        <v/>
      </c>
      <c r="B188" s="49" t="s">
        <v>122</v>
      </c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29"/>
      <c r="R188" s="49" t="str">
        <f t="shared" si="1"/>
        <v>0</v>
      </c>
      <c r="S188" s="49" t="str">
        <f>BASE!A192</f>
        <v>177</v>
      </c>
      <c r="T188" s="129" t="str">
        <f t="shared" si="2"/>
        <v>0</v>
      </c>
      <c r="U188" s="129" t="str">
        <f t="shared" si="3"/>
        <v>0</v>
      </c>
      <c r="V188" s="129" t="str">
        <f t="shared" si="4"/>
        <v>0</v>
      </c>
      <c r="W188" s="129"/>
      <c r="X188" s="129"/>
      <c r="Y188" s="113"/>
    </row>
    <row r="189" ht="20.25" customHeight="1">
      <c r="A189" s="131" t="str">
        <f>IF(BASE!B193="","",BASE!B193)</f>
        <v/>
      </c>
      <c r="B189" s="49" t="s">
        <v>122</v>
      </c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  <c r="O189" s="108"/>
      <c r="P189" s="108"/>
      <c r="Q189" s="129"/>
      <c r="R189" s="49" t="str">
        <f t="shared" si="1"/>
        <v>0</v>
      </c>
      <c r="S189" s="49" t="str">
        <f>BASE!A193</f>
        <v>178</v>
      </c>
      <c r="T189" s="129" t="str">
        <f t="shared" si="2"/>
        <v>0</v>
      </c>
      <c r="U189" s="129" t="str">
        <f t="shared" si="3"/>
        <v>0</v>
      </c>
      <c r="V189" s="129" t="str">
        <f t="shared" si="4"/>
        <v>0</v>
      </c>
      <c r="W189" s="129"/>
      <c r="X189" s="129"/>
      <c r="Y189" s="113"/>
    </row>
    <row r="190" ht="20.25" customHeight="1">
      <c r="A190" s="131" t="str">
        <f>IF(BASE!B194="","",BASE!B194)</f>
        <v/>
      </c>
      <c r="B190" s="49" t="s">
        <v>122</v>
      </c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  <c r="O190" s="108"/>
      <c r="P190" s="108"/>
      <c r="Q190" s="129"/>
      <c r="R190" s="49" t="str">
        <f t="shared" si="1"/>
        <v>0</v>
      </c>
      <c r="S190" s="49" t="str">
        <f>BASE!A194</f>
        <v>179</v>
      </c>
      <c r="T190" s="129" t="str">
        <f t="shared" si="2"/>
        <v>0</v>
      </c>
      <c r="U190" s="129" t="str">
        <f t="shared" si="3"/>
        <v>0</v>
      </c>
      <c r="V190" s="129" t="str">
        <f t="shared" si="4"/>
        <v>0</v>
      </c>
      <c r="W190" s="129"/>
      <c r="X190" s="129"/>
      <c r="Y190" s="113"/>
    </row>
    <row r="191" ht="20.25" customHeight="1">
      <c r="A191" s="131" t="str">
        <f>IF(BASE!B195="","",BASE!B195)</f>
        <v/>
      </c>
      <c r="B191" s="49" t="s">
        <v>122</v>
      </c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  <c r="O191" s="108"/>
      <c r="P191" s="108"/>
      <c r="Q191" s="129"/>
      <c r="R191" s="49" t="str">
        <f t="shared" si="1"/>
        <v>0</v>
      </c>
      <c r="S191" s="49" t="str">
        <f>BASE!A195</f>
        <v>180</v>
      </c>
      <c r="T191" s="129" t="str">
        <f t="shared" si="2"/>
        <v>0</v>
      </c>
      <c r="U191" s="129" t="str">
        <f t="shared" si="3"/>
        <v>0</v>
      </c>
      <c r="V191" s="129" t="str">
        <f t="shared" si="4"/>
        <v>0</v>
      </c>
      <c r="W191" s="129"/>
      <c r="X191" s="129"/>
      <c r="Y191" s="113"/>
    </row>
    <row r="192" ht="20.25" customHeight="1">
      <c r="A192" s="131" t="str">
        <f>IF(BASE!B196="","",BASE!B196)</f>
        <v/>
      </c>
      <c r="B192" s="49" t="s">
        <v>122</v>
      </c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  <c r="O192" s="108"/>
      <c r="P192" s="108"/>
      <c r="Q192" s="129"/>
      <c r="R192" s="49" t="str">
        <f t="shared" si="1"/>
        <v>0</v>
      </c>
      <c r="S192" s="49" t="str">
        <f>BASE!A196</f>
        <v>181</v>
      </c>
      <c r="T192" s="129" t="str">
        <f t="shared" si="2"/>
        <v>0</v>
      </c>
      <c r="U192" s="129" t="str">
        <f t="shared" si="3"/>
        <v>0</v>
      </c>
      <c r="V192" s="129" t="str">
        <f t="shared" si="4"/>
        <v>0</v>
      </c>
      <c r="W192" s="129"/>
      <c r="X192" s="129"/>
      <c r="Y192" s="113"/>
    </row>
    <row r="193" ht="20.25" customHeight="1">
      <c r="A193" s="131" t="str">
        <f>IF(BASE!B197="","",BASE!B197)</f>
        <v/>
      </c>
      <c r="B193" s="49" t="s">
        <v>122</v>
      </c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  <c r="O193" s="108"/>
      <c r="P193" s="108"/>
      <c r="Q193" s="129"/>
      <c r="R193" s="49" t="str">
        <f t="shared" si="1"/>
        <v>0</v>
      </c>
      <c r="S193" s="49" t="str">
        <f>BASE!A197</f>
        <v>182</v>
      </c>
      <c r="T193" s="129" t="str">
        <f t="shared" si="2"/>
        <v>0</v>
      </c>
      <c r="U193" s="129" t="str">
        <f t="shared" si="3"/>
        <v>0</v>
      </c>
      <c r="V193" s="129" t="str">
        <f t="shared" si="4"/>
        <v>0</v>
      </c>
      <c r="W193" s="129"/>
      <c r="X193" s="129"/>
      <c r="Y193" s="113"/>
    </row>
    <row r="194" ht="20.25" customHeight="1">
      <c r="A194" s="131" t="str">
        <f>IF(BASE!B198="","",BASE!B198)</f>
        <v/>
      </c>
      <c r="B194" s="49" t="s">
        <v>122</v>
      </c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  <c r="O194" s="108"/>
      <c r="P194" s="108"/>
      <c r="Q194" s="129"/>
      <c r="R194" s="49" t="str">
        <f t="shared" si="1"/>
        <v>0</v>
      </c>
      <c r="S194" s="49" t="str">
        <f>BASE!A198</f>
        <v>183</v>
      </c>
      <c r="T194" s="129" t="str">
        <f t="shared" si="2"/>
        <v>0</v>
      </c>
      <c r="U194" s="129" t="str">
        <f t="shared" si="3"/>
        <v>0</v>
      </c>
      <c r="V194" s="129" t="str">
        <f t="shared" si="4"/>
        <v>0</v>
      </c>
      <c r="W194" s="129"/>
      <c r="X194" s="129"/>
      <c r="Y194" s="113"/>
    </row>
    <row r="195" ht="20.25" customHeight="1">
      <c r="A195" s="131" t="str">
        <f>IF(BASE!B199="","",BASE!B199)</f>
        <v/>
      </c>
      <c r="B195" s="49" t="s">
        <v>122</v>
      </c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  <c r="O195" s="108"/>
      <c r="P195" s="108"/>
      <c r="Q195" s="129"/>
      <c r="R195" s="49" t="str">
        <f t="shared" si="1"/>
        <v>0</v>
      </c>
      <c r="S195" s="49" t="str">
        <f>BASE!A199</f>
        <v>184</v>
      </c>
      <c r="T195" s="129" t="str">
        <f t="shared" si="2"/>
        <v>0</v>
      </c>
      <c r="U195" s="129" t="str">
        <f t="shared" si="3"/>
        <v>0</v>
      </c>
      <c r="V195" s="129" t="str">
        <f t="shared" si="4"/>
        <v>0</v>
      </c>
      <c r="W195" s="129"/>
      <c r="X195" s="129"/>
      <c r="Y195" s="113"/>
    </row>
    <row r="196" ht="20.25" customHeight="1">
      <c r="A196" s="131" t="str">
        <f>IF(BASE!B200="","",BASE!B200)</f>
        <v/>
      </c>
      <c r="B196" s="49" t="s">
        <v>122</v>
      </c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  <c r="O196" s="108"/>
      <c r="P196" s="108"/>
      <c r="Q196" s="129"/>
      <c r="R196" s="49" t="str">
        <f t="shared" si="1"/>
        <v>0</v>
      </c>
      <c r="S196" s="49" t="str">
        <f>BASE!A200</f>
        <v>185</v>
      </c>
      <c r="T196" s="129" t="str">
        <f t="shared" si="2"/>
        <v>0</v>
      </c>
      <c r="U196" s="129" t="str">
        <f t="shared" si="3"/>
        <v>0</v>
      </c>
      <c r="V196" s="129" t="str">
        <f t="shared" si="4"/>
        <v>0</v>
      </c>
      <c r="W196" s="129"/>
      <c r="X196" s="129"/>
      <c r="Y196" s="113"/>
    </row>
    <row r="197" ht="20.25" customHeight="1">
      <c r="A197" s="131" t="str">
        <f>IF(BASE!B201="","",BASE!B201)</f>
        <v/>
      </c>
      <c r="B197" s="49" t="s">
        <v>122</v>
      </c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  <c r="O197" s="108"/>
      <c r="P197" s="108"/>
      <c r="Q197" s="129"/>
      <c r="R197" s="49" t="str">
        <f t="shared" si="1"/>
        <v>0</v>
      </c>
      <c r="S197" s="49" t="str">
        <f>BASE!A201</f>
        <v>186</v>
      </c>
      <c r="T197" s="129" t="str">
        <f t="shared" si="2"/>
        <v>0</v>
      </c>
      <c r="U197" s="129" t="str">
        <f t="shared" si="3"/>
        <v>0</v>
      </c>
      <c r="V197" s="129" t="str">
        <f t="shared" si="4"/>
        <v>0</v>
      </c>
      <c r="W197" s="129"/>
      <c r="X197" s="129"/>
      <c r="Y197" s="113"/>
    </row>
    <row r="198" ht="20.25" customHeight="1">
      <c r="A198" s="131" t="str">
        <f>IF(BASE!B202="","",BASE!B202)</f>
        <v/>
      </c>
      <c r="B198" s="49" t="s">
        <v>122</v>
      </c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  <c r="O198" s="108"/>
      <c r="P198" s="108"/>
      <c r="Q198" s="129"/>
      <c r="R198" s="49" t="str">
        <f t="shared" si="1"/>
        <v>0</v>
      </c>
      <c r="S198" s="49" t="str">
        <f>BASE!A202</f>
        <v>187</v>
      </c>
      <c r="T198" s="129" t="str">
        <f t="shared" si="2"/>
        <v>0</v>
      </c>
      <c r="U198" s="129" t="str">
        <f t="shared" si="3"/>
        <v>0</v>
      </c>
      <c r="V198" s="129" t="str">
        <f t="shared" si="4"/>
        <v>0</v>
      </c>
      <c r="W198" s="129"/>
      <c r="X198" s="129"/>
      <c r="Y198" s="113"/>
    </row>
    <row r="199" ht="20.25" customHeight="1">
      <c r="A199" s="131" t="str">
        <f>IF(BASE!B203="","",BASE!B203)</f>
        <v/>
      </c>
      <c r="B199" s="49" t="s">
        <v>122</v>
      </c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  <c r="O199" s="108"/>
      <c r="P199" s="108"/>
      <c r="Q199" s="129"/>
      <c r="R199" s="49" t="str">
        <f t="shared" si="1"/>
        <v>0</v>
      </c>
      <c r="S199" s="49" t="str">
        <f>BASE!A203</f>
        <v>188</v>
      </c>
      <c r="T199" s="129" t="str">
        <f t="shared" si="2"/>
        <v>0</v>
      </c>
      <c r="U199" s="129" t="str">
        <f t="shared" si="3"/>
        <v>0</v>
      </c>
      <c r="V199" s="129" t="str">
        <f t="shared" si="4"/>
        <v>0</v>
      </c>
      <c r="W199" s="129"/>
      <c r="X199" s="129"/>
      <c r="Y199" s="113"/>
    </row>
    <row r="200" ht="20.25" customHeight="1">
      <c r="A200" s="131" t="str">
        <f>IF(BASE!B204="","",BASE!B204)</f>
        <v/>
      </c>
      <c r="B200" s="49" t="s">
        <v>122</v>
      </c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  <c r="O200" s="108"/>
      <c r="P200" s="108"/>
      <c r="Q200" s="129"/>
      <c r="R200" s="49" t="str">
        <f t="shared" si="1"/>
        <v>0</v>
      </c>
      <c r="S200" s="49" t="str">
        <f>BASE!A204</f>
        <v>189</v>
      </c>
      <c r="T200" s="129" t="str">
        <f t="shared" si="2"/>
        <v>0</v>
      </c>
      <c r="U200" s="129" t="str">
        <f t="shared" si="3"/>
        <v>0</v>
      </c>
      <c r="V200" s="129" t="str">
        <f t="shared" si="4"/>
        <v>0</v>
      </c>
      <c r="W200" s="129"/>
      <c r="X200" s="129"/>
      <c r="Y200" s="113"/>
    </row>
    <row r="201" ht="20.25" customHeight="1">
      <c r="A201" s="131" t="str">
        <f>IF(BASE!B205="","",BASE!B205)</f>
        <v/>
      </c>
      <c r="B201" s="49" t="s">
        <v>122</v>
      </c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  <c r="O201" s="108"/>
      <c r="P201" s="108"/>
      <c r="Q201" s="129"/>
      <c r="R201" s="49" t="str">
        <f t="shared" si="1"/>
        <v>0</v>
      </c>
      <c r="S201" s="49" t="str">
        <f>BASE!A205</f>
        <v>190</v>
      </c>
      <c r="T201" s="129" t="str">
        <f t="shared" si="2"/>
        <v>0</v>
      </c>
      <c r="U201" s="129" t="str">
        <f t="shared" si="3"/>
        <v>0</v>
      </c>
      <c r="V201" s="129" t="str">
        <f t="shared" si="4"/>
        <v>0</v>
      </c>
      <c r="W201" s="129"/>
      <c r="X201" s="129"/>
      <c r="Y201" s="113"/>
    </row>
    <row r="202" ht="20.25" customHeight="1">
      <c r="A202" s="131" t="str">
        <f>IF(BASE!B206="","",BASE!B206)</f>
        <v/>
      </c>
      <c r="B202" s="49" t="s">
        <v>122</v>
      </c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  <c r="O202" s="108"/>
      <c r="P202" s="108"/>
      <c r="Q202" s="129"/>
      <c r="R202" s="49" t="str">
        <f t="shared" si="1"/>
        <v>0</v>
      </c>
      <c r="S202" s="49" t="str">
        <f>BASE!A206</f>
        <v>191</v>
      </c>
      <c r="T202" s="129" t="str">
        <f t="shared" si="2"/>
        <v>0</v>
      </c>
      <c r="U202" s="129" t="str">
        <f t="shared" si="3"/>
        <v>0</v>
      </c>
      <c r="V202" s="129" t="str">
        <f t="shared" si="4"/>
        <v>0</v>
      </c>
      <c r="W202" s="129"/>
      <c r="X202" s="129"/>
      <c r="Y202" s="113"/>
    </row>
    <row r="203" ht="20.25" customHeight="1">
      <c r="A203" s="131" t="str">
        <f>IF(BASE!B207="","",BASE!B207)</f>
        <v/>
      </c>
      <c r="B203" s="49" t="s">
        <v>122</v>
      </c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  <c r="O203" s="108"/>
      <c r="P203" s="108"/>
      <c r="Q203" s="129"/>
      <c r="R203" s="49" t="str">
        <f t="shared" si="1"/>
        <v>0</v>
      </c>
      <c r="S203" s="49" t="str">
        <f>BASE!A207</f>
        <v>192</v>
      </c>
      <c r="T203" s="129" t="str">
        <f t="shared" si="2"/>
        <v>0</v>
      </c>
      <c r="U203" s="129" t="str">
        <f t="shared" si="3"/>
        <v>0</v>
      </c>
      <c r="V203" s="129" t="str">
        <f t="shared" si="4"/>
        <v>0</v>
      </c>
      <c r="W203" s="129"/>
      <c r="X203" s="129"/>
      <c r="Y203" s="113"/>
    </row>
    <row r="204" ht="20.25" customHeight="1">
      <c r="A204" s="131" t="str">
        <f>IF(BASE!B208="","",BASE!B208)</f>
        <v/>
      </c>
      <c r="B204" s="49" t="s">
        <v>122</v>
      </c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  <c r="O204" s="108"/>
      <c r="P204" s="108"/>
      <c r="Q204" s="129"/>
      <c r="R204" s="49" t="str">
        <f t="shared" si="1"/>
        <v>0</v>
      </c>
      <c r="S204" s="49" t="str">
        <f>BASE!A208</f>
        <v>193</v>
      </c>
      <c r="T204" s="129" t="str">
        <f t="shared" si="2"/>
        <v>0</v>
      </c>
      <c r="U204" s="129" t="str">
        <f t="shared" si="3"/>
        <v>0</v>
      </c>
      <c r="V204" s="129" t="str">
        <f t="shared" si="4"/>
        <v>0</v>
      </c>
      <c r="W204" s="129"/>
      <c r="X204" s="129"/>
      <c r="Y204" s="113"/>
    </row>
    <row r="205" ht="20.25" customHeight="1">
      <c r="A205" s="131" t="str">
        <f>IF(BASE!B209="","",BASE!B209)</f>
        <v/>
      </c>
      <c r="B205" s="49" t="s">
        <v>122</v>
      </c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  <c r="O205" s="108"/>
      <c r="P205" s="108"/>
      <c r="Q205" s="129"/>
      <c r="R205" s="49" t="str">
        <f t="shared" si="1"/>
        <v>0</v>
      </c>
      <c r="S205" s="49" t="str">
        <f>BASE!A209</f>
        <v>194</v>
      </c>
      <c r="T205" s="129" t="str">
        <f t="shared" si="2"/>
        <v>0</v>
      </c>
      <c r="U205" s="129" t="str">
        <f t="shared" si="3"/>
        <v>0</v>
      </c>
      <c r="V205" s="129" t="str">
        <f t="shared" si="4"/>
        <v>0</v>
      </c>
      <c r="W205" s="129"/>
      <c r="X205" s="129"/>
      <c r="Y205" s="113"/>
    </row>
    <row r="206" ht="20.25" customHeight="1">
      <c r="A206" s="131" t="str">
        <f>IF(BASE!B210="","",BASE!B210)</f>
        <v/>
      </c>
      <c r="B206" s="49" t="s">
        <v>122</v>
      </c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  <c r="O206" s="108"/>
      <c r="P206" s="108"/>
      <c r="Q206" s="129"/>
      <c r="R206" s="49" t="str">
        <f t="shared" si="1"/>
        <v>0</v>
      </c>
      <c r="S206" s="49" t="str">
        <f>BASE!A210</f>
        <v>195</v>
      </c>
      <c r="T206" s="129" t="str">
        <f t="shared" si="2"/>
        <v>0</v>
      </c>
      <c r="U206" s="129" t="str">
        <f t="shared" si="3"/>
        <v>0</v>
      </c>
      <c r="V206" s="129" t="str">
        <f t="shared" si="4"/>
        <v>0</v>
      </c>
      <c r="W206" s="129"/>
      <c r="X206" s="129"/>
      <c r="Y206" s="113"/>
    </row>
    <row r="207" ht="20.25" customHeight="1">
      <c r="A207" s="131" t="str">
        <f>IF(BASE!B211="","",BASE!B211)</f>
        <v/>
      </c>
      <c r="B207" s="49" t="s">
        <v>122</v>
      </c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  <c r="O207" s="108"/>
      <c r="P207" s="108"/>
      <c r="Q207" s="129"/>
      <c r="R207" s="49" t="str">
        <f t="shared" si="1"/>
        <v>0</v>
      </c>
      <c r="S207" s="49" t="str">
        <f>BASE!A211</f>
        <v>196</v>
      </c>
      <c r="T207" s="129" t="str">
        <f t="shared" si="2"/>
        <v>0</v>
      </c>
      <c r="U207" s="129" t="str">
        <f t="shared" si="3"/>
        <v>0</v>
      </c>
      <c r="V207" s="129" t="str">
        <f t="shared" si="4"/>
        <v>0</v>
      </c>
      <c r="W207" s="129"/>
      <c r="X207" s="129"/>
      <c r="Y207" s="113"/>
    </row>
    <row r="208" ht="20.25" customHeight="1">
      <c r="A208" s="131" t="str">
        <f>IF(BASE!B212="","",BASE!B212)</f>
        <v/>
      </c>
      <c r="B208" s="49" t="s">
        <v>122</v>
      </c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  <c r="O208" s="108"/>
      <c r="P208" s="108"/>
      <c r="Q208" s="129"/>
      <c r="R208" s="49" t="str">
        <f t="shared" si="1"/>
        <v>0</v>
      </c>
      <c r="S208" s="49" t="str">
        <f>BASE!A212</f>
        <v>197</v>
      </c>
      <c r="T208" s="129" t="str">
        <f t="shared" si="2"/>
        <v>0</v>
      </c>
      <c r="U208" s="129" t="str">
        <f t="shared" si="3"/>
        <v>0</v>
      </c>
      <c r="V208" s="129" t="str">
        <f t="shared" si="4"/>
        <v>0</v>
      </c>
      <c r="W208" s="129"/>
      <c r="X208" s="129"/>
      <c r="Y208" s="113"/>
    </row>
    <row r="209" ht="20.25" customHeight="1">
      <c r="A209" s="131" t="str">
        <f>IF(BASE!B213="","",BASE!B213)</f>
        <v/>
      </c>
      <c r="B209" s="49" t="s">
        <v>122</v>
      </c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  <c r="O209" s="108"/>
      <c r="P209" s="108"/>
      <c r="Q209" s="129"/>
      <c r="R209" s="49" t="str">
        <f t="shared" si="1"/>
        <v>0</v>
      </c>
      <c r="S209" s="49" t="str">
        <f>BASE!A213</f>
        <v>198</v>
      </c>
      <c r="T209" s="129" t="str">
        <f t="shared" si="2"/>
        <v>0</v>
      </c>
      <c r="U209" s="129" t="str">
        <f t="shared" si="3"/>
        <v>0</v>
      </c>
      <c r="V209" s="129" t="str">
        <f t="shared" si="4"/>
        <v>0</v>
      </c>
      <c r="W209" s="129"/>
      <c r="X209" s="129"/>
      <c r="Y209" s="113"/>
    </row>
    <row r="210" ht="20.25" customHeight="1">
      <c r="A210" s="131" t="str">
        <f>IF(BASE!B214="","",BASE!B214)</f>
        <v/>
      </c>
      <c r="B210" s="49" t="s">
        <v>122</v>
      </c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  <c r="O210" s="108"/>
      <c r="P210" s="108"/>
      <c r="Q210" s="129"/>
      <c r="R210" s="49" t="str">
        <f t="shared" si="1"/>
        <v>0</v>
      </c>
      <c r="S210" s="49" t="str">
        <f>BASE!A214</f>
        <v>199</v>
      </c>
      <c r="T210" s="129" t="str">
        <f t="shared" si="2"/>
        <v>0</v>
      </c>
      <c r="U210" s="129" t="str">
        <f t="shared" si="3"/>
        <v>0</v>
      </c>
      <c r="V210" s="129" t="str">
        <f t="shared" si="4"/>
        <v>0</v>
      </c>
      <c r="W210" s="129"/>
      <c r="X210" s="129"/>
      <c r="Y210" s="113"/>
    </row>
    <row r="211" ht="20.25" customHeight="1">
      <c r="A211" s="131" t="str">
        <f>IF(BASE!B215="","",BASE!B215)</f>
        <v/>
      </c>
      <c r="B211" s="49" t="s">
        <v>122</v>
      </c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  <c r="O211" s="108"/>
      <c r="P211" s="108"/>
      <c r="Q211" s="129"/>
      <c r="R211" s="49" t="str">
        <f t="shared" si="1"/>
        <v>0</v>
      </c>
      <c r="S211" s="49" t="str">
        <f>BASE!A215</f>
        <v>200</v>
      </c>
      <c r="T211" s="129" t="str">
        <f t="shared" si="2"/>
        <v>0</v>
      </c>
      <c r="U211" s="129" t="str">
        <f t="shared" si="3"/>
        <v>0</v>
      </c>
      <c r="V211" s="129" t="str">
        <f t="shared" si="4"/>
        <v>0</v>
      </c>
      <c r="W211" s="129"/>
      <c r="X211" s="129"/>
      <c r="Y211" s="113"/>
    </row>
    <row r="212" ht="20.25" customHeight="1">
      <c r="A212" s="131" t="str">
        <f>IF(BASE!B216="","",BASE!B216)</f>
        <v/>
      </c>
      <c r="B212" s="49" t="s">
        <v>122</v>
      </c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  <c r="O212" s="108"/>
      <c r="P212" s="108"/>
      <c r="Q212" s="129"/>
      <c r="R212" s="49" t="str">
        <f t="shared" si="1"/>
        <v>0</v>
      </c>
      <c r="S212" s="49" t="str">
        <f>BASE!A216</f>
        <v>201</v>
      </c>
      <c r="T212" s="129" t="str">
        <f t="shared" si="2"/>
        <v>0</v>
      </c>
      <c r="U212" s="129" t="str">
        <f t="shared" si="3"/>
        <v>0</v>
      </c>
      <c r="V212" s="129" t="str">
        <f t="shared" si="4"/>
        <v>0</v>
      </c>
      <c r="W212" s="129"/>
      <c r="X212" s="129"/>
      <c r="Y212" s="113"/>
    </row>
    <row r="213" ht="20.25" customHeight="1">
      <c r="A213" s="131" t="str">
        <f>IF(BASE!B217="","",BASE!B217)</f>
        <v/>
      </c>
      <c r="B213" s="49" t="s">
        <v>122</v>
      </c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  <c r="O213" s="108"/>
      <c r="P213" s="108"/>
      <c r="Q213" s="129"/>
      <c r="R213" s="49" t="str">
        <f t="shared" si="1"/>
        <v>0</v>
      </c>
      <c r="S213" s="49" t="str">
        <f>BASE!A217</f>
        <v>202</v>
      </c>
      <c r="T213" s="129" t="str">
        <f t="shared" si="2"/>
        <v>0</v>
      </c>
      <c r="U213" s="129" t="str">
        <f t="shared" si="3"/>
        <v>0</v>
      </c>
      <c r="V213" s="129" t="str">
        <f t="shared" si="4"/>
        <v>0</v>
      </c>
      <c r="W213" s="129"/>
      <c r="X213" s="129"/>
      <c r="Y213" s="113"/>
    </row>
    <row r="214" ht="20.25" customHeight="1">
      <c r="A214" s="131" t="str">
        <f>IF(BASE!B218="","",BASE!B218)</f>
        <v/>
      </c>
      <c r="B214" s="49" t="s">
        <v>122</v>
      </c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  <c r="O214" s="108"/>
      <c r="P214" s="108"/>
      <c r="Q214" s="129"/>
      <c r="R214" s="49" t="str">
        <f t="shared" si="1"/>
        <v>0</v>
      </c>
      <c r="S214" s="49" t="str">
        <f>BASE!A218</f>
        <v>203</v>
      </c>
      <c r="T214" s="129" t="str">
        <f t="shared" si="2"/>
        <v>0</v>
      </c>
      <c r="U214" s="129" t="str">
        <f t="shared" si="3"/>
        <v>0</v>
      </c>
      <c r="V214" s="129" t="str">
        <f t="shared" si="4"/>
        <v>0</v>
      </c>
      <c r="W214" s="129"/>
      <c r="X214" s="129"/>
      <c r="Y214" s="113"/>
    </row>
    <row r="215" ht="20.25" customHeight="1">
      <c r="A215" s="131" t="str">
        <f>IF(BASE!B219="","",BASE!B219)</f>
        <v/>
      </c>
      <c r="B215" s="49" t="s">
        <v>122</v>
      </c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  <c r="O215" s="108"/>
      <c r="P215" s="108"/>
      <c r="Q215" s="129"/>
      <c r="R215" s="49" t="str">
        <f t="shared" si="1"/>
        <v>0</v>
      </c>
      <c r="S215" s="49" t="str">
        <f>BASE!A219</f>
        <v>204</v>
      </c>
      <c r="T215" s="129" t="str">
        <f t="shared" si="2"/>
        <v>0</v>
      </c>
      <c r="U215" s="129" t="str">
        <f t="shared" si="3"/>
        <v>0</v>
      </c>
      <c r="V215" s="129" t="str">
        <f t="shared" si="4"/>
        <v>0</v>
      </c>
      <c r="W215" s="129"/>
      <c r="X215" s="129"/>
      <c r="Y215" s="113"/>
    </row>
    <row r="216" ht="20.25" customHeight="1">
      <c r="A216" s="131" t="str">
        <f>IF(BASE!B220="","",BASE!B220)</f>
        <v/>
      </c>
      <c r="B216" s="49" t="s">
        <v>122</v>
      </c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  <c r="O216" s="108"/>
      <c r="P216" s="108"/>
      <c r="Q216" s="129"/>
      <c r="R216" s="49" t="str">
        <f t="shared" si="1"/>
        <v>0</v>
      </c>
      <c r="S216" s="49" t="str">
        <f>BASE!A220</f>
        <v>205</v>
      </c>
      <c r="T216" s="129" t="str">
        <f t="shared" si="2"/>
        <v>0</v>
      </c>
      <c r="U216" s="129" t="str">
        <f t="shared" si="3"/>
        <v>0</v>
      </c>
      <c r="V216" s="129" t="str">
        <f t="shared" si="4"/>
        <v>0</v>
      </c>
      <c r="W216" s="129"/>
      <c r="X216" s="129"/>
      <c r="Y216" s="113"/>
    </row>
    <row r="217" ht="20.25" customHeight="1">
      <c r="A217" s="131" t="str">
        <f>IF(BASE!B221="","",BASE!B221)</f>
        <v/>
      </c>
      <c r="B217" s="49" t="s">
        <v>122</v>
      </c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  <c r="O217" s="108"/>
      <c r="P217" s="108"/>
      <c r="Q217" s="129"/>
      <c r="R217" s="49" t="str">
        <f t="shared" si="1"/>
        <v>0</v>
      </c>
      <c r="S217" s="49" t="str">
        <f>BASE!A221</f>
        <v>206</v>
      </c>
      <c r="T217" s="129" t="str">
        <f t="shared" si="2"/>
        <v>0</v>
      </c>
      <c r="U217" s="129" t="str">
        <f t="shared" si="3"/>
        <v>0</v>
      </c>
      <c r="V217" s="129" t="str">
        <f t="shared" si="4"/>
        <v>0</v>
      </c>
      <c r="W217" s="129"/>
      <c r="X217" s="129"/>
      <c r="Y217" s="113"/>
    </row>
    <row r="218" ht="20.25" customHeight="1">
      <c r="A218" s="131" t="str">
        <f>IF(BASE!B222="","",BASE!B222)</f>
        <v/>
      </c>
      <c r="B218" s="49" t="s">
        <v>122</v>
      </c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  <c r="O218" s="108"/>
      <c r="P218" s="108"/>
      <c r="Q218" s="129"/>
      <c r="R218" s="49" t="str">
        <f t="shared" si="1"/>
        <v>0</v>
      </c>
      <c r="S218" s="49" t="str">
        <f>BASE!A222</f>
        <v>207</v>
      </c>
      <c r="T218" s="129" t="str">
        <f t="shared" si="2"/>
        <v>0</v>
      </c>
      <c r="U218" s="129" t="str">
        <f t="shared" si="3"/>
        <v>0</v>
      </c>
      <c r="V218" s="129" t="str">
        <f t="shared" si="4"/>
        <v>0</v>
      </c>
      <c r="W218" s="129"/>
      <c r="X218" s="129"/>
      <c r="Y218" s="113"/>
    </row>
    <row r="219" ht="20.25" customHeight="1">
      <c r="A219" s="131" t="str">
        <f>IF(BASE!B223="","",BASE!B223)</f>
        <v/>
      </c>
      <c r="B219" s="49" t="s">
        <v>122</v>
      </c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  <c r="O219" s="108"/>
      <c r="P219" s="108"/>
      <c r="Q219" s="129"/>
      <c r="R219" s="49" t="str">
        <f t="shared" si="1"/>
        <v>0</v>
      </c>
      <c r="S219" s="49" t="str">
        <f>BASE!A223</f>
        <v>208</v>
      </c>
      <c r="T219" s="129" t="str">
        <f t="shared" si="2"/>
        <v>0</v>
      </c>
      <c r="U219" s="129" t="str">
        <f t="shared" si="3"/>
        <v>0</v>
      </c>
      <c r="V219" s="129" t="str">
        <f t="shared" si="4"/>
        <v>0</v>
      </c>
      <c r="W219" s="129"/>
      <c r="X219" s="129"/>
      <c r="Y219" s="113"/>
    </row>
    <row r="220" ht="20.25" customHeight="1">
      <c r="A220" s="131" t="str">
        <f>IF(BASE!B224="","",BASE!B224)</f>
        <v/>
      </c>
      <c r="B220" s="49" t="s">
        <v>122</v>
      </c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  <c r="O220" s="108"/>
      <c r="P220" s="108"/>
      <c r="Q220" s="129"/>
      <c r="R220" s="49" t="str">
        <f t="shared" si="1"/>
        <v>0</v>
      </c>
      <c r="S220" s="49" t="str">
        <f>BASE!A224</f>
        <v>209</v>
      </c>
      <c r="T220" s="129" t="str">
        <f t="shared" si="2"/>
        <v>0</v>
      </c>
      <c r="U220" s="129" t="str">
        <f t="shared" si="3"/>
        <v>0</v>
      </c>
      <c r="V220" s="129" t="str">
        <f t="shared" si="4"/>
        <v>0</v>
      </c>
      <c r="W220" s="129"/>
      <c r="X220" s="129"/>
      <c r="Y220" s="113"/>
    </row>
    <row r="221" ht="20.25" customHeight="1">
      <c r="A221" s="131" t="str">
        <f>IF(BASE!B225="","",BASE!B225)</f>
        <v/>
      </c>
      <c r="B221" s="49" t="s">
        <v>122</v>
      </c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  <c r="N221" s="108"/>
      <c r="O221" s="108"/>
      <c r="P221" s="108"/>
      <c r="Q221" s="129"/>
      <c r="R221" s="49" t="str">
        <f t="shared" si="1"/>
        <v>0</v>
      </c>
      <c r="S221" s="49" t="str">
        <f>BASE!A225</f>
        <v>210</v>
      </c>
      <c r="T221" s="129" t="str">
        <f t="shared" si="2"/>
        <v>0</v>
      </c>
      <c r="U221" s="129" t="str">
        <f t="shared" si="3"/>
        <v>0</v>
      </c>
      <c r="V221" s="129" t="str">
        <f t="shared" si="4"/>
        <v>0</v>
      </c>
      <c r="W221" s="129"/>
      <c r="X221" s="129"/>
      <c r="Y221" s="113"/>
    </row>
    <row r="222" ht="20.25" customHeight="1">
      <c r="A222" s="131" t="str">
        <f>IF(BASE!B226="","",BASE!B226)</f>
        <v/>
      </c>
      <c r="B222" s="49" t="s">
        <v>122</v>
      </c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  <c r="N222" s="108"/>
      <c r="O222" s="108"/>
      <c r="P222" s="108"/>
      <c r="Q222" s="129"/>
      <c r="R222" s="49" t="str">
        <f t="shared" si="1"/>
        <v>0</v>
      </c>
      <c r="S222" s="49" t="str">
        <f>BASE!A226</f>
        <v>211</v>
      </c>
      <c r="T222" s="129" t="str">
        <f t="shared" si="2"/>
        <v>0</v>
      </c>
      <c r="U222" s="129" t="str">
        <f t="shared" si="3"/>
        <v>0</v>
      </c>
      <c r="V222" s="129" t="str">
        <f t="shared" si="4"/>
        <v>0</v>
      </c>
      <c r="W222" s="129"/>
      <c r="X222" s="129"/>
      <c r="Y222" s="113"/>
    </row>
    <row r="223" ht="20.25" customHeight="1">
      <c r="A223" s="131" t="str">
        <f>IF(BASE!B227="","",BASE!B227)</f>
        <v/>
      </c>
      <c r="B223" s="49" t="s">
        <v>122</v>
      </c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  <c r="N223" s="108"/>
      <c r="O223" s="108"/>
      <c r="P223" s="108"/>
      <c r="Q223" s="129"/>
      <c r="R223" s="49" t="str">
        <f t="shared" si="1"/>
        <v>0</v>
      </c>
      <c r="S223" s="49" t="str">
        <f>BASE!A227</f>
        <v>212</v>
      </c>
      <c r="T223" s="129" t="str">
        <f t="shared" si="2"/>
        <v>0</v>
      </c>
      <c r="U223" s="129" t="str">
        <f t="shared" si="3"/>
        <v>0</v>
      </c>
      <c r="V223" s="129" t="str">
        <f t="shared" si="4"/>
        <v>0</v>
      </c>
      <c r="W223" s="129"/>
      <c r="X223" s="129"/>
      <c r="Y223" s="113"/>
    </row>
    <row r="224" ht="20.25" customHeight="1">
      <c r="A224" s="131" t="str">
        <f>IF(BASE!B228="","",BASE!B228)</f>
        <v/>
      </c>
      <c r="B224" s="49" t="s">
        <v>122</v>
      </c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  <c r="N224" s="108"/>
      <c r="O224" s="108"/>
      <c r="P224" s="108"/>
      <c r="Q224" s="129"/>
      <c r="R224" s="49" t="str">
        <f t="shared" si="1"/>
        <v>0</v>
      </c>
      <c r="S224" s="49" t="str">
        <f>BASE!A228</f>
        <v>213</v>
      </c>
      <c r="T224" s="129" t="str">
        <f t="shared" si="2"/>
        <v>0</v>
      </c>
      <c r="U224" s="129" t="str">
        <f t="shared" si="3"/>
        <v>0</v>
      </c>
      <c r="V224" s="129" t="str">
        <f t="shared" si="4"/>
        <v>0</v>
      </c>
      <c r="W224" s="129"/>
      <c r="X224" s="129"/>
      <c r="Y224" s="113"/>
    </row>
    <row r="225" ht="20.25" customHeight="1">
      <c r="A225" s="131" t="str">
        <f>IF(BASE!B229="","",BASE!B229)</f>
        <v/>
      </c>
      <c r="B225" s="49" t="s">
        <v>122</v>
      </c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  <c r="N225" s="108"/>
      <c r="O225" s="108"/>
      <c r="P225" s="108"/>
      <c r="Q225" s="129"/>
      <c r="R225" s="49" t="str">
        <f t="shared" si="1"/>
        <v>0</v>
      </c>
      <c r="S225" s="49" t="str">
        <f>BASE!A229</f>
        <v>214</v>
      </c>
      <c r="T225" s="129" t="str">
        <f t="shared" si="2"/>
        <v>0</v>
      </c>
      <c r="U225" s="129" t="str">
        <f t="shared" si="3"/>
        <v>0</v>
      </c>
      <c r="V225" s="129" t="str">
        <f t="shared" si="4"/>
        <v>0</v>
      </c>
      <c r="W225" s="129"/>
      <c r="X225" s="129"/>
      <c r="Y225" s="113"/>
    </row>
    <row r="226" ht="20.25" customHeight="1">
      <c r="A226" s="131" t="str">
        <f>IF(BASE!B230="","",BASE!B230)</f>
        <v/>
      </c>
      <c r="B226" s="49" t="s">
        <v>122</v>
      </c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  <c r="N226" s="108"/>
      <c r="O226" s="108"/>
      <c r="P226" s="108"/>
      <c r="Q226" s="129"/>
      <c r="R226" s="49" t="str">
        <f t="shared" si="1"/>
        <v>0</v>
      </c>
      <c r="S226" s="49" t="str">
        <f>BASE!A230</f>
        <v>215</v>
      </c>
      <c r="T226" s="129" t="str">
        <f t="shared" si="2"/>
        <v>0</v>
      </c>
      <c r="U226" s="129" t="str">
        <f t="shared" si="3"/>
        <v>0</v>
      </c>
      <c r="V226" s="129" t="str">
        <f t="shared" si="4"/>
        <v>0</v>
      </c>
      <c r="W226" s="129"/>
      <c r="X226" s="129"/>
      <c r="Y226" s="113"/>
    </row>
    <row r="227" ht="20.25" customHeight="1">
      <c r="A227" s="131" t="str">
        <f>IF(BASE!B231="","",BASE!B231)</f>
        <v/>
      </c>
      <c r="B227" s="49" t="s">
        <v>122</v>
      </c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  <c r="N227" s="108"/>
      <c r="O227" s="108"/>
      <c r="P227" s="108"/>
      <c r="Q227" s="129"/>
      <c r="R227" s="49" t="str">
        <f t="shared" si="1"/>
        <v>0</v>
      </c>
      <c r="S227" s="49" t="str">
        <f>BASE!A231</f>
        <v>216</v>
      </c>
      <c r="T227" s="129" t="str">
        <f t="shared" si="2"/>
        <v>0</v>
      </c>
      <c r="U227" s="129" t="str">
        <f t="shared" si="3"/>
        <v>0</v>
      </c>
      <c r="V227" s="129" t="str">
        <f t="shared" si="4"/>
        <v>0</v>
      </c>
      <c r="W227" s="129"/>
      <c r="X227" s="129"/>
      <c r="Y227" s="113"/>
    </row>
    <row r="228" ht="20.25" customHeight="1">
      <c r="A228" s="131" t="str">
        <f>IF(BASE!B232="","",BASE!B232)</f>
        <v/>
      </c>
      <c r="B228" s="49" t="s">
        <v>122</v>
      </c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  <c r="N228" s="108"/>
      <c r="O228" s="108"/>
      <c r="P228" s="108"/>
      <c r="Q228" s="129"/>
      <c r="R228" s="49" t="str">
        <f t="shared" si="1"/>
        <v>0</v>
      </c>
      <c r="S228" s="49" t="str">
        <f>BASE!A232</f>
        <v>217</v>
      </c>
      <c r="T228" s="129" t="str">
        <f t="shared" si="2"/>
        <v>0</v>
      </c>
      <c r="U228" s="129" t="str">
        <f t="shared" si="3"/>
        <v>0</v>
      </c>
      <c r="V228" s="129" t="str">
        <f t="shared" si="4"/>
        <v>0</v>
      </c>
      <c r="W228" s="129"/>
      <c r="X228" s="129"/>
      <c r="Y228" s="113"/>
    </row>
    <row r="229" ht="17.25" customHeight="1">
      <c r="A229" s="131" t="str">
        <f>IF(BASE!B233="","",BASE!B233)</f>
        <v/>
      </c>
      <c r="B229" s="49" t="s">
        <v>122</v>
      </c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  <c r="N229" s="108"/>
      <c r="O229" s="108"/>
      <c r="P229" s="108"/>
      <c r="Q229" s="129"/>
      <c r="R229" s="49" t="str">
        <f t="shared" si="1"/>
        <v>0</v>
      </c>
      <c r="S229" s="49" t="str">
        <f>BASE!A233</f>
        <v>218</v>
      </c>
      <c r="T229" s="129" t="str">
        <f t="shared" si="2"/>
        <v>0</v>
      </c>
      <c r="U229" s="129" t="str">
        <f t="shared" si="3"/>
        <v>0</v>
      </c>
      <c r="V229" s="129" t="str">
        <f t="shared" si="4"/>
        <v>0</v>
      </c>
      <c r="W229" s="129"/>
      <c r="X229" s="129"/>
      <c r="Y229" s="113"/>
    </row>
    <row r="230" ht="17.25" customHeight="1">
      <c r="A230" s="131" t="str">
        <f>IF(BASE!B234="","",BASE!B234)</f>
        <v/>
      </c>
      <c r="B230" s="49" t="s">
        <v>122</v>
      </c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  <c r="N230" s="108"/>
      <c r="O230" s="108"/>
      <c r="P230" s="108"/>
      <c r="Q230" s="129"/>
      <c r="R230" s="49" t="str">
        <f t="shared" si="1"/>
        <v>0</v>
      </c>
      <c r="S230" s="49" t="str">
        <f>BASE!A234</f>
        <v>219</v>
      </c>
      <c r="T230" s="129" t="str">
        <f t="shared" si="2"/>
        <v>0</v>
      </c>
      <c r="U230" s="129" t="str">
        <f t="shared" si="3"/>
        <v>0</v>
      </c>
      <c r="V230" s="129" t="str">
        <f t="shared" si="4"/>
        <v>0</v>
      </c>
      <c r="W230" s="129"/>
      <c r="X230" s="129"/>
      <c r="Y230" s="113"/>
    </row>
    <row r="231" ht="17.25" customHeight="1">
      <c r="A231" s="131" t="str">
        <f>IF(BASE!B235="","",BASE!B235)</f>
        <v/>
      </c>
      <c r="B231" s="49" t="s">
        <v>122</v>
      </c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29"/>
      <c r="R231" s="49" t="str">
        <f t="shared" si="1"/>
        <v>0</v>
      </c>
      <c r="S231" s="49" t="str">
        <f>BASE!A235</f>
        <v>220</v>
      </c>
      <c r="T231" s="129" t="str">
        <f t="shared" si="2"/>
        <v>0</v>
      </c>
      <c r="U231" s="129" t="str">
        <f t="shared" si="3"/>
        <v>0</v>
      </c>
      <c r="V231" s="129" t="str">
        <f t="shared" si="4"/>
        <v>0</v>
      </c>
      <c r="W231" s="129"/>
      <c r="X231" s="129"/>
      <c r="Y231" s="113"/>
    </row>
    <row r="232" ht="17.25" customHeight="1">
      <c r="A232" s="131" t="str">
        <f>IF(BASE!B236="","",BASE!B236)</f>
        <v/>
      </c>
      <c r="B232" s="49" t="s">
        <v>122</v>
      </c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  <c r="N232" s="108"/>
      <c r="O232" s="108"/>
      <c r="P232" s="108"/>
      <c r="Q232" s="129"/>
      <c r="R232" s="49" t="str">
        <f t="shared" si="1"/>
        <v>0</v>
      </c>
      <c r="S232" s="49" t="str">
        <f>BASE!A236</f>
        <v>221</v>
      </c>
      <c r="T232" s="129" t="str">
        <f t="shared" si="2"/>
        <v>0</v>
      </c>
      <c r="U232" s="129" t="str">
        <f t="shared" si="3"/>
        <v>0</v>
      </c>
      <c r="V232" s="129" t="str">
        <f t="shared" si="4"/>
        <v>0</v>
      </c>
      <c r="W232" s="129"/>
      <c r="X232" s="129"/>
      <c r="Y232" s="113"/>
    </row>
    <row r="233" ht="17.25" customHeight="1">
      <c r="A233" s="131" t="str">
        <f>IF(BASE!B237="","",BASE!B237)</f>
        <v/>
      </c>
      <c r="B233" s="49" t="s">
        <v>122</v>
      </c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  <c r="N233" s="108"/>
      <c r="O233" s="108"/>
      <c r="P233" s="108"/>
      <c r="Q233" s="129"/>
      <c r="R233" s="49" t="str">
        <f t="shared" si="1"/>
        <v>0</v>
      </c>
      <c r="S233" s="49" t="str">
        <f>BASE!A237</f>
        <v>222</v>
      </c>
      <c r="T233" s="129" t="str">
        <f t="shared" si="2"/>
        <v>0</v>
      </c>
      <c r="U233" s="129" t="str">
        <f t="shared" si="3"/>
        <v>0</v>
      </c>
      <c r="V233" s="129" t="str">
        <f t="shared" si="4"/>
        <v>0</v>
      </c>
      <c r="W233" s="129"/>
      <c r="X233" s="129"/>
      <c r="Y233" s="113"/>
    </row>
    <row r="234" ht="17.25" customHeight="1">
      <c r="A234" s="131" t="str">
        <f>IF(BASE!B238="","",BASE!B238)</f>
        <v/>
      </c>
      <c r="B234" s="49" t="s">
        <v>122</v>
      </c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  <c r="N234" s="108"/>
      <c r="O234" s="108"/>
      <c r="P234" s="108"/>
      <c r="Q234" s="129"/>
      <c r="R234" s="49" t="str">
        <f t="shared" si="1"/>
        <v>0</v>
      </c>
      <c r="S234" s="49" t="str">
        <f>BASE!A238</f>
        <v>223</v>
      </c>
      <c r="T234" s="129" t="str">
        <f t="shared" si="2"/>
        <v>0</v>
      </c>
      <c r="U234" s="129" t="str">
        <f t="shared" si="3"/>
        <v>0</v>
      </c>
      <c r="V234" s="129" t="str">
        <f t="shared" si="4"/>
        <v>0</v>
      </c>
      <c r="W234" s="129"/>
      <c r="X234" s="129"/>
      <c r="Y234" s="113"/>
    </row>
    <row r="235" ht="17.25" customHeight="1">
      <c r="A235" s="131" t="str">
        <f>IF(BASE!B239="","",BASE!B239)</f>
        <v/>
      </c>
      <c r="B235" s="49" t="s">
        <v>122</v>
      </c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  <c r="N235" s="108"/>
      <c r="O235" s="108"/>
      <c r="P235" s="108"/>
      <c r="Q235" s="129"/>
      <c r="R235" s="49" t="str">
        <f t="shared" si="1"/>
        <v>0</v>
      </c>
      <c r="S235" s="49" t="str">
        <f>BASE!A239</f>
        <v>224</v>
      </c>
      <c r="T235" s="129" t="str">
        <f t="shared" si="2"/>
        <v>0</v>
      </c>
      <c r="U235" s="129" t="str">
        <f t="shared" si="3"/>
        <v>0</v>
      </c>
      <c r="V235" s="129" t="str">
        <f t="shared" si="4"/>
        <v>0</v>
      </c>
      <c r="W235" s="129"/>
      <c r="X235" s="129"/>
      <c r="Y235" s="113"/>
    </row>
    <row r="236" ht="17.25" customHeight="1">
      <c r="A236" s="131" t="str">
        <f>IF(BASE!B240="","",BASE!B240)</f>
        <v/>
      </c>
      <c r="B236" s="49" t="s">
        <v>122</v>
      </c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  <c r="N236" s="108"/>
      <c r="O236" s="108"/>
      <c r="P236" s="108"/>
      <c r="Q236" s="129"/>
      <c r="R236" s="49" t="str">
        <f t="shared" si="1"/>
        <v>0</v>
      </c>
      <c r="S236" s="49" t="str">
        <f>BASE!A240</f>
        <v>225</v>
      </c>
      <c r="T236" s="129" t="str">
        <f t="shared" si="2"/>
        <v>0</v>
      </c>
      <c r="U236" s="129" t="str">
        <f t="shared" si="3"/>
        <v>0</v>
      </c>
      <c r="V236" s="129" t="str">
        <f t="shared" si="4"/>
        <v>0</v>
      </c>
      <c r="W236" s="129"/>
      <c r="X236" s="129"/>
      <c r="Y236" s="113"/>
    </row>
    <row r="237" ht="17.25" customHeight="1">
      <c r="A237" s="131" t="str">
        <f>IF(BASE!B241="","",BASE!B241)</f>
        <v/>
      </c>
      <c r="B237" s="49" t="s">
        <v>122</v>
      </c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  <c r="N237" s="108"/>
      <c r="O237" s="108"/>
      <c r="P237" s="108"/>
      <c r="Q237" s="129"/>
      <c r="R237" s="49" t="str">
        <f t="shared" si="1"/>
        <v>0</v>
      </c>
      <c r="S237" s="49" t="str">
        <f>BASE!A241</f>
        <v>226</v>
      </c>
      <c r="T237" s="129" t="str">
        <f t="shared" si="2"/>
        <v>0</v>
      </c>
      <c r="U237" s="129" t="str">
        <f t="shared" si="3"/>
        <v>0</v>
      </c>
      <c r="V237" s="129" t="str">
        <f t="shared" si="4"/>
        <v>0</v>
      </c>
      <c r="W237" s="129"/>
      <c r="X237" s="129"/>
      <c r="Y237" s="113"/>
    </row>
    <row r="238" ht="17.25" customHeight="1">
      <c r="A238" s="131" t="str">
        <f>IF(BASE!B242="","",BASE!B242)</f>
        <v/>
      </c>
      <c r="B238" s="49" t="s">
        <v>122</v>
      </c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  <c r="N238" s="108"/>
      <c r="O238" s="108"/>
      <c r="P238" s="108"/>
      <c r="Q238" s="129"/>
      <c r="R238" s="49" t="str">
        <f t="shared" si="1"/>
        <v>0</v>
      </c>
      <c r="S238" s="49" t="str">
        <f>BASE!A242</f>
        <v>227</v>
      </c>
      <c r="T238" s="129" t="str">
        <f t="shared" si="2"/>
        <v>0</v>
      </c>
      <c r="U238" s="129" t="str">
        <f t="shared" si="3"/>
        <v>0</v>
      </c>
      <c r="V238" s="129" t="str">
        <f t="shared" si="4"/>
        <v>0</v>
      </c>
      <c r="W238" s="129"/>
      <c r="X238" s="129"/>
      <c r="Y238" s="113"/>
    </row>
    <row r="239" ht="17.25" customHeight="1">
      <c r="A239" s="131" t="str">
        <f>IF(BASE!B243="","",BASE!B243)</f>
        <v/>
      </c>
      <c r="B239" s="49" t="s">
        <v>122</v>
      </c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  <c r="N239" s="108"/>
      <c r="O239" s="108"/>
      <c r="P239" s="108"/>
      <c r="Q239" s="129"/>
      <c r="R239" s="49" t="str">
        <f t="shared" si="1"/>
        <v>0</v>
      </c>
      <c r="S239" s="49" t="str">
        <f>BASE!A243</f>
        <v>228</v>
      </c>
      <c r="T239" s="129" t="str">
        <f t="shared" si="2"/>
        <v>0</v>
      </c>
      <c r="U239" s="129" t="str">
        <f t="shared" si="3"/>
        <v>0</v>
      </c>
      <c r="V239" s="129" t="str">
        <f t="shared" si="4"/>
        <v>0</v>
      </c>
      <c r="W239" s="129"/>
      <c r="X239" s="129"/>
      <c r="Y239" s="113"/>
    </row>
    <row r="240" ht="17.25" customHeight="1">
      <c r="A240" s="131" t="str">
        <f>IF(BASE!B244="","",BASE!B244)</f>
        <v/>
      </c>
      <c r="B240" s="49" t="s">
        <v>122</v>
      </c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  <c r="N240" s="108"/>
      <c r="O240" s="108"/>
      <c r="P240" s="108"/>
      <c r="Q240" s="129"/>
      <c r="R240" s="49" t="str">
        <f t="shared" si="1"/>
        <v>0</v>
      </c>
      <c r="S240" s="49" t="str">
        <f>BASE!A244</f>
        <v>229</v>
      </c>
      <c r="T240" s="129" t="str">
        <f t="shared" si="2"/>
        <v>0</v>
      </c>
      <c r="U240" s="129" t="str">
        <f t="shared" si="3"/>
        <v>0</v>
      </c>
      <c r="V240" s="129" t="str">
        <f t="shared" si="4"/>
        <v>0</v>
      </c>
      <c r="W240" s="129"/>
      <c r="X240" s="129"/>
      <c r="Y240" s="113"/>
    </row>
    <row r="241" ht="17.25" customHeight="1">
      <c r="A241" s="131" t="str">
        <f>IF(BASE!B245="","",BASE!B245)</f>
        <v/>
      </c>
      <c r="B241" s="49" t="s">
        <v>122</v>
      </c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  <c r="N241" s="108"/>
      <c r="O241" s="108"/>
      <c r="P241" s="108"/>
      <c r="Q241" s="129"/>
      <c r="R241" s="49" t="str">
        <f t="shared" si="1"/>
        <v>0</v>
      </c>
      <c r="S241" s="49" t="str">
        <f>BASE!A245</f>
        <v>230</v>
      </c>
      <c r="T241" s="129" t="str">
        <f t="shared" si="2"/>
        <v>0</v>
      </c>
      <c r="U241" s="129" t="str">
        <f t="shared" si="3"/>
        <v>0</v>
      </c>
      <c r="V241" s="129" t="str">
        <f t="shared" si="4"/>
        <v>0</v>
      </c>
      <c r="W241" s="129"/>
      <c r="X241" s="129"/>
      <c r="Y241" s="113"/>
    </row>
    <row r="242" ht="17.25" customHeight="1">
      <c r="A242" s="131" t="str">
        <f>IF(BASE!B246="","",BASE!B246)</f>
        <v/>
      </c>
      <c r="B242" s="49" t="s">
        <v>122</v>
      </c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  <c r="N242" s="108"/>
      <c r="O242" s="108"/>
      <c r="P242" s="108"/>
      <c r="Q242" s="129"/>
      <c r="R242" s="49" t="str">
        <f t="shared" si="1"/>
        <v>0</v>
      </c>
      <c r="S242" s="49" t="str">
        <f>BASE!A246</f>
        <v>231</v>
      </c>
      <c r="T242" s="129" t="str">
        <f t="shared" si="2"/>
        <v>0</v>
      </c>
      <c r="U242" s="129" t="str">
        <f t="shared" si="3"/>
        <v>0</v>
      </c>
      <c r="V242" s="129" t="str">
        <f t="shared" si="4"/>
        <v>0</v>
      </c>
      <c r="W242" s="129"/>
      <c r="X242" s="129"/>
      <c r="Y242" s="113"/>
    </row>
    <row r="243" ht="17.25" customHeight="1">
      <c r="A243" s="131" t="str">
        <f>IF(BASE!B247="","",BASE!B247)</f>
        <v/>
      </c>
      <c r="B243" s="49" t="s">
        <v>122</v>
      </c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  <c r="N243" s="108"/>
      <c r="O243" s="108"/>
      <c r="P243" s="108"/>
      <c r="Q243" s="129"/>
      <c r="R243" s="49" t="str">
        <f t="shared" si="1"/>
        <v>0</v>
      </c>
      <c r="S243" s="49" t="str">
        <f>BASE!A247</f>
        <v>232</v>
      </c>
      <c r="T243" s="129" t="str">
        <f t="shared" si="2"/>
        <v>0</v>
      </c>
      <c r="U243" s="129" t="str">
        <f t="shared" si="3"/>
        <v>0</v>
      </c>
      <c r="V243" s="129" t="str">
        <f t="shared" si="4"/>
        <v>0</v>
      </c>
      <c r="W243" s="129"/>
      <c r="X243" s="129"/>
      <c r="Y243" s="113"/>
    </row>
    <row r="244" ht="17.25" customHeight="1">
      <c r="A244" s="131" t="str">
        <f>IF(BASE!B248="","",BASE!B248)</f>
        <v/>
      </c>
      <c r="B244" s="49" t="s">
        <v>122</v>
      </c>
      <c r="C244" s="108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  <c r="N244" s="108"/>
      <c r="O244" s="108"/>
      <c r="P244" s="108"/>
      <c r="Q244" s="129"/>
      <c r="R244" s="49" t="str">
        <f t="shared" si="1"/>
        <v>0</v>
      </c>
      <c r="S244" s="49" t="str">
        <f>BASE!A248</f>
        <v>233</v>
      </c>
      <c r="T244" s="129" t="str">
        <f t="shared" si="2"/>
        <v>0</v>
      </c>
      <c r="U244" s="129" t="str">
        <f t="shared" si="3"/>
        <v>0</v>
      </c>
      <c r="V244" s="129" t="str">
        <f t="shared" si="4"/>
        <v>0</v>
      </c>
      <c r="W244" s="129"/>
      <c r="X244" s="129"/>
      <c r="Y244" s="113"/>
    </row>
    <row r="245" ht="17.25" customHeight="1">
      <c r="A245" s="131" t="str">
        <f>IF(BASE!B249="","",BASE!B249)</f>
        <v/>
      </c>
      <c r="B245" s="49" t="s">
        <v>122</v>
      </c>
      <c r="C245" s="108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  <c r="N245" s="108"/>
      <c r="O245" s="108"/>
      <c r="P245" s="108"/>
      <c r="Q245" s="129"/>
      <c r="R245" s="49" t="str">
        <f t="shared" si="1"/>
        <v>0</v>
      </c>
      <c r="S245" s="49" t="str">
        <f>BASE!A249</f>
        <v>234</v>
      </c>
      <c r="T245" s="129" t="str">
        <f t="shared" si="2"/>
        <v>0</v>
      </c>
      <c r="U245" s="129" t="str">
        <f t="shared" si="3"/>
        <v>0</v>
      </c>
      <c r="V245" s="129" t="str">
        <f t="shared" si="4"/>
        <v>0</v>
      </c>
      <c r="W245" s="129"/>
      <c r="X245" s="129"/>
      <c r="Y245" s="113"/>
    </row>
    <row r="246" ht="17.25" customHeight="1">
      <c r="A246" s="131" t="str">
        <f>IF(BASE!B250="","",BASE!B250)</f>
        <v/>
      </c>
      <c r="B246" s="49" t="s">
        <v>122</v>
      </c>
      <c r="C246" s="108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  <c r="N246" s="108"/>
      <c r="O246" s="108"/>
      <c r="P246" s="108"/>
      <c r="Q246" s="129"/>
      <c r="R246" s="49" t="str">
        <f t="shared" si="1"/>
        <v>0</v>
      </c>
      <c r="S246" s="49" t="str">
        <f>BASE!A250</f>
        <v>235</v>
      </c>
      <c r="T246" s="129" t="str">
        <f t="shared" si="2"/>
        <v>0</v>
      </c>
      <c r="U246" s="129" t="str">
        <f t="shared" si="3"/>
        <v>0</v>
      </c>
      <c r="V246" s="129" t="str">
        <f t="shared" si="4"/>
        <v>0</v>
      </c>
      <c r="W246" s="129"/>
      <c r="X246" s="129"/>
      <c r="Y246" s="113"/>
    </row>
    <row r="247" ht="17.25" customHeight="1">
      <c r="A247" s="131" t="str">
        <f>IF(BASE!B251="","",BASE!B251)</f>
        <v/>
      </c>
      <c r="B247" s="49" t="s">
        <v>122</v>
      </c>
      <c r="C247" s="108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  <c r="N247" s="108"/>
      <c r="O247" s="108"/>
      <c r="P247" s="108"/>
      <c r="Q247" s="129"/>
      <c r="R247" s="49" t="str">
        <f t="shared" si="1"/>
        <v>0</v>
      </c>
      <c r="S247" s="49" t="str">
        <f>BASE!A251</f>
        <v>236</v>
      </c>
      <c r="T247" s="129" t="str">
        <f t="shared" si="2"/>
        <v>0</v>
      </c>
      <c r="U247" s="129" t="str">
        <f t="shared" si="3"/>
        <v>0</v>
      </c>
      <c r="V247" s="129" t="str">
        <f t="shared" si="4"/>
        <v>0</v>
      </c>
      <c r="W247" s="129"/>
      <c r="X247" s="129"/>
      <c r="Y247" s="113"/>
    </row>
    <row r="248" ht="17.25" customHeight="1">
      <c r="A248" s="131" t="str">
        <f>IF(BASE!B252="","",BASE!B252)</f>
        <v/>
      </c>
      <c r="B248" s="49" t="s">
        <v>122</v>
      </c>
      <c r="C248" s="108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  <c r="N248" s="108"/>
      <c r="O248" s="108"/>
      <c r="P248" s="108"/>
      <c r="Q248" s="129"/>
      <c r="R248" s="49" t="str">
        <f t="shared" si="1"/>
        <v>0</v>
      </c>
      <c r="S248" s="49" t="str">
        <f>BASE!A252</f>
        <v>237</v>
      </c>
      <c r="T248" s="129" t="str">
        <f t="shared" si="2"/>
        <v>0</v>
      </c>
      <c r="U248" s="129" t="str">
        <f t="shared" si="3"/>
        <v>0</v>
      </c>
      <c r="V248" s="129" t="str">
        <f t="shared" si="4"/>
        <v>0</v>
      </c>
      <c r="W248" s="129"/>
      <c r="X248" s="129"/>
      <c r="Y248" s="113"/>
    </row>
    <row r="249" ht="17.25" customHeight="1">
      <c r="A249" s="131" t="str">
        <f>IF(BASE!B253="","",BASE!B253)</f>
        <v/>
      </c>
      <c r="B249" s="49" t="s">
        <v>122</v>
      </c>
      <c r="C249" s="108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  <c r="N249" s="108"/>
      <c r="O249" s="108"/>
      <c r="P249" s="108"/>
      <c r="Q249" s="129"/>
      <c r="R249" s="49" t="str">
        <f t="shared" si="1"/>
        <v>0</v>
      </c>
      <c r="S249" s="49" t="str">
        <f>BASE!A253</f>
        <v>238</v>
      </c>
      <c r="T249" s="129" t="str">
        <f t="shared" si="2"/>
        <v>0</v>
      </c>
      <c r="U249" s="129" t="str">
        <f t="shared" si="3"/>
        <v>0</v>
      </c>
      <c r="V249" s="129" t="str">
        <f t="shared" si="4"/>
        <v>0</v>
      </c>
      <c r="W249" s="129"/>
      <c r="X249" s="129"/>
      <c r="Y249" s="113"/>
    </row>
    <row r="250" ht="17.25" customHeight="1">
      <c r="A250" s="131" t="str">
        <f>IF(BASE!B254="","",BASE!B254)</f>
        <v/>
      </c>
      <c r="B250" s="49" t="s">
        <v>122</v>
      </c>
      <c r="C250" s="108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  <c r="N250" s="108"/>
      <c r="O250" s="108"/>
      <c r="P250" s="108"/>
      <c r="Q250" s="129"/>
      <c r="R250" s="49" t="str">
        <f t="shared" si="1"/>
        <v>0</v>
      </c>
      <c r="S250" s="49" t="str">
        <f>BASE!A254</f>
        <v>239</v>
      </c>
      <c r="T250" s="129" t="str">
        <f t="shared" si="2"/>
        <v>0</v>
      </c>
      <c r="U250" s="129" t="str">
        <f t="shared" si="3"/>
        <v>0</v>
      </c>
      <c r="V250" s="129" t="str">
        <f t="shared" si="4"/>
        <v>0</v>
      </c>
      <c r="W250" s="129"/>
      <c r="X250" s="129"/>
      <c r="Y250" s="113"/>
    </row>
    <row r="251" ht="17.25" customHeight="1">
      <c r="A251" s="131" t="str">
        <f>IF(BASE!B255="","",BASE!B255)</f>
        <v/>
      </c>
      <c r="B251" s="49" t="s">
        <v>122</v>
      </c>
      <c r="C251" s="108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  <c r="N251" s="108"/>
      <c r="O251" s="108"/>
      <c r="P251" s="108"/>
      <c r="Q251" s="129"/>
      <c r="R251" s="49" t="str">
        <f t="shared" si="1"/>
        <v>0</v>
      </c>
      <c r="S251" s="49" t="str">
        <f>BASE!A255</f>
        <v>240</v>
      </c>
      <c r="T251" s="129" t="str">
        <f t="shared" si="2"/>
        <v>0</v>
      </c>
      <c r="U251" s="129" t="str">
        <f t="shared" si="3"/>
        <v>0</v>
      </c>
      <c r="V251" s="129" t="str">
        <f t="shared" si="4"/>
        <v>0</v>
      </c>
      <c r="W251" s="129"/>
      <c r="X251" s="129"/>
      <c r="Y251" s="113"/>
    </row>
    <row r="252" ht="17.25" customHeight="1">
      <c r="A252" s="131" t="str">
        <f>IF(BASE!B256="","",BASE!B256)</f>
        <v/>
      </c>
      <c r="B252" s="49" t="s">
        <v>122</v>
      </c>
      <c r="C252" s="108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  <c r="N252" s="108"/>
      <c r="O252" s="108"/>
      <c r="P252" s="108"/>
      <c r="Q252" s="133"/>
      <c r="R252" s="49" t="str">
        <f t="shared" si="1"/>
        <v>0</v>
      </c>
      <c r="S252" s="49" t="str">
        <f>BASE!A256</f>
        <v>241</v>
      </c>
      <c r="T252" s="129" t="str">
        <f t="shared" si="2"/>
        <v>0</v>
      </c>
      <c r="U252" s="129" t="str">
        <f t="shared" si="3"/>
        <v>0</v>
      </c>
      <c r="V252" s="129" t="str">
        <f t="shared" si="4"/>
        <v>0</v>
      </c>
      <c r="W252" s="129"/>
      <c r="X252" s="129"/>
      <c r="Y252" s="113"/>
    </row>
    <row r="253" ht="17.25" customHeight="1">
      <c r="A253" s="131" t="str">
        <f>IF(BASE!B257="","",BASE!B257)</f>
        <v/>
      </c>
      <c r="B253" s="49" t="s">
        <v>122</v>
      </c>
      <c r="C253" s="108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  <c r="N253" s="108"/>
      <c r="O253" s="108"/>
      <c r="P253" s="108"/>
      <c r="Q253" s="133"/>
      <c r="R253" s="49" t="str">
        <f t="shared" si="1"/>
        <v>0</v>
      </c>
      <c r="S253" s="49" t="str">
        <f>BASE!A257</f>
        <v>242</v>
      </c>
      <c r="T253" s="129" t="str">
        <f t="shared" si="2"/>
        <v>0</v>
      </c>
      <c r="U253" s="129" t="str">
        <f t="shared" si="3"/>
        <v>0</v>
      </c>
      <c r="V253" s="129" t="str">
        <f t="shared" si="4"/>
        <v>0</v>
      </c>
      <c r="W253" s="129"/>
      <c r="X253" s="129"/>
      <c r="Y253" s="113"/>
    </row>
    <row r="254" ht="17.25" customHeight="1">
      <c r="A254" s="131" t="str">
        <f>IF(BASE!B258="","",BASE!B258)</f>
        <v/>
      </c>
      <c r="B254" s="49" t="s">
        <v>122</v>
      </c>
      <c r="C254" s="108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  <c r="N254" s="108"/>
      <c r="O254" s="108"/>
      <c r="P254" s="108"/>
      <c r="Q254" s="133"/>
      <c r="R254" s="49" t="str">
        <f t="shared" si="1"/>
        <v>0</v>
      </c>
      <c r="S254" s="49" t="str">
        <f>BASE!A258</f>
        <v>243</v>
      </c>
      <c r="T254" s="129" t="str">
        <f t="shared" si="2"/>
        <v>0</v>
      </c>
      <c r="U254" s="129" t="str">
        <f t="shared" si="3"/>
        <v>0</v>
      </c>
      <c r="V254" s="129" t="str">
        <f t="shared" si="4"/>
        <v>0</v>
      </c>
      <c r="W254" s="129"/>
      <c r="X254" s="129"/>
      <c r="Y254" s="113"/>
    </row>
    <row r="255" ht="17.25" customHeight="1">
      <c r="A255" s="131" t="str">
        <f>IF(BASE!B259="","",BASE!B259)</f>
        <v/>
      </c>
      <c r="B255" s="49" t="s">
        <v>122</v>
      </c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  <c r="N255" s="108"/>
      <c r="O255" s="108"/>
      <c r="P255" s="108"/>
      <c r="Q255" s="133"/>
      <c r="R255" s="49" t="str">
        <f t="shared" si="1"/>
        <v>0</v>
      </c>
      <c r="S255" s="49" t="str">
        <f>BASE!A259</f>
        <v>244</v>
      </c>
      <c r="T255" s="129" t="str">
        <f t="shared" si="2"/>
        <v>0</v>
      </c>
      <c r="U255" s="129" t="str">
        <f t="shared" si="3"/>
        <v>0</v>
      </c>
      <c r="V255" s="129" t="str">
        <f t="shared" si="4"/>
        <v>0</v>
      </c>
      <c r="W255" s="129"/>
      <c r="X255" s="129"/>
      <c r="Y255" s="113"/>
    </row>
    <row r="256" ht="17.25" customHeight="1">
      <c r="A256" s="131" t="str">
        <f>IF(BASE!B260="","",BASE!B260)</f>
        <v/>
      </c>
      <c r="B256" s="49" t="s">
        <v>122</v>
      </c>
      <c r="C256" s="108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  <c r="N256" s="108"/>
      <c r="O256" s="108"/>
      <c r="P256" s="108"/>
      <c r="Q256" s="133"/>
      <c r="R256" s="49" t="str">
        <f t="shared" si="1"/>
        <v>0</v>
      </c>
      <c r="S256" s="49" t="str">
        <f>BASE!A260</f>
        <v>245</v>
      </c>
      <c r="T256" s="129" t="str">
        <f t="shared" si="2"/>
        <v>0</v>
      </c>
      <c r="U256" s="129" t="str">
        <f t="shared" si="3"/>
        <v>0</v>
      </c>
      <c r="V256" s="129" t="str">
        <f t="shared" si="4"/>
        <v>0</v>
      </c>
      <c r="W256" s="129"/>
      <c r="X256" s="129"/>
      <c r="Y256" s="113"/>
    </row>
    <row r="257" ht="17.25" customHeight="1">
      <c r="A257" s="131" t="str">
        <f>IF(BASE!B261="","",BASE!B261)</f>
        <v/>
      </c>
      <c r="B257" s="49" t="s">
        <v>122</v>
      </c>
      <c r="C257" s="108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  <c r="N257" s="108"/>
      <c r="O257" s="108"/>
      <c r="P257" s="108"/>
      <c r="Q257" s="133"/>
      <c r="R257" s="49" t="str">
        <f t="shared" si="1"/>
        <v>0</v>
      </c>
      <c r="S257" s="49" t="str">
        <f>BASE!A261</f>
        <v>246</v>
      </c>
      <c r="T257" s="129" t="str">
        <f t="shared" si="2"/>
        <v>0</v>
      </c>
      <c r="U257" s="129" t="str">
        <f t="shared" si="3"/>
        <v>0</v>
      </c>
      <c r="V257" s="129" t="str">
        <f t="shared" si="4"/>
        <v>0</v>
      </c>
      <c r="W257" s="129"/>
      <c r="X257" s="129"/>
      <c r="Y257" s="113"/>
    </row>
    <row r="258" ht="17.25" customHeight="1">
      <c r="A258" s="131" t="str">
        <f>IF(BASE!B262="","",BASE!B262)</f>
        <v/>
      </c>
      <c r="B258" s="49" t="s">
        <v>122</v>
      </c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33"/>
      <c r="R258" s="49" t="str">
        <f t="shared" si="1"/>
        <v>0</v>
      </c>
      <c r="S258" s="49" t="str">
        <f>BASE!A262</f>
        <v>247</v>
      </c>
      <c r="T258" s="129" t="str">
        <f t="shared" si="2"/>
        <v>0</v>
      </c>
      <c r="U258" s="129" t="str">
        <f t="shared" si="3"/>
        <v>0</v>
      </c>
      <c r="V258" s="129" t="str">
        <f t="shared" si="4"/>
        <v>0</v>
      </c>
      <c r="W258" s="129"/>
      <c r="X258" s="129"/>
      <c r="Y258" s="113"/>
    </row>
    <row r="259" ht="17.25" customHeight="1">
      <c r="A259" s="131" t="str">
        <f>IF(BASE!B263="","",BASE!B263)</f>
        <v/>
      </c>
      <c r="B259" s="49" t="s">
        <v>122</v>
      </c>
      <c r="C259" s="108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  <c r="N259" s="108"/>
      <c r="O259" s="108"/>
      <c r="P259" s="108"/>
      <c r="Q259" s="133"/>
      <c r="R259" s="49" t="str">
        <f t="shared" si="1"/>
        <v>0</v>
      </c>
      <c r="S259" s="49" t="str">
        <f>BASE!A263</f>
        <v>248</v>
      </c>
      <c r="T259" s="129" t="str">
        <f t="shared" si="2"/>
        <v>0</v>
      </c>
      <c r="U259" s="129" t="str">
        <f t="shared" si="3"/>
        <v>0</v>
      </c>
      <c r="V259" s="129" t="str">
        <f t="shared" si="4"/>
        <v>0</v>
      </c>
      <c r="W259" s="129"/>
      <c r="X259" s="129"/>
      <c r="Y259" s="113"/>
    </row>
    <row r="260" ht="17.25" customHeight="1">
      <c r="A260" s="131" t="str">
        <f>IF(BASE!B264="","",BASE!B264)</f>
        <v/>
      </c>
      <c r="B260" s="49" t="s">
        <v>122</v>
      </c>
      <c r="C260" s="108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  <c r="N260" s="108"/>
      <c r="O260" s="108"/>
      <c r="P260" s="108"/>
      <c r="Q260" s="133"/>
      <c r="R260" s="49" t="str">
        <f t="shared" si="1"/>
        <v>0</v>
      </c>
      <c r="S260" s="49" t="str">
        <f>BASE!A264</f>
        <v>249</v>
      </c>
      <c r="T260" s="129" t="str">
        <f t="shared" si="2"/>
        <v>0</v>
      </c>
      <c r="U260" s="129" t="str">
        <f t="shared" si="3"/>
        <v>0</v>
      </c>
      <c r="V260" s="129" t="str">
        <f t="shared" si="4"/>
        <v>0</v>
      </c>
      <c r="W260" s="129"/>
      <c r="X260" s="129"/>
      <c r="Y260" s="113"/>
    </row>
    <row r="261" ht="17.25" customHeight="1">
      <c r="A261" s="131" t="str">
        <f>IF(BASE!B265="","",BASE!B265)</f>
        <v/>
      </c>
      <c r="B261" s="49" t="s">
        <v>122</v>
      </c>
      <c r="C261" s="108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  <c r="N261" s="108"/>
      <c r="O261" s="108"/>
      <c r="P261" s="108"/>
      <c r="Q261" s="133"/>
      <c r="R261" s="49" t="str">
        <f t="shared" si="1"/>
        <v>0</v>
      </c>
      <c r="S261" s="49" t="str">
        <f>BASE!A265</f>
        <v>250</v>
      </c>
      <c r="T261" s="129" t="str">
        <f t="shared" si="2"/>
        <v>0</v>
      </c>
      <c r="U261" s="129" t="str">
        <f t="shared" si="3"/>
        <v>0</v>
      </c>
      <c r="V261" s="129" t="str">
        <f t="shared" si="4"/>
        <v>0</v>
      </c>
      <c r="W261" s="129"/>
      <c r="X261" s="129"/>
      <c r="Y261" s="113"/>
    </row>
    <row r="262" ht="17.25" customHeight="1">
      <c r="A262" s="131" t="str">
        <f>IF(BASE!B266="","",BASE!B266)</f>
        <v/>
      </c>
      <c r="B262" s="49" t="s">
        <v>122</v>
      </c>
      <c r="C262" s="108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  <c r="N262" s="108"/>
      <c r="O262" s="108"/>
      <c r="P262" s="108"/>
      <c r="Q262" s="133"/>
      <c r="R262" s="49" t="str">
        <f t="shared" si="1"/>
        <v>0</v>
      </c>
      <c r="S262" s="49" t="str">
        <f>BASE!A266</f>
        <v>251</v>
      </c>
      <c r="T262" s="129" t="str">
        <f t="shared" si="2"/>
        <v>0</v>
      </c>
      <c r="U262" s="129" t="str">
        <f t="shared" si="3"/>
        <v>0</v>
      </c>
      <c r="V262" s="129" t="str">
        <f t="shared" si="4"/>
        <v>0</v>
      </c>
      <c r="W262" s="129"/>
      <c r="X262" s="129"/>
      <c r="Y262" s="113"/>
    </row>
    <row r="263" ht="17.25" customHeight="1">
      <c r="A263" s="131" t="str">
        <f>IF(BASE!B267="","",BASE!B267)</f>
        <v/>
      </c>
      <c r="B263" s="49" t="s">
        <v>122</v>
      </c>
      <c r="C263" s="108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  <c r="N263" s="108"/>
      <c r="O263" s="108"/>
      <c r="P263" s="108"/>
      <c r="Q263" s="133"/>
      <c r="R263" s="49" t="str">
        <f t="shared" si="1"/>
        <v>0</v>
      </c>
      <c r="S263" s="49" t="str">
        <f>BASE!A267</f>
        <v>252</v>
      </c>
      <c r="T263" s="129" t="str">
        <f t="shared" si="2"/>
        <v>0</v>
      </c>
      <c r="U263" s="129" t="str">
        <f t="shared" si="3"/>
        <v>0</v>
      </c>
      <c r="V263" s="129" t="str">
        <f t="shared" si="4"/>
        <v>0</v>
      </c>
      <c r="W263" s="129"/>
      <c r="X263" s="129"/>
      <c r="Y263" s="113"/>
    </row>
    <row r="264" ht="17.25" customHeight="1">
      <c r="A264" s="131" t="str">
        <f>IF(BASE!B268="","",BASE!B268)</f>
        <v/>
      </c>
      <c r="B264" s="49" t="s">
        <v>122</v>
      </c>
      <c r="C264" s="108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33"/>
      <c r="R264" s="49" t="str">
        <f t="shared" si="1"/>
        <v>0</v>
      </c>
      <c r="S264" s="49" t="str">
        <f>BASE!A268</f>
        <v>253</v>
      </c>
      <c r="T264" s="129" t="str">
        <f t="shared" si="2"/>
        <v>0</v>
      </c>
      <c r="U264" s="129" t="str">
        <f t="shared" si="3"/>
        <v>0</v>
      </c>
      <c r="V264" s="129" t="str">
        <f t="shared" si="4"/>
        <v>0</v>
      </c>
      <c r="W264" s="129"/>
      <c r="X264" s="129"/>
      <c r="Y264" s="113"/>
    </row>
    <row r="265" ht="17.25" customHeight="1">
      <c r="A265" s="131" t="str">
        <f>IF(BASE!B269="","",BASE!B269)</f>
        <v/>
      </c>
      <c r="B265" s="49" t="s">
        <v>122</v>
      </c>
      <c r="C265" s="108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33"/>
      <c r="R265" s="49" t="str">
        <f t="shared" si="1"/>
        <v>0</v>
      </c>
      <c r="S265" s="49" t="str">
        <f>BASE!A269</f>
        <v>254</v>
      </c>
      <c r="T265" s="129" t="str">
        <f t="shared" si="2"/>
        <v>0</v>
      </c>
      <c r="U265" s="129" t="str">
        <f t="shared" si="3"/>
        <v>0</v>
      </c>
      <c r="V265" s="129" t="str">
        <f t="shared" si="4"/>
        <v>0</v>
      </c>
      <c r="W265" s="129"/>
      <c r="X265" s="129"/>
      <c r="Y265" s="113"/>
    </row>
    <row r="266" ht="17.25" customHeight="1">
      <c r="A266" s="131" t="str">
        <f>IF(BASE!B270="","",BASE!B270)</f>
        <v/>
      </c>
      <c r="B266" s="49" t="s">
        <v>122</v>
      </c>
      <c r="C266" s="108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33"/>
      <c r="R266" s="49" t="str">
        <f t="shared" si="1"/>
        <v>0</v>
      </c>
      <c r="S266" s="49" t="str">
        <f>BASE!A270</f>
        <v>255</v>
      </c>
      <c r="T266" s="129" t="str">
        <f t="shared" si="2"/>
        <v>0</v>
      </c>
      <c r="U266" s="129" t="str">
        <f t="shared" si="3"/>
        <v>0</v>
      </c>
      <c r="V266" s="129" t="str">
        <f t="shared" si="4"/>
        <v>0</v>
      </c>
      <c r="W266" s="129"/>
      <c r="X266" s="129"/>
      <c r="Y266" s="113"/>
    </row>
    <row r="267" ht="17.25" customHeight="1">
      <c r="A267" s="131" t="str">
        <f>IF(BASE!B271="","",BASE!B271)</f>
        <v/>
      </c>
      <c r="B267" s="49" t="s">
        <v>122</v>
      </c>
      <c r="C267" s="108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33"/>
      <c r="R267" s="49" t="str">
        <f t="shared" si="1"/>
        <v>0</v>
      </c>
      <c r="S267" s="49" t="str">
        <f>BASE!A271</f>
        <v>256</v>
      </c>
      <c r="T267" s="129" t="str">
        <f t="shared" si="2"/>
        <v>0</v>
      </c>
      <c r="U267" s="129" t="str">
        <f t="shared" si="3"/>
        <v>0</v>
      </c>
      <c r="V267" s="129" t="str">
        <f t="shared" si="4"/>
        <v>0</v>
      </c>
      <c r="W267" s="129"/>
      <c r="X267" s="129"/>
      <c r="Y267" s="113"/>
    </row>
    <row r="268" ht="17.25" customHeight="1">
      <c r="A268" s="131" t="str">
        <f>IF(BASE!B272="","",BASE!B272)</f>
        <v/>
      </c>
      <c r="B268" s="49" t="s">
        <v>122</v>
      </c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33"/>
      <c r="R268" s="49" t="str">
        <f t="shared" si="1"/>
        <v>0</v>
      </c>
      <c r="S268" s="49" t="str">
        <f>BASE!A272</f>
        <v>257</v>
      </c>
      <c r="T268" s="129" t="str">
        <f t="shared" si="2"/>
        <v>0</v>
      </c>
      <c r="U268" s="129" t="str">
        <f t="shared" si="3"/>
        <v>0</v>
      </c>
      <c r="V268" s="129" t="str">
        <f t="shared" si="4"/>
        <v>0</v>
      </c>
      <c r="W268" s="129"/>
      <c r="X268" s="129"/>
      <c r="Y268" s="113"/>
    </row>
    <row r="269" ht="17.25" customHeight="1">
      <c r="A269" s="131" t="str">
        <f>IF(BASE!B273="","",BASE!B273)</f>
        <v/>
      </c>
      <c r="B269" s="49" t="s">
        <v>122</v>
      </c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33"/>
      <c r="R269" s="49" t="str">
        <f t="shared" si="1"/>
        <v>0</v>
      </c>
      <c r="S269" s="49" t="str">
        <f>BASE!A273</f>
        <v>258</v>
      </c>
      <c r="T269" s="129" t="str">
        <f t="shared" si="2"/>
        <v>0</v>
      </c>
      <c r="U269" s="129" t="str">
        <f t="shared" si="3"/>
        <v>0</v>
      </c>
      <c r="V269" s="129" t="str">
        <f t="shared" si="4"/>
        <v>0</v>
      </c>
      <c r="W269" s="129"/>
      <c r="X269" s="129"/>
      <c r="Y269" s="113"/>
    </row>
    <row r="270" ht="17.25" customHeight="1">
      <c r="A270" s="131" t="str">
        <f>IF(BASE!B274="","",BASE!B274)</f>
        <v/>
      </c>
      <c r="B270" s="49" t="s">
        <v>122</v>
      </c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33"/>
      <c r="R270" s="49" t="str">
        <f t="shared" si="1"/>
        <v>0</v>
      </c>
      <c r="S270" s="49" t="str">
        <f>BASE!A274</f>
        <v>259</v>
      </c>
      <c r="T270" s="129" t="str">
        <f t="shared" si="2"/>
        <v>0</v>
      </c>
      <c r="U270" s="129" t="str">
        <f t="shared" si="3"/>
        <v>0</v>
      </c>
      <c r="V270" s="129" t="str">
        <f t="shared" si="4"/>
        <v>0</v>
      </c>
      <c r="W270" s="129"/>
      <c r="X270" s="129"/>
      <c r="Y270" s="113"/>
    </row>
    <row r="271" ht="17.25" customHeight="1">
      <c r="A271" s="131" t="str">
        <f>IF(BASE!B275="","",BASE!B275)</f>
        <v/>
      </c>
      <c r="B271" s="49" t="s">
        <v>122</v>
      </c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33"/>
      <c r="R271" s="49" t="str">
        <f t="shared" si="1"/>
        <v>0</v>
      </c>
      <c r="S271" s="49" t="str">
        <f>BASE!A275</f>
        <v>260</v>
      </c>
      <c r="T271" s="129" t="str">
        <f t="shared" si="2"/>
        <v>0</v>
      </c>
      <c r="U271" s="129" t="str">
        <f t="shared" si="3"/>
        <v>0</v>
      </c>
      <c r="V271" s="129" t="str">
        <f t="shared" si="4"/>
        <v>0</v>
      </c>
      <c r="W271" s="129"/>
      <c r="X271" s="129"/>
      <c r="Y271" s="113"/>
    </row>
    <row r="272" ht="17.25" customHeight="1">
      <c r="A272" s="131" t="str">
        <f>IF(BASE!B276="","",BASE!B276)</f>
        <v/>
      </c>
      <c r="B272" s="49" t="s">
        <v>122</v>
      </c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33"/>
      <c r="R272" s="49" t="str">
        <f t="shared" si="1"/>
        <v>0</v>
      </c>
      <c r="S272" s="49" t="str">
        <f>BASE!A276</f>
        <v>261</v>
      </c>
      <c r="T272" s="129" t="str">
        <f t="shared" si="2"/>
        <v>0</v>
      </c>
      <c r="U272" s="129" t="str">
        <f t="shared" si="3"/>
        <v>0</v>
      </c>
      <c r="V272" s="129" t="str">
        <f t="shared" si="4"/>
        <v>0</v>
      </c>
      <c r="W272" s="129"/>
      <c r="X272" s="129"/>
      <c r="Y272" s="113"/>
    </row>
    <row r="273" ht="17.25" customHeight="1">
      <c r="A273" s="131" t="str">
        <f>IF(BASE!B277="","",BASE!B277)</f>
        <v/>
      </c>
      <c r="B273" s="49" t="s">
        <v>122</v>
      </c>
      <c r="C273" s="108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  <c r="N273" s="108"/>
      <c r="O273" s="108"/>
      <c r="P273" s="108"/>
      <c r="Q273" s="133"/>
      <c r="R273" s="49" t="str">
        <f t="shared" si="1"/>
        <v>0</v>
      </c>
      <c r="S273" s="49" t="str">
        <f>BASE!A277</f>
        <v>262</v>
      </c>
      <c r="T273" s="129" t="str">
        <f t="shared" si="2"/>
        <v>0</v>
      </c>
      <c r="U273" s="129" t="str">
        <f t="shared" si="3"/>
        <v>0</v>
      </c>
      <c r="V273" s="129" t="str">
        <f t="shared" si="4"/>
        <v>0</v>
      </c>
      <c r="W273" s="129"/>
      <c r="X273" s="129"/>
      <c r="Y273" s="113"/>
    </row>
    <row r="274" ht="17.25" customHeight="1">
      <c r="A274" s="131" t="str">
        <f>IF(BASE!B278="","",BASE!B278)</f>
        <v/>
      </c>
      <c r="B274" s="49" t="s">
        <v>122</v>
      </c>
      <c r="C274" s="108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33"/>
      <c r="R274" s="49" t="str">
        <f t="shared" si="1"/>
        <v>0</v>
      </c>
      <c r="S274" s="49" t="str">
        <f>BASE!A278</f>
        <v>263</v>
      </c>
      <c r="T274" s="129" t="str">
        <f t="shared" si="2"/>
        <v>0</v>
      </c>
      <c r="U274" s="129" t="str">
        <f t="shared" si="3"/>
        <v>0</v>
      </c>
      <c r="V274" s="129" t="str">
        <f t="shared" si="4"/>
        <v>0</v>
      </c>
      <c r="W274" s="129"/>
      <c r="X274" s="129"/>
      <c r="Y274" s="113"/>
    </row>
    <row r="275" ht="17.25" customHeight="1">
      <c r="A275" s="131" t="str">
        <f>IF(BASE!B279="","",BASE!B279)</f>
        <v/>
      </c>
      <c r="B275" s="49" t="s">
        <v>122</v>
      </c>
      <c r="C275" s="108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  <c r="N275" s="108"/>
      <c r="O275" s="108"/>
      <c r="P275" s="108"/>
      <c r="Q275" s="133"/>
      <c r="R275" s="49" t="str">
        <f t="shared" si="1"/>
        <v>0</v>
      </c>
      <c r="S275" s="49" t="str">
        <f>BASE!A279</f>
        <v>264</v>
      </c>
      <c r="T275" s="129" t="str">
        <f t="shared" si="2"/>
        <v>0</v>
      </c>
      <c r="U275" s="129" t="str">
        <f t="shared" si="3"/>
        <v>0</v>
      </c>
      <c r="V275" s="129" t="str">
        <f t="shared" si="4"/>
        <v>0</v>
      </c>
      <c r="W275" s="129"/>
      <c r="X275" s="129"/>
      <c r="Y275" s="113"/>
    </row>
    <row r="276" ht="17.25" customHeight="1">
      <c r="A276" s="131" t="str">
        <f>IF(BASE!B280="","",BASE!B280)</f>
        <v/>
      </c>
      <c r="B276" s="49" t="s">
        <v>122</v>
      </c>
      <c r="C276" s="108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  <c r="N276" s="108"/>
      <c r="O276" s="108"/>
      <c r="P276" s="108"/>
      <c r="Q276" s="133"/>
      <c r="R276" s="49" t="str">
        <f t="shared" si="1"/>
        <v>0</v>
      </c>
      <c r="S276" s="49" t="str">
        <f>BASE!A280</f>
        <v>265</v>
      </c>
      <c r="T276" s="129" t="str">
        <f t="shared" si="2"/>
        <v>0</v>
      </c>
      <c r="U276" s="129" t="str">
        <f t="shared" si="3"/>
        <v>0</v>
      </c>
      <c r="V276" s="129" t="str">
        <f t="shared" si="4"/>
        <v>0</v>
      </c>
      <c r="W276" s="129"/>
      <c r="X276" s="129"/>
      <c r="Y276" s="113"/>
    </row>
    <row r="277" ht="17.25" customHeight="1">
      <c r="A277" s="131" t="str">
        <f>IF(BASE!B281="","",BASE!B281)</f>
        <v/>
      </c>
      <c r="B277" s="49" t="s">
        <v>122</v>
      </c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  <c r="N277" s="108"/>
      <c r="O277" s="108"/>
      <c r="P277" s="108"/>
      <c r="Q277" s="133"/>
      <c r="R277" s="49" t="str">
        <f t="shared" si="1"/>
        <v>0</v>
      </c>
      <c r="S277" s="49" t="str">
        <f>BASE!A281</f>
        <v>266</v>
      </c>
      <c r="T277" s="129" t="str">
        <f t="shared" si="2"/>
        <v>0</v>
      </c>
      <c r="U277" s="129" t="str">
        <f t="shared" si="3"/>
        <v>0</v>
      </c>
      <c r="V277" s="129" t="str">
        <f t="shared" si="4"/>
        <v>0</v>
      </c>
      <c r="W277" s="129"/>
      <c r="X277" s="129"/>
      <c r="Y277" s="113"/>
    </row>
    <row r="278" ht="17.25" customHeight="1">
      <c r="A278" s="131" t="str">
        <f>IF(BASE!B282="","",BASE!B282)</f>
        <v/>
      </c>
      <c r="B278" s="49" t="s">
        <v>122</v>
      </c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33"/>
      <c r="R278" s="49" t="str">
        <f t="shared" si="1"/>
        <v>0</v>
      </c>
      <c r="S278" s="49" t="str">
        <f>BASE!A282</f>
        <v>267</v>
      </c>
      <c r="T278" s="129" t="str">
        <f t="shared" si="2"/>
        <v>0</v>
      </c>
      <c r="U278" s="129" t="str">
        <f t="shared" si="3"/>
        <v>0</v>
      </c>
      <c r="V278" s="129" t="str">
        <f t="shared" si="4"/>
        <v>0</v>
      </c>
      <c r="W278" s="129"/>
      <c r="X278" s="129"/>
      <c r="Y278" s="113"/>
    </row>
    <row r="279" ht="17.25" customHeight="1">
      <c r="A279" s="131" t="str">
        <f>IF(BASE!B283="","",BASE!B283)</f>
        <v/>
      </c>
      <c r="B279" s="49" t="s">
        <v>122</v>
      </c>
      <c r="C279" s="108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  <c r="N279" s="108"/>
      <c r="O279" s="108"/>
      <c r="P279" s="108"/>
      <c r="Q279" s="133"/>
      <c r="R279" s="49" t="str">
        <f t="shared" si="1"/>
        <v>0</v>
      </c>
      <c r="S279" s="49" t="str">
        <f>BASE!A283</f>
        <v>268</v>
      </c>
      <c r="T279" s="129" t="str">
        <f t="shared" si="2"/>
        <v>0</v>
      </c>
      <c r="U279" s="129" t="str">
        <f t="shared" si="3"/>
        <v>0</v>
      </c>
      <c r="V279" s="129" t="str">
        <f t="shared" si="4"/>
        <v>0</v>
      </c>
      <c r="W279" s="129"/>
      <c r="X279" s="129"/>
      <c r="Y279" s="113"/>
    </row>
    <row r="280" ht="17.25" customHeight="1">
      <c r="A280" s="131" t="str">
        <f>IF(BASE!B284="","",BASE!B284)</f>
        <v/>
      </c>
      <c r="B280" s="49" t="s">
        <v>122</v>
      </c>
      <c r="C280" s="108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  <c r="N280" s="108"/>
      <c r="O280" s="108"/>
      <c r="P280" s="108"/>
      <c r="Q280" s="133"/>
      <c r="R280" s="49" t="str">
        <f t="shared" si="1"/>
        <v>0</v>
      </c>
      <c r="S280" s="49" t="str">
        <f>BASE!A284</f>
        <v>269</v>
      </c>
      <c r="T280" s="129" t="str">
        <f t="shared" si="2"/>
        <v>0</v>
      </c>
      <c r="U280" s="129" t="str">
        <f t="shared" si="3"/>
        <v>0</v>
      </c>
      <c r="V280" s="129" t="str">
        <f t="shared" si="4"/>
        <v>0</v>
      </c>
      <c r="W280" s="129"/>
      <c r="X280" s="129"/>
      <c r="Y280" s="113"/>
    </row>
    <row r="281" ht="17.25" customHeight="1">
      <c r="A281" s="131" t="str">
        <f>IF(BASE!B285="","",BASE!B285)</f>
        <v/>
      </c>
      <c r="B281" s="49" t="s">
        <v>122</v>
      </c>
      <c r="C281" s="108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  <c r="N281" s="108"/>
      <c r="O281" s="108"/>
      <c r="P281" s="108"/>
      <c r="Q281" s="133"/>
      <c r="R281" s="49" t="str">
        <f t="shared" si="1"/>
        <v>0</v>
      </c>
      <c r="S281" s="49" t="str">
        <f>BASE!A285</f>
        <v>270</v>
      </c>
      <c r="T281" s="129" t="str">
        <f t="shared" si="2"/>
        <v>0</v>
      </c>
      <c r="U281" s="129" t="str">
        <f t="shared" si="3"/>
        <v>0</v>
      </c>
      <c r="V281" s="129" t="str">
        <f t="shared" si="4"/>
        <v>0</v>
      </c>
      <c r="W281" s="129"/>
      <c r="X281" s="129"/>
      <c r="Y281" s="113"/>
    </row>
    <row r="282" ht="17.25" customHeight="1">
      <c r="A282" s="131" t="str">
        <f>IF(BASE!B286="","",BASE!B286)</f>
        <v/>
      </c>
      <c r="B282" s="49" t="s">
        <v>122</v>
      </c>
      <c r="C282" s="108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  <c r="N282" s="108"/>
      <c r="O282" s="108"/>
      <c r="P282" s="108"/>
      <c r="Q282" s="133"/>
      <c r="R282" s="49" t="str">
        <f t="shared" si="1"/>
        <v>0</v>
      </c>
      <c r="S282" s="49" t="str">
        <f>BASE!A286</f>
        <v>271</v>
      </c>
      <c r="T282" s="129" t="str">
        <f t="shared" si="2"/>
        <v>0</v>
      </c>
      <c r="U282" s="129" t="str">
        <f t="shared" si="3"/>
        <v>0</v>
      </c>
      <c r="V282" s="129" t="str">
        <f t="shared" si="4"/>
        <v>0</v>
      </c>
      <c r="W282" s="129"/>
      <c r="X282" s="129"/>
      <c r="Y282" s="113"/>
    </row>
    <row r="283" ht="17.25" customHeight="1">
      <c r="A283" s="131" t="str">
        <f>IF(BASE!B287="","",BASE!B287)</f>
        <v/>
      </c>
      <c r="B283" s="49" t="s">
        <v>122</v>
      </c>
      <c r="C283" s="108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  <c r="N283" s="108"/>
      <c r="O283" s="108"/>
      <c r="P283" s="108"/>
      <c r="Q283" s="133"/>
      <c r="R283" s="49" t="str">
        <f t="shared" si="1"/>
        <v>0</v>
      </c>
      <c r="S283" s="49" t="str">
        <f>BASE!A287</f>
        <v>272</v>
      </c>
      <c r="T283" s="129" t="str">
        <f t="shared" si="2"/>
        <v>0</v>
      </c>
      <c r="U283" s="129" t="str">
        <f t="shared" si="3"/>
        <v>0</v>
      </c>
      <c r="V283" s="129" t="str">
        <f t="shared" si="4"/>
        <v>0</v>
      </c>
      <c r="W283" s="129"/>
      <c r="X283" s="129"/>
      <c r="Y283" s="113"/>
    </row>
    <row r="284" ht="17.25" customHeight="1">
      <c r="A284" s="131" t="str">
        <f>IF(BASE!B288="","",BASE!B288)</f>
        <v/>
      </c>
      <c r="B284" s="49" t="s">
        <v>122</v>
      </c>
      <c r="C284" s="108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  <c r="N284" s="108"/>
      <c r="O284" s="108"/>
      <c r="P284" s="108"/>
      <c r="Q284" s="133"/>
      <c r="R284" s="49" t="str">
        <f t="shared" si="1"/>
        <v>0</v>
      </c>
      <c r="S284" s="49" t="str">
        <f>BASE!A288</f>
        <v>273</v>
      </c>
      <c r="T284" s="129" t="str">
        <f t="shared" si="2"/>
        <v>0</v>
      </c>
      <c r="U284" s="129" t="str">
        <f t="shared" si="3"/>
        <v>0</v>
      </c>
      <c r="V284" s="129" t="str">
        <f t="shared" si="4"/>
        <v>0</v>
      </c>
      <c r="W284" s="129"/>
      <c r="X284" s="129"/>
      <c r="Y284" s="113"/>
    </row>
    <row r="285" ht="17.25" customHeight="1">
      <c r="A285" s="131" t="str">
        <f>IF(BASE!B289="","",BASE!B289)</f>
        <v/>
      </c>
      <c r="B285" s="49" t="s">
        <v>122</v>
      </c>
      <c r="C285" s="108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  <c r="N285" s="108"/>
      <c r="O285" s="108"/>
      <c r="P285" s="108"/>
      <c r="Q285" s="133"/>
      <c r="R285" s="49" t="str">
        <f t="shared" si="1"/>
        <v>0</v>
      </c>
      <c r="S285" s="49" t="str">
        <f>BASE!A289</f>
        <v>274</v>
      </c>
      <c r="T285" s="129" t="str">
        <f t="shared" si="2"/>
        <v>0</v>
      </c>
      <c r="U285" s="129" t="str">
        <f t="shared" si="3"/>
        <v>0</v>
      </c>
      <c r="V285" s="129" t="str">
        <f t="shared" si="4"/>
        <v>0</v>
      </c>
      <c r="W285" s="129"/>
      <c r="X285" s="129"/>
      <c r="Y285" s="113"/>
    </row>
    <row r="286" ht="17.25" customHeight="1">
      <c r="A286" s="131" t="str">
        <f>IF(BASE!B290="","",BASE!B290)</f>
        <v/>
      </c>
      <c r="B286" s="49" t="s">
        <v>122</v>
      </c>
      <c r="C286" s="108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  <c r="N286" s="108"/>
      <c r="O286" s="108"/>
      <c r="P286" s="108"/>
      <c r="Q286" s="133"/>
      <c r="R286" s="49" t="str">
        <f t="shared" si="1"/>
        <v>0</v>
      </c>
      <c r="S286" s="49" t="str">
        <f>BASE!A290</f>
        <v>275</v>
      </c>
      <c r="T286" s="129" t="str">
        <f t="shared" si="2"/>
        <v>0</v>
      </c>
      <c r="U286" s="129" t="str">
        <f t="shared" si="3"/>
        <v>0</v>
      </c>
      <c r="V286" s="129" t="str">
        <f t="shared" si="4"/>
        <v>0</v>
      </c>
      <c r="W286" s="129"/>
      <c r="X286" s="129"/>
      <c r="Y286" s="113"/>
    </row>
    <row r="287" ht="17.25" customHeight="1">
      <c r="A287" s="131" t="str">
        <f>IF(BASE!B291="","",BASE!B291)</f>
        <v/>
      </c>
      <c r="B287" s="49" t="s">
        <v>122</v>
      </c>
      <c r="C287" s="108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  <c r="N287" s="108"/>
      <c r="O287" s="108"/>
      <c r="P287" s="108"/>
      <c r="Q287" s="133"/>
      <c r="R287" s="49" t="str">
        <f t="shared" si="1"/>
        <v>0</v>
      </c>
      <c r="S287" s="49" t="str">
        <f>BASE!A291</f>
        <v>276</v>
      </c>
      <c r="T287" s="129" t="str">
        <f t="shared" si="2"/>
        <v>0</v>
      </c>
      <c r="U287" s="129" t="str">
        <f t="shared" si="3"/>
        <v>0</v>
      </c>
      <c r="V287" s="129" t="str">
        <f t="shared" si="4"/>
        <v>0</v>
      </c>
      <c r="W287" s="129"/>
      <c r="X287" s="129"/>
      <c r="Y287" s="113"/>
    </row>
    <row r="288" ht="17.25" customHeight="1">
      <c r="A288" s="131" t="str">
        <f>IF(BASE!B292="","",BASE!B292)</f>
        <v/>
      </c>
      <c r="B288" s="49" t="s">
        <v>122</v>
      </c>
      <c r="C288" s="108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  <c r="N288" s="108"/>
      <c r="O288" s="108"/>
      <c r="P288" s="108"/>
      <c r="Q288" s="133"/>
      <c r="R288" s="49" t="str">
        <f t="shared" si="1"/>
        <v>0</v>
      </c>
      <c r="S288" s="49" t="str">
        <f>BASE!A292</f>
        <v>277</v>
      </c>
      <c r="T288" s="129" t="str">
        <f t="shared" si="2"/>
        <v>0</v>
      </c>
      <c r="U288" s="129" t="str">
        <f t="shared" si="3"/>
        <v>0</v>
      </c>
      <c r="V288" s="129" t="str">
        <f t="shared" si="4"/>
        <v>0</v>
      </c>
      <c r="W288" s="129"/>
      <c r="X288" s="129"/>
      <c r="Y288" s="113"/>
    </row>
    <row r="289" ht="17.25" customHeight="1">
      <c r="A289" s="131" t="str">
        <f>IF(BASE!B293="","",BASE!B293)</f>
        <v/>
      </c>
      <c r="B289" s="49" t="s">
        <v>122</v>
      </c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  <c r="N289" s="108"/>
      <c r="O289" s="108"/>
      <c r="P289" s="108"/>
      <c r="Q289" s="133"/>
      <c r="R289" s="49" t="str">
        <f t="shared" si="1"/>
        <v>0</v>
      </c>
      <c r="S289" s="49" t="str">
        <f>BASE!A293</f>
        <v>278</v>
      </c>
      <c r="T289" s="129" t="str">
        <f t="shared" si="2"/>
        <v>0</v>
      </c>
      <c r="U289" s="129" t="str">
        <f t="shared" si="3"/>
        <v>0</v>
      </c>
      <c r="V289" s="129" t="str">
        <f t="shared" si="4"/>
        <v>0</v>
      </c>
      <c r="W289" s="129"/>
      <c r="X289" s="129"/>
      <c r="Y289" s="113"/>
    </row>
    <row r="290" ht="17.25" customHeight="1">
      <c r="A290" s="131" t="str">
        <f>IF(BASE!B294="","",BASE!B294)</f>
        <v/>
      </c>
      <c r="B290" s="49" t="s">
        <v>122</v>
      </c>
      <c r="C290" s="108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  <c r="N290" s="108"/>
      <c r="O290" s="108"/>
      <c r="P290" s="108"/>
      <c r="Q290" s="133"/>
      <c r="R290" s="49" t="str">
        <f t="shared" si="1"/>
        <v>0</v>
      </c>
      <c r="S290" s="49" t="str">
        <f>BASE!A294</f>
        <v>279</v>
      </c>
      <c r="T290" s="129" t="str">
        <f t="shared" si="2"/>
        <v>0</v>
      </c>
      <c r="U290" s="129" t="str">
        <f t="shared" si="3"/>
        <v>0</v>
      </c>
      <c r="V290" s="129" t="str">
        <f t="shared" si="4"/>
        <v>0</v>
      </c>
      <c r="W290" s="129"/>
      <c r="X290" s="129"/>
      <c r="Y290" s="113"/>
    </row>
    <row r="291" ht="17.25" customHeight="1">
      <c r="A291" s="131" t="str">
        <f>IF(BASE!B295="","",BASE!B295)</f>
        <v/>
      </c>
      <c r="B291" s="49" t="s">
        <v>122</v>
      </c>
      <c r="C291" s="108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08"/>
      <c r="Q291" s="133"/>
      <c r="R291" s="49" t="str">
        <f t="shared" si="1"/>
        <v>0</v>
      </c>
      <c r="S291" s="49" t="str">
        <f>BASE!A295</f>
        <v>280</v>
      </c>
      <c r="T291" s="129" t="str">
        <f t="shared" si="2"/>
        <v>0</v>
      </c>
      <c r="U291" s="129" t="str">
        <f t="shared" si="3"/>
        <v>0</v>
      </c>
      <c r="V291" s="129" t="str">
        <f t="shared" si="4"/>
        <v>0</v>
      </c>
      <c r="W291" s="129"/>
      <c r="X291" s="129"/>
      <c r="Y291" s="113"/>
    </row>
    <row r="292" ht="17.25" customHeight="1">
      <c r="A292" s="131" t="str">
        <f>IF(BASE!B296="","",BASE!B296)</f>
        <v/>
      </c>
      <c r="B292" s="49" t="s">
        <v>122</v>
      </c>
      <c r="C292" s="108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08"/>
      <c r="Q292" s="133"/>
      <c r="R292" s="49" t="str">
        <f t="shared" si="1"/>
        <v>0</v>
      </c>
      <c r="S292" s="49" t="str">
        <f>BASE!A296</f>
        <v>281</v>
      </c>
      <c r="T292" s="129" t="str">
        <f t="shared" si="2"/>
        <v>0</v>
      </c>
      <c r="U292" s="129" t="str">
        <f t="shared" si="3"/>
        <v>0</v>
      </c>
      <c r="V292" s="129" t="str">
        <f t="shared" si="4"/>
        <v>0</v>
      </c>
      <c r="W292" s="129"/>
      <c r="X292" s="129"/>
      <c r="Y292" s="113"/>
    </row>
    <row r="293" ht="17.25" customHeight="1">
      <c r="A293" s="131" t="str">
        <f>IF(BASE!B297="","",BASE!B297)</f>
        <v/>
      </c>
      <c r="B293" s="49" t="s">
        <v>122</v>
      </c>
      <c r="C293" s="108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08"/>
      <c r="Q293" s="133"/>
      <c r="R293" s="49" t="str">
        <f t="shared" si="1"/>
        <v>0</v>
      </c>
      <c r="S293" s="49" t="str">
        <f>BASE!A297</f>
        <v>282</v>
      </c>
      <c r="T293" s="129" t="str">
        <f t="shared" si="2"/>
        <v>0</v>
      </c>
      <c r="U293" s="129" t="str">
        <f t="shared" si="3"/>
        <v>0</v>
      </c>
      <c r="V293" s="129" t="str">
        <f t="shared" si="4"/>
        <v>0</v>
      </c>
      <c r="W293" s="129"/>
      <c r="X293" s="129"/>
      <c r="Y293" s="113"/>
    </row>
    <row r="294" ht="17.25" customHeight="1">
      <c r="A294" s="131" t="str">
        <f>IF(BASE!B298="","",BASE!B298)</f>
        <v/>
      </c>
      <c r="B294" s="49" t="s">
        <v>122</v>
      </c>
      <c r="C294" s="108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08"/>
      <c r="Q294" s="133"/>
      <c r="R294" s="49" t="str">
        <f t="shared" si="1"/>
        <v>0</v>
      </c>
      <c r="S294" s="49" t="str">
        <f>BASE!A298</f>
        <v>283</v>
      </c>
      <c r="T294" s="129" t="str">
        <f t="shared" si="2"/>
        <v>0</v>
      </c>
      <c r="U294" s="129" t="str">
        <f t="shared" si="3"/>
        <v>0</v>
      </c>
      <c r="V294" s="129" t="str">
        <f t="shared" si="4"/>
        <v>0</v>
      </c>
      <c r="W294" s="129"/>
      <c r="X294" s="129"/>
      <c r="Y294" s="113"/>
    </row>
    <row r="295" ht="17.25" customHeight="1">
      <c r="A295" s="131" t="str">
        <f>IF(BASE!B299="","",BASE!B299)</f>
        <v/>
      </c>
      <c r="B295" s="49" t="s">
        <v>122</v>
      </c>
      <c r="C295" s="108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08"/>
      <c r="Q295" s="133"/>
      <c r="R295" s="49" t="str">
        <f t="shared" si="1"/>
        <v>0</v>
      </c>
      <c r="S295" s="49" t="str">
        <f>BASE!A299</f>
        <v>284</v>
      </c>
      <c r="T295" s="129" t="str">
        <f t="shared" si="2"/>
        <v>0</v>
      </c>
      <c r="U295" s="129" t="str">
        <f t="shared" si="3"/>
        <v>0</v>
      </c>
      <c r="V295" s="129" t="str">
        <f t="shared" si="4"/>
        <v>0</v>
      </c>
      <c r="W295" s="129"/>
      <c r="X295" s="129"/>
      <c r="Y295" s="113"/>
    </row>
    <row r="296" ht="17.25" customHeight="1">
      <c r="A296" s="131" t="str">
        <f>IF(BASE!B300="","",BASE!B300)</f>
        <v/>
      </c>
      <c r="B296" s="49" t="s">
        <v>122</v>
      </c>
      <c r="C296" s="108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08"/>
      <c r="Q296" s="133"/>
      <c r="R296" s="49" t="str">
        <f t="shared" si="1"/>
        <v>0</v>
      </c>
      <c r="S296" s="49" t="str">
        <f>BASE!A300</f>
        <v>285</v>
      </c>
      <c r="T296" s="129" t="str">
        <f t="shared" si="2"/>
        <v>0</v>
      </c>
      <c r="U296" s="129" t="str">
        <f t="shared" si="3"/>
        <v>0</v>
      </c>
      <c r="V296" s="129" t="str">
        <f t="shared" si="4"/>
        <v>0</v>
      </c>
      <c r="W296" s="129"/>
      <c r="X296" s="129"/>
      <c r="Y296" s="113"/>
    </row>
    <row r="297" ht="17.25" customHeight="1">
      <c r="A297" s="131" t="str">
        <f>IF(BASE!B301="","",BASE!B301)</f>
        <v/>
      </c>
      <c r="B297" s="49" t="s">
        <v>122</v>
      </c>
      <c r="C297" s="108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08"/>
      <c r="Q297" s="133"/>
      <c r="R297" s="49" t="str">
        <f t="shared" si="1"/>
        <v>0</v>
      </c>
      <c r="S297" s="49" t="str">
        <f>BASE!A301</f>
        <v>286</v>
      </c>
      <c r="T297" s="129" t="str">
        <f t="shared" si="2"/>
        <v>0</v>
      </c>
      <c r="U297" s="129" t="str">
        <f t="shared" si="3"/>
        <v>0</v>
      </c>
      <c r="V297" s="129" t="str">
        <f t="shared" si="4"/>
        <v>0</v>
      </c>
      <c r="W297" s="129"/>
      <c r="X297" s="129"/>
      <c r="Y297" s="113"/>
    </row>
    <row r="298" ht="17.25" customHeight="1">
      <c r="A298" s="131" t="str">
        <f>IF(BASE!B302="","",BASE!B302)</f>
        <v/>
      </c>
      <c r="B298" s="49" t="s">
        <v>122</v>
      </c>
      <c r="C298" s="108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08"/>
      <c r="Q298" s="133"/>
      <c r="R298" s="49" t="str">
        <f t="shared" si="1"/>
        <v>0</v>
      </c>
      <c r="S298" s="49" t="str">
        <f>BASE!A302</f>
        <v>287</v>
      </c>
      <c r="T298" s="129" t="str">
        <f t="shared" si="2"/>
        <v>0</v>
      </c>
      <c r="U298" s="129" t="str">
        <f t="shared" si="3"/>
        <v>0</v>
      </c>
      <c r="V298" s="129" t="str">
        <f t="shared" si="4"/>
        <v>0</v>
      </c>
      <c r="W298" s="129"/>
      <c r="X298" s="129"/>
      <c r="Y298" s="113"/>
    </row>
    <row r="299" ht="17.25" customHeight="1">
      <c r="A299" s="131" t="str">
        <f>IF(BASE!B303="","",BASE!B303)</f>
        <v/>
      </c>
      <c r="B299" s="49" t="s">
        <v>122</v>
      </c>
      <c r="C299" s="108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08"/>
      <c r="Q299" s="133"/>
      <c r="R299" s="49" t="str">
        <f t="shared" si="1"/>
        <v>0</v>
      </c>
      <c r="S299" s="49" t="str">
        <f>BASE!A303</f>
        <v>288</v>
      </c>
      <c r="T299" s="129" t="str">
        <f t="shared" si="2"/>
        <v>0</v>
      </c>
      <c r="U299" s="129" t="str">
        <f t="shared" si="3"/>
        <v>0</v>
      </c>
      <c r="V299" s="129" t="str">
        <f t="shared" si="4"/>
        <v>0</v>
      </c>
      <c r="W299" s="129"/>
      <c r="X299" s="129"/>
      <c r="Y299" s="113"/>
    </row>
    <row r="300" ht="17.25" customHeight="1">
      <c r="A300" s="131" t="str">
        <f>IF(BASE!B304="","",BASE!B304)</f>
        <v/>
      </c>
      <c r="B300" s="49" t="s">
        <v>122</v>
      </c>
      <c r="C300" s="108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08"/>
      <c r="Q300" s="133"/>
      <c r="R300" s="49" t="str">
        <f t="shared" si="1"/>
        <v>0</v>
      </c>
      <c r="S300" s="49" t="str">
        <f>BASE!A304</f>
        <v>289</v>
      </c>
      <c r="T300" s="129" t="str">
        <f t="shared" si="2"/>
        <v>0</v>
      </c>
      <c r="U300" s="129" t="str">
        <f t="shared" si="3"/>
        <v>0</v>
      </c>
      <c r="V300" s="129" t="str">
        <f t="shared" si="4"/>
        <v>0</v>
      </c>
      <c r="W300" s="129"/>
      <c r="X300" s="129"/>
      <c r="Y300" s="113"/>
    </row>
    <row r="301" ht="17.25" customHeight="1">
      <c r="A301" s="131" t="str">
        <f>IF(BASE!B305="","",BASE!B305)</f>
        <v/>
      </c>
      <c r="B301" s="49" t="s">
        <v>122</v>
      </c>
      <c r="C301" s="108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08"/>
      <c r="Q301" s="133"/>
      <c r="R301" s="49" t="str">
        <f t="shared" si="1"/>
        <v>0</v>
      </c>
      <c r="S301" s="49" t="str">
        <f>BASE!A305</f>
        <v>290</v>
      </c>
      <c r="T301" s="129" t="str">
        <f t="shared" si="2"/>
        <v>0</v>
      </c>
      <c r="U301" s="129" t="str">
        <f t="shared" si="3"/>
        <v>0</v>
      </c>
      <c r="V301" s="129" t="str">
        <f t="shared" si="4"/>
        <v>0</v>
      </c>
      <c r="W301" s="129"/>
      <c r="X301" s="129"/>
      <c r="Y301" s="113"/>
    </row>
    <row r="302" ht="17.25" customHeight="1">
      <c r="A302" s="131" t="str">
        <f>IF(BASE!B306="","",BASE!B306)</f>
        <v/>
      </c>
      <c r="B302" s="49" t="s">
        <v>122</v>
      </c>
      <c r="C302" s="108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08"/>
      <c r="Q302" s="133"/>
      <c r="R302" s="49" t="str">
        <f t="shared" si="1"/>
        <v>0</v>
      </c>
      <c r="S302" s="49" t="str">
        <f>BASE!A306</f>
        <v>291</v>
      </c>
      <c r="T302" s="129" t="str">
        <f t="shared" si="2"/>
        <v>0</v>
      </c>
      <c r="U302" s="129" t="str">
        <f t="shared" si="3"/>
        <v>0</v>
      </c>
      <c r="V302" s="129" t="str">
        <f t="shared" si="4"/>
        <v>0</v>
      </c>
      <c r="W302" s="129"/>
      <c r="X302" s="129"/>
      <c r="Y302" s="113"/>
    </row>
    <row r="303" ht="17.25" customHeight="1">
      <c r="A303" s="131" t="str">
        <f>IF(BASE!B307="","",BASE!B307)</f>
        <v/>
      </c>
      <c r="B303" s="49" t="s">
        <v>122</v>
      </c>
      <c r="C303" s="108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08"/>
      <c r="Q303" s="133"/>
      <c r="R303" s="49" t="str">
        <f t="shared" si="1"/>
        <v>0</v>
      </c>
      <c r="S303" s="49" t="str">
        <f>BASE!A307</f>
        <v>292</v>
      </c>
      <c r="T303" s="129" t="str">
        <f t="shared" si="2"/>
        <v>0</v>
      </c>
      <c r="U303" s="129" t="str">
        <f t="shared" si="3"/>
        <v>0</v>
      </c>
      <c r="V303" s="129" t="str">
        <f t="shared" si="4"/>
        <v>0</v>
      </c>
      <c r="W303" s="129"/>
      <c r="X303" s="129"/>
      <c r="Y303" s="113"/>
    </row>
    <row r="304" ht="17.25" customHeight="1">
      <c r="A304" s="131" t="str">
        <f>IF(BASE!B308="","",BASE!B308)</f>
        <v/>
      </c>
      <c r="B304" s="49" t="s">
        <v>122</v>
      </c>
      <c r="C304" s="108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08"/>
      <c r="Q304" s="133"/>
      <c r="R304" s="49" t="str">
        <f t="shared" si="1"/>
        <v>0</v>
      </c>
      <c r="S304" s="49" t="str">
        <f>BASE!A308</f>
        <v>293</v>
      </c>
      <c r="T304" s="129" t="str">
        <f t="shared" si="2"/>
        <v>0</v>
      </c>
      <c r="U304" s="129" t="str">
        <f t="shared" si="3"/>
        <v>0</v>
      </c>
      <c r="V304" s="129" t="str">
        <f t="shared" si="4"/>
        <v>0</v>
      </c>
      <c r="W304" s="129"/>
      <c r="X304" s="129"/>
      <c r="Y304" s="113"/>
    </row>
    <row r="305" ht="17.25" customHeight="1">
      <c r="A305" s="131" t="str">
        <f>IF(BASE!B309="","",BASE!B309)</f>
        <v/>
      </c>
      <c r="B305" s="49" t="s">
        <v>122</v>
      </c>
      <c r="C305" s="108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08"/>
      <c r="Q305" s="133"/>
      <c r="R305" s="49" t="str">
        <f t="shared" si="1"/>
        <v>0</v>
      </c>
      <c r="S305" s="49" t="str">
        <f>BASE!A309</f>
        <v>294</v>
      </c>
      <c r="T305" s="129" t="str">
        <f t="shared" si="2"/>
        <v>0</v>
      </c>
      <c r="U305" s="129" t="str">
        <f t="shared" si="3"/>
        <v>0</v>
      </c>
      <c r="V305" s="129" t="str">
        <f t="shared" si="4"/>
        <v>0</v>
      </c>
      <c r="W305" s="129"/>
      <c r="X305" s="129"/>
      <c r="Y305" s="113"/>
    </row>
    <row r="306" ht="17.25" customHeight="1">
      <c r="A306" s="131" t="str">
        <f>IF(BASE!B310="","",BASE!B310)</f>
        <v/>
      </c>
      <c r="B306" s="49" t="s">
        <v>122</v>
      </c>
      <c r="C306" s="108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08"/>
      <c r="Q306" s="133"/>
      <c r="R306" s="49" t="str">
        <f t="shared" si="1"/>
        <v>0</v>
      </c>
      <c r="S306" s="49" t="str">
        <f>BASE!A310</f>
        <v>295</v>
      </c>
      <c r="T306" s="129" t="str">
        <f t="shared" si="2"/>
        <v>0</v>
      </c>
      <c r="U306" s="129" t="str">
        <f t="shared" si="3"/>
        <v>0</v>
      </c>
      <c r="V306" s="129" t="str">
        <f t="shared" si="4"/>
        <v>0</v>
      </c>
      <c r="W306" s="129"/>
      <c r="X306" s="129"/>
      <c r="Y306" s="113"/>
    </row>
    <row r="307" ht="17.25" customHeight="1">
      <c r="A307" s="131" t="str">
        <f>IF(BASE!B311="","",BASE!B311)</f>
        <v/>
      </c>
      <c r="B307" s="49" t="s">
        <v>122</v>
      </c>
      <c r="C307" s="108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08"/>
      <c r="Q307" s="133"/>
      <c r="R307" s="49" t="str">
        <f t="shared" si="1"/>
        <v>0</v>
      </c>
      <c r="S307" s="49" t="str">
        <f>BASE!A311</f>
        <v>296</v>
      </c>
      <c r="T307" s="129" t="str">
        <f t="shared" si="2"/>
        <v>0</v>
      </c>
      <c r="U307" s="129" t="str">
        <f t="shared" si="3"/>
        <v>0</v>
      </c>
      <c r="V307" s="129" t="str">
        <f t="shared" si="4"/>
        <v>0</v>
      </c>
      <c r="W307" s="129"/>
      <c r="X307" s="129"/>
      <c r="Y307" s="113"/>
    </row>
    <row r="308" ht="17.25" customHeight="1">
      <c r="A308" s="131" t="str">
        <f>IF(BASE!B312="","",BASE!B312)</f>
        <v/>
      </c>
      <c r="B308" s="49" t="s">
        <v>122</v>
      </c>
      <c r="C308" s="108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08"/>
      <c r="Q308" s="133"/>
      <c r="R308" s="49" t="str">
        <f t="shared" si="1"/>
        <v>0</v>
      </c>
      <c r="S308" s="49" t="str">
        <f>BASE!A312</f>
        <v>297</v>
      </c>
      <c r="T308" s="129" t="str">
        <f t="shared" si="2"/>
        <v>0</v>
      </c>
      <c r="U308" s="129" t="str">
        <f t="shared" si="3"/>
        <v>0</v>
      </c>
      <c r="V308" s="129" t="str">
        <f t="shared" si="4"/>
        <v>0</v>
      </c>
      <c r="W308" s="129"/>
      <c r="X308" s="129"/>
      <c r="Y308" s="113"/>
    </row>
    <row r="309" ht="17.25" customHeight="1">
      <c r="A309" s="131" t="str">
        <f>IF(BASE!B313="","",BASE!B313)</f>
        <v/>
      </c>
      <c r="B309" s="49" t="s">
        <v>122</v>
      </c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08"/>
      <c r="Q309" s="133"/>
      <c r="R309" s="49" t="str">
        <f t="shared" si="1"/>
        <v>0</v>
      </c>
      <c r="S309" s="49" t="str">
        <f>BASE!A313</f>
        <v>298</v>
      </c>
      <c r="T309" s="129" t="str">
        <f t="shared" si="2"/>
        <v>0</v>
      </c>
      <c r="U309" s="129" t="str">
        <f t="shared" si="3"/>
        <v>0</v>
      </c>
      <c r="V309" s="129" t="str">
        <f t="shared" si="4"/>
        <v>0</v>
      </c>
      <c r="W309" s="129"/>
      <c r="X309" s="129"/>
      <c r="Y309" s="113"/>
    </row>
    <row r="310" ht="17.25" customHeight="1">
      <c r="A310" s="131" t="str">
        <f>IF(BASE!B314="","",BASE!B314)</f>
        <v/>
      </c>
      <c r="B310" s="49" t="s">
        <v>122</v>
      </c>
      <c r="C310" s="108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08"/>
      <c r="Q310" s="133"/>
      <c r="R310" s="49" t="str">
        <f t="shared" si="1"/>
        <v>0</v>
      </c>
      <c r="S310" s="49" t="str">
        <f>BASE!A314</f>
        <v>299</v>
      </c>
      <c r="T310" s="129" t="str">
        <f t="shared" si="2"/>
        <v>0</v>
      </c>
      <c r="U310" s="129" t="str">
        <f t="shared" si="3"/>
        <v>0</v>
      </c>
      <c r="V310" s="129" t="str">
        <f t="shared" si="4"/>
        <v>0</v>
      </c>
      <c r="W310" s="129"/>
      <c r="X310" s="129"/>
      <c r="Y310" s="113"/>
    </row>
    <row r="311" ht="17.25" customHeight="1">
      <c r="A311" s="131" t="str">
        <f>IF(BASE!B315="","",BASE!B315)</f>
        <v/>
      </c>
      <c r="B311" s="49" t="s">
        <v>122</v>
      </c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08"/>
      <c r="Q311" s="133"/>
      <c r="R311" s="49" t="str">
        <f t="shared" si="1"/>
        <v>0</v>
      </c>
      <c r="S311" s="49" t="str">
        <f>BASE!A315</f>
        <v>300</v>
      </c>
      <c r="T311" s="129" t="str">
        <f t="shared" si="2"/>
        <v>0</v>
      </c>
      <c r="U311" s="129" t="str">
        <f t="shared" si="3"/>
        <v>0</v>
      </c>
      <c r="V311" s="129" t="str">
        <f t="shared" si="4"/>
        <v>0</v>
      </c>
      <c r="W311" s="129"/>
      <c r="X311" s="129"/>
      <c r="Y311" s="113"/>
    </row>
    <row r="312" ht="17.25" customHeight="1">
      <c r="A312" s="131" t="str">
        <f>IF(BASE!B316="","",BASE!B316)</f>
        <v/>
      </c>
      <c r="B312" s="49" t="s">
        <v>122</v>
      </c>
      <c r="C312" s="108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08"/>
      <c r="Q312" s="133"/>
      <c r="R312" s="49" t="str">
        <f t="shared" si="1"/>
        <v>0</v>
      </c>
      <c r="S312" s="49" t="str">
        <f>BASE!A316</f>
        <v>301</v>
      </c>
      <c r="T312" s="129" t="str">
        <f t="shared" si="2"/>
        <v>0</v>
      </c>
      <c r="U312" s="129" t="str">
        <f t="shared" si="3"/>
        <v>0</v>
      </c>
      <c r="V312" s="129" t="str">
        <f t="shared" si="4"/>
        <v>0</v>
      </c>
      <c r="W312" s="129"/>
      <c r="X312" s="129"/>
      <c r="Y312" s="113"/>
    </row>
    <row r="313" ht="17.25" customHeight="1">
      <c r="A313" s="131" t="str">
        <f>IF(BASE!B317="","",BASE!B317)</f>
        <v/>
      </c>
      <c r="B313" s="49" t="s">
        <v>122</v>
      </c>
      <c r="C313" s="108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08"/>
      <c r="Q313" s="133"/>
      <c r="R313" s="49" t="str">
        <f t="shared" si="1"/>
        <v>0</v>
      </c>
      <c r="S313" s="49" t="str">
        <f>BASE!A317</f>
        <v>302</v>
      </c>
      <c r="T313" s="129" t="str">
        <f t="shared" si="2"/>
        <v>0</v>
      </c>
      <c r="U313" s="129" t="str">
        <f t="shared" si="3"/>
        <v>0</v>
      </c>
      <c r="V313" s="129" t="str">
        <f t="shared" si="4"/>
        <v>0</v>
      </c>
      <c r="W313" s="129"/>
      <c r="X313" s="129"/>
      <c r="Y313" s="113"/>
    </row>
    <row r="314" ht="17.25" customHeight="1">
      <c r="A314" s="131" t="str">
        <f>IF(BASE!B318="","",BASE!B318)</f>
        <v/>
      </c>
      <c r="B314" s="49" t="s">
        <v>122</v>
      </c>
      <c r="C314" s="108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08"/>
      <c r="Q314" s="133"/>
      <c r="R314" s="49" t="str">
        <f t="shared" si="1"/>
        <v>0</v>
      </c>
      <c r="S314" s="49" t="str">
        <f>BASE!A318</f>
        <v>303</v>
      </c>
      <c r="T314" s="129" t="str">
        <f t="shared" si="2"/>
        <v>0</v>
      </c>
      <c r="U314" s="129" t="str">
        <f t="shared" si="3"/>
        <v>0</v>
      </c>
      <c r="V314" s="129" t="str">
        <f t="shared" si="4"/>
        <v>0</v>
      </c>
      <c r="W314" s="129"/>
      <c r="X314" s="129"/>
      <c r="Y314" s="113"/>
    </row>
    <row r="315" ht="17.25" customHeight="1">
      <c r="A315" s="131" t="str">
        <f>IF(BASE!B319="","",BASE!B319)</f>
        <v/>
      </c>
      <c r="B315" s="49" t="s">
        <v>122</v>
      </c>
      <c r="C315" s="108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08"/>
      <c r="Q315" s="133"/>
      <c r="R315" s="49" t="str">
        <f t="shared" si="1"/>
        <v>0</v>
      </c>
      <c r="S315" s="49" t="str">
        <f>BASE!A319</f>
        <v>304</v>
      </c>
      <c r="T315" s="129" t="str">
        <f t="shared" si="2"/>
        <v>0</v>
      </c>
      <c r="U315" s="129" t="str">
        <f t="shared" si="3"/>
        <v>0</v>
      </c>
      <c r="V315" s="129" t="str">
        <f t="shared" si="4"/>
        <v>0</v>
      </c>
      <c r="W315" s="129"/>
      <c r="X315" s="129"/>
      <c r="Y315" s="113"/>
    </row>
    <row r="316" ht="17.25" customHeight="1">
      <c r="A316" s="131" t="str">
        <f>IF(BASE!B320="","",BASE!B320)</f>
        <v/>
      </c>
      <c r="B316" s="49" t="s">
        <v>122</v>
      </c>
      <c r="C316" s="108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08"/>
      <c r="Q316" s="133"/>
      <c r="R316" s="49" t="str">
        <f t="shared" si="1"/>
        <v>0</v>
      </c>
      <c r="S316" s="49" t="str">
        <f>BASE!A320</f>
        <v>305</v>
      </c>
      <c r="T316" s="129" t="str">
        <f t="shared" si="2"/>
        <v>0</v>
      </c>
      <c r="U316" s="129" t="str">
        <f t="shared" si="3"/>
        <v>0</v>
      </c>
      <c r="V316" s="129" t="str">
        <f t="shared" si="4"/>
        <v>0</v>
      </c>
      <c r="W316" s="129"/>
      <c r="X316" s="129"/>
      <c r="Y316" s="113"/>
    </row>
    <row r="317" ht="17.25" customHeight="1">
      <c r="A317" s="131" t="str">
        <f>IF(BASE!B321="","",BASE!B321)</f>
        <v/>
      </c>
      <c r="B317" s="49" t="s">
        <v>122</v>
      </c>
      <c r="C317" s="108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33"/>
      <c r="R317" s="49" t="str">
        <f t="shared" si="1"/>
        <v>0</v>
      </c>
      <c r="S317" s="49" t="str">
        <f>BASE!A321</f>
        <v>306</v>
      </c>
      <c r="T317" s="129" t="str">
        <f t="shared" si="2"/>
        <v>0</v>
      </c>
      <c r="U317" s="129" t="str">
        <f t="shared" si="3"/>
        <v>0</v>
      </c>
      <c r="V317" s="129" t="str">
        <f t="shared" si="4"/>
        <v>0</v>
      </c>
      <c r="W317" s="129"/>
      <c r="X317" s="129"/>
      <c r="Y317" s="113"/>
    </row>
    <row r="318" ht="17.25" customHeight="1">
      <c r="A318" s="131" t="str">
        <f>IF(BASE!B322="","",BASE!B322)</f>
        <v/>
      </c>
      <c r="B318" s="49" t="s">
        <v>122</v>
      </c>
      <c r="C318" s="108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08"/>
      <c r="Q318" s="133"/>
      <c r="R318" s="49" t="str">
        <f t="shared" si="1"/>
        <v>0</v>
      </c>
      <c r="S318" s="49" t="str">
        <f>BASE!A322</f>
        <v>307</v>
      </c>
      <c r="T318" s="129" t="str">
        <f t="shared" si="2"/>
        <v>0</v>
      </c>
      <c r="U318" s="129" t="str">
        <f t="shared" si="3"/>
        <v>0</v>
      </c>
      <c r="V318" s="129" t="str">
        <f t="shared" si="4"/>
        <v>0</v>
      </c>
      <c r="W318" s="129"/>
      <c r="X318" s="129"/>
      <c r="Y318" s="113"/>
    </row>
    <row r="319" ht="17.25" customHeight="1">
      <c r="A319" s="131" t="str">
        <f>IF(BASE!B323="","",BASE!B323)</f>
        <v/>
      </c>
      <c r="B319" s="49" t="s">
        <v>122</v>
      </c>
      <c r="C319" s="108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08"/>
      <c r="Q319" s="133"/>
      <c r="R319" s="49" t="str">
        <f t="shared" si="1"/>
        <v>0</v>
      </c>
      <c r="S319" s="49" t="str">
        <f>BASE!A323</f>
        <v>308</v>
      </c>
      <c r="T319" s="129" t="str">
        <f t="shared" si="2"/>
        <v>0</v>
      </c>
      <c r="U319" s="129" t="str">
        <f t="shared" si="3"/>
        <v>0</v>
      </c>
      <c r="V319" s="129" t="str">
        <f t="shared" si="4"/>
        <v>0</v>
      </c>
      <c r="W319" s="129"/>
      <c r="X319" s="129"/>
      <c r="Y319" s="113"/>
    </row>
    <row r="320" ht="17.25" customHeight="1">
      <c r="A320" s="131" t="str">
        <f>IF(BASE!B324="","",BASE!B324)</f>
        <v/>
      </c>
      <c r="B320" s="49" t="s">
        <v>122</v>
      </c>
      <c r="C320" s="108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08"/>
      <c r="Q320" s="133"/>
      <c r="R320" s="49" t="str">
        <f t="shared" si="1"/>
        <v>0</v>
      </c>
      <c r="S320" s="49" t="str">
        <f>BASE!A324</f>
        <v>309</v>
      </c>
      <c r="T320" s="129" t="str">
        <f t="shared" si="2"/>
        <v>0</v>
      </c>
      <c r="U320" s="129" t="str">
        <f t="shared" si="3"/>
        <v>0</v>
      </c>
      <c r="V320" s="129" t="str">
        <f t="shared" si="4"/>
        <v>0</v>
      </c>
      <c r="W320" s="129"/>
      <c r="X320" s="129"/>
      <c r="Y320" s="113"/>
    </row>
    <row r="321" ht="17.25" customHeight="1">
      <c r="A321" s="131" t="str">
        <f>IF(BASE!B325="","",BASE!B325)</f>
        <v/>
      </c>
      <c r="B321" s="49" t="s">
        <v>122</v>
      </c>
      <c r="C321" s="108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08"/>
      <c r="Q321" s="133"/>
      <c r="R321" s="49" t="str">
        <f t="shared" si="1"/>
        <v>0</v>
      </c>
      <c r="S321" s="49" t="str">
        <f>BASE!A325</f>
        <v>310</v>
      </c>
      <c r="T321" s="129" t="str">
        <f t="shared" si="2"/>
        <v>0</v>
      </c>
      <c r="U321" s="129" t="str">
        <f t="shared" si="3"/>
        <v>0</v>
      </c>
      <c r="V321" s="129" t="str">
        <f t="shared" si="4"/>
        <v>0</v>
      </c>
      <c r="W321" s="129"/>
      <c r="X321" s="129"/>
      <c r="Y321" s="113"/>
    </row>
    <row r="322" ht="17.25" customHeight="1">
      <c r="A322" s="131" t="str">
        <f>IF(BASE!B326="","",BASE!B326)</f>
        <v/>
      </c>
      <c r="B322" s="49" t="s">
        <v>122</v>
      </c>
      <c r="C322" s="108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08"/>
      <c r="Q322" s="133"/>
      <c r="R322" s="49" t="str">
        <f t="shared" si="1"/>
        <v>0</v>
      </c>
      <c r="S322" s="49" t="str">
        <f>BASE!A326</f>
        <v>311</v>
      </c>
      <c r="T322" s="129" t="str">
        <f t="shared" si="2"/>
        <v>0</v>
      </c>
      <c r="U322" s="129" t="str">
        <f t="shared" si="3"/>
        <v>0</v>
      </c>
      <c r="V322" s="129" t="str">
        <f t="shared" si="4"/>
        <v>0</v>
      </c>
      <c r="W322" s="129"/>
      <c r="X322" s="129"/>
      <c r="Y322" s="113"/>
    </row>
    <row r="323" ht="17.25" customHeight="1">
      <c r="A323" s="131" t="str">
        <f>IF(BASE!B327="","",BASE!B327)</f>
        <v/>
      </c>
      <c r="B323" s="49" t="s">
        <v>122</v>
      </c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08"/>
      <c r="Q323" s="133"/>
      <c r="R323" s="49" t="str">
        <f t="shared" si="1"/>
        <v>0</v>
      </c>
      <c r="S323" s="49" t="str">
        <f>BASE!A327</f>
        <v>312</v>
      </c>
      <c r="T323" s="129" t="str">
        <f t="shared" si="2"/>
        <v>0</v>
      </c>
      <c r="U323" s="129" t="str">
        <f t="shared" si="3"/>
        <v>0</v>
      </c>
      <c r="V323" s="129" t="str">
        <f t="shared" si="4"/>
        <v>0</v>
      </c>
      <c r="W323" s="129"/>
      <c r="X323" s="129"/>
      <c r="Y323" s="113"/>
    </row>
    <row r="324" ht="17.25" customHeight="1">
      <c r="A324" s="131" t="str">
        <f>IF(BASE!B328="","",BASE!B328)</f>
        <v/>
      </c>
      <c r="B324" s="49" t="s">
        <v>122</v>
      </c>
      <c r="C324" s="108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08"/>
      <c r="Q324" s="133"/>
      <c r="R324" s="49" t="str">
        <f t="shared" si="1"/>
        <v>0</v>
      </c>
      <c r="S324" s="49" t="str">
        <f>BASE!A328</f>
        <v>313</v>
      </c>
      <c r="T324" s="129" t="str">
        <f t="shared" si="2"/>
        <v>0</v>
      </c>
      <c r="U324" s="129" t="str">
        <f t="shared" si="3"/>
        <v>0</v>
      </c>
      <c r="V324" s="129" t="str">
        <f t="shared" si="4"/>
        <v>0</v>
      </c>
      <c r="W324" s="129"/>
      <c r="X324" s="129"/>
      <c r="Y324" s="113"/>
    </row>
    <row r="325" ht="17.25" customHeight="1">
      <c r="A325" s="131" t="str">
        <f>IF(BASE!B329="","",BASE!B329)</f>
        <v/>
      </c>
      <c r="B325" s="49" t="s">
        <v>122</v>
      </c>
      <c r="C325" s="108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08"/>
      <c r="Q325" s="133"/>
      <c r="R325" s="49" t="str">
        <f t="shared" si="1"/>
        <v>0</v>
      </c>
      <c r="S325" s="49" t="str">
        <f>BASE!A329</f>
        <v>314</v>
      </c>
      <c r="T325" s="129" t="str">
        <f t="shared" si="2"/>
        <v>0</v>
      </c>
      <c r="U325" s="129" t="str">
        <f t="shared" si="3"/>
        <v>0</v>
      </c>
      <c r="V325" s="129" t="str">
        <f t="shared" si="4"/>
        <v>0</v>
      </c>
      <c r="W325" s="129"/>
      <c r="X325" s="129"/>
      <c r="Y325" s="113"/>
    </row>
    <row r="326" ht="17.25" customHeight="1">
      <c r="A326" s="131" t="str">
        <f>IF(BASE!B330="","",BASE!B330)</f>
        <v/>
      </c>
      <c r="B326" s="49" t="s">
        <v>122</v>
      </c>
      <c r="C326" s="108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33"/>
      <c r="R326" s="49" t="str">
        <f t="shared" si="1"/>
        <v>0</v>
      </c>
      <c r="S326" s="49" t="str">
        <f>BASE!A330</f>
        <v>315</v>
      </c>
      <c r="T326" s="129" t="str">
        <f t="shared" si="2"/>
        <v>0</v>
      </c>
      <c r="U326" s="129" t="str">
        <f t="shared" si="3"/>
        <v>0</v>
      </c>
      <c r="V326" s="129" t="str">
        <f t="shared" si="4"/>
        <v>0</v>
      </c>
      <c r="W326" s="129"/>
      <c r="X326" s="129"/>
      <c r="Y326" s="113"/>
    </row>
    <row r="327" ht="17.25" customHeight="1">
      <c r="A327" s="131" t="str">
        <f>IF(BASE!B331="","",BASE!B331)</f>
        <v/>
      </c>
      <c r="B327" s="49" t="s">
        <v>122</v>
      </c>
      <c r="C327" s="108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08"/>
      <c r="Q327" s="133"/>
      <c r="R327" s="49" t="str">
        <f t="shared" si="1"/>
        <v>0</v>
      </c>
      <c r="S327" s="49" t="str">
        <f>BASE!A331</f>
        <v>316</v>
      </c>
      <c r="T327" s="129" t="str">
        <f t="shared" si="2"/>
        <v>0</v>
      </c>
      <c r="U327" s="129" t="str">
        <f t="shared" si="3"/>
        <v>0</v>
      </c>
      <c r="V327" s="129" t="str">
        <f t="shared" si="4"/>
        <v>0</v>
      </c>
      <c r="W327" s="129"/>
      <c r="X327" s="129"/>
      <c r="Y327" s="113"/>
    </row>
    <row r="328" ht="17.25" customHeight="1">
      <c r="A328" s="131" t="str">
        <f>IF(BASE!B332="","",BASE!B332)</f>
        <v/>
      </c>
      <c r="B328" s="49" t="s">
        <v>122</v>
      </c>
      <c r="C328" s="108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08"/>
      <c r="Q328" s="133"/>
      <c r="R328" s="49" t="str">
        <f t="shared" si="1"/>
        <v>0</v>
      </c>
      <c r="S328" s="49" t="str">
        <f>BASE!A332</f>
        <v>317</v>
      </c>
      <c r="T328" s="129" t="str">
        <f t="shared" si="2"/>
        <v>0</v>
      </c>
      <c r="U328" s="129" t="str">
        <f t="shared" si="3"/>
        <v>0</v>
      </c>
      <c r="V328" s="129" t="str">
        <f t="shared" si="4"/>
        <v>0</v>
      </c>
      <c r="W328" s="129"/>
      <c r="X328" s="129"/>
      <c r="Y328" s="113"/>
    </row>
    <row r="329" ht="17.25" customHeight="1">
      <c r="A329" s="131" t="str">
        <f>IF(BASE!B333="","",BASE!B333)</f>
        <v/>
      </c>
      <c r="B329" s="49" t="s">
        <v>122</v>
      </c>
      <c r="C329" s="108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08"/>
      <c r="Q329" s="133"/>
      <c r="R329" s="49" t="str">
        <f t="shared" si="1"/>
        <v>0</v>
      </c>
      <c r="S329" s="49" t="str">
        <f>BASE!A333</f>
        <v>318</v>
      </c>
      <c r="T329" s="129" t="str">
        <f t="shared" si="2"/>
        <v>0</v>
      </c>
      <c r="U329" s="129" t="str">
        <f t="shared" si="3"/>
        <v>0</v>
      </c>
      <c r="V329" s="129" t="str">
        <f t="shared" si="4"/>
        <v>0</v>
      </c>
      <c r="W329" s="129"/>
      <c r="X329" s="129"/>
      <c r="Y329" s="113"/>
    </row>
    <row r="330" ht="17.25" customHeight="1">
      <c r="A330" s="131" t="str">
        <f>IF(BASE!B334="","",BASE!B334)</f>
        <v/>
      </c>
      <c r="B330" s="49" t="s">
        <v>122</v>
      </c>
      <c r="C330" s="108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08"/>
      <c r="Q330" s="133"/>
      <c r="R330" s="49" t="str">
        <f t="shared" si="1"/>
        <v>0</v>
      </c>
      <c r="S330" s="49" t="str">
        <f>BASE!A334</f>
        <v>319</v>
      </c>
      <c r="T330" s="129" t="str">
        <f t="shared" si="2"/>
        <v>0</v>
      </c>
      <c r="U330" s="129" t="str">
        <f t="shared" si="3"/>
        <v>0</v>
      </c>
      <c r="V330" s="129" t="str">
        <f t="shared" si="4"/>
        <v>0</v>
      </c>
      <c r="W330" s="129"/>
      <c r="X330" s="129"/>
      <c r="Y330" s="113"/>
    </row>
    <row r="331" ht="17.25" customHeight="1">
      <c r="A331" s="131" t="str">
        <f>IF(BASE!B335="","",BASE!B335)</f>
        <v/>
      </c>
      <c r="B331" s="49" t="s">
        <v>122</v>
      </c>
      <c r="C331" s="108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08"/>
      <c r="Q331" s="133"/>
      <c r="R331" s="49" t="str">
        <f t="shared" si="1"/>
        <v>0</v>
      </c>
      <c r="S331" s="49" t="str">
        <f>BASE!A335</f>
        <v>320</v>
      </c>
      <c r="T331" s="129" t="str">
        <f t="shared" si="2"/>
        <v>0</v>
      </c>
      <c r="U331" s="129" t="str">
        <f t="shared" si="3"/>
        <v>0</v>
      </c>
      <c r="V331" s="129" t="str">
        <f t="shared" si="4"/>
        <v>0</v>
      </c>
      <c r="W331" s="129"/>
      <c r="X331" s="129"/>
      <c r="Y331" s="113"/>
    </row>
    <row r="332" ht="17.25" customHeight="1">
      <c r="A332" s="131" t="str">
        <f>IF(BASE!B336="","",BASE!B336)</f>
        <v/>
      </c>
      <c r="B332" s="49" t="s">
        <v>122</v>
      </c>
      <c r="C332" s="108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08"/>
      <c r="Q332" s="133"/>
      <c r="R332" s="49" t="str">
        <f t="shared" si="1"/>
        <v>0</v>
      </c>
      <c r="S332" s="49" t="str">
        <f>BASE!A336</f>
        <v>321</v>
      </c>
      <c r="T332" s="129" t="str">
        <f t="shared" si="2"/>
        <v>0</v>
      </c>
      <c r="U332" s="129" t="str">
        <f t="shared" si="3"/>
        <v>0</v>
      </c>
      <c r="V332" s="129" t="str">
        <f t="shared" si="4"/>
        <v>0</v>
      </c>
      <c r="W332" s="129"/>
      <c r="X332" s="129"/>
      <c r="Y332" s="113"/>
    </row>
    <row r="333" ht="17.25" customHeight="1">
      <c r="A333" s="131" t="str">
        <f>IF(BASE!B337="","",BASE!B337)</f>
        <v/>
      </c>
      <c r="B333" s="49" t="s">
        <v>122</v>
      </c>
      <c r="C333" s="108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08"/>
      <c r="Q333" s="133"/>
      <c r="R333" s="49" t="str">
        <f t="shared" si="1"/>
        <v>0</v>
      </c>
      <c r="S333" s="49" t="str">
        <f>BASE!A337</f>
        <v>322</v>
      </c>
      <c r="T333" s="129" t="str">
        <f t="shared" si="2"/>
        <v>0</v>
      </c>
      <c r="U333" s="129" t="str">
        <f t="shared" si="3"/>
        <v>0</v>
      </c>
      <c r="V333" s="129" t="str">
        <f t="shared" si="4"/>
        <v>0</v>
      </c>
      <c r="W333" s="129"/>
      <c r="X333" s="129"/>
      <c r="Y333" s="113"/>
    </row>
    <row r="334" ht="17.25" customHeight="1">
      <c r="A334" s="131" t="str">
        <f>IF(BASE!B338="","",BASE!B338)</f>
        <v/>
      </c>
      <c r="B334" s="49" t="s">
        <v>122</v>
      </c>
      <c r="C334" s="108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08"/>
      <c r="Q334" s="133"/>
      <c r="R334" s="49" t="str">
        <f t="shared" si="1"/>
        <v>0</v>
      </c>
      <c r="S334" s="49" t="str">
        <f>BASE!A338</f>
        <v>323</v>
      </c>
      <c r="T334" s="129" t="str">
        <f t="shared" si="2"/>
        <v>0</v>
      </c>
      <c r="U334" s="129" t="str">
        <f t="shared" si="3"/>
        <v>0</v>
      </c>
      <c r="V334" s="129" t="str">
        <f t="shared" si="4"/>
        <v>0</v>
      </c>
      <c r="W334" s="129"/>
      <c r="X334" s="129"/>
      <c r="Y334" s="113"/>
    </row>
    <row r="335" ht="17.25" customHeight="1">
      <c r="A335" s="131" t="str">
        <f>IF(BASE!B339="","",BASE!B339)</f>
        <v/>
      </c>
      <c r="B335" s="49" t="s">
        <v>122</v>
      </c>
      <c r="C335" s="108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33"/>
      <c r="R335" s="49" t="str">
        <f t="shared" si="1"/>
        <v>0</v>
      </c>
      <c r="S335" s="49" t="str">
        <f>BASE!A339</f>
        <v>324</v>
      </c>
      <c r="T335" s="129" t="str">
        <f t="shared" si="2"/>
        <v>0</v>
      </c>
      <c r="U335" s="129" t="str">
        <f t="shared" si="3"/>
        <v>0</v>
      </c>
      <c r="V335" s="129" t="str">
        <f t="shared" si="4"/>
        <v>0</v>
      </c>
      <c r="W335" s="129"/>
      <c r="X335" s="129"/>
      <c r="Y335" s="113"/>
    </row>
    <row r="336" ht="17.25" customHeight="1">
      <c r="A336" s="131" t="str">
        <f>IF(BASE!B340="","",BASE!B340)</f>
        <v/>
      </c>
      <c r="B336" s="49" t="s">
        <v>122</v>
      </c>
      <c r="C336" s="108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08"/>
      <c r="Q336" s="133"/>
      <c r="R336" s="49" t="str">
        <f t="shared" si="1"/>
        <v>0</v>
      </c>
      <c r="S336" s="49" t="str">
        <f>BASE!A340</f>
        <v>325</v>
      </c>
      <c r="T336" s="129" t="str">
        <f t="shared" si="2"/>
        <v>0</v>
      </c>
      <c r="U336" s="129" t="str">
        <f t="shared" si="3"/>
        <v>0</v>
      </c>
      <c r="V336" s="129" t="str">
        <f t="shared" si="4"/>
        <v>0</v>
      </c>
      <c r="W336" s="129"/>
      <c r="X336" s="129"/>
      <c r="Y336" s="113"/>
    </row>
    <row r="337" ht="17.25" customHeight="1">
      <c r="A337" s="131" t="str">
        <f>IF(BASE!B341="","",BASE!B341)</f>
        <v/>
      </c>
      <c r="B337" s="49" t="s">
        <v>122</v>
      </c>
      <c r="C337" s="108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08"/>
      <c r="Q337" s="133"/>
      <c r="R337" s="49" t="str">
        <f t="shared" si="1"/>
        <v>0</v>
      </c>
      <c r="S337" s="49" t="str">
        <f>BASE!A341</f>
        <v>326</v>
      </c>
      <c r="T337" s="129" t="str">
        <f t="shared" si="2"/>
        <v>0</v>
      </c>
      <c r="U337" s="129" t="str">
        <f t="shared" si="3"/>
        <v>0</v>
      </c>
      <c r="V337" s="129" t="str">
        <f t="shared" si="4"/>
        <v>0</v>
      </c>
      <c r="W337" s="129"/>
      <c r="X337" s="129"/>
      <c r="Y337" s="113"/>
    </row>
    <row r="338" ht="17.25" customHeight="1">
      <c r="A338" s="131" t="str">
        <f>IF(BASE!B342="","",BASE!B342)</f>
        <v/>
      </c>
      <c r="B338" s="49" t="s">
        <v>122</v>
      </c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33"/>
      <c r="R338" s="49" t="str">
        <f t="shared" si="1"/>
        <v>0</v>
      </c>
      <c r="S338" s="49" t="str">
        <f>BASE!A342</f>
        <v>327</v>
      </c>
      <c r="T338" s="129" t="str">
        <f t="shared" si="2"/>
        <v>0</v>
      </c>
      <c r="U338" s="129" t="str">
        <f t="shared" si="3"/>
        <v>0</v>
      </c>
      <c r="V338" s="129" t="str">
        <f t="shared" si="4"/>
        <v>0</v>
      </c>
      <c r="W338" s="129"/>
      <c r="X338" s="129"/>
      <c r="Y338" s="113"/>
    </row>
    <row r="339" ht="17.25" customHeight="1">
      <c r="A339" s="131" t="str">
        <f>IF(BASE!B343="","",BASE!B343)</f>
        <v/>
      </c>
      <c r="B339" s="49" t="s">
        <v>122</v>
      </c>
      <c r="C339" s="108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08"/>
      <c r="Q339" s="133"/>
      <c r="R339" s="49" t="str">
        <f t="shared" si="1"/>
        <v>0</v>
      </c>
      <c r="S339" s="49" t="str">
        <f>BASE!A343</f>
        <v>328</v>
      </c>
      <c r="T339" s="129" t="str">
        <f t="shared" si="2"/>
        <v>0</v>
      </c>
      <c r="U339" s="129" t="str">
        <f t="shared" si="3"/>
        <v>0</v>
      </c>
      <c r="V339" s="129" t="str">
        <f t="shared" si="4"/>
        <v>0</v>
      </c>
      <c r="W339" s="129"/>
      <c r="X339" s="129"/>
      <c r="Y339" s="113"/>
    </row>
    <row r="340" ht="17.25" customHeight="1">
      <c r="A340" s="131" t="str">
        <f>IF(BASE!B344="","",BASE!B344)</f>
        <v/>
      </c>
      <c r="B340" s="49" t="s">
        <v>122</v>
      </c>
      <c r="C340" s="108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08"/>
      <c r="Q340" s="133"/>
      <c r="R340" s="49" t="str">
        <f t="shared" si="1"/>
        <v>0</v>
      </c>
      <c r="S340" s="49" t="str">
        <f>BASE!A344</f>
        <v>329</v>
      </c>
      <c r="T340" s="129" t="str">
        <f t="shared" si="2"/>
        <v>0</v>
      </c>
      <c r="U340" s="129" t="str">
        <f t="shared" si="3"/>
        <v>0</v>
      </c>
      <c r="V340" s="129" t="str">
        <f t="shared" si="4"/>
        <v>0</v>
      </c>
      <c r="W340" s="129"/>
      <c r="X340" s="129"/>
      <c r="Y340" s="113"/>
    </row>
    <row r="341" ht="17.25" customHeight="1">
      <c r="A341" s="131" t="str">
        <f>IF(BASE!B345="","",BASE!B345)</f>
        <v/>
      </c>
      <c r="B341" s="49" t="s">
        <v>122</v>
      </c>
      <c r="C341" s="108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08"/>
      <c r="Q341" s="133"/>
      <c r="R341" s="49" t="str">
        <f t="shared" si="1"/>
        <v>0</v>
      </c>
      <c r="S341" s="49" t="str">
        <f>BASE!A345</f>
        <v>330</v>
      </c>
      <c r="T341" s="129" t="str">
        <f t="shared" si="2"/>
        <v>0</v>
      </c>
      <c r="U341" s="129" t="str">
        <f t="shared" si="3"/>
        <v>0</v>
      </c>
      <c r="V341" s="129" t="str">
        <f t="shared" si="4"/>
        <v>0</v>
      </c>
      <c r="W341" s="129"/>
      <c r="X341" s="129"/>
      <c r="Y341" s="113"/>
    </row>
    <row r="342" ht="17.25" customHeight="1">
      <c r="A342" s="131" t="str">
        <f>IF(BASE!B346="","",BASE!B346)</f>
        <v/>
      </c>
      <c r="B342" s="49" t="s">
        <v>122</v>
      </c>
      <c r="C342" s="108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08"/>
      <c r="Q342" s="133"/>
      <c r="R342" s="49" t="str">
        <f t="shared" si="1"/>
        <v>0</v>
      </c>
      <c r="S342" s="49" t="str">
        <f>BASE!A346</f>
        <v>331</v>
      </c>
      <c r="T342" s="129" t="str">
        <f t="shared" si="2"/>
        <v>0</v>
      </c>
      <c r="U342" s="129" t="str">
        <f t="shared" si="3"/>
        <v>0</v>
      </c>
      <c r="V342" s="129" t="str">
        <f t="shared" si="4"/>
        <v>0</v>
      </c>
      <c r="W342" s="129"/>
      <c r="X342" s="129"/>
      <c r="Y342" s="113"/>
    </row>
    <row r="343" ht="17.25" customHeight="1">
      <c r="A343" s="131" t="str">
        <f>IF(BASE!B347="","",BASE!B347)</f>
        <v/>
      </c>
      <c r="B343" s="49" t="s">
        <v>122</v>
      </c>
      <c r="C343" s="108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08"/>
      <c r="Q343" s="133"/>
      <c r="R343" s="49" t="str">
        <f t="shared" si="1"/>
        <v>0</v>
      </c>
      <c r="S343" s="49" t="str">
        <f>BASE!A347</f>
        <v>332</v>
      </c>
      <c r="T343" s="129" t="str">
        <f t="shared" si="2"/>
        <v>0</v>
      </c>
      <c r="U343" s="129" t="str">
        <f t="shared" si="3"/>
        <v>0</v>
      </c>
      <c r="V343" s="129" t="str">
        <f t="shared" si="4"/>
        <v>0</v>
      </c>
      <c r="W343" s="129"/>
      <c r="X343" s="129"/>
      <c r="Y343" s="113"/>
    </row>
    <row r="344" ht="17.25" customHeight="1">
      <c r="A344" s="131" t="str">
        <f>IF(BASE!B348="","",BASE!B348)</f>
        <v/>
      </c>
      <c r="B344" s="49" t="s">
        <v>122</v>
      </c>
      <c r="C344" s="108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08"/>
      <c r="Q344" s="133"/>
      <c r="R344" s="49" t="str">
        <f t="shared" si="1"/>
        <v>0</v>
      </c>
      <c r="S344" s="49" t="str">
        <f>BASE!A348</f>
        <v>333</v>
      </c>
      <c r="T344" s="129" t="str">
        <f t="shared" si="2"/>
        <v>0</v>
      </c>
      <c r="U344" s="129" t="str">
        <f t="shared" si="3"/>
        <v>0</v>
      </c>
      <c r="V344" s="129" t="str">
        <f t="shared" si="4"/>
        <v>0</v>
      </c>
      <c r="W344" s="129"/>
      <c r="X344" s="129"/>
      <c r="Y344" s="113"/>
    </row>
    <row r="345" ht="17.25" customHeight="1">
      <c r="A345" s="131" t="str">
        <f>IF(BASE!B349="","",BASE!B349)</f>
        <v/>
      </c>
      <c r="B345" s="49" t="s">
        <v>122</v>
      </c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08"/>
      <c r="Q345" s="133"/>
      <c r="R345" s="49" t="str">
        <f t="shared" si="1"/>
        <v>0</v>
      </c>
      <c r="S345" s="49" t="str">
        <f>BASE!A349</f>
        <v>334</v>
      </c>
      <c r="T345" s="129" t="str">
        <f t="shared" si="2"/>
        <v>0</v>
      </c>
      <c r="U345" s="129" t="str">
        <f t="shared" si="3"/>
        <v>0</v>
      </c>
      <c r="V345" s="129" t="str">
        <f t="shared" si="4"/>
        <v>0</v>
      </c>
      <c r="W345" s="129"/>
      <c r="X345" s="129"/>
      <c r="Y345" s="113"/>
    </row>
    <row r="346" ht="17.25" customHeight="1">
      <c r="A346" s="131" t="str">
        <f>IF(BASE!B350="","",BASE!B350)</f>
        <v/>
      </c>
      <c r="B346" s="49" t="s">
        <v>122</v>
      </c>
      <c r="C346" s="108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08"/>
      <c r="Q346" s="133"/>
      <c r="R346" s="49" t="str">
        <f t="shared" si="1"/>
        <v>0</v>
      </c>
      <c r="S346" s="49" t="str">
        <f>BASE!A350</f>
        <v>335</v>
      </c>
      <c r="T346" s="129" t="str">
        <f t="shared" si="2"/>
        <v>0</v>
      </c>
      <c r="U346" s="129" t="str">
        <f t="shared" si="3"/>
        <v>0</v>
      </c>
      <c r="V346" s="129" t="str">
        <f t="shared" si="4"/>
        <v>0</v>
      </c>
      <c r="W346" s="129"/>
      <c r="X346" s="129"/>
      <c r="Y346" s="113"/>
    </row>
    <row r="347" ht="17.25" customHeight="1">
      <c r="A347" s="131" t="str">
        <f>IF(BASE!B351="","",BASE!B351)</f>
        <v/>
      </c>
      <c r="B347" s="49" t="s">
        <v>122</v>
      </c>
      <c r="C347" s="108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08"/>
      <c r="Q347" s="133"/>
      <c r="R347" s="49" t="str">
        <f t="shared" si="1"/>
        <v>0</v>
      </c>
      <c r="S347" s="49" t="str">
        <f>BASE!A351</f>
        <v>336</v>
      </c>
      <c r="T347" s="129" t="str">
        <f t="shared" si="2"/>
        <v>0</v>
      </c>
      <c r="U347" s="129" t="str">
        <f t="shared" si="3"/>
        <v>0</v>
      </c>
      <c r="V347" s="129" t="str">
        <f t="shared" si="4"/>
        <v>0</v>
      </c>
      <c r="W347" s="129"/>
      <c r="X347" s="129"/>
      <c r="Y347" s="113"/>
    </row>
    <row r="348" ht="17.25" customHeight="1">
      <c r="A348" s="131" t="str">
        <f>IF(BASE!B352="","",BASE!B352)</f>
        <v/>
      </c>
      <c r="B348" s="49" t="s">
        <v>122</v>
      </c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33"/>
      <c r="R348" s="49" t="str">
        <f t="shared" si="1"/>
        <v>0</v>
      </c>
      <c r="S348" s="49" t="str">
        <f>BASE!A352</f>
        <v>337</v>
      </c>
      <c r="T348" s="129" t="str">
        <f t="shared" si="2"/>
        <v>0</v>
      </c>
      <c r="U348" s="129" t="str">
        <f t="shared" si="3"/>
        <v>0</v>
      </c>
      <c r="V348" s="129" t="str">
        <f t="shared" si="4"/>
        <v>0</v>
      </c>
      <c r="W348" s="129"/>
      <c r="X348" s="129"/>
      <c r="Y348" s="113"/>
    </row>
    <row r="349" ht="17.25" customHeight="1">
      <c r="A349" s="131" t="str">
        <f>IF(BASE!B353="","",BASE!B353)</f>
        <v/>
      </c>
      <c r="B349" s="49" t="s">
        <v>122</v>
      </c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33"/>
      <c r="R349" s="49" t="str">
        <f t="shared" si="1"/>
        <v>0</v>
      </c>
      <c r="S349" s="49" t="str">
        <f>BASE!A353</f>
        <v>338</v>
      </c>
      <c r="T349" s="129" t="str">
        <f t="shared" si="2"/>
        <v>0</v>
      </c>
      <c r="U349" s="129" t="str">
        <f t="shared" si="3"/>
        <v>0</v>
      </c>
      <c r="V349" s="129" t="str">
        <f t="shared" si="4"/>
        <v>0</v>
      </c>
      <c r="W349" s="129"/>
      <c r="X349" s="129"/>
      <c r="Y349" s="113"/>
    </row>
    <row r="350" ht="17.25" customHeight="1">
      <c r="A350" s="131" t="str">
        <f>IF(BASE!B354="","",BASE!B354)</f>
        <v/>
      </c>
      <c r="B350" s="49" t="s">
        <v>122</v>
      </c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33"/>
      <c r="R350" s="49" t="str">
        <f t="shared" si="1"/>
        <v>0</v>
      </c>
      <c r="S350" s="49" t="str">
        <f>BASE!A354</f>
        <v>339</v>
      </c>
      <c r="T350" s="129" t="str">
        <f t="shared" si="2"/>
        <v>0</v>
      </c>
      <c r="U350" s="129" t="str">
        <f t="shared" si="3"/>
        <v>0</v>
      </c>
      <c r="V350" s="129" t="str">
        <f t="shared" si="4"/>
        <v>0</v>
      </c>
      <c r="W350" s="129"/>
      <c r="X350" s="129"/>
      <c r="Y350" s="113"/>
    </row>
    <row r="351" ht="17.25" customHeight="1">
      <c r="A351" s="131" t="str">
        <f>IF(BASE!B355="","",BASE!B355)</f>
        <v/>
      </c>
      <c r="B351" s="49" t="s">
        <v>122</v>
      </c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33"/>
      <c r="R351" s="49" t="str">
        <f t="shared" si="1"/>
        <v>0</v>
      </c>
      <c r="S351" s="49" t="str">
        <f>BASE!A355</f>
        <v>340</v>
      </c>
      <c r="T351" s="129" t="str">
        <f t="shared" si="2"/>
        <v>0</v>
      </c>
      <c r="U351" s="129" t="str">
        <f t="shared" si="3"/>
        <v>0</v>
      </c>
      <c r="V351" s="129" t="str">
        <f t="shared" si="4"/>
        <v>0</v>
      </c>
      <c r="W351" s="129"/>
      <c r="X351" s="129"/>
      <c r="Y351" s="113"/>
    </row>
    <row r="352" ht="17.25" customHeight="1">
      <c r="A352" s="131" t="str">
        <f>IF(BASE!B356="","",BASE!B356)</f>
        <v/>
      </c>
      <c r="B352" s="49" t="s">
        <v>122</v>
      </c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33"/>
      <c r="R352" s="49" t="str">
        <f t="shared" si="1"/>
        <v>0</v>
      </c>
      <c r="S352" s="49" t="str">
        <f>BASE!A356</f>
        <v>341</v>
      </c>
      <c r="T352" s="129" t="str">
        <f t="shared" si="2"/>
        <v>0</v>
      </c>
      <c r="U352" s="129" t="str">
        <f t="shared" si="3"/>
        <v>0</v>
      </c>
      <c r="V352" s="129" t="str">
        <f t="shared" si="4"/>
        <v>0</v>
      </c>
      <c r="W352" s="129"/>
      <c r="X352" s="129"/>
      <c r="Y352" s="113"/>
    </row>
    <row r="353" ht="17.25" customHeight="1">
      <c r="A353" s="131" t="str">
        <f>IF(BASE!B357="","",BASE!B357)</f>
        <v/>
      </c>
      <c r="B353" s="49" t="s">
        <v>122</v>
      </c>
      <c r="C353" s="108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08"/>
      <c r="Q353" s="133"/>
      <c r="R353" s="49" t="str">
        <f t="shared" si="1"/>
        <v>0</v>
      </c>
      <c r="S353" s="49" t="str">
        <f>BASE!A357</f>
        <v>342</v>
      </c>
      <c r="T353" s="129" t="str">
        <f t="shared" si="2"/>
        <v>0</v>
      </c>
      <c r="U353" s="129" t="str">
        <f t="shared" si="3"/>
        <v>0</v>
      </c>
      <c r="V353" s="129" t="str">
        <f t="shared" si="4"/>
        <v>0</v>
      </c>
      <c r="W353" s="129"/>
      <c r="X353" s="129"/>
      <c r="Y353" s="113"/>
    </row>
    <row r="354" ht="17.25" customHeight="1">
      <c r="A354" s="131" t="str">
        <f>IF(BASE!B358="","",BASE!B358)</f>
        <v/>
      </c>
      <c r="B354" s="49" t="s">
        <v>122</v>
      </c>
      <c r="C354" s="108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08"/>
      <c r="Q354" s="133"/>
      <c r="R354" s="49" t="str">
        <f t="shared" si="1"/>
        <v>0</v>
      </c>
      <c r="S354" s="49" t="str">
        <f>BASE!A358</f>
        <v>343</v>
      </c>
      <c r="T354" s="129" t="str">
        <f t="shared" si="2"/>
        <v>0</v>
      </c>
      <c r="U354" s="129" t="str">
        <f t="shared" si="3"/>
        <v>0</v>
      </c>
      <c r="V354" s="129" t="str">
        <f t="shared" si="4"/>
        <v>0</v>
      </c>
      <c r="W354" s="129"/>
      <c r="X354" s="129"/>
      <c r="Y354" s="113"/>
    </row>
    <row r="355" ht="17.25" customHeight="1">
      <c r="A355" s="131" t="str">
        <f>IF(BASE!B359="","",BASE!B359)</f>
        <v/>
      </c>
      <c r="B355" s="49" t="s">
        <v>122</v>
      </c>
      <c r="C355" s="108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08"/>
      <c r="Q355" s="133"/>
      <c r="R355" s="49" t="str">
        <f t="shared" si="1"/>
        <v>0</v>
      </c>
      <c r="S355" s="49" t="str">
        <f>BASE!A359</f>
        <v>344</v>
      </c>
      <c r="T355" s="129" t="str">
        <f t="shared" si="2"/>
        <v>0</v>
      </c>
      <c r="U355" s="129" t="str">
        <f t="shared" si="3"/>
        <v>0</v>
      </c>
      <c r="V355" s="129" t="str">
        <f t="shared" si="4"/>
        <v>0</v>
      </c>
      <c r="W355" s="129"/>
      <c r="X355" s="129"/>
      <c r="Y355" s="113"/>
    </row>
    <row r="356" ht="17.25" customHeight="1">
      <c r="A356" s="131" t="str">
        <f>IF(BASE!B360="","",BASE!B360)</f>
        <v/>
      </c>
      <c r="B356" s="49" t="s">
        <v>122</v>
      </c>
      <c r="C356" s="108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08"/>
      <c r="Q356" s="133"/>
      <c r="R356" s="49" t="str">
        <f t="shared" si="1"/>
        <v>0</v>
      </c>
      <c r="S356" s="49" t="str">
        <f>BASE!A360</f>
        <v>345</v>
      </c>
      <c r="T356" s="129" t="str">
        <f t="shared" si="2"/>
        <v>0</v>
      </c>
      <c r="U356" s="129" t="str">
        <f t="shared" si="3"/>
        <v>0</v>
      </c>
      <c r="V356" s="129" t="str">
        <f t="shared" si="4"/>
        <v>0</v>
      </c>
      <c r="W356" s="129"/>
      <c r="X356" s="129"/>
      <c r="Y356" s="113"/>
    </row>
    <row r="357" ht="17.25" customHeight="1">
      <c r="A357" s="131" t="str">
        <f>IF(BASE!B361="","",BASE!B361)</f>
        <v/>
      </c>
      <c r="B357" s="49" t="s">
        <v>122</v>
      </c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08"/>
      <c r="Q357" s="133"/>
      <c r="R357" s="49" t="str">
        <f t="shared" si="1"/>
        <v>0</v>
      </c>
      <c r="S357" s="49" t="str">
        <f>BASE!A361</f>
        <v>346</v>
      </c>
      <c r="T357" s="129" t="str">
        <f t="shared" si="2"/>
        <v>0</v>
      </c>
      <c r="U357" s="129" t="str">
        <f t="shared" si="3"/>
        <v>0</v>
      </c>
      <c r="V357" s="129" t="str">
        <f t="shared" si="4"/>
        <v>0</v>
      </c>
      <c r="W357" s="129"/>
      <c r="X357" s="129"/>
      <c r="Y357" s="113"/>
    </row>
    <row r="358" ht="17.25" customHeight="1">
      <c r="A358" s="131" t="str">
        <f>IF(BASE!B362="","",BASE!B362)</f>
        <v/>
      </c>
      <c r="B358" s="49" t="s">
        <v>122</v>
      </c>
      <c r="C358" s="108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08"/>
      <c r="Q358" s="133"/>
      <c r="R358" s="49" t="str">
        <f t="shared" si="1"/>
        <v>0</v>
      </c>
      <c r="S358" s="49" t="str">
        <f>BASE!A362</f>
        <v>347</v>
      </c>
      <c r="T358" s="129" t="str">
        <f t="shared" si="2"/>
        <v>0</v>
      </c>
      <c r="U358" s="129" t="str">
        <f t="shared" si="3"/>
        <v>0</v>
      </c>
      <c r="V358" s="129" t="str">
        <f t="shared" si="4"/>
        <v>0</v>
      </c>
      <c r="W358" s="129"/>
      <c r="X358" s="129"/>
      <c r="Y358" s="113"/>
    </row>
    <row r="359" ht="17.25" customHeight="1">
      <c r="A359" s="131" t="str">
        <f>IF(BASE!B363="","",BASE!B363)</f>
        <v/>
      </c>
      <c r="B359" s="49" t="s">
        <v>122</v>
      </c>
      <c r="C359" s="108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08"/>
      <c r="Q359" s="133"/>
      <c r="R359" s="49" t="str">
        <f t="shared" si="1"/>
        <v>0</v>
      </c>
      <c r="S359" s="49" t="str">
        <f>BASE!A363</f>
        <v>348</v>
      </c>
      <c r="T359" s="129" t="str">
        <f t="shared" si="2"/>
        <v>0</v>
      </c>
      <c r="U359" s="129" t="str">
        <f t="shared" si="3"/>
        <v>0</v>
      </c>
      <c r="V359" s="129" t="str">
        <f t="shared" si="4"/>
        <v>0</v>
      </c>
      <c r="W359" s="129"/>
      <c r="X359" s="129"/>
      <c r="Y359" s="113"/>
    </row>
    <row r="360" ht="17.25" customHeight="1">
      <c r="A360" s="131" t="str">
        <f>IF(BASE!B364="","",BASE!B364)</f>
        <v/>
      </c>
      <c r="B360" s="49" t="s">
        <v>122</v>
      </c>
      <c r="C360" s="108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08"/>
      <c r="Q360" s="133"/>
      <c r="R360" s="49" t="str">
        <f t="shared" si="1"/>
        <v>0</v>
      </c>
      <c r="S360" s="49" t="str">
        <f>BASE!A364</f>
        <v>349</v>
      </c>
      <c r="T360" s="129" t="str">
        <f t="shared" si="2"/>
        <v>0</v>
      </c>
      <c r="U360" s="129" t="str">
        <f t="shared" si="3"/>
        <v>0</v>
      </c>
      <c r="V360" s="129" t="str">
        <f t="shared" si="4"/>
        <v>0</v>
      </c>
      <c r="W360" s="129"/>
      <c r="X360" s="129"/>
      <c r="Y360" s="113"/>
    </row>
    <row r="361" ht="17.25" customHeight="1">
      <c r="A361" s="131" t="str">
        <f>IF(BASE!B365="","",BASE!B365)</f>
        <v/>
      </c>
      <c r="B361" s="49" t="s">
        <v>122</v>
      </c>
      <c r="C361" s="108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08"/>
      <c r="Q361" s="133"/>
      <c r="R361" s="49" t="str">
        <f t="shared" si="1"/>
        <v>0</v>
      </c>
      <c r="S361" s="49" t="str">
        <f>BASE!A365</f>
        <v>350</v>
      </c>
      <c r="T361" s="129" t="str">
        <f t="shared" si="2"/>
        <v>0</v>
      </c>
      <c r="U361" s="129" t="str">
        <f t="shared" si="3"/>
        <v>0</v>
      </c>
      <c r="V361" s="129" t="str">
        <f t="shared" si="4"/>
        <v>0</v>
      </c>
      <c r="W361" s="129"/>
      <c r="X361" s="129"/>
      <c r="Y361" s="113"/>
    </row>
    <row r="362" ht="17.25" customHeight="1">
      <c r="A362" s="131" t="str">
        <f>IF(BASE!B366="","",BASE!B366)</f>
        <v/>
      </c>
      <c r="B362" s="49" t="s">
        <v>122</v>
      </c>
      <c r="C362" s="108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08"/>
      <c r="Q362" s="133"/>
      <c r="R362" s="49" t="str">
        <f t="shared" si="1"/>
        <v>0</v>
      </c>
      <c r="S362" s="49" t="str">
        <f>BASE!A366</f>
        <v>351</v>
      </c>
      <c r="T362" s="129" t="str">
        <f t="shared" si="2"/>
        <v>0</v>
      </c>
      <c r="U362" s="129" t="str">
        <f t="shared" si="3"/>
        <v>0</v>
      </c>
      <c r="V362" s="129" t="str">
        <f t="shared" si="4"/>
        <v>0</v>
      </c>
      <c r="W362" s="129"/>
      <c r="X362" s="129"/>
      <c r="Y362" s="113"/>
    </row>
    <row r="363" ht="17.25" customHeight="1">
      <c r="A363" s="131" t="str">
        <f>IF(BASE!B367="","",BASE!B367)</f>
        <v/>
      </c>
      <c r="B363" s="49" t="s">
        <v>122</v>
      </c>
      <c r="C363" s="108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08"/>
      <c r="Q363" s="133"/>
      <c r="R363" s="49" t="str">
        <f t="shared" si="1"/>
        <v>0</v>
      </c>
      <c r="S363" s="49" t="str">
        <f>BASE!A367</f>
        <v>352</v>
      </c>
      <c r="T363" s="129" t="str">
        <f t="shared" si="2"/>
        <v>0</v>
      </c>
      <c r="U363" s="129" t="str">
        <f t="shared" si="3"/>
        <v>0</v>
      </c>
      <c r="V363" s="129" t="str">
        <f t="shared" si="4"/>
        <v>0</v>
      </c>
      <c r="W363" s="129"/>
      <c r="X363" s="129"/>
      <c r="Y363" s="113"/>
    </row>
    <row r="364" ht="17.25" customHeight="1">
      <c r="A364" s="131" t="str">
        <f>IF(BASE!B368="","",BASE!B368)</f>
        <v/>
      </c>
      <c r="B364" s="49" t="s">
        <v>122</v>
      </c>
      <c r="C364" s="108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08"/>
      <c r="Q364" s="133"/>
      <c r="R364" s="49" t="str">
        <f t="shared" si="1"/>
        <v>0</v>
      </c>
      <c r="S364" s="49" t="str">
        <f>BASE!A368</f>
        <v>353</v>
      </c>
      <c r="T364" s="129" t="str">
        <f t="shared" si="2"/>
        <v>0</v>
      </c>
      <c r="U364" s="129" t="str">
        <f t="shared" si="3"/>
        <v>0</v>
      </c>
      <c r="V364" s="129" t="str">
        <f t="shared" si="4"/>
        <v>0</v>
      </c>
      <c r="W364" s="129"/>
      <c r="X364" s="129"/>
      <c r="Y364" s="113"/>
    </row>
    <row r="365" ht="17.25" customHeight="1">
      <c r="A365" s="131" t="str">
        <f>IF(BASE!B369="","",BASE!B369)</f>
        <v/>
      </c>
      <c r="B365" s="49" t="s">
        <v>122</v>
      </c>
      <c r="C365" s="108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08"/>
      <c r="Q365" s="133"/>
      <c r="R365" s="49" t="str">
        <f t="shared" si="1"/>
        <v>0</v>
      </c>
      <c r="S365" s="49" t="str">
        <f>BASE!A369</f>
        <v>354</v>
      </c>
      <c r="T365" s="129" t="str">
        <f t="shared" si="2"/>
        <v>0</v>
      </c>
      <c r="U365" s="129" t="str">
        <f t="shared" si="3"/>
        <v>0</v>
      </c>
      <c r="V365" s="129" t="str">
        <f t="shared" si="4"/>
        <v>0</v>
      </c>
      <c r="W365" s="129"/>
      <c r="X365" s="129"/>
      <c r="Y365" s="113"/>
    </row>
    <row r="366" ht="17.25" customHeight="1">
      <c r="A366" s="131" t="str">
        <f>IF(BASE!B370="","",BASE!B370)</f>
        <v/>
      </c>
      <c r="B366" s="49" t="s">
        <v>122</v>
      </c>
      <c r="C366" s="108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08"/>
      <c r="Q366" s="133"/>
      <c r="R366" s="49" t="str">
        <f t="shared" si="1"/>
        <v>0</v>
      </c>
      <c r="S366" s="49" t="str">
        <f>BASE!A370</f>
        <v>355</v>
      </c>
      <c r="T366" s="129" t="str">
        <f t="shared" si="2"/>
        <v>0</v>
      </c>
      <c r="U366" s="129" t="str">
        <f t="shared" si="3"/>
        <v>0</v>
      </c>
      <c r="V366" s="129" t="str">
        <f t="shared" si="4"/>
        <v>0</v>
      </c>
      <c r="W366" s="129"/>
      <c r="X366" s="129"/>
      <c r="Y366" s="113"/>
    </row>
    <row r="367" ht="17.25" customHeight="1">
      <c r="A367" s="131" t="str">
        <f>IF(BASE!B371="","",BASE!B371)</f>
        <v/>
      </c>
      <c r="B367" s="49" t="s">
        <v>122</v>
      </c>
      <c r="C367" s="108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08"/>
      <c r="Q367" s="133"/>
      <c r="R367" s="49" t="str">
        <f t="shared" si="1"/>
        <v>0</v>
      </c>
      <c r="S367" s="49" t="str">
        <f>BASE!A371</f>
        <v>356</v>
      </c>
      <c r="T367" s="129" t="str">
        <f t="shared" si="2"/>
        <v>0</v>
      </c>
      <c r="U367" s="129" t="str">
        <f t="shared" si="3"/>
        <v>0</v>
      </c>
      <c r="V367" s="129" t="str">
        <f t="shared" si="4"/>
        <v>0</v>
      </c>
      <c r="W367" s="129"/>
      <c r="X367" s="129"/>
      <c r="Y367" s="113"/>
    </row>
    <row r="368" ht="17.25" customHeight="1">
      <c r="A368" s="131" t="str">
        <f>IF(BASE!B372="","",BASE!B372)</f>
        <v/>
      </c>
      <c r="B368" s="49" t="s">
        <v>122</v>
      </c>
      <c r="C368" s="108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08"/>
      <c r="Q368" s="133"/>
      <c r="R368" s="49" t="str">
        <f t="shared" si="1"/>
        <v>0</v>
      </c>
      <c r="S368" s="49" t="str">
        <f>BASE!A372</f>
        <v>357</v>
      </c>
      <c r="T368" s="129" t="str">
        <f t="shared" si="2"/>
        <v>0</v>
      </c>
      <c r="U368" s="129" t="str">
        <f t="shared" si="3"/>
        <v>0</v>
      </c>
      <c r="V368" s="129" t="str">
        <f t="shared" si="4"/>
        <v>0</v>
      </c>
      <c r="W368" s="129"/>
      <c r="X368" s="129"/>
      <c r="Y368" s="113"/>
    </row>
    <row r="369" ht="17.25" customHeight="1">
      <c r="A369" s="131" t="str">
        <f>IF(BASE!B373="","",BASE!B373)</f>
        <v/>
      </c>
      <c r="B369" s="49" t="s">
        <v>122</v>
      </c>
      <c r="C369" s="108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08"/>
      <c r="Q369" s="133"/>
      <c r="R369" s="49" t="str">
        <f t="shared" si="1"/>
        <v>0</v>
      </c>
      <c r="S369" s="49" t="str">
        <f>BASE!A373</f>
        <v>358</v>
      </c>
      <c r="T369" s="129" t="str">
        <f t="shared" si="2"/>
        <v>0</v>
      </c>
      <c r="U369" s="129" t="str">
        <f t="shared" si="3"/>
        <v>0</v>
      </c>
      <c r="V369" s="129" t="str">
        <f t="shared" si="4"/>
        <v>0</v>
      </c>
      <c r="W369" s="129"/>
      <c r="X369" s="129"/>
      <c r="Y369" s="113"/>
    </row>
    <row r="370" ht="17.25" customHeight="1">
      <c r="A370" s="131" t="str">
        <f>IF(BASE!B374="","",BASE!B374)</f>
        <v/>
      </c>
      <c r="B370" s="49" t="s">
        <v>122</v>
      </c>
      <c r="C370" s="108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08"/>
      <c r="Q370" s="133"/>
      <c r="R370" s="49" t="str">
        <f t="shared" si="1"/>
        <v>0</v>
      </c>
      <c r="S370" s="49" t="str">
        <f>BASE!A374</f>
        <v>359</v>
      </c>
      <c r="T370" s="129" t="str">
        <f t="shared" si="2"/>
        <v>0</v>
      </c>
      <c r="U370" s="129" t="str">
        <f t="shared" si="3"/>
        <v>0</v>
      </c>
      <c r="V370" s="129" t="str">
        <f t="shared" si="4"/>
        <v>0</v>
      </c>
      <c r="W370" s="129"/>
      <c r="X370" s="129"/>
      <c r="Y370" s="113"/>
    </row>
    <row r="371" ht="17.25" customHeight="1">
      <c r="A371" s="131" t="str">
        <f>IF(BASE!B375="","",BASE!B375)</f>
        <v/>
      </c>
      <c r="B371" s="49" t="s">
        <v>122</v>
      </c>
      <c r="C371" s="108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33"/>
      <c r="R371" s="49" t="str">
        <f t="shared" si="1"/>
        <v>0</v>
      </c>
      <c r="S371" s="49" t="str">
        <f>BASE!A375</f>
        <v>360</v>
      </c>
      <c r="T371" s="129" t="str">
        <f t="shared" si="2"/>
        <v>0</v>
      </c>
      <c r="U371" s="129" t="str">
        <f t="shared" si="3"/>
        <v>0</v>
      </c>
      <c r="V371" s="129" t="str">
        <f t="shared" si="4"/>
        <v>0</v>
      </c>
      <c r="W371" s="129"/>
      <c r="X371" s="129"/>
      <c r="Y371" s="113"/>
    </row>
    <row r="372" ht="17.25" customHeight="1">
      <c r="A372" s="131" t="str">
        <f>IF(BASE!B376="","",BASE!B376)</f>
        <v/>
      </c>
      <c r="B372" s="49" t="s">
        <v>122</v>
      </c>
      <c r="C372" s="108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08"/>
      <c r="Q372" s="133"/>
      <c r="R372" s="49" t="str">
        <f t="shared" si="1"/>
        <v>0</v>
      </c>
      <c r="S372" s="49" t="str">
        <f>BASE!A376</f>
        <v>361</v>
      </c>
      <c r="T372" s="129" t="str">
        <f t="shared" si="2"/>
        <v>0</v>
      </c>
      <c r="U372" s="129" t="str">
        <f t="shared" si="3"/>
        <v>0</v>
      </c>
      <c r="V372" s="129" t="str">
        <f t="shared" si="4"/>
        <v>0</v>
      </c>
      <c r="W372" s="129"/>
      <c r="X372" s="129"/>
      <c r="Y372" s="113"/>
    </row>
    <row r="373" ht="17.25" customHeight="1">
      <c r="A373" s="131" t="str">
        <f>IF(BASE!B377="","",BASE!B377)</f>
        <v/>
      </c>
      <c r="B373" s="49" t="s">
        <v>122</v>
      </c>
      <c r="C373" s="108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08"/>
      <c r="Q373" s="133"/>
      <c r="R373" s="49" t="str">
        <f t="shared" si="1"/>
        <v>0</v>
      </c>
      <c r="S373" s="49" t="str">
        <f>BASE!A377</f>
        <v>362</v>
      </c>
      <c r="T373" s="129" t="str">
        <f t="shared" si="2"/>
        <v>0</v>
      </c>
      <c r="U373" s="129" t="str">
        <f t="shared" si="3"/>
        <v>0</v>
      </c>
      <c r="V373" s="129" t="str">
        <f t="shared" si="4"/>
        <v>0</v>
      </c>
      <c r="W373" s="129"/>
      <c r="X373" s="129"/>
      <c r="Y373" s="113"/>
    </row>
    <row r="374" ht="17.25" customHeight="1">
      <c r="A374" s="131" t="str">
        <f>IF(BASE!B378="","",BASE!B378)</f>
        <v/>
      </c>
      <c r="B374" s="49" t="s">
        <v>122</v>
      </c>
      <c r="C374" s="108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08"/>
      <c r="Q374" s="133"/>
      <c r="R374" s="49" t="str">
        <f t="shared" si="1"/>
        <v>0</v>
      </c>
      <c r="S374" s="49" t="str">
        <f>BASE!A378</f>
        <v>363</v>
      </c>
      <c r="T374" s="129" t="str">
        <f t="shared" si="2"/>
        <v>0</v>
      </c>
      <c r="U374" s="129" t="str">
        <f t="shared" si="3"/>
        <v>0</v>
      </c>
      <c r="V374" s="129" t="str">
        <f t="shared" si="4"/>
        <v>0</v>
      </c>
      <c r="W374" s="129"/>
      <c r="X374" s="129"/>
      <c r="Y374" s="113"/>
    </row>
    <row r="375" ht="17.25" customHeight="1">
      <c r="A375" s="131" t="str">
        <f>IF(BASE!B379="","",BASE!B379)</f>
        <v/>
      </c>
      <c r="B375" s="49" t="s">
        <v>122</v>
      </c>
      <c r="C375" s="108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08"/>
      <c r="Q375" s="133"/>
      <c r="R375" s="49" t="str">
        <f t="shared" si="1"/>
        <v>0</v>
      </c>
      <c r="S375" s="49" t="str">
        <f>BASE!A379</f>
        <v>364</v>
      </c>
      <c r="T375" s="129" t="str">
        <f t="shared" si="2"/>
        <v>0</v>
      </c>
      <c r="U375" s="129" t="str">
        <f t="shared" si="3"/>
        <v>0</v>
      </c>
      <c r="V375" s="129" t="str">
        <f t="shared" si="4"/>
        <v>0</v>
      </c>
      <c r="W375" s="129"/>
      <c r="X375" s="129"/>
      <c r="Y375" s="113"/>
    </row>
    <row r="376" ht="17.25" customHeight="1">
      <c r="A376" s="131" t="str">
        <f>IF(BASE!B380="","",BASE!B380)</f>
        <v/>
      </c>
      <c r="B376" s="49" t="s">
        <v>122</v>
      </c>
      <c r="C376" s="108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08"/>
      <c r="Q376" s="133"/>
      <c r="R376" s="49" t="str">
        <f t="shared" si="1"/>
        <v>0</v>
      </c>
      <c r="S376" s="49" t="str">
        <f>BASE!A380</f>
        <v>365</v>
      </c>
      <c r="T376" s="129" t="str">
        <f t="shared" si="2"/>
        <v>0</v>
      </c>
      <c r="U376" s="129" t="str">
        <f t="shared" si="3"/>
        <v>0</v>
      </c>
      <c r="V376" s="129" t="str">
        <f t="shared" si="4"/>
        <v>0</v>
      </c>
      <c r="W376" s="129"/>
      <c r="X376" s="129"/>
      <c r="Y376" s="113"/>
    </row>
    <row r="377" ht="17.25" customHeight="1">
      <c r="A377" s="131" t="str">
        <f>IF(BASE!B381="","",BASE!B381)</f>
        <v/>
      </c>
      <c r="B377" s="49" t="s">
        <v>122</v>
      </c>
      <c r="C377" s="108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08"/>
      <c r="Q377" s="133"/>
      <c r="R377" s="49" t="str">
        <f t="shared" si="1"/>
        <v>0</v>
      </c>
      <c r="S377" s="49" t="str">
        <f>BASE!A381</f>
        <v>366</v>
      </c>
      <c r="T377" s="129" t="str">
        <f t="shared" si="2"/>
        <v>0</v>
      </c>
      <c r="U377" s="129" t="str">
        <f t="shared" si="3"/>
        <v>0</v>
      </c>
      <c r="V377" s="129" t="str">
        <f t="shared" si="4"/>
        <v>0</v>
      </c>
      <c r="W377" s="129"/>
      <c r="X377" s="129"/>
      <c r="Y377" s="113"/>
    </row>
    <row r="378" ht="17.25" customHeight="1">
      <c r="A378" s="131" t="str">
        <f>IF(BASE!B382="","",BASE!B382)</f>
        <v/>
      </c>
      <c r="B378" s="49" t="s">
        <v>122</v>
      </c>
      <c r="C378" s="108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08"/>
      <c r="Q378" s="133"/>
      <c r="R378" s="49" t="str">
        <f t="shared" si="1"/>
        <v>0</v>
      </c>
      <c r="S378" s="49" t="str">
        <f>BASE!A382</f>
        <v>367</v>
      </c>
      <c r="T378" s="129" t="str">
        <f t="shared" si="2"/>
        <v>0</v>
      </c>
      <c r="U378" s="129" t="str">
        <f t="shared" si="3"/>
        <v>0</v>
      </c>
      <c r="V378" s="129" t="str">
        <f t="shared" si="4"/>
        <v>0</v>
      </c>
      <c r="W378" s="129"/>
      <c r="X378" s="129"/>
      <c r="Y378" s="113"/>
    </row>
    <row r="379" ht="17.25" customHeight="1">
      <c r="A379" s="131" t="str">
        <f>IF(BASE!B383="","",BASE!B383)</f>
        <v/>
      </c>
      <c r="B379" s="49" t="s">
        <v>122</v>
      </c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08"/>
      <c r="Q379" s="133"/>
      <c r="R379" s="49" t="str">
        <f t="shared" si="1"/>
        <v>0</v>
      </c>
      <c r="S379" s="49" t="str">
        <f>BASE!A383</f>
        <v>368</v>
      </c>
      <c r="T379" s="129" t="str">
        <f t="shared" si="2"/>
        <v>0</v>
      </c>
      <c r="U379" s="129" t="str">
        <f t="shared" si="3"/>
        <v>0</v>
      </c>
      <c r="V379" s="129" t="str">
        <f t="shared" si="4"/>
        <v>0</v>
      </c>
      <c r="W379" s="129"/>
      <c r="X379" s="129"/>
      <c r="Y379" s="113"/>
    </row>
    <row r="380" ht="17.25" customHeight="1">
      <c r="A380" s="131" t="str">
        <f>IF(BASE!B384="","",BASE!B384)</f>
        <v/>
      </c>
      <c r="B380" s="49" t="s">
        <v>122</v>
      </c>
      <c r="C380" s="108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08"/>
      <c r="Q380" s="133"/>
      <c r="R380" s="49" t="str">
        <f t="shared" si="1"/>
        <v>0</v>
      </c>
      <c r="S380" s="49" t="str">
        <f>BASE!A384</f>
        <v>369</v>
      </c>
      <c r="T380" s="129" t="str">
        <f t="shared" si="2"/>
        <v>0</v>
      </c>
      <c r="U380" s="129" t="str">
        <f t="shared" si="3"/>
        <v>0</v>
      </c>
      <c r="V380" s="129" t="str">
        <f t="shared" si="4"/>
        <v>0</v>
      </c>
      <c r="W380" s="129"/>
      <c r="X380" s="129"/>
      <c r="Y380" s="113"/>
    </row>
    <row r="381" ht="17.25" customHeight="1">
      <c r="A381" s="131" t="str">
        <f>IF(BASE!B385="","",BASE!B385)</f>
        <v/>
      </c>
      <c r="B381" s="49" t="s">
        <v>122</v>
      </c>
      <c r="C381" s="108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08"/>
      <c r="Q381" s="133"/>
      <c r="R381" s="49" t="str">
        <f t="shared" si="1"/>
        <v>0</v>
      </c>
      <c r="S381" s="49" t="str">
        <f>BASE!A385</f>
        <v>370</v>
      </c>
      <c r="T381" s="129" t="str">
        <f t="shared" si="2"/>
        <v>0</v>
      </c>
      <c r="U381" s="129" t="str">
        <f t="shared" si="3"/>
        <v>0</v>
      </c>
      <c r="V381" s="129" t="str">
        <f t="shared" si="4"/>
        <v>0</v>
      </c>
      <c r="W381" s="129"/>
      <c r="X381" s="129"/>
      <c r="Y381" s="113"/>
    </row>
    <row r="382" ht="17.25" customHeight="1">
      <c r="A382" s="131" t="str">
        <f>IF(BASE!B386="","",BASE!B386)</f>
        <v/>
      </c>
      <c r="B382" s="49" t="s">
        <v>122</v>
      </c>
      <c r="C382" s="108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08"/>
      <c r="Q382" s="133"/>
      <c r="R382" s="49" t="str">
        <f t="shared" si="1"/>
        <v>0</v>
      </c>
      <c r="S382" s="49" t="str">
        <f>BASE!A386</f>
        <v>371</v>
      </c>
      <c r="T382" s="129" t="str">
        <f t="shared" si="2"/>
        <v>0</v>
      </c>
      <c r="U382" s="129" t="str">
        <f t="shared" si="3"/>
        <v>0</v>
      </c>
      <c r="V382" s="129" t="str">
        <f t="shared" si="4"/>
        <v>0</v>
      </c>
      <c r="W382" s="129"/>
      <c r="X382" s="129"/>
      <c r="Y382" s="113"/>
    </row>
    <row r="383" ht="17.25" customHeight="1">
      <c r="A383" s="131" t="str">
        <f>IF(BASE!B387="","",BASE!B387)</f>
        <v/>
      </c>
      <c r="B383" s="49" t="s">
        <v>122</v>
      </c>
      <c r="C383" s="108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08"/>
      <c r="Q383" s="133"/>
      <c r="R383" s="49" t="str">
        <f t="shared" si="1"/>
        <v>0</v>
      </c>
      <c r="S383" s="49" t="str">
        <f>BASE!A387</f>
        <v>372</v>
      </c>
      <c r="T383" s="129" t="str">
        <f t="shared" si="2"/>
        <v>0</v>
      </c>
      <c r="U383" s="129" t="str">
        <f t="shared" si="3"/>
        <v>0</v>
      </c>
      <c r="V383" s="129" t="str">
        <f t="shared" si="4"/>
        <v>0</v>
      </c>
      <c r="W383" s="129"/>
      <c r="X383" s="129"/>
      <c r="Y383" s="113"/>
    </row>
    <row r="384" ht="17.25" customHeight="1">
      <c r="A384" s="131" t="str">
        <f>IF(BASE!B388="","",BASE!B388)</f>
        <v/>
      </c>
      <c r="B384" s="49" t="s">
        <v>122</v>
      </c>
      <c r="C384" s="108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08"/>
      <c r="Q384" s="133"/>
      <c r="R384" s="49" t="str">
        <f t="shared" si="1"/>
        <v>0</v>
      </c>
      <c r="S384" s="49" t="str">
        <f>BASE!A388</f>
        <v>373</v>
      </c>
      <c r="T384" s="129" t="str">
        <f t="shared" si="2"/>
        <v>0</v>
      </c>
      <c r="U384" s="129" t="str">
        <f t="shared" si="3"/>
        <v>0</v>
      </c>
      <c r="V384" s="129" t="str">
        <f t="shared" si="4"/>
        <v>0</v>
      </c>
      <c r="W384" s="129"/>
      <c r="X384" s="129"/>
      <c r="Y384" s="113"/>
    </row>
    <row r="385" ht="17.25" customHeight="1">
      <c r="A385" s="131" t="str">
        <f>IF(BASE!B389="","",BASE!B389)</f>
        <v/>
      </c>
      <c r="B385" s="49" t="s">
        <v>122</v>
      </c>
      <c r="C385" s="108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08"/>
      <c r="Q385" s="133"/>
      <c r="R385" s="49" t="str">
        <f t="shared" si="1"/>
        <v>0</v>
      </c>
      <c r="S385" s="49" t="str">
        <f>BASE!A389</f>
        <v>374</v>
      </c>
      <c r="T385" s="129" t="str">
        <f t="shared" si="2"/>
        <v>0</v>
      </c>
      <c r="U385" s="129" t="str">
        <f t="shared" si="3"/>
        <v>0</v>
      </c>
      <c r="V385" s="129" t="str">
        <f t="shared" si="4"/>
        <v>0</v>
      </c>
      <c r="W385" s="129"/>
      <c r="X385" s="129"/>
      <c r="Y385" s="113"/>
    </row>
    <row r="386" ht="17.25" customHeight="1">
      <c r="A386" s="131" t="str">
        <f>IF(BASE!B390="","",BASE!B390)</f>
        <v/>
      </c>
      <c r="B386" s="49" t="s">
        <v>122</v>
      </c>
      <c r="C386" s="108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08"/>
      <c r="Q386" s="133"/>
      <c r="R386" s="49" t="str">
        <f t="shared" si="1"/>
        <v>0</v>
      </c>
      <c r="S386" s="49" t="str">
        <f>BASE!A390</f>
        <v>375</v>
      </c>
      <c r="T386" s="129" t="str">
        <f t="shared" si="2"/>
        <v>0</v>
      </c>
      <c r="U386" s="129" t="str">
        <f t="shared" si="3"/>
        <v>0</v>
      </c>
      <c r="V386" s="129" t="str">
        <f t="shared" si="4"/>
        <v>0</v>
      </c>
      <c r="W386" s="129"/>
      <c r="X386" s="129"/>
      <c r="Y386" s="113"/>
    </row>
    <row r="387" ht="17.25" customHeight="1">
      <c r="A387" s="131" t="str">
        <f>IF(BASE!B391="","",BASE!B391)</f>
        <v/>
      </c>
      <c r="B387" s="49" t="s">
        <v>122</v>
      </c>
      <c r="C387" s="108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08"/>
      <c r="Q387" s="133"/>
      <c r="R387" s="49" t="str">
        <f t="shared" si="1"/>
        <v>0</v>
      </c>
      <c r="S387" s="49" t="str">
        <f>BASE!A391</f>
        <v>376</v>
      </c>
      <c r="T387" s="129" t="str">
        <f t="shared" si="2"/>
        <v>0</v>
      </c>
      <c r="U387" s="129" t="str">
        <f t="shared" si="3"/>
        <v>0</v>
      </c>
      <c r="V387" s="129" t="str">
        <f t="shared" si="4"/>
        <v>0</v>
      </c>
      <c r="W387" s="129"/>
      <c r="X387" s="129"/>
      <c r="Y387" s="113"/>
    </row>
    <row r="388" ht="17.25" customHeight="1">
      <c r="A388" s="131" t="str">
        <f>IF(BASE!B392="","",BASE!B392)</f>
        <v/>
      </c>
      <c r="B388" s="49" t="s">
        <v>122</v>
      </c>
      <c r="C388" s="108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08"/>
      <c r="Q388" s="133"/>
      <c r="R388" s="49" t="str">
        <f t="shared" si="1"/>
        <v>0</v>
      </c>
      <c r="S388" s="49" t="str">
        <f>BASE!A392</f>
        <v>377</v>
      </c>
      <c r="T388" s="129" t="str">
        <f t="shared" si="2"/>
        <v>0</v>
      </c>
      <c r="U388" s="129" t="str">
        <f t="shared" si="3"/>
        <v>0</v>
      </c>
      <c r="V388" s="129" t="str">
        <f t="shared" si="4"/>
        <v>0</v>
      </c>
      <c r="W388" s="129"/>
      <c r="X388" s="129"/>
      <c r="Y388" s="113"/>
    </row>
    <row r="389" ht="17.25" customHeight="1">
      <c r="A389" s="131" t="str">
        <f>IF(BASE!B393="","",BASE!B393)</f>
        <v/>
      </c>
      <c r="B389" s="49" t="s">
        <v>122</v>
      </c>
      <c r="C389" s="108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08"/>
      <c r="Q389" s="133"/>
      <c r="R389" s="49" t="str">
        <f t="shared" si="1"/>
        <v>0</v>
      </c>
      <c r="S389" s="49" t="str">
        <f>BASE!A393</f>
        <v>378</v>
      </c>
      <c r="T389" s="129" t="str">
        <f t="shared" si="2"/>
        <v>0</v>
      </c>
      <c r="U389" s="129" t="str">
        <f t="shared" si="3"/>
        <v>0</v>
      </c>
      <c r="V389" s="129" t="str">
        <f t="shared" si="4"/>
        <v>0</v>
      </c>
      <c r="W389" s="129"/>
      <c r="X389" s="129"/>
      <c r="Y389" s="113"/>
    </row>
    <row r="390" ht="17.25" customHeight="1">
      <c r="A390" s="131" t="str">
        <f>IF(BASE!B394="","",BASE!B394)</f>
        <v/>
      </c>
      <c r="B390" s="49" t="s">
        <v>122</v>
      </c>
      <c r="C390" s="108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08"/>
      <c r="Q390" s="133"/>
      <c r="R390" s="49" t="str">
        <f t="shared" si="1"/>
        <v>0</v>
      </c>
      <c r="S390" s="49" t="str">
        <f>BASE!A394</f>
        <v>379</v>
      </c>
      <c r="T390" s="129" t="str">
        <f t="shared" si="2"/>
        <v>0</v>
      </c>
      <c r="U390" s="129" t="str">
        <f t="shared" si="3"/>
        <v>0</v>
      </c>
      <c r="V390" s="129" t="str">
        <f t="shared" si="4"/>
        <v>0</v>
      </c>
      <c r="W390" s="129"/>
      <c r="X390" s="129"/>
      <c r="Y390" s="113"/>
    </row>
    <row r="391" ht="17.25" customHeight="1">
      <c r="A391" s="131" t="str">
        <f>IF(BASE!B395="","",BASE!B395)</f>
        <v/>
      </c>
      <c r="B391" s="49" t="s">
        <v>122</v>
      </c>
      <c r="C391" s="108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08"/>
      <c r="Q391" s="133"/>
      <c r="R391" s="49" t="str">
        <f t="shared" si="1"/>
        <v>0</v>
      </c>
      <c r="S391" s="49" t="str">
        <f>BASE!A395</f>
        <v>380</v>
      </c>
      <c r="T391" s="129" t="str">
        <f t="shared" si="2"/>
        <v>0</v>
      </c>
      <c r="U391" s="129" t="str">
        <f t="shared" si="3"/>
        <v>0</v>
      </c>
      <c r="V391" s="129" t="str">
        <f t="shared" si="4"/>
        <v>0</v>
      </c>
      <c r="W391" s="129"/>
      <c r="X391" s="129"/>
      <c r="Y391" s="113"/>
    </row>
    <row r="392" ht="17.25" customHeight="1">
      <c r="A392" s="131" t="str">
        <f>IF(BASE!B396="","",BASE!B396)</f>
        <v/>
      </c>
      <c r="B392" s="49" t="s">
        <v>122</v>
      </c>
      <c r="C392" s="108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08"/>
      <c r="Q392" s="133"/>
      <c r="R392" s="49" t="str">
        <f t="shared" si="1"/>
        <v>0</v>
      </c>
      <c r="S392" s="49" t="str">
        <f>BASE!A396</f>
        <v>381</v>
      </c>
      <c r="T392" s="129" t="str">
        <f t="shared" si="2"/>
        <v>0</v>
      </c>
      <c r="U392" s="129" t="str">
        <f t="shared" si="3"/>
        <v>0</v>
      </c>
      <c r="V392" s="129" t="str">
        <f t="shared" si="4"/>
        <v>0</v>
      </c>
      <c r="W392" s="129"/>
      <c r="X392" s="129"/>
      <c r="Y392" s="113"/>
    </row>
    <row r="393" ht="17.25" customHeight="1">
      <c r="A393" s="131" t="str">
        <f>IF(BASE!B397="","",BASE!B397)</f>
        <v/>
      </c>
      <c r="B393" s="49" t="s">
        <v>122</v>
      </c>
      <c r="C393" s="108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08"/>
      <c r="Q393" s="133"/>
      <c r="R393" s="49" t="str">
        <f t="shared" si="1"/>
        <v>0</v>
      </c>
      <c r="S393" s="49" t="str">
        <f>BASE!A397</f>
        <v>382</v>
      </c>
      <c r="T393" s="129" t="str">
        <f t="shared" si="2"/>
        <v>0</v>
      </c>
      <c r="U393" s="129" t="str">
        <f t="shared" si="3"/>
        <v>0</v>
      </c>
      <c r="V393" s="129" t="str">
        <f t="shared" si="4"/>
        <v>0</v>
      </c>
      <c r="W393" s="129"/>
      <c r="X393" s="129"/>
      <c r="Y393" s="113"/>
    </row>
    <row r="394" ht="17.25" customHeight="1">
      <c r="A394" s="131" t="str">
        <f>IF(BASE!B398="","",BASE!B398)</f>
        <v/>
      </c>
      <c r="B394" s="49" t="s">
        <v>122</v>
      </c>
      <c r="C394" s="108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08"/>
      <c r="Q394" s="133"/>
      <c r="R394" s="49" t="str">
        <f t="shared" si="1"/>
        <v>0</v>
      </c>
      <c r="S394" s="49" t="str">
        <f>BASE!A398</f>
        <v>383</v>
      </c>
      <c r="T394" s="129" t="str">
        <f t="shared" si="2"/>
        <v>0</v>
      </c>
      <c r="U394" s="129" t="str">
        <f t="shared" si="3"/>
        <v>0</v>
      </c>
      <c r="V394" s="129" t="str">
        <f t="shared" si="4"/>
        <v>0</v>
      </c>
      <c r="W394" s="129"/>
      <c r="X394" s="129"/>
      <c r="Y394" s="113"/>
    </row>
    <row r="395" ht="17.25" customHeight="1">
      <c r="A395" s="131" t="str">
        <f>IF(BASE!B399="","",BASE!B399)</f>
        <v/>
      </c>
      <c r="B395" s="49" t="s">
        <v>122</v>
      </c>
      <c r="C395" s="108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08"/>
      <c r="Q395" s="133"/>
      <c r="R395" s="49" t="str">
        <f t="shared" si="1"/>
        <v>0</v>
      </c>
      <c r="S395" s="49" t="str">
        <f>BASE!A399</f>
        <v>384</v>
      </c>
      <c r="T395" s="129" t="str">
        <f t="shared" si="2"/>
        <v>0</v>
      </c>
      <c r="U395" s="129" t="str">
        <f t="shared" si="3"/>
        <v>0</v>
      </c>
      <c r="V395" s="129" t="str">
        <f t="shared" si="4"/>
        <v>0</v>
      </c>
      <c r="W395" s="129"/>
      <c r="X395" s="129"/>
      <c r="Y395" s="113"/>
    </row>
    <row r="396" ht="17.25" customHeight="1">
      <c r="A396" s="131" t="str">
        <f>IF(BASE!B400="","",BASE!B400)</f>
        <v/>
      </c>
      <c r="B396" s="49" t="s">
        <v>122</v>
      </c>
      <c r="C396" s="108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08"/>
      <c r="Q396" s="133"/>
      <c r="R396" s="49" t="str">
        <f t="shared" si="1"/>
        <v>0</v>
      </c>
      <c r="S396" s="49" t="str">
        <f>BASE!A400</f>
        <v>385</v>
      </c>
      <c r="T396" s="129" t="str">
        <f t="shared" si="2"/>
        <v>0</v>
      </c>
      <c r="U396" s="129" t="str">
        <f t="shared" si="3"/>
        <v>0</v>
      </c>
      <c r="V396" s="129" t="str">
        <f t="shared" si="4"/>
        <v>0</v>
      </c>
      <c r="W396" s="129"/>
      <c r="X396" s="129"/>
      <c r="Y396" s="113"/>
    </row>
    <row r="397" ht="17.25" customHeight="1">
      <c r="A397" s="131" t="str">
        <f>IF(BASE!B401="","",BASE!B401)</f>
        <v/>
      </c>
      <c r="B397" s="49" t="s">
        <v>122</v>
      </c>
      <c r="C397" s="108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08"/>
      <c r="Q397" s="133"/>
      <c r="R397" s="49" t="str">
        <f t="shared" si="1"/>
        <v>0</v>
      </c>
      <c r="S397" s="49" t="str">
        <f>BASE!A401</f>
        <v>386</v>
      </c>
      <c r="T397" s="129" t="str">
        <f t="shared" si="2"/>
        <v>0</v>
      </c>
      <c r="U397" s="129" t="str">
        <f t="shared" si="3"/>
        <v>0</v>
      </c>
      <c r="V397" s="129" t="str">
        <f t="shared" si="4"/>
        <v>0</v>
      </c>
      <c r="W397" s="129"/>
      <c r="X397" s="129"/>
      <c r="Y397" s="113"/>
    </row>
    <row r="398" ht="17.25" customHeight="1">
      <c r="A398" s="131" t="str">
        <f>IF(BASE!B402="","",BASE!B402)</f>
        <v/>
      </c>
      <c r="B398" s="49" t="s">
        <v>122</v>
      </c>
      <c r="C398" s="108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08"/>
      <c r="Q398" s="133"/>
      <c r="R398" s="49" t="str">
        <f t="shared" si="1"/>
        <v>0</v>
      </c>
      <c r="S398" s="49" t="str">
        <f>BASE!A402</f>
        <v>387</v>
      </c>
      <c r="T398" s="129" t="str">
        <f t="shared" si="2"/>
        <v>0</v>
      </c>
      <c r="U398" s="129" t="str">
        <f t="shared" si="3"/>
        <v>0</v>
      </c>
      <c r="V398" s="129" t="str">
        <f t="shared" si="4"/>
        <v>0</v>
      </c>
      <c r="W398" s="129"/>
      <c r="X398" s="129"/>
      <c r="Y398" s="113"/>
    </row>
    <row r="399" ht="17.25" customHeight="1">
      <c r="A399" s="131" t="str">
        <f>IF(BASE!B403="","",BASE!B403)</f>
        <v/>
      </c>
      <c r="B399" s="49" t="s">
        <v>122</v>
      </c>
      <c r="C399" s="108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08"/>
      <c r="Q399" s="133"/>
      <c r="R399" s="49" t="str">
        <f t="shared" si="1"/>
        <v>0</v>
      </c>
      <c r="S399" s="49" t="str">
        <f>BASE!A403</f>
        <v>388</v>
      </c>
      <c r="T399" s="129" t="str">
        <f t="shared" si="2"/>
        <v>0</v>
      </c>
      <c r="U399" s="129" t="str">
        <f t="shared" si="3"/>
        <v>0</v>
      </c>
      <c r="V399" s="129" t="str">
        <f t="shared" si="4"/>
        <v>0</v>
      </c>
      <c r="W399" s="129"/>
      <c r="X399" s="129"/>
      <c r="Y399" s="113"/>
    </row>
    <row r="400" ht="17.25" customHeight="1">
      <c r="A400" s="131" t="str">
        <f>IF(BASE!B404="","",BASE!B404)</f>
        <v/>
      </c>
      <c r="B400" s="49" t="s">
        <v>122</v>
      </c>
      <c r="C400" s="108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08"/>
      <c r="Q400" s="133"/>
      <c r="R400" s="49" t="str">
        <f t="shared" si="1"/>
        <v>0</v>
      </c>
      <c r="S400" s="49" t="str">
        <f>BASE!A404</f>
        <v>389</v>
      </c>
      <c r="T400" s="129" t="str">
        <f t="shared" si="2"/>
        <v>0</v>
      </c>
      <c r="U400" s="129" t="str">
        <f t="shared" si="3"/>
        <v>0</v>
      </c>
      <c r="V400" s="129" t="str">
        <f t="shared" si="4"/>
        <v>0</v>
      </c>
      <c r="W400" s="129"/>
      <c r="X400" s="129"/>
      <c r="Y400" s="113"/>
    </row>
    <row r="401" ht="17.25" customHeight="1">
      <c r="A401" s="131" t="str">
        <f>IF(BASE!B405="","",BASE!B405)</f>
        <v/>
      </c>
      <c r="B401" s="49" t="s">
        <v>122</v>
      </c>
      <c r="C401" s="108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08"/>
      <c r="Q401" s="133"/>
      <c r="R401" s="49" t="str">
        <f t="shared" si="1"/>
        <v>0</v>
      </c>
      <c r="S401" s="49" t="str">
        <f>BASE!A405</f>
        <v>390</v>
      </c>
      <c r="T401" s="129" t="str">
        <f t="shared" si="2"/>
        <v>0</v>
      </c>
      <c r="U401" s="129" t="str">
        <f t="shared" si="3"/>
        <v>0</v>
      </c>
      <c r="V401" s="129" t="str">
        <f t="shared" si="4"/>
        <v>0</v>
      </c>
      <c r="W401" s="129"/>
      <c r="X401" s="129"/>
      <c r="Y401" s="113"/>
    </row>
    <row r="402" ht="17.25" customHeight="1">
      <c r="A402" s="131" t="str">
        <f>IF(BASE!B406="","",BASE!B406)</f>
        <v/>
      </c>
      <c r="B402" s="49" t="s">
        <v>122</v>
      </c>
      <c r="C402" s="108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08"/>
      <c r="Q402" s="133"/>
      <c r="R402" s="49" t="str">
        <f t="shared" si="1"/>
        <v>0</v>
      </c>
      <c r="S402" s="49" t="str">
        <f>BASE!A406</f>
        <v>391</v>
      </c>
      <c r="T402" s="129" t="str">
        <f t="shared" si="2"/>
        <v>0</v>
      </c>
      <c r="U402" s="129" t="str">
        <f t="shared" si="3"/>
        <v>0</v>
      </c>
      <c r="V402" s="129" t="str">
        <f t="shared" si="4"/>
        <v>0</v>
      </c>
      <c r="W402" s="129"/>
      <c r="X402" s="129"/>
      <c r="Y402" s="113"/>
    </row>
    <row r="403" ht="17.25" customHeight="1">
      <c r="A403" s="131" t="str">
        <f>IF(BASE!B407="","",BASE!B407)</f>
        <v/>
      </c>
      <c r="B403" s="49" t="s">
        <v>122</v>
      </c>
      <c r="C403" s="108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08"/>
      <c r="Q403" s="133"/>
      <c r="R403" s="49" t="str">
        <f t="shared" si="1"/>
        <v>0</v>
      </c>
      <c r="S403" s="49" t="str">
        <f>BASE!A407</f>
        <v>392</v>
      </c>
      <c r="T403" s="129" t="str">
        <f t="shared" si="2"/>
        <v>0</v>
      </c>
      <c r="U403" s="129" t="str">
        <f t="shared" si="3"/>
        <v>0</v>
      </c>
      <c r="V403" s="129" t="str">
        <f t="shared" si="4"/>
        <v>0</v>
      </c>
      <c r="W403" s="129"/>
      <c r="X403" s="129"/>
      <c r="Y403" s="113"/>
    </row>
    <row r="404" ht="17.25" customHeight="1">
      <c r="A404" s="131" t="str">
        <f>IF(BASE!B408="","",BASE!B408)</f>
        <v/>
      </c>
      <c r="B404" s="49" t="s">
        <v>122</v>
      </c>
      <c r="C404" s="108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08"/>
      <c r="Q404" s="133"/>
      <c r="R404" s="49" t="str">
        <f t="shared" si="1"/>
        <v>0</v>
      </c>
      <c r="S404" s="49" t="str">
        <f>BASE!A408</f>
        <v>393</v>
      </c>
      <c r="T404" s="129" t="str">
        <f t="shared" si="2"/>
        <v>0</v>
      </c>
      <c r="U404" s="129" t="str">
        <f t="shared" si="3"/>
        <v>0</v>
      </c>
      <c r="V404" s="129" t="str">
        <f t="shared" si="4"/>
        <v>0</v>
      </c>
      <c r="W404" s="129"/>
      <c r="X404" s="129"/>
      <c r="Y404" s="113"/>
    </row>
    <row r="405" ht="17.25" customHeight="1">
      <c r="A405" s="131" t="str">
        <f>IF(BASE!B409="","",BASE!B409)</f>
        <v/>
      </c>
      <c r="B405" s="49" t="s">
        <v>122</v>
      </c>
      <c r="C405" s="108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08"/>
      <c r="Q405" s="133"/>
      <c r="R405" s="49" t="str">
        <f t="shared" si="1"/>
        <v>0</v>
      </c>
      <c r="S405" s="49" t="str">
        <f>BASE!A409</f>
        <v>394</v>
      </c>
      <c r="T405" s="129" t="str">
        <f t="shared" si="2"/>
        <v>0</v>
      </c>
      <c r="U405" s="129" t="str">
        <f t="shared" si="3"/>
        <v>0</v>
      </c>
      <c r="V405" s="129" t="str">
        <f t="shared" si="4"/>
        <v>0</v>
      </c>
      <c r="W405" s="129"/>
      <c r="X405" s="129"/>
      <c r="Y405" s="113"/>
    </row>
    <row r="406" ht="17.25" customHeight="1">
      <c r="A406" s="131" t="str">
        <f>IF(BASE!B410="","",BASE!B410)</f>
        <v/>
      </c>
      <c r="B406" s="49" t="s">
        <v>122</v>
      </c>
      <c r="C406" s="108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08"/>
      <c r="Q406" s="133"/>
      <c r="R406" s="49" t="str">
        <f t="shared" si="1"/>
        <v>0</v>
      </c>
      <c r="S406" s="49" t="str">
        <f>BASE!A410</f>
        <v>395</v>
      </c>
      <c r="T406" s="129" t="str">
        <f t="shared" si="2"/>
        <v>0</v>
      </c>
      <c r="U406" s="129" t="str">
        <f t="shared" si="3"/>
        <v>0</v>
      </c>
      <c r="V406" s="129" t="str">
        <f t="shared" si="4"/>
        <v>0</v>
      </c>
      <c r="W406" s="129"/>
      <c r="X406" s="129"/>
      <c r="Y406" s="113"/>
    </row>
    <row r="407" ht="17.25" customHeight="1">
      <c r="A407" s="131" t="str">
        <f>IF(BASE!B411="","",BASE!B411)</f>
        <v/>
      </c>
      <c r="B407" s="49" t="s">
        <v>122</v>
      </c>
      <c r="C407" s="108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08"/>
      <c r="Q407" s="133"/>
      <c r="R407" s="49" t="str">
        <f t="shared" si="1"/>
        <v>0</v>
      </c>
      <c r="S407" s="49" t="str">
        <f>BASE!A411</f>
        <v>396</v>
      </c>
      <c r="T407" s="129" t="str">
        <f t="shared" si="2"/>
        <v>0</v>
      </c>
      <c r="U407" s="129" t="str">
        <f t="shared" si="3"/>
        <v>0</v>
      </c>
      <c r="V407" s="129" t="str">
        <f t="shared" si="4"/>
        <v>0</v>
      </c>
      <c r="W407" s="129"/>
      <c r="X407" s="129"/>
      <c r="Y407" s="113"/>
    </row>
    <row r="408" ht="17.25" customHeight="1">
      <c r="A408" s="131" t="str">
        <f>IF(BASE!B412="","",BASE!B412)</f>
        <v/>
      </c>
      <c r="B408" s="49" t="s">
        <v>122</v>
      </c>
      <c r="C408" s="108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08"/>
      <c r="Q408" s="133"/>
      <c r="R408" s="49" t="str">
        <f t="shared" si="1"/>
        <v>0</v>
      </c>
      <c r="S408" s="49" t="str">
        <f>BASE!A412</f>
        <v>397</v>
      </c>
      <c r="T408" s="129" t="str">
        <f t="shared" si="2"/>
        <v>0</v>
      </c>
      <c r="U408" s="129" t="str">
        <f t="shared" si="3"/>
        <v>0</v>
      </c>
      <c r="V408" s="129" t="str">
        <f t="shared" si="4"/>
        <v>0</v>
      </c>
      <c r="W408" s="129"/>
      <c r="X408" s="129"/>
      <c r="Y408" s="113"/>
    </row>
    <row r="409" ht="17.25" customHeight="1">
      <c r="A409" s="131" t="str">
        <f>IF(BASE!B413="","",BASE!B413)</f>
        <v/>
      </c>
      <c r="B409" s="49" t="s">
        <v>122</v>
      </c>
      <c r="C409" s="108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08"/>
      <c r="Q409" s="133"/>
      <c r="R409" s="49" t="str">
        <f t="shared" si="1"/>
        <v>0</v>
      </c>
      <c r="S409" s="49" t="str">
        <f>BASE!A413</f>
        <v>398</v>
      </c>
      <c r="T409" s="129" t="str">
        <f t="shared" si="2"/>
        <v>0</v>
      </c>
      <c r="U409" s="129" t="str">
        <f t="shared" si="3"/>
        <v>0</v>
      </c>
      <c r="V409" s="129" t="str">
        <f t="shared" si="4"/>
        <v>0</v>
      </c>
      <c r="W409" s="129"/>
      <c r="X409" s="129"/>
      <c r="Y409" s="113"/>
    </row>
    <row r="410" ht="17.25" customHeight="1">
      <c r="A410" s="131" t="str">
        <f>IF(BASE!B414="","",BASE!B414)</f>
        <v/>
      </c>
      <c r="B410" s="49" t="s">
        <v>122</v>
      </c>
      <c r="C410" s="108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08"/>
      <c r="Q410" s="133"/>
      <c r="R410" s="49" t="str">
        <f t="shared" si="1"/>
        <v>0</v>
      </c>
      <c r="S410" s="49" t="str">
        <f>BASE!A414</f>
        <v>399</v>
      </c>
      <c r="T410" s="129" t="str">
        <f t="shared" si="2"/>
        <v>0</v>
      </c>
      <c r="U410" s="129" t="str">
        <f t="shared" si="3"/>
        <v>0</v>
      </c>
      <c r="V410" s="129" t="str">
        <f t="shared" si="4"/>
        <v>0</v>
      </c>
      <c r="W410" s="129"/>
      <c r="X410" s="129"/>
      <c r="Y410" s="113"/>
    </row>
    <row r="411" ht="17.25" customHeight="1">
      <c r="A411" s="131" t="str">
        <f>IF(BASE!B415="","",BASE!B415)</f>
        <v/>
      </c>
      <c r="B411" s="49" t="s">
        <v>122</v>
      </c>
      <c r="C411" s="108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08"/>
      <c r="Q411" s="133"/>
      <c r="R411" s="49" t="str">
        <f t="shared" si="1"/>
        <v>0</v>
      </c>
      <c r="S411" s="49" t="str">
        <f>BASE!A415</f>
        <v>400</v>
      </c>
      <c r="T411" s="129" t="str">
        <f t="shared" si="2"/>
        <v>0</v>
      </c>
      <c r="U411" s="129" t="str">
        <f t="shared" si="3"/>
        <v>0</v>
      </c>
      <c r="V411" s="129" t="str">
        <f t="shared" si="4"/>
        <v>0</v>
      </c>
      <c r="W411" s="129"/>
      <c r="X411" s="129"/>
      <c r="Y411" s="113"/>
    </row>
    <row r="412" ht="17.25" customHeight="1">
      <c r="A412" s="131" t="str">
        <f>IF(BASE!B416="","",BASE!B416)</f>
        <v/>
      </c>
      <c r="B412" s="49" t="s">
        <v>122</v>
      </c>
      <c r="C412" s="108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08"/>
      <c r="Q412" s="133"/>
      <c r="R412" s="49" t="str">
        <f t="shared" si="1"/>
        <v>0</v>
      </c>
      <c r="S412" s="49" t="str">
        <f>BASE!A416</f>
        <v>401</v>
      </c>
      <c r="T412" s="129" t="str">
        <f t="shared" si="2"/>
        <v>0</v>
      </c>
      <c r="U412" s="129" t="str">
        <f t="shared" si="3"/>
        <v>0</v>
      </c>
      <c r="V412" s="129" t="str">
        <f t="shared" si="4"/>
        <v>0</v>
      </c>
      <c r="W412" s="129"/>
      <c r="X412" s="129"/>
      <c r="Y412" s="113"/>
    </row>
    <row r="413" ht="17.25" customHeight="1">
      <c r="A413" s="131" t="str">
        <f>IF(BASE!B417="","",BASE!B417)</f>
        <v/>
      </c>
      <c r="B413" s="49" t="s">
        <v>122</v>
      </c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08"/>
      <c r="Q413" s="133"/>
      <c r="R413" s="49" t="str">
        <f t="shared" si="1"/>
        <v>0</v>
      </c>
      <c r="S413" s="49" t="str">
        <f>BASE!A417</f>
        <v>402</v>
      </c>
      <c r="T413" s="129" t="str">
        <f t="shared" si="2"/>
        <v>0</v>
      </c>
      <c r="U413" s="129" t="str">
        <f t="shared" si="3"/>
        <v>0</v>
      </c>
      <c r="V413" s="129" t="str">
        <f t="shared" si="4"/>
        <v>0</v>
      </c>
      <c r="W413" s="129"/>
      <c r="X413" s="129"/>
      <c r="Y413" s="113"/>
    </row>
    <row r="414" ht="17.25" customHeight="1">
      <c r="A414" s="131" t="str">
        <f>IF(BASE!B418="","",BASE!B418)</f>
        <v/>
      </c>
      <c r="B414" s="49" t="s">
        <v>122</v>
      </c>
      <c r="C414" s="108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08"/>
      <c r="Q414" s="133"/>
      <c r="R414" s="49" t="str">
        <f t="shared" si="1"/>
        <v>0</v>
      </c>
      <c r="S414" s="49" t="str">
        <f>BASE!A418</f>
        <v>403</v>
      </c>
      <c r="T414" s="129" t="str">
        <f t="shared" si="2"/>
        <v>0</v>
      </c>
      <c r="U414" s="129" t="str">
        <f t="shared" si="3"/>
        <v>0</v>
      </c>
      <c r="V414" s="129" t="str">
        <f t="shared" si="4"/>
        <v>0</v>
      </c>
      <c r="W414" s="129"/>
      <c r="X414" s="129"/>
      <c r="Y414" s="113"/>
    </row>
    <row r="415" ht="17.25" customHeight="1">
      <c r="A415" s="131" t="str">
        <f>IF(BASE!B419="","",BASE!B419)</f>
        <v/>
      </c>
      <c r="B415" s="49" t="s">
        <v>122</v>
      </c>
      <c r="C415" s="108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08"/>
      <c r="Q415" s="133"/>
      <c r="R415" s="49" t="str">
        <f t="shared" si="1"/>
        <v>0</v>
      </c>
      <c r="S415" s="49" t="str">
        <f>BASE!A419</f>
        <v>404</v>
      </c>
      <c r="T415" s="129" t="str">
        <f t="shared" si="2"/>
        <v>0</v>
      </c>
      <c r="U415" s="129" t="str">
        <f t="shared" si="3"/>
        <v>0</v>
      </c>
      <c r="V415" s="129" t="str">
        <f t="shared" si="4"/>
        <v>0</v>
      </c>
      <c r="W415" s="129"/>
      <c r="X415" s="129"/>
      <c r="Y415" s="113"/>
    </row>
    <row r="416" ht="17.25" customHeight="1">
      <c r="A416" s="131" t="str">
        <f>IF(BASE!B420="","",BASE!B420)</f>
        <v/>
      </c>
      <c r="B416" s="49" t="s">
        <v>122</v>
      </c>
      <c r="C416" s="108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08"/>
      <c r="Q416" s="133"/>
      <c r="R416" s="49" t="str">
        <f t="shared" si="1"/>
        <v>0</v>
      </c>
      <c r="S416" s="49" t="str">
        <f>BASE!A420</f>
        <v>405</v>
      </c>
      <c r="T416" s="129" t="str">
        <f t="shared" si="2"/>
        <v>0</v>
      </c>
      <c r="U416" s="129" t="str">
        <f t="shared" si="3"/>
        <v>0</v>
      </c>
      <c r="V416" s="129" t="str">
        <f t="shared" si="4"/>
        <v>0</v>
      </c>
      <c r="W416" s="129"/>
      <c r="X416" s="129"/>
      <c r="Y416" s="113"/>
    </row>
    <row r="417" ht="17.25" customHeight="1">
      <c r="A417" s="131" t="str">
        <f>IF(BASE!B421="","",BASE!B421)</f>
        <v/>
      </c>
      <c r="B417" s="49" t="s">
        <v>122</v>
      </c>
      <c r="C417" s="108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08"/>
      <c r="Q417" s="133"/>
      <c r="R417" s="49" t="str">
        <f t="shared" si="1"/>
        <v>0</v>
      </c>
      <c r="S417" s="49" t="str">
        <f>BASE!A421</f>
        <v>406</v>
      </c>
      <c r="T417" s="129" t="str">
        <f t="shared" si="2"/>
        <v>0</v>
      </c>
      <c r="U417" s="129" t="str">
        <f t="shared" si="3"/>
        <v>0</v>
      </c>
      <c r="V417" s="129" t="str">
        <f t="shared" si="4"/>
        <v>0</v>
      </c>
      <c r="W417" s="129"/>
      <c r="X417" s="129"/>
      <c r="Y417" s="113"/>
    </row>
    <row r="418" ht="17.25" customHeight="1">
      <c r="A418" s="131" t="str">
        <f>IF(BASE!B422="","",BASE!B422)</f>
        <v/>
      </c>
      <c r="B418" s="49" t="s">
        <v>122</v>
      </c>
      <c r="C418" s="108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08"/>
      <c r="Q418" s="133"/>
      <c r="R418" s="49" t="str">
        <f t="shared" si="1"/>
        <v>0</v>
      </c>
      <c r="S418" s="49" t="str">
        <f>BASE!A422</f>
        <v>407</v>
      </c>
      <c r="T418" s="129" t="str">
        <f t="shared" si="2"/>
        <v>0</v>
      </c>
      <c r="U418" s="129" t="str">
        <f t="shared" si="3"/>
        <v>0</v>
      </c>
      <c r="V418" s="129" t="str">
        <f t="shared" si="4"/>
        <v>0</v>
      </c>
      <c r="W418" s="129"/>
      <c r="X418" s="129"/>
      <c r="Y418" s="113"/>
    </row>
    <row r="419" ht="17.25" customHeight="1">
      <c r="A419" s="131" t="str">
        <f>IF(BASE!B423="","",BASE!B423)</f>
        <v/>
      </c>
      <c r="B419" s="49" t="s">
        <v>122</v>
      </c>
      <c r="C419" s="108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08"/>
      <c r="Q419" s="133"/>
      <c r="R419" s="49" t="str">
        <f t="shared" si="1"/>
        <v>0</v>
      </c>
      <c r="S419" s="49" t="str">
        <f>BASE!A423</f>
        <v>408</v>
      </c>
      <c r="T419" s="129" t="str">
        <f t="shared" si="2"/>
        <v>0</v>
      </c>
      <c r="U419" s="129" t="str">
        <f t="shared" si="3"/>
        <v>0</v>
      </c>
      <c r="V419" s="129" t="str">
        <f t="shared" si="4"/>
        <v>0</v>
      </c>
      <c r="W419" s="129"/>
      <c r="X419" s="129"/>
      <c r="Y419" s="113"/>
    </row>
    <row r="420" ht="17.25" customHeight="1">
      <c r="A420" s="131" t="str">
        <f>IF(BASE!B424="","",BASE!B424)</f>
        <v/>
      </c>
      <c r="B420" s="49" t="s">
        <v>122</v>
      </c>
      <c r="C420" s="108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08"/>
      <c r="Q420" s="133"/>
      <c r="R420" s="49" t="str">
        <f t="shared" si="1"/>
        <v>0</v>
      </c>
      <c r="S420" s="49" t="str">
        <f>BASE!A424</f>
        <v>409</v>
      </c>
      <c r="T420" s="129" t="str">
        <f t="shared" si="2"/>
        <v>0</v>
      </c>
      <c r="U420" s="129" t="str">
        <f t="shared" si="3"/>
        <v>0</v>
      </c>
      <c r="V420" s="129" t="str">
        <f t="shared" si="4"/>
        <v>0</v>
      </c>
      <c r="W420" s="129"/>
      <c r="X420" s="129"/>
      <c r="Y420" s="113"/>
    </row>
    <row r="421" ht="17.25" customHeight="1">
      <c r="A421" s="131" t="str">
        <f>IF(BASE!B425="","",BASE!B425)</f>
        <v/>
      </c>
      <c r="B421" s="49" t="s">
        <v>122</v>
      </c>
      <c r="C421" s="108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08"/>
      <c r="Q421" s="133"/>
      <c r="R421" s="49" t="str">
        <f t="shared" si="1"/>
        <v>0</v>
      </c>
      <c r="S421" s="49" t="str">
        <f>BASE!A425</f>
        <v>410</v>
      </c>
      <c r="T421" s="129" t="str">
        <f t="shared" si="2"/>
        <v>0</v>
      </c>
      <c r="U421" s="129" t="str">
        <f t="shared" si="3"/>
        <v>0</v>
      </c>
      <c r="V421" s="129" t="str">
        <f t="shared" si="4"/>
        <v>0</v>
      </c>
      <c r="W421" s="129"/>
      <c r="X421" s="129"/>
      <c r="Y421" s="113"/>
    </row>
    <row r="422" ht="17.25" customHeight="1">
      <c r="A422" s="131" t="str">
        <f>IF(BASE!B426="","",BASE!B426)</f>
        <v/>
      </c>
      <c r="B422" s="49" t="s">
        <v>122</v>
      </c>
      <c r="C422" s="108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08"/>
      <c r="Q422" s="133"/>
      <c r="R422" s="49" t="str">
        <f t="shared" si="1"/>
        <v>0</v>
      </c>
      <c r="S422" s="49" t="str">
        <f>BASE!A426</f>
        <v>411</v>
      </c>
      <c r="T422" s="129" t="str">
        <f t="shared" si="2"/>
        <v>0</v>
      </c>
      <c r="U422" s="129" t="str">
        <f t="shared" si="3"/>
        <v>0</v>
      </c>
      <c r="V422" s="129" t="str">
        <f t="shared" si="4"/>
        <v>0</v>
      </c>
      <c r="W422" s="129"/>
      <c r="X422" s="129"/>
      <c r="Y422" s="113"/>
    </row>
    <row r="423" ht="17.25" customHeight="1">
      <c r="A423" s="131" t="str">
        <f>IF(BASE!B427="","",BASE!B427)</f>
        <v/>
      </c>
      <c r="B423" s="49" t="s">
        <v>122</v>
      </c>
      <c r="C423" s="108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08"/>
      <c r="Q423" s="133"/>
      <c r="R423" s="49" t="str">
        <f t="shared" si="1"/>
        <v>0</v>
      </c>
      <c r="S423" s="49" t="str">
        <f>BASE!A427</f>
        <v>412</v>
      </c>
      <c r="T423" s="129" t="str">
        <f t="shared" si="2"/>
        <v>0</v>
      </c>
      <c r="U423" s="129" t="str">
        <f t="shared" si="3"/>
        <v>0</v>
      </c>
      <c r="V423" s="129" t="str">
        <f t="shared" si="4"/>
        <v>0</v>
      </c>
      <c r="W423" s="129"/>
      <c r="X423" s="129"/>
      <c r="Y423" s="113"/>
    </row>
    <row r="424" ht="17.25" customHeight="1">
      <c r="A424" s="131" t="str">
        <f>IF(BASE!B428="","",BASE!B428)</f>
        <v/>
      </c>
      <c r="B424" s="49" t="s">
        <v>122</v>
      </c>
      <c r="C424" s="108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08"/>
      <c r="Q424" s="133"/>
      <c r="R424" s="49" t="str">
        <f t="shared" si="1"/>
        <v>0</v>
      </c>
      <c r="S424" s="49" t="str">
        <f>BASE!A428</f>
        <v>413</v>
      </c>
      <c r="T424" s="129" t="str">
        <f t="shared" si="2"/>
        <v>0</v>
      </c>
      <c r="U424" s="129" t="str">
        <f t="shared" si="3"/>
        <v>0</v>
      </c>
      <c r="V424" s="129" t="str">
        <f t="shared" si="4"/>
        <v>0</v>
      </c>
      <c r="W424" s="129"/>
      <c r="X424" s="129"/>
      <c r="Y424" s="113"/>
    </row>
    <row r="425" ht="17.25" customHeight="1">
      <c r="A425" s="131" t="str">
        <f>IF(BASE!B429="","",BASE!B429)</f>
        <v/>
      </c>
      <c r="B425" s="49" t="s">
        <v>122</v>
      </c>
      <c r="C425" s="108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08"/>
      <c r="Q425" s="133"/>
      <c r="R425" s="49" t="str">
        <f t="shared" si="1"/>
        <v>0</v>
      </c>
      <c r="S425" s="49" t="str">
        <f>BASE!A429</f>
        <v>414</v>
      </c>
      <c r="T425" s="129" t="str">
        <f t="shared" si="2"/>
        <v>0</v>
      </c>
      <c r="U425" s="129" t="str">
        <f t="shared" si="3"/>
        <v>0</v>
      </c>
      <c r="V425" s="129" t="str">
        <f t="shared" si="4"/>
        <v>0</v>
      </c>
      <c r="W425" s="129"/>
      <c r="X425" s="129"/>
      <c r="Y425" s="113"/>
    </row>
    <row r="426" ht="17.25" customHeight="1">
      <c r="A426" s="131" t="str">
        <f>IF(BASE!B430="","",BASE!B430)</f>
        <v/>
      </c>
      <c r="B426" s="49" t="s">
        <v>122</v>
      </c>
      <c r="C426" s="108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08"/>
      <c r="Q426" s="133"/>
      <c r="R426" s="49" t="str">
        <f t="shared" si="1"/>
        <v>0</v>
      </c>
      <c r="S426" s="49" t="str">
        <f>BASE!A430</f>
        <v>415</v>
      </c>
      <c r="T426" s="129" t="str">
        <f t="shared" si="2"/>
        <v>0</v>
      </c>
      <c r="U426" s="129" t="str">
        <f t="shared" si="3"/>
        <v>0</v>
      </c>
      <c r="V426" s="129" t="str">
        <f t="shared" si="4"/>
        <v>0</v>
      </c>
      <c r="W426" s="129"/>
      <c r="X426" s="129"/>
      <c r="Y426" s="113"/>
    </row>
    <row r="427" ht="17.25" customHeight="1">
      <c r="A427" s="131" t="str">
        <f>IF(BASE!B431="","",BASE!B431)</f>
        <v/>
      </c>
      <c r="B427" s="49" t="s">
        <v>122</v>
      </c>
      <c r="C427" s="108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08"/>
      <c r="Q427" s="133"/>
      <c r="R427" s="49" t="str">
        <f t="shared" si="1"/>
        <v>0</v>
      </c>
      <c r="S427" s="49" t="str">
        <f>BASE!A431</f>
        <v>416</v>
      </c>
      <c r="T427" s="129" t="str">
        <f t="shared" si="2"/>
        <v>0</v>
      </c>
      <c r="U427" s="129" t="str">
        <f t="shared" si="3"/>
        <v>0</v>
      </c>
      <c r="V427" s="129" t="str">
        <f t="shared" si="4"/>
        <v>0</v>
      </c>
      <c r="W427" s="129"/>
      <c r="X427" s="129"/>
      <c r="Y427" s="113"/>
    </row>
    <row r="428" ht="17.25" customHeight="1">
      <c r="A428" s="131" t="str">
        <f>IF(BASE!B432="","",BASE!B432)</f>
        <v/>
      </c>
      <c r="B428" s="49" t="s">
        <v>122</v>
      </c>
      <c r="C428" s="108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08"/>
      <c r="Q428" s="133"/>
      <c r="R428" s="49" t="str">
        <f t="shared" si="1"/>
        <v>0</v>
      </c>
      <c r="S428" s="49" t="str">
        <f>BASE!A432</f>
        <v>417</v>
      </c>
      <c r="T428" s="129" t="str">
        <f t="shared" si="2"/>
        <v>0</v>
      </c>
      <c r="U428" s="129" t="str">
        <f t="shared" si="3"/>
        <v>0</v>
      </c>
      <c r="V428" s="129" t="str">
        <f t="shared" si="4"/>
        <v>0</v>
      </c>
      <c r="W428" s="129"/>
      <c r="X428" s="129"/>
      <c r="Y428" s="113"/>
    </row>
    <row r="429" ht="17.25" customHeight="1">
      <c r="A429" s="131" t="str">
        <f>IF(BASE!B433="","",BASE!B433)</f>
        <v/>
      </c>
      <c r="B429" s="49" t="s">
        <v>122</v>
      </c>
      <c r="C429" s="108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08"/>
      <c r="Q429" s="133"/>
      <c r="R429" s="49" t="str">
        <f t="shared" si="1"/>
        <v>0</v>
      </c>
      <c r="S429" s="49" t="str">
        <f>BASE!A433</f>
        <v>418</v>
      </c>
      <c r="T429" s="129" t="str">
        <f t="shared" si="2"/>
        <v>0</v>
      </c>
      <c r="U429" s="129" t="str">
        <f t="shared" si="3"/>
        <v>0</v>
      </c>
      <c r="V429" s="129" t="str">
        <f t="shared" si="4"/>
        <v>0</v>
      </c>
      <c r="W429" s="129"/>
      <c r="X429" s="129"/>
      <c r="Y429" s="113"/>
    </row>
    <row r="430" ht="17.25" customHeight="1">
      <c r="A430" s="131" t="str">
        <f>IF(BASE!B434="","",BASE!B434)</f>
        <v/>
      </c>
      <c r="B430" s="49" t="s">
        <v>122</v>
      </c>
      <c r="C430" s="108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08"/>
      <c r="Q430" s="133"/>
      <c r="R430" s="49" t="str">
        <f t="shared" si="1"/>
        <v>0</v>
      </c>
      <c r="S430" s="49" t="str">
        <f>BASE!A434</f>
        <v>419</v>
      </c>
      <c r="T430" s="129" t="str">
        <f t="shared" si="2"/>
        <v>0</v>
      </c>
      <c r="U430" s="129" t="str">
        <f t="shared" si="3"/>
        <v>0</v>
      </c>
      <c r="V430" s="129" t="str">
        <f t="shared" si="4"/>
        <v>0</v>
      </c>
      <c r="W430" s="129"/>
      <c r="X430" s="129"/>
      <c r="Y430" s="113"/>
    </row>
    <row r="431" ht="17.25" customHeight="1">
      <c r="A431" s="131" t="str">
        <f>IF(BASE!B435="","",BASE!B435)</f>
        <v/>
      </c>
      <c r="B431" s="49" t="s">
        <v>122</v>
      </c>
      <c r="C431" s="108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08"/>
      <c r="Q431" s="133"/>
      <c r="R431" s="49" t="str">
        <f t="shared" si="1"/>
        <v>0</v>
      </c>
      <c r="S431" s="49" t="str">
        <f>BASE!A435</f>
        <v>420</v>
      </c>
      <c r="T431" s="129" t="str">
        <f t="shared" si="2"/>
        <v>0</v>
      </c>
      <c r="U431" s="129" t="str">
        <f t="shared" si="3"/>
        <v>0</v>
      </c>
      <c r="V431" s="129" t="str">
        <f t="shared" si="4"/>
        <v>0</v>
      </c>
      <c r="W431" s="129"/>
      <c r="X431" s="129"/>
      <c r="Y431" s="113"/>
    </row>
    <row r="432" ht="17.25" customHeight="1">
      <c r="A432" s="131" t="str">
        <f>IF(BASE!B436="","",BASE!B436)</f>
        <v/>
      </c>
      <c r="B432" s="49" t="s">
        <v>122</v>
      </c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08"/>
      <c r="Q432" s="133"/>
      <c r="R432" s="49" t="str">
        <f t="shared" si="1"/>
        <v>0</v>
      </c>
      <c r="S432" s="49" t="str">
        <f>BASE!A436</f>
        <v>421</v>
      </c>
      <c r="T432" s="129" t="str">
        <f t="shared" si="2"/>
        <v>0</v>
      </c>
      <c r="U432" s="129" t="str">
        <f t="shared" si="3"/>
        <v>0</v>
      </c>
      <c r="V432" s="129" t="str">
        <f t="shared" si="4"/>
        <v>0</v>
      </c>
      <c r="W432" s="129"/>
      <c r="X432" s="129"/>
      <c r="Y432" s="113"/>
    </row>
    <row r="433" ht="17.25" customHeight="1">
      <c r="A433" s="131" t="str">
        <f>IF(BASE!B437="","",BASE!B437)</f>
        <v/>
      </c>
      <c r="B433" s="49" t="s">
        <v>122</v>
      </c>
      <c r="C433" s="108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08"/>
      <c r="Q433" s="133"/>
      <c r="R433" s="49" t="str">
        <f t="shared" si="1"/>
        <v>0</v>
      </c>
      <c r="S433" s="49" t="str">
        <f>BASE!A437</f>
        <v>422</v>
      </c>
      <c r="T433" s="129" t="str">
        <f t="shared" si="2"/>
        <v>0</v>
      </c>
      <c r="U433" s="129" t="str">
        <f t="shared" si="3"/>
        <v>0</v>
      </c>
      <c r="V433" s="129" t="str">
        <f t="shared" si="4"/>
        <v>0</v>
      </c>
      <c r="W433" s="129"/>
      <c r="X433" s="129"/>
      <c r="Y433" s="113"/>
    </row>
    <row r="434" ht="17.25" customHeight="1">
      <c r="A434" s="131" t="str">
        <f>IF(BASE!B438="","",BASE!B438)</f>
        <v/>
      </c>
      <c r="B434" s="49" t="s">
        <v>122</v>
      </c>
      <c r="C434" s="108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08"/>
      <c r="Q434" s="133"/>
      <c r="R434" s="49" t="str">
        <f t="shared" si="1"/>
        <v>0</v>
      </c>
      <c r="S434" s="49" t="str">
        <f>BASE!A438</f>
        <v>423</v>
      </c>
      <c r="T434" s="129" t="str">
        <f t="shared" si="2"/>
        <v>0</v>
      </c>
      <c r="U434" s="129" t="str">
        <f t="shared" si="3"/>
        <v>0</v>
      </c>
      <c r="V434" s="129" t="str">
        <f t="shared" si="4"/>
        <v>0</v>
      </c>
      <c r="W434" s="129"/>
      <c r="X434" s="129"/>
      <c r="Y434" s="113"/>
    </row>
    <row r="435" ht="17.25" customHeight="1">
      <c r="A435" s="131" t="str">
        <f>IF(BASE!B439="","",BASE!B439)</f>
        <v/>
      </c>
      <c r="B435" s="49" t="s">
        <v>122</v>
      </c>
      <c r="C435" s="108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08"/>
      <c r="Q435" s="133"/>
      <c r="R435" s="49" t="str">
        <f t="shared" si="1"/>
        <v>0</v>
      </c>
      <c r="S435" s="49" t="str">
        <f>BASE!A439</f>
        <v>424</v>
      </c>
      <c r="T435" s="129" t="str">
        <f t="shared" si="2"/>
        <v>0</v>
      </c>
      <c r="U435" s="129" t="str">
        <f t="shared" si="3"/>
        <v>0</v>
      </c>
      <c r="V435" s="129" t="str">
        <f t="shared" si="4"/>
        <v>0</v>
      </c>
      <c r="W435" s="129"/>
      <c r="X435" s="129"/>
      <c r="Y435" s="113"/>
    </row>
    <row r="436" ht="17.25" customHeight="1">
      <c r="A436" s="131" t="str">
        <f>IF(BASE!B440="","",BASE!B440)</f>
        <v/>
      </c>
      <c r="B436" s="49" t="s">
        <v>122</v>
      </c>
      <c r="C436" s="108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08"/>
      <c r="Q436" s="133"/>
      <c r="R436" s="49" t="str">
        <f t="shared" si="1"/>
        <v>0</v>
      </c>
      <c r="S436" s="49" t="str">
        <f>BASE!A440</f>
        <v>425</v>
      </c>
      <c r="T436" s="129" t="str">
        <f t="shared" si="2"/>
        <v>0</v>
      </c>
      <c r="U436" s="129" t="str">
        <f t="shared" si="3"/>
        <v>0</v>
      </c>
      <c r="V436" s="129" t="str">
        <f t="shared" si="4"/>
        <v>0</v>
      </c>
      <c r="W436" s="129"/>
      <c r="X436" s="129"/>
      <c r="Y436" s="113"/>
    </row>
    <row r="437" ht="17.25" customHeight="1">
      <c r="A437" s="131" t="str">
        <f>IF(BASE!B441="","",BASE!B441)</f>
        <v/>
      </c>
      <c r="B437" s="49" t="s">
        <v>122</v>
      </c>
      <c r="C437" s="108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08"/>
      <c r="Q437" s="133"/>
      <c r="R437" s="49" t="str">
        <f t="shared" si="1"/>
        <v>0</v>
      </c>
      <c r="S437" s="49" t="str">
        <f>BASE!A441</f>
        <v>426</v>
      </c>
      <c r="T437" s="129" t="str">
        <f t="shared" si="2"/>
        <v>0</v>
      </c>
      <c r="U437" s="129" t="str">
        <f t="shared" si="3"/>
        <v>0</v>
      </c>
      <c r="V437" s="129" t="str">
        <f t="shared" si="4"/>
        <v>0</v>
      </c>
      <c r="W437" s="129"/>
      <c r="X437" s="129"/>
      <c r="Y437" s="113"/>
    </row>
    <row r="438" ht="17.25" customHeight="1">
      <c r="A438" s="131" t="str">
        <f>IF(BASE!B442="","",BASE!B442)</f>
        <v/>
      </c>
      <c r="B438" s="49" t="s">
        <v>122</v>
      </c>
      <c r="C438" s="108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08"/>
      <c r="Q438" s="133"/>
      <c r="R438" s="49" t="str">
        <f t="shared" si="1"/>
        <v>0</v>
      </c>
      <c r="S438" s="49" t="str">
        <f>BASE!A442</f>
        <v>427</v>
      </c>
      <c r="T438" s="129" t="str">
        <f t="shared" si="2"/>
        <v>0</v>
      </c>
      <c r="U438" s="129" t="str">
        <f t="shared" si="3"/>
        <v>0</v>
      </c>
      <c r="V438" s="129" t="str">
        <f t="shared" si="4"/>
        <v>0</v>
      </c>
      <c r="W438" s="129"/>
      <c r="X438" s="129"/>
      <c r="Y438" s="113"/>
    </row>
    <row r="439" ht="17.25" customHeight="1">
      <c r="A439" s="131" t="str">
        <f>IF(BASE!B443="","",BASE!B443)</f>
        <v/>
      </c>
      <c r="B439" s="49" t="s">
        <v>122</v>
      </c>
      <c r="C439" s="108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08"/>
      <c r="Q439" s="133"/>
      <c r="R439" s="49" t="str">
        <f t="shared" si="1"/>
        <v>0</v>
      </c>
      <c r="S439" s="49" t="str">
        <f>BASE!A443</f>
        <v>428</v>
      </c>
      <c r="T439" s="129" t="str">
        <f t="shared" si="2"/>
        <v>0</v>
      </c>
      <c r="U439" s="129" t="str">
        <f t="shared" si="3"/>
        <v>0</v>
      </c>
      <c r="V439" s="129" t="str">
        <f t="shared" si="4"/>
        <v>0</v>
      </c>
      <c r="W439" s="129"/>
      <c r="X439" s="129"/>
      <c r="Y439" s="113"/>
    </row>
    <row r="440" ht="17.25" customHeight="1">
      <c r="A440" s="131" t="str">
        <f>IF(BASE!B444="","",BASE!B444)</f>
        <v/>
      </c>
      <c r="B440" s="49" t="s">
        <v>122</v>
      </c>
      <c r="C440" s="108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08"/>
      <c r="Q440" s="133"/>
      <c r="R440" s="49" t="str">
        <f t="shared" si="1"/>
        <v>0</v>
      </c>
      <c r="S440" s="49" t="str">
        <f>BASE!A444</f>
        <v>429</v>
      </c>
      <c r="T440" s="129" t="str">
        <f t="shared" si="2"/>
        <v>0</v>
      </c>
      <c r="U440" s="129" t="str">
        <f t="shared" si="3"/>
        <v>0</v>
      </c>
      <c r="V440" s="129" t="str">
        <f t="shared" si="4"/>
        <v>0</v>
      </c>
      <c r="W440" s="129"/>
      <c r="X440" s="129"/>
      <c r="Y440" s="113"/>
    </row>
    <row r="441" ht="17.25" customHeight="1">
      <c r="A441" s="131" t="str">
        <f>IF(BASE!B445="","",BASE!B445)</f>
        <v/>
      </c>
      <c r="B441" s="49" t="s">
        <v>122</v>
      </c>
      <c r="C441" s="108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08"/>
      <c r="Q441" s="133"/>
      <c r="R441" s="49" t="str">
        <f t="shared" si="1"/>
        <v>0</v>
      </c>
      <c r="S441" s="49" t="str">
        <f>BASE!A445</f>
        <v>430</v>
      </c>
      <c r="T441" s="129" t="str">
        <f t="shared" si="2"/>
        <v>0</v>
      </c>
      <c r="U441" s="129" t="str">
        <f t="shared" si="3"/>
        <v>0</v>
      </c>
      <c r="V441" s="129" t="str">
        <f t="shared" si="4"/>
        <v>0</v>
      </c>
      <c r="W441" s="129"/>
      <c r="X441" s="129"/>
      <c r="Y441" s="113"/>
    </row>
    <row r="442" ht="17.25" customHeight="1">
      <c r="A442" s="131" t="str">
        <f>IF(BASE!B446="","",BASE!B446)</f>
        <v/>
      </c>
      <c r="B442" s="49" t="s">
        <v>122</v>
      </c>
      <c r="C442" s="108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08"/>
      <c r="Q442" s="133"/>
      <c r="R442" s="49" t="str">
        <f t="shared" si="1"/>
        <v>0</v>
      </c>
      <c r="S442" s="49" t="str">
        <f>BASE!A446</f>
        <v>431</v>
      </c>
      <c r="T442" s="129" t="str">
        <f t="shared" si="2"/>
        <v>0</v>
      </c>
      <c r="U442" s="129" t="str">
        <f t="shared" si="3"/>
        <v>0</v>
      </c>
      <c r="V442" s="129" t="str">
        <f t="shared" si="4"/>
        <v>0</v>
      </c>
      <c r="W442" s="129"/>
      <c r="X442" s="129"/>
      <c r="Y442" s="113"/>
    </row>
    <row r="443" ht="17.25" customHeight="1">
      <c r="A443" s="131" t="str">
        <f>IF(BASE!B447="","",BASE!B447)</f>
        <v/>
      </c>
      <c r="B443" s="49" t="s">
        <v>122</v>
      </c>
      <c r="C443" s="108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08"/>
      <c r="Q443" s="133"/>
      <c r="R443" s="49" t="str">
        <f t="shared" si="1"/>
        <v>0</v>
      </c>
      <c r="S443" s="49" t="str">
        <f>BASE!A447</f>
        <v>432</v>
      </c>
      <c r="T443" s="129" t="str">
        <f t="shared" si="2"/>
        <v>0</v>
      </c>
      <c r="U443" s="129" t="str">
        <f t="shared" si="3"/>
        <v>0</v>
      </c>
      <c r="V443" s="129" t="str">
        <f t="shared" si="4"/>
        <v>0</v>
      </c>
      <c r="W443" s="129"/>
      <c r="X443" s="129"/>
      <c r="Y443" s="113"/>
    </row>
    <row r="444" ht="17.25" customHeight="1">
      <c r="A444" s="131" t="str">
        <f>IF(BASE!B448="","",BASE!B448)</f>
        <v/>
      </c>
      <c r="B444" s="49" t="s">
        <v>122</v>
      </c>
      <c r="C444" s="108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08"/>
      <c r="Q444" s="133"/>
      <c r="R444" s="49" t="str">
        <f t="shared" si="1"/>
        <v>0</v>
      </c>
      <c r="S444" s="49" t="str">
        <f>BASE!A448</f>
        <v>433</v>
      </c>
      <c r="T444" s="129" t="str">
        <f t="shared" si="2"/>
        <v>0</v>
      </c>
      <c r="U444" s="129" t="str">
        <f t="shared" si="3"/>
        <v>0</v>
      </c>
      <c r="V444" s="129" t="str">
        <f t="shared" si="4"/>
        <v>0</v>
      </c>
      <c r="W444" s="129"/>
      <c r="X444" s="129"/>
      <c r="Y444" s="113"/>
    </row>
    <row r="445" ht="17.25" customHeight="1">
      <c r="A445" s="131" t="str">
        <f>IF(BASE!B449="","",BASE!B449)</f>
        <v/>
      </c>
      <c r="B445" s="49" t="s">
        <v>122</v>
      </c>
      <c r="C445" s="108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08"/>
      <c r="Q445" s="133"/>
      <c r="R445" s="49" t="str">
        <f t="shared" si="1"/>
        <v>0</v>
      </c>
      <c r="S445" s="49" t="str">
        <f>BASE!A449</f>
        <v>434</v>
      </c>
      <c r="T445" s="129" t="str">
        <f t="shared" si="2"/>
        <v>0</v>
      </c>
      <c r="U445" s="129" t="str">
        <f t="shared" si="3"/>
        <v>0</v>
      </c>
      <c r="V445" s="129" t="str">
        <f t="shared" si="4"/>
        <v>0</v>
      </c>
      <c r="W445" s="129"/>
      <c r="X445" s="129"/>
      <c r="Y445" s="113"/>
    </row>
    <row r="446" ht="17.25" customHeight="1">
      <c r="A446" s="131" t="str">
        <f>IF(BASE!B450="","",BASE!B450)</f>
        <v/>
      </c>
      <c r="B446" s="49" t="s">
        <v>122</v>
      </c>
      <c r="C446" s="108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08"/>
      <c r="Q446" s="133"/>
      <c r="R446" s="49" t="str">
        <f t="shared" si="1"/>
        <v>0</v>
      </c>
      <c r="S446" s="49" t="str">
        <f>BASE!A450</f>
        <v>435</v>
      </c>
      <c r="T446" s="129" t="str">
        <f t="shared" si="2"/>
        <v>0</v>
      </c>
      <c r="U446" s="129" t="str">
        <f t="shared" si="3"/>
        <v>0</v>
      </c>
      <c r="V446" s="129" t="str">
        <f t="shared" si="4"/>
        <v>0</v>
      </c>
      <c r="W446" s="129"/>
      <c r="X446" s="129"/>
      <c r="Y446" s="113"/>
    </row>
    <row r="447" ht="17.25" customHeight="1">
      <c r="A447" s="131" t="str">
        <f>IF(BASE!B451="","",BASE!B451)</f>
        <v/>
      </c>
      <c r="B447" s="49" t="s">
        <v>122</v>
      </c>
      <c r="C447" s="108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08"/>
      <c r="Q447" s="133"/>
      <c r="R447" s="49" t="str">
        <f t="shared" si="1"/>
        <v>0</v>
      </c>
      <c r="S447" s="49" t="str">
        <f>BASE!A451</f>
        <v>436</v>
      </c>
      <c r="T447" s="129" t="str">
        <f t="shared" si="2"/>
        <v>0</v>
      </c>
      <c r="U447" s="129" t="str">
        <f t="shared" si="3"/>
        <v>0</v>
      </c>
      <c r="V447" s="129" t="str">
        <f t="shared" si="4"/>
        <v>0</v>
      </c>
      <c r="W447" s="129"/>
      <c r="X447" s="129"/>
      <c r="Y447" s="113"/>
    </row>
    <row r="448" ht="17.25" customHeight="1">
      <c r="A448" s="131" t="str">
        <f>IF(BASE!B452="","",BASE!B452)</f>
        <v/>
      </c>
      <c r="B448" s="49" t="s">
        <v>122</v>
      </c>
      <c r="C448" s="108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08"/>
      <c r="Q448" s="133"/>
      <c r="R448" s="49" t="str">
        <f t="shared" si="1"/>
        <v>0</v>
      </c>
      <c r="S448" s="49" t="str">
        <f>BASE!A452</f>
        <v>437</v>
      </c>
      <c r="T448" s="129" t="str">
        <f t="shared" si="2"/>
        <v>0</v>
      </c>
      <c r="U448" s="129" t="str">
        <f t="shared" si="3"/>
        <v>0</v>
      </c>
      <c r="V448" s="129" t="str">
        <f t="shared" si="4"/>
        <v>0</v>
      </c>
      <c r="W448" s="129"/>
      <c r="X448" s="129"/>
      <c r="Y448" s="113"/>
    </row>
    <row r="449" ht="17.25" customHeight="1">
      <c r="A449" s="131" t="str">
        <f>IF(BASE!B453="","",BASE!B453)</f>
        <v/>
      </c>
      <c r="B449" s="49" t="s">
        <v>122</v>
      </c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33"/>
      <c r="R449" s="49" t="str">
        <f t="shared" si="1"/>
        <v>0</v>
      </c>
      <c r="S449" s="49" t="str">
        <f>BASE!A453</f>
        <v>438</v>
      </c>
      <c r="T449" s="129" t="str">
        <f t="shared" si="2"/>
        <v>0</v>
      </c>
      <c r="U449" s="129" t="str">
        <f t="shared" si="3"/>
        <v>0</v>
      </c>
      <c r="V449" s="129" t="str">
        <f t="shared" si="4"/>
        <v>0</v>
      </c>
      <c r="W449" s="129"/>
      <c r="X449" s="129"/>
      <c r="Y449" s="113"/>
    </row>
    <row r="450" ht="17.25" customHeight="1">
      <c r="A450" s="131" t="str">
        <f>IF(BASE!B454="","",BASE!B454)</f>
        <v/>
      </c>
      <c r="B450" s="49" t="s">
        <v>122</v>
      </c>
      <c r="C450" s="108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08"/>
      <c r="Q450" s="133"/>
      <c r="R450" s="49" t="str">
        <f t="shared" si="1"/>
        <v>0</v>
      </c>
      <c r="S450" s="49" t="str">
        <f>BASE!A454</f>
        <v>439</v>
      </c>
      <c r="T450" s="129" t="str">
        <f t="shared" si="2"/>
        <v>0</v>
      </c>
      <c r="U450" s="129" t="str">
        <f t="shared" si="3"/>
        <v>0</v>
      </c>
      <c r="V450" s="129" t="str">
        <f t="shared" si="4"/>
        <v>0</v>
      </c>
      <c r="W450" s="129"/>
      <c r="X450" s="129"/>
      <c r="Y450" s="113"/>
    </row>
    <row r="451" ht="17.25" customHeight="1">
      <c r="A451" s="131" t="str">
        <f>IF(BASE!B455="","",BASE!B455)</f>
        <v/>
      </c>
      <c r="B451" s="49" t="s">
        <v>122</v>
      </c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33"/>
      <c r="R451" s="49" t="str">
        <f t="shared" si="1"/>
        <v>0</v>
      </c>
      <c r="S451" s="49" t="str">
        <f>BASE!A455</f>
        <v>440</v>
      </c>
      <c r="T451" s="129" t="str">
        <f t="shared" si="2"/>
        <v>0</v>
      </c>
      <c r="U451" s="129" t="str">
        <f t="shared" si="3"/>
        <v>0</v>
      </c>
      <c r="V451" s="129" t="str">
        <f t="shared" si="4"/>
        <v>0</v>
      </c>
      <c r="W451" s="129"/>
      <c r="X451" s="129"/>
      <c r="Y451" s="113"/>
    </row>
    <row r="452" ht="15.75" customHeight="1">
      <c r="A452" s="131" t="str">
        <f>IF(BASE!B456="","",BASE!B456)</f>
        <v/>
      </c>
      <c r="B452" s="49" t="s">
        <v>122</v>
      </c>
      <c r="C452" s="108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55"/>
      <c r="O452" s="55"/>
      <c r="P452" s="55"/>
      <c r="Q452" s="134"/>
      <c r="R452" s="49" t="str">
        <f t="shared" si="1"/>
        <v>0</v>
      </c>
      <c r="S452" s="49" t="str">
        <f>BASE!A456</f>
        <v>441</v>
      </c>
      <c r="T452" s="129" t="str">
        <f t="shared" si="2"/>
        <v>0</v>
      </c>
      <c r="U452" s="129" t="str">
        <f t="shared" si="3"/>
        <v>0</v>
      </c>
      <c r="V452" s="129" t="str">
        <f t="shared" si="4"/>
        <v>0</v>
      </c>
      <c r="W452" s="129"/>
      <c r="X452" s="129"/>
    </row>
    <row r="453" ht="15.75" customHeight="1">
      <c r="A453" s="131" t="str">
        <f>IF(BASE!B457="","",BASE!B457)</f>
        <v/>
      </c>
      <c r="B453" s="49" t="s">
        <v>122</v>
      </c>
      <c r="C453" s="108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55"/>
      <c r="O453" s="55"/>
      <c r="P453" s="55"/>
      <c r="Q453" s="134"/>
      <c r="R453" s="49" t="str">
        <f t="shared" si="1"/>
        <v>0</v>
      </c>
      <c r="S453" s="49" t="str">
        <f>BASE!A457</f>
        <v>442</v>
      </c>
      <c r="T453" s="129" t="str">
        <f t="shared" si="2"/>
        <v>0</v>
      </c>
      <c r="U453" s="129" t="str">
        <f t="shared" si="3"/>
        <v>0</v>
      </c>
      <c r="V453" s="129" t="str">
        <f t="shared" si="4"/>
        <v>0</v>
      </c>
      <c r="W453" s="129"/>
      <c r="X453" s="129"/>
    </row>
    <row r="454" ht="15.75" customHeight="1">
      <c r="A454" s="131" t="str">
        <f>IF(BASE!B458="","",BASE!B458)</f>
        <v/>
      </c>
      <c r="B454" s="49" t="s">
        <v>122</v>
      </c>
      <c r="C454" s="108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55"/>
      <c r="O454" s="55"/>
      <c r="P454" s="55"/>
      <c r="Q454" s="134"/>
      <c r="R454" s="49" t="str">
        <f t="shared" si="1"/>
        <v>0</v>
      </c>
      <c r="S454" s="49" t="str">
        <f>BASE!A458</f>
        <v>443</v>
      </c>
      <c r="T454" s="129" t="str">
        <f t="shared" si="2"/>
        <v>0</v>
      </c>
      <c r="U454" s="129" t="str">
        <f t="shared" si="3"/>
        <v>0</v>
      </c>
      <c r="V454" s="129" t="str">
        <f t="shared" si="4"/>
        <v>0</v>
      </c>
      <c r="W454" s="129"/>
      <c r="X454" s="129"/>
    </row>
    <row r="455" ht="15.75" customHeight="1">
      <c r="A455" s="131" t="str">
        <f>IF(BASE!B459="","",BASE!B459)</f>
        <v/>
      </c>
      <c r="B455" s="49" t="s">
        <v>122</v>
      </c>
      <c r="C455" s="108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55"/>
      <c r="O455" s="55"/>
      <c r="P455" s="55"/>
      <c r="Q455" s="134"/>
      <c r="R455" s="49" t="str">
        <f t="shared" si="1"/>
        <v>0</v>
      </c>
      <c r="S455" s="49" t="str">
        <f>BASE!A459</f>
        <v>444</v>
      </c>
      <c r="T455" s="129" t="str">
        <f t="shared" si="2"/>
        <v>0</v>
      </c>
      <c r="U455" s="129" t="str">
        <f t="shared" si="3"/>
        <v>0</v>
      </c>
      <c r="V455" s="129" t="str">
        <f t="shared" si="4"/>
        <v>0</v>
      </c>
      <c r="W455" s="129"/>
      <c r="X455" s="129"/>
    </row>
    <row r="456" ht="15.75" customHeight="1">
      <c r="A456" s="131" t="str">
        <f>IF(BASE!B460="","",BASE!B460)</f>
        <v/>
      </c>
      <c r="B456" s="49" t="s">
        <v>122</v>
      </c>
      <c r="C456" s="108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55"/>
      <c r="O456" s="55"/>
      <c r="P456" s="55"/>
      <c r="Q456" s="134"/>
      <c r="R456" s="49" t="str">
        <f t="shared" si="1"/>
        <v>0</v>
      </c>
      <c r="S456" s="49" t="str">
        <f>BASE!A460</f>
        <v>445</v>
      </c>
      <c r="T456" s="129" t="str">
        <f t="shared" si="2"/>
        <v>0</v>
      </c>
      <c r="U456" s="129" t="str">
        <f t="shared" si="3"/>
        <v>0</v>
      </c>
      <c r="V456" s="129" t="str">
        <f t="shared" si="4"/>
        <v>0</v>
      </c>
      <c r="W456" s="129"/>
      <c r="X456" s="129"/>
    </row>
    <row r="457" ht="15.75" customHeight="1">
      <c r="A457" s="131" t="str">
        <f>IF(BASE!B461="","",BASE!B461)</f>
        <v/>
      </c>
      <c r="B457" s="49" t="s">
        <v>122</v>
      </c>
      <c r="C457" s="108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55"/>
      <c r="O457" s="55"/>
      <c r="P457" s="55"/>
      <c r="Q457" s="134"/>
      <c r="R457" s="49" t="str">
        <f t="shared" si="1"/>
        <v>0</v>
      </c>
      <c r="S457" s="49" t="str">
        <f>BASE!A461</f>
        <v>446</v>
      </c>
      <c r="T457" s="129" t="str">
        <f t="shared" si="2"/>
        <v>0</v>
      </c>
      <c r="U457" s="129" t="str">
        <f t="shared" si="3"/>
        <v>0</v>
      </c>
      <c r="V457" s="129" t="str">
        <f t="shared" si="4"/>
        <v>0</v>
      </c>
      <c r="W457" s="129"/>
      <c r="X457" s="129"/>
    </row>
    <row r="458" ht="15.75" customHeight="1">
      <c r="A458" s="131" t="str">
        <f>IF(BASE!B462="","",BASE!B462)</f>
        <v/>
      </c>
      <c r="B458" s="49" t="s">
        <v>122</v>
      </c>
      <c r="C458" s="108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55"/>
      <c r="O458" s="55"/>
      <c r="P458" s="55"/>
      <c r="Q458" s="134"/>
      <c r="R458" s="49" t="str">
        <f t="shared" si="1"/>
        <v>0</v>
      </c>
      <c r="S458" s="49" t="str">
        <f>BASE!A462</f>
        <v>447</v>
      </c>
      <c r="T458" s="129" t="str">
        <f t="shared" si="2"/>
        <v>0</v>
      </c>
      <c r="U458" s="129" t="str">
        <f t="shared" si="3"/>
        <v>0</v>
      </c>
      <c r="V458" s="129" t="str">
        <f t="shared" si="4"/>
        <v>0</v>
      </c>
      <c r="W458" s="129"/>
      <c r="X458" s="129"/>
    </row>
    <row r="459" ht="15.75" customHeight="1">
      <c r="A459" s="131" t="str">
        <f>IF(BASE!B463="","",BASE!B463)</f>
        <v/>
      </c>
      <c r="B459" s="49" t="s">
        <v>122</v>
      </c>
      <c r="C459" s="108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55"/>
      <c r="O459" s="55"/>
      <c r="P459" s="55"/>
      <c r="Q459" s="134"/>
      <c r="R459" s="49" t="str">
        <f t="shared" si="1"/>
        <v>0</v>
      </c>
      <c r="S459" s="49" t="str">
        <f>BASE!A463</f>
        <v>448</v>
      </c>
      <c r="T459" s="129" t="str">
        <f t="shared" si="2"/>
        <v>0</v>
      </c>
      <c r="U459" s="129" t="str">
        <f t="shared" si="3"/>
        <v>0</v>
      </c>
      <c r="V459" s="129" t="str">
        <f t="shared" si="4"/>
        <v>0</v>
      </c>
      <c r="W459" s="129"/>
      <c r="X459" s="129"/>
    </row>
    <row r="460" ht="15.75" customHeight="1">
      <c r="A460" s="131" t="str">
        <f>IF(BASE!B464="","",BASE!B464)</f>
        <v/>
      </c>
      <c r="B460" s="49" t="s">
        <v>122</v>
      </c>
      <c r="C460" s="108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55"/>
      <c r="O460" s="55"/>
      <c r="P460" s="55"/>
      <c r="Q460" s="134"/>
      <c r="R460" s="49" t="str">
        <f t="shared" si="1"/>
        <v>0</v>
      </c>
      <c r="S460" s="49" t="str">
        <f>BASE!A464</f>
        <v>449</v>
      </c>
      <c r="T460" s="129" t="str">
        <f t="shared" si="2"/>
        <v>0</v>
      </c>
      <c r="U460" s="129" t="str">
        <f t="shared" si="3"/>
        <v>0</v>
      </c>
      <c r="V460" s="129" t="str">
        <f t="shared" si="4"/>
        <v>0</v>
      </c>
      <c r="W460" s="129"/>
      <c r="X460" s="129"/>
    </row>
    <row r="461" ht="15.75" customHeight="1">
      <c r="A461" s="131" t="str">
        <f>IF(BASE!B465="","",BASE!B465)</f>
        <v/>
      </c>
      <c r="B461" s="49" t="s">
        <v>122</v>
      </c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55"/>
      <c r="O461" s="55"/>
      <c r="P461" s="55"/>
      <c r="Q461" s="134"/>
      <c r="R461" s="49" t="str">
        <f t="shared" si="1"/>
        <v>0</v>
      </c>
      <c r="S461" s="49" t="str">
        <f>BASE!A465</f>
        <v>450</v>
      </c>
      <c r="T461" s="129" t="str">
        <f t="shared" si="2"/>
        <v>0</v>
      </c>
      <c r="U461" s="129" t="str">
        <f t="shared" si="3"/>
        <v>0</v>
      </c>
      <c r="V461" s="129" t="str">
        <f t="shared" si="4"/>
        <v>0</v>
      </c>
      <c r="W461" s="129"/>
      <c r="X461" s="129"/>
    </row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</sheetData>
  <mergeCells count="33">
    <mergeCell ref="C4:F4"/>
    <mergeCell ref="L7:N7"/>
    <mergeCell ref="G6:H6"/>
    <mergeCell ref="I6:J6"/>
    <mergeCell ref="C6:F7"/>
    <mergeCell ref="C5:F5"/>
    <mergeCell ref="G7:J7"/>
    <mergeCell ref="W6:W7"/>
    <mergeCell ref="U5:X5"/>
    <mergeCell ref="U6:V7"/>
    <mergeCell ref="X6:X7"/>
    <mergeCell ref="A1:R1"/>
    <mergeCell ref="S1:X1"/>
    <mergeCell ref="A2:R2"/>
    <mergeCell ref="S2:X2"/>
    <mergeCell ref="A3:R3"/>
    <mergeCell ref="A9:A11"/>
    <mergeCell ref="T11:X11"/>
    <mergeCell ref="S6:T7"/>
    <mergeCell ref="O4:R4"/>
    <mergeCell ref="S4:T4"/>
    <mergeCell ref="O7:P7"/>
    <mergeCell ref="K6:R6"/>
    <mergeCell ref="A6:A7"/>
    <mergeCell ref="B6:B7"/>
    <mergeCell ref="G5:R5"/>
    <mergeCell ref="S5:T5"/>
    <mergeCell ref="R9:R11"/>
    <mergeCell ref="S9:S11"/>
    <mergeCell ref="S3:X3"/>
    <mergeCell ref="U4:X4"/>
    <mergeCell ref="G4:J4"/>
    <mergeCell ref="K4:N4"/>
  </mergeCells>
  <dataValidations>
    <dataValidation type="decimal" allowBlank="1" showErrorMessage="1" sqref="C12:M461">
      <formula1>0.0</formula1>
      <formula2>50.0</formula2>
    </dataValidation>
    <dataValidation type="decimal" allowBlank="1" showErrorMessage="1" sqref="N12:P461">
      <formula1>0.0</formula1>
      <formula2>10.0</formula2>
    </dataValidation>
  </dataValidations>
  <printOptions horizontalCentered="1"/>
  <pageMargins bottom="0.5" footer="0.0" header="0.0" left="0.0" right="0.0" top="0.5"/>
  <pageSetup paperSize="9" orientation="landscape"/>
  <rowBreaks count="4" manualBreakCount="4">
    <brk id="43" man="1"/>
    <brk id="75" man="1"/>
    <brk id="206" man="1"/>
    <brk id="174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67"/>
    <col customWidth="1" min="2" max="5" width="6.78"/>
    <col customWidth="1" min="6" max="6" width="7.56"/>
    <col customWidth="1" min="7" max="7" width="6.78"/>
    <col customWidth="1" min="8" max="8" width="5.11"/>
    <col customWidth="1" min="9" max="23" width="7.11"/>
  </cols>
  <sheetData>
    <row r="1" ht="21.0" customHeight="1">
      <c r="A1" s="127" t="str">
        <f>BASE!A7</f>
        <v/>
      </c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</row>
    <row r="2" ht="24.0" customHeight="1">
      <c r="A2" s="127" t="str">
        <f>BASE!A8</f>
        <v/>
      </c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</row>
    <row r="3" ht="24.0" customHeight="1">
      <c r="A3" s="127" t="str">
        <f>BASE!A9</f>
        <v>LABORATORY COURSE OUTCOME ANALYSIS</v>
      </c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</row>
    <row r="4" ht="38.25" customHeight="1">
      <c r="A4" s="135" t="str">
        <f>BASE!A11</f>
        <v>Name of Faculty(s)</v>
      </c>
      <c r="B4" s="136" t="s">
        <v>122</v>
      </c>
      <c r="C4" s="137" t="str">
        <f>BASE!D11</f>
        <v>a</v>
      </c>
      <c r="D4" s="3"/>
      <c r="E4" s="137" t="str">
        <f>BASE!G11</f>
        <v>b</v>
      </c>
      <c r="F4" s="2"/>
      <c r="G4" s="3"/>
      <c r="H4" s="137" t="str">
        <f>BASE!J11</f>
        <v>c</v>
      </c>
      <c r="I4" s="3"/>
      <c r="J4" s="138" t="str">
        <f>BASE!M11</f>
        <v>d</v>
      </c>
      <c r="K4" s="3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</row>
    <row r="5" ht="38.25" customHeight="1">
      <c r="A5" s="135" t="str">
        <f>BASE!A12</f>
        <v>Course Code and Name</v>
      </c>
      <c r="B5" s="136" t="s">
        <v>122</v>
      </c>
      <c r="C5" s="1" t="str">
        <f>BASE!D12</f>
        <v/>
      </c>
      <c r="D5" s="3"/>
      <c r="E5" s="137" t="str">
        <f>BASE!G12</f>
        <v>XXXXXXXX XXXXX XXXXXXXX</v>
      </c>
      <c r="F5" s="2"/>
      <c r="G5" s="2"/>
      <c r="H5" s="2"/>
      <c r="I5" s="2"/>
      <c r="J5" s="2"/>
      <c r="K5" s="3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</row>
    <row r="6" ht="38.25" customHeight="1">
      <c r="A6" s="135" t="str">
        <f>BASE!A13</f>
        <v>Branch / Year / Semester</v>
      </c>
      <c r="B6" s="136" t="s">
        <v>122</v>
      </c>
      <c r="C6" s="1" t="str">
        <f>BASE!D13</f>
        <v>abcd</v>
      </c>
      <c r="D6" s="2"/>
      <c r="E6" s="3"/>
      <c r="F6" s="136" t="str">
        <f>BASE!H13</f>
        <v>II</v>
      </c>
      <c r="G6" s="136" t="str">
        <f>BASE!L13</f>
        <v>IV</v>
      </c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</row>
    <row r="7" ht="39.0" customHeight="1">
      <c r="A7" s="135" t="s">
        <v>135</v>
      </c>
      <c r="B7" s="136" t="str">
        <f>+BASE!I22</f>
        <v>46</v>
      </c>
      <c r="C7" s="1" t="s">
        <v>136</v>
      </c>
      <c r="D7" s="2"/>
      <c r="E7" s="2"/>
      <c r="F7" s="3"/>
      <c r="G7" s="139" t="str">
        <f>+BASE!$N$22</f>
        <v>2</v>
      </c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</row>
    <row r="8" ht="17.25" customHeight="1">
      <c r="A8" s="140"/>
      <c r="B8" s="89"/>
      <c r="C8" s="141" t="s">
        <v>137</v>
      </c>
      <c r="D8" s="142" t="s">
        <v>138</v>
      </c>
      <c r="E8" s="143" t="s">
        <v>139</v>
      </c>
      <c r="F8" s="89"/>
      <c r="G8" s="89"/>
      <c r="H8" s="127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</row>
    <row r="9">
      <c r="A9" s="144" t="s">
        <v>140</v>
      </c>
      <c r="B9" s="89"/>
      <c r="C9" s="133" t="str">
        <f>'exp marks'!T10</f>
        <v>180</v>
      </c>
      <c r="D9" s="133" t="str">
        <f>'exp marks'!U10</f>
        <v>240</v>
      </c>
      <c r="E9" s="133" t="str">
        <f>'exp marks'!V10</f>
        <v>240</v>
      </c>
      <c r="F9" s="89"/>
      <c r="G9" s="89"/>
      <c r="H9" s="127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</row>
    <row r="10" ht="36.0" customHeight="1">
      <c r="A10" s="144" t="s">
        <v>141</v>
      </c>
      <c r="B10" s="145"/>
      <c r="C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</row>
    <row r="11" ht="16.5" customHeight="1">
      <c r="A11" s="146" t="str">
        <f>IF(BASE!B16="","",BASE!B16)</f>
        <v>21FTR001</v>
      </c>
      <c r="B11" s="147" t="s">
        <v>122</v>
      </c>
      <c r="C11" s="133" t="str">
        <f>'exp marks'!T12</f>
        <v>0</v>
      </c>
      <c r="D11" s="133" t="str">
        <f>'exp marks'!U12</f>
        <v>0</v>
      </c>
      <c r="E11" s="133" t="str">
        <f>'exp marks'!V12</f>
        <v>0</v>
      </c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</row>
    <row r="12" ht="16.5" customHeight="1">
      <c r="A12" s="146" t="str">
        <f>IF(BASE!B17="","",BASE!B17)</f>
        <v>21FTR002</v>
      </c>
      <c r="B12" s="147" t="s">
        <v>122</v>
      </c>
      <c r="C12" s="133" t="str">
        <f>'exp marks'!T13</f>
        <v>0</v>
      </c>
      <c r="D12" s="133" t="str">
        <f>'exp marks'!U13</f>
        <v>0</v>
      </c>
      <c r="E12" s="133" t="str">
        <f>'exp marks'!V13</f>
        <v>0</v>
      </c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</row>
    <row r="13" ht="16.5" customHeight="1">
      <c r="A13" s="146" t="str">
        <f>IF(BASE!B18="","",BASE!B18)</f>
        <v>21FTR003</v>
      </c>
      <c r="B13" s="147" t="s">
        <v>122</v>
      </c>
      <c r="C13" s="133" t="str">
        <f>'exp marks'!T14</f>
        <v>0</v>
      </c>
      <c r="D13" s="133" t="str">
        <f>'exp marks'!U14</f>
        <v>0</v>
      </c>
      <c r="E13" s="133" t="str">
        <f>'exp marks'!V14</f>
        <v>0</v>
      </c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</row>
    <row r="14" ht="16.5" customHeight="1">
      <c r="A14" s="146" t="str">
        <f>IF(BASE!B19="","",BASE!B19)</f>
        <v>21FTR004</v>
      </c>
      <c r="B14" s="147" t="s">
        <v>122</v>
      </c>
      <c r="C14" s="133" t="str">
        <f>'exp marks'!T15</f>
        <v>0</v>
      </c>
      <c r="D14" s="133" t="str">
        <f>'exp marks'!U15</f>
        <v>0</v>
      </c>
      <c r="E14" s="133" t="str">
        <f>'exp marks'!V15</f>
        <v>0</v>
      </c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</row>
    <row r="15" ht="16.5" customHeight="1">
      <c r="A15" s="146" t="str">
        <f>IF(BASE!B20="","",BASE!B20)</f>
        <v>21FTR005</v>
      </c>
      <c r="B15" s="147" t="s">
        <v>122</v>
      </c>
      <c r="C15" s="133" t="str">
        <f>'exp marks'!T16</f>
        <v>0</v>
      </c>
      <c r="D15" s="133" t="str">
        <f>'exp marks'!U16</f>
        <v>0</v>
      </c>
      <c r="E15" s="133" t="str">
        <f>'exp marks'!V16</f>
        <v>0</v>
      </c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</row>
    <row r="16" ht="16.5" customHeight="1">
      <c r="A16" s="146" t="str">
        <f>IF(BASE!B21="","",BASE!B21)</f>
        <v>21FTR006</v>
      </c>
      <c r="B16" s="147" t="s">
        <v>122</v>
      </c>
      <c r="C16" s="133" t="str">
        <f>'exp marks'!T17</f>
        <v>0</v>
      </c>
      <c r="D16" s="133" t="str">
        <f>'exp marks'!U17</f>
        <v>0</v>
      </c>
      <c r="E16" s="133" t="str">
        <f>'exp marks'!V17</f>
        <v>0</v>
      </c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</row>
    <row r="17" ht="16.5" customHeight="1">
      <c r="A17" s="146" t="str">
        <f>IF(BASE!B22="","",BASE!B22)</f>
        <v>21FTR007</v>
      </c>
      <c r="B17" s="147" t="s">
        <v>122</v>
      </c>
      <c r="C17" s="133" t="str">
        <f>'exp marks'!T18</f>
        <v>0</v>
      </c>
      <c r="D17" s="133" t="str">
        <f>'exp marks'!U18</f>
        <v>0</v>
      </c>
      <c r="E17" s="133" t="str">
        <f>'exp marks'!V18</f>
        <v>0</v>
      </c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</row>
    <row r="18" ht="16.5" customHeight="1">
      <c r="A18" s="146" t="str">
        <f>IF(BASE!B23="","",BASE!B23)</f>
        <v>21FTR008</v>
      </c>
      <c r="B18" s="147" t="s">
        <v>122</v>
      </c>
      <c r="C18" s="133" t="str">
        <f>'exp marks'!T19</f>
        <v>0</v>
      </c>
      <c r="D18" s="133" t="str">
        <f>'exp marks'!U19</f>
        <v>0</v>
      </c>
      <c r="E18" s="133" t="str">
        <f>'exp marks'!V19</f>
        <v>0</v>
      </c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</row>
    <row r="19" ht="16.5" customHeight="1">
      <c r="A19" s="146" t="str">
        <f>IF(BASE!B24="","",BASE!B24)</f>
        <v>21FTR009</v>
      </c>
      <c r="B19" s="147" t="s">
        <v>122</v>
      </c>
      <c r="C19" s="133" t="str">
        <f>'exp marks'!T20</f>
        <v>0</v>
      </c>
      <c r="D19" s="133" t="str">
        <f>'exp marks'!U20</f>
        <v>0</v>
      </c>
      <c r="E19" s="133" t="str">
        <f>'exp marks'!V20</f>
        <v>0</v>
      </c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</row>
    <row r="20" ht="16.5" customHeight="1">
      <c r="A20" s="146" t="str">
        <f>IF(BASE!B25="","",BASE!B25)</f>
        <v>21FTR010</v>
      </c>
      <c r="B20" s="147" t="s">
        <v>122</v>
      </c>
      <c r="C20" s="133" t="str">
        <f>'exp marks'!T21</f>
        <v>0</v>
      </c>
      <c r="D20" s="133" t="str">
        <f>'exp marks'!U21</f>
        <v>0</v>
      </c>
      <c r="E20" s="133" t="str">
        <f>'exp marks'!V21</f>
        <v>0</v>
      </c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</row>
    <row r="21" ht="16.5" customHeight="1">
      <c r="A21" s="146" t="str">
        <f>IF(BASE!B26="","",BASE!B26)</f>
        <v>21FTR011</v>
      </c>
      <c r="B21" s="147" t="s">
        <v>122</v>
      </c>
      <c r="C21" s="133" t="str">
        <f>'exp marks'!T22</f>
        <v>0</v>
      </c>
      <c r="D21" s="133" t="str">
        <f>'exp marks'!U22</f>
        <v>0</v>
      </c>
      <c r="E21" s="133" t="str">
        <f>'exp marks'!V22</f>
        <v>0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</row>
    <row r="22" ht="16.5" customHeight="1">
      <c r="A22" s="146" t="str">
        <f>IF(BASE!B27="","",BASE!B27)</f>
        <v>21FTR012</v>
      </c>
      <c r="B22" s="147" t="s">
        <v>122</v>
      </c>
      <c r="C22" s="133" t="str">
        <f>'exp marks'!T23</f>
        <v>0</v>
      </c>
      <c r="D22" s="133" t="str">
        <f>'exp marks'!U23</f>
        <v>0</v>
      </c>
      <c r="E22" s="133" t="str">
        <f>'exp marks'!V23</f>
        <v>0</v>
      </c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</row>
    <row r="23" ht="16.5" customHeight="1">
      <c r="A23" s="146" t="str">
        <f>IF(BASE!B28="","",BASE!B28)</f>
        <v>21FTR013</v>
      </c>
      <c r="B23" s="147" t="s">
        <v>122</v>
      </c>
      <c r="C23" s="133" t="str">
        <f>'exp marks'!T24</f>
        <v>0</v>
      </c>
      <c r="D23" s="133" t="str">
        <f>'exp marks'!U24</f>
        <v>0</v>
      </c>
      <c r="E23" s="133" t="str">
        <f>'exp marks'!V24</f>
        <v>0</v>
      </c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</row>
    <row r="24" ht="16.5" customHeight="1">
      <c r="A24" s="146" t="str">
        <f>IF(BASE!B29="","",BASE!B29)</f>
        <v>21FTR014</v>
      </c>
      <c r="B24" s="147" t="s">
        <v>122</v>
      </c>
      <c r="C24" s="133" t="str">
        <f>'exp marks'!T25</f>
        <v>0</v>
      </c>
      <c r="D24" s="133" t="str">
        <f>'exp marks'!U25</f>
        <v>0</v>
      </c>
      <c r="E24" s="133" t="str">
        <f>'exp marks'!V25</f>
        <v>0</v>
      </c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</row>
    <row r="25" ht="16.5" customHeight="1">
      <c r="A25" s="146" t="str">
        <f>IF(BASE!B30="","",BASE!B30)</f>
        <v>21FTR015</v>
      </c>
      <c r="B25" s="147" t="s">
        <v>122</v>
      </c>
      <c r="C25" s="133" t="str">
        <f>'exp marks'!T26</f>
        <v>0</v>
      </c>
      <c r="D25" s="133" t="str">
        <f>'exp marks'!U26</f>
        <v>0</v>
      </c>
      <c r="E25" s="133" t="str">
        <f>'exp marks'!V26</f>
        <v>0</v>
      </c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</row>
    <row r="26" ht="16.5" customHeight="1">
      <c r="A26" s="146" t="str">
        <f>IF(BASE!B31="","",BASE!B31)</f>
        <v>21FTR016</v>
      </c>
      <c r="B26" s="147" t="s">
        <v>122</v>
      </c>
      <c r="C26" s="133" t="str">
        <f>'exp marks'!T27</f>
        <v>0</v>
      </c>
      <c r="D26" s="133" t="str">
        <f>'exp marks'!U27</f>
        <v>0</v>
      </c>
      <c r="E26" s="133" t="str">
        <f>'exp marks'!V27</f>
        <v>0</v>
      </c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</row>
    <row r="27" ht="16.5" customHeight="1">
      <c r="A27" s="146" t="str">
        <f>IF(BASE!B32="","",BASE!B32)</f>
        <v>21FTR017</v>
      </c>
      <c r="B27" s="147" t="s">
        <v>122</v>
      </c>
      <c r="C27" s="133" t="str">
        <f>'exp marks'!T28</f>
        <v>0</v>
      </c>
      <c r="D27" s="133" t="str">
        <f>'exp marks'!U28</f>
        <v>0</v>
      </c>
      <c r="E27" s="133" t="str">
        <f>'exp marks'!V28</f>
        <v>0</v>
      </c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</row>
    <row r="28" ht="16.5" customHeight="1">
      <c r="A28" s="146" t="str">
        <f>IF(BASE!B33="","",BASE!B33)</f>
        <v>21FTR018</v>
      </c>
      <c r="B28" s="147" t="s">
        <v>122</v>
      </c>
      <c r="C28" s="133" t="str">
        <f>'exp marks'!T29</f>
        <v>0</v>
      </c>
      <c r="D28" s="133" t="str">
        <f>'exp marks'!U29</f>
        <v>0</v>
      </c>
      <c r="E28" s="133" t="str">
        <f>'exp marks'!V29</f>
        <v>0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</row>
    <row r="29" ht="16.5" customHeight="1">
      <c r="A29" s="146" t="str">
        <f>IF(BASE!B34="","",BASE!B34)</f>
        <v>21FTR019</v>
      </c>
      <c r="B29" s="147" t="s">
        <v>122</v>
      </c>
      <c r="C29" s="133" t="str">
        <f>'exp marks'!T30</f>
        <v>0</v>
      </c>
      <c r="D29" s="133" t="str">
        <f>'exp marks'!U30</f>
        <v>0</v>
      </c>
      <c r="E29" s="133" t="str">
        <f>'exp marks'!V30</f>
        <v>0</v>
      </c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</row>
    <row r="30" ht="16.5" customHeight="1">
      <c r="A30" s="146" t="str">
        <f>IF(BASE!B35="","",BASE!B35)</f>
        <v>21FTR020</v>
      </c>
      <c r="B30" s="147" t="s">
        <v>122</v>
      </c>
      <c r="C30" s="133" t="str">
        <f>'exp marks'!T31</f>
        <v>0</v>
      </c>
      <c r="D30" s="133" t="str">
        <f>'exp marks'!U31</f>
        <v>0</v>
      </c>
      <c r="E30" s="133" t="str">
        <f>'exp marks'!V31</f>
        <v>0</v>
      </c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</row>
    <row r="31" ht="16.5" customHeight="1">
      <c r="A31" s="146" t="str">
        <f>IF(BASE!B36="","",BASE!B36)</f>
        <v>21FTR021</v>
      </c>
      <c r="B31" s="147" t="s">
        <v>122</v>
      </c>
      <c r="C31" s="133" t="str">
        <f>'exp marks'!T32</f>
        <v>0</v>
      </c>
      <c r="D31" s="133" t="str">
        <f>'exp marks'!U32</f>
        <v>0</v>
      </c>
      <c r="E31" s="133" t="str">
        <f>'exp marks'!V32</f>
        <v>0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</row>
    <row r="32" ht="16.5" customHeight="1">
      <c r="A32" s="146" t="str">
        <f>IF(BASE!B37="","",BASE!B37)</f>
        <v>21FTR022</v>
      </c>
      <c r="B32" s="147" t="s">
        <v>122</v>
      </c>
      <c r="C32" s="133" t="str">
        <f>'exp marks'!T33</f>
        <v>0</v>
      </c>
      <c r="D32" s="133" t="str">
        <f>'exp marks'!U33</f>
        <v>0</v>
      </c>
      <c r="E32" s="133" t="str">
        <f>'exp marks'!V33</f>
        <v>0</v>
      </c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</row>
    <row r="33" ht="16.5" customHeight="1">
      <c r="A33" s="146" t="str">
        <f>IF(BASE!B38="","",BASE!B38)</f>
        <v>21FTR023</v>
      </c>
      <c r="B33" s="147" t="s">
        <v>122</v>
      </c>
      <c r="C33" s="133" t="str">
        <f>'exp marks'!T34</f>
        <v>0</v>
      </c>
      <c r="D33" s="133" t="str">
        <f>'exp marks'!U34</f>
        <v>0</v>
      </c>
      <c r="E33" s="133" t="str">
        <f>'exp marks'!V34</f>
        <v>0</v>
      </c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</row>
    <row r="34" ht="16.5" customHeight="1">
      <c r="A34" s="146" t="str">
        <f>IF(BASE!B39="","",BASE!B39)</f>
        <v>21FTR024</v>
      </c>
      <c r="B34" s="147" t="s">
        <v>122</v>
      </c>
      <c r="C34" s="133" t="str">
        <f>'exp marks'!T35</f>
        <v>0</v>
      </c>
      <c r="D34" s="133" t="str">
        <f>'exp marks'!U35</f>
        <v>0</v>
      </c>
      <c r="E34" s="133" t="str">
        <f>'exp marks'!V35</f>
        <v>0</v>
      </c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</row>
    <row r="35" ht="16.5" customHeight="1">
      <c r="A35" s="146" t="str">
        <f>IF(BASE!B40="","",BASE!B40)</f>
        <v>21FTR025</v>
      </c>
      <c r="B35" s="147" t="s">
        <v>122</v>
      </c>
      <c r="C35" s="133" t="str">
        <f>'exp marks'!T36</f>
        <v>0</v>
      </c>
      <c r="D35" s="133" t="str">
        <f>'exp marks'!U36</f>
        <v>0</v>
      </c>
      <c r="E35" s="133" t="str">
        <f>'exp marks'!V36</f>
        <v>0</v>
      </c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</row>
    <row r="36" ht="16.5" customHeight="1">
      <c r="A36" s="146" t="str">
        <f>IF(BASE!B41="","",BASE!B41)</f>
        <v>21FTR026</v>
      </c>
      <c r="B36" s="147" t="s">
        <v>122</v>
      </c>
      <c r="C36" s="133" t="str">
        <f>'exp marks'!T37</f>
        <v>0</v>
      </c>
      <c r="D36" s="133" t="str">
        <f>'exp marks'!U37</f>
        <v>0</v>
      </c>
      <c r="E36" s="133" t="str">
        <f>'exp marks'!V37</f>
        <v>0</v>
      </c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</row>
    <row r="37" ht="16.5" customHeight="1">
      <c r="A37" s="146" t="str">
        <f>IF(BASE!B42="","",BASE!B42)</f>
        <v>21FTR027</v>
      </c>
      <c r="B37" s="147" t="s">
        <v>122</v>
      </c>
      <c r="C37" s="133" t="str">
        <f>'exp marks'!T38</f>
        <v>0</v>
      </c>
      <c r="D37" s="133" t="str">
        <f>'exp marks'!U38</f>
        <v>0</v>
      </c>
      <c r="E37" s="133" t="str">
        <f>'exp marks'!V38</f>
        <v>0</v>
      </c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</row>
    <row r="38" ht="16.5" customHeight="1">
      <c r="A38" s="146" t="str">
        <f>IF(BASE!B43="","",BASE!B43)</f>
        <v>21FTR028</v>
      </c>
      <c r="B38" s="147" t="s">
        <v>122</v>
      </c>
      <c r="C38" s="133" t="str">
        <f>'exp marks'!T39</f>
        <v>0</v>
      </c>
      <c r="D38" s="133" t="str">
        <f>'exp marks'!U39</f>
        <v>0</v>
      </c>
      <c r="E38" s="133" t="str">
        <f>'exp marks'!V39</f>
        <v>0</v>
      </c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</row>
    <row r="39" ht="16.5" customHeight="1">
      <c r="A39" s="146" t="str">
        <f>IF(BASE!B44="","",BASE!B44)</f>
        <v>21FTR029</v>
      </c>
      <c r="B39" s="147" t="s">
        <v>122</v>
      </c>
      <c r="C39" s="133" t="str">
        <f>'exp marks'!T40</f>
        <v>0</v>
      </c>
      <c r="D39" s="133" t="str">
        <f>'exp marks'!U40</f>
        <v>0</v>
      </c>
      <c r="E39" s="133" t="str">
        <f>'exp marks'!V40</f>
        <v>0</v>
      </c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</row>
    <row r="40" ht="16.5" customHeight="1">
      <c r="A40" s="146" t="str">
        <f>IF(BASE!B45="","",BASE!B45)</f>
        <v>21FTR030</v>
      </c>
      <c r="B40" s="147" t="s">
        <v>122</v>
      </c>
      <c r="C40" s="133" t="str">
        <f>'exp marks'!T41</f>
        <v>0</v>
      </c>
      <c r="D40" s="133" t="str">
        <f>'exp marks'!U41</f>
        <v>0</v>
      </c>
      <c r="E40" s="133" t="str">
        <f>'exp marks'!V41</f>
        <v>0</v>
      </c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</row>
    <row r="41" ht="16.5" customHeight="1">
      <c r="A41" s="146" t="str">
        <f>IF(BASE!B46="","",BASE!B46)</f>
        <v>21FTR031</v>
      </c>
      <c r="B41" s="147" t="s">
        <v>122</v>
      </c>
      <c r="C41" s="133" t="str">
        <f>'exp marks'!T42</f>
        <v>0</v>
      </c>
      <c r="D41" s="133" t="str">
        <f>'exp marks'!U42</f>
        <v>0</v>
      </c>
      <c r="E41" s="133" t="str">
        <f>'exp marks'!V42</f>
        <v>0</v>
      </c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</row>
    <row r="42" ht="16.5" customHeight="1">
      <c r="A42" s="146" t="str">
        <f>IF(BASE!B47="","",BASE!B47)</f>
        <v>21FTR032</v>
      </c>
      <c r="B42" s="147" t="s">
        <v>122</v>
      </c>
      <c r="C42" s="133" t="str">
        <f>'exp marks'!T43</f>
        <v>0</v>
      </c>
      <c r="D42" s="133" t="str">
        <f>'exp marks'!U43</f>
        <v>0</v>
      </c>
      <c r="E42" s="133" t="str">
        <f>'exp marks'!V43</f>
        <v>0</v>
      </c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</row>
    <row r="43" ht="16.5" customHeight="1">
      <c r="A43" s="146" t="str">
        <f>IF(BASE!B48="","",BASE!B48)</f>
        <v>21FTR033</v>
      </c>
      <c r="B43" s="147" t="s">
        <v>122</v>
      </c>
      <c r="C43" s="133" t="str">
        <f>'exp marks'!T44</f>
        <v>0</v>
      </c>
      <c r="D43" s="133" t="str">
        <f>'exp marks'!U44</f>
        <v>0</v>
      </c>
      <c r="E43" s="133" t="str">
        <f>'exp marks'!V44</f>
        <v>0</v>
      </c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</row>
    <row r="44" ht="16.5" customHeight="1">
      <c r="A44" s="146" t="str">
        <f>IF(BASE!B49="","",BASE!B49)</f>
        <v>21FTR034</v>
      </c>
      <c r="B44" s="147" t="s">
        <v>122</v>
      </c>
      <c r="C44" s="133" t="str">
        <f>'exp marks'!T45</f>
        <v>0</v>
      </c>
      <c r="D44" s="133" t="str">
        <f>'exp marks'!U45</f>
        <v>0</v>
      </c>
      <c r="E44" s="133" t="str">
        <f>'exp marks'!V45</f>
        <v>0</v>
      </c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</row>
    <row r="45" ht="16.5" customHeight="1">
      <c r="A45" s="146" t="str">
        <f>IF(BASE!B50="","",BASE!B50)</f>
        <v>21FTR035</v>
      </c>
      <c r="B45" s="147" t="s">
        <v>122</v>
      </c>
      <c r="C45" s="133" t="str">
        <f>'exp marks'!T46</f>
        <v>0</v>
      </c>
      <c r="D45" s="133" t="str">
        <f>'exp marks'!U46</f>
        <v>0</v>
      </c>
      <c r="E45" s="133" t="str">
        <f>'exp marks'!V46</f>
        <v>0</v>
      </c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</row>
    <row r="46" ht="16.5" customHeight="1">
      <c r="A46" s="146" t="str">
        <f>IF(BASE!B51="","",BASE!B51)</f>
        <v>21FTR036</v>
      </c>
      <c r="B46" s="147" t="s">
        <v>122</v>
      </c>
      <c r="C46" s="133" t="str">
        <f>'exp marks'!T47</f>
        <v>0</v>
      </c>
      <c r="D46" s="133" t="str">
        <f>'exp marks'!U47</f>
        <v>0</v>
      </c>
      <c r="E46" s="133" t="str">
        <f>'exp marks'!V47</f>
        <v>0</v>
      </c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</row>
    <row r="47" ht="16.5" customHeight="1">
      <c r="A47" s="146" t="str">
        <f>IF(BASE!B52="","",BASE!B52)</f>
        <v>21FTR037</v>
      </c>
      <c r="B47" s="147" t="s">
        <v>122</v>
      </c>
      <c r="C47" s="133" t="str">
        <f>'exp marks'!T48</f>
        <v>0</v>
      </c>
      <c r="D47" s="133" t="str">
        <f>'exp marks'!U48</f>
        <v>0</v>
      </c>
      <c r="E47" s="133" t="str">
        <f>'exp marks'!V48</f>
        <v>0</v>
      </c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</row>
    <row r="48" ht="16.5" customHeight="1">
      <c r="A48" s="146" t="str">
        <f>IF(BASE!B53="","",BASE!B53)</f>
        <v>21FTR038</v>
      </c>
      <c r="B48" s="147" t="s">
        <v>122</v>
      </c>
      <c r="C48" s="133" t="str">
        <f>'exp marks'!T49</f>
        <v>0</v>
      </c>
      <c r="D48" s="133" t="str">
        <f>'exp marks'!U49</f>
        <v>0</v>
      </c>
      <c r="E48" s="133" t="str">
        <f>'exp marks'!V49</f>
        <v>0</v>
      </c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</row>
    <row r="49" ht="16.5" customHeight="1">
      <c r="A49" s="146" t="str">
        <f>IF(BASE!B54="","",BASE!B54)</f>
        <v>21FTR039</v>
      </c>
      <c r="B49" s="147" t="s">
        <v>122</v>
      </c>
      <c r="C49" s="133" t="str">
        <f>'exp marks'!T50</f>
        <v>0</v>
      </c>
      <c r="D49" s="133" t="str">
        <f>'exp marks'!U50</f>
        <v>0</v>
      </c>
      <c r="E49" s="133" t="str">
        <f>'exp marks'!V50</f>
        <v>0</v>
      </c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</row>
    <row r="50" ht="16.5" customHeight="1">
      <c r="A50" s="146" t="str">
        <f>IF(BASE!B55="","",BASE!B55)</f>
        <v>21FTR040</v>
      </c>
      <c r="B50" s="147" t="s">
        <v>122</v>
      </c>
      <c r="C50" s="133" t="str">
        <f>'exp marks'!T51</f>
        <v>0</v>
      </c>
      <c r="D50" s="133" t="str">
        <f>'exp marks'!U51</f>
        <v>0</v>
      </c>
      <c r="E50" s="133" t="str">
        <f>'exp marks'!V51</f>
        <v>0</v>
      </c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</row>
    <row r="51" ht="16.5" customHeight="1">
      <c r="A51" s="146" t="str">
        <f>IF(BASE!B56="","",BASE!B56)</f>
        <v>21FTR041</v>
      </c>
      <c r="B51" s="147" t="s">
        <v>122</v>
      </c>
      <c r="C51" s="133" t="str">
        <f>'exp marks'!T52</f>
        <v>0</v>
      </c>
      <c r="D51" s="133" t="str">
        <f>'exp marks'!U52</f>
        <v>0</v>
      </c>
      <c r="E51" s="133" t="str">
        <f>'exp marks'!V52</f>
        <v>0</v>
      </c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</row>
    <row r="52" ht="16.5" customHeight="1">
      <c r="A52" s="146" t="str">
        <f>IF(BASE!B57="","",BASE!B57)</f>
        <v>21FTR042</v>
      </c>
      <c r="B52" s="147" t="s">
        <v>122</v>
      </c>
      <c r="C52" s="133" t="str">
        <f>'exp marks'!T53</f>
        <v>0</v>
      </c>
      <c r="D52" s="133" t="str">
        <f>'exp marks'!U53</f>
        <v>0</v>
      </c>
      <c r="E52" s="133" t="str">
        <f>'exp marks'!V53</f>
        <v>0</v>
      </c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</row>
    <row r="53" ht="16.5" customHeight="1">
      <c r="A53" s="146" t="str">
        <f>IF(BASE!B58="","",BASE!B58)</f>
        <v>21FTR043</v>
      </c>
      <c r="B53" s="147" t="s">
        <v>122</v>
      </c>
      <c r="C53" s="133" t="str">
        <f>'exp marks'!T54</f>
        <v>0</v>
      </c>
      <c r="D53" s="133" t="str">
        <f>'exp marks'!U54</f>
        <v>0</v>
      </c>
      <c r="E53" s="133" t="str">
        <f>'exp marks'!V54</f>
        <v>0</v>
      </c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</row>
    <row r="54" ht="16.5" customHeight="1">
      <c r="A54" s="146" t="str">
        <f>IF(BASE!B59="","",BASE!B59)</f>
        <v>21FTR044</v>
      </c>
      <c r="B54" s="147" t="s">
        <v>122</v>
      </c>
      <c r="C54" s="133" t="str">
        <f>'exp marks'!T55</f>
        <v>0</v>
      </c>
      <c r="D54" s="133" t="str">
        <f>'exp marks'!U55</f>
        <v>0</v>
      </c>
      <c r="E54" s="133" t="str">
        <f>'exp marks'!V55</f>
        <v>0</v>
      </c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</row>
    <row r="55" ht="16.5" customHeight="1">
      <c r="A55" s="146" t="str">
        <f>IF(BASE!B60="","",BASE!B60)</f>
        <v>21FTR045</v>
      </c>
      <c r="B55" s="147" t="s">
        <v>122</v>
      </c>
      <c r="C55" s="133" t="str">
        <f>'exp marks'!T56</f>
        <v>0</v>
      </c>
      <c r="D55" s="133" t="str">
        <f>'exp marks'!U56</f>
        <v>0</v>
      </c>
      <c r="E55" s="133" t="str">
        <f>'exp marks'!V56</f>
        <v>0</v>
      </c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</row>
    <row r="56" ht="16.5" customHeight="1">
      <c r="A56" s="146" t="str">
        <f>IF(BASE!B61="","",BASE!B61)</f>
        <v>21FTR046</v>
      </c>
      <c r="B56" s="147" t="s">
        <v>122</v>
      </c>
      <c r="C56" s="133" t="str">
        <f>'exp marks'!T57</f>
        <v>0</v>
      </c>
      <c r="D56" s="133" t="str">
        <f>'exp marks'!U57</f>
        <v>0</v>
      </c>
      <c r="E56" s="133" t="str">
        <f>'exp marks'!V57</f>
        <v>0</v>
      </c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</row>
    <row r="57" ht="16.5" customHeight="1">
      <c r="A57" s="146" t="str">
        <f>IF(BASE!B62="","",BASE!B62)</f>
        <v/>
      </c>
      <c r="B57" s="147" t="s">
        <v>122</v>
      </c>
      <c r="C57" s="133" t="str">
        <f>'exp marks'!T58</f>
        <v>0</v>
      </c>
      <c r="D57" s="133" t="str">
        <f>'exp marks'!U58</f>
        <v>0</v>
      </c>
      <c r="E57" s="133" t="str">
        <f>'exp marks'!V58</f>
        <v>0</v>
      </c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</row>
    <row r="58" ht="16.5" customHeight="1">
      <c r="A58" s="146" t="str">
        <f>IF(BASE!B63="","",BASE!B63)</f>
        <v/>
      </c>
      <c r="B58" s="147" t="s">
        <v>122</v>
      </c>
      <c r="C58" s="133" t="str">
        <f>'exp marks'!T59</f>
        <v>0</v>
      </c>
      <c r="D58" s="133" t="str">
        <f>'exp marks'!U59</f>
        <v>0</v>
      </c>
      <c r="E58" s="133" t="str">
        <f>'exp marks'!V59</f>
        <v>0</v>
      </c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</row>
    <row r="59" ht="16.5" customHeight="1">
      <c r="A59" s="146" t="str">
        <f>IF(BASE!B64="","",BASE!B64)</f>
        <v/>
      </c>
      <c r="B59" s="147" t="s">
        <v>122</v>
      </c>
      <c r="C59" s="133" t="str">
        <f>'exp marks'!T60</f>
        <v>0</v>
      </c>
      <c r="D59" s="133" t="str">
        <f>'exp marks'!U60</f>
        <v>0</v>
      </c>
      <c r="E59" s="133" t="str">
        <f>'exp marks'!V60</f>
        <v>0</v>
      </c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</row>
    <row r="60" ht="16.5" customHeight="1">
      <c r="A60" s="146" t="str">
        <f>IF(BASE!B65="","",BASE!B65)</f>
        <v/>
      </c>
      <c r="B60" s="147" t="s">
        <v>122</v>
      </c>
      <c r="C60" s="133" t="str">
        <f>'exp marks'!T61</f>
        <v>0</v>
      </c>
      <c r="D60" s="133" t="str">
        <f>'exp marks'!U61</f>
        <v>0</v>
      </c>
      <c r="E60" s="133" t="str">
        <f>'exp marks'!V61</f>
        <v>0</v>
      </c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</row>
    <row r="61" ht="16.5" customHeight="1">
      <c r="A61" s="146" t="str">
        <f>IF(BASE!B66="","",BASE!B66)</f>
        <v/>
      </c>
      <c r="B61" s="147" t="s">
        <v>122</v>
      </c>
      <c r="C61" s="133" t="str">
        <f>'exp marks'!T62</f>
        <v>0</v>
      </c>
      <c r="D61" s="133" t="str">
        <f>'exp marks'!U62</f>
        <v>0</v>
      </c>
      <c r="E61" s="133" t="str">
        <f>'exp marks'!V62</f>
        <v>0</v>
      </c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</row>
    <row r="62" ht="16.5" customHeight="1">
      <c r="A62" s="146" t="str">
        <f>IF(BASE!B67="","",BASE!B67)</f>
        <v/>
      </c>
      <c r="B62" s="147" t="s">
        <v>122</v>
      </c>
      <c r="C62" s="133" t="str">
        <f>'exp marks'!T63</f>
        <v>0</v>
      </c>
      <c r="D62" s="133" t="str">
        <f>'exp marks'!U63</f>
        <v>0</v>
      </c>
      <c r="E62" s="133" t="str">
        <f>'exp marks'!V63</f>
        <v>0</v>
      </c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</row>
    <row r="63" ht="16.5" customHeight="1">
      <c r="A63" s="146" t="str">
        <f>IF(BASE!B68="","",BASE!B68)</f>
        <v/>
      </c>
      <c r="B63" s="147" t="s">
        <v>122</v>
      </c>
      <c r="C63" s="133" t="str">
        <f>'exp marks'!T64</f>
        <v>0</v>
      </c>
      <c r="D63" s="133" t="str">
        <f>'exp marks'!U64</f>
        <v>0</v>
      </c>
      <c r="E63" s="133" t="str">
        <f>'exp marks'!V64</f>
        <v>0</v>
      </c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</row>
    <row r="64" ht="16.5" customHeight="1">
      <c r="A64" s="146" t="str">
        <f>IF(BASE!B69="","",BASE!B69)</f>
        <v/>
      </c>
      <c r="B64" s="147" t="s">
        <v>122</v>
      </c>
      <c r="C64" s="133" t="str">
        <f>'exp marks'!T65</f>
        <v>0</v>
      </c>
      <c r="D64" s="133" t="str">
        <f>'exp marks'!U65</f>
        <v>0</v>
      </c>
      <c r="E64" s="133" t="str">
        <f>'exp marks'!V65</f>
        <v>0</v>
      </c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</row>
    <row r="65" ht="16.5" customHeight="1">
      <c r="A65" s="146" t="str">
        <f>IF(BASE!B70="","",BASE!B70)</f>
        <v/>
      </c>
      <c r="B65" s="147" t="s">
        <v>122</v>
      </c>
      <c r="C65" s="133" t="str">
        <f>'exp marks'!T66</f>
        <v>0</v>
      </c>
      <c r="D65" s="133" t="str">
        <f>'exp marks'!U66</f>
        <v>0</v>
      </c>
      <c r="E65" s="133" t="str">
        <f>'exp marks'!V66</f>
        <v>0</v>
      </c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</row>
    <row r="66" ht="16.5" customHeight="1">
      <c r="A66" s="146" t="str">
        <f>IF(BASE!B71="","",BASE!B71)</f>
        <v/>
      </c>
      <c r="B66" s="147" t="s">
        <v>122</v>
      </c>
      <c r="C66" s="133" t="str">
        <f>'exp marks'!T67</f>
        <v>0</v>
      </c>
      <c r="D66" s="133" t="str">
        <f>'exp marks'!U67</f>
        <v>0</v>
      </c>
      <c r="E66" s="133" t="str">
        <f>'exp marks'!V67</f>
        <v>0</v>
      </c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</row>
    <row r="67" ht="16.5" customHeight="1">
      <c r="A67" s="146" t="str">
        <f>IF(BASE!B72="","",BASE!B72)</f>
        <v/>
      </c>
      <c r="B67" s="147" t="s">
        <v>122</v>
      </c>
      <c r="C67" s="133" t="str">
        <f>'exp marks'!T68</f>
        <v>0</v>
      </c>
      <c r="D67" s="133" t="str">
        <f>'exp marks'!U68</f>
        <v>0</v>
      </c>
      <c r="E67" s="133" t="str">
        <f>'exp marks'!V68</f>
        <v>0</v>
      </c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</row>
    <row r="68" ht="16.5" customHeight="1">
      <c r="A68" s="146" t="str">
        <f>IF(BASE!B73="","",BASE!B73)</f>
        <v/>
      </c>
      <c r="B68" s="147" t="s">
        <v>122</v>
      </c>
      <c r="C68" s="133" t="str">
        <f>'exp marks'!T69</f>
        <v>0</v>
      </c>
      <c r="D68" s="133" t="str">
        <f>'exp marks'!U69</f>
        <v>0</v>
      </c>
      <c r="E68" s="133" t="str">
        <f>'exp marks'!V69</f>
        <v>0</v>
      </c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</row>
    <row r="69" ht="16.5" customHeight="1">
      <c r="A69" s="146" t="str">
        <f>IF(BASE!B74="","",BASE!B74)</f>
        <v/>
      </c>
      <c r="B69" s="147" t="s">
        <v>122</v>
      </c>
      <c r="C69" s="133" t="str">
        <f>'exp marks'!T70</f>
        <v>0</v>
      </c>
      <c r="D69" s="133" t="str">
        <f>'exp marks'!U70</f>
        <v>0</v>
      </c>
      <c r="E69" s="133" t="str">
        <f>'exp marks'!V70</f>
        <v>0</v>
      </c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</row>
    <row r="70" ht="16.5" customHeight="1">
      <c r="A70" s="146" t="str">
        <f>IF(BASE!B75="","",BASE!B75)</f>
        <v/>
      </c>
      <c r="B70" s="147" t="s">
        <v>122</v>
      </c>
      <c r="C70" s="133" t="str">
        <f>'exp marks'!T71</f>
        <v>0</v>
      </c>
      <c r="D70" s="133" t="str">
        <f>'exp marks'!U71</f>
        <v>0</v>
      </c>
      <c r="E70" s="133" t="str">
        <f>'exp marks'!V71</f>
        <v>0</v>
      </c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</row>
    <row r="71" ht="16.5" customHeight="1">
      <c r="A71" s="146" t="str">
        <f>IF(BASE!B76="","",BASE!B76)</f>
        <v/>
      </c>
      <c r="B71" s="147" t="s">
        <v>122</v>
      </c>
      <c r="C71" s="133" t="str">
        <f>'exp marks'!T72</f>
        <v>0</v>
      </c>
      <c r="D71" s="133" t="str">
        <f>'exp marks'!U72</f>
        <v>0</v>
      </c>
      <c r="E71" s="133" t="str">
        <f>'exp marks'!V72</f>
        <v>0</v>
      </c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</row>
    <row r="72" ht="16.5" customHeight="1">
      <c r="A72" s="146" t="str">
        <f>IF(BASE!B77="","",BASE!B77)</f>
        <v/>
      </c>
      <c r="B72" s="147" t="s">
        <v>122</v>
      </c>
      <c r="C72" s="133" t="str">
        <f>'exp marks'!T73</f>
        <v>0</v>
      </c>
      <c r="D72" s="133" t="str">
        <f>'exp marks'!U73</f>
        <v>0</v>
      </c>
      <c r="E72" s="133" t="str">
        <f>'exp marks'!V73</f>
        <v>0</v>
      </c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</row>
    <row r="73" ht="16.5" customHeight="1">
      <c r="A73" s="146" t="str">
        <f>IF(BASE!B78="","",BASE!B78)</f>
        <v/>
      </c>
      <c r="B73" s="147" t="s">
        <v>122</v>
      </c>
      <c r="C73" s="133" t="str">
        <f>'exp marks'!T74</f>
        <v>0</v>
      </c>
      <c r="D73" s="133" t="str">
        <f>'exp marks'!U74</f>
        <v>0</v>
      </c>
      <c r="E73" s="133" t="str">
        <f>'exp marks'!V74</f>
        <v>0</v>
      </c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</row>
    <row r="74" ht="16.5" customHeight="1">
      <c r="A74" s="146" t="str">
        <f>IF(BASE!B79="","",BASE!B79)</f>
        <v/>
      </c>
      <c r="B74" s="147" t="s">
        <v>122</v>
      </c>
      <c r="C74" s="133" t="str">
        <f>'exp marks'!T75</f>
        <v>0</v>
      </c>
      <c r="D74" s="133" t="str">
        <f>'exp marks'!U75</f>
        <v>0</v>
      </c>
      <c r="E74" s="133" t="str">
        <f>'exp marks'!V75</f>
        <v>0</v>
      </c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</row>
    <row r="75" ht="16.5" customHeight="1">
      <c r="A75" s="146" t="str">
        <f>IF(BASE!B80="","",BASE!B80)</f>
        <v/>
      </c>
      <c r="B75" s="147" t="s">
        <v>122</v>
      </c>
      <c r="C75" s="133" t="str">
        <f>'exp marks'!T76</f>
        <v>0</v>
      </c>
      <c r="D75" s="133" t="str">
        <f>'exp marks'!U76</f>
        <v>0</v>
      </c>
      <c r="E75" s="133" t="str">
        <f>'exp marks'!V76</f>
        <v>0</v>
      </c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</row>
    <row r="76" ht="16.5" customHeight="1">
      <c r="A76" s="146" t="str">
        <f>IF(BASE!B81="","",BASE!B81)</f>
        <v/>
      </c>
      <c r="B76" s="147" t="s">
        <v>122</v>
      </c>
      <c r="C76" s="133" t="str">
        <f>'exp marks'!T77</f>
        <v>0</v>
      </c>
      <c r="D76" s="133" t="str">
        <f>'exp marks'!U77</f>
        <v>0</v>
      </c>
      <c r="E76" s="133" t="str">
        <f>'exp marks'!V77</f>
        <v>0</v>
      </c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</row>
    <row r="77" ht="16.5" customHeight="1">
      <c r="A77" s="146" t="str">
        <f>IF(BASE!B82="","",BASE!B82)</f>
        <v/>
      </c>
      <c r="B77" s="147" t="s">
        <v>122</v>
      </c>
      <c r="C77" s="133" t="str">
        <f>'exp marks'!T78</f>
        <v>0</v>
      </c>
      <c r="D77" s="133" t="str">
        <f>'exp marks'!U78</f>
        <v>0</v>
      </c>
      <c r="E77" s="133" t="str">
        <f>'exp marks'!V78</f>
        <v>0</v>
      </c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</row>
    <row r="78" ht="21.75" customHeight="1">
      <c r="A78" s="146" t="str">
        <f>IF(BASE!B83="","",BASE!B83)</f>
        <v/>
      </c>
      <c r="B78" s="147" t="s">
        <v>122</v>
      </c>
      <c r="C78" s="133" t="str">
        <f>'exp marks'!T79</f>
        <v>0</v>
      </c>
      <c r="D78" s="133" t="str">
        <f>'exp marks'!U79</f>
        <v>0</v>
      </c>
      <c r="E78" s="133" t="str">
        <f>'exp marks'!V79</f>
        <v>0</v>
      </c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</row>
    <row r="79" ht="21.75" customHeight="1">
      <c r="A79" s="146" t="str">
        <f>IF(BASE!B84="","",BASE!B84)</f>
        <v/>
      </c>
      <c r="B79" s="147" t="s">
        <v>122</v>
      </c>
      <c r="C79" s="133" t="str">
        <f>'exp marks'!T80</f>
        <v>0</v>
      </c>
      <c r="D79" s="133" t="str">
        <f>'exp marks'!U80</f>
        <v>0</v>
      </c>
      <c r="E79" s="133" t="str">
        <f>'exp marks'!V80</f>
        <v>0</v>
      </c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</row>
    <row r="80" ht="21.75" customHeight="1">
      <c r="A80" s="146" t="str">
        <f>IF(BASE!B85="","",BASE!B85)</f>
        <v/>
      </c>
      <c r="B80" s="147" t="s">
        <v>122</v>
      </c>
      <c r="C80" s="133" t="str">
        <f>'exp marks'!T81</f>
        <v>0</v>
      </c>
      <c r="D80" s="133" t="str">
        <f>'exp marks'!U81</f>
        <v>0</v>
      </c>
      <c r="E80" s="133" t="str">
        <f>'exp marks'!V81</f>
        <v>0</v>
      </c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</row>
    <row r="81" ht="21.75" customHeight="1">
      <c r="A81" s="146" t="str">
        <f>IF(BASE!B86="","",BASE!B86)</f>
        <v/>
      </c>
      <c r="B81" s="147" t="s">
        <v>122</v>
      </c>
      <c r="C81" s="133" t="str">
        <f>'exp marks'!T82</f>
        <v>0</v>
      </c>
      <c r="D81" s="133" t="str">
        <f>'exp marks'!U82</f>
        <v>0</v>
      </c>
      <c r="E81" s="133" t="str">
        <f>'exp marks'!V82</f>
        <v>0</v>
      </c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</row>
    <row r="82" ht="21.75" customHeight="1">
      <c r="A82" s="146" t="str">
        <f>IF(BASE!B87="","",BASE!B87)</f>
        <v/>
      </c>
      <c r="B82" s="147" t="s">
        <v>122</v>
      </c>
      <c r="C82" s="133" t="str">
        <f>'exp marks'!T83</f>
        <v>0</v>
      </c>
      <c r="D82" s="133" t="str">
        <f>'exp marks'!U83</f>
        <v>0</v>
      </c>
      <c r="E82" s="133" t="str">
        <f>'exp marks'!V83</f>
        <v>0</v>
      </c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</row>
    <row r="83" ht="21.75" customHeight="1">
      <c r="A83" s="146" t="str">
        <f>IF(BASE!B88="","",BASE!B88)</f>
        <v/>
      </c>
      <c r="B83" s="147" t="s">
        <v>122</v>
      </c>
      <c r="C83" s="133" t="str">
        <f>'exp marks'!T84</f>
        <v>0</v>
      </c>
      <c r="D83" s="133" t="str">
        <f>'exp marks'!U84</f>
        <v>0</v>
      </c>
      <c r="E83" s="133" t="str">
        <f>'exp marks'!V84</f>
        <v>0</v>
      </c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</row>
    <row r="84" ht="21.75" customHeight="1">
      <c r="A84" s="146" t="str">
        <f>IF(BASE!B89="","",BASE!B89)</f>
        <v/>
      </c>
      <c r="B84" s="147" t="s">
        <v>122</v>
      </c>
      <c r="C84" s="133" t="str">
        <f>'exp marks'!T85</f>
        <v>0</v>
      </c>
      <c r="D84" s="133" t="str">
        <f>'exp marks'!U85</f>
        <v>0</v>
      </c>
      <c r="E84" s="133" t="str">
        <f>'exp marks'!V85</f>
        <v>0</v>
      </c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</row>
    <row r="85" ht="21.75" customHeight="1">
      <c r="A85" s="146" t="str">
        <f>IF(BASE!B90="","",BASE!B90)</f>
        <v/>
      </c>
      <c r="B85" s="147" t="s">
        <v>122</v>
      </c>
      <c r="C85" s="133" t="str">
        <f>'exp marks'!T86</f>
        <v>0</v>
      </c>
      <c r="D85" s="133" t="str">
        <f>'exp marks'!U86</f>
        <v>0</v>
      </c>
      <c r="E85" s="133" t="str">
        <f>'exp marks'!V86</f>
        <v>0</v>
      </c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</row>
    <row r="86" ht="21.75" customHeight="1">
      <c r="A86" s="146" t="str">
        <f>IF(BASE!B91="","",BASE!B91)</f>
        <v/>
      </c>
      <c r="B86" s="147" t="s">
        <v>122</v>
      </c>
      <c r="C86" s="133" t="str">
        <f>'exp marks'!T87</f>
        <v>0</v>
      </c>
      <c r="D86" s="133" t="str">
        <f>'exp marks'!U87</f>
        <v>0</v>
      </c>
      <c r="E86" s="133" t="str">
        <f>'exp marks'!V87</f>
        <v>0</v>
      </c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</row>
    <row r="87" ht="21.75" customHeight="1">
      <c r="A87" s="146" t="str">
        <f>IF(BASE!B92="","",BASE!B92)</f>
        <v/>
      </c>
      <c r="B87" s="147" t="s">
        <v>122</v>
      </c>
      <c r="C87" s="133" t="str">
        <f>'exp marks'!T88</f>
        <v>0</v>
      </c>
      <c r="D87" s="133" t="str">
        <f>'exp marks'!U88</f>
        <v>0</v>
      </c>
      <c r="E87" s="133" t="str">
        <f>'exp marks'!V88</f>
        <v>0</v>
      </c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</row>
    <row r="88" ht="21.75" customHeight="1">
      <c r="A88" s="146" t="str">
        <f>IF(BASE!B93="","",BASE!B93)</f>
        <v/>
      </c>
      <c r="B88" s="147" t="s">
        <v>122</v>
      </c>
      <c r="C88" s="133" t="str">
        <f>'exp marks'!T89</f>
        <v>0</v>
      </c>
      <c r="D88" s="133" t="str">
        <f>'exp marks'!U89</f>
        <v>0</v>
      </c>
      <c r="E88" s="133" t="str">
        <f>'exp marks'!V89</f>
        <v>0</v>
      </c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</row>
    <row r="89" ht="21.75" customHeight="1">
      <c r="A89" s="146" t="str">
        <f>IF(BASE!B94="","",BASE!B94)</f>
        <v/>
      </c>
      <c r="B89" s="147" t="s">
        <v>122</v>
      </c>
      <c r="C89" s="133" t="str">
        <f>'exp marks'!T90</f>
        <v>0</v>
      </c>
      <c r="D89" s="133" t="str">
        <f>'exp marks'!U90</f>
        <v>0</v>
      </c>
      <c r="E89" s="133" t="str">
        <f>'exp marks'!V90</f>
        <v>0</v>
      </c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</row>
    <row r="90" ht="21.75" customHeight="1">
      <c r="A90" s="146" t="str">
        <f>IF(BASE!B95="","",BASE!B95)</f>
        <v/>
      </c>
      <c r="B90" s="147" t="s">
        <v>122</v>
      </c>
      <c r="C90" s="133" t="str">
        <f>'exp marks'!T91</f>
        <v>0</v>
      </c>
      <c r="D90" s="133" t="str">
        <f>'exp marks'!U91</f>
        <v>0</v>
      </c>
      <c r="E90" s="133" t="str">
        <f>'exp marks'!V91</f>
        <v>0</v>
      </c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</row>
    <row r="91" ht="21.75" customHeight="1">
      <c r="A91" s="146" t="str">
        <f>IF(BASE!B96="","",BASE!B96)</f>
        <v/>
      </c>
      <c r="B91" s="147" t="s">
        <v>122</v>
      </c>
      <c r="C91" s="133" t="str">
        <f>'exp marks'!T92</f>
        <v>0</v>
      </c>
      <c r="D91" s="133" t="str">
        <f>'exp marks'!U92</f>
        <v>0</v>
      </c>
      <c r="E91" s="133" t="str">
        <f>'exp marks'!V92</f>
        <v>0</v>
      </c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</row>
    <row r="92" ht="21.75" customHeight="1">
      <c r="A92" s="146" t="str">
        <f>IF(BASE!B97="","",BASE!B97)</f>
        <v/>
      </c>
      <c r="B92" s="147" t="s">
        <v>122</v>
      </c>
      <c r="C92" s="133" t="str">
        <f>'exp marks'!T93</f>
        <v>0</v>
      </c>
      <c r="D92" s="133" t="str">
        <f>'exp marks'!U93</f>
        <v>0</v>
      </c>
      <c r="E92" s="133" t="str">
        <f>'exp marks'!V93</f>
        <v>0</v>
      </c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</row>
    <row r="93" ht="21.75" customHeight="1">
      <c r="A93" s="146" t="str">
        <f>IF(BASE!B98="","",BASE!B98)</f>
        <v/>
      </c>
      <c r="B93" s="147" t="s">
        <v>122</v>
      </c>
      <c r="C93" s="133" t="str">
        <f>'exp marks'!T94</f>
        <v>0</v>
      </c>
      <c r="D93" s="133" t="str">
        <f>'exp marks'!U94</f>
        <v>0</v>
      </c>
      <c r="E93" s="133" t="str">
        <f>'exp marks'!V94</f>
        <v>0</v>
      </c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</row>
    <row r="94" ht="21.75" customHeight="1">
      <c r="A94" s="146" t="str">
        <f>IF(BASE!B99="","",BASE!B99)</f>
        <v/>
      </c>
      <c r="B94" s="147" t="s">
        <v>122</v>
      </c>
      <c r="C94" s="133" t="str">
        <f>'exp marks'!T95</f>
        <v>0</v>
      </c>
      <c r="D94" s="133" t="str">
        <f>'exp marks'!U95</f>
        <v>0</v>
      </c>
      <c r="E94" s="133" t="str">
        <f>'exp marks'!V95</f>
        <v>0</v>
      </c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</row>
    <row r="95" ht="21.75" customHeight="1">
      <c r="A95" s="146" t="str">
        <f>IF(BASE!B100="","",BASE!B100)</f>
        <v/>
      </c>
      <c r="B95" s="147" t="s">
        <v>122</v>
      </c>
      <c r="C95" s="133" t="str">
        <f>'exp marks'!T96</f>
        <v>0</v>
      </c>
      <c r="D95" s="133" t="str">
        <f>'exp marks'!U96</f>
        <v>0</v>
      </c>
      <c r="E95" s="133" t="str">
        <f>'exp marks'!V96</f>
        <v>0</v>
      </c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</row>
    <row r="96" ht="21.75" customHeight="1">
      <c r="A96" s="146" t="str">
        <f>IF(BASE!B101="","",BASE!B101)</f>
        <v/>
      </c>
      <c r="B96" s="147" t="s">
        <v>122</v>
      </c>
      <c r="C96" s="133" t="str">
        <f>'exp marks'!T97</f>
        <v>0</v>
      </c>
      <c r="D96" s="133" t="str">
        <f>'exp marks'!U97</f>
        <v>0</v>
      </c>
      <c r="E96" s="133" t="str">
        <f>'exp marks'!V97</f>
        <v>0</v>
      </c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</row>
    <row r="97" ht="21.75" customHeight="1">
      <c r="A97" s="146" t="str">
        <f>IF(BASE!B102="","",BASE!B102)</f>
        <v/>
      </c>
      <c r="B97" s="147" t="s">
        <v>122</v>
      </c>
      <c r="C97" s="133" t="str">
        <f>'exp marks'!T98</f>
        <v>0</v>
      </c>
      <c r="D97" s="133" t="str">
        <f>'exp marks'!U98</f>
        <v>0</v>
      </c>
      <c r="E97" s="133" t="str">
        <f>'exp marks'!V98</f>
        <v>0</v>
      </c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</row>
    <row r="98" ht="21.75" customHeight="1">
      <c r="A98" s="146" t="str">
        <f>IF(BASE!B103="","",BASE!B103)</f>
        <v/>
      </c>
      <c r="B98" s="147" t="s">
        <v>122</v>
      </c>
      <c r="C98" s="133" t="str">
        <f>'exp marks'!T99</f>
        <v>0</v>
      </c>
      <c r="D98" s="133" t="str">
        <f>'exp marks'!U99</f>
        <v>0</v>
      </c>
      <c r="E98" s="133" t="str">
        <f>'exp marks'!V99</f>
        <v>0</v>
      </c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</row>
    <row r="99" ht="21.75" customHeight="1">
      <c r="A99" s="146" t="str">
        <f>IF(BASE!B104="","",BASE!B104)</f>
        <v/>
      </c>
      <c r="B99" s="147" t="s">
        <v>122</v>
      </c>
      <c r="C99" s="133" t="str">
        <f>'exp marks'!T100</f>
        <v>0</v>
      </c>
      <c r="D99" s="133" t="str">
        <f>'exp marks'!U100</f>
        <v>0</v>
      </c>
      <c r="E99" s="133" t="str">
        <f>'exp marks'!V100</f>
        <v>0</v>
      </c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</row>
    <row r="100" ht="21.75" customHeight="1">
      <c r="A100" s="146" t="str">
        <f>IF(BASE!B105="","",BASE!B105)</f>
        <v/>
      </c>
      <c r="B100" s="147" t="s">
        <v>122</v>
      </c>
      <c r="C100" s="133" t="str">
        <f>'exp marks'!T101</f>
        <v>0</v>
      </c>
      <c r="D100" s="133" t="str">
        <f>'exp marks'!U101</f>
        <v>0</v>
      </c>
      <c r="E100" s="133" t="str">
        <f>'exp marks'!V101</f>
        <v>0</v>
      </c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</row>
    <row r="101" ht="21.75" customHeight="1">
      <c r="A101" s="146" t="str">
        <f>IF(BASE!B106="","",BASE!B106)</f>
        <v/>
      </c>
      <c r="B101" s="147" t="s">
        <v>122</v>
      </c>
      <c r="C101" s="133" t="str">
        <f>'exp marks'!T102</f>
        <v>0</v>
      </c>
      <c r="D101" s="133" t="str">
        <f>'exp marks'!U102</f>
        <v>0</v>
      </c>
      <c r="E101" s="133" t="str">
        <f>'exp marks'!V102</f>
        <v>0</v>
      </c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</row>
    <row r="102" ht="21.75" customHeight="1">
      <c r="A102" s="146" t="str">
        <f>IF(BASE!B107="","",BASE!B107)</f>
        <v/>
      </c>
      <c r="B102" s="147" t="s">
        <v>122</v>
      </c>
      <c r="C102" s="133" t="str">
        <f>'exp marks'!T103</f>
        <v>0</v>
      </c>
      <c r="D102" s="133" t="str">
        <f>'exp marks'!U103</f>
        <v>0</v>
      </c>
      <c r="E102" s="133" t="str">
        <f>'exp marks'!V103</f>
        <v>0</v>
      </c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</row>
    <row r="103" ht="21.75" customHeight="1">
      <c r="A103" s="146" t="str">
        <f>IF(BASE!B108="","",BASE!B108)</f>
        <v/>
      </c>
      <c r="B103" s="147" t="s">
        <v>122</v>
      </c>
      <c r="C103" s="133" t="str">
        <f>'exp marks'!T104</f>
        <v>0</v>
      </c>
      <c r="D103" s="133" t="str">
        <f>'exp marks'!U104</f>
        <v>0</v>
      </c>
      <c r="E103" s="133" t="str">
        <f>'exp marks'!V104</f>
        <v>0</v>
      </c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</row>
    <row r="104" ht="21.75" customHeight="1">
      <c r="A104" s="146" t="str">
        <f>IF(BASE!B109="","",BASE!B109)</f>
        <v/>
      </c>
      <c r="B104" s="147" t="s">
        <v>122</v>
      </c>
      <c r="C104" s="133" t="str">
        <f>'exp marks'!T105</f>
        <v>0</v>
      </c>
      <c r="D104" s="133" t="str">
        <f>'exp marks'!U105</f>
        <v>0</v>
      </c>
      <c r="E104" s="133" t="str">
        <f>'exp marks'!V105</f>
        <v>0</v>
      </c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</row>
    <row r="105" ht="21.75" customHeight="1">
      <c r="A105" s="146" t="str">
        <f>IF(BASE!B110="","",BASE!B110)</f>
        <v/>
      </c>
      <c r="B105" s="147" t="s">
        <v>122</v>
      </c>
      <c r="C105" s="133" t="str">
        <f>'exp marks'!T106</f>
        <v>0</v>
      </c>
      <c r="D105" s="133" t="str">
        <f>'exp marks'!U106</f>
        <v>0</v>
      </c>
      <c r="E105" s="133" t="str">
        <f>'exp marks'!V106</f>
        <v>0</v>
      </c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</row>
    <row r="106" ht="21.75" customHeight="1">
      <c r="A106" s="146" t="str">
        <f>IF(BASE!B111="","",BASE!B111)</f>
        <v/>
      </c>
      <c r="B106" s="147" t="s">
        <v>122</v>
      </c>
      <c r="C106" s="133" t="str">
        <f>'exp marks'!T107</f>
        <v>0</v>
      </c>
      <c r="D106" s="133" t="str">
        <f>'exp marks'!U107</f>
        <v>0</v>
      </c>
      <c r="E106" s="133" t="str">
        <f>'exp marks'!V107</f>
        <v>0</v>
      </c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</row>
    <row r="107" ht="21.75" customHeight="1">
      <c r="A107" s="146" t="str">
        <f>IF(BASE!B112="","",BASE!B112)</f>
        <v/>
      </c>
      <c r="B107" s="147" t="s">
        <v>122</v>
      </c>
      <c r="C107" s="133" t="str">
        <f>'exp marks'!T108</f>
        <v>0</v>
      </c>
      <c r="D107" s="133" t="str">
        <f>'exp marks'!U108</f>
        <v>0</v>
      </c>
      <c r="E107" s="133" t="str">
        <f>'exp marks'!V108</f>
        <v>0</v>
      </c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</row>
    <row r="108" ht="21.75" customHeight="1">
      <c r="A108" s="146" t="str">
        <f>IF(BASE!B113="","",BASE!B113)</f>
        <v/>
      </c>
      <c r="B108" s="147" t="s">
        <v>122</v>
      </c>
      <c r="C108" s="133" t="str">
        <f>'exp marks'!T109</f>
        <v>0</v>
      </c>
      <c r="D108" s="133" t="str">
        <f>'exp marks'!U109</f>
        <v>0</v>
      </c>
      <c r="E108" s="133" t="str">
        <f>'exp marks'!V109</f>
        <v>0</v>
      </c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</row>
    <row r="109" ht="21.75" customHeight="1">
      <c r="A109" s="146" t="str">
        <f>IF(BASE!B114="","",BASE!B114)</f>
        <v/>
      </c>
      <c r="B109" s="147" t="s">
        <v>122</v>
      </c>
      <c r="C109" s="133" t="str">
        <f>'exp marks'!T110</f>
        <v>0</v>
      </c>
      <c r="D109" s="133" t="str">
        <f>'exp marks'!U110</f>
        <v>0</v>
      </c>
      <c r="E109" s="133" t="str">
        <f>'exp marks'!V110</f>
        <v>0</v>
      </c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</row>
    <row r="110" ht="21.75" customHeight="1">
      <c r="A110" s="146" t="str">
        <f>IF(BASE!B115="","",BASE!B115)</f>
        <v/>
      </c>
      <c r="B110" s="147" t="s">
        <v>122</v>
      </c>
      <c r="C110" s="133" t="str">
        <f>'exp marks'!T111</f>
        <v>0</v>
      </c>
      <c r="D110" s="133" t="str">
        <f>'exp marks'!U111</f>
        <v>0</v>
      </c>
      <c r="E110" s="133" t="str">
        <f>'exp marks'!V111</f>
        <v>0</v>
      </c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</row>
    <row r="111" ht="21.75" customHeight="1">
      <c r="A111" s="146" t="str">
        <f>IF(BASE!B116="","",BASE!B116)</f>
        <v/>
      </c>
      <c r="B111" s="147" t="s">
        <v>122</v>
      </c>
      <c r="C111" s="133" t="str">
        <f>'exp marks'!T112</f>
        <v>0</v>
      </c>
      <c r="D111" s="133" t="str">
        <f>'exp marks'!U112</f>
        <v>0</v>
      </c>
      <c r="E111" s="133" t="str">
        <f>'exp marks'!V112</f>
        <v>0</v>
      </c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</row>
    <row r="112" ht="21.75" customHeight="1">
      <c r="A112" s="146" t="str">
        <f>IF(BASE!B117="","",BASE!B117)</f>
        <v/>
      </c>
      <c r="B112" s="147" t="s">
        <v>122</v>
      </c>
      <c r="C112" s="133" t="str">
        <f>'exp marks'!T113</f>
        <v>0</v>
      </c>
      <c r="D112" s="133" t="str">
        <f>'exp marks'!U113</f>
        <v>0</v>
      </c>
      <c r="E112" s="133" t="str">
        <f>'exp marks'!V113</f>
        <v>0</v>
      </c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</row>
    <row r="113" ht="21.75" customHeight="1">
      <c r="A113" s="146" t="str">
        <f>IF(BASE!B118="","",BASE!B118)</f>
        <v/>
      </c>
      <c r="B113" s="147" t="s">
        <v>122</v>
      </c>
      <c r="C113" s="133" t="str">
        <f>'exp marks'!T114</f>
        <v>0</v>
      </c>
      <c r="D113" s="133" t="str">
        <f>'exp marks'!U114</f>
        <v>0</v>
      </c>
      <c r="E113" s="133" t="str">
        <f>'exp marks'!V114</f>
        <v>0</v>
      </c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</row>
    <row r="114" ht="21.75" customHeight="1">
      <c r="A114" s="146" t="str">
        <f>IF(BASE!B119="","",BASE!B119)</f>
        <v/>
      </c>
      <c r="B114" s="147" t="s">
        <v>122</v>
      </c>
      <c r="C114" s="133" t="str">
        <f>'exp marks'!T115</f>
        <v>0</v>
      </c>
      <c r="D114" s="133" t="str">
        <f>'exp marks'!U115</f>
        <v>0</v>
      </c>
      <c r="E114" s="133" t="str">
        <f>'exp marks'!V115</f>
        <v>0</v>
      </c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</row>
    <row r="115" ht="21.75" customHeight="1">
      <c r="A115" s="146" t="str">
        <f>IF(BASE!B120="","",BASE!B120)</f>
        <v/>
      </c>
      <c r="B115" s="147" t="s">
        <v>122</v>
      </c>
      <c r="C115" s="133" t="str">
        <f>'exp marks'!T116</f>
        <v>0</v>
      </c>
      <c r="D115" s="133" t="str">
        <f>'exp marks'!U116</f>
        <v>0</v>
      </c>
      <c r="E115" s="133" t="str">
        <f>'exp marks'!V116</f>
        <v>0</v>
      </c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</row>
    <row r="116" ht="21.75" customHeight="1">
      <c r="A116" s="146" t="str">
        <f>IF(BASE!B121="","",BASE!B121)</f>
        <v/>
      </c>
      <c r="B116" s="147" t="s">
        <v>122</v>
      </c>
      <c r="C116" s="133" t="str">
        <f>'exp marks'!T117</f>
        <v>0</v>
      </c>
      <c r="D116" s="133" t="str">
        <f>'exp marks'!U117</f>
        <v>0</v>
      </c>
      <c r="E116" s="133" t="str">
        <f>'exp marks'!V117</f>
        <v>0</v>
      </c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</row>
    <row r="117" ht="21.75" customHeight="1">
      <c r="A117" s="146" t="str">
        <f>IF(BASE!B122="","",BASE!B122)</f>
        <v/>
      </c>
      <c r="B117" s="147" t="s">
        <v>122</v>
      </c>
      <c r="C117" s="133" t="str">
        <f>'exp marks'!T118</f>
        <v>0</v>
      </c>
      <c r="D117" s="133" t="str">
        <f>'exp marks'!U118</f>
        <v>0</v>
      </c>
      <c r="E117" s="133" t="str">
        <f>'exp marks'!V118</f>
        <v>0</v>
      </c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</row>
    <row r="118" ht="21.75" customHeight="1">
      <c r="A118" s="146" t="str">
        <f>IF(BASE!B123="","",BASE!B123)</f>
        <v/>
      </c>
      <c r="B118" s="147" t="s">
        <v>122</v>
      </c>
      <c r="C118" s="133" t="str">
        <f>'exp marks'!T119</f>
        <v>0</v>
      </c>
      <c r="D118" s="133" t="str">
        <f>'exp marks'!U119</f>
        <v>0</v>
      </c>
      <c r="E118" s="133" t="str">
        <f>'exp marks'!V119</f>
        <v>0</v>
      </c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</row>
    <row r="119" ht="21.75" customHeight="1">
      <c r="A119" s="146" t="str">
        <f>IF(BASE!B124="","",BASE!B124)</f>
        <v/>
      </c>
      <c r="B119" s="147" t="s">
        <v>122</v>
      </c>
      <c r="C119" s="133" t="str">
        <f>'exp marks'!T120</f>
        <v>0</v>
      </c>
      <c r="D119" s="133" t="str">
        <f>'exp marks'!U120</f>
        <v>0</v>
      </c>
      <c r="E119" s="133" t="str">
        <f>'exp marks'!V120</f>
        <v>0</v>
      </c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</row>
    <row r="120" ht="21.75" customHeight="1">
      <c r="A120" s="146" t="str">
        <f>IF(BASE!B125="","",BASE!B125)</f>
        <v/>
      </c>
      <c r="B120" s="147" t="s">
        <v>122</v>
      </c>
      <c r="C120" s="133" t="str">
        <f>'exp marks'!T121</f>
        <v>0</v>
      </c>
      <c r="D120" s="133" t="str">
        <f>'exp marks'!U121</f>
        <v>0</v>
      </c>
      <c r="E120" s="133" t="str">
        <f>'exp marks'!V121</f>
        <v>0</v>
      </c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</row>
    <row r="121" ht="21.75" customHeight="1">
      <c r="A121" s="146" t="str">
        <f>IF(BASE!B126="","",BASE!B126)</f>
        <v/>
      </c>
      <c r="B121" s="147" t="s">
        <v>122</v>
      </c>
      <c r="C121" s="133" t="str">
        <f>'exp marks'!T122</f>
        <v>0</v>
      </c>
      <c r="D121" s="133" t="str">
        <f>'exp marks'!U122</f>
        <v>0</v>
      </c>
      <c r="E121" s="133" t="str">
        <f>'exp marks'!V122</f>
        <v>0</v>
      </c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</row>
    <row r="122" ht="21.75" customHeight="1">
      <c r="A122" s="146" t="str">
        <f>IF(BASE!B127="","",BASE!B127)</f>
        <v/>
      </c>
      <c r="B122" s="147" t="s">
        <v>122</v>
      </c>
      <c r="C122" s="133" t="str">
        <f>'exp marks'!T123</f>
        <v>0</v>
      </c>
      <c r="D122" s="133" t="str">
        <f>'exp marks'!U123</f>
        <v>0</v>
      </c>
      <c r="E122" s="133" t="str">
        <f>'exp marks'!V123</f>
        <v>0</v>
      </c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</row>
    <row r="123" ht="21.75" customHeight="1">
      <c r="A123" s="146" t="str">
        <f>IF(BASE!B128="","",BASE!B128)</f>
        <v/>
      </c>
      <c r="B123" s="147" t="s">
        <v>122</v>
      </c>
      <c r="C123" s="133" t="str">
        <f>'exp marks'!T124</f>
        <v>0</v>
      </c>
      <c r="D123" s="133" t="str">
        <f>'exp marks'!U124</f>
        <v>0</v>
      </c>
      <c r="E123" s="133" t="str">
        <f>'exp marks'!V124</f>
        <v>0</v>
      </c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</row>
    <row r="124" ht="21.75" customHeight="1">
      <c r="A124" s="146" t="str">
        <f>IF(BASE!B129="","",BASE!B129)</f>
        <v/>
      </c>
      <c r="B124" s="147" t="s">
        <v>122</v>
      </c>
      <c r="C124" s="133" t="str">
        <f>'exp marks'!T125</f>
        <v>0</v>
      </c>
      <c r="D124" s="133" t="str">
        <f>'exp marks'!U125</f>
        <v>0</v>
      </c>
      <c r="E124" s="133" t="str">
        <f>'exp marks'!V125</f>
        <v>0</v>
      </c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</row>
    <row r="125" ht="21.75" customHeight="1">
      <c r="A125" s="146" t="str">
        <f>IF(BASE!B130="","",BASE!B130)</f>
        <v/>
      </c>
      <c r="B125" s="147" t="s">
        <v>122</v>
      </c>
      <c r="C125" s="133" t="str">
        <f>'exp marks'!T126</f>
        <v>0</v>
      </c>
      <c r="D125" s="133" t="str">
        <f>'exp marks'!U126</f>
        <v>0</v>
      </c>
      <c r="E125" s="133" t="str">
        <f>'exp marks'!V126</f>
        <v>0</v>
      </c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</row>
    <row r="126" ht="21.75" customHeight="1">
      <c r="A126" s="146" t="str">
        <f>IF(BASE!B131="","",BASE!B131)</f>
        <v/>
      </c>
      <c r="B126" s="147" t="s">
        <v>122</v>
      </c>
      <c r="C126" s="133" t="str">
        <f>'exp marks'!T127</f>
        <v>0</v>
      </c>
      <c r="D126" s="133" t="str">
        <f>'exp marks'!U127</f>
        <v>0</v>
      </c>
      <c r="E126" s="133" t="str">
        <f>'exp marks'!V127</f>
        <v>0</v>
      </c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</row>
    <row r="127" ht="21.75" customHeight="1">
      <c r="A127" s="146" t="str">
        <f>IF(BASE!B132="","",BASE!B132)</f>
        <v/>
      </c>
      <c r="B127" s="147" t="s">
        <v>122</v>
      </c>
      <c r="C127" s="133" t="str">
        <f>'exp marks'!T128</f>
        <v>0</v>
      </c>
      <c r="D127" s="133" t="str">
        <f>'exp marks'!U128</f>
        <v>0</v>
      </c>
      <c r="E127" s="133" t="str">
        <f>'exp marks'!V128</f>
        <v>0</v>
      </c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</row>
    <row r="128" ht="21.75" customHeight="1">
      <c r="A128" s="146" t="str">
        <f>IF(BASE!B133="","",BASE!B133)</f>
        <v/>
      </c>
      <c r="B128" s="147" t="s">
        <v>122</v>
      </c>
      <c r="C128" s="133" t="str">
        <f>'exp marks'!T129</f>
        <v>0</v>
      </c>
      <c r="D128" s="133" t="str">
        <f>'exp marks'!U129</f>
        <v>0</v>
      </c>
      <c r="E128" s="133" t="str">
        <f>'exp marks'!V129</f>
        <v>0</v>
      </c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</row>
    <row r="129" ht="21.75" customHeight="1">
      <c r="A129" s="146" t="str">
        <f>IF(BASE!B134="","",BASE!B134)</f>
        <v/>
      </c>
      <c r="B129" s="147" t="s">
        <v>122</v>
      </c>
      <c r="C129" s="133" t="str">
        <f>'exp marks'!T130</f>
        <v>0</v>
      </c>
      <c r="D129" s="133" t="str">
        <f>'exp marks'!U130</f>
        <v>0</v>
      </c>
      <c r="E129" s="133" t="str">
        <f>'exp marks'!V130</f>
        <v>0</v>
      </c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</row>
    <row r="130" ht="21.75" customHeight="1">
      <c r="A130" s="146" t="str">
        <f>IF(BASE!B135="","",BASE!B135)</f>
        <v/>
      </c>
      <c r="B130" s="147" t="s">
        <v>122</v>
      </c>
      <c r="C130" s="133" t="str">
        <f>'exp marks'!T131</f>
        <v>0</v>
      </c>
      <c r="D130" s="133" t="str">
        <f>'exp marks'!U131</f>
        <v>0</v>
      </c>
      <c r="E130" s="133" t="str">
        <f>'exp marks'!V131</f>
        <v>0</v>
      </c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</row>
    <row r="131" ht="21.75" customHeight="1">
      <c r="A131" s="146" t="str">
        <f>IF(BASE!B136="","",BASE!B136)</f>
        <v/>
      </c>
      <c r="B131" s="147" t="s">
        <v>122</v>
      </c>
      <c r="C131" s="133" t="str">
        <f>'exp marks'!T132</f>
        <v>0</v>
      </c>
      <c r="D131" s="133" t="str">
        <f>'exp marks'!U132</f>
        <v>0</v>
      </c>
      <c r="E131" s="133" t="str">
        <f>'exp marks'!V132</f>
        <v>0</v>
      </c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</row>
    <row r="132" ht="21.75" customHeight="1">
      <c r="A132" s="146" t="str">
        <f>IF(BASE!B137="","",BASE!B137)</f>
        <v/>
      </c>
      <c r="B132" s="147" t="s">
        <v>122</v>
      </c>
      <c r="C132" s="133" t="str">
        <f>'exp marks'!T133</f>
        <v>0</v>
      </c>
      <c r="D132" s="133" t="str">
        <f>'exp marks'!U133</f>
        <v>0</v>
      </c>
      <c r="E132" s="133" t="str">
        <f>'exp marks'!V133</f>
        <v>0</v>
      </c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</row>
    <row r="133" ht="21.75" customHeight="1">
      <c r="A133" s="146" t="str">
        <f>IF(BASE!B138="","",BASE!B138)</f>
        <v/>
      </c>
      <c r="B133" s="147" t="s">
        <v>122</v>
      </c>
      <c r="C133" s="133" t="str">
        <f>'exp marks'!T134</f>
        <v>0</v>
      </c>
      <c r="D133" s="133" t="str">
        <f>'exp marks'!U134</f>
        <v>0</v>
      </c>
      <c r="E133" s="133" t="str">
        <f>'exp marks'!V134</f>
        <v>0</v>
      </c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</row>
    <row r="134" ht="21.75" customHeight="1">
      <c r="A134" s="146" t="str">
        <f>IF(BASE!B139="","",BASE!B139)</f>
        <v/>
      </c>
      <c r="B134" s="147" t="s">
        <v>122</v>
      </c>
      <c r="C134" s="133" t="str">
        <f>'exp marks'!T135</f>
        <v>0</v>
      </c>
      <c r="D134" s="133" t="str">
        <f>'exp marks'!U135</f>
        <v>0</v>
      </c>
      <c r="E134" s="133" t="str">
        <f>'exp marks'!V135</f>
        <v>0</v>
      </c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</row>
    <row r="135" ht="21.75" customHeight="1">
      <c r="A135" s="146" t="str">
        <f>IF(BASE!B140="","",BASE!B140)</f>
        <v/>
      </c>
      <c r="B135" s="147" t="s">
        <v>122</v>
      </c>
      <c r="C135" s="133" t="str">
        <f>'exp marks'!T136</f>
        <v>0</v>
      </c>
      <c r="D135" s="133" t="str">
        <f>'exp marks'!U136</f>
        <v>0</v>
      </c>
      <c r="E135" s="133" t="str">
        <f>'exp marks'!V136</f>
        <v>0</v>
      </c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</row>
    <row r="136" ht="21.75" customHeight="1">
      <c r="A136" s="146" t="str">
        <f>IF(BASE!B141="","",BASE!B141)</f>
        <v/>
      </c>
      <c r="B136" s="147" t="s">
        <v>122</v>
      </c>
      <c r="C136" s="133" t="str">
        <f>'exp marks'!T137</f>
        <v>0</v>
      </c>
      <c r="D136" s="133" t="str">
        <f>'exp marks'!U137</f>
        <v>0</v>
      </c>
      <c r="E136" s="133" t="str">
        <f>'exp marks'!V137</f>
        <v>0</v>
      </c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</row>
    <row r="137" ht="21.75" customHeight="1">
      <c r="A137" s="146" t="str">
        <f>IF(BASE!B142="","",BASE!B142)</f>
        <v/>
      </c>
      <c r="B137" s="147" t="s">
        <v>122</v>
      </c>
      <c r="C137" s="133" t="str">
        <f>'exp marks'!T138</f>
        <v>0</v>
      </c>
      <c r="D137" s="133" t="str">
        <f>'exp marks'!U138</f>
        <v>0</v>
      </c>
      <c r="E137" s="133" t="str">
        <f>'exp marks'!V138</f>
        <v>0</v>
      </c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</row>
    <row r="138" ht="21.75" customHeight="1">
      <c r="A138" s="146" t="str">
        <f>IF(BASE!B143="","",BASE!B143)</f>
        <v/>
      </c>
      <c r="B138" s="147" t="s">
        <v>122</v>
      </c>
      <c r="C138" s="133" t="str">
        <f>'exp marks'!T139</f>
        <v>0</v>
      </c>
      <c r="D138" s="133" t="str">
        <f>'exp marks'!U139</f>
        <v>0</v>
      </c>
      <c r="E138" s="133" t="str">
        <f>'exp marks'!V139</f>
        <v>0</v>
      </c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</row>
    <row r="139" ht="21.75" customHeight="1">
      <c r="A139" s="146" t="str">
        <f>IF(BASE!B144="","",BASE!B144)</f>
        <v/>
      </c>
      <c r="B139" s="147" t="s">
        <v>122</v>
      </c>
      <c r="C139" s="133" t="str">
        <f>'exp marks'!T140</f>
        <v>0</v>
      </c>
      <c r="D139" s="133" t="str">
        <f>'exp marks'!U140</f>
        <v>0</v>
      </c>
      <c r="E139" s="133" t="str">
        <f>'exp marks'!V140</f>
        <v>0</v>
      </c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</row>
    <row r="140" ht="21.75" customHeight="1">
      <c r="A140" s="146" t="str">
        <f>IF(BASE!B145="","",BASE!B145)</f>
        <v/>
      </c>
      <c r="B140" s="147" t="s">
        <v>122</v>
      </c>
      <c r="C140" s="133" t="str">
        <f>'exp marks'!T141</f>
        <v>0</v>
      </c>
      <c r="D140" s="133" t="str">
        <f>'exp marks'!U141</f>
        <v>0</v>
      </c>
      <c r="E140" s="133" t="str">
        <f>'exp marks'!V141</f>
        <v>0</v>
      </c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</row>
    <row r="141" ht="21.75" customHeight="1">
      <c r="A141" s="146" t="str">
        <f>IF(BASE!B146="","",BASE!B146)</f>
        <v/>
      </c>
      <c r="B141" s="147" t="s">
        <v>122</v>
      </c>
      <c r="C141" s="133" t="str">
        <f>'exp marks'!T142</f>
        <v>0</v>
      </c>
      <c r="D141" s="133" t="str">
        <f>'exp marks'!U142</f>
        <v>0</v>
      </c>
      <c r="E141" s="133" t="str">
        <f>'exp marks'!V142</f>
        <v>0</v>
      </c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</row>
    <row r="142" ht="21.75" customHeight="1">
      <c r="A142" s="146" t="str">
        <f>IF(BASE!B147="","",BASE!B147)</f>
        <v/>
      </c>
      <c r="B142" s="147" t="s">
        <v>122</v>
      </c>
      <c r="C142" s="133" t="str">
        <f>'exp marks'!T143</f>
        <v>0</v>
      </c>
      <c r="D142" s="133" t="str">
        <f>'exp marks'!U143</f>
        <v>0</v>
      </c>
      <c r="E142" s="133" t="str">
        <f>'exp marks'!V143</f>
        <v>0</v>
      </c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</row>
    <row r="143" ht="21.75" customHeight="1">
      <c r="A143" s="146" t="str">
        <f>IF(BASE!B148="","",BASE!B148)</f>
        <v/>
      </c>
      <c r="B143" s="147" t="s">
        <v>122</v>
      </c>
      <c r="C143" s="133" t="str">
        <f>'exp marks'!T144</f>
        <v>0</v>
      </c>
      <c r="D143" s="133" t="str">
        <f>'exp marks'!U144</f>
        <v>0</v>
      </c>
      <c r="E143" s="133" t="str">
        <f>'exp marks'!V144</f>
        <v>0</v>
      </c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</row>
    <row r="144" ht="21.75" customHeight="1">
      <c r="A144" s="146" t="str">
        <f>IF(BASE!B149="","",BASE!B149)</f>
        <v/>
      </c>
      <c r="B144" s="147" t="s">
        <v>122</v>
      </c>
      <c r="C144" s="133" t="str">
        <f>'exp marks'!T145</f>
        <v>0</v>
      </c>
      <c r="D144" s="133" t="str">
        <f>'exp marks'!U145</f>
        <v>0</v>
      </c>
      <c r="E144" s="133" t="str">
        <f>'exp marks'!V145</f>
        <v>0</v>
      </c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</row>
    <row r="145" ht="21.75" customHeight="1">
      <c r="A145" s="146" t="str">
        <f>IF(BASE!B150="","",BASE!B150)</f>
        <v/>
      </c>
      <c r="B145" s="147" t="s">
        <v>122</v>
      </c>
      <c r="C145" s="133" t="str">
        <f>'exp marks'!T146</f>
        <v>0</v>
      </c>
      <c r="D145" s="133" t="str">
        <f>'exp marks'!U146</f>
        <v>0</v>
      </c>
      <c r="E145" s="133" t="str">
        <f>'exp marks'!V146</f>
        <v>0</v>
      </c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</row>
    <row r="146" ht="21.75" customHeight="1">
      <c r="A146" s="146" t="str">
        <f>IF(BASE!B151="","",BASE!B151)</f>
        <v/>
      </c>
      <c r="B146" s="147" t="s">
        <v>122</v>
      </c>
      <c r="C146" s="133" t="str">
        <f>'exp marks'!T147</f>
        <v>0</v>
      </c>
      <c r="D146" s="133" t="str">
        <f>'exp marks'!U147</f>
        <v>0</v>
      </c>
      <c r="E146" s="133" t="str">
        <f>'exp marks'!V147</f>
        <v>0</v>
      </c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</row>
    <row r="147" ht="21.75" customHeight="1">
      <c r="A147" s="146" t="str">
        <f>IF(BASE!B152="","",BASE!B152)</f>
        <v/>
      </c>
      <c r="B147" s="147" t="s">
        <v>122</v>
      </c>
      <c r="C147" s="133" t="str">
        <f>'exp marks'!T148</f>
        <v>0</v>
      </c>
      <c r="D147" s="133" t="str">
        <f>'exp marks'!U148</f>
        <v>0</v>
      </c>
      <c r="E147" s="133" t="str">
        <f>'exp marks'!V148</f>
        <v>0</v>
      </c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</row>
    <row r="148" ht="21.75" customHeight="1">
      <c r="A148" s="146" t="str">
        <f>IF(BASE!B153="","",BASE!B153)</f>
        <v/>
      </c>
      <c r="B148" s="147" t="s">
        <v>122</v>
      </c>
      <c r="C148" s="133" t="str">
        <f>'exp marks'!T149</f>
        <v>0</v>
      </c>
      <c r="D148" s="133" t="str">
        <f>'exp marks'!U149</f>
        <v>0</v>
      </c>
      <c r="E148" s="133" t="str">
        <f>'exp marks'!V149</f>
        <v>0</v>
      </c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</row>
    <row r="149" ht="21.75" customHeight="1">
      <c r="A149" s="146" t="str">
        <f>IF(BASE!B154="","",BASE!B154)</f>
        <v/>
      </c>
      <c r="B149" s="147" t="s">
        <v>122</v>
      </c>
      <c r="C149" s="133" t="str">
        <f>'exp marks'!T150</f>
        <v>0</v>
      </c>
      <c r="D149" s="133" t="str">
        <f>'exp marks'!U150</f>
        <v>0</v>
      </c>
      <c r="E149" s="133" t="str">
        <f>'exp marks'!V150</f>
        <v>0</v>
      </c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</row>
    <row r="150" ht="21.75" customHeight="1">
      <c r="A150" s="146" t="str">
        <f>IF(BASE!B155="","",BASE!B155)</f>
        <v/>
      </c>
      <c r="B150" s="147" t="s">
        <v>122</v>
      </c>
      <c r="C150" s="133" t="str">
        <f>'exp marks'!T151</f>
        <v>0</v>
      </c>
      <c r="D150" s="133" t="str">
        <f>'exp marks'!U151</f>
        <v>0</v>
      </c>
      <c r="E150" s="133" t="str">
        <f>'exp marks'!V151</f>
        <v>0</v>
      </c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</row>
    <row r="151" ht="21.75" customHeight="1">
      <c r="A151" s="146" t="str">
        <f>IF(BASE!B156="","",BASE!B156)</f>
        <v/>
      </c>
      <c r="B151" s="147" t="s">
        <v>122</v>
      </c>
      <c r="C151" s="133" t="str">
        <f>'exp marks'!T152</f>
        <v>0</v>
      </c>
      <c r="D151" s="133" t="str">
        <f>'exp marks'!U152</f>
        <v>0</v>
      </c>
      <c r="E151" s="133" t="str">
        <f>'exp marks'!V152</f>
        <v>0</v>
      </c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</row>
    <row r="152" ht="21.75" customHeight="1">
      <c r="A152" s="146" t="str">
        <f>IF(BASE!B157="","",BASE!B157)</f>
        <v/>
      </c>
      <c r="B152" s="147" t="s">
        <v>122</v>
      </c>
      <c r="C152" s="133" t="str">
        <f>'exp marks'!T153</f>
        <v>0</v>
      </c>
      <c r="D152" s="133" t="str">
        <f>'exp marks'!U153</f>
        <v>0</v>
      </c>
      <c r="E152" s="133" t="str">
        <f>'exp marks'!V153</f>
        <v>0</v>
      </c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</row>
    <row r="153" ht="21.75" customHeight="1">
      <c r="A153" s="146" t="str">
        <f>IF(BASE!B158="","",BASE!B158)</f>
        <v/>
      </c>
      <c r="B153" s="147" t="s">
        <v>122</v>
      </c>
      <c r="C153" s="133" t="str">
        <f>'exp marks'!T154</f>
        <v>0</v>
      </c>
      <c r="D153" s="133" t="str">
        <f>'exp marks'!U154</f>
        <v>0</v>
      </c>
      <c r="E153" s="133" t="str">
        <f>'exp marks'!V154</f>
        <v>0</v>
      </c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</row>
    <row r="154" ht="21.75" customHeight="1">
      <c r="A154" s="146" t="str">
        <f>IF(BASE!B159="","",BASE!B159)</f>
        <v/>
      </c>
      <c r="B154" s="147" t="s">
        <v>122</v>
      </c>
      <c r="C154" s="133" t="str">
        <f>'exp marks'!T155</f>
        <v>0</v>
      </c>
      <c r="D154" s="133" t="str">
        <f>'exp marks'!U155</f>
        <v>0</v>
      </c>
      <c r="E154" s="133" t="str">
        <f>'exp marks'!V155</f>
        <v>0</v>
      </c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</row>
    <row r="155" ht="21.75" customHeight="1">
      <c r="A155" s="146" t="str">
        <f>IF(BASE!B160="","",BASE!B160)</f>
        <v/>
      </c>
      <c r="B155" s="147" t="s">
        <v>122</v>
      </c>
      <c r="C155" s="133" t="str">
        <f>'exp marks'!T156</f>
        <v>0</v>
      </c>
      <c r="D155" s="133" t="str">
        <f>'exp marks'!U156</f>
        <v>0</v>
      </c>
      <c r="E155" s="133" t="str">
        <f>'exp marks'!V156</f>
        <v>0</v>
      </c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</row>
    <row r="156" ht="21.75" customHeight="1">
      <c r="A156" s="146" t="str">
        <f>IF(BASE!B161="","",BASE!B161)</f>
        <v/>
      </c>
      <c r="B156" s="147" t="s">
        <v>122</v>
      </c>
      <c r="C156" s="133" t="str">
        <f>'exp marks'!T157</f>
        <v>0</v>
      </c>
      <c r="D156" s="133" t="str">
        <f>'exp marks'!U157</f>
        <v>0</v>
      </c>
      <c r="E156" s="133" t="str">
        <f>'exp marks'!V157</f>
        <v>0</v>
      </c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</row>
    <row r="157" ht="21.75" customHeight="1">
      <c r="A157" s="146" t="str">
        <f>IF(BASE!B162="","",BASE!B162)</f>
        <v/>
      </c>
      <c r="B157" s="147" t="s">
        <v>122</v>
      </c>
      <c r="C157" s="133" t="str">
        <f>'exp marks'!T158</f>
        <v>0</v>
      </c>
      <c r="D157" s="133" t="str">
        <f>'exp marks'!U158</f>
        <v>0</v>
      </c>
      <c r="E157" s="133" t="str">
        <f>'exp marks'!V158</f>
        <v>0</v>
      </c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</row>
    <row r="158" ht="21.75" customHeight="1">
      <c r="A158" s="146" t="str">
        <f>IF(BASE!B163="","",BASE!B163)</f>
        <v/>
      </c>
      <c r="B158" s="147" t="s">
        <v>122</v>
      </c>
      <c r="C158" s="133" t="str">
        <f>'exp marks'!T159</f>
        <v>0</v>
      </c>
      <c r="D158" s="133" t="str">
        <f>'exp marks'!U159</f>
        <v>0</v>
      </c>
      <c r="E158" s="133" t="str">
        <f>'exp marks'!V159</f>
        <v>0</v>
      </c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</row>
    <row r="159" ht="21.75" customHeight="1">
      <c r="A159" s="146" t="str">
        <f>IF(BASE!B164="","",BASE!B164)</f>
        <v/>
      </c>
      <c r="B159" s="147" t="s">
        <v>122</v>
      </c>
      <c r="C159" s="133" t="str">
        <f>'exp marks'!T160</f>
        <v>0</v>
      </c>
      <c r="D159" s="133" t="str">
        <f>'exp marks'!U160</f>
        <v>0</v>
      </c>
      <c r="E159" s="133" t="str">
        <f>'exp marks'!V160</f>
        <v>0</v>
      </c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</row>
    <row r="160" ht="21.75" customHeight="1">
      <c r="A160" s="146" t="str">
        <f>IF(BASE!B165="","",BASE!B165)</f>
        <v/>
      </c>
      <c r="B160" s="147" t="s">
        <v>122</v>
      </c>
      <c r="C160" s="133" t="str">
        <f>'exp marks'!T161</f>
        <v>0</v>
      </c>
      <c r="D160" s="133" t="str">
        <f>'exp marks'!U161</f>
        <v>0</v>
      </c>
      <c r="E160" s="133" t="str">
        <f>'exp marks'!V161</f>
        <v>0</v>
      </c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</row>
    <row r="161" ht="21.75" customHeight="1">
      <c r="A161" s="146" t="str">
        <f>IF(BASE!B166="","",BASE!B166)</f>
        <v/>
      </c>
      <c r="B161" s="147" t="s">
        <v>122</v>
      </c>
      <c r="C161" s="133" t="str">
        <f>'exp marks'!T162</f>
        <v>0</v>
      </c>
      <c r="D161" s="133" t="str">
        <f>'exp marks'!U162</f>
        <v>0</v>
      </c>
      <c r="E161" s="133" t="str">
        <f>'exp marks'!V162</f>
        <v>0</v>
      </c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</row>
    <row r="162" ht="21.75" customHeight="1">
      <c r="A162" s="146" t="str">
        <f>IF(BASE!B167="","",BASE!B167)</f>
        <v/>
      </c>
      <c r="B162" s="147" t="s">
        <v>122</v>
      </c>
      <c r="C162" s="133" t="str">
        <f>'exp marks'!T163</f>
        <v>0</v>
      </c>
      <c r="D162" s="133" t="str">
        <f>'exp marks'!U163</f>
        <v>0</v>
      </c>
      <c r="E162" s="133" t="str">
        <f>'exp marks'!V163</f>
        <v>0</v>
      </c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</row>
    <row r="163" ht="21.75" customHeight="1">
      <c r="A163" s="146" t="str">
        <f>IF(BASE!B168="","",BASE!B168)</f>
        <v/>
      </c>
      <c r="B163" s="147" t="s">
        <v>122</v>
      </c>
      <c r="C163" s="133" t="str">
        <f>'exp marks'!T164</f>
        <v>0</v>
      </c>
      <c r="D163" s="133" t="str">
        <f>'exp marks'!U164</f>
        <v>0</v>
      </c>
      <c r="E163" s="133" t="str">
        <f>'exp marks'!V164</f>
        <v>0</v>
      </c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</row>
    <row r="164" ht="21.75" customHeight="1">
      <c r="A164" s="146" t="str">
        <f>IF(BASE!B169="","",BASE!B169)</f>
        <v/>
      </c>
      <c r="B164" s="147" t="s">
        <v>122</v>
      </c>
      <c r="C164" s="133" t="str">
        <f>'exp marks'!T165</f>
        <v>0</v>
      </c>
      <c r="D164" s="133" t="str">
        <f>'exp marks'!U165</f>
        <v>0</v>
      </c>
      <c r="E164" s="133" t="str">
        <f>'exp marks'!V165</f>
        <v>0</v>
      </c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</row>
    <row r="165" ht="21.75" customHeight="1">
      <c r="A165" s="146" t="str">
        <f>IF(BASE!B170="","",BASE!B170)</f>
        <v/>
      </c>
      <c r="B165" s="147" t="s">
        <v>122</v>
      </c>
      <c r="C165" s="133" t="str">
        <f>'exp marks'!T166</f>
        <v>0</v>
      </c>
      <c r="D165" s="133" t="str">
        <f>'exp marks'!U166</f>
        <v>0</v>
      </c>
      <c r="E165" s="133" t="str">
        <f>'exp marks'!V166</f>
        <v>0</v>
      </c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</row>
    <row r="166" ht="21.75" customHeight="1">
      <c r="A166" s="146" t="str">
        <f>IF(BASE!B171="","",BASE!B171)</f>
        <v/>
      </c>
      <c r="B166" s="147" t="s">
        <v>122</v>
      </c>
      <c r="C166" s="133" t="str">
        <f>'exp marks'!T167</f>
        <v>0</v>
      </c>
      <c r="D166" s="133" t="str">
        <f>'exp marks'!U167</f>
        <v>0</v>
      </c>
      <c r="E166" s="133" t="str">
        <f>'exp marks'!V167</f>
        <v>0</v>
      </c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</row>
    <row r="167" ht="21.75" customHeight="1">
      <c r="A167" s="146" t="str">
        <f>IF(BASE!B172="","",BASE!B172)</f>
        <v/>
      </c>
      <c r="B167" s="147" t="s">
        <v>122</v>
      </c>
      <c r="C167" s="133" t="str">
        <f>'exp marks'!T168</f>
        <v>0</v>
      </c>
      <c r="D167" s="133" t="str">
        <f>'exp marks'!U168</f>
        <v>0</v>
      </c>
      <c r="E167" s="133" t="str">
        <f>'exp marks'!V168</f>
        <v>0</v>
      </c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</row>
    <row r="168" ht="21.75" customHeight="1">
      <c r="A168" s="146" t="str">
        <f>IF(BASE!B173="","",BASE!B173)</f>
        <v/>
      </c>
      <c r="B168" s="147" t="s">
        <v>122</v>
      </c>
      <c r="C168" s="133" t="str">
        <f>'exp marks'!T169</f>
        <v>0</v>
      </c>
      <c r="D168" s="133" t="str">
        <f>'exp marks'!U169</f>
        <v>0</v>
      </c>
      <c r="E168" s="133" t="str">
        <f>'exp marks'!V169</f>
        <v>0</v>
      </c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</row>
    <row r="169" ht="21.75" customHeight="1">
      <c r="A169" s="146" t="str">
        <f>IF(BASE!B174="","",BASE!B174)</f>
        <v/>
      </c>
      <c r="B169" s="147" t="s">
        <v>122</v>
      </c>
      <c r="C169" s="133" t="str">
        <f>'exp marks'!T170</f>
        <v>0</v>
      </c>
      <c r="D169" s="133" t="str">
        <f>'exp marks'!U170</f>
        <v>0</v>
      </c>
      <c r="E169" s="133" t="str">
        <f>'exp marks'!V170</f>
        <v>0</v>
      </c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</row>
    <row r="170" ht="21.75" customHeight="1">
      <c r="A170" s="146" t="str">
        <f>IF(BASE!B175="","",BASE!B175)</f>
        <v/>
      </c>
      <c r="B170" s="147" t="s">
        <v>122</v>
      </c>
      <c r="C170" s="133" t="str">
        <f>'exp marks'!T171</f>
        <v>0</v>
      </c>
      <c r="D170" s="133" t="str">
        <f>'exp marks'!U171</f>
        <v>0</v>
      </c>
      <c r="E170" s="133" t="str">
        <f>'exp marks'!V171</f>
        <v>0</v>
      </c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</row>
    <row r="171" ht="21.75" customHeight="1">
      <c r="A171" s="146" t="str">
        <f>IF(BASE!B176="","",BASE!B176)</f>
        <v/>
      </c>
      <c r="B171" s="147" t="s">
        <v>122</v>
      </c>
      <c r="C171" s="133" t="str">
        <f>'exp marks'!T172</f>
        <v>0</v>
      </c>
      <c r="D171" s="133" t="str">
        <f>'exp marks'!U172</f>
        <v>0</v>
      </c>
      <c r="E171" s="133" t="str">
        <f>'exp marks'!V172</f>
        <v>0</v>
      </c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</row>
    <row r="172" ht="21.75" customHeight="1">
      <c r="A172" s="146" t="str">
        <f>IF(BASE!B177="","",BASE!B177)</f>
        <v/>
      </c>
      <c r="B172" s="147" t="s">
        <v>122</v>
      </c>
      <c r="C172" s="133" t="str">
        <f>'exp marks'!T173</f>
        <v>0</v>
      </c>
      <c r="D172" s="133" t="str">
        <f>'exp marks'!U173</f>
        <v>0</v>
      </c>
      <c r="E172" s="133" t="str">
        <f>'exp marks'!V173</f>
        <v>0</v>
      </c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</row>
    <row r="173" ht="21.75" customHeight="1">
      <c r="A173" s="146" t="str">
        <f>IF(BASE!B178="","",BASE!B178)</f>
        <v/>
      </c>
      <c r="B173" s="147" t="s">
        <v>122</v>
      </c>
      <c r="C173" s="133" t="str">
        <f>'exp marks'!T174</f>
        <v>0</v>
      </c>
      <c r="D173" s="133" t="str">
        <f>'exp marks'!U174</f>
        <v>0</v>
      </c>
      <c r="E173" s="133" t="str">
        <f>'exp marks'!V174</f>
        <v>0</v>
      </c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</row>
    <row r="174" ht="21.75" customHeight="1">
      <c r="A174" s="146" t="str">
        <f>IF(BASE!B179="","",BASE!B179)</f>
        <v/>
      </c>
      <c r="B174" s="147" t="s">
        <v>122</v>
      </c>
      <c r="C174" s="133" t="str">
        <f>'exp marks'!T175</f>
        <v>0</v>
      </c>
      <c r="D174" s="133" t="str">
        <f>'exp marks'!U175</f>
        <v>0</v>
      </c>
      <c r="E174" s="133" t="str">
        <f>'exp marks'!V175</f>
        <v>0</v>
      </c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</row>
    <row r="175" ht="21.75" customHeight="1">
      <c r="A175" s="146" t="str">
        <f>IF(BASE!B180="","",BASE!B180)</f>
        <v/>
      </c>
      <c r="B175" s="147" t="s">
        <v>122</v>
      </c>
      <c r="C175" s="133" t="str">
        <f>'exp marks'!T176</f>
        <v>0</v>
      </c>
      <c r="D175" s="133" t="str">
        <f>'exp marks'!U176</f>
        <v>0</v>
      </c>
      <c r="E175" s="133" t="str">
        <f>'exp marks'!V176</f>
        <v>0</v>
      </c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</row>
    <row r="176" ht="21.75" customHeight="1">
      <c r="A176" s="146" t="str">
        <f>IF(BASE!B181="","",BASE!B181)</f>
        <v/>
      </c>
      <c r="B176" s="147" t="s">
        <v>122</v>
      </c>
      <c r="C176" s="133" t="str">
        <f>'exp marks'!T177</f>
        <v>0</v>
      </c>
      <c r="D176" s="133" t="str">
        <f>'exp marks'!U177</f>
        <v>0</v>
      </c>
      <c r="E176" s="133" t="str">
        <f>'exp marks'!V177</f>
        <v>0</v>
      </c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</row>
    <row r="177" ht="21.75" customHeight="1">
      <c r="A177" s="146" t="str">
        <f>IF(BASE!B182="","",BASE!B182)</f>
        <v/>
      </c>
      <c r="B177" s="147" t="s">
        <v>122</v>
      </c>
      <c r="C177" s="133" t="str">
        <f>'exp marks'!T178</f>
        <v>0</v>
      </c>
      <c r="D177" s="133" t="str">
        <f>'exp marks'!U178</f>
        <v>0</v>
      </c>
      <c r="E177" s="133" t="str">
        <f>'exp marks'!V178</f>
        <v>0</v>
      </c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</row>
    <row r="178" ht="21.75" customHeight="1">
      <c r="A178" s="146" t="str">
        <f>IF(BASE!B183="","",BASE!B183)</f>
        <v/>
      </c>
      <c r="B178" s="147" t="s">
        <v>122</v>
      </c>
      <c r="C178" s="133" t="str">
        <f>'exp marks'!T179</f>
        <v>0</v>
      </c>
      <c r="D178" s="133" t="str">
        <f>'exp marks'!U179</f>
        <v>0</v>
      </c>
      <c r="E178" s="133" t="str">
        <f>'exp marks'!V179</f>
        <v>0</v>
      </c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</row>
    <row r="179" ht="21.75" customHeight="1">
      <c r="A179" s="146" t="str">
        <f>IF(BASE!B184="","",BASE!B184)</f>
        <v/>
      </c>
      <c r="B179" s="147" t="s">
        <v>122</v>
      </c>
      <c r="C179" s="133" t="str">
        <f>'exp marks'!T180</f>
        <v>0</v>
      </c>
      <c r="D179" s="133" t="str">
        <f>'exp marks'!U180</f>
        <v>0</v>
      </c>
      <c r="E179" s="133" t="str">
        <f>'exp marks'!V180</f>
        <v>0</v>
      </c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</row>
    <row r="180" ht="21.75" customHeight="1">
      <c r="A180" s="146" t="str">
        <f>IF(BASE!B185="","",BASE!B185)</f>
        <v/>
      </c>
      <c r="B180" s="147" t="s">
        <v>122</v>
      </c>
      <c r="C180" s="133" t="str">
        <f>'exp marks'!T181</f>
        <v>0</v>
      </c>
      <c r="D180" s="133" t="str">
        <f>'exp marks'!U181</f>
        <v>0</v>
      </c>
      <c r="E180" s="133" t="str">
        <f>'exp marks'!V181</f>
        <v>0</v>
      </c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</row>
    <row r="181" ht="21.75" customHeight="1">
      <c r="A181" s="146" t="str">
        <f>IF(BASE!B186="","",BASE!B186)</f>
        <v/>
      </c>
      <c r="B181" s="147" t="s">
        <v>122</v>
      </c>
      <c r="C181" s="133" t="str">
        <f>'exp marks'!T182</f>
        <v>0</v>
      </c>
      <c r="D181" s="133" t="str">
        <f>'exp marks'!U182</f>
        <v>0</v>
      </c>
      <c r="E181" s="133" t="str">
        <f>'exp marks'!V182</f>
        <v>0</v>
      </c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</row>
    <row r="182" ht="21.75" customHeight="1">
      <c r="A182" s="146" t="str">
        <f>IF(BASE!B187="","",BASE!B187)</f>
        <v/>
      </c>
      <c r="B182" s="147" t="s">
        <v>122</v>
      </c>
      <c r="C182" s="133" t="str">
        <f>'exp marks'!T183</f>
        <v>0</v>
      </c>
      <c r="D182" s="133" t="str">
        <f>'exp marks'!U183</f>
        <v>0</v>
      </c>
      <c r="E182" s="133" t="str">
        <f>'exp marks'!V183</f>
        <v>0</v>
      </c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</row>
    <row r="183" ht="21.75" customHeight="1">
      <c r="A183" s="146" t="str">
        <f>IF(BASE!B188="","",BASE!B188)</f>
        <v/>
      </c>
      <c r="B183" s="147" t="s">
        <v>122</v>
      </c>
      <c r="C183" s="133" t="str">
        <f>'exp marks'!T184</f>
        <v>0</v>
      </c>
      <c r="D183" s="133" t="str">
        <f>'exp marks'!U184</f>
        <v>0</v>
      </c>
      <c r="E183" s="133" t="str">
        <f>'exp marks'!V184</f>
        <v>0</v>
      </c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</row>
    <row r="184" ht="21.75" customHeight="1">
      <c r="A184" s="146" t="str">
        <f>IF(BASE!B189="","",BASE!B189)</f>
        <v/>
      </c>
      <c r="B184" s="147" t="s">
        <v>122</v>
      </c>
      <c r="C184" s="133" t="str">
        <f>'exp marks'!T185</f>
        <v>0</v>
      </c>
      <c r="D184" s="133" t="str">
        <f>'exp marks'!U185</f>
        <v>0</v>
      </c>
      <c r="E184" s="133" t="str">
        <f>'exp marks'!V185</f>
        <v>0</v>
      </c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</row>
    <row r="185" ht="21.75" customHeight="1">
      <c r="A185" s="146" t="str">
        <f>IF(BASE!B190="","",BASE!B190)</f>
        <v/>
      </c>
      <c r="B185" s="147" t="s">
        <v>122</v>
      </c>
      <c r="C185" s="133" t="str">
        <f>'exp marks'!T186</f>
        <v>0</v>
      </c>
      <c r="D185" s="133" t="str">
        <f>'exp marks'!U186</f>
        <v>0</v>
      </c>
      <c r="E185" s="133" t="str">
        <f>'exp marks'!V186</f>
        <v>0</v>
      </c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</row>
    <row r="186" ht="21.75" customHeight="1">
      <c r="A186" s="146" t="str">
        <f>IF(BASE!B191="","",BASE!B191)</f>
        <v/>
      </c>
      <c r="B186" s="147" t="s">
        <v>122</v>
      </c>
      <c r="C186" s="133" t="str">
        <f>'exp marks'!T187</f>
        <v>0</v>
      </c>
      <c r="D186" s="133" t="str">
        <f>'exp marks'!U187</f>
        <v>0</v>
      </c>
      <c r="E186" s="133" t="str">
        <f>'exp marks'!V187</f>
        <v>0</v>
      </c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</row>
    <row r="187" ht="21.75" customHeight="1">
      <c r="A187" s="146" t="str">
        <f>IF(BASE!B192="","",BASE!B192)</f>
        <v/>
      </c>
      <c r="B187" s="147" t="s">
        <v>122</v>
      </c>
      <c r="C187" s="133" t="str">
        <f>'exp marks'!T188</f>
        <v>0</v>
      </c>
      <c r="D187" s="133" t="str">
        <f>'exp marks'!U188</f>
        <v>0</v>
      </c>
      <c r="E187" s="133" t="str">
        <f>'exp marks'!V188</f>
        <v>0</v>
      </c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</row>
    <row r="188" ht="21.75" customHeight="1">
      <c r="A188" s="146" t="str">
        <f>IF(BASE!B193="","",BASE!B193)</f>
        <v/>
      </c>
      <c r="B188" s="147" t="s">
        <v>122</v>
      </c>
      <c r="C188" s="133" t="str">
        <f>'exp marks'!T189</f>
        <v>0</v>
      </c>
      <c r="D188" s="133" t="str">
        <f>'exp marks'!U189</f>
        <v>0</v>
      </c>
      <c r="E188" s="133" t="str">
        <f>'exp marks'!V189</f>
        <v>0</v>
      </c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</row>
    <row r="189" ht="21.75" customHeight="1">
      <c r="A189" s="146" t="str">
        <f>IF(BASE!B194="","",BASE!B194)</f>
        <v/>
      </c>
      <c r="B189" s="147" t="s">
        <v>122</v>
      </c>
      <c r="C189" s="133" t="str">
        <f>'exp marks'!T190</f>
        <v>0</v>
      </c>
      <c r="D189" s="133" t="str">
        <f>'exp marks'!U190</f>
        <v>0</v>
      </c>
      <c r="E189" s="133" t="str">
        <f>'exp marks'!V190</f>
        <v>0</v>
      </c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</row>
    <row r="190" ht="21.75" customHeight="1">
      <c r="A190" s="146" t="str">
        <f>IF(BASE!B195="","",BASE!B195)</f>
        <v/>
      </c>
      <c r="B190" s="147" t="s">
        <v>122</v>
      </c>
      <c r="C190" s="133" t="str">
        <f>'exp marks'!T191</f>
        <v>0</v>
      </c>
      <c r="D190" s="133" t="str">
        <f>'exp marks'!U191</f>
        <v>0</v>
      </c>
      <c r="E190" s="133" t="str">
        <f>'exp marks'!V191</f>
        <v>0</v>
      </c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</row>
    <row r="191" ht="21.75" customHeight="1">
      <c r="A191" s="146" t="str">
        <f>IF(BASE!B196="","",BASE!B196)</f>
        <v/>
      </c>
      <c r="B191" s="147" t="s">
        <v>122</v>
      </c>
      <c r="C191" s="133" t="str">
        <f>'exp marks'!T192</f>
        <v>0</v>
      </c>
      <c r="D191" s="133" t="str">
        <f>'exp marks'!U192</f>
        <v>0</v>
      </c>
      <c r="E191" s="133" t="str">
        <f>'exp marks'!V192</f>
        <v>0</v>
      </c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</row>
    <row r="192" ht="21.75" customHeight="1">
      <c r="A192" s="146" t="str">
        <f>IF(BASE!B197="","",BASE!B197)</f>
        <v/>
      </c>
      <c r="B192" s="147" t="s">
        <v>122</v>
      </c>
      <c r="C192" s="133" t="str">
        <f>'exp marks'!T193</f>
        <v>0</v>
      </c>
      <c r="D192" s="133" t="str">
        <f>'exp marks'!U193</f>
        <v>0</v>
      </c>
      <c r="E192" s="133" t="str">
        <f>'exp marks'!V193</f>
        <v>0</v>
      </c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</row>
    <row r="193" ht="21.75" customHeight="1">
      <c r="A193" s="146" t="str">
        <f>IF(BASE!B198="","",BASE!B198)</f>
        <v/>
      </c>
      <c r="B193" s="147" t="s">
        <v>122</v>
      </c>
      <c r="C193" s="133" t="str">
        <f>'exp marks'!T194</f>
        <v>0</v>
      </c>
      <c r="D193" s="133" t="str">
        <f>'exp marks'!U194</f>
        <v>0</v>
      </c>
      <c r="E193" s="133" t="str">
        <f>'exp marks'!V194</f>
        <v>0</v>
      </c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</row>
    <row r="194" ht="21.75" customHeight="1">
      <c r="A194" s="146" t="str">
        <f>IF(BASE!B199="","",BASE!B199)</f>
        <v/>
      </c>
      <c r="B194" s="147" t="s">
        <v>122</v>
      </c>
      <c r="C194" s="133" t="str">
        <f>'exp marks'!T195</f>
        <v>0</v>
      </c>
      <c r="D194" s="133" t="str">
        <f>'exp marks'!U195</f>
        <v>0</v>
      </c>
      <c r="E194" s="133" t="str">
        <f>'exp marks'!V195</f>
        <v>0</v>
      </c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</row>
    <row r="195" ht="21.75" customHeight="1">
      <c r="A195" s="146" t="str">
        <f>IF(BASE!B200="","",BASE!B200)</f>
        <v/>
      </c>
      <c r="B195" s="147" t="s">
        <v>122</v>
      </c>
      <c r="C195" s="133" t="str">
        <f>'exp marks'!T196</f>
        <v>0</v>
      </c>
      <c r="D195" s="133" t="str">
        <f>'exp marks'!U196</f>
        <v>0</v>
      </c>
      <c r="E195" s="133" t="str">
        <f>'exp marks'!V196</f>
        <v>0</v>
      </c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</row>
    <row r="196" ht="21.75" customHeight="1">
      <c r="A196" s="146" t="str">
        <f>IF(BASE!B201="","",BASE!B201)</f>
        <v/>
      </c>
      <c r="B196" s="147" t="s">
        <v>122</v>
      </c>
      <c r="C196" s="133" t="str">
        <f>'exp marks'!T197</f>
        <v>0</v>
      </c>
      <c r="D196" s="133" t="str">
        <f>'exp marks'!U197</f>
        <v>0</v>
      </c>
      <c r="E196" s="133" t="str">
        <f>'exp marks'!V197</f>
        <v>0</v>
      </c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</row>
    <row r="197" ht="21.75" customHeight="1">
      <c r="A197" s="146" t="str">
        <f>IF(BASE!B202="","",BASE!B202)</f>
        <v/>
      </c>
      <c r="B197" s="147" t="s">
        <v>122</v>
      </c>
      <c r="C197" s="133" t="str">
        <f>'exp marks'!T198</f>
        <v>0</v>
      </c>
      <c r="D197" s="133" t="str">
        <f>'exp marks'!U198</f>
        <v>0</v>
      </c>
      <c r="E197" s="133" t="str">
        <f>'exp marks'!V198</f>
        <v>0</v>
      </c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</row>
    <row r="198" ht="21.75" customHeight="1">
      <c r="A198" s="146" t="str">
        <f>IF(BASE!B203="","",BASE!B203)</f>
        <v/>
      </c>
      <c r="B198" s="147" t="s">
        <v>122</v>
      </c>
      <c r="C198" s="133" t="str">
        <f>'exp marks'!T199</f>
        <v>0</v>
      </c>
      <c r="D198" s="133" t="str">
        <f>'exp marks'!U199</f>
        <v>0</v>
      </c>
      <c r="E198" s="133" t="str">
        <f>'exp marks'!V199</f>
        <v>0</v>
      </c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</row>
    <row r="199" ht="21.75" customHeight="1">
      <c r="A199" s="146" t="str">
        <f>IF(BASE!B204="","",BASE!B204)</f>
        <v/>
      </c>
      <c r="B199" s="147" t="s">
        <v>122</v>
      </c>
      <c r="C199" s="133" t="str">
        <f>'exp marks'!T200</f>
        <v>0</v>
      </c>
      <c r="D199" s="133" t="str">
        <f>'exp marks'!U200</f>
        <v>0</v>
      </c>
      <c r="E199" s="133" t="str">
        <f>'exp marks'!V200</f>
        <v>0</v>
      </c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</row>
    <row r="200" ht="21.75" customHeight="1">
      <c r="A200" s="146" t="str">
        <f>IF(BASE!B205="","",BASE!B205)</f>
        <v/>
      </c>
      <c r="B200" s="147" t="s">
        <v>122</v>
      </c>
      <c r="C200" s="133" t="str">
        <f>'exp marks'!T201</f>
        <v>0</v>
      </c>
      <c r="D200" s="133" t="str">
        <f>'exp marks'!U201</f>
        <v>0</v>
      </c>
      <c r="E200" s="133" t="str">
        <f>'exp marks'!V201</f>
        <v>0</v>
      </c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</row>
    <row r="201" ht="21.75" customHeight="1">
      <c r="A201" s="146" t="str">
        <f>IF(BASE!B206="","",BASE!B206)</f>
        <v/>
      </c>
      <c r="B201" s="147" t="s">
        <v>122</v>
      </c>
      <c r="C201" s="133" t="str">
        <f>'exp marks'!T202</f>
        <v>0</v>
      </c>
      <c r="D201" s="133" t="str">
        <f>'exp marks'!U202</f>
        <v>0</v>
      </c>
      <c r="E201" s="133" t="str">
        <f>'exp marks'!V202</f>
        <v>0</v>
      </c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</row>
    <row r="202" ht="21.75" customHeight="1">
      <c r="A202" s="146" t="str">
        <f>IF(BASE!B207="","",BASE!B207)</f>
        <v/>
      </c>
      <c r="B202" s="147" t="s">
        <v>122</v>
      </c>
      <c r="C202" s="133" t="str">
        <f>'exp marks'!T203</f>
        <v>0</v>
      </c>
      <c r="D202" s="133" t="str">
        <f>'exp marks'!U203</f>
        <v>0</v>
      </c>
      <c r="E202" s="133" t="str">
        <f>'exp marks'!V203</f>
        <v>0</v>
      </c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</row>
    <row r="203" ht="21.75" customHeight="1">
      <c r="A203" s="146" t="str">
        <f>IF(BASE!B208="","",BASE!B208)</f>
        <v/>
      </c>
      <c r="B203" s="147" t="s">
        <v>122</v>
      </c>
      <c r="C203" s="133" t="str">
        <f>'exp marks'!T204</f>
        <v>0</v>
      </c>
      <c r="D203" s="133" t="str">
        <f>'exp marks'!U204</f>
        <v>0</v>
      </c>
      <c r="E203" s="133" t="str">
        <f>'exp marks'!V204</f>
        <v>0</v>
      </c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</row>
    <row r="204" ht="21.75" customHeight="1">
      <c r="A204" s="146" t="str">
        <f>IF(BASE!B209="","",BASE!B209)</f>
        <v/>
      </c>
      <c r="B204" s="147" t="s">
        <v>122</v>
      </c>
      <c r="C204" s="133" t="str">
        <f>'exp marks'!T205</f>
        <v>0</v>
      </c>
      <c r="D204" s="133" t="str">
        <f>'exp marks'!U205</f>
        <v>0</v>
      </c>
      <c r="E204" s="133" t="str">
        <f>'exp marks'!V205</f>
        <v>0</v>
      </c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</row>
    <row r="205" ht="21.75" customHeight="1">
      <c r="A205" s="146" t="str">
        <f>IF(BASE!B210="","",BASE!B210)</f>
        <v/>
      </c>
      <c r="B205" s="147" t="s">
        <v>122</v>
      </c>
      <c r="C205" s="133" t="str">
        <f>'exp marks'!T206</f>
        <v>0</v>
      </c>
      <c r="D205" s="133" t="str">
        <f>'exp marks'!U206</f>
        <v>0</v>
      </c>
      <c r="E205" s="133" t="str">
        <f>'exp marks'!V206</f>
        <v>0</v>
      </c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</row>
    <row r="206" ht="21.75" customHeight="1">
      <c r="A206" s="146" t="str">
        <f>IF(BASE!B211="","",BASE!B211)</f>
        <v/>
      </c>
      <c r="B206" s="147" t="s">
        <v>122</v>
      </c>
      <c r="C206" s="133" t="str">
        <f>'exp marks'!T207</f>
        <v>0</v>
      </c>
      <c r="D206" s="133" t="str">
        <f>'exp marks'!U207</f>
        <v>0</v>
      </c>
      <c r="E206" s="133" t="str">
        <f>'exp marks'!V207</f>
        <v>0</v>
      </c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</row>
    <row r="207" ht="21.75" customHeight="1">
      <c r="A207" s="146" t="str">
        <f>IF(BASE!B212="","",BASE!B212)</f>
        <v/>
      </c>
      <c r="B207" s="147" t="s">
        <v>122</v>
      </c>
      <c r="C207" s="133" t="str">
        <f>'exp marks'!T208</f>
        <v>0</v>
      </c>
      <c r="D207" s="133" t="str">
        <f>'exp marks'!U208</f>
        <v>0</v>
      </c>
      <c r="E207" s="133" t="str">
        <f>'exp marks'!V208</f>
        <v>0</v>
      </c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</row>
    <row r="208" ht="21.75" customHeight="1">
      <c r="A208" s="146" t="str">
        <f>IF(BASE!B213="","",BASE!B213)</f>
        <v/>
      </c>
      <c r="B208" s="147" t="s">
        <v>122</v>
      </c>
      <c r="C208" s="133" t="str">
        <f>'exp marks'!T209</f>
        <v>0</v>
      </c>
      <c r="D208" s="133" t="str">
        <f>'exp marks'!U209</f>
        <v>0</v>
      </c>
      <c r="E208" s="133" t="str">
        <f>'exp marks'!V209</f>
        <v>0</v>
      </c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</row>
    <row r="209" ht="21.75" customHeight="1">
      <c r="A209" s="146" t="str">
        <f>IF(BASE!B214="","",BASE!B214)</f>
        <v/>
      </c>
      <c r="B209" s="147" t="s">
        <v>122</v>
      </c>
      <c r="C209" s="133" t="str">
        <f>'exp marks'!T210</f>
        <v>0</v>
      </c>
      <c r="D209" s="133" t="str">
        <f>'exp marks'!U210</f>
        <v>0</v>
      </c>
      <c r="E209" s="133" t="str">
        <f>'exp marks'!V210</f>
        <v>0</v>
      </c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</row>
    <row r="210" ht="21.75" customHeight="1">
      <c r="A210" s="146" t="str">
        <f>IF(BASE!B215="","",BASE!B215)</f>
        <v/>
      </c>
      <c r="B210" s="147" t="s">
        <v>122</v>
      </c>
      <c r="C210" s="133" t="str">
        <f>'exp marks'!T211</f>
        <v>0</v>
      </c>
      <c r="D210" s="133" t="str">
        <f>'exp marks'!U211</f>
        <v>0</v>
      </c>
      <c r="E210" s="133" t="str">
        <f>'exp marks'!V211</f>
        <v>0</v>
      </c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</row>
    <row r="211" ht="21.75" customHeight="1">
      <c r="A211" s="146" t="str">
        <f>IF(BASE!B216="","",BASE!B216)</f>
        <v/>
      </c>
      <c r="B211" s="147" t="s">
        <v>122</v>
      </c>
      <c r="C211" s="133" t="str">
        <f>'exp marks'!T212</f>
        <v>0</v>
      </c>
      <c r="D211" s="133" t="str">
        <f>'exp marks'!U212</f>
        <v>0</v>
      </c>
      <c r="E211" s="133" t="str">
        <f>'exp marks'!V212</f>
        <v>0</v>
      </c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</row>
    <row r="212" ht="21.75" customHeight="1">
      <c r="A212" s="146" t="str">
        <f>IF(BASE!B217="","",BASE!B217)</f>
        <v/>
      </c>
      <c r="B212" s="147" t="s">
        <v>122</v>
      </c>
      <c r="C212" s="133" t="str">
        <f>'exp marks'!T213</f>
        <v>0</v>
      </c>
      <c r="D212" s="133" t="str">
        <f>'exp marks'!U213</f>
        <v>0</v>
      </c>
      <c r="E212" s="133" t="str">
        <f>'exp marks'!V213</f>
        <v>0</v>
      </c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</row>
    <row r="213" ht="21.75" customHeight="1">
      <c r="A213" s="146" t="str">
        <f>IF(BASE!B218="","",BASE!B218)</f>
        <v/>
      </c>
      <c r="B213" s="147" t="s">
        <v>122</v>
      </c>
      <c r="C213" s="133" t="str">
        <f>'exp marks'!T214</f>
        <v>0</v>
      </c>
      <c r="D213" s="133" t="str">
        <f>'exp marks'!U214</f>
        <v>0</v>
      </c>
      <c r="E213" s="133" t="str">
        <f>'exp marks'!V214</f>
        <v>0</v>
      </c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</row>
    <row r="214" ht="21.75" customHeight="1">
      <c r="A214" s="146" t="str">
        <f>IF(BASE!B219="","",BASE!B219)</f>
        <v/>
      </c>
      <c r="B214" s="147" t="s">
        <v>122</v>
      </c>
      <c r="C214" s="133" t="str">
        <f>'exp marks'!T215</f>
        <v>0</v>
      </c>
      <c r="D214" s="133" t="str">
        <f>'exp marks'!U215</f>
        <v>0</v>
      </c>
      <c r="E214" s="133" t="str">
        <f>'exp marks'!V215</f>
        <v>0</v>
      </c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</row>
    <row r="215" ht="21.75" customHeight="1">
      <c r="A215" s="146" t="str">
        <f>IF(BASE!B220="","",BASE!B220)</f>
        <v/>
      </c>
      <c r="B215" s="147" t="s">
        <v>122</v>
      </c>
      <c r="C215" s="133" t="str">
        <f>'exp marks'!T216</f>
        <v>0</v>
      </c>
      <c r="D215" s="133" t="str">
        <f>'exp marks'!U216</f>
        <v>0</v>
      </c>
      <c r="E215" s="133" t="str">
        <f>'exp marks'!V216</f>
        <v>0</v>
      </c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</row>
    <row r="216" ht="21.75" customHeight="1">
      <c r="A216" s="146" t="str">
        <f>IF(BASE!B221="","",BASE!B221)</f>
        <v/>
      </c>
      <c r="B216" s="147" t="s">
        <v>122</v>
      </c>
      <c r="C216" s="133" t="str">
        <f>'exp marks'!T217</f>
        <v>0</v>
      </c>
      <c r="D216" s="133" t="str">
        <f>'exp marks'!U217</f>
        <v>0</v>
      </c>
      <c r="E216" s="133" t="str">
        <f>'exp marks'!V217</f>
        <v>0</v>
      </c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</row>
    <row r="217" ht="21.75" customHeight="1">
      <c r="A217" s="146" t="str">
        <f>IF(BASE!B222="","",BASE!B222)</f>
        <v/>
      </c>
      <c r="B217" s="147" t="s">
        <v>122</v>
      </c>
      <c r="C217" s="133" t="str">
        <f>'exp marks'!T218</f>
        <v>0</v>
      </c>
      <c r="D217" s="133" t="str">
        <f>'exp marks'!U218</f>
        <v>0</v>
      </c>
      <c r="E217" s="133" t="str">
        <f>'exp marks'!V218</f>
        <v>0</v>
      </c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</row>
    <row r="218" ht="21.75" customHeight="1">
      <c r="A218" s="146" t="str">
        <f>IF(BASE!B223="","",BASE!B223)</f>
        <v/>
      </c>
      <c r="B218" s="147" t="s">
        <v>122</v>
      </c>
      <c r="C218" s="133" t="str">
        <f>'exp marks'!T219</f>
        <v>0</v>
      </c>
      <c r="D218" s="133" t="str">
        <f>'exp marks'!U219</f>
        <v>0</v>
      </c>
      <c r="E218" s="133" t="str">
        <f>'exp marks'!V219</f>
        <v>0</v>
      </c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</row>
    <row r="219" ht="21.75" customHeight="1">
      <c r="A219" s="146" t="str">
        <f>IF(BASE!B224="","",BASE!B224)</f>
        <v/>
      </c>
      <c r="B219" s="147" t="s">
        <v>122</v>
      </c>
      <c r="C219" s="133" t="str">
        <f>'exp marks'!T220</f>
        <v>0</v>
      </c>
      <c r="D219" s="133" t="str">
        <f>'exp marks'!U220</f>
        <v>0</v>
      </c>
      <c r="E219" s="133" t="str">
        <f>'exp marks'!V220</f>
        <v>0</v>
      </c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</row>
    <row r="220" ht="21.75" customHeight="1">
      <c r="A220" s="146" t="str">
        <f>IF(BASE!B225="","",BASE!B225)</f>
        <v/>
      </c>
      <c r="B220" s="147" t="s">
        <v>122</v>
      </c>
      <c r="C220" s="133" t="str">
        <f>'exp marks'!T221</f>
        <v>0</v>
      </c>
      <c r="D220" s="133" t="str">
        <f>'exp marks'!U221</f>
        <v>0</v>
      </c>
      <c r="E220" s="133" t="str">
        <f>'exp marks'!V221</f>
        <v>0</v>
      </c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</row>
    <row r="221" ht="21.75" customHeight="1">
      <c r="A221" s="146" t="str">
        <f>IF(BASE!B226="","",BASE!B226)</f>
        <v/>
      </c>
      <c r="B221" s="147" t="s">
        <v>122</v>
      </c>
      <c r="C221" s="133" t="str">
        <f>'exp marks'!T222</f>
        <v>0</v>
      </c>
      <c r="D221" s="133" t="str">
        <f>'exp marks'!U222</f>
        <v>0</v>
      </c>
      <c r="E221" s="133" t="str">
        <f>'exp marks'!V222</f>
        <v>0</v>
      </c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</row>
    <row r="222" ht="21.75" customHeight="1">
      <c r="A222" s="146" t="str">
        <f>IF(BASE!B227="","",BASE!B227)</f>
        <v/>
      </c>
      <c r="B222" s="147" t="s">
        <v>122</v>
      </c>
      <c r="C222" s="133" t="str">
        <f>'exp marks'!T223</f>
        <v>0</v>
      </c>
      <c r="D222" s="133" t="str">
        <f>'exp marks'!U223</f>
        <v>0</v>
      </c>
      <c r="E222" s="133" t="str">
        <f>'exp marks'!V223</f>
        <v>0</v>
      </c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</row>
    <row r="223" ht="21.75" customHeight="1">
      <c r="A223" s="146" t="str">
        <f>IF(BASE!B228="","",BASE!B228)</f>
        <v/>
      </c>
      <c r="B223" s="147" t="s">
        <v>122</v>
      </c>
      <c r="C223" s="133" t="str">
        <f>'exp marks'!T224</f>
        <v>0</v>
      </c>
      <c r="D223" s="133" t="str">
        <f>'exp marks'!U224</f>
        <v>0</v>
      </c>
      <c r="E223" s="133" t="str">
        <f>'exp marks'!V224</f>
        <v>0</v>
      </c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</row>
    <row r="224" ht="21.75" customHeight="1">
      <c r="A224" s="146" t="str">
        <f>IF(BASE!B229="","",BASE!B229)</f>
        <v/>
      </c>
      <c r="B224" s="147" t="s">
        <v>122</v>
      </c>
      <c r="C224" s="133" t="str">
        <f>'exp marks'!T225</f>
        <v>0</v>
      </c>
      <c r="D224" s="133" t="str">
        <f>'exp marks'!U225</f>
        <v>0</v>
      </c>
      <c r="E224" s="133" t="str">
        <f>'exp marks'!V225</f>
        <v>0</v>
      </c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</row>
    <row r="225" ht="21.75" customHeight="1">
      <c r="A225" s="146" t="str">
        <f>IF(BASE!B230="","",BASE!B230)</f>
        <v/>
      </c>
      <c r="B225" s="147" t="s">
        <v>122</v>
      </c>
      <c r="C225" s="133" t="str">
        <f>'exp marks'!T226</f>
        <v>0</v>
      </c>
      <c r="D225" s="133" t="str">
        <f>'exp marks'!U226</f>
        <v>0</v>
      </c>
      <c r="E225" s="133" t="str">
        <f>'exp marks'!V226</f>
        <v>0</v>
      </c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</row>
    <row r="226" ht="21.75" customHeight="1">
      <c r="A226" s="146" t="str">
        <f>IF(BASE!B231="","",BASE!B231)</f>
        <v/>
      </c>
      <c r="B226" s="147" t="s">
        <v>122</v>
      </c>
      <c r="C226" s="133" t="str">
        <f>'exp marks'!T227</f>
        <v>0</v>
      </c>
      <c r="D226" s="133" t="str">
        <f>'exp marks'!U227</f>
        <v>0</v>
      </c>
      <c r="E226" s="133" t="str">
        <f>'exp marks'!V227</f>
        <v>0</v>
      </c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</row>
    <row r="227" ht="21.75" customHeight="1">
      <c r="A227" s="146" t="str">
        <f>IF(BASE!B232="","",BASE!B232)</f>
        <v/>
      </c>
      <c r="B227" s="147" t="s">
        <v>122</v>
      </c>
      <c r="C227" s="133" t="str">
        <f>'exp marks'!T228</f>
        <v>0</v>
      </c>
      <c r="D227" s="133" t="str">
        <f>'exp marks'!U228</f>
        <v>0</v>
      </c>
      <c r="E227" s="133" t="str">
        <f>'exp marks'!V228</f>
        <v>0</v>
      </c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</row>
    <row r="228" ht="21.75" customHeight="1">
      <c r="A228" s="146" t="str">
        <f>IF(BASE!B233="","",BASE!B233)</f>
        <v/>
      </c>
      <c r="B228" s="147" t="s">
        <v>122</v>
      </c>
      <c r="C228" s="133" t="str">
        <f>'exp marks'!T229</f>
        <v>0</v>
      </c>
      <c r="D228" s="133" t="str">
        <f>'exp marks'!U229</f>
        <v>0</v>
      </c>
      <c r="E228" s="133" t="str">
        <f>'exp marks'!V229</f>
        <v>0</v>
      </c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</row>
    <row r="229" ht="21.75" customHeight="1">
      <c r="A229" s="146" t="str">
        <f>IF(BASE!B234="","",BASE!B234)</f>
        <v/>
      </c>
      <c r="B229" s="147" t="s">
        <v>122</v>
      </c>
      <c r="C229" s="133" t="str">
        <f>'exp marks'!T230</f>
        <v>0</v>
      </c>
      <c r="D229" s="133" t="str">
        <f>'exp marks'!U230</f>
        <v>0</v>
      </c>
      <c r="E229" s="133" t="str">
        <f>'exp marks'!V230</f>
        <v>0</v>
      </c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</row>
    <row r="230" ht="21.75" customHeight="1">
      <c r="A230" s="146" t="str">
        <f>IF(BASE!B235="","",BASE!B235)</f>
        <v/>
      </c>
      <c r="B230" s="147" t="s">
        <v>122</v>
      </c>
      <c r="C230" s="133" t="str">
        <f>'exp marks'!T231</f>
        <v>0</v>
      </c>
      <c r="D230" s="133" t="str">
        <f>'exp marks'!U231</f>
        <v>0</v>
      </c>
      <c r="E230" s="133" t="str">
        <f>'exp marks'!V231</f>
        <v>0</v>
      </c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</row>
    <row r="231" ht="21.75" customHeight="1">
      <c r="A231" s="146" t="str">
        <f>IF(BASE!B236="","",BASE!B236)</f>
        <v/>
      </c>
      <c r="B231" s="147" t="s">
        <v>122</v>
      </c>
      <c r="C231" s="133" t="str">
        <f>'exp marks'!T232</f>
        <v>0</v>
      </c>
      <c r="D231" s="133" t="str">
        <f>'exp marks'!U232</f>
        <v>0</v>
      </c>
      <c r="E231" s="133" t="str">
        <f>'exp marks'!V232</f>
        <v>0</v>
      </c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</row>
    <row r="232" ht="21.75" customHeight="1">
      <c r="A232" s="146" t="str">
        <f>IF(BASE!B237="","",BASE!B237)</f>
        <v/>
      </c>
      <c r="B232" s="147" t="s">
        <v>122</v>
      </c>
      <c r="C232" s="133" t="str">
        <f>'exp marks'!T233</f>
        <v>0</v>
      </c>
      <c r="D232" s="133" t="str">
        <f>'exp marks'!U233</f>
        <v>0</v>
      </c>
      <c r="E232" s="133" t="str">
        <f>'exp marks'!V233</f>
        <v>0</v>
      </c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</row>
    <row r="233" ht="21.75" customHeight="1">
      <c r="A233" s="146" t="str">
        <f>IF(BASE!B238="","",BASE!B238)</f>
        <v/>
      </c>
      <c r="B233" s="147" t="s">
        <v>122</v>
      </c>
      <c r="C233" s="133" t="str">
        <f>'exp marks'!T234</f>
        <v>0</v>
      </c>
      <c r="D233" s="133" t="str">
        <f>'exp marks'!U234</f>
        <v>0</v>
      </c>
      <c r="E233" s="133" t="str">
        <f>'exp marks'!V234</f>
        <v>0</v>
      </c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</row>
    <row r="234" ht="21.75" customHeight="1">
      <c r="A234" s="146" t="str">
        <f>IF(BASE!B239="","",BASE!B239)</f>
        <v/>
      </c>
      <c r="B234" s="147" t="s">
        <v>122</v>
      </c>
      <c r="C234" s="133" t="str">
        <f>'exp marks'!T235</f>
        <v>0</v>
      </c>
      <c r="D234" s="133" t="str">
        <f>'exp marks'!U235</f>
        <v>0</v>
      </c>
      <c r="E234" s="133" t="str">
        <f>'exp marks'!V235</f>
        <v>0</v>
      </c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</row>
    <row r="235" ht="21.75" customHeight="1">
      <c r="A235" s="146" t="str">
        <f>IF(BASE!B240="","",BASE!B240)</f>
        <v/>
      </c>
      <c r="B235" s="147" t="s">
        <v>122</v>
      </c>
      <c r="C235" s="133" t="str">
        <f>'exp marks'!T236</f>
        <v>0</v>
      </c>
      <c r="D235" s="133" t="str">
        <f>'exp marks'!U236</f>
        <v>0</v>
      </c>
      <c r="E235" s="133" t="str">
        <f>'exp marks'!V236</f>
        <v>0</v>
      </c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</row>
    <row r="236" ht="21.75" customHeight="1">
      <c r="A236" s="146" t="str">
        <f>IF(BASE!B241="","",BASE!B241)</f>
        <v/>
      </c>
      <c r="B236" s="147" t="s">
        <v>122</v>
      </c>
      <c r="C236" s="133" t="str">
        <f>'exp marks'!T237</f>
        <v>0</v>
      </c>
      <c r="D236" s="133" t="str">
        <f>'exp marks'!U237</f>
        <v>0</v>
      </c>
      <c r="E236" s="133" t="str">
        <f>'exp marks'!V237</f>
        <v>0</v>
      </c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</row>
    <row r="237" ht="21.75" customHeight="1">
      <c r="A237" s="146" t="str">
        <f>IF(BASE!B242="","",BASE!B242)</f>
        <v/>
      </c>
      <c r="B237" s="147" t="s">
        <v>122</v>
      </c>
      <c r="C237" s="133" t="str">
        <f>'exp marks'!T238</f>
        <v>0</v>
      </c>
      <c r="D237" s="133" t="str">
        <f>'exp marks'!U238</f>
        <v>0</v>
      </c>
      <c r="E237" s="133" t="str">
        <f>'exp marks'!V238</f>
        <v>0</v>
      </c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</row>
    <row r="238" ht="21.75" customHeight="1">
      <c r="A238" s="146" t="str">
        <f>IF(BASE!B243="","",BASE!B243)</f>
        <v/>
      </c>
      <c r="B238" s="147" t="s">
        <v>122</v>
      </c>
      <c r="C238" s="133" t="str">
        <f>'exp marks'!T239</f>
        <v>0</v>
      </c>
      <c r="D238" s="133" t="str">
        <f>'exp marks'!U239</f>
        <v>0</v>
      </c>
      <c r="E238" s="133" t="str">
        <f>'exp marks'!V239</f>
        <v>0</v>
      </c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</row>
    <row r="239" ht="21.75" customHeight="1">
      <c r="A239" s="146" t="str">
        <f>IF(BASE!B244="","",BASE!B244)</f>
        <v/>
      </c>
      <c r="B239" s="147" t="s">
        <v>122</v>
      </c>
      <c r="C239" s="133" t="str">
        <f>'exp marks'!T240</f>
        <v>0</v>
      </c>
      <c r="D239" s="133" t="str">
        <f>'exp marks'!U240</f>
        <v>0</v>
      </c>
      <c r="E239" s="133" t="str">
        <f>'exp marks'!V240</f>
        <v>0</v>
      </c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</row>
    <row r="240" ht="21.75" customHeight="1">
      <c r="A240" s="146" t="str">
        <f>IF(BASE!B245="","",BASE!B245)</f>
        <v/>
      </c>
      <c r="B240" s="147" t="s">
        <v>122</v>
      </c>
      <c r="C240" s="133" t="str">
        <f>'exp marks'!T241</f>
        <v>0</v>
      </c>
      <c r="D240" s="133" t="str">
        <f>'exp marks'!U241</f>
        <v>0</v>
      </c>
      <c r="E240" s="133" t="str">
        <f>'exp marks'!V241</f>
        <v>0</v>
      </c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</row>
    <row r="241" ht="21.75" customHeight="1">
      <c r="A241" s="146" t="str">
        <f>IF(BASE!B246="","",BASE!B246)</f>
        <v/>
      </c>
      <c r="B241" s="147" t="s">
        <v>122</v>
      </c>
      <c r="C241" s="133" t="str">
        <f>'exp marks'!T242</f>
        <v>0</v>
      </c>
      <c r="D241" s="133" t="str">
        <f>'exp marks'!U242</f>
        <v>0</v>
      </c>
      <c r="E241" s="133" t="str">
        <f>'exp marks'!V242</f>
        <v>0</v>
      </c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</row>
    <row r="242" ht="21.75" customHeight="1">
      <c r="A242" s="146" t="str">
        <f>IF(BASE!B247="","",BASE!B247)</f>
        <v/>
      </c>
      <c r="B242" s="147" t="s">
        <v>122</v>
      </c>
      <c r="C242" s="133" t="str">
        <f>'exp marks'!T243</f>
        <v>0</v>
      </c>
      <c r="D242" s="133" t="str">
        <f>'exp marks'!U243</f>
        <v>0</v>
      </c>
      <c r="E242" s="133" t="str">
        <f>'exp marks'!V243</f>
        <v>0</v>
      </c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</row>
    <row r="243" ht="21.75" customHeight="1">
      <c r="A243" s="146" t="str">
        <f>IF(BASE!B248="","",BASE!B248)</f>
        <v/>
      </c>
      <c r="B243" s="147" t="s">
        <v>122</v>
      </c>
      <c r="C243" s="133" t="str">
        <f>'exp marks'!T244</f>
        <v>0</v>
      </c>
      <c r="D243" s="133" t="str">
        <f>'exp marks'!U244</f>
        <v>0</v>
      </c>
      <c r="E243" s="133" t="str">
        <f>'exp marks'!V244</f>
        <v>0</v>
      </c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</row>
    <row r="244" ht="21.75" customHeight="1">
      <c r="A244" s="146" t="str">
        <f>IF(BASE!B249="","",BASE!B249)</f>
        <v/>
      </c>
      <c r="B244" s="147" t="s">
        <v>122</v>
      </c>
      <c r="C244" s="133" t="str">
        <f>'exp marks'!T245</f>
        <v>0</v>
      </c>
      <c r="D244" s="133" t="str">
        <f>'exp marks'!U245</f>
        <v>0</v>
      </c>
      <c r="E244" s="133" t="str">
        <f>'exp marks'!V245</f>
        <v>0</v>
      </c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</row>
    <row r="245" ht="21.75" customHeight="1">
      <c r="A245" s="146" t="str">
        <f>IF(BASE!B250="","",BASE!B250)</f>
        <v/>
      </c>
      <c r="B245" s="147" t="s">
        <v>122</v>
      </c>
      <c r="C245" s="133" t="str">
        <f>'exp marks'!T246</f>
        <v>0</v>
      </c>
      <c r="D245" s="133" t="str">
        <f>'exp marks'!U246</f>
        <v>0</v>
      </c>
      <c r="E245" s="133" t="str">
        <f>'exp marks'!V246</f>
        <v>0</v>
      </c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</row>
    <row r="246" ht="21.75" customHeight="1">
      <c r="A246" s="146" t="str">
        <f>IF(BASE!B251="","",BASE!B251)</f>
        <v/>
      </c>
      <c r="B246" s="147" t="s">
        <v>122</v>
      </c>
      <c r="C246" s="133" t="str">
        <f>'exp marks'!T247</f>
        <v>0</v>
      </c>
      <c r="D246" s="133" t="str">
        <f>'exp marks'!U247</f>
        <v>0</v>
      </c>
      <c r="E246" s="133" t="str">
        <f>'exp marks'!V247</f>
        <v>0</v>
      </c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</row>
    <row r="247" ht="21.75" customHeight="1">
      <c r="A247" s="146" t="str">
        <f>IF(BASE!B252="","",BASE!B252)</f>
        <v/>
      </c>
      <c r="B247" s="147" t="s">
        <v>122</v>
      </c>
      <c r="C247" s="133" t="str">
        <f>'exp marks'!T248</f>
        <v>0</v>
      </c>
      <c r="D247" s="133" t="str">
        <f>'exp marks'!U248</f>
        <v>0</v>
      </c>
      <c r="E247" s="133" t="str">
        <f>'exp marks'!V248</f>
        <v>0</v>
      </c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</row>
    <row r="248" ht="21.75" customHeight="1">
      <c r="A248" s="146" t="str">
        <f>IF(BASE!B253="","",BASE!B253)</f>
        <v/>
      </c>
      <c r="B248" s="147" t="s">
        <v>122</v>
      </c>
      <c r="C248" s="133" t="str">
        <f>'exp marks'!T249</f>
        <v>0</v>
      </c>
      <c r="D248" s="133" t="str">
        <f>'exp marks'!U249</f>
        <v>0</v>
      </c>
      <c r="E248" s="133" t="str">
        <f>'exp marks'!V249</f>
        <v>0</v>
      </c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</row>
    <row r="249" ht="21.75" customHeight="1">
      <c r="A249" s="146" t="str">
        <f>IF(BASE!B254="","",BASE!B254)</f>
        <v/>
      </c>
      <c r="B249" s="147" t="s">
        <v>122</v>
      </c>
      <c r="C249" s="133" t="str">
        <f>'exp marks'!T250</f>
        <v>0</v>
      </c>
      <c r="D249" s="133" t="str">
        <f>'exp marks'!U250</f>
        <v>0</v>
      </c>
      <c r="E249" s="133" t="str">
        <f>'exp marks'!V250</f>
        <v>0</v>
      </c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</row>
    <row r="250" ht="21.75" customHeight="1">
      <c r="A250" s="146" t="str">
        <f>IF(BASE!B255="","",BASE!B255)</f>
        <v/>
      </c>
      <c r="B250" s="147" t="s">
        <v>122</v>
      </c>
      <c r="C250" s="133" t="str">
        <f>'exp marks'!T251</f>
        <v>0</v>
      </c>
      <c r="D250" s="133" t="str">
        <f>'exp marks'!U251</f>
        <v>0</v>
      </c>
      <c r="E250" s="133" t="str">
        <f>'exp marks'!V251</f>
        <v>0</v>
      </c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</row>
    <row r="251" ht="21.75" customHeight="1">
      <c r="A251" s="146" t="str">
        <f>IF(BASE!B256="","",BASE!B256)</f>
        <v/>
      </c>
      <c r="B251" s="147" t="s">
        <v>122</v>
      </c>
      <c r="C251" s="133" t="str">
        <f>'exp marks'!T252</f>
        <v>0</v>
      </c>
      <c r="D251" s="133" t="str">
        <f>'exp marks'!U252</f>
        <v>0</v>
      </c>
      <c r="E251" s="133" t="str">
        <f>'exp marks'!V252</f>
        <v>0</v>
      </c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</row>
    <row r="252" ht="21.75" customHeight="1">
      <c r="A252" s="146" t="str">
        <f>IF(BASE!B257="","",BASE!B257)</f>
        <v/>
      </c>
      <c r="B252" s="147" t="s">
        <v>122</v>
      </c>
      <c r="C252" s="133" t="str">
        <f>'exp marks'!T253</f>
        <v>0</v>
      </c>
      <c r="D252" s="133" t="str">
        <f>'exp marks'!U253</f>
        <v>0</v>
      </c>
      <c r="E252" s="133" t="str">
        <f>'exp marks'!V253</f>
        <v>0</v>
      </c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</row>
    <row r="253" ht="21.75" customHeight="1">
      <c r="A253" s="146" t="str">
        <f>IF(BASE!B258="","",BASE!B258)</f>
        <v/>
      </c>
      <c r="B253" s="147" t="s">
        <v>122</v>
      </c>
      <c r="C253" s="133" t="str">
        <f>'exp marks'!T254</f>
        <v>0</v>
      </c>
      <c r="D253" s="133" t="str">
        <f>'exp marks'!U254</f>
        <v>0</v>
      </c>
      <c r="E253" s="133" t="str">
        <f>'exp marks'!V254</f>
        <v>0</v>
      </c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</row>
    <row r="254" ht="21.75" customHeight="1">
      <c r="A254" s="146" t="str">
        <f>IF(BASE!B259="","",BASE!B259)</f>
        <v/>
      </c>
      <c r="B254" s="147" t="s">
        <v>122</v>
      </c>
      <c r="C254" s="133" t="str">
        <f>'exp marks'!T255</f>
        <v>0</v>
      </c>
      <c r="D254" s="133" t="str">
        <f>'exp marks'!U255</f>
        <v>0</v>
      </c>
      <c r="E254" s="133" t="str">
        <f>'exp marks'!V255</f>
        <v>0</v>
      </c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</row>
    <row r="255" ht="21.75" customHeight="1">
      <c r="A255" s="146" t="str">
        <f>IF(BASE!B260="","",BASE!B260)</f>
        <v/>
      </c>
      <c r="B255" s="147" t="s">
        <v>122</v>
      </c>
      <c r="C255" s="133" t="str">
        <f>'exp marks'!T256</f>
        <v>0</v>
      </c>
      <c r="D255" s="133" t="str">
        <f>'exp marks'!U256</f>
        <v>0</v>
      </c>
      <c r="E255" s="133" t="str">
        <f>'exp marks'!V256</f>
        <v>0</v>
      </c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</row>
    <row r="256" ht="21.75" customHeight="1">
      <c r="A256" s="146" t="str">
        <f>IF(BASE!B261="","",BASE!B261)</f>
        <v/>
      </c>
      <c r="B256" s="147" t="s">
        <v>122</v>
      </c>
      <c r="C256" s="133" t="str">
        <f>'exp marks'!T257</f>
        <v>0</v>
      </c>
      <c r="D256" s="133" t="str">
        <f>'exp marks'!U257</f>
        <v>0</v>
      </c>
      <c r="E256" s="133" t="str">
        <f>'exp marks'!V257</f>
        <v>0</v>
      </c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</row>
    <row r="257" ht="21.75" customHeight="1">
      <c r="A257" s="146" t="str">
        <f>IF(BASE!B262="","",BASE!B262)</f>
        <v/>
      </c>
      <c r="B257" s="147" t="s">
        <v>122</v>
      </c>
      <c r="C257" s="133" t="str">
        <f>'exp marks'!T258</f>
        <v>0</v>
      </c>
      <c r="D257" s="133" t="str">
        <f>'exp marks'!U258</f>
        <v>0</v>
      </c>
      <c r="E257" s="133" t="str">
        <f>'exp marks'!V258</f>
        <v>0</v>
      </c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</row>
    <row r="258" ht="21.75" customHeight="1">
      <c r="A258" s="146" t="str">
        <f>IF(BASE!B263="","",BASE!B263)</f>
        <v/>
      </c>
      <c r="B258" s="147" t="s">
        <v>122</v>
      </c>
      <c r="C258" s="133" t="str">
        <f>'exp marks'!T259</f>
        <v>0</v>
      </c>
      <c r="D258" s="133" t="str">
        <f>'exp marks'!U259</f>
        <v>0</v>
      </c>
      <c r="E258" s="133" t="str">
        <f>'exp marks'!V259</f>
        <v>0</v>
      </c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</row>
    <row r="259" ht="21.75" customHeight="1">
      <c r="A259" s="146" t="str">
        <f>IF(BASE!B264="","",BASE!B264)</f>
        <v/>
      </c>
      <c r="B259" s="147" t="s">
        <v>122</v>
      </c>
      <c r="C259" s="133" t="str">
        <f>'exp marks'!T260</f>
        <v>0</v>
      </c>
      <c r="D259" s="133" t="str">
        <f>'exp marks'!U260</f>
        <v>0</v>
      </c>
      <c r="E259" s="133" t="str">
        <f>'exp marks'!V260</f>
        <v>0</v>
      </c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</row>
    <row r="260" ht="21.75" customHeight="1">
      <c r="A260" s="146" t="str">
        <f>IF(BASE!B265="","",BASE!B265)</f>
        <v/>
      </c>
      <c r="B260" s="147" t="s">
        <v>122</v>
      </c>
      <c r="C260" s="133" t="str">
        <f>'exp marks'!T261</f>
        <v>0</v>
      </c>
      <c r="D260" s="133" t="str">
        <f>'exp marks'!U261</f>
        <v>0</v>
      </c>
      <c r="E260" s="133" t="str">
        <f>'exp marks'!V261</f>
        <v>0</v>
      </c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</row>
    <row r="261" ht="21.75" customHeight="1">
      <c r="A261" s="146" t="str">
        <f>IF(BASE!B266="","",BASE!B266)</f>
        <v/>
      </c>
      <c r="B261" s="147" t="s">
        <v>122</v>
      </c>
      <c r="C261" s="133" t="str">
        <f>'exp marks'!T262</f>
        <v>0</v>
      </c>
      <c r="D261" s="133" t="str">
        <f>'exp marks'!U262</f>
        <v>0</v>
      </c>
      <c r="E261" s="133" t="str">
        <f>'exp marks'!V262</f>
        <v>0</v>
      </c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</row>
    <row r="262" ht="21.75" customHeight="1">
      <c r="A262" s="146" t="str">
        <f>IF(BASE!B267="","",BASE!B267)</f>
        <v/>
      </c>
      <c r="B262" s="147" t="s">
        <v>122</v>
      </c>
      <c r="C262" s="133" t="str">
        <f>'exp marks'!T263</f>
        <v>0</v>
      </c>
      <c r="D262" s="133" t="str">
        <f>'exp marks'!U263</f>
        <v>0</v>
      </c>
      <c r="E262" s="133" t="str">
        <f>'exp marks'!V263</f>
        <v>0</v>
      </c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</row>
    <row r="263" ht="21.75" customHeight="1">
      <c r="A263" s="146" t="str">
        <f>IF(BASE!B268="","",BASE!B268)</f>
        <v/>
      </c>
      <c r="B263" s="147" t="s">
        <v>122</v>
      </c>
      <c r="C263" s="133" t="str">
        <f>'exp marks'!T264</f>
        <v>0</v>
      </c>
      <c r="D263" s="133" t="str">
        <f>'exp marks'!U264</f>
        <v>0</v>
      </c>
      <c r="E263" s="133" t="str">
        <f>'exp marks'!V264</f>
        <v>0</v>
      </c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</row>
    <row r="264" ht="21.75" customHeight="1">
      <c r="A264" s="146" t="str">
        <f>IF(BASE!B269="","",BASE!B269)</f>
        <v/>
      </c>
      <c r="B264" s="147" t="s">
        <v>122</v>
      </c>
      <c r="C264" s="133" t="str">
        <f>'exp marks'!T265</f>
        <v>0</v>
      </c>
      <c r="D264" s="133" t="str">
        <f>'exp marks'!U265</f>
        <v>0</v>
      </c>
      <c r="E264" s="133" t="str">
        <f>'exp marks'!V265</f>
        <v>0</v>
      </c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</row>
    <row r="265" ht="21.75" customHeight="1">
      <c r="A265" s="146" t="str">
        <f>IF(BASE!B270="","",BASE!B270)</f>
        <v/>
      </c>
      <c r="B265" s="147" t="s">
        <v>122</v>
      </c>
      <c r="C265" s="133" t="str">
        <f>'exp marks'!T266</f>
        <v>0</v>
      </c>
      <c r="D265" s="133" t="str">
        <f>'exp marks'!U266</f>
        <v>0</v>
      </c>
      <c r="E265" s="133" t="str">
        <f>'exp marks'!V266</f>
        <v>0</v>
      </c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</row>
    <row r="266" ht="21.75" customHeight="1">
      <c r="A266" s="146" t="str">
        <f>IF(BASE!B271="","",BASE!B271)</f>
        <v/>
      </c>
      <c r="B266" s="147" t="s">
        <v>122</v>
      </c>
      <c r="C266" s="133" t="str">
        <f>'exp marks'!T267</f>
        <v>0</v>
      </c>
      <c r="D266" s="133" t="str">
        <f>'exp marks'!U267</f>
        <v>0</v>
      </c>
      <c r="E266" s="133" t="str">
        <f>'exp marks'!V267</f>
        <v>0</v>
      </c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</row>
    <row r="267" ht="21.75" customHeight="1">
      <c r="A267" s="146" t="str">
        <f>IF(BASE!B272="","",BASE!B272)</f>
        <v/>
      </c>
      <c r="B267" s="147" t="s">
        <v>122</v>
      </c>
      <c r="C267" s="133" t="str">
        <f>'exp marks'!T268</f>
        <v>0</v>
      </c>
      <c r="D267" s="133" t="str">
        <f>'exp marks'!U268</f>
        <v>0</v>
      </c>
      <c r="E267" s="133" t="str">
        <f>'exp marks'!V268</f>
        <v>0</v>
      </c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</row>
    <row r="268" ht="21.75" customHeight="1">
      <c r="A268" s="146" t="str">
        <f>IF(BASE!B273="","",BASE!B273)</f>
        <v/>
      </c>
      <c r="B268" s="147" t="s">
        <v>122</v>
      </c>
      <c r="C268" s="133" t="str">
        <f>'exp marks'!T269</f>
        <v>0</v>
      </c>
      <c r="D268" s="133" t="str">
        <f>'exp marks'!U269</f>
        <v>0</v>
      </c>
      <c r="E268" s="133" t="str">
        <f>'exp marks'!V269</f>
        <v>0</v>
      </c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</row>
    <row r="269" ht="21.75" customHeight="1">
      <c r="A269" s="146" t="str">
        <f>IF(BASE!B274="","",BASE!B274)</f>
        <v/>
      </c>
      <c r="B269" s="147" t="s">
        <v>122</v>
      </c>
      <c r="C269" s="133" t="str">
        <f>'exp marks'!T270</f>
        <v>0</v>
      </c>
      <c r="D269" s="133" t="str">
        <f>'exp marks'!U270</f>
        <v>0</v>
      </c>
      <c r="E269" s="133" t="str">
        <f>'exp marks'!V270</f>
        <v>0</v>
      </c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</row>
    <row r="270" ht="21.75" customHeight="1">
      <c r="A270" s="146" t="str">
        <f>IF(BASE!B275="","",BASE!B275)</f>
        <v/>
      </c>
      <c r="B270" s="147" t="s">
        <v>122</v>
      </c>
      <c r="C270" s="133" t="str">
        <f>'exp marks'!T271</f>
        <v>0</v>
      </c>
      <c r="D270" s="133" t="str">
        <f>'exp marks'!U271</f>
        <v>0</v>
      </c>
      <c r="E270" s="133" t="str">
        <f>'exp marks'!V271</f>
        <v>0</v>
      </c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</row>
    <row r="271" ht="21.75" customHeight="1">
      <c r="A271" s="146" t="str">
        <f>IF(BASE!B276="","",BASE!B276)</f>
        <v/>
      </c>
      <c r="B271" s="147" t="s">
        <v>122</v>
      </c>
      <c r="C271" s="133" t="str">
        <f>'exp marks'!T272</f>
        <v>0</v>
      </c>
      <c r="D271" s="133" t="str">
        <f>'exp marks'!U272</f>
        <v>0</v>
      </c>
      <c r="E271" s="133" t="str">
        <f>'exp marks'!V272</f>
        <v>0</v>
      </c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</row>
    <row r="272" ht="21.75" customHeight="1">
      <c r="A272" s="146" t="str">
        <f>IF(BASE!B277="","",BASE!B277)</f>
        <v/>
      </c>
      <c r="B272" s="147" t="s">
        <v>122</v>
      </c>
      <c r="C272" s="133" t="str">
        <f>'exp marks'!T273</f>
        <v>0</v>
      </c>
      <c r="D272" s="133" t="str">
        <f>'exp marks'!U273</f>
        <v>0</v>
      </c>
      <c r="E272" s="133" t="str">
        <f>'exp marks'!V273</f>
        <v>0</v>
      </c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</row>
    <row r="273" ht="21.75" customHeight="1">
      <c r="A273" s="146" t="str">
        <f>IF(BASE!B278="","",BASE!B278)</f>
        <v/>
      </c>
      <c r="B273" s="147" t="s">
        <v>122</v>
      </c>
      <c r="C273" s="133" t="str">
        <f>'exp marks'!T274</f>
        <v>0</v>
      </c>
      <c r="D273" s="133" t="str">
        <f>'exp marks'!U274</f>
        <v>0</v>
      </c>
      <c r="E273" s="133" t="str">
        <f>'exp marks'!V274</f>
        <v>0</v>
      </c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</row>
    <row r="274" ht="21.75" customHeight="1">
      <c r="A274" s="146" t="str">
        <f>IF(BASE!B279="","",BASE!B279)</f>
        <v/>
      </c>
      <c r="B274" s="147" t="s">
        <v>122</v>
      </c>
      <c r="C274" s="133" t="str">
        <f>'exp marks'!T275</f>
        <v>0</v>
      </c>
      <c r="D274" s="133" t="str">
        <f>'exp marks'!U275</f>
        <v>0</v>
      </c>
      <c r="E274" s="133" t="str">
        <f>'exp marks'!V275</f>
        <v>0</v>
      </c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</row>
    <row r="275" ht="21.75" customHeight="1">
      <c r="A275" s="146" t="str">
        <f>IF(BASE!B280="","",BASE!B280)</f>
        <v/>
      </c>
      <c r="B275" s="147" t="s">
        <v>122</v>
      </c>
      <c r="C275" s="133" t="str">
        <f>'exp marks'!T276</f>
        <v>0</v>
      </c>
      <c r="D275" s="133" t="str">
        <f>'exp marks'!U276</f>
        <v>0</v>
      </c>
      <c r="E275" s="133" t="str">
        <f>'exp marks'!V276</f>
        <v>0</v>
      </c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</row>
    <row r="276" ht="21.75" customHeight="1">
      <c r="A276" s="146" t="str">
        <f>IF(BASE!B281="","",BASE!B281)</f>
        <v/>
      </c>
      <c r="B276" s="147" t="s">
        <v>122</v>
      </c>
      <c r="C276" s="133" t="str">
        <f>'exp marks'!T277</f>
        <v>0</v>
      </c>
      <c r="D276" s="133" t="str">
        <f>'exp marks'!U277</f>
        <v>0</v>
      </c>
      <c r="E276" s="133" t="str">
        <f>'exp marks'!V277</f>
        <v>0</v>
      </c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</row>
    <row r="277" ht="21.75" customHeight="1">
      <c r="A277" s="146" t="str">
        <f>IF(BASE!B282="","",BASE!B282)</f>
        <v/>
      </c>
      <c r="B277" s="147" t="s">
        <v>122</v>
      </c>
      <c r="C277" s="133" t="str">
        <f>'exp marks'!T278</f>
        <v>0</v>
      </c>
      <c r="D277" s="133" t="str">
        <f>'exp marks'!U278</f>
        <v>0</v>
      </c>
      <c r="E277" s="133" t="str">
        <f>'exp marks'!V278</f>
        <v>0</v>
      </c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</row>
    <row r="278" ht="21.75" customHeight="1">
      <c r="A278" s="146" t="str">
        <f>IF(BASE!B283="","",BASE!B283)</f>
        <v/>
      </c>
      <c r="B278" s="147" t="s">
        <v>122</v>
      </c>
      <c r="C278" s="133" t="str">
        <f>'exp marks'!T279</f>
        <v>0</v>
      </c>
      <c r="D278" s="133" t="str">
        <f>'exp marks'!U279</f>
        <v>0</v>
      </c>
      <c r="E278" s="133" t="str">
        <f>'exp marks'!V279</f>
        <v>0</v>
      </c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</row>
    <row r="279" ht="21.75" customHeight="1">
      <c r="A279" s="146" t="str">
        <f>IF(BASE!B284="","",BASE!B284)</f>
        <v/>
      </c>
      <c r="B279" s="147" t="s">
        <v>122</v>
      </c>
      <c r="C279" s="133" t="str">
        <f>'exp marks'!T280</f>
        <v>0</v>
      </c>
      <c r="D279" s="133" t="str">
        <f>'exp marks'!U280</f>
        <v>0</v>
      </c>
      <c r="E279" s="133" t="str">
        <f>'exp marks'!V280</f>
        <v>0</v>
      </c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</row>
    <row r="280" ht="21.75" customHeight="1">
      <c r="A280" s="146" t="str">
        <f>IF(BASE!B285="","",BASE!B285)</f>
        <v/>
      </c>
      <c r="B280" s="147" t="s">
        <v>122</v>
      </c>
      <c r="C280" s="133" t="str">
        <f>'exp marks'!T281</f>
        <v>0</v>
      </c>
      <c r="D280" s="133" t="str">
        <f>'exp marks'!U281</f>
        <v>0</v>
      </c>
      <c r="E280" s="133" t="str">
        <f>'exp marks'!V281</f>
        <v>0</v>
      </c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</row>
    <row r="281" ht="21.75" customHeight="1">
      <c r="A281" s="146" t="str">
        <f>IF(BASE!B286="","",BASE!B286)</f>
        <v/>
      </c>
      <c r="B281" s="147" t="s">
        <v>122</v>
      </c>
      <c r="C281" s="133" t="str">
        <f>'exp marks'!T282</f>
        <v>0</v>
      </c>
      <c r="D281" s="133" t="str">
        <f>'exp marks'!U282</f>
        <v>0</v>
      </c>
      <c r="E281" s="133" t="str">
        <f>'exp marks'!V282</f>
        <v>0</v>
      </c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</row>
    <row r="282" ht="21.75" customHeight="1">
      <c r="A282" s="146" t="str">
        <f>IF(BASE!B287="","",BASE!B287)</f>
        <v/>
      </c>
      <c r="B282" s="147" t="s">
        <v>122</v>
      </c>
      <c r="C282" s="133" t="str">
        <f>'exp marks'!T283</f>
        <v>0</v>
      </c>
      <c r="D282" s="133" t="str">
        <f>'exp marks'!U283</f>
        <v>0</v>
      </c>
      <c r="E282" s="133" t="str">
        <f>'exp marks'!V283</f>
        <v>0</v>
      </c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</row>
    <row r="283" ht="21.75" customHeight="1">
      <c r="A283" s="146" t="str">
        <f>IF(BASE!B288="","",BASE!B288)</f>
        <v/>
      </c>
      <c r="B283" s="147" t="s">
        <v>122</v>
      </c>
      <c r="C283" s="133" t="str">
        <f>'exp marks'!T284</f>
        <v>0</v>
      </c>
      <c r="D283" s="133" t="str">
        <f>'exp marks'!U284</f>
        <v>0</v>
      </c>
      <c r="E283" s="133" t="str">
        <f>'exp marks'!V284</f>
        <v>0</v>
      </c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</row>
    <row r="284" ht="21.75" customHeight="1">
      <c r="A284" s="146" t="str">
        <f>IF(BASE!B289="","",BASE!B289)</f>
        <v/>
      </c>
      <c r="B284" s="147" t="s">
        <v>122</v>
      </c>
      <c r="C284" s="133" t="str">
        <f>'exp marks'!T285</f>
        <v>0</v>
      </c>
      <c r="D284" s="133" t="str">
        <f>'exp marks'!U285</f>
        <v>0</v>
      </c>
      <c r="E284" s="133" t="str">
        <f>'exp marks'!V285</f>
        <v>0</v>
      </c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</row>
    <row r="285" ht="21.75" customHeight="1">
      <c r="A285" s="146" t="str">
        <f>IF(BASE!B290="","",BASE!B290)</f>
        <v/>
      </c>
      <c r="B285" s="147" t="s">
        <v>122</v>
      </c>
      <c r="C285" s="133" t="str">
        <f>'exp marks'!T286</f>
        <v>0</v>
      </c>
      <c r="D285" s="133" t="str">
        <f>'exp marks'!U286</f>
        <v>0</v>
      </c>
      <c r="E285" s="133" t="str">
        <f>'exp marks'!V286</f>
        <v>0</v>
      </c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</row>
    <row r="286" ht="21.75" customHeight="1">
      <c r="A286" s="146" t="str">
        <f>IF(BASE!B291="","",BASE!B291)</f>
        <v/>
      </c>
      <c r="B286" s="147" t="s">
        <v>122</v>
      </c>
      <c r="C286" s="133" t="str">
        <f>'exp marks'!T287</f>
        <v>0</v>
      </c>
      <c r="D286" s="133" t="str">
        <f>'exp marks'!U287</f>
        <v>0</v>
      </c>
      <c r="E286" s="133" t="str">
        <f>'exp marks'!V287</f>
        <v>0</v>
      </c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</row>
    <row r="287" ht="21.75" customHeight="1">
      <c r="A287" s="146" t="str">
        <f>IF(BASE!B292="","",BASE!B292)</f>
        <v/>
      </c>
      <c r="B287" s="147" t="s">
        <v>122</v>
      </c>
      <c r="C287" s="133" t="str">
        <f>'exp marks'!T288</f>
        <v>0</v>
      </c>
      <c r="D287" s="133" t="str">
        <f>'exp marks'!U288</f>
        <v>0</v>
      </c>
      <c r="E287" s="133" t="str">
        <f>'exp marks'!V288</f>
        <v>0</v>
      </c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</row>
    <row r="288" ht="21.75" customHeight="1">
      <c r="A288" s="146" t="str">
        <f>IF(BASE!B293="","",BASE!B293)</f>
        <v/>
      </c>
      <c r="B288" s="147" t="s">
        <v>122</v>
      </c>
      <c r="C288" s="133" t="str">
        <f>'exp marks'!T289</f>
        <v>0</v>
      </c>
      <c r="D288" s="133" t="str">
        <f>'exp marks'!U289</f>
        <v>0</v>
      </c>
      <c r="E288" s="133" t="str">
        <f>'exp marks'!V289</f>
        <v>0</v>
      </c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</row>
    <row r="289" ht="21.75" customHeight="1">
      <c r="A289" s="146" t="str">
        <f>IF(BASE!B294="","",BASE!B294)</f>
        <v/>
      </c>
      <c r="B289" s="147" t="s">
        <v>122</v>
      </c>
      <c r="C289" s="133" t="str">
        <f>'exp marks'!T290</f>
        <v>0</v>
      </c>
      <c r="D289" s="133" t="str">
        <f>'exp marks'!U290</f>
        <v>0</v>
      </c>
      <c r="E289" s="133" t="str">
        <f>'exp marks'!V290</f>
        <v>0</v>
      </c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</row>
    <row r="290" ht="21.75" customHeight="1">
      <c r="A290" s="146" t="str">
        <f>IF(BASE!B295="","",BASE!B295)</f>
        <v/>
      </c>
      <c r="B290" s="147" t="s">
        <v>122</v>
      </c>
      <c r="C290" s="133" t="str">
        <f>'exp marks'!T291</f>
        <v>0</v>
      </c>
      <c r="D290" s="133" t="str">
        <f>'exp marks'!U291</f>
        <v>0</v>
      </c>
      <c r="E290" s="133" t="str">
        <f>'exp marks'!V291</f>
        <v>0</v>
      </c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</row>
    <row r="291" ht="21.75" customHeight="1">
      <c r="A291" s="146" t="str">
        <f>IF(BASE!B296="","",BASE!B296)</f>
        <v/>
      </c>
      <c r="B291" s="147" t="s">
        <v>122</v>
      </c>
      <c r="C291" s="133" t="str">
        <f>'exp marks'!T292</f>
        <v>0</v>
      </c>
      <c r="D291" s="133" t="str">
        <f>'exp marks'!U292</f>
        <v>0</v>
      </c>
      <c r="E291" s="133" t="str">
        <f>'exp marks'!V292</f>
        <v>0</v>
      </c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</row>
    <row r="292" ht="21.75" customHeight="1">
      <c r="A292" s="146" t="str">
        <f>IF(BASE!B297="","",BASE!B297)</f>
        <v/>
      </c>
      <c r="B292" s="147" t="s">
        <v>122</v>
      </c>
      <c r="C292" s="133" t="str">
        <f>'exp marks'!T293</f>
        <v>0</v>
      </c>
      <c r="D292" s="133" t="str">
        <f>'exp marks'!U293</f>
        <v>0</v>
      </c>
      <c r="E292" s="133" t="str">
        <f>'exp marks'!V293</f>
        <v>0</v>
      </c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</row>
    <row r="293" ht="21.75" customHeight="1">
      <c r="A293" s="146" t="str">
        <f>IF(BASE!B298="","",BASE!B298)</f>
        <v/>
      </c>
      <c r="B293" s="147" t="s">
        <v>122</v>
      </c>
      <c r="C293" s="133" t="str">
        <f>'exp marks'!T294</f>
        <v>0</v>
      </c>
      <c r="D293" s="133" t="str">
        <f>'exp marks'!U294</f>
        <v>0</v>
      </c>
      <c r="E293" s="133" t="str">
        <f>'exp marks'!V294</f>
        <v>0</v>
      </c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</row>
    <row r="294" ht="21.75" customHeight="1">
      <c r="A294" s="146" t="str">
        <f>IF(BASE!B299="","",BASE!B299)</f>
        <v/>
      </c>
      <c r="B294" s="147" t="s">
        <v>122</v>
      </c>
      <c r="C294" s="133" t="str">
        <f>'exp marks'!T295</f>
        <v>0</v>
      </c>
      <c r="D294" s="133" t="str">
        <f>'exp marks'!U295</f>
        <v>0</v>
      </c>
      <c r="E294" s="133" t="str">
        <f>'exp marks'!V295</f>
        <v>0</v>
      </c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</row>
    <row r="295" ht="21.75" customHeight="1">
      <c r="A295" s="146" t="str">
        <f>IF(BASE!B300="","",BASE!B300)</f>
        <v/>
      </c>
      <c r="B295" s="147" t="s">
        <v>122</v>
      </c>
      <c r="C295" s="133" t="str">
        <f>'exp marks'!T296</f>
        <v>0</v>
      </c>
      <c r="D295" s="133" t="str">
        <f>'exp marks'!U296</f>
        <v>0</v>
      </c>
      <c r="E295" s="133" t="str">
        <f>'exp marks'!V296</f>
        <v>0</v>
      </c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</row>
    <row r="296" ht="21.75" customHeight="1">
      <c r="A296" s="146" t="str">
        <f>IF(BASE!B301="","",BASE!B301)</f>
        <v/>
      </c>
      <c r="B296" s="147" t="s">
        <v>122</v>
      </c>
      <c r="C296" s="133" t="str">
        <f>'exp marks'!T297</f>
        <v>0</v>
      </c>
      <c r="D296" s="133" t="str">
        <f>'exp marks'!U297</f>
        <v>0</v>
      </c>
      <c r="E296" s="133" t="str">
        <f>'exp marks'!V297</f>
        <v>0</v>
      </c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</row>
    <row r="297" ht="21.75" customHeight="1">
      <c r="A297" s="146" t="str">
        <f>IF(BASE!B302="","",BASE!B302)</f>
        <v/>
      </c>
      <c r="B297" s="147" t="s">
        <v>122</v>
      </c>
      <c r="C297" s="133" t="str">
        <f>'exp marks'!T298</f>
        <v>0</v>
      </c>
      <c r="D297" s="133" t="str">
        <f>'exp marks'!U298</f>
        <v>0</v>
      </c>
      <c r="E297" s="133" t="str">
        <f>'exp marks'!V298</f>
        <v>0</v>
      </c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</row>
    <row r="298" ht="21.75" customHeight="1">
      <c r="A298" s="146" t="str">
        <f>IF(BASE!B303="","",BASE!B303)</f>
        <v/>
      </c>
      <c r="B298" s="147" t="s">
        <v>122</v>
      </c>
      <c r="C298" s="133" t="str">
        <f>'exp marks'!T299</f>
        <v>0</v>
      </c>
      <c r="D298" s="133" t="str">
        <f>'exp marks'!U299</f>
        <v>0</v>
      </c>
      <c r="E298" s="133" t="str">
        <f>'exp marks'!V299</f>
        <v>0</v>
      </c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</row>
    <row r="299" ht="21.75" customHeight="1">
      <c r="A299" s="146" t="str">
        <f>IF(BASE!B304="","",BASE!B304)</f>
        <v/>
      </c>
      <c r="B299" s="147" t="s">
        <v>122</v>
      </c>
      <c r="C299" s="133" t="str">
        <f>'exp marks'!T300</f>
        <v>0</v>
      </c>
      <c r="D299" s="133" t="str">
        <f>'exp marks'!U300</f>
        <v>0</v>
      </c>
      <c r="E299" s="133" t="str">
        <f>'exp marks'!V300</f>
        <v>0</v>
      </c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</row>
    <row r="300" ht="21.75" customHeight="1">
      <c r="A300" s="146" t="str">
        <f>IF(BASE!B305="","",BASE!B305)</f>
        <v/>
      </c>
      <c r="B300" s="147" t="s">
        <v>122</v>
      </c>
      <c r="C300" s="133" t="str">
        <f>'exp marks'!T301</f>
        <v>0</v>
      </c>
      <c r="D300" s="133" t="str">
        <f>'exp marks'!U301</f>
        <v>0</v>
      </c>
      <c r="E300" s="133" t="str">
        <f>'exp marks'!V301</f>
        <v>0</v>
      </c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</row>
    <row r="301" ht="21.75" customHeight="1">
      <c r="A301" s="146" t="str">
        <f>IF(BASE!B306="","",BASE!B306)</f>
        <v/>
      </c>
      <c r="B301" s="147" t="s">
        <v>122</v>
      </c>
      <c r="C301" s="133" t="str">
        <f>'exp marks'!T302</f>
        <v>0</v>
      </c>
      <c r="D301" s="133" t="str">
        <f>'exp marks'!U302</f>
        <v>0</v>
      </c>
      <c r="E301" s="133" t="str">
        <f>'exp marks'!V302</f>
        <v>0</v>
      </c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</row>
    <row r="302" ht="21.75" customHeight="1">
      <c r="A302" s="146" t="str">
        <f>IF(BASE!B307="","",BASE!B307)</f>
        <v/>
      </c>
      <c r="B302" s="147" t="s">
        <v>122</v>
      </c>
      <c r="C302" s="133" t="str">
        <f>'exp marks'!T303</f>
        <v>0</v>
      </c>
      <c r="D302" s="133" t="str">
        <f>'exp marks'!U303</f>
        <v>0</v>
      </c>
      <c r="E302" s="133" t="str">
        <f>'exp marks'!V303</f>
        <v>0</v>
      </c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</row>
    <row r="303" ht="21.75" customHeight="1">
      <c r="A303" s="146" t="str">
        <f>IF(BASE!B308="","",BASE!B308)</f>
        <v/>
      </c>
      <c r="B303" s="147" t="s">
        <v>122</v>
      </c>
      <c r="C303" s="133" t="str">
        <f>'exp marks'!T304</f>
        <v>0</v>
      </c>
      <c r="D303" s="133" t="str">
        <f>'exp marks'!U304</f>
        <v>0</v>
      </c>
      <c r="E303" s="133" t="str">
        <f>'exp marks'!V304</f>
        <v>0</v>
      </c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</row>
    <row r="304" ht="21.75" customHeight="1">
      <c r="A304" s="146" t="str">
        <f>IF(BASE!B309="","",BASE!B309)</f>
        <v/>
      </c>
      <c r="B304" s="147" t="s">
        <v>122</v>
      </c>
      <c r="C304" s="133" t="str">
        <f>'exp marks'!T305</f>
        <v>0</v>
      </c>
      <c r="D304" s="133" t="str">
        <f>'exp marks'!U305</f>
        <v>0</v>
      </c>
      <c r="E304" s="133" t="str">
        <f>'exp marks'!V305</f>
        <v>0</v>
      </c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</row>
    <row r="305" ht="21.75" customHeight="1">
      <c r="A305" s="146" t="str">
        <f>IF(BASE!B310="","",BASE!B310)</f>
        <v/>
      </c>
      <c r="B305" s="147" t="s">
        <v>122</v>
      </c>
      <c r="C305" s="133" t="str">
        <f>'exp marks'!T306</f>
        <v>0</v>
      </c>
      <c r="D305" s="133" t="str">
        <f>'exp marks'!U306</f>
        <v>0</v>
      </c>
      <c r="E305" s="133" t="str">
        <f>'exp marks'!V306</f>
        <v>0</v>
      </c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</row>
    <row r="306" ht="21.75" customHeight="1">
      <c r="A306" s="146" t="str">
        <f>IF(BASE!B311="","",BASE!B311)</f>
        <v/>
      </c>
      <c r="B306" s="147" t="s">
        <v>122</v>
      </c>
      <c r="C306" s="133" t="str">
        <f>'exp marks'!T307</f>
        <v>0</v>
      </c>
      <c r="D306" s="133" t="str">
        <f>'exp marks'!U307</f>
        <v>0</v>
      </c>
      <c r="E306" s="133" t="str">
        <f>'exp marks'!V307</f>
        <v>0</v>
      </c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</row>
    <row r="307" ht="21.75" customHeight="1">
      <c r="A307" s="146" t="str">
        <f>IF(BASE!B312="","",BASE!B312)</f>
        <v/>
      </c>
      <c r="B307" s="147" t="s">
        <v>122</v>
      </c>
      <c r="C307" s="133" t="str">
        <f>'exp marks'!T308</f>
        <v>0</v>
      </c>
      <c r="D307" s="133" t="str">
        <f>'exp marks'!U308</f>
        <v>0</v>
      </c>
      <c r="E307" s="133" t="str">
        <f>'exp marks'!V308</f>
        <v>0</v>
      </c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</row>
    <row r="308" ht="21.75" customHeight="1">
      <c r="A308" s="146" t="str">
        <f>IF(BASE!B313="","",BASE!B313)</f>
        <v/>
      </c>
      <c r="B308" s="147" t="s">
        <v>122</v>
      </c>
      <c r="C308" s="133" t="str">
        <f>'exp marks'!T309</f>
        <v>0</v>
      </c>
      <c r="D308" s="133" t="str">
        <f>'exp marks'!U309</f>
        <v>0</v>
      </c>
      <c r="E308" s="133" t="str">
        <f>'exp marks'!V309</f>
        <v>0</v>
      </c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</row>
    <row r="309" ht="21.75" customHeight="1">
      <c r="A309" s="146" t="str">
        <f>IF(BASE!B314="","",BASE!B314)</f>
        <v/>
      </c>
      <c r="B309" s="147" t="s">
        <v>122</v>
      </c>
      <c r="C309" s="133" t="str">
        <f>'exp marks'!T310</f>
        <v>0</v>
      </c>
      <c r="D309" s="133" t="str">
        <f>'exp marks'!U310</f>
        <v>0</v>
      </c>
      <c r="E309" s="133" t="str">
        <f>'exp marks'!V310</f>
        <v>0</v>
      </c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</row>
    <row r="310" ht="21.75" customHeight="1">
      <c r="A310" s="146" t="str">
        <f>IF(BASE!B315="","",BASE!B315)</f>
        <v/>
      </c>
      <c r="B310" s="147" t="s">
        <v>122</v>
      </c>
      <c r="C310" s="133" t="str">
        <f>'exp marks'!T311</f>
        <v>0</v>
      </c>
      <c r="D310" s="133" t="str">
        <f>'exp marks'!U311</f>
        <v>0</v>
      </c>
      <c r="E310" s="133" t="str">
        <f>'exp marks'!V311</f>
        <v>0</v>
      </c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</row>
    <row r="311" ht="21.75" customHeight="1">
      <c r="A311" s="146" t="str">
        <f>IF(BASE!B316="","",BASE!B316)</f>
        <v/>
      </c>
      <c r="B311" s="147" t="s">
        <v>122</v>
      </c>
      <c r="C311" s="133" t="str">
        <f>'exp marks'!T312</f>
        <v>0</v>
      </c>
      <c r="D311" s="133" t="str">
        <f>'exp marks'!U312</f>
        <v>0</v>
      </c>
      <c r="E311" s="133" t="str">
        <f>'exp marks'!V312</f>
        <v>0</v>
      </c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</row>
    <row r="312" ht="21.75" customHeight="1">
      <c r="A312" s="146" t="str">
        <f>IF(BASE!B317="","",BASE!B317)</f>
        <v/>
      </c>
      <c r="B312" s="147" t="s">
        <v>122</v>
      </c>
      <c r="C312" s="133" t="str">
        <f>'exp marks'!T313</f>
        <v>0</v>
      </c>
      <c r="D312" s="133" t="str">
        <f>'exp marks'!U313</f>
        <v>0</v>
      </c>
      <c r="E312" s="133" t="str">
        <f>'exp marks'!V313</f>
        <v>0</v>
      </c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</row>
    <row r="313" ht="21.75" customHeight="1">
      <c r="A313" s="146" t="str">
        <f>IF(BASE!B318="","",BASE!B318)</f>
        <v/>
      </c>
      <c r="B313" s="147" t="s">
        <v>122</v>
      </c>
      <c r="C313" s="133" t="str">
        <f>'exp marks'!T314</f>
        <v>0</v>
      </c>
      <c r="D313" s="133" t="str">
        <f>'exp marks'!U314</f>
        <v>0</v>
      </c>
      <c r="E313" s="133" t="str">
        <f>'exp marks'!V314</f>
        <v>0</v>
      </c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</row>
    <row r="314" ht="21.75" customHeight="1">
      <c r="A314" s="146" t="str">
        <f>IF(BASE!B319="","",BASE!B319)</f>
        <v/>
      </c>
      <c r="B314" s="147" t="s">
        <v>122</v>
      </c>
      <c r="C314" s="133" t="str">
        <f>'exp marks'!T315</f>
        <v>0</v>
      </c>
      <c r="D314" s="133" t="str">
        <f>'exp marks'!U315</f>
        <v>0</v>
      </c>
      <c r="E314" s="133" t="str">
        <f>'exp marks'!V315</f>
        <v>0</v>
      </c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</row>
    <row r="315" ht="21.75" customHeight="1">
      <c r="A315" s="146" t="str">
        <f>IF(BASE!B320="","",BASE!B320)</f>
        <v/>
      </c>
      <c r="B315" s="147" t="s">
        <v>122</v>
      </c>
      <c r="C315" s="133" t="str">
        <f>'exp marks'!T316</f>
        <v>0</v>
      </c>
      <c r="D315" s="133" t="str">
        <f>'exp marks'!U316</f>
        <v>0</v>
      </c>
      <c r="E315" s="133" t="str">
        <f>'exp marks'!V316</f>
        <v>0</v>
      </c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</row>
    <row r="316" ht="21.75" customHeight="1">
      <c r="A316" s="146" t="str">
        <f>IF(BASE!B321="","",BASE!B321)</f>
        <v/>
      </c>
      <c r="B316" s="147" t="s">
        <v>122</v>
      </c>
      <c r="C316" s="133" t="str">
        <f>'exp marks'!T317</f>
        <v>0</v>
      </c>
      <c r="D316" s="133" t="str">
        <f>'exp marks'!U317</f>
        <v>0</v>
      </c>
      <c r="E316" s="133" t="str">
        <f>'exp marks'!V317</f>
        <v>0</v>
      </c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</row>
    <row r="317" ht="21.75" customHeight="1">
      <c r="A317" s="146" t="str">
        <f>IF(BASE!B322="","",BASE!B322)</f>
        <v/>
      </c>
      <c r="B317" s="147" t="s">
        <v>122</v>
      </c>
      <c r="C317" s="133" t="str">
        <f>'exp marks'!T318</f>
        <v>0</v>
      </c>
      <c r="D317" s="133" t="str">
        <f>'exp marks'!U318</f>
        <v>0</v>
      </c>
      <c r="E317" s="133" t="str">
        <f>'exp marks'!V318</f>
        <v>0</v>
      </c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</row>
    <row r="318" ht="21.75" customHeight="1">
      <c r="A318" s="146" t="str">
        <f>IF(BASE!B323="","",BASE!B323)</f>
        <v/>
      </c>
      <c r="B318" s="147" t="s">
        <v>122</v>
      </c>
      <c r="C318" s="133" t="str">
        <f>'exp marks'!T319</f>
        <v>0</v>
      </c>
      <c r="D318" s="133" t="str">
        <f>'exp marks'!U319</f>
        <v>0</v>
      </c>
      <c r="E318" s="133" t="str">
        <f>'exp marks'!V319</f>
        <v>0</v>
      </c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</row>
    <row r="319" ht="21.75" customHeight="1">
      <c r="A319" s="146" t="str">
        <f>IF(BASE!B324="","",BASE!B324)</f>
        <v/>
      </c>
      <c r="B319" s="147" t="s">
        <v>122</v>
      </c>
      <c r="C319" s="133" t="str">
        <f>'exp marks'!T320</f>
        <v>0</v>
      </c>
      <c r="D319" s="133" t="str">
        <f>'exp marks'!U320</f>
        <v>0</v>
      </c>
      <c r="E319" s="133" t="str">
        <f>'exp marks'!V320</f>
        <v>0</v>
      </c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</row>
    <row r="320" ht="21.75" customHeight="1">
      <c r="A320" s="146" t="str">
        <f>IF(BASE!B325="","",BASE!B325)</f>
        <v/>
      </c>
      <c r="B320" s="147" t="s">
        <v>122</v>
      </c>
      <c r="C320" s="133" t="str">
        <f>'exp marks'!T321</f>
        <v>0</v>
      </c>
      <c r="D320" s="133" t="str">
        <f>'exp marks'!U321</f>
        <v>0</v>
      </c>
      <c r="E320" s="133" t="str">
        <f>'exp marks'!V321</f>
        <v>0</v>
      </c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</row>
    <row r="321" ht="21.75" customHeight="1">
      <c r="A321" s="146" t="str">
        <f>IF(BASE!B326="","",BASE!B326)</f>
        <v/>
      </c>
      <c r="B321" s="147" t="s">
        <v>122</v>
      </c>
      <c r="C321" s="133" t="str">
        <f>'exp marks'!T322</f>
        <v>0</v>
      </c>
      <c r="D321" s="133" t="str">
        <f>'exp marks'!U322</f>
        <v>0</v>
      </c>
      <c r="E321" s="133" t="str">
        <f>'exp marks'!V322</f>
        <v>0</v>
      </c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</row>
    <row r="322" ht="21.75" customHeight="1">
      <c r="A322" s="146" t="str">
        <f>IF(BASE!B327="","",BASE!B327)</f>
        <v/>
      </c>
      <c r="B322" s="147" t="s">
        <v>122</v>
      </c>
      <c r="C322" s="133" t="str">
        <f>'exp marks'!T323</f>
        <v>0</v>
      </c>
      <c r="D322" s="133" t="str">
        <f>'exp marks'!U323</f>
        <v>0</v>
      </c>
      <c r="E322" s="133" t="str">
        <f>'exp marks'!V323</f>
        <v>0</v>
      </c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</row>
    <row r="323" ht="21.75" customHeight="1">
      <c r="A323" s="146" t="str">
        <f>IF(BASE!B328="","",BASE!B328)</f>
        <v/>
      </c>
      <c r="B323" s="147" t="s">
        <v>122</v>
      </c>
      <c r="C323" s="133" t="str">
        <f>'exp marks'!T324</f>
        <v>0</v>
      </c>
      <c r="D323" s="133" t="str">
        <f>'exp marks'!U324</f>
        <v>0</v>
      </c>
      <c r="E323" s="133" t="str">
        <f>'exp marks'!V324</f>
        <v>0</v>
      </c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</row>
    <row r="324" ht="21.75" customHeight="1">
      <c r="A324" s="146" t="str">
        <f>IF(BASE!B329="","",BASE!B329)</f>
        <v/>
      </c>
      <c r="B324" s="147" t="s">
        <v>122</v>
      </c>
      <c r="C324" s="133" t="str">
        <f>'exp marks'!T325</f>
        <v>0</v>
      </c>
      <c r="D324" s="133" t="str">
        <f>'exp marks'!U325</f>
        <v>0</v>
      </c>
      <c r="E324" s="133" t="str">
        <f>'exp marks'!V325</f>
        <v>0</v>
      </c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</row>
    <row r="325" ht="21.75" customHeight="1">
      <c r="A325" s="146" t="str">
        <f>IF(BASE!B330="","",BASE!B330)</f>
        <v/>
      </c>
      <c r="B325" s="147" t="s">
        <v>122</v>
      </c>
      <c r="C325" s="133" t="str">
        <f>'exp marks'!T326</f>
        <v>0</v>
      </c>
      <c r="D325" s="133" t="str">
        <f>'exp marks'!U326</f>
        <v>0</v>
      </c>
      <c r="E325" s="133" t="str">
        <f>'exp marks'!V326</f>
        <v>0</v>
      </c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</row>
    <row r="326" ht="21.75" customHeight="1">
      <c r="A326" s="146" t="str">
        <f>IF(BASE!B331="","",BASE!B331)</f>
        <v/>
      </c>
      <c r="B326" s="147" t="s">
        <v>122</v>
      </c>
      <c r="C326" s="133" t="str">
        <f>'exp marks'!T327</f>
        <v>0</v>
      </c>
      <c r="D326" s="133" t="str">
        <f>'exp marks'!U327</f>
        <v>0</v>
      </c>
      <c r="E326" s="133" t="str">
        <f>'exp marks'!V327</f>
        <v>0</v>
      </c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</row>
    <row r="327" ht="21.75" customHeight="1">
      <c r="A327" s="146" t="str">
        <f>IF(BASE!B332="","",BASE!B332)</f>
        <v/>
      </c>
      <c r="B327" s="147" t="s">
        <v>122</v>
      </c>
      <c r="C327" s="133" t="str">
        <f>'exp marks'!T328</f>
        <v>0</v>
      </c>
      <c r="D327" s="133" t="str">
        <f>'exp marks'!U328</f>
        <v>0</v>
      </c>
      <c r="E327" s="133" t="str">
        <f>'exp marks'!V328</f>
        <v>0</v>
      </c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</row>
    <row r="328" ht="21.75" customHeight="1">
      <c r="A328" s="146" t="str">
        <f>IF(BASE!B333="","",BASE!B333)</f>
        <v/>
      </c>
      <c r="B328" s="147" t="s">
        <v>122</v>
      </c>
      <c r="C328" s="133" t="str">
        <f>'exp marks'!T329</f>
        <v>0</v>
      </c>
      <c r="D328" s="133" t="str">
        <f>'exp marks'!U329</f>
        <v>0</v>
      </c>
      <c r="E328" s="133" t="str">
        <f>'exp marks'!V329</f>
        <v>0</v>
      </c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</row>
    <row r="329" ht="21.75" customHeight="1">
      <c r="A329" s="146" t="str">
        <f>IF(BASE!B334="","",BASE!B334)</f>
        <v/>
      </c>
      <c r="B329" s="147" t="s">
        <v>122</v>
      </c>
      <c r="C329" s="133" t="str">
        <f>'exp marks'!T330</f>
        <v>0</v>
      </c>
      <c r="D329" s="133" t="str">
        <f>'exp marks'!U330</f>
        <v>0</v>
      </c>
      <c r="E329" s="133" t="str">
        <f>'exp marks'!V330</f>
        <v>0</v>
      </c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</row>
    <row r="330" ht="21.75" customHeight="1">
      <c r="A330" s="146" t="str">
        <f>IF(BASE!B335="","",BASE!B335)</f>
        <v/>
      </c>
      <c r="B330" s="147" t="s">
        <v>122</v>
      </c>
      <c r="C330" s="133" t="str">
        <f>'exp marks'!T331</f>
        <v>0</v>
      </c>
      <c r="D330" s="133" t="str">
        <f>'exp marks'!U331</f>
        <v>0</v>
      </c>
      <c r="E330" s="133" t="str">
        <f>'exp marks'!V331</f>
        <v>0</v>
      </c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</row>
    <row r="331" ht="21.75" customHeight="1">
      <c r="A331" s="146" t="str">
        <f>IF(BASE!B336="","",BASE!B336)</f>
        <v/>
      </c>
      <c r="B331" s="147" t="s">
        <v>122</v>
      </c>
      <c r="C331" s="133" t="str">
        <f>'exp marks'!T332</f>
        <v>0</v>
      </c>
      <c r="D331" s="133" t="str">
        <f>'exp marks'!U332</f>
        <v>0</v>
      </c>
      <c r="E331" s="133" t="str">
        <f>'exp marks'!V332</f>
        <v>0</v>
      </c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</row>
    <row r="332" ht="21.75" customHeight="1">
      <c r="A332" s="146" t="str">
        <f>IF(BASE!B337="","",BASE!B337)</f>
        <v/>
      </c>
      <c r="B332" s="147" t="s">
        <v>122</v>
      </c>
      <c r="C332" s="133" t="str">
        <f>'exp marks'!T333</f>
        <v>0</v>
      </c>
      <c r="D332" s="133" t="str">
        <f>'exp marks'!U333</f>
        <v>0</v>
      </c>
      <c r="E332" s="133" t="str">
        <f>'exp marks'!V333</f>
        <v>0</v>
      </c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</row>
    <row r="333" ht="21.75" customHeight="1">
      <c r="A333" s="146" t="str">
        <f>IF(BASE!B338="","",BASE!B338)</f>
        <v/>
      </c>
      <c r="B333" s="147" t="s">
        <v>122</v>
      </c>
      <c r="C333" s="133" t="str">
        <f>'exp marks'!T334</f>
        <v>0</v>
      </c>
      <c r="D333" s="133" t="str">
        <f>'exp marks'!U334</f>
        <v>0</v>
      </c>
      <c r="E333" s="133" t="str">
        <f>'exp marks'!V334</f>
        <v>0</v>
      </c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</row>
    <row r="334" ht="21.75" customHeight="1">
      <c r="A334" s="146" t="str">
        <f>IF(BASE!B339="","",BASE!B339)</f>
        <v/>
      </c>
      <c r="B334" s="147" t="s">
        <v>122</v>
      </c>
      <c r="C334" s="133" t="str">
        <f>'exp marks'!T335</f>
        <v>0</v>
      </c>
      <c r="D334" s="133" t="str">
        <f>'exp marks'!U335</f>
        <v>0</v>
      </c>
      <c r="E334" s="133" t="str">
        <f>'exp marks'!V335</f>
        <v>0</v>
      </c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</row>
    <row r="335" ht="21.75" customHeight="1">
      <c r="A335" s="146" t="str">
        <f>IF(BASE!B340="","",BASE!B340)</f>
        <v/>
      </c>
      <c r="B335" s="147" t="s">
        <v>122</v>
      </c>
      <c r="C335" s="133" t="str">
        <f>'exp marks'!T336</f>
        <v>0</v>
      </c>
      <c r="D335" s="133" t="str">
        <f>'exp marks'!U336</f>
        <v>0</v>
      </c>
      <c r="E335" s="133" t="str">
        <f>'exp marks'!V336</f>
        <v>0</v>
      </c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</row>
    <row r="336" ht="21.75" customHeight="1">
      <c r="A336" s="146" t="str">
        <f>IF(BASE!B341="","",BASE!B341)</f>
        <v/>
      </c>
      <c r="B336" s="147" t="s">
        <v>122</v>
      </c>
      <c r="C336" s="133" t="str">
        <f>'exp marks'!T337</f>
        <v>0</v>
      </c>
      <c r="D336" s="133" t="str">
        <f>'exp marks'!U337</f>
        <v>0</v>
      </c>
      <c r="E336" s="133" t="str">
        <f>'exp marks'!V337</f>
        <v>0</v>
      </c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</row>
    <row r="337" ht="21.75" customHeight="1">
      <c r="A337" s="146" t="str">
        <f>IF(BASE!B342="","",BASE!B342)</f>
        <v/>
      </c>
      <c r="B337" s="147" t="s">
        <v>122</v>
      </c>
      <c r="C337" s="133" t="str">
        <f>'exp marks'!T338</f>
        <v>0</v>
      </c>
      <c r="D337" s="133" t="str">
        <f>'exp marks'!U338</f>
        <v>0</v>
      </c>
      <c r="E337" s="133" t="str">
        <f>'exp marks'!V338</f>
        <v>0</v>
      </c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</row>
    <row r="338" ht="21.75" customHeight="1">
      <c r="A338" s="146" t="str">
        <f>IF(BASE!B343="","",BASE!B343)</f>
        <v/>
      </c>
      <c r="B338" s="147" t="s">
        <v>122</v>
      </c>
      <c r="C338" s="133" t="str">
        <f>'exp marks'!T339</f>
        <v>0</v>
      </c>
      <c r="D338" s="133" t="str">
        <f>'exp marks'!U339</f>
        <v>0</v>
      </c>
      <c r="E338" s="133" t="str">
        <f>'exp marks'!V339</f>
        <v>0</v>
      </c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</row>
    <row r="339" ht="21.75" customHeight="1">
      <c r="A339" s="146" t="str">
        <f>IF(BASE!B344="","",BASE!B344)</f>
        <v/>
      </c>
      <c r="B339" s="147" t="s">
        <v>122</v>
      </c>
      <c r="C339" s="133" t="str">
        <f>'exp marks'!T340</f>
        <v>0</v>
      </c>
      <c r="D339" s="133" t="str">
        <f>'exp marks'!U340</f>
        <v>0</v>
      </c>
      <c r="E339" s="133" t="str">
        <f>'exp marks'!V340</f>
        <v>0</v>
      </c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</row>
    <row r="340" ht="21.75" customHeight="1">
      <c r="A340" s="146" t="str">
        <f>IF(BASE!B345="","",BASE!B345)</f>
        <v/>
      </c>
      <c r="B340" s="147" t="s">
        <v>122</v>
      </c>
      <c r="C340" s="133" t="str">
        <f>'exp marks'!T341</f>
        <v>0</v>
      </c>
      <c r="D340" s="133" t="str">
        <f>'exp marks'!U341</f>
        <v>0</v>
      </c>
      <c r="E340" s="133" t="str">
        <f>'exp marks'!V341</f>
        <v>0</v>
      </c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</row>
    <row r="341" ht="21.75" customHeight="1">
      <c r="A341" s="146" t="str">
        <f>IF(BASE!B346="","",BASE!B346)</f>
        <v/>
      </c>
      <c r="B341" s="147" t="s">
        <v>122</v>
      </c>
      <c r="C341" s="133" t="str">
        <f>'exp marks'!T342</f>
        <v>0</v>
      </c>
      <c r="D341" s="133" t="str">
        <f>'exp marks'!U342</f>
        <v>0</v>
      </c>
      <c r="E341" s="133" t="str">
        <f>'exp marks'!V342</f>
        <v>0</v>
      </c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</row>
    <row r="342" ht="21.75" customHeight="1">
      <c r="A342" s="146" t="str">
        <f>IF(BASE!B347="","",BASE!B347)</f>
        <v/>
      </c>
      <c r="B342" s="147" t="s">
        <v>122</v>
      </c>
      <c r="C342" s="133" t="str">
        <f>'exp marks'!T343</f>
        <v>0</v>
      </c>
      <c r="D342" s="133" t="str">
        <f>'exp marks'!U343</f>
        <v>0</v>
      </c>
      <c r="E342" s="133" t="str">
        <f>'exp marks'!V343</f>
        <v>0</v>
      </c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</row>
    <row r="343" ht="21.75" customHeight="1">
      <c r="A343" s="146" t="str">
        <f>IF(BASE!B348="","",BASE!B348)</f>
        <v/>
      </c>
      <c r="B343" s="147" t="s">
        <v>122</v>
      </c>
      <c r="C343" s="133" t="str">
        <f>'exp marks'!T344</f>
        <v>0</v>
      </c>
      <c r="D343" s="133" t="str">
        <f>'exp marks'!U344</f>
        <v>0</v>
      </c>
      <c r="E343" s="133" t="str">
        <f>'exp marks'!V344</f>
        <v>0</v>
      </c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</row>
    <row r="344" ht="21.75" customHeight="1">
      <c r="A344" s="146" t="str">
        <f>IF(BASE!B349="","",BASE!B349)</f>
        <v/>
      </c>
      <c r="B344" s="147" t="s">
        <v>122</v>
      </c>
      <c r="C344" s="133" t="str">
        <f>'exp marks'!T345</f>
        <v>0</v>
      </c>
      <c r="D344" s="133" t="str">
        <f>'exp marks'!U345</f>
        <v>0</v>
      </c>
      <c r="E344" s="133" t="str">
        <f>'exp marks'!V345</f>
        <v>0</v>
      </c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</row>
    <row r="345" ht="21.75" customHeight="1">
      <c r="A345" s="146" t="str">
        <f>IF(BASE!B350="","",BASE!B350)</f>
        <v/>
      </c>
      <c r="B345" s="147" t="s">
        <v>122</v>
      </c>
      <c r="C345" s="133" t="str">
        <f>'exp marks'!T346</f>
        <v>0</v>
      </c>
      <c r="D345" s="133" t="str">
        <f>'exp marks'!U346</f>
        <v>0</v>
      </c>
      <c r="E345" s="133" t="str">
        <f>'exp marks'!V346</f>
        <v>0</v>
      </c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</row>
    <row r="346" ht="21.75" customHeight="1">
      <c r="A346" s="146" t="str">
        <f>IF(BASE!B351="","",BASE!B351)</f>
        <v/>
      </c>
      <c r="B346" s="147" t="s">
        <v>122</v>
      </c>
      <c r="C346" s="133" t="str">
        <f>'exp marks'!T347</f>
        <v>0</v>
      </c>
      <c r="D346" s="133" t="str">
        <f>'exp marks'!U347</f>
        <v>0</v>
      </c>
      <c r="E346" s="133" t="str">
        <f>'exp marks'!V347</f>
        <v>0</v>
      </c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</row>
    <row r="347" ht="21.75" customHeight="1">
      <c r="A347" s="146" t="str">
        <f>IF(BASE!B352="","",BASE!B352)</f>
        <v/>
      </c>
      <c r="B347" s="147" t="s">
        <v>122</v>
      </c>
      <c r="C347" s="133" t="str">
        <f>'exp marks'!T348</f>
        <v>0</v>
      </c>
      <c r="D347" s="133" t="str">
        <f>'exp marks'!U348</f>
        <v>0</v>
      </c>
      <c r="E347" s="133" t="str">
        <f>'exp marks'!V348</f>
        <v>0</v>
      </c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</row>
    <row r="348" ht="21.75" customHeight="1">
      <c r="A348" s="146" t="str">
        <f>IF(BASE!B353="","",BASE!B353)</f>
        <v/>
      </c>
      <c r="B348" s="147" t="s">
        <v>122</v>
      </c>
      <c r="C348" s="133" t="str">
        <f>'exp marks'!T349</f>
        <v>0</v>
      </c>
      <c r="D348" s="133" t="str">
        <f>'exp marks'!U349</f>
        <v>0</v>
      </c>
      <c r="E348" s="133" t="str">
        <f>'exp marks'!V349</f>
        <v>0</v>
      </c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</row>
    <row r="349" ht="21.75" customHeight="1">
      <c r="A349" s="146" t="str">
        <f>IF(BASE!B354="","",BASE!B354)</f>
        <v/>
      </c>
      <c r="B349" s="147" t="s">
        <v>122</v>
      </c>
      <c r="C349" s="133" t="str">
        <f>'exp marks'!T350</f>
        <v>0</v>
      </c>
      <c r="D349" s="133" t="str">
        <f>'exp marks'!U350</f>
        <v>0</v>
      </c>
      <c r="E349" s="133" t="str">
        <f>'exp marks'!V350</f>
        <v>0</v>
      </c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</row>
    <row r="350" ht="21.75" customHeight="1">
      <c r="A350" s="146" t="str">
        <f>IF(BASE!B355="","",BASE!B355)</f>
        <v/>
      </c>
      <c r="B350" s="147" t="s">
        <v>122</v>
      </c>
      <c r="C350" s="133" t="str">
        <f>'exp marks'!T351</f>
        <v>0</v>
      </c>
      <c r="D350" s="133" t="str">
        <f>'exp marks'!U351</f>
        <v>0</v>
      </c>
      <c r="E350" s="133" t="str">
        <f>'exp marks'!V351</f>
        <v>0</v>
      </c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</row>
    <row r="351" ht="21.75" customHeight="1">
      <c r="A351" s="146" t="str">
        <f>IF(BASE!B356="","",BASE!B356)</f>
        <v/>
      </c>
      <c r="B351" s="147" t="s">
        <v>122</v>
      </c>
      <c r="C351" s="133" t="str">
        <f>'exp marks'!T352</f>
        <v>0</v>
      </c>
      <c r="D351" s="133" t="str">
        <f>'exp marks'!U352</f>
        <v>0</v>
      </c>
      <c r="E351" s="133" t="str">
        <f>'exp marks'!V352</f>
        <v>0</v>
      </c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</row>
    <row r="352" ht="21.75" customHeight="1">
      <c r="A352" s="146" t="str">
        <f>IF(BASE!B357="","",BASE!B357)</f>
        <v/>
      </c>
      <c r="B352" s="147" t="s">
        <v>122</v>
      </c>
      <c r="C352" s="133" t="str">
        <f>'exp marks'!T353</f>
        <v>0</v>
      </c>
      <c r="D352" s="133" t="str">
        <f>'exp marks'!U353</f>
        <v>0</v>
      </c>
      <c r="E352" s="133" t="str">
        <f>'exp marks'!V353</f>
        <v>0</v>
      </c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</row>
    <row r="353" ht="21.75" customHeight="1">
      <c r="A353" s="146" t="str">
        <f>IF(BASE!B358="","",BASE!B358)</f>
        <v/>
      </c>
      <c r="B353" s="147" t="s">
        <v>122</v>
      </c>
      <c r="C353" s="133" t="str">
        <f>'exp marks'!T354</f>
        <v>0</v>
      </c>
      <c r="D353" s="133" t="str">
        <f>'exp marks'!U354</f>
        <v>0</v>
      </c>
      <c r="E353" s="133" t="str">
        <f>'exp marks'!V354</f>
        <v>0</v>
      </c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</row>
    <row r="354" ht="21.75" customHeight="1">
      <c r="A354" s="146" t="str">
        <f>IF(BASE!B359="","",BASE!B359)</f>
        <v/>
      </c>
      <c r="B354" s="147" t="s">
        <v>122</v>
      </c>
      <c r="C354" s="133" t="str">
        <f>'exp marks'!T355</f>
        <v>0</v>
      </c>
      <c r="D354" s="133" t="str">
        <f>'exp marks'!U355</f>
        <v>0</v>
      </c>
      <c r="E354" s="133" t="str">
        <f>'exp marks'!V355</f>
        <v>0</v>
      </c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</row>
    <row r="355" ht="21.75" customHeight="1">
      <c r="A355" s="146" t="str">
        <f>IF(BASE!B360="","",BASE!B360)</f>
        <v/>
      </c>
      <c r="B355" s="147" t="s">
        <v>122</v>
      </c>
      <c r="C355" s="133" t="str">
        <f>'exp marks'!T356</f>
        <v>0</v>
      </c>
      <c r="D355" s="133" t="str">
        <f>'exp marks'!U356</f>
        <v>0</v>
      </c>
      <c r="E355" s="133" t="str">
        <f>'exp marks'!V356</f>
        <v>0</v>
      </c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</row>
    <row r="356" ht="21.75" customHeight="1">
      <c r="A356" s="146" t="str">
        <f>IF(BASE!B361="","",BASE!B361)</f>
        <v/>
      </c>
      <c r="B356" s="147" t="s">
        <v>122</v>
      </c>
      <c r="C356" s="133" t="str">
        <f>'exp marks'!T357</f>
        <v>0</v>
      </c>
      <c r="D356" s="133" t="str">
        <f>'exp marks'!U357</f>
        <v>0</v>
      </c>
      <c r="E356" s="133" t="str">
        <f>'exp marks'!V357</f>
        <v>0</v>
      </c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</row>
    <row r="357" ht="21.75" customHeight="1">
      <c r="A357" s="146" t="str">
        <f>IF(BASE!B362="","",BASE!B362)</f>
        <v/>
      </c>
      <c r="B357" s="147" t="s">
        <v>122</v>
      </c>
      <c r="C357" s="133" t="str">
        <f>'exp marks'!T358</f>
        <v>0</v>
      </c>
      <c r="D357" s="133" t="str">
        <f>'exp marks'!U358</f>
        <v>0</v>
      </c>
      <c r="E357" s="133" t="str">
        <f>'exp marks'!V358</f>
        <v>0</v>
      </c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</row>
    <row r="358" ht="21.75" customHeight="1">
      <c r="A358" s="146" t="str">
        <f>IF(BASE!B363="","",BASE!B363)</f>
        <v/>
      </c>
      <c r="B358" s="147" t="s">
        <v>122</v>
      </c>
      <c r="C358" s="133" t="str">
        <f>'exp marks'!T359</f>
        <v>0</v>
      </c>
      <c r="D358" s="133" t="str">
        <f>'exp marks'!U359</f>
        <v>0</v>
      </c>
      <c r="E358" s="133" t="str">
        <f>'exp marks'!V359</f>
        <v>0</v>
      </c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</row>
    <row r="359" ht="21.75" customHeight="1">
      <c r="A359" s="146" t="str">
        <f>IF(BASE!B364="","",BASE!B364)</f>
        <v/>
      </c>
      <c r="B359" s="147" t="s">
        <v>122</v>
      </c>
      <c r="C359" s="133" t="str">
        <f>'exp marks'!T360</f>
        <v>0</v>
      </c>
      <c r="D359" s="133" t="str">
        <f>'exp marks'!U360</f>
        <v>0</v>
      </c>
      <c r="E359" s="133" t="str">
        <f>'exp marks'!V360</f>
        <v>0</v>
      </c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</row>
    <row r="360" ht="21.75" customHeight="1">
      <c r="A360" s="146" t="str">
        <f>IF(BASE!B365="","",BASE!B365)</f>
        <v/>
      </c>
      <c r="B360" s="147" t="s">
        <v>122</v>
      </c>
      <c r="C360" s="133" t="str">
        <f>'exp marks'!T361</f>
        <v>0</v>
      </c>
      <c r="D360" s="133" t="str">
        <f>'exp marks'!U361</f>
        <v>0</v>
      </c>
      <c r="E360" s="133" t="str">
        <f>'exp marks'!V361</f>
        <v>0</v>
      </c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</row>
    <row r="361" ht="21.75" customHeight="1">
      <c r="A361" s="146" t="str">
        <f>IF(BASE!B366="","",BASE!B366)</f>
        <v/>
      </c>
      <c r="B361" s="147" t="s">
        <v>122</v>
      </c>
      <c r="C361" s="133" t="str">
        <f>'exp marks'!T362</f>
        <v>0</v>
      </c>
      <c r="D361" s="133" t="str">
        <f>'exp marks'!U362</f>
        <v>0</v>
      </c>
      <c r="E361" s="133" t="str">
        <f>'exp marks'!V362</f>
        <v>0</v>
      </c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</row>
    <row r="362" ht="21.75" customHeight="1">
      <c r="A362" s="146" t="str">
        <f>IF(BASE!B367="","",BASE!B367)</f>
        <v/>
      </c>
      <c r="B362" s="147" t="s">
        <v>122</v>
      </c>
      <c r="C362" s="133" t="str">
        <f>'exp marks'!T363</f>
        <v>0</v>
      </c>
      <c r="D362" s="133" t="str">
        <f>'exp marks'!U363</f>
        <v>0</v>
      </c>
      <c r="E362" s="133" t="str">
        <f>'exp marks'!V363</f>
        <v>0</v>
      </c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</row>
    <row r="363" ht="21.75" customHeight="1">
      <c r="A363" s="146" t="str">
        <f>IF(BASE!B368="","",BASE!B368)</f>
        <v/>
      </c>
      <c r="B363" s="147" t="s">
        <v>122</v>
      </c>
      <c r="C363" s="133" t="str">
        <f>'exp marks'!T364</f>
        <v>0</v>
      </c>
      <c r="D363" s="133" t="str">
        <f>'exp marks'!U364</f>
        <v>0</v>
      </c>
      <c r="E363" s="133" t="str">
        <f>'exp marks'!V364</f>
        <v>0</v>
      </c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</row>
    <row r="364" ht="21.75" customHeight="1">
      <c r="A364" s="146" t="str">
        <f>IF(BASE!B369="","",BASE!B369)</f>
        <v/>
      </c>
      <c r="B364" s="147" t="s">
        <v>122</v>
      </c>
      <c r="C364" s="133" t="str">
        <f>'exp marks'!T365</f>
        <v>0</v>
      </c>
      <c r="D364" s="133" t="str">
        <f>'exp marks'!U365</f>
        <v>0</v>
      </c>
      <c r="E364" s="133" t="str">
        <f>'exp marks'!V365</f>
        <v>0</v>
      </c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</row>
    <row r="365" ht="21.75" customHeight="1">
      <c r="A365" s="146" t="str">
        <f>IF(BASE!B370="","",BASE!B370)</f>
        <v/>
      </c>
      <c r="B365" s="147" t="s">
        <v>122</v>
      </c>
      <c r="C365" s="133" t="str">
        <f>'exp marks'!T366</f>
        <v>0</v>
      </c>
      <c r="D365" s="133" t="str">
        <f>'exp marks'!U366</f>
        <v>0</v>
      </c>
      <c r="E365" s="133" t="str">
        <f>'exp marks'!V366</f>
        <v>0</v>
      </c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</row>
    <row r="366" ht="21.75" customHeight="1">
      <c r="A366" s="146" t="str">
        <f>IF(BASE!B371="","",BASE!B371)</f>
        <v/>
      </c>
      <c r="B366" s="147" t="s">
        <v>122</v>
      </c>
      <c r="C366" s="133" t="str">
        <f>'exp marks'!T367</f>
        <v>0</v>
      </c>
      <c r="D366" s="133" t="str">
        <f>'exp marks'!U367</f>
        <v>0</v>
      </c>
      <c r="E366" s="133" t="str">
        <f>'exp marks'!V367</f>
        <v>0</v>
      </c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</row>
    <row r="367" ht="21.75" customHeight="1">
      <c r="A367" s="146" t="str">
        <f>IF(BASE!B372="","",BASE!B372)</f>
        <v/>
      </c>
      <c r="B367" s="147" t="s">
        <v>122</v>
      </c>
      <c r="C367" s="133" t="str">
        <f>'exp marks'!T368</f>
        <v>0</v>
      </c>
      <c r="D367" s="133" t="str">
        <f>'exp marks'!U368</f>
        <v>0</v>
      </c>
      <c r="E367" s="133" t="str">
        <f>'exp marks'!V368</f>
        <v>0</v>
      </c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</row>
    <row r="368" ht="21.75" customHeight="1">
      <c r="A368" s="146" t="str">
        <f>IF(BASE!B373="","",BASE!B373)</f>
        <v/>
      </c>
      <c r="B368" s="147" t="s">
        <v>122</v>
      </c>
      <c r="C368" s="133" t="str">
        <f>'exp marks'!T369</f>
        <v>0</v>
      </c>
      <c r="D368" s="133" t="str">
        <f>'exp marks'!U369</f>
        <v>0</v>
      </c>
      <c r="E368" s="133" t="str">
        <f>'exp marks'!V369</f>
        <v>0</v>
      </c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</row>
    <row r="369" ht="21.75" customHeight="1">
      <c r="A369" s="146" t="str">
        <f>IF(BASE!B374="","",BASE!B374)</f>
        <v/>
      </c>
      <c r="B369" s="147" t="s">
        <v>122</v>
      </c>
      <c r="C369" s="133" t="str">
        <f>'exp marks'!T370</f>
        <v>0</v>
      </c>
      <c r="D369" s="133" t="str">
        <f>'exp marks'!U370</f>
        <v>0</v>
      </c>
      <c r="E369" s="133" t="str">
        <f>'exp marks'!V370</f>
        <v>0</v>
      </c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</row>
    <row r="370" ht="21.75" customHeight="1">
      <c r="A370" s="146" t="str">
        <f>IF(BASE!B375="","",BASE!B375)</f>
        <v/>
      </c>
      <c r="B370" s="147" t="s">
        <v>122</v>
      </c>
      <c r="C370" s="133" t="str">
        <f>'exp marks'!T371</f>
        <v>0</v>
      </c>
      <c r="D370" s="133" t="str">
        <f>'exp marks'!U371</f>
        <v>0</v>
      </c>
      <c r="E370" s="133" t="str">
        <f>'exp marks'!V371</f>
        <v>0</v>
      </c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</row>
    <row r="371" ht="21.75" customHeight="1">
      <c r="A371" s="146" t="str">
        <f>IF(BASE!B376="","",BASE!B376)</f>
        <v/>
      </c>
      <c r="B371" s="147" t="s">
        <v>122</v>
      </c>
      <c r="C371" s="133" t="str">
        <f>'exp marks'!T372</f>
        <v>0</v>
      </c>
      <c r="D371" s="133" t="str">
        <f>'exp marks'!U372</f>
        <v>0</v>
      </c>
      <c r="E371" s="133" t="str">
        <f>'exp marks'!V372</f>
        <v>0</v>
      </c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</row>
    <row r="372" ht="21.75" customHeight="1">
      <c r="A372" s="146" t="str">
        <f>IF(BASE!B377="","",BASE!B377)</f>
        <v/>
      </c>
      <c r="B372" s="147" t="s">
        <v>122</v>
      </c>
      <c r="C372" s="133" t="str">
        <f>'exp marks'!T373</f>
        <v>0</v>
      </c>
      <c r="D372" s="133" t="str">
        <f>'exp marks'!U373</f>
        <v>0</v>
      </c>
      <c r="E372" s="133" t="str">
        <f>'exp marks'!V373</f>
        <v>0</v>
      </c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</row>
    <row r="373" ht="21.75" customHeight="1">
      <c r="A373" s="146" t="str">
        <f>IF(BASE!B378="","",BASE!B378)</f>
        <v/>
      </c>
      <c r="B373" s="147" t="s">
        <v>122</v>
      </c>
      <c r="C373" s="133" t="str">
        <f>'exp marks'!T374</f>
        <v>0</v>
      </c>
      <c r="D373" s="133" t="str">
        <f>'exp marks'!U374</f>
        <v>0</v>
      </c>
      <c r="E373" s="133" t="str">
        <f>'exp marks'!V374</f>
        <v>0</v>
      </c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</row>
    <row r="374" ht="21.75" customHeight="1">
      <c r="A374" s="146" t="str">
        <f>IF(BASE!B379="","",BASE!B379)</f>
        <v/>
      </c>
      <c r="B374" s="147" t="s">
        <v>122</v>
      </c>
      <c r="C374" s="133" t="str">
        <f>'exp marks'!T375</f>
        <v>0</v>
      </c>
      <c r="D374" s="133" t="str">
        <f>'exp marks'!U375</f>
        <v>0</v>
      </c>
      <c r="E374" s="133" t="str">
        <f>'exp marks'!V375</f>
        <v>0</v>
      </c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</row>
    <row r="375" ht="21.75" customHeight="1">
      <c r="A375" s="146" t="str">
        <f>IF(BASE!B380="","",BASE!B380)</f>
        <v/>
      </c>
      <c r="B375" s="147" t="s">
        <v>122</v>
      </c>
      <c r="C375" s="133" t="str">
        <f>'exp marks'!T376</f>
        <v>0</v>
      </c>
      <c r="D375" s="133" t="str">
        <f>'exp marks'!U376</f>
        <v>0</v>
      </c>
      <c r="E375" s="133" t="str">
        <f>'exp marks'!V376</f>
        <v>0</v>
      </c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</row>
    <row r="376" ht="21.75" customHeight="1">
      <c r="A376" s="146" t="str">
        <f>IF(BASE!B381="","",BASE!B381)</f>
        <v/>
      </c>
      <c r="B376" s="147" t="s">
        <v>122</v>
      </c>
      <c r="C376" s="133" t="str">
        <f>'exp marks'!T377</f>
        <v>0</v>
      </c>
      <c r="D376" s="133" t="str">
        <f>'exp marks'!U377</f>
        <v>0</v>
      </c>
      <c r="E376" s="133" t="str">
        <f>'exp marks'!V377</f>
        <v>0</v>
      </c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</row>
    <row r="377" ht="21.75" customHeight="1">
      <c r="A377" s="146" t="str">
        <f>IF(BASE!B382="","",BASE!B382)</f>
        <v/>
      </c>
      <c r="B377" s="147" t="s">
        <v>122</v>
      </c>
      <c r="C377" s="133" t="str">
        <f>'exp marks'!T378</f>
        <v>0</v>
      </c>
      <c r="D377" s="133" t="str">
        <f>'exp marks'!U378</f>
        <v>0</v>
      </c>
      <c r="E377" s="133" t="str">
        <f>'exp marks'!V378</f>
        <v>0</v>
      </c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</row>
    <row r="378" ht="21.75" customHeight="1">
      <c r="A378" s="146" t="str">
        <f>IF(BASE!B383="","",BASE!B383)</f>
        <v/>
      </c>
      <c r="B378" s="147" t="s">
        <v>122</v>
      </c>
      <c r="C378" s="133" t="str">
        <f>'exp marks'!T379</f>
        <v>0</v>
      </c>
      <c r="D378" s="133" t="str">
        <f>'exp marks'!U379</f>
        <v>0</v>
      </c>
      <c r="E378" s="133" t="str">
        <f>'exp marks'!V379</f>
        <v>0</v>
      </c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</row>
    <row r="379" ht="21.75" customHeight="1">
      <c r="A379" s="146" t="str">
        <f>IF(BASE!B384="","",BASE!B384)</f>
        <v/>
      </c>
      <c r="B379" s="147" t="s">
        <v>122</v>
      </c>
      <c r="C379" s="133" t="str">
        <f>'exp marks'!T380</f>
        <v>0</v>
      </c>
      <c r="D379" s="133" t="str">
        <f>'exp marks'!U380</f>
        <v>0</v>
      </c>
      <c r="E379" s="133" t="str">
        <f>'exp marks'!V380</f>
        <v>0</v>
      </c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</row>
    <row r="380" ht="21.75" customHeight="1">
      <c r="A380" s="146" t="str">
        <f>IF(BASE!B385="","",BASE!B385)</f>
        <v/>
      </c>
      <c r="B380" s="147" t="s">
        <v>122</v>
      </c>
      <c r="C380" s="133" t="str">
        <f>'exp marks'!T381</f>
        <v>0</v>
      </c>
      <c r="D380" s="133" t="str">
        <f>'exp marks'!U381</f>
        <v>0</v>
      </c>
      <c r="E380" s="133" t="str">
        <f>'exp marks'!V381</f>
        <v>0</v>
      </c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</row>
    <row r="381" ht="21.75" customHeight="1">
      <c r="A381" s="146" t="str">
        <f>IF(BASE!B386="","",BASE!B386)</f>
        <v/>
      </c>
      <c r="B381" s="147" t="s">
        <v>122</v>
      </c>
      <c r="C381" s="133" t="str">
        <f>'exp marks'!T382</f>
        <v>0</v>
      </c>
      <c r="D381" s="133" t="str">
        <f>'exp marks'!U382</f>
        <v>0</v>
      </c>
      <c r="E381" s="133" t="str">
        <f>'exp marks'!V382</f>
        <v>0</v>
      </c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</row>
    <row r="382" ht="21.75" customHeight="1">
      <c r="A382" s="146" t="str">
        <f>IF(BASE!B387="","",BASE!B387)</f>
        <v/>
      </c>
      <c r="B382" s="147" t="s">
        <v>122</v>
      </c>
      <c r="C382" s="133" t="str">
        <f>'exp marks'!T383</f>
        <v>0</v>
      </c>
      <c r="D382" s="133" t="str">
        <f>'exp marks'!U383</f>
        <v>0</v>
      </c>
      <c r="E382" s="133" t="str">
        <f>'exp marks'!V383</f>
        <v>0</v>
      </c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</row>
    <row r="383" ht="21.75" customHeight="1">
      <c r="A383" s="146" t="str">
        <f>IF(BASE!B388="","",BASE!B388)</f>
        <v/>
      </c>
      <c r="B383" s="147" t="s">
        <v>122</v>
      </c>
      <c r="C383" s="133" t="str">
        <f>'exp marks'!T384</f>
        <v>0</v>
      </c>
      <c r="D383" s="133" t="str">
        <f>'exp marks'!U384</f>
        <v>0</v>
      </c>
      <c r="E383" s="133" t="str">
        <f>'exp marks'!V384</f>
        <v>0</v>
      </c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</row>
    <row r="384" ht="21.75" customHeight="1">
      <c r="A384" s="146" t="str">
        <f>IF(BASE!B389="","",BASE!B389)</f>
        <v/>
      </c>
      <c r="B384" s="147" t="s">
        <v>122</v>
      </c>
      <c r="C384" s="133" t="str">
        <f>'exp marks'!T385</f>
        <v>0</v>
      </c>
      <c r="D384" s="133" t="str">
        <f>'exp marks'!U385</f>
        <v>0</v>
      </c>
      <c r="E384" s="133" t="str">
        <f>'exp marks'!V385</f>
        <v>0</v>
      </c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</row>
    <row r="385" ht="21.75" customHeight="1">
      <c r="A385" s="146" t="str">
        <f>IF(BASE!B390="","",BASE!B390)</f>
        <v/>
      </c>
      <c r="B385" s="147" t="s">
        <v>122</v>
      </c>
      <c r="C385" s="133" t="str">
        <f>'exp marks'!T386</f>
        <v>0</v>
      </c>
      <c r="D385" s="133" t="str">
        <f>'exp marks'!U386</f>
        <v>0</v>
      </c>
      <c r="E385" s="133" t="str">
        <f>'exp marks'!V386</f>
        <v>0</v>
      </c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</row>
    <row r="386" ht="21.75" customHeight="1">
      <c r="A386" s="146" t="str">
        <f>IF(BASE!B391="","",BASE!B391)</f>
        <v/>
      </c>
      <c r="B386" s="147" t="s">
        <v>122</v>
      </c>
      <c r="C386" s="133" t="str">
        <f>'exp marks'!T387</f>
        <v>0</v>
      </c>
      <c r="D386" s="133" t="str">
        <f>'exp marks'!U387</f>
        <v>0</v>
      </c>
      <c r="E386" s="133" t="str">
        <f>'exp marks'!V387</f>
        <v>0</v>
      </c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</row>
    <row r="387" ht="21.75" customHeight="1">
      <c r="A387" s="146" t="str">
        <f>IF(BASE!B392="","",BASE!B392)</f>
        <v/>
      </c>
      <c r="B387" s="147" t="s">
        <v>122</v>
      </c>
      <c r="C387" s="133" t="str">
        <f>'exp marks'!T388</f>
        <v>0</v>
      </c>
      <c r="D387" s="133" t="str">
        <f>'exp marks'!U388</f>
        <v>0</v>
      </c>
      <c r="E387" s="133" t="str">
        <f>'exp marks'!V388</f>
        <v>0</v>
      </c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</row>
    <row r="388" ht="21.75" customHeight="1">
      <c r="A388" s="146" t="str">
        <f>IF(BASE!B393="","",BASE!B393)</f>
        <v/>
      </c>
      <c r="B388" s="147" t="s">
        <v>122</v>
      </c>
      <c r="C388" s="133" t="str">
        <f>'exp marks'!T389</f>
        <v>0</v>
      </c>
      <c r="D388" s="133" t="str">
        <f>'exp marks'!U389</f>
        <v>0</v>
      </c>
      <c r="E388" s="133" t="str">
        <f>'exp marks'!V389</f>
        <v>0</v>
      </c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</row>
    <row r="389" ht="21.75" customHeight="1">
      <c r="A389" s="146" t="str">
        <f>IF(BASE!B394="","",BASE!B394)</f>
        <v/>
      </c>
      <c r="B389" s="147" t="s">
        <v>122</v>
      </c>
      <c r="C389" s="133" t="str">
        <f>'exp marks'!T390</f>
        <v>0</v>
      </c>
      <c r="D389" s="133" t="str">
        <f>'exp marks'!U390</f>
        <v>0</v>
      </c>
      <c r="E389" s="133" t="str">
        <f>'exp marks'!V390</f>
        <v>0</v>
      </c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</row>
    <row r="390" ht="21.75" customHeight="1">
      <c r="A390" s="146" t="str">
        <f>IF(BASE!B395="","",BASE!B395)</f>
        <v/>
      </c>
      <c r="B390" s="147" t="s">
        <v>122</v>
      </c>
      <c r="C390" s="133" t="str">
        <f>'exp marks'!T391</f>
        <v>0</v>
      </c>
      <c r="D390" s="133" t="str">
        <f>'exp marks'!U391</f>
        <v>0</v>
      </c>
      <c r="E390" s="133" t="str">
        <f>'exp marks'!V391</f>
        <v>0</v>
      </c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</row>
    <row r="391" ht="21.75" customHeight="1">
      <c r="A391" s="146" t="str">
        <f>IF(BASE!B396="","",BASE!B396)</f>
        <v/>
      </c>
      <c r="B391" s="147" t="s">
        <v>122</v>
      </c>
      <c r="C391" s="133" t="str">
        <f>'exp marks'!T392</f>
        <v>0</v>
      </c>
      <c r="D391" s="133" t="str">
        <f>'exp marks'!U392</f>
        <v>0</v>
      </c>
      <c r="E391" s="133" t="str">
        <f>'exp marks'!V392</f>
        <v>0</v>
      </c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</row>
    <row r="392" ht="21.75" customHeight="1">
      <c r="A392" s="146" t="str">
        <f>IF(BASE!B397="","",BASE!B397)</f>
        <v/>
      </c>
      <c r="B392" s="147" t="s">
        <v>122</v>
      </c>
      <c r="C392" s="133" t="str">
        <f>'exp marks'!T393</f>
        <v>0</v>
      </c>
      <c r="D392" s="133" t="str">
        <f>'exp marks'!U393</f>
        <v>0</v>
      </c>
      <c r="E392" s="133" t="str">
        <f>'exp marks'!V393</f>
        <v>0</v>
      </c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</row>
    <row r="393" ht="21.75" customHeight="1">
      <c r="A393" s="146" t="str">
        <f>IF(BASE!B398="","",BASE!B398)</f>
        <v/>
      </c>
      <c r="B393" s="147" t="s">
        <v>122</v>
      </c>
      <c r="C393" s="133" t="str">
        <f>'exp marks'!T394</f>
        <v>0</v>
      </c>
      <c r="D393" s="133" t="str">
        <f>'exp marks'!U394</f>
        <v>0</v>
      </c>
      <c r="E393" s="133" t="str">
        <f>'exp marks'!V394</f>
        <v>0</v>
      </c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</row>
    <row r="394" ht="21.75" customHeight="1">
      <c r="A394" s="146" t="str">
        <f>IF(BASE!B399="","",BASE!B399)</f>
        <v/>
      </c>
      <c r="B394" s="147" t="s">
        <v>122</v>
      </c>
      <c r="C394" s="133" t="str">
        <f>'exp marks'!T395</f>
        <v>0</v>
      </c>
      <c r="D394" s="133" t="str">
        <f>'exp marks'!U395</f>
        <v>0</v>
      </c>
      <c r="E394" s="133" t="str">
        <f>'exp marks'!V395</f>
        <v>0</v>
      </c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</row>
    <row r="395" ht="21.75" customHeight="1">
      <c r="A395" s="146" t="str">
        <f>IF(BASE!B400="","",BASE!B400)</f>
        <v/>
      </c>
      <c r="B395" s="147" t="s">
        <v>122</v>
      </c>
      <c r="C395" s="133" t="str">
        <f>'exp marks'!T396</f>
        <v>0</v>
      </c>
      <c r="D395" s="133" t="str">
        <f>'exp marks'!U396</f>
        <v>0</v>
      </c>
      <c r="E395" s="133" t="str">
        <f>'exp marks'!V396</f>
        <v>0</v>
      </c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</row>
    <row r="396" ht="21.75" customHeight="1">
      <c r="A396" s="146" t="str">
        <f>IF(BASE!B401="","",BASE!B401)</f>
        <v/>
      </c>
      <c r="B396" s="147" t="s">
        <v>122</v>
      </c>
      <c r="C396" s="133" t="str">
        <f>'exp marks'!T397</f>
        <v>0</v>
      </c>
      <c r="D396" s="133" t="str">
        <f>'exp marks'!U397</f>
        <v>0</v>
      </c>
      <c r="E396" s="133" t="str">
        <f>'exp marks'!V397</f>
        <v>0</v>
      </c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</row>
    <row r="397" ht="21.75" customHeight="1">
      <c r="A397" s="146" t="str">
        <f>IF(BASE!B402="","",BASE!B402)</f>
        <v/>
      </c>
      <c r="B397" s="147" t="s">
        <v>122</v>
      </c>
      <c r="C397" s="133" t="str">
        <f>'exp marks'!T398</f>
        <v>0</v>
      </c>
      <c r="D397" s="133" t="str">
        <f>'exp marks'!U398</f>
        <v>0</v>
      </c>
      <c r="E397" s="133" t="str">
        <f>'exp marks'!V398</f>
        <v>0</v>
      </c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</row>
    <row r="398" ht="21.75" customHeight="1">
      <c r="A398" s="146" t="str">
        <f>IF(BASE!B403="","",BASE!B403)</f>
        <v/>
      </c>
      <c r="B398" s="147" t="s">
        <v>122</v>
      </c>
      <c r="C398" s="133" t="str">
        <f>'exp marks'!T399</f>
        <v>0</v>
      </c>
      <c r="D398" s="133" t="str">
        <f>'exp marks'!U399</f>
        <v>0</v>
      </c>
      <c r="E398" s="133" t="str">
        <f>'exp marks'!V399</f>
        <v>0</v>
      </c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</row>
    <row r="399" ht="21.75" customHeight="1">
      <c r="A399" s="146" t="str">
        <f>IF(BASE!B404="","",BASE!B404)</f>
        <v/>
      </c>
      <c r="B399" s="147" t="s">
        <v>122</v>
      </c>
      <c r="C399" s="133" t="str">
        <f>'exp marks'!T400</f>
        <v>0</v>
      </c>
      <c r="D399" s="133" t="str">
        <f>'exp marks'!U400</f>
        <v>0</v>
      </c>
      <c r="E399" s="133" t="str">
        <f>'exp marks'!V400</f>
        <v>0</v>
      </c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</row>
    <row r="400" ht="21.75" customHeight="1">
      <c r="A400" s="146" t="str">
        <f>IF(BASE!B405="","",BASE!B405)</f>
        <v/>
      </c>
      <c r="B400" s="147" t="s">
        <v>122</v>
      </c>
      <c r="C400" s="133" t="str">
        <f>'exp marks'!T401</f>
        <v>0</v>
      </c>
      <c r="D400" s="133" t="str">
        <f>'exp marks'!U401</f>
        <v>0</v>
      </c>
      <c r="E400" s="133" t="str">
        <f>'exp marks'!V401</f>
        <v>0</v>
      </c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</row>
    <row r="401" ht="21.75" customHeight="1">
      <c r="A401" s="146" t="str">
        <f>IF(BASE!B406="","",BASE!B406)</f>
        <v/>
      </c>
      <c r="B401" s="147" t="s">
        <v>122</v>
      </c>
      <c r="C401" s="133" t="str">
        <f>'exp marks'!T402</f>
        <v>0</v>
      </c>
      <c r="D401" s="133" t="str">
        <f>'exp marks'!U402</f>
        <v>0</v>
      </c>
      <c r="E401" s="133" t="str">
        <f>'exp marks'!V402</f>
        <v>0</v>
      </c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</row>
    <row r="402" ht="21.75" customHeight="1">
      <c r="A402" s="146" t="str">
        <f>IF(BASE!B407="","",BASE!B407)</f>
        <v/>
      </c>
      <c r="B402" s="147" t="s">
        <v>122</v>
      </c>
      <c r="C402" s="133" t="str">
        <f>'exp marks'!T403</f>
        <v>0</v>
      </c>
      <c r="D402" s="133" t="str">
        <f>'exp marks'!U403</f>
        <v>0</v>
      </c>
      <c r="E402" s="133" t="str">
        <f>'exp marks'!V403</f>
        <v>0</v>
      </c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</row>
    <row r="403" ht="21.75" customHeight="1">
      <c r="A403" s="146" t="str">
        <f>IF(BASE!B408="","",BASE!B408)</f>
        <v/>
      </c>
      <c r="B403" s="147" t="s">
        <v>122</v>
      </c>
      <c r="C403" s="133" t="str">
        <f>'exp marks'!T404</f>
        <v>0</v>
      </c>
      <c r="D403" s="133" t="str">
        <f>'exp marks'!U404</f>
        <v>0</v>
      </c>
      <c r="E403" s="133" t="str">
        <f>'exp marks'!V404</f>
        <v>0</v>
      </c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</row>
    <row r="404" ht="21.75" customHeight="1">
      <c r="A404" s="146" t="str">
        <f>IF(BASE!B409="","",BASE!B409)</f>
        <v/>
      </c>
      <c r="B404" s="147" t="s">
        <v>122</v>
      </c>
      <c r="C404" s="133" t="str">
        <f>'exp marks'!T405</f>
        <v>0</v>
      </c>
      <c r="D404" s="133" t="str">
        <f>'exp marks'!U405</f>
        <v>0</v>
      </c>
      <c r="E404" s="133" t="str">
        <f>'exp marks'!V405</f>
        <v>0</v>
      </c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</row>
    <row r="405" ht="21.75" customHeight="1">
      <c r="A405" s="146" t="str">
        <f>IF(BASE!B410="","",BASE!B410)</f>
        <v/>
      </c>
      <c r="B405" s="147" t="s">
        <v>122</v>
      </c>
      <c r="C405" s="133" t="str">
        <f>'exp marks'!T406</f>
        <v>0</v>
      </c>
      <c r="D405" s="133" t="str">
        <f>'exp marks'!U406</f>
        <v>0</v>
      </c>
      <c r="E405" s="133" t="str">
        <f>'exp marks'!V406</f>
        <v>0</v>
      </c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</row>
    <row r="406" ht="21.75" customHeight="1">
      <c r="A406" s="146" t="str">
        <f>IF(BASE!B411="","",BASE!B411)</f>
        <v/>
      </c>
      <c r="B406" s="147" t="s">
        <v>122</v>
      </c>
      <c r="C406" s="133" t="str">
        <f>'exp marks'!T407</f>
        <v>0</v>
      </c>
      <c r="D406" s="133" t="str">
        <f>'exp marks'!U407</f>
        <v>0</v>
      </c>
      <c r="E406" s="133" t="str">
        <f>'exp marks'!V407</f>
        <v>0</v>
      </c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</row>
    <row r="407" ht="21.75" customHeight="1">
      <c r="A407" s="146" t="str">
        <f>IF(BASE!B412="","",BASE!B412)</f>
        <v/>
      </c>
      <c r="B407" s="147" t="s">
        <v>122</v>
      </c>
      <c r="C407" s="133" t="str">
        <f>'exp marks'!T408</f>
        <v>0</v>
      </c>
      <c r="D407" s="133" t="str">
        <f>'exp marks'!U408</f>
        <v>0</v>
      </c>
      <c r="E407" s="133" t="str">
        <f>'exp marks'!V408</f>
        <v>0</v>
      </c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</row>
    <row r="408" ht="21.75" customHeight="1">
      <c r="A408" s="146" t="str">
        <f>IF(BASE!B413="","",BASE!B413)</f>
        <v/>
      </c>
      <c r="B408" s="147" t="s">
        <v>122</v>
      </c>
      <c r="C408" s="133" t="str">
        <f>'exp marks'!T409</f>
        <v>0</v>
      </c>
      <c r="D408" s="133" t="str">
        <f>'exp marks'!U409</f>
        <v>0</v>
      </c>
      <c r="E408" s="133" t="str">
        <f>'exp marks'!V409</f>
        <v>0</v>
      </c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</row>
    <row r="409" ht="21.75" customHeight="1">
      <c r="A409" s="146" t="str">
        <f>IF(BASE!B414="","",BASE!B414)</f>
        <v/>
      </c>
      <c r="B409" s="147" t="s">
        <v>122</v>
      </c>
      <c r="C409" s="133" t="str">
        <f>'exp marks'!T410</f>
        <v>0</v>
      </c>
      <c r="D409" s="133" t="str">
        <f>'exp marks'!U410</f>
        <v>0</v>
      </c>
      <c r="E409" s="133" t="str">
        <f>'exp marks'!V410</f>
        <v>0</v>
      </c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</row>
    <row r="410" ht="21.75" customHeight="1">
      <c r="A410" s="146" t="str">
        <f>IF(BASE!B415="","",BASE!B415)</f>
        <v/>
      </c>
      <c r="B410" s="147" t="s">
        <v>122</v>
      </c>
      <c r="C410" s="133" t="str">
        <f>'exp marks'!T411</f>
        <v>0</v>
      </c>
      <c r="D410" s="133" t="str">
        <f>'exp marks'!U411</f>
        <v>0</v>
      </c>
      <c r="E410" s="133" t="str">
        <f>'exp marks'!V411</f>
        <v>0</v>
      </c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</row>
    <row r="411" ht="21.75" customHeight="1">
      <c r="A411" s="146" t="str">
        <f>IF(BASE!B416="","",BASE!B416)</f>
        <v/>
      </c>
      <c r="B411" s="147" t="s">
        <v>122</v>
      </c>
      <c r="C411" s="133" t="str">
        <f>'exp marks'!T412</f>
        <v>0</v>
      </c>
      <c r="D411" s="133" t="str">
        <f>'exp marks'!U412</f>
        <v>0</v>
      </c>
      <c r="E411" s="133" t="str">
        <f>'exp marks'!V412</f>
        <v>0</v>
      </c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</row>
    <row r="412" ht="21.75" customHeight="1">
      <c r="A412" s="146" t="str">
        <f>IF(BASE!B417="","",BASE!B417)</f>
        <v/>
      </c>
      <c r="B412" s="147" t="s">
        <v>122</v>
      </c>
      <c r="C412" s="133" t="str">
        <f>'exp marks'!T413</f>
        <v>0</v>
      </c>
      <c r="D412" s="133" t="str">
        <f>'exp marks'!U413</f>
        <v>0</v>
      </c>
      <c r="E412" s="133" t="str">
        <f>'exp marks'!V413</f>
        <v>0</v>
      </c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</row>
    <row r="413" ht="21.75" customHeight="1">
      <c r="A413" s="146" t="str">
        <f>IF(BASE!B418="","",BASE!B418)</f>
        <v/>
      </c>
      <c r="B413" s="147" t="s">
        <v>122</v>
      </c>
      <c r="C413" s="133" t="str">
        <f>'exp marks'!T414</f>
        <v>0</v>
      </c>
      <c r="D413" s="133" t="str">
        <f>'exp marks'!U414</f>
        <v>0</v>
      </c>
      <c r="E413" s="133" t="str">
        <f>'exp marks'!V414</f>
        <v>0</v>
      </c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</row>
    <row r="414" ht="21.75" customHeight="1">
      <c r="A414" s="146" t="str">
        <f>IF(BASE!B419="","",BASE!B419)</f>
        <v/>
      </c>
      <c r="B414" s="147" t="s">
        <v>122</v>
      </c>
      <c r="C414" s="133" t="str">
        <f>'exp marks'!T415</f>
        <v>0</v>
      </c>
      <c r="D414" s="133" t="str">
        <f>'exp marks'!U415</f>
        <v>0</v>
      </c>
      <c r="E414" s="133" t="str">
        <f>'exp marks'!V415</f>
        <v>0</v>
      </c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</row>
    <row r="415" ht="21.75" customHeight="1">
      <c r="A415" s="146" t="str">
        <f>IF(BASE!B420="","",BASE!B420)</f>
        <v/>
      </c>
      <c r="B415" s="147" t="s">
        <v>122</v>
      </c>
      <c r="C415" s="133" t="str">
        <f>'exp marks'!T416</f>
        <v>0</v>
      </c>
      <c r="D415" s="133" t="str">
        <f>'exp marks'!U416</f>
        <v>0</v>
      </c>
      <c r="E415" s="133" t="str">
        <f>'exp marks'!V416</f>
        <v>0</v>
      </c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</row>
    <row r="416" ht="21.75" customHeight="1">
      <c r="A416" s="146" t="str">
        <f>IF(BASE!B421="","",BASE!B421)</f>
        <v/>
      </c>
      <c r="B416" s="147" t="s">
        <v>122</v>
      </c>
      <c r="C416" s="133" t="str">
        <f>'exp marks'!T417</f>
        <v>0</v>
      </c>
      <c r="D416" s="133" t="str">
        <f>'exp marks'!U417</f>
        <v>0</v>
      </c>
      <c r="E416" s="133" t="str">
        <f>'exp marks'!V417</f>
        <v>0</v>
      </c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</row>
    <row r="417" ht="21.75" customHeight="1">
      <c r="A417" s="146" t="str">
        <f>IF(BASE!B422="","",BASE!B422)</f>
        <v/>
      </c>
      <c r="B417" s="147" t="s">
        <v>122</v>
      </c>
      <c r="C417" s="133" t="str">
        <f>'exp marks'!T418</f>
        <v>0</v>
      </c>
      <c r="D417" s="133" t="str">
        <f>'exp marks'!U418</f>
        <v>0</v>
      </c>
      <c r="E417" s="133" t="str">
        <f>'exp marks'!V418</f>
        <v>0</v>
      </c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</row>
    <row r="418" ht="21.75" customHeight="1">
      <c r="A418" s="146" t="str">
        <f>IF(BASE!B423="","",BASE!B423)</f>
        <v/>
      </c>
      <c r="B418" s="147" t="s">
        <v>122</v>
      </c>
      <c r="C418" s="133" t="str">
        <f>'exp marks'!T419</f>
        <v>0</v>
      </c>
      <c r="D418" s="133" t="str">
        <f>'exp marks'!U419</f>
        <v>0</v>
      </c>
      <c r="E418" s="133" t="str">
        <f>'exp marks'!V419</f>
        <v>0</v>
      </c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</row>
    <row r="419" ht="21.75" customHeight="1">
      <c r="A419" s="146" t="str">
        <f>IF(BASE!B424="","",BASE!B424)</f>
        <v/>
      </c>
      <c r="B419" s="147" t="s">
        <v>122</v>
      </c>
      <c r="C419" s="133" t="str">
        <f>'exp marks'!T420</f>
        <v>0</v>
      </c>
      <c r="D419" s="133" t="str">
        <f>'exp marks'!U420</f>
        <v>0</v>
      </c>
      <c r="E419" s="133" t="str">
        <f>'exp marks'!V420</f>
        <v>0</v>
      </c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</row>
    <row r="420" ht="21.75" customHeight="1">
      <c r="A420" s="146" t="str">
        <f>IF(BASE!B425="","",BASE!B425)</f>
        <v/>
      </c>
      <c r="B420" s="147" t="s">
        <v>122</v>
      </c>
      <c r="C420" s="133" t="str">
        <f>'exp marks'!T421</f>
        <v>0</v>
      </c>
      <c r="D420" s="133" t="str">
        <f>'exp marks'!U421</f>
        <v>0</v>
      </c>
      <c r="E420" s="133" t="str">
        <f>'exp marks'!V421</f>
        <v>0</v>
      </c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</row>
    <row r="421" ht="21.75" customHeight="1">
      <c r="A421" s="146" t="str">
        <f>IF(BASE!B426="","",BASE!B426)</f>
        <v/>
      </c>
      <c r="B421" s="147" t="s">
        <v>122</v>
      </c>
      <c r="C421" s="133" t="str">
        <f>'exp marks'!T422</f>
        <v>0</v>
      </c>
      <c r="D421" s="133" t="str">
        <f>'exp marks'!U422</f>
        <v>0</v>
      </c>
      <c r="E421" s="133" t="str">
        <f>'exp marks'!V422</f>
        <v>0</v>
      </c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</row>
    <row r="422" ht="21.75" customHeight="1">
      <c r="A422" s="146" t="str">
        <f>IF(BASE!B427="","",BASE!B427)</f>
        <v/>
      </c>
      <c r="B422" s="147" t="s">
        <v>122</v>
      </c>
      <c r="C422" s="133" t="str">
        <f>'exp marks'!T423</f>
        <v>0</v>
      </c>
      <c r="D422" s="133" t="str">
        <f>'exp marks'!U423</f>
        <v>0</v>
      </c>
      <c r="E422" s="133" t="str">
        <f>'exp marks'!V423</f>
        <v>0</v>
      </c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</row>
    <row r="423" ht="21.75" customHeight="1">
      <c r="A423" s="146" t="str">
        <f>IF(BASE!B428="","",BASE!B428)</f>
        <v/>
      </c>
      <c r="B423" s="147" t="s">
        <v>122</v>
      </c>
      <c r="C423" s="133" t="str">
        <f>'exp marks'!T424</f>
        <v>0</v>
      </c>
      <c r="D423" s="133" t="str">
        <f>'exp marks'!U424</f>
        <v>0</v>
      </c>
      <c r="E423" s="133" t="str">
        <f>'exp marks'!V424</f>
        <v>0</v>
      </c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</row>
    <row r="424" ht="21.75" customHeight="1">
      <c r="A424" s="146" t="str">
        <f>IF(BASE!B429="","",BASE!B429)</f>
        <v/>
      </c>
      <c r="B424" s="147" t="s">
        <v>122</v>
      </c>
      <c r="C424" s="133" t="str">
        <f>'exp marks'!T425</f>
        <v>0</v>
      </c>
      <c r="D424" s="133" t="str">
        <f>'exp marks'!U425</f>
        <v>0</v>
      </c>
      <c r="E424" s="133" t="str">
        <f>'exp marks'!V425</f>
        <v>0</v>
      </c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</row>
    <row r="425" ht="21.75" customHeight="1">
      <c r="A425" s="146" t="str">
        <f>IF(BASE!B430="","",BASE!B430)</f>
        <v/>
      </c>
      <c r="B425" s="147" t="s">
        <v>122</v>
      </c>
      <c r="C425" s="133" t="str">
        <f>'exp marks'!T426</f>
        <v>0</v>
      </c>
      <c r="D425" s="133" t="str">
        <f>'exp marks'!U426</f>
        <v>0</v>
      </c>
      <c r="E425" s="133" t="str">
        <f>'exp marks'!V426</f>
        <v>0</v>
      </c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</row>
    <row r="426" ht="21.75" customHeight="1">
      <c r="A426" s="146" t="str">
        <f>IF(BASE!B431="","",BASE!B431)</f>
        <v/>
      </c>
      <c r="B426" s="147" t="s">
        <v>122</v>
      </c>
      <c r="C426" s="133" t="str">
        <f>'exp marks'!T427</f>
        <v>0</v>
      </c>
      <c r="D426" s="133" t="str">
        <f>'exp marks'!U427</f>
        <v>0</v>
      </c>
      <c r="E426" s="133" t="str">
        <f>'exp marks'!V427</f>
        <v>0</v>
      </c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</row>
    <row r="427" ht="21.75" customHeight="1">
      <c r="A427" s="146" t="str">
        <f>IF(BASE!B432="","",BASE!B432)</f>
        <v/>
      </c>
      <c r="B427" s="147" t="s">
        <v>122</v>
      </c>
      <c r="C427" s="133" t="str">
        <f>'exp marks'!T428</f>
        <v>0</v>
      </c>
      <c r="D427" s="133" t="str">
        <f>'exp marks'!U428</f>
        <v>0</v>
      </c>
      <c r="E427" s="133" t="str">
        <f>'exp marks'!V428</f>
        <v>0</v>
      </c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</row>
    <row r="428" ht="21.75" customHeight="1">
      <c r="A428" s="146" t="str">
        <f>IF(BASE!B433="","",BASE!B433)</f>
        <v/>
      </c>
      <c r="B428" s="147" t="s">
        <v>122</v>
      </c>
      <c r="C428" s="133" t="str">
        <f>'exp marks'!T429</f>
        <v>0</v>
      </c>
      <c r="D428" s="133" t="str">
        <f>'exp marks'!U429</f>
        <v>0</v>
      </c>
      <c r="E428" s="133" t="str">
        <f>'exp marks'!V429</f>
        <v>0</v>
      </c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</row>
    <row r="429" ht="21.75" customHeight="1">
      <c r="A429" s="146" t="str">
        <f>IF(BASE!B434="","",BASE!B434)</f>
        <v/>
      </c>
      <c r="B429" s="147" t="s">
        <v>122</v>
      </c>
      <c r="C429" s="133" t="str">
        <f>'exp marks'!T430</f>
        <v>0</v>
      </c>
      <c r="D429" s="133" t="str">
        <f>'exp marks'!U430</f>
        <v>0</v>
      </c>
      <c r="E429" s="133" t="str">
        <f>'exp marks'!V430</f>
        <v>0</v>
      </c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</row>
    <row r="430" ht="21.75" customHeight="1">
      <c r="A430" s="146" t="str">
        <f>IF(BASE!B435="","",BASE!B435)</f>
        <v/>
      </c>
      <c r="B430" s="147" t="s">
        <v>122</v>
      </c>
      <c r="C430" s="133" t="str">
        <f>'exp marks'!T431</f>
        <v>0</v>
      </c>
      <c r="D430" s="133" t="str">
        <f>'exp marks'!U431</f>
        <v>0</v>
      </c>
      <c r="E430" s="133" t="str">
        <f>'exp marks'!V431</f>
        <v>0</v>
      </c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</row>
    <row r="431" ht="21.75" customHeight="1">
      <c r="A431" s="146" t="str">
        <f>IF(BASE!B436="","",BASE!B436)</f>
        <v/>
      </c>
      <c r="B431" s="147" t="s">
        <v>122</v>
      </c>
      <c r="C431" s="133" t="str">
        <f>'exp marks'!T432</f>
        <v>0</v>
      </c>
      <c r="D431" s="133" t="str">
        <f>'exp marks'!U432</f>
        <v>0</v>
      </c>
      <c r="E431" s="133" t="str">
        <f>'exp marks'!V432</f>
        <v>0</v>
      </c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</row>
    <row r="432" ht="21.75" customHeight="1">
      <c r="A432" s="146" t="str">
        <f>IF(BASE!B437="","",BASE!B437)</f>
        <v/>
      </c>
      <c r="B432" s="147" t="s">
        <v>122</v>
      </c>
      <c r="C432" s="133" t="str">
        <f>'exp marks'!T433</f>
        <v>0</v>
      </c>
      <c r="D432" s="133" t="str">
        <f>'exp marks'!U433</f>
        <v>0</v>
      </c>
      <c r="E432" s="133" t="str">
        <f>'exp marks'!V433</f>
        <v>0</v>
      </c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</row>
    <row r="433" ht="21.75" customHeight="1">
      <c r="A433" s="146" t="str">
        <f>IF(BASE!B438="","",BASE!B438)</f>
        <v/>
      </c>
      <c r="B433" s="147" t="s">
        <v>122</v>
      </c>
      <c r="C433" s="133" t="str">
        <f>'exp marks'!T434</f>
        <v>0</v>
      </c>
      <c r="D433" s="133" t="str">
        <f>'exp marks'!U434</f>
        <v>0</v>
      </c>
      <c r="E433" s="133" t="str">
        <f>'exp marks'!V434</f>
        <v>0</v>
      </c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</row>
    <row r="434" ht="21.75" customHeight="1">
      <c r="A434" s="146" t="str">
        <f>IF(BASE!B439="","",BASE!B439)</f>
        <v/>
      </c>
      <c r="B434" s="147" t="s">
        <v>122</v>
      </c>
      <c r="C434" s="133" t="str">
        <f>'exp marks'!T435</f>
        <v>0</v>
      </c>
      <c r="D434" s="133" t="str">
        <f>'exp marks'!U435</f>
        <v>0</v>
      </c>
      <c r="E434" s="133" t="str">
        <f>'exp marks'!V435</f>
        <v>0</v>
      </c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</row>
    <row r="435" ht="21.75" customHeight="1">
      <c r="A435" s="146" t="str">
        <f>IF(BASE!B440="","",BASE!B440)</f>
        <v/>
      </c>
      <c r="B435" s="147" t="s">
        <v>122</v>
      </c>
      <c r="C435" s="133" t="str">
        <f>'exp marks'!T436</f>
        <v>0</v>
      </c>
      <c r="D435" s="133" t="str">
        <f>'exp marks'!U436</f>
        <v>0</v>
      </c>
      <c r="E435" s="133" t="str">
        <f>'exp marks'!V436</f>
        <v>0</v>
      </c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</row>
    <row r="436" ht="21.75" customHeight="1">
      <c r="A436" s="146" t="str">
        <f>IF(BASE!B441="","",BASE!B441)</f>
        <v/>
      </c>
      <c r="B436" s="147" t="s">
        <v>122</v>
      </c>
      <c r="C436" s="133" t="str">
        <f>'exp marks'!T437</f>
        <v>0</v>
      </c>
      <c r="D436" s="133" t="str">
        <f>'exp marks'!U437</f>
        <v>0</v>
      </c>
      <c r="E436" s="133" t="str">
        <f>'exp marks'!V437</f>
        <v>0</v>
      </c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</row>
    <row r="437" ht="21.75" customHeight="1">
      <c r="A437" s="146" t="str">
        <f>IF(BASE!B442="","",BASE!B442)</f>
        <v/>
      </c>
      <c r="B437" s="147" t="s">
        <v>122</v>
      </c>
      <c r="C437" s="133" t="str">
        <f>'exp marks'!T438</f>
        <v>0</v>
      </c>
      <c r="D437" s="133" t="str">
        <f>'exp marks'!U438</f>
        <v>0</v>
      </c>
      <c r="E437" s="133" t="str">
        <f>'exp marks'!V438</f>
        <v>0</v>
      </c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</row>
    <row r="438" ht="21.75" customHeight="1">
      <c r="A438" s="146" t="str">
        <f>IF(BASE!B443="","",BASE!B443)</f>
        <v/>
      </c>
      <c r="B438" s="147" t="s">
        <v>122</v>
      </c>
      <c r="C438" s="133" t="str">
        <f>'exp marks'!T439</f>
        <v>0</v>
      </c>
      <c r="D438" s="133" t="str">
        <f>'exp marks'!U439</f>
        <v>0</v>
      </c>
      <c r="E438" s="133" t="str">
        <f>'exp marks'!V439</f>
        <v>0</v>
      </c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</row>
    <row r="439" ht="21.75" customHeight="1">
      <c r="A439" s="146" t="str">
        <f>IF(BASE!B444="","",BASE!B444)</f>
        <v/>
      </c>
      <c r="B439" s="147" t="s">
        <v>122</v>
      </c>
      <c r="C439" s="133" t="str">
        <f>'exp marks'!T440</f>
        <v>0</v>
      </c>
      <c r="D439" s="133" t="str">
        <f>'exp marks'!U440</f>
        <v>0</v>
      </c>
      <c r="E439" s="133" t="str">
        <f>'exp marks'!V440</f>
        <v>0</v>
      </c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</row>
    <row r="440" ht="21.75" customHeight="1">
      <c r="A440" s="146" t="str">
        <f>IF(BASE!B445="","",BASE!B445)</f>
        <v/>
      </c>
      <c r="B440" s="147" t="s">
        <v>122</v>
      </c>
      <c r="C440" s="133" t="str">
        <f>'exp marks'!T441</f>
        <v>0</v>
      </c>
      <c r="D440" s="133" t="str">
        <f>'exp marks'!U441</f>
        <v>0</v>
      </c>
      <c r="E440" s="133" t="str">
        <f>'exp marks'!V441</f>
        <v>0</v>
      </c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</row>
    <row r="441" ht="21.75" customHeight="1">
      <c r="A441" s="146" t="str">
        <f>IF(BASE!B446="","",BASE!B446)</f>
        <v/>
      </c>
      <c r="B441" s="147" t="s">
        <v>122</v>
      </c>
      <c r="C441" s="133" t="str">
        <f>'exp marks'!T442</f>
        <v>0</v>
      </c>
      <c r="D441" s="133" t="str">
        <f>'exp marks'!U442</f>
        <v>0</v>
      </c>
      <c r="E441" s="133" t="str">
        <f>'exp marks'!V442</f>
        <v>0</v>
      </c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</row>
    <row r="442" ht="21.75" customHeight="1">
      <c r="A442" s="146" t="str">
        <f>IF(BASE!B447="","",BASE!B447)</f>
        <v/>
      </c>
      <c r="B442" s="147" t="s">
        <v>122</v>
      </c>
      <c r="C442" s="133" t="str">
        <f>'exp marks'!T443</f>
        <v>0</v>
      </c>
      <c r="D442" s="133" t="str">
        <f>'exp marks'!U443</f>
        <v>0</v>
      </c>
      <c r="E442" s="133" t="str">
        <f>'exp marks'!V443</f>
        <v>0</v>
      </c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</row>
    <row r="443" ht="21.75" customHeight="1">
      <c r="A443" s="146" t="str">
        <f>IF(BASE!B448="","",BASE!B448)</f>
        <v/>
      </c>
      <c r="B443" s="147" t="s">
        <v>122</v>
      </c>
      <c r="C443" s="133" t="str">
        <f>'exp marks'!T444</f>
        <v>0</v>
      </c>
      <c r="D443" s="133" t="str">
        <f>'exp marks'!U444</f>
        <v>0</v>
      </c>
      <c r="E443" s="133" t="str">
        <f>'exp marks'!V444</f>
        <v>0</v>
      </c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</row>
    <row r="444" ht="21.75" customHeight="1">
      <c r="A444" s="146" t="str">
        <f>IF(BASE!B449="","",BASE!B449)</f>
        <v/>
      </c>
      <c r="B444" s="147" t="s">
        <v>122</v>
      </c>
      <c r="C444" s="133" t="str">
        <f>'exp marks'!T445</f>
        <v>0</v>
      </c>
      <c r="D444" s="133" t="str">
        <f>'exp marks'!U445</f>
        <v>0</v>
      </c>
      <c r="E444" s="133" t="str">
        <f>'exp marks'!V445</f>
        <v>0</v>
      </c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</row>
    <row r="445" ht="21.75" customHeight="1">
      <c r="A445" s="146" t="str">
        <f>IF(BASE!B450="","",BASE!B450)</f>
        <v/>
      </c>
      <c r="B445" s="147" t="s">
        <v>122</v>
      </c>
      <c r="C445" s="133" t="str">
        <f>'exp marks'!T446</f>
        <v>0</v>
      </c>
      <c r="D445" s="133" t="str">
        <f>'exp marks'!U446</f>
        <v>0</v>
      </c>
      <c r="E445" s="133" t="str">
        <f>'exp marks'!V446</f>
        <v>0</v>
      </c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</row>
    <row r="446" ht="21.75" customHeight="1">
      <c r="A446" s="146" t="str">
        <f>IF(BASE!B451="","",BASE!B451)</f>
        <v/>
      </c>
      <c r="B446" s="147" t="s">
        <v>122</v>
      </c>
      <c r="C446" s="133" t="str">
        <f>'exp marks'!T447</f>
        <v>0</v>
      </c>
      <c r="D446" s="133" t="str">
        <f>'exp marks'!U447</f>
        <v>0</v>
      </c>
      <c r="E446" s="133" t="str">
        <f>'exp marks'!V447</f>
        <v>0</v>
      </c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</row>
    <row r="447" ht="21.75" customHeight="1">
      <c r="A447" s="146" t="str">
        <f>IF(BASE!B452="","",BASE!B452)</f>
        <v/>
      </c>
      <c r="B447" s="147" t="s">
        <v>122</v>
      </c>
      <c r="C447" s="133" t="str">
        <f>'exp marks'!T448</f>
        <v>0</v>
      </c>
      <c r="D447" s="133" t="str">
        <f>'exp marks'!U448</f>
        <v>0</v>
      </c>
      <c r="E447" s="133" t="str">
        <f>'exp marks'!V448</f>
        <v>0</v>
      </c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</row>
    <row r="448" ht="21.75" customHeight="1">
      <c r="A448" s="146" t="str">
        <f>IF(BASE!B453="","",BASE!B453)</f>
        <v/>
      </c>
      <c r="B448" s="147" t="s">
        <v>122</v>
      </c>
      <c r="C448" s="133" t="str">
        <f>'exp marks'!T449</f>
        <v>0</v>
      </c>
      <c r="D448" s="133" t="str">
        <f>'exp marks'!U449</f>
        <v>0</v>
      </c>
      <c r="E448" s="133" t="str">
        <f>'exp marks'!V449</f>
        <v>0</v>
      </c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</row>
    <row r="449" ht="21.75" customHeight="1">
      <c r="A449" s="146" t="str">
        <f>IF(BASE!B454="","",BASE!B454)</f>
        <v/>
      </c>
      <c r="B449" s="147" t="s">
        <v>122</v>
      </c>
      <c r="C449" s="133" t="str">
        <f>'exp marks'!T450</f>
        <v>0</v>
      </c>
      <c r="D449" s="133" t="str">
        <f>'exp marks'!U450</f>
        <v>0</v>
      </c>
      <c r="E449" s="133" t="str">
        <f>'exp marks'!V450</f>
        <v>0</v>
      </c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</row>
    <row r="450" ht="21.75" customHeight="1">
      <c r="A450" s="146" t="str">
        <f>IF(BASE!B455="","",BASE!B455)</f>
        <v/>
      </c>
      <c r="B450" s="147" t="s">
        <v>122</v>
      </c>
      <c r="C450" s="133" t="str">
        <f>'exp marks'!T451</f>
        <v>0</v>
      </c>
      <c r="D450" s="133" t="str">
        <f>'exp marks'!U451</f>
        <v>0</v>
      </c>
      <c r="E450" s="133" t="str">
        <f>'exp marks'!V451</f>
        <v>0</v>
      </c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</row>
    <row r="451" ht="21.75" customHeight="1">
      <c r="A451" s="146" t="str">
        <f>IF(BASE!B456="","",BASE!B456)</f>
        <v/>
      </c>
      <c r="B451" s="147" t="s">
        <v>122</v>
      </c>
      <c r="C451" s="133" t="str">
        <f>'exp marks'!T452</f>
        <v>0</v>
      </c>
      <c r="D451" s="133" t="str">
        <f>'exp marks'!U452</f>
        <v>0</v>
      </c>
      <c r="E451" s="133" t="str">
        <f>'exp marks'!V452</f>
        <v>0</v>
      </c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</row>
    <row r="452" ht="21.75" customHeight="1">
      <c r="A452" s="146" t="str">
        <f>IF(BASE!B457="","",BASE!B457)</f>
        <v/>
      </c>
      <c r="B452" s="147" t="s">
        <v>122</v>
      </c>
      <c r="C452" s="133" t="str">
        <f>'exp marks'!T453</f>
        <v>0</v>
      </c>
      <c r="D452" s="133" t="str">
        <f>'exp marks'!U453</f>
        <v>0</v>
      </c>
      <c r="E452" s="133" t="str">
        <f>'exp marks'!V453</f>
        <v>0</v>
      </c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</row>
    <row r="453" ht="21.75" customHeight="1">
      <c r="A453" s="146" t="str">
        <f>IF(BASE!B458="","",BASE!B458)</f>
        <v/>
      </c>
      <c r="B453" s="147" t="s">
        <v>122</v>
      </c>
      <c r="C453" s="133" t="str">
        <f>'exp marks'!T454</f>
        <v>0</v>
      </c>
      <c r="D453" s="133" t="str">
        <f>'exp marks'!U454</f>
        <v>0</v>
      </c>
      <c r="E453" s="133" t="str">
        <f>'exp marks'!V454</f>
        <v>0</v>
      </c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</row>
    <row r="454" ht="21.75" customHeight="1">
      <c r="A454" s="146" t="str">
        <f>IF(BASE!B459="","",BASE!B459)</f>
        <v/>
      </c>
      <c r="B454" s="147" t="s">
        <v>122</v>
      </c>
      <c r="C454" s="133" t="str">
        <f>'exp marks'!T455</f>
        <v>0</v>
      </c>
      <c r="D454" s="133" t="str">
        <f>'exp marks'!U455</f>
        <v>0</v>
      </c>
      <c r="E454" s="133" t="str">
        <f>'exp marks'!V455</f>
        <v>0</v>
      </c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</row>
    <row r="455" ht="21.75" customHeight="1">
      <c r="A455" s="146" t="str">
        <f>IF(BASE!B460="","",BASE!B460)</f>
        <v/>
      </c>
      <c r="B455" s="147" t="s">
        <v>122</v>
      </c>
      <c r="C455" s="133" t="str">
        <f>'exp marks'!T456</f>
        <v>0</v>
      </c>
      <c r="D455" s="133" t="str">
        <f>'exp marks'!U456</f>
        <v>0</v>
      </c>
      <c r="E455" s="133" t="str">
        <f>'exp marks'!V456</f>
        <v>0</v>
      </c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</row>
    <row r="456" ht="21.75" customHeight="1">
      <c r="A456" s="146" t="str">
        <f>IF(BASE!B461="","",BASE!B461)</f>
        <v/>
      </c>
      <c r="B456" s="147" t="s">
        <v>122</v>
      </c>
      <c r="C456" s="133" t="str">
        <f>'exp marks'!T457</f>
        <v>0</v>
      </c>
      <c r="D456" s="133" t="str">
        <f>'exp marks'!U457</f>
        <v>0</v>
      </c>
      <c r="E456" s="133" t="str">
        <f>'exp marks'!V457</f>
        <v>0</v>
      </c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</row>
    <row r="457" ht="21.75" customHeight="1">
      <c r="A457" s="146" t="str">
        <f>IF(BASE!B462="","",BASE!B462)</f>
        <v/>
      </c>
      <c r="B457" s="147" t="s">
        <v>122</v>
      </c>
      <c r="C457" s="133" t="str">
        <f>'exp marks'!T458</f>
        <v>0</v>
      </c>
      <c r="D457" s="133" t="str">
        <f>'exp marks'!U458</f>
        <v>0</v>
      </c>
      <c r="E457" s="133" t="str">
        <f>'exp marks'!V458</f>
        <v>0</v>
      </c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</row>
    <row r="458" ht="21.75" customHeight="1">
      <c r="A458" s="146" t="str">
        <f>IF(BASE!B463="","",BASE!B463)</f>
        <v/>
      </c>
      <c r="B458" s="147" t="s">
        <v>122</v>
      </c>
      <c r="C458" s="133" t="str">
        <f>'exp marks'!T459</f>
        <v>0</v>
      </c>
      <c r="D458" s="133" t="str">
        <f>'exp marks'!U459</f>
        <v>0</v>
      </c>
      <c r="E458" s="133" t="str">
        <f>'exp marks'!V459</f>
        <v>0</v>
      </c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</row>
    <row r="459" ht="21.75" customHeight="1">
      <c r="A459" s="146" t="str">
        <f>IF(BASE!B464="","",BASE!B464)</f>
        <v/>
      </c>
      <c r="B459" s="147" t="s">
        <v>122</v>
      </c>
      <c r="C459" s="133" t="str">
        <f>'exp marks'!T460</f>
        <v>0</v>
      </c>
      <c r="D459" s="133" t="str">
        <f>'exp marks'!U460</f>
        <v>0</v>
      </c>
      <c r="E459" s="133" t="str">
        <f>'exp marks'!V460</f>
        <v>0</v>
      </c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</row>
    <row r="460" ht="21.75" customHeight="1">
      <c r="A460" s="146" t="str">
        <f>IF(BASE!B465="","",BASE!B465)</f>
        <v/>
      </c>
      <c r="B460" s="147" t="s">
        <v>122</v>
      </c>
      <c r="C460" s="133" t="str">
        <f>'exp marks'!T461</f>
        <v>0</v>
      </c>
      <c r="D460" s="133" t="str">
        <f>'exp marks'!U461</f>
        <v>0</v>
      </c>
      <c r="E460" s="133" t="str">
        <f>'exp marks'!V461</f>
        <v>0</v>
      </c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</row>
    <row r="461" ht="17.25" customHeight="1">
      <c r="A461" s="148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</row>
    <row r="462" ht="19.5" customHeight="1">
      <c r="A462" s="133" t="s">
        <v>142</v>
      </c>
      <c r="B462" s="149"/>
      <c r="C462" s="95" t="str">
        <f t="shared" ref="C462:G462" si="1">IFERROR(AVERAGEIF(C11:C460,"&lt;&gt;0"),"")</f>
        <v/>
      </c>
      <c r="D462" s="95" t="str">
        <f t="shared" si="1"/>
        <v/>
      </c>
      <c r="E462" s="95" t="str">
        <f t="shared" si="1"/>
        <v/>
      </c>
      <c r="F462" s="150" t="str">
        <f t="shared" si="1"/>
        <v/>
      </c>
      <c r="G462" s="150" t="str">
        <f t="shared" si="1"/>
        <v/>
      </c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</row>
    <row r="463" ht="70.5" customHeight="1">
      <c r="A463" s="151" t="s">
        <v>143</v>
      </c>
      <c r="B463" s="149"/>
      <c r="C463" s="133" t="str">
        <f t="shared" ref="C463:E463" si="2">COUNTIF(C11:C460,"&gt;="&amp;C462)</f>
        <v>0</v>
      </c>
      <c r="D463" s="133" t="str">
        <f t="shared" si="2"/>
        <v>0</v>
      </c>
      <c r="E463" s="133" t="str">
        <f t="shared" si="2"/>
        <v>0</v>
      </c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</row>
    <row r="464" ht="61.5" customHeight="1">
      <c r="A464" s="135" t="s">
        <v>144</v>
      </c>
      <c r="B464" s="149"/>
      <c r="C464" s="95" t="str">
        <f t="shared" ref="C464:E464" si="3">IFERROR(MIN((C463/$G$7)*100,100),"")</f>
        <v>0.0</v>
      </c>
      <c r="D464" s="95" t="str">
        <f t="shared" si="3"/>
        <v>0.0</v>
      </c>
      <c r="E464" s="95" t="str">
        <f t="shared" si="3"/>
        <v>0.0</v>
      </c>
      <c r="F464" s="150"/>
      <c r="G464" s="150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</row>
    <row r="465" ht="17.25" customHeight="1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</row>
    <row r="466" ht="17.25" customHeight="1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</row>
    <row r="467" ht="17.25" customHeight="1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</row>
    <row r="468" ht="17.25" customHeight="1">
      <c r="A468" s="89"/>
      <c r="B468" s="152"/>
      <c r="C468" s="152"/>
      <c r="D468" s="152"/>
      <c r="E468" s="152"/>
      <c r="F468" s="152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</row>
    <row r="469" ht="17.25" customHeight="1">
      <c r="A469" s="89"/>
      <c r="B469" s="152"/>
      <c r="C469" s="152"/>
      <c r="D469" s="152"/>
      <c r="E469" s="152"/>
      <c r="F469" s="152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</row>
    <row r="470" ht="17.25" customHeight="1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</row>
    <row r="471" ht="17.25" customHeight="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</row>
    <row r="472" ht="17.25" customHeight="1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</row>
    <row r="473" ht="17.25" customHeight="1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</row>
    <row r="474" ht="17.25" customHeight="1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</row>
    <row r="475" ht="17.25" customHeight="1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</row>
    <row r="476" ht="17.25" customHeight="1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</row>
    <row r="477" ht="17.25" customHeight="1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</row>
    <row r="478" ht="17.25" customHeight="1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</row>
    <row r="479" ht="17.25" customHeight="1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</row>
    <row r="480" ht="17.25" customHeight="1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</row>
    <row r="481" ht="17.25" customHeight="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</row>
    <row r="482" ht="17.25" customHeight="1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</row>
    <row r="483" ht="17.25" customHeight="1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</row>
    <row r="484" ht="17.25" customHeight="1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</row>
    <row r="485" ht="17.25" customHeight="1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</row>
    <row r="486" ht="17.25" customHeight="1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</row>
    <row r="487" ht="17.25" customHeight="1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</row>
    <row r="488" ht="17.25" customHeight="1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</row>
    <row r="489" ht="17.25" customHeight="1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</row>
    <row r="490" ht="17.25" customHeight="1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</row>
    <row r="491" ht="17.25" customHeight="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</row>
    <row r="492" ht="17.25" customHeight="1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</row>
    <row r="493" ht="17.25" customHeight="1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</row>
    <row r="494" ht="17.25" customHeight="1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</row>
    <row r="495" ht="17.25" customHeight="1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</row>
    <row r="496" ht="17.25" customHeight="1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</row>
    <row r="497" ht="17.25" customHeight="1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</row>
    <row r="498" ht="17.25" customHeight="1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</row>
    <row r="499" ht="17.25" customHeight="1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</row>
    <row r="500" ht="17.25" customHeight="1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</row>
    <row r="501" ht="17.25" customHeight="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</row>
    <row r="502" ht="17.25" customHeight="1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</row>
    <row r="503" ht="17.25" customHeight="1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</row>
    <row r="504" ht="17.25" customHeight="1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</row>
    <row r="505" ht="17.25" customHeight="1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</row>
    <row r="506" ht="17.25" customHeight="1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</row>
    <row r="507" ht="17.25" customHeight="1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</row>
    <row r="508" ht="17.25" customHeight="1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</row>
    <row r="509" ht="17.25" customHeight="1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</row>
    <row r="510" ht="17.25" customHeight="1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</row>
    <row r="511" ht="17.25" customHeight="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</row>
    <row r="512" ht="17.25" customHeight="1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</row>
    <row r="513" ht="17.25" customHeight="1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</row>
    <row r="514" ht="17.25" customHeight="1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</row>
    <row r="515" ht="17.25" customHeight="1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</row>
    <row r="516" ht="17.25" customHeight="1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</row>
    <row r="517" ht="17.25" customHeight="1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</row>
    <row r="518" ht="17.25" customHeight="1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</row>
    <row r="519" ht="17.25" customHeight="1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</row>
    <row r="520" ht="17.25" customHeight="1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</row>
    <row r="521" ht="17.25" customHeight="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</row>
    <row r="522" ht="17.25" customHeight="1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</row>
    <row r="523" ht="17.25" customHeight="1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</row>
    <row r="524" ht="17.25" customHeight="1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</row>
    <row r="525" ht="17.25" customHeight="1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</row>
    <row r="526" ht="17.25" customHeight="1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</row>
    <row r="527" ht="17.25" customHeight="1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</row>
    <row r="528" ht="17.25" customHeight="1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</row>
    <row r="529" ht="17.25" customHeight="1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</row>
    <row r="530" ht="17.25" customHeight="1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</row>
    <row r="531" ht="17.25" customHeight="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</row>
    <row r="532" ht="17.25" customHeight="1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</row>
    <row r="533" ht="17.25" customHeight="1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</row>
    <row r="534" ht="17.25" customHeight="1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</row>
    <row r="535" ht="17.25" customHeight="1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</row>
    <row r="536" ht="17.25" customHeight="1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</row>
    <row r="537" ht="17.25" customHeight="1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</row>
    <row r="538" ht="17.25" customHeight="1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</row>
    <row r="539" ht="17.25" customHeight="1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</row>
    <row r="540" ht="17.25" customHeight="1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</row>
    <row r="541" ht="17.25" customHeight="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</row>
    <row r="542" ht="17.25" customHeight="1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</row>
    <row r="543" ht="17.25" customHeight="1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</row>
    <row r="544" ht="17.25" customHeight="1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</row>
    <row r="545" ht="17.25" customHeight="1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</row>
    <row r="546" ht="17.25" customHeight="1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</row>
    <row r="547" ht="17.25" customHeight="1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</row>
    <row r="548" ht="17.25" customHeight="1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</row>
    <row r="549" ht="17.25" customHeight="1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</row>
    <row r="550" ht="17.25" customHeight="1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</row>
    <row r="551" ht="17.25" customHeight="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</row>
    <row r="552" ht="17.25" customHeight="1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</row>
    <row r="553" ht="17.25" customHeight="1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</row>
    <row r="554" ht="17.25" customHeight="1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</row>
    <row r="555" ht="17.25" customHeight="1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</row>
    <row r="556" ht="17.25" customHeight="1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</row>
    <row r="557" ht="17.25" customHeight="1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</row>
    <row r="558" ht="17.25" customHeight="1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</row>
    <row r="559" ht="17.25" customHeight="1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</row>
    <row r="560" ht="17.25" customHeight="1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</row>
    <row r="561" ht="17.25" customHeight="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</row>
    <row r="562" ht="17.25" customHeight="1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</row>
    <row r="563" ht="17.25" customHeight="1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</row>
    <row r="564" ht="17.25" customHeight="1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</row>
    <row r="565" ht="17.25" customHeight="1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</row>
    <row r="566" ht="17.25" customHeight="1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</row>
    <row r="567" ht="17.25" customHeight="1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</row>
    <row r="568" ht="17.25" customHeight="1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</row>
    <row r="569" ht="17.25" customHeight="1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</row>
    <row r="570" ht="17.25" customHeight="1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</row>
    <row r="571" ht="17.25" customHeight="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</row>
    <row r="572" ht="17.25" customHeight="1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</row>
    <row r="573" ht="17.25" customHeight="1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</row>
    <row r="574" ht="17.25" customHeight="1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</row>
    <row r="575" ht="17.25" customHeight="1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</row>
    <row r="576" ht="17.25" customHeight="1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</row>
    <row r="577" ht="17.25" customHeight="1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</row>
    <row r="578" ht="17.25" customHeight="1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</row>
    <row r="579" ht="17.25" customHeight="1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</row>
    <row r="580" ht="17.25" customHeight="1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</row>
    <row r="581" ht="17.25" customHeight="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</row>
    <row r="582" ht="17.25" customHeight="1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</row>
    <row r="583" ht="17.25" customHeight="1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</row>
    <row r="584" ht="17.25" customHeight="1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</row>
    <row r="585" ht="17.25" customHeight="1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</row>
    <row r="586" ht="17.25" customHeight="1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</row>
    <row r="587" ht="17.25" customHeight="1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</row>
    <row r="588" ht="17.25" customHeight="1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</row>
    <row r="589" ht="17.25" customHeight="1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</row>
    <row r="590" ht="17.25" customHeight="1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</row>
    <row r="591" ht="17.25" customHeight="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</row>
    <row r="592" ht="17.25" customHeight="1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</row>
    <row r="593" ht="17.25" customHeight="1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</row>
    <row r="594" ht="17.25" customHeight="1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</row>
    <row r="595" ht="17.25" customHeight="1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</row>
    <row r="596" ht="17.25" customHeight="1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</row>
    <row r="597" ht="17.25" customHeight="1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</row>
    <row r="598" ht="17.25" customHeight="1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</row>
    <row r="599" ht="17.25" customHeight="1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</row>
    <row r="600" ht="17.25" customHeight="1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</row>
    <row r="601" ht="17.25" customHeight="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</row>
    <row r="602" ht="17.25" customHeight="1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</row>
    <row r="603" ht="17.25" customHeight="1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</row>
    <row r="604" ht="17.25" customHeight="1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</row>
    <row r="605" ht="17.25" customHeight="1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</row>
    <row r="606" ht="17.25" customHeight="1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</row>
    <row r="607" ht="17.25" customHeight="1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</row>
    <row r="608" ht="17.25" customHeight="1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</row>
    <row r="609" ht="17.25" customHeight="1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</row>
    <row r="610" ht="17.25" customHeight="1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</row>
    <row r="611" ht="17.25" customHeight="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</row>
    <row r="612" ht="17.25" customHeight="1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</row>
    <row r="613" ht="17.25" customHeight="1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</row>
    <row r="614" ht="17.25" customHeight="1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</row>
    <row r="615" ht="17.25" customHeight="1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</row>
    <row r="616" ht="17.25" customHeight="1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</row>
    <row r="617" ht="17.25" customHeight="1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</row>
    <row r="618" ht="17.25" customHeight="1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</row>
    <row r="619" ht="17.25" customHeight="1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</row>
    <row r="620" ht="17.25" customHeight="1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</row>
    <row r="621" ht="17.25" customHeight="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</row>
    <row r="622" ht="17.25" customHeight="1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</row>
    <row r="623" ht="17.25" customHeight="1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</row>
    <row r="624" ht="17.25" customHeight="1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</row>
    <row r="625" ht="17.25" customHeight="1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</row>
    <row r="626" ht="17.25" customHeight="1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</row>
    <row r="627" ht="17.25" customHeight="1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</row>
    <row r="628" ht="17.25" customHeight="1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</row>
    <row r="629" ht="17.25" customHeight="1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</row>
    <row r="630" ht="17.25" customHeight="1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</row>
    <row r="631" ht="17.25" customHeight="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</row>
    <row r="632" ht="17.25" customHeight="1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</row>
    <row r="633" ht="17.25" customHeight="1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</row>
    <row r="634" ht="17.25" customHeight="1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</row>
    <row r="635" ht="17.25" customHeight="1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</row>
    <row r="636" ht="17.25" customHeight="1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</row>
    <row r="637" ht="17.25" customHeight="1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</row>
    <row r="638" ht="17.25" customHeight="1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</row>
    <row r="639" ht="17.25" customHeight="1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</row>
    <row r="640" ht="17.25" customHeight="1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</row>
    <row r="641" ht="17.25" customHeight="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</row>
    <row r="642" ht="17.25" customHeight="1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</row>
    <row r="643" ht="17.25" customHeight="1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</row>
    <row r="644" ht="17.25" customHeight="1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</row>
    <row r="645" ht="17.25" customHeight="1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</row>
    <row r="646" ht="17.25" customHeight="1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</row>
    <row r="647" ht="17.25" customHeight="1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</row>
    <row r="648" ht="17.25" customHeight="1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</row>
    <row r="649" ht="17.25" customHeight="1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</row>
    <row r="650" ht="17.25" customHeight="1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</row>
    <row r="651" ht="17.25" customHeight="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</row>
    <row r="652" ht="17.25" customHeight="1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</row>
    <row r="653" ht="17.25" customHeight="1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</row>
    <row r="654" ht="17.25" customHeight="1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</row>
    <row r="655" ht="17.25" customHeight="1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</row>
    <row r="656" ht="17.25" customHeight="1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</row>
    <row r="657" ht="17.25" customHeight="1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</row>
    <row r="658" ht="17.25" customHeight="1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</row>
    <row r="659" ht="17.25" customHeight="1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</row>
    <row r="660" ht="17.25" customHeight="1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</row>
    <row r="661" ht="17.25" customHeight="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</row>
    <row r="662" ht="17.25" customHeight="1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</row>
    <row r="663" ht="17.25" customHeight="1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</row>
    <row r="664" ht="17.25" customHeight="1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</row>
  </sheetData>
  <mergeCells count="12">
    <mergeCell ref="C5:D5"/>
    <mergeCell ref="E5:K5"/>
    <mergeCell ref="C6:E6"/>
    <mergeCell ref="C7:F7"/>
    <mergeCell ref="C10:G10"/>
    <mergeCell ref="A1:K1"/>
    <mergeCell ref="A2:K2"/>
    <mergeCell ref="A3:K3"/>
    <mergeCell ref="C4:D4"/>
    <mergeCell ref="E4:G4"/>
    <mergeCell ref="H4:I4"/>
    <mergeCell ref="J4:K4"/>
  </mergeCells>
  <printOptions horizontalCentered="1"/>
  <pageMargins bottom="0.5" footer="0.0" header="0.0" left="0.45" right="0.2" top="0.5"/>
  <pageSetup paperSize="9" orientation="portrait"/>
  <rowBreaks count="2" manualBreakCount="2">
    <brk id="70" man="1"/>
    <brk id="40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78"/>
    <col customWidth="1" min="2" max="2" width="6.56"/>
    <col customWidth="1" min="3" max="3" width="5.56"/>
    <col customWidth="1" min="4" max="7" width="3.67"/>
    <col customWidth="1" min="8" max="8" width="4.56"/>
    <col customWidth="1" min="9" max="23" width="2.89"/>
    <col customWidth="1" min="24" max="24" width="7.78"/>
    <col customWidth="1" min="25" max="25" width="7.56"/>
    <col customWidth="1" min="26" max="29" width="6.78"/>
    <col customWidth="1" min="30" max="30" width="9.33"/>
  </cols>
  <sheetData>
    <row r="1" ht="23.25" customHeight="1">
      <c r="A1" s="153" t="str">
        <f>BASE!A7</f>
        <v/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5"/>
      <c r="Y1" s="156" t="str">
        <f>BASE!A7</f>
        <v/>
      </c>
      <c r="Z1" s="27"/>
      <c r="AA1" s="27"/>
      <c r="AB1" s="27"/>
      <c r="AC1" s="27"/>
      <c r="AD1" s="28"/>
    </row>
    <row r="2" ht="23.25" customHeight="1">
      <c r="A2" s="157" t="str">
        <f>+BASE!A8</f>
        <v/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8"/>
      <c r="Y2" s="156" t="str">
        <f>BASE!A8</f>
        <v/>
      </c>
      <c r="Z2" s="27"/>
      <c r="AA2" s="27"/>
      <c r="AB2" s="27"/>
      <c r="AC2" s="27"/>
      <c r="AD2" s="28"/>
    </row>
    <row r="3" ht="23.25" customHeight="1">
      <c r="A3" s="157" t="str">
        <f>+BASE!A9</f>
        <v>LABORATORY COURSE OUTCOME ANALYSIS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8"/>
      <c r="Y3" s="156" t="str">
        <f>BASE!A9</f>
        <v>LABORATORY COURSE OUTCOME ANALYSIS</v>
      </c>
      <c r="Z3" s="27"/>
      <c r="AA3" s="27"/>
      <c r="AB3" s="27"/>
      <c r="AC3" s="27"/>
      <c r="AD3" s="28"/>
    </row>
    <row r="4" ht="34.5" customHeight="1">
      <c r="A4" s="158" t="str">
        <f>BASE!A11</f>
        <v>Name of Faculty(s)</v>
      </c>
      <c r="B4" s="159" t="s">
        <v>122</v>
      </c>
      <c r="C4" s="160" t="str">
        <f>BASE!D11</f>
        <v>a</v>
      </c>
      <c r="D4" s="2"/>
      <c r="E4" s="2"/>
      <c r="F4" s="2"/>
      <c r="G4" s="3"/>
      <c r="H4" s="160" t="str">
        <f>BASE!G11</f>
        <v>b</v>
      </c>
      <c r="I4" s="2"/>
      <c r="J4" s="2"/>
      <c r="K4" s="2"/>
      <c r="L4" s="2"/>
      <c r="M4" s="3"/>
      <c r="N4" s="161" t="str">
        <f>BASE!J11</f>
        <v>c</v>
      </c>
      <c r="O4" s="2"/>
      <c r="P4" s="2"/>
      <c r="Q4" s="2"/>
      <c r="R4" s="3"/>
      <c r="S4" s="161" t="str">
        <f>BASE!M11</f>
        <v>d</v>
      </c>
      <c r="T4" s="2"/>
      <c r="U4" s="2"/>
      <c r="V4" s="2"/>
      <c r="W4" s="2"/>
      <c r="X4" s="3"/>
      <c r="Y4" s="160" t="s">
        <v>123</v>
      </c>
      <c r="Z4" s="3"/>
      <c r="AA4" s="162" t="str">
        <f>C5</f>
        <v/>
      </c>
      <c r="AB4" s="2"/>
      <c r="AC4" s="2"/>
      <c r="AD4" s="3"/>
    </row>
    <row r="5" ht="51.75" customHeight="1">
      <c r="A5" s="158" t="str">
        <f>BASE!A12</f>
        <v>Course Code and Name</v>
      </c>
      <c r="B5" s="159" t="s">
        <v>122</v>
      </c>
      <c r="C5" s="160" t="str">
        <f>BASE!D12</f>
        <v/>
      </c>
      <c r="D5" s="2"/>
      <c r="E5" s="2"/>
      <c r="F5" s="3"/>
      <c r="G5" s="160" t="str">
        <f>BASE!G12</f>
        <v>XXXXXXXX XXXXX XXXXXXXX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3"/>
      <c r="Y5" s="162" t="s">
        <v>124</v>
      </c>
      <c r="Z5" s="3"/>
      <c r="AA5" s="160" t="str">
        <f>G5</f>
        <v>XXXXXXXX XXXXX XXXXXXXX</v>
      </c>
      <c r="AB5" s="2"/>
      <c r="AC5" s="2"/>
      <c r="AD5" s="3"/>
    </row>
    <row r="6" ht="51.0" customHeight="1">
      <c r="A6" s="163" t="str">
        <f>BASE!A13</f>
        <v>Branch / Year / Semester</v>
      </c>
      <c r="B6" s="164" t="s">
        <v>122</v>
      </c>
      <c r="C6" s="160" t="str">
        <f>+BASE!D13</f>
        <v>abcd</v>
      </c>
      <c r="D6" s="2"/>
      <c r="E6" s="2"/>
      <c r="F6" s="3"/>
      <c r="G6" s="51" t="str">
        <f>BASE!H13</f>
        <v>II</v>
      </c>
      <c r="H6" s="3"/>
      <c r="I6" s="51" t="str">
        <f>BASE!L13</f>
        <v>IV</v>
      </c>
      <c r="J6" s="3"/>
      <c r="K6" s="51" t="s">
        <v>145</v>
      </c>
      <c r="L6" s="2"/>
      <c r="M6" s="3"/>
      <c r="N6" s="165" t="s">
        <v>122</v>
      </c>
      <c r="O6" s="166"/>
      <c r="P6" s="2"/>
      <c r="Q6" s="2"/>
      <c r="R6" s="3"/>
      <c r="S6" s="167"/>
      <c r="T6" s="2"/>
      <c r="U6" s="2"/>
      <c r="V6" s="2"/>
      <c r="W6" s="2"/>
      <c r="X6" s="3"/>
      <c r="Y6" s="160" t="str">
        <f>BASE!A13</f>
        <v>Branch / Year / Semester</v>
      </c>
      <c r="Z6" s="3"/>
      <c r="AA6" s="162" t="str">
        <f>BASE!D13</f>
        <v>abcd</v>
      </c>
      <c r="AB6" s="3"/>
      <c r="AC6" s="159" t="str">
        <f>BASE!H13</f>
        <v>II</v>
      </c>
      <c r="AD6" s="159" t="str">
        <f>BASE!L13</f>
        <v>IV</v>
      </c>
    </row>
    <row r="7" ht="54.75" customHeight="1">
      <c r="A7" s="158" t="s">
        <v>146</v>
      </c>
      <c r="B7" s="168" t="s">
        <v>122</v>
      </c>
      <c r="C7" s="162" t="s">
        <v>147</v>
      </c>
      <c r="D7" s="2"/>
      <c r="E7" s="2"/>
      <c r="F7" s="3"/>
      <c r="G7" s="120" t="s">
        <v>125</v>
      </c>
      <c r="H7" s="2"/>
      <c r="I7" s="2"/>
      <c r="J7" s="3"/>
      <c r="K7" s="169" t="s">
        <v>122</v>
      </c>
      <c r="L7" s="122" t="str">
        <f>ROWS(A12:A480)-COUNTIF(A12:A480,"")</f>
        <v>46</v>
      </c>
      <c r="M7" s="2"/>
      <c r="N7" s="3"/>
      <c r="O7" s="36" t="s">
        <v>126</v>
      </c>
      <c r="P7" s="2"/>
      <c r="Q7" s="3"/>
      <c r="R7" s="121" t="s">
        <v>122</v>
      </c>
      <c r="S7" s="170"/>
      <c r="T7" s="2"/>
      <c r="U7" s="2"/>
      <c r="V7" s="2"/>
      <c r="W7" s="2"/>
      <c r="X7" s="3"/>
      <c r="Y7" s="160" t="s">
        <v>148</v>
      </c>
      <c r="Z7" s="3"/>
      <c r="AA7" s="162" t="str">
        <f>C7</f>
        <v>ESE</v>
      </c>
      <c r="AB7" s="2"/>
      <c r="AC7" s="2"/>
      <c r="AD7" s="3"/>
    </row>
    <row r="8" ht="54.75" customHeight="1">
      <c r="A8" s="171"/>
      <c r="B8" s="172"/>
      <c r="C8" s="172"/>
      <c r="D8" s="25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1"/>
      <c r="Z8" s="25"/>
      <c r="AA8" s="173"/>
      <c r="AB8" s="172"/>
      <c r="AC8" s="174"/>
      <c r="AD8" s="174"/>
    </row>
    <row r="9" ht="22.5" customHeight="1">
      <c r="A9" s="175" t="s">
        <v>127</v>
      </c>
      <c r="B9" s="159" t="s">
        <v>128</v>
      </c>
      <c r="C9" s="176"/>
      <c r="D9" s="2"/>
      <c r="E9" s="2"/>
      <c r="F9" s="2"/>
      <c r="G9" s="3"/>
      <c r="H9" s="177" t="s">
        <v>149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8"/>
      <c r="X9" s="175" t="s">
        <v>129</v>
      </c>
      <c r="Y9" s="175" t="s">
        <v>2</v>
      </c>
      <c r="Z9" s="159" t="s">
        <v>130</v>
      </c>
      <c r="AA9" s="159" t="s">
        <v>131</v>
      </c>
      <c r="AB9" s="159" t="s">
        <v>132</v>
      </c>
      <c r="AC9" s="159"/>
      <c r="AD9" s="159"/>
    </row>
    <row r="10" ht="32.25" customHeight="1">
      <c r="A10" s="70"/>
      <c r="B10" s="158" t="s">
        <v>133</v>
      </c>
      <c r="C10" s="136">
        <v>33.33</v>
      </c>
      <c r="D10" s="136">
        <v>33.33</v>
      </c>
      <c r="E10" s="136">
        <v>33.34</v>
      </c>
      <c r="F10" s="159"/>
      <c r="G10" s="159"/>
      <c r="H10" s="159">
        <v>100.0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78"/>
      <c r="X10" s="70"/>
      <c r="Y10" s="70"/>
      <c r="Z10" s="177" t="str">
        <f t="shared" ref="Z10:AB10" si="1">C10</f>
        <v>33.33</v>
      </c>
      <c r="AA10" s="177" t="str">
        <f t="shared" si="1"/>
        <v>33.33</v>
      </c>
      <c r="AB10" s="177" t="str">
        <f t="shared" si="1"/>
        <v>33.34</v>
      </c>
      <c r="AC10" s="177"/>
      <c r="AD10" s="177"/>
    </row>
    <row r="11" ht="22.5" customHeight="1">
      <c r="A11" s="71"/>
      <c r="B11" s="159" t="s">
        <v>134</v>
      </c>
      <c r="C11" s="159">
        <v>1.0</v>
      </c>
      <c r="D11" s="159">
        <v>2.0</v>
      </c>
      <c r="E11" s="159">
        <v>3.0</v>
      </c>
      <c r="F11" s="159"/>
      <c r="G11" s="159"/>
      <c r="H11" s="159"/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78"/>
      <c r="X11" s="71"/>
      <c r="Y11" s="71"/>
      <c r="Z11" s="176"/>
      <c r="AA11" s="2"/>
      <c r="AB11" s="2"/>
      <c r="AC11" s="2"/>
      <c r="AD11" s="3"/>
    </row>
    <row r="12" ht="16.5" customHeight="1">
      <c r="A12" s="179" t="s">
        <v>150</v>
      </c>
      <c r="B12" s="159" t="s">
        <v>122</v>
      </c>
      <c r="C12" s="133" t="str">
        <f t="shared" ref="C12:C461" si="2">(H12/3)</f>
        <v>0</v>
      </c>
      <c r="D12" s="133" t="str">
        <f t="shared" ref="D12:D461" si="3">(H12/3)</f>
        <v>0</v>
      </c>
      <c r="E12" s="133" t="str">
        <f t="shared" ref="E12:E461" si="4">(H12/3)</f>
        <v>0</v>
      </c>
      <c r="F12" s="133"/>
      <c r="G12" s="133"/>
      <c r="H12" s="108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80"/>
      <c r="X12" s="181" t="str">
        <f t="shared" ref="X12:X461" si="5">SUM(C12:V12)</f>
        <v>0</v>
      </c>
      <c r="Y12" s="181" t="str">
        <f>BASE!A16</f>
        <v>1</v>
      </c>
      <c r="Z12" s="182" t="str">
        <f t="shared" ref="Z12:Z461" si="6">SUMIF($C$11:$V$11,1,C12:V12)</f>
        <v>0</v>
      </c>
      <c r="AA12" s="182" t="str">
        <f t="shared" ref="AA12:AA461" si="7">SUMIF($C$11:$V$11,2,C12:V12)</f>
        <v>0</v>
      </c>
      <c r="AB12" s="182" t="str">
        <f t="shared" ref="AB12:AB461" si="8">SUMIF($C$11:$V$11,3,C12:V12)</f>
        <v>0</v>
      </c>
      <c r="AC12" s="182" t="str">
        <f t="shared" ref="AC12:AC461" si="9">SUMIF($C$11:$V$11,4,C12:V12)</f>
        <v>0</v>
      </c>
      <c r="AD12" s="182" t="str">
        <f t="shared" ref="AD12:AD461" si="10">SUMIF($C$11:$V$11,5,C12:V12)</f>
        <v>0</v>
      </c>
    </row>
    <row r="13" ht="16.5" customHeight="1">
      <c r="A13" s="179" t="s">
        <v>151</v>
      </c>
      <c r="B13" s="159" t="s">
        <v>122</v>
      </c>
      <c r="C13" s="133" t="str">
        <f t="shared" si="2"/>
        <v>0</v>
      </c>
      <c r="D13" s="133" t="str">
        <f t="shared" si="3"/>
        <v>0</v>
      </c>
      <c r="E13" s="133" t="str">
        <f t="shared" si="4"/>
        <v>0</v>
      </c>
      <c r="F13" s="133"/>
      <c r="G13" s="133"/>
      <c r="H13" s="108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83"/>
      <c r="X13" s="159" t="str">
        <f t="shared" si="5"/>
        <v>0</v>
      </c>
      <c r="Y13" s="159" t="str">
        <f>BASE!A17</f>
        <v>2</v>
      </c>
      <c r="Z13" s="177" t="str">
        <f t="shared" si="6"/>
        <v>0</v>
      </c>
      <c r="AA13" s="177" t="str">
        <f t="shared" si="7"/>
        <v>0</v>
      </c>
      <c r="AB13" s="177" t="str">
        <f t="shared" si="8"/>
        <v>0</v>
      </c>
      <c r="AC13" s="177" t="str">
        <f t="shared" si="9"/>
        <v>0</v>
      </c>
      <c r="AD13" s="177" t="str">
        <f t="shared" si="10"/>
        <v>0</v>
      </c>
    </row>
    <row r="14" ht="16.5" customHeight="1">
      <c r="A14" s="179" t="s">
        <v>152</v>
      </c>
      <c r="B14" s="159" t="s">
        <v>122</v>
      </c>
      <c r="C14" s="133" t="str">
        <f t="shared" si="2"/>
        <v>0</v>
      </c>
      <c r="D14" s="133" t="str">
        <f t="shared" si="3"/>
        <v>0</v>
      </c>
      <c r="E14" s="133" t="str">
        <f t="shared" si="4"/>
        <v>0</v>
      </c>
      <c r="F14" s="133"/>
      <c r="G14" s="133"/>
      <c r="H14" s="108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83"/>
      <c r="X14" s="159" t="str">
        <f t="shared" si="5"/>
        <v>0</v>
      </c>
      <c r="Y14" s="159" t="str">
        <f>BASE!A18</f>
        <v>3</v>
      </c>
      <c r="Z14" s="177" t="str">
        <f t="shared" si="6"/>
        <v>0</v>
      </c>
      <c r="AA14" s="177" t="str">
        <f t="shared" si="7"/>
        <v>0</v>
      </c>
      <c r="AB14" s="177" t="str">
        <f t="shared" si="8"/>
        <v>0</v>
      </c>
      <c r="AC14" s="177" t="str">
        <f t="shared" si="9"/>
        <v>0</v>
      </c>
      <c r="AD14" s="177" t="str">
        <f t="shared" si="10"/>
        <v>0</v>
      </c>
    </row>
    <row r="15" ht="16.5" customHeight="1">
      <c r="A15" s="179" t="s">
        <v>153</v>
      </c>
      <c r="B15" s="159" t="s">
        <v>122</v>
      </c>
      <c r="C15" s="133" t="str">
        <f t="shared" si="2"/>
        <v>0</v>
      </c>
      <c r="D15" s="133" t="str">
        <f t="shared" si="3"/>
        <v>0</v>
      </c>
      <c r="E15" s="133" t="str">
        <f t="shared" si="4"/>
        <v>0</v>
      </c>
      <c r="F15" s="133"/>
      <c r="G15" s="133"/>
      <c r="H15" s="108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83"/>
      <c r="X15" s="159" t="str">
        <f t="shared" si="5"/>
        <v>0</v>
      </c>
      <c r="Y15" s="159" t="str">
        <f>BASE!A19</f>
        <v>4</v>
      </c>
      <c r="Z15" s="177" t="str">
        <f t="shared" si="6"/>
        <v>0</v>
      </c>
      <c r="AA15" s="177" t="str">
        <f t="shared" si="7"/>
        <v>0</v>
      </c>
      <c r="AB15" s="177" t="str">
        <f t="shared" si="8"/>
        <v>0</v>
      </c>
      <c r="AC15" s="177" t="str">
        <f t="shared" si="9"/>
        <v>0</v>
      </c>
      <c r="AD15" s="177" t="str">
        <f t="shared" si="10"/>
        <v>0</v>
      </c>
    </row>
    <row r="16" ht="16.5" customHeight="1">
      <c r="A16" s="179" t="s">
        <v>154</v>
      </c>
      <c r="B16" s="159" t="s">
        <v>122</v>
      </c>
      <c r="C16" s="133" t="str">
        <f t="shared" si="2"/>
        <v>0</v>
      </c>
      <c r="D16" s="133" t="str">
        <f t="shared" si="3"/>
        <v>0</v>
      </c>
      <c r="E16" s="133" t="str">
        <f t="shared" si="4"/>
        <v>0</v>
      </c>
      <c r="F16" s="133"/>
      <c r="G16" s="133"/>
      <c r="H16" s="108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83"/>
      <c r="X16" s="159" t="str">
        <f t="shared" si="5"/>
        <v>0</v>
      </c>
      <c r="Y16" s="159" t="str">
        <f>BASE!A20</f>
        <v>5</v>
      </c>
      <c r="Z16" s="177" t="str">
        <f t="shared" si="6"/>
        <v>0</v>
      </c>
      <c r="AA16" s="177" t="str">
        <f t="shared" si="7"/>
        <v>0</v>
      </c>
      <c r="AB16" s="177" t="str">
        <f t="shared" si="8"/>
        <v>0</v>
      </c>
      <c r="AC16" s="177" t="str">
        <f t="shared" si="9"/>
        <v>0</v>
      </c>
      <c r="AD16" s="177" t="str">
        <f t="shared" si="10"/>
        <v>0</v>
      </c>
    </row>
    <row r="17" ht="16.5" customHeight="1">
      <c r="A17" s="179" t="s">
        <v>155</v>
      </c>
      <c r="B17" s="159" t="s">
        <v>122</v>
      </c>
      <c r="C17" s="133" t="str">
        <f t="shared" si="2"/>
        <v>0</v>
      </c>
      <c r="D17" s="133" t="str">
        <f t="shared" si="3"/>
        <v>0</v>
      </c>
      <c r="E17" s="133" t="str">
        <f t="shared" si="4"/>
        <v>0</v>
      </c>
      <c r="F17" s="133"/>
      <c r="G17" s="133"/>
      <c r="H17" s="108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83"/>
      <c r="X17" s="159" t="str">
        <f t="shared" si="5"/>
        <v>0</v>
      </c>
      <c r="Y17" s="159" t="str">
        <f>BASE!A21</f>
        <v>6</v>
      </c>
      <c r="Z17" s="177" t="str">
        <f t="shared" si="6"/>
        <v>0</v>
      </c>
      <c r="AA17" s="177" t="str">
        <f t="shared" si="7"/>
        <v>0</v>
      </c>
      <c r="AB17" s="177" t="str">
        <f t="shared" si="8"/>
        <v>0</v>
      </c>
      <c r="AC17" s="177" t="str">
        <f t="shared" si="9"/>
        <v>0</v>
      </c>
      <c r="AD17" s="177" t="str">
        <f t="shared" si="10"/>
        <v>0</v>
      </c>
    </row>
    <row r="18" ht="16.5" customHeight="1">
      <c r="A18" s="179" t="s">
        <v>156</v>
      </c>
      <c r="B18" s="159" t="s">
        <v>122</v>
      </c>
      <c r="C18" s="133" t="str">
        <f t="shared" si="2"/>
        <v>0</v>
      </c>
      <c r="D18" s="133" t="str">
        <f t="shared" si="3"/>
        <v>0</v>
      </c>
      <c r="E18" s="133" t="str">
        <f t="shared" si="4"/>
        <v>0</v>
      </c>
      <c r="F18" s="133"/>
      <c r="G18" s="133"/>
      <c r="H18" s="108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83"/>
      <c r="X18" s="159" t="str">
        <f t="shared" si="5"/>
        <v>0</v>
      </c>
      <c r="Y18" s="159" t="str">
        <f>BASE!A22</f>
        <v>7</v>
      </c>
      <c r="Z18" s="177" t="str">
        <f t="shared" si="6"/>
        <v>0</v>
      </c>
      <c r="AA18" s="177" t="str">
        <f t="shared" si="7"/>
        <v>0</v>
      </c>
      <c r="AB18" s="177" t="str">
        <f t="shared" si="8"/>
        <v>0</v>
      </c>
      <c r="AC18" s="177" t="str">
        <f t="shared" si="9"/>
        <v>0</v>
      </c>
      <c r="AD18" s="177" t="str">
        <f t="shared" si="10"/>
        <v>0</v>
      </c>
    </row>
    <row r="19" ht="16.5" customHeight="1">
      <c r="A19" s="179" t="s">
        <v>157</v>
      </c>
      <c r="B19" s="159" t="s">
        <v>122</v>
      </c>
      <c r="C19" s="133" t="str">
        <f t="shared" si="2"/>
        <v>0</v>
      </c>
      <c r="D19" s="133" t="str">
        <f t="shared" si="3"/>
        <v>0</v>
      </c>
      <c r="E19" s="133" t="str">
        <f t="shared" si="4"/>
        <v>0</v>
      </c>
      <c r="F19" s="133"/>
      <c r="G19" s="133"/>
      <c r="H19" s="108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83"/>
      <c r="X19" s="159" t="str">
        <f t="shared" si="5"/>
        <v>0</v>
      </c>
      <c r="Y19" s="159" t="str">
        <f>BASE!A23</f>
        <v>8</v>
      </c>
      <c r="Z19" s="177" t="str">
        <f t="shared" si="6"/>
        <v>0</v>
      </c>
      <c r="AA19" s="177" t="str">
        <f t="shared" si="7"/>
        <v>0</v>
      </c>
      <c r="AB19" s="177" t="str">
        <f t="shared" si="8"/>
        <v>0</v>
      </c>
      <c r="AC19" s="177" t="str">
        <f t="shared" si="9"/>
        <v>0</v>
      </c>
      <c r="AD19" s="177" t="str">
        <f t="shared" si="10"/>
        <v>0</v>
      </c>
    </row>
    <row r="20" ht="16.5" customHeight="1">
      <c r="A20" s="179" t="s">
        <v>158</v>
      </c>
      <c r="B20" s="159" t="s">
        <v>122</v>
      </c>
      <c r="C20" s="133" t="str">
        <f t="shared" si="2"/>
        <v>0</v>
      </c>
      <c r="D20" s="133" t="str">
        <f t="shared" si="3"/>
        <v>0</v>
      </c>
      <c r="E20" s="133" t="str">
        <f t="shared" si="4"/>
        <v>0</v>
      </c>
      <c r="F20" s="133"/>
      <c r="G20" s="133"/>
      <c r="H20" s="108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83"/>
      <c r="X20" s="159" t="str">
        <f t="shared" si="5"/>
        <v>0</v>
      </c>
      <c r="Y20" s="159" t="str">
        <f>BASE!A24</f>
        <v>9</v>
      </c>
      <c r="Z20" s="177" t="str">
        <f t="shared" si="6"/>
        <v>0</v>
      </c>
      <c r="AA20" s="177" t="str">
        <f t="shared" si="7"/>
        <v>0</v>
      </c>
      <c r="AB20" s="177" t="str">
        <f t="shared" si="8"/>
        <v>0</v>
      </c>
      <c r="AC20" s="177" t="str">
        <f t="shared" si="9"/>
        <v>0</v>
      </c>
      <c r="AD20" s="177" t="str">
        <f t="shared" si="10"/>
        <v>0</v>
      </c>
    </row>
    <row r="21" ht="16.5" customHeight="1">
      <c r="A21" s="179" t="s">
        <v>159</v>
      </c>
      <c r="B21" s="159" t="s">
        <v>122</v>
      </c>
      <c r="C21" s="133" t="str">
        <f t="shared" si="2"/>
        <v>0</v>
      </c>
      <c r="D21" s="133" t="str">
        <f t="shared" si="3"/>
        <v>0</v>
      </c>
      <c r="E21" s="133" t="str">
        <f t="shared" si="4"/>
        <v>0</v>
      </c>
      <c r="F21" s="133"/>
      <c r="G21" s="133"/>
      <c r="H21" s="108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83"/>
      <c r="X21" s="159" t="str">
        <f t="shared" si="5"/>
        <v>0</v>
      </c>
      <c r="Y21" s="159" t="str">
        <f>BASE!A25</f>
        <v>10</v>
      </c>
      <c r="Z21" s="177" t="str">
        <f t="shared" si="6"/>
        <v>0</v>
      </c>
      <c r="AA21" s="177" t="str">
        <f t="shared" si="7"/>
        <v>0</v>
      </c>
      <c r="AB21" s="177" t="str">
        <f t="shared" si="8"/>
        <v>0</v>
      </c>
      <c r="AC21" s="177" t="str">
        <f t="shared" si="9"/>
        <v>0</v>
      </c>
      <c r="AD21" s="177" t="str">
        <f t="shared" si="10"/>
        <v>0</v>
      </c>
    </row>
    <row r="22" ht="16.5" customHeight="1">
      <c r="A22" s="179" t="s">
        <v>160</v>
      </c>
      <c r="B22" s="159" t="s">
        <v>122</v>
      </c>
      <c r="C22" s="133" t="str">
        <f t="shared" si="2"/>
        <v>0</v>
      </c>
      <c r="D22" s="133" t="str">
        <f t="shared" si="3"/>
        <v>0</v>
      </c>
      <c r="E22" s="133" t="str">
        <f t="shared" si="4"/>
        <v>0</v>
      </c>
      <c r="F22" s="133"/>
      <c r="G22" s="133"/>
      <c r="H22" s="108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83"/>
      <c r="X22" s="159" t="str">
        <f t="shared" si="5"/>
        <v>0</v>
      </c>
      <c r="Y22" s="159" t="str">
        <f>BASE!A26</f>
        <v>11</v>
      </c>
      <c r="Z22" s="177" t="str">
        <f t="shared" si="6"/>
        <v>0</v>
      </c>
      <c r="AA22" s="177" t="str">
        <f t="shared" si="7"/>
        <v>0</v>
      </c>
      <c r="AB22" s="177" t="str">
        <f t="shared" si="8"/>
        <v>0</v>
      </c>
      <c r="AC22" s="177" t="str">
        <f t="shared" si="9"/>
        <v>0</v>
      </c>
      <c r="AD22" s="177" t="str">
        <f t="shared" si="10"/>
        <v>0</v>
      </c>
    </row>
    <row r="23" ht="16.5" customHeight="1">
      <c r="A23" s="179" t="s">
        <v>161</v>
      </c>
      <c r="B23" s="159" t="s">
        <v>122</v>
      </c>
      <c r="C23" s="133" t="str">
        <f t="shared" si="2"/>
        <v>0</v>
      </c>
      <c r="D23" s="133" t="str">
        <f t="shared" si="3"/>
        <v>0</v>
      </c>
      <c r="E23" s="133" t="str">
        <f t="shared" si="4"/>
        <v>0</v>
      </c>
      <c r="F23" s="133"/>
      <c r="G23" s="133"/>
      <c r="H23" s="108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83"/>
      <c r="X23" s="159" t="str">
        <f t="shared" si="5"/>
        <v>0</v>
      </c>
      <c r="Y23" s="159" t="str">
        <f>BASE!A27</f>
        <v>12</v>
      </c>
      <c r="Z23" s="177" t="str">
        <f t="shared" si="6"/>
        <v>0</v>
      </c>
      <c r="AA23" s="177" t="str">
        <f t="shared" si="7"/>
        <v>0</v>
      </c>
      <c r="AB23" s="177" t="str">
        <f t="shared" si="8"/>
        <v>0</v>
      </c>
      <c r="AC23" s="177" t="str">
        <f t="shared" si="9"/>
        <v>0</v>
      </c>
      <c r="AD23" s="177" t="str">
        <f t="shared" si="10"/>
        <v>0</v>
      </c>
    </row>
    <row r="24" ht="16.5" customHeight="1">
      <c r="A24" s="179" t="s">
        <v>162</v>
      </c>
      <c r="B24" s="159" t="s">
        <v>122</v>
      </c>
      <c r="C24" s="133" t="str">
        <f t="shared" si="2"/>
        <v>0</v>
      </c>
      <c r="D24" s="133" t="str">
        <f t="shared" si="3"/>
        <v>0</v>
      </c>
      <c r="E24" s="133" t="str">
        <f t="shared" si="4"/>
        <v>0</v>
      </c>
      <c r="F24" s="133"/>
      <c r="G24" s="133"/>
      <c r="H24" s="108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83"/>
      <c r="X24" s="159" t="str">
        <f t="shared" si="5"/>
        <v>0</v>
      </c>
      <c r="Y24" s="159" t="str">
        <f>BASE!A28</f>
        <v>13</v>
      </c>
      <c r="Z24" s="177" t="str">
        <f t="shared" si="6"/>
        <v>0</v>
      </c>
      <c r="AA24" s="177" t="str">
        <f t="shared" si="7"/>
        <v>0</v>
      </c>
      <c r="AB24" s="177" t="str">
        <f t="shared" si="8"/>
        <v>0</v>
      </c>
      <c r="AC24" s="177" t="str">
        <f t="shared" si="9"/>
        <v>0</v>
      </c>
      <c r="AD24" s="177" t="str">
        <f t="shared" si="10"/>
        <v>0</v>
      </c>
    </row>
    <row r="25" ht="16.5" customHeight="1">
      <c r="A25" s="179" t="s">
        <v>163</v>
      </c>
      <c r="B25" s="159" t="s">
        <v>122</v>
      </c>
      <c r="C25" s="133" t="str">
        <f t="shared" si="2"/>
        <v>0</v>
      </c>
      <c r="D25" s="133" t="str">
        <f t="shared" si="3"/>
        <v>0</v>
      </c>
      <c r="E25" s="133" t="str">
        <f t="shared" si="4"/>
        <v>0</v>
      </c>
      <c r="F25" s="133"/>
      <c r="G25" s="133"/>
      <c r="H25" s="108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83"/>
      <c r="X25" s="159" t="str">
        <f t="shared" si="5"/>
        <v>0</v>
      </c>
      <c r="Y25" s="159" t="str">
        <f>BASE!A29</f>
        <v>14</v>
      </c>
      <c r="Z25" s="177" t="str">
        <f t="shared" si="6"/>
        <v>0</v>
      </c>
      <c r="AA25" s="177" t="str">
        <f t="shared" si="7"/>
        <v>0</v>
      </c>
      <c r="AB25" s="177" t="str">
        <f t="shared" si="8"/>
        <v>0</v>
      </c>
      <c r="AC25" s="177" t="str">
        <f t="shared" si="9"/>
        <v>0</v>
      </c>
      <c r="AD25" s="177" t="str">
        <f t="shared" si="10"/>
        <v>0</v>
      </c>
    </row>
    <row r="26" ht="16.5" customHeight="1">
      <c r="A26" s="179" t="s">
        <v>164</v>
      </c>
      <c r="B26" s="159" t="s">
        <v>122</v>
      </c>
      <c r="C26" s="133" t="str">
        <f t="shared" si="2"/>
        <v>0</v>
      </c>
      <c r="D26" s="133" t="str">
        <f t="shared" si="3"/>
        <v>0</v>
      </c>
      <c r="E26" s="133" t="str">
        <f t="shared" si="4"/>
        <v>0</v>
      </c>
      <c r="F26" s="133"/>
      <c r="G26" s="133"/>
      <c r="H26" s="108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83"/>
      <c r="X26" s="159" t="str">
        <f t="shared" si="5"/>
        <v>0</v>
      </c>
      <c r="Y26" s="159" t="str">
        <f>BASE!A30</f>
        <v>15</v>
      </c>
      <c r="Z26" s="177" t="str">
        <f t="shared" si="6"/>
        <v>0</v>
      </c>
      <c r="AA26" s="177" t="str">
        <f t="shared" si="7"/>
        <v>0</v>
      </c>
      <c r="AB26" s="177" t="str">
        <f t="shared" si="8"/>
        <v>0</v>
      </c>
      <c r="AC26" s="177" t="str">
        <f t="shared" si="9"/>
        <v>0</v>
      </c>
      <c r="AD26" s="177" t="str">
        <f t="shared" si="10"/>
        <v>0</v>
      </c>
    </row>
    <row r="27" ht="16.5" customHeight="1">
      <c r="A27" s="179" t="s">
        <v>165</v>
      </c>
      <c r="B27" s="159" t="s">
        <v>122</v>
      </c>
      <c r="C27" s="133" t="str">
        <f t="shared" si="2"/>
        <v>0</v>
      </c>
      <c r="D27" s="133" t="str">
        <f t="shared" si="3"/>
        <v>0</v>
      </c>
      <c r="E27" s="133" t="str">
        <f t="shared" si="4"/>
        <v>0</v>
      </c>
      <c r="F27" s="133"/>
      <c r="G27" s="133"/>
      <c r="H27" s="108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83"/>
      <c r="X27" s="159" t="str">
        <f t="shared" si="5"/>
        <v>0</v>
      </c>
      <c r="Y27" s="159" t="str">
        <f>BASE!A31</f>
        <v>16</v>
      </c>
      <c r="Z27" s="177" t="str">
        <f t="shared" si="6"/>
        <v>0</v>
      </c>
      <c r="AA27" s="177" t="str">
        <f t="shared" si="7"/>
        <v>0</v>
      </c>
      <c r="AB27" s="177" t="str">
        <f t="shared" si="8"/>
        <v>0</v>
      </c>
      <c r="AC27" s="177" t="str">
        <f t="shared" si="9"/>
        <v>0</v>
      </c>
      <c r="AD27" s="177" t="str">
        <f t="shared" si="10"/>
        <v>0</v>
      </c>
    </row>
    <row r="28" ht="16.5" customHeight="1">
      <c r="A28" s="179" t="s">
        <v>166</v>
      </c>
      <c r="B28" s="159" t="s">
        <v>122</v>
      </c>
      <c r="C28" s="133" t="str">
        <f t="shared" si="2"/>
        <v>0</v>
      </c>
      <c r="D28" s="133" t="str">
        <f t="shared" si="3"/>
        <v>0</v>
      </c>
      <c r="E28" s="133" t="str">
        <f t="shared" si="4"/>
        <v>0</v>
      </c>
      <c r="F28" s="133"/>
      <c r="G28" s="133"/>
      <c r="H28" s="108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83"/>
      <c r="X28" s="159" t="str">
        <f t="shared" si="5"/>
        <v>0</v>
      </c>
      <c r="Y28" s="159" t="str">
        <f>BASE!A32</f>
        <v>17</v>
      </c>
      <c r="Z28" s="177" t="str">
        <f t="shared" si="6"/>
        <v>0</v>
      </c>
      <c r="AA28" s="177" t="str">
        <f t="shared" si="7"/>
        <v>0</v>
      </c>
      <c r="AB28" s="177" t="str">
        <f t="shared" si="8"/>
        <v>0</v>
      </c>
      <c r="AC28" s="177" t="str">
        <f t="shared" si="9"/>
        <v>0</v>
      </c>
      <c r="AD28" s="177" t="str">
        <f t="shared" si="10"/>
        <v>0</v>
      </c>
    </row>
    <row r="29" ht="16.5" customHeight="1">
      <c r="A29" s="179" t="s">
        <v>167</v>
      </c>
      <c r="B29" s="159" t="s">
        <v>122</v>
      </c>
      <c r="C29" s="133" t="str">
        <f t="shared" si="2"/>
        <v>0</v>
      </c>
      <c r="D29" s="133" t="str">
        <f t="shared" si="3"/>
        <v>0</v>
      </c>
      <c r="E29" s="133" t="str">
        <f t="shared" si="4"/>
        <v>0</v>
      </c>
      <c r="F29" s="133"/>
      <c r="G29" s="133"/>
      <c r="H29" s="108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83"/>
      <c r="X29" s="159" t="str">
        <f t="shared" si="5"/>
        <v>0</v>
      </c>
      <c r="Y29" s="159" t="str">
        <f>BASE!A33</f>
        <v>18</v>
      </c>
      <c r="Z29" s="177" t="str">
        <f t="shared" si="6"/>
        <v>0</v>
      </c>
      <c r="AA29" s="177" t="str">
        <f t="shared" si="7"/>
        <v>0</v>
      </c>
      <c r="AB29" s="177" t="str">
        <f t="shared" si="8"/>
        <v>0</v>
      </c>
      <c r="AC29" s="177" t="str">
        <f t="shared" si="9"/>
        <v>0</v>
      </c>
      <c r="AD29" s="177" t="str">
        <f t="shared" si="10"/>
        <v>0</v>
      </c>
    </row>
    <row r="30" ht="16.5" customHeight="1">
      <c r="A30" s="179" t="s">
        <v>168</v>
      </c>
      <c r="B30" s="159" t="s">
        <v>122</v>
      </c>
      <c r="C30" s="133" t="str">
        <f t="shared" si="2"/>
        <v>0</v>
      </c>
      <c r="D30" s="133" t="str">
        <f t="shared" si="3"/>
        <v>0</v>
      </c>
      <c r="E30" s="133" t="str">
        <f t="shared" si="4"/>
        <v>0</v>
      </c>
      <c r="F30" s="133"/>
      <c r="G30" s="133"/>
      <c r="H30" s="108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83"/>
      <c r="X30" s="159" t="str">
        <f t="shared" si="5"/>
        <v>0</v>
      </c>
      <c r="Y30" s="159" t="str">
        <f>BASE!A34</f>
        <v>19</v>
      </c>
      <c r="Z30" s="177" t="str">
        <f t="shared" si="6"/>
        <v>0</v>
      </c>
      <c r="AA30" s="177" t="str">
        <f t="shared" si="7"/>
        <v>0</v>
      </c>
      <c r="AB30" s="177" t="str">
        <f t="shared" si="8"/>
        <v>0</v>
      </c>
      <c r="AC30" s="177" t="str">
        <f t="shared" si="9"/>
        <v>0</v>
      </c>
      <c r="AD30" s="177" t="str">
        <f t="shared" si="10"/>
        <v>0</v>
      </c>
    </row>
    <row r="31" ht="16.5" customHeight="1">
      <c r="A31" s="179" t="s">
        <v>169</v>
      </c>
      <c r="B31" s="159" t="s">
        <v>122</v>
      </c>
      <c r="C31" s="133" t="str">
        <f t="shared" si="2"/>
        <v>0</v>
      </c>
      <c r="D31" s="133" t="str">
        <f t="shared" si="3"/>
        <v>0</v>
      </c>
      <c r="E31" s="133" t="str">
        <f t="shared" si="4"/>
        <v>0</v>
      </c>
      <c r="F31" s="133"/>
      <c r="G31" s="133"/>
      <c r="H31" s="108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83"/>
      <c r="X31" s="159" t="str">
        <f t="shared" si="5"/>
        <v>0</v>
      </c>
      <c r="Y31" s="159" t="str">
        <f>BASE!A35</f>
        <v>20</v>
      </c>
      <c r="Z31" s="177" t="str">
        <f t="shared" si="6"/>
        <v>0</v>
      </c>
      <c r="AA31" s="177" t="str">
        <f t="shared" si="7"/>
        <v>0</v>
      </c>
      <c r="AB31" s="177" t="str">
        <f t="shared" si="8"/>
        <v>0</v>
      </c>
      <c r="AC31" s="177" t="str">
        <f t="shared" si="9"/>
        <v>0</v>
      </c>
      <c r="AD31" s="177" t="str">
        <f t="shared" si="10"/>
        <v>0</v>
      </c>
    </row>
    <row r="32" ht="16.5" customHeight="1">
      <c r="A32" s="179" t="s">
        <v>170</v>
      </c>
      <c r="B32" s="159" t="s">
        <v>122</v>
      </c>
      <c r="C32" s="133" t="str">
        <f t="shared" si="2"/>
        <v>0</v>
      </c>
      <c r="D32" s="133" t="str">
        <f t="shared" si="3"/>
        <v>0</v>
      </c>
      <c r="E32" s="133" t="str">
        <f t="shared" si="4"/>
        <v>0</v>
      </c>
      <c r="F32" s="133"/>
      <c r="G32" s="133"/>
      <c r="H32" s="108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83"/>
      <c r="X32" s="159" t="str">
        <f t="shared" si="5"/>
        <v>0</v>
      </c>
      <c r="Y32" s="159" t="str">
        <f>BASE!A36</f>
        <v>21</v>
      </c>
      <c r="Z32" s="177" t="str">
        <f t="shared" si="6"/>
        <v>0</v>
      </c>
      <c r="AA32" s="177" t="str">
        <f t="shared" si="7"/>
        <v>0</v>
      </c>
      <c r="AB32" s="177" t="str">
        <f t="shared" si="8"/>
        <v>0</v>
      </c>
      <c r="AC32" s="177" t="str">
        <f t="shared" si="9"/>
        <v>0</v>
      </c>
      <c r="AD32" s="177" t="str">
        <f t="shared" si="10"/>
        <v>0</v>
      </c>
    </row>
    <row r="33" ht="16.5" customHeight="1">
      <c r="A33" s="179" t="s">
        <v>171</v>
      </c>
      <c r="B33" s="159" t="s">
        <v>122</v>
      </c>
      <c r="C33" s="133" t="str">
        <f t="shared" si="2"/>
        <v>0</v>
      </c>
      <c r="D33" s="133" t="str">
        <f t="shared" si="3"/>
        <v>0</v>
      </c>
      <c r="E33" s="133" t="str">
        <f t="shared" si="4"/>
        <v>0</v>
      </c>
      <c r="F33" s="133"/>
      <c r="G33" s="133"/>
      <c r="H33" s="108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83"/>
      <c r="X33" s="159" t="str">
        <f t="shared" si="5"/>
        <v>0</v>
      </c>
      <c r="Y33" s="159" t="str">
        <f>BASE!A37</f>
        <v>22</v>
      </c>
      <c r="Z33" s="177" t="str">
        <f t="shared" si="6"/>
        <v>0</v>
      </c>
      <c r="AA33" s="177" t="str">
        <f t="shared" si="7"/>
        <v>0</v>
      </c>
      <c r="AB33" s="177" t="str">
        <f t="shared" si="8"/>
        <v>0</v>
      </c>
      <c r="AC33" s="177" t="str">
        <f t="shared" si="9"/>
        <v>0</v>
      </c>
      <c r="AD33" s="177" t="str">
        <f t="shared" si="10"/>
        <v>0</v>
      </c>
    </row>
    <row r="34" ht="16.5" customHeight="1">
      <c r="A34" s="179" t="s">
        <v>172</v>
      </c>
      <c r="B34" s="159" t="s">
        <v>122</v>
      </c>
      <c r="C34" s="133" t="str">
        <f t="shared" si="2"/>
        <v>0</v>
      </c>
      <c r="D34" s="133" t="str">
        <f t="shared" si="3"/>
        <v>0</v>
      </c>
      <c r="E34" s="133" t="str">
        <f t="shared" si="4"/>
        <v>0</v>
      </c>
      <c r="F34" s="133"/>
      <c r="G34" s="133"/>
      <c r="H34" s="108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83"/>
      <c r="X34" s="159" t="str">
        <f t="shared" si="5"/>
        <v>0</v>
      </c>
      <c r="Y34" s="159" t="str">
        <f>BASE!A38</f>
        <v>23</v>
      </c>
      <c r="Z34" s="177" t="str">
        <f t="shared" si="6"/>
        <v>0</v>
      </c>
      <c r="AA34" s="177" t="str">
        <f t="shared" si="7"/>
        <v>0</v>
      </c>
      <c r="AB34" s="177" t="str">
        <f t="shared" si="8"/>
        <v>0</v>
      </c>
      <c r="AC34" s="177" t="str">
        <f t="shared" si="9"/>
        <v>0</v>
      </c>
      <c r="AD34" s="177" t="str">
        <f t="shared" si="10"/>
        <v>0</v>
      </c>
    </row>
    <row r="35" ht="16.5" customHeight="1">
      <c r="A35" s="179" t="s">
        <v>173</v>
      </c>
      <c r="B35" s="159" t="s">
        <v>122</v>
      </c>
      <c r="C35" s="133" t="str">
        <f t="shared" si="2"/>
        <v>0</v>
      </c>
      <c r="D35" s="133" t="str">
        <f t="shared" si="3"/>
        <v>0</v>
      </c>
      <c r="E35" s="133" t="str">
        <f t="shared" si="4"/>
        <v>0</v>
      </c>
      <c r="F35" s="133"/>
      <c r="G35" s="133"/>
      <c r="H35" s="108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83"/>
      <c r="X35" s="159" t="str">
        <f t="shared" si="5"/>
        <v>0</v>
      </c>
      <c r="Y35" s="159" t="str">
        <f>BASE!A39</f>
        <v>24</v>
      </c>
      <c r="Z35" s="177" t="str">
        <f t="shared" si="6"/>
        <v>0</v>
      </c>
      <c r="AA35" s="177" t="str">
        <f t="shared" si="7"/>
        <v>0</v>
      </c>
      <c r="AB35" s="177" t="str">
        <f t="shared" si="8"/>
        <v>0</v>
      </c>
      <c r="AC35" s="177" t="str">
        <f t="shared" si="9"/>
        <v>0</v>
      </c>
      <c r="AD35" s="177" t="str">
        <f t="shared" si="10"/>
        <v>0</v>
      </c>
    </row>
    <row r="36" ht="16.5" customHeight="1">
      <c r="A36" s="179" t="s">
        <v>174</v>
      </c>
      <c r="B36" s="159" t="s">
        <v>122</v>
      </c>
      <c r="C36" s="133" t="str">
        <f t="shared" si="2"/>
        <v>0</v>
      </c>
      <c r="D36" s="133" t="str">
        <f t="shared" si="3"/>
        <v>0</v>
      </c>
      <c r="E36" s="133" t="str">
        <f t="shared" si="4"/>
        <v>0</v>
      </c>
      <c r="F36" s="133"/>
      <c r="G36" s="133"/>
      <c r="H36" s="108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83"/>
      <c r="X36" s="159" t="str">
        <f t="shared" si="5"/>
        <v>0</v>
      </c>
      <c r="Y36" s="159" t="str">
        <f>BASE!A40</f>
        <v>25</v>
      </c>
      <c r="Z36" s="177" t="str">
        <f t="shared" si="6"/>
        <v>0</v>
      </c>
      <c r="AA36" s="177" t="str">
        <f t="shared" si="7"/>
        <v>0</v>
      </c>
      <c r="AB36" s="177" t="str">
        <f t="shared" si="8"/>
        <v>0</v>
      </c>
      <c r="AC36" s="177" t="str">
        <f t="shared" si="9"/>
        <v>0</v>
      </c>
      <c r="AD36" s="177" t="str">
        <f t="shared" si="10"/>
        <v>0</v>
      </c>
    </row>
    <row r="37" ht="16.5" customHeight="1">
      <c r="A37" s="179" t="s">
        <v>175</v>
      </c>
      <c r="B37" s="159" t="s">
        <v>122</v>
      </c>
      <c r="C37" s="133" t="str">
        <f t="shared" si="2"/>
        <v>0</v>
      </c>
      <c r="D37" s="133" t="str">
        <f t="shared" si="3"/>
        <v>0</v>
      </c>
      <c r="E37" s="133" t="str">
        <f t="shared" si="4"/>
        <v>0</v>
      </c>
      <c r="F37" s="133"/>
      <c r="G37" s="133"/>
      <c r="H37" s="108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83"/>
      <c r="X37" s="159" t="str">
        <f t="shared" si="5"/>
        <v>0</v>
      </c>
      <c r="Y37" s="159" t="str">
        <f>BASE!A41</f>
        <v>26</v>
      </c>
      <c r="Z37" s="177" t="str">
        <f t="shared" si="6"/>
        <v>0</v>
      </c>
      <c r="AA37" s="177" t="str">
        <f t="shared" si="7"/>
        <v>0</v>
      </c>
      <c r="AB37" s="177" t="str">
        <f t="shared" si="8"/>
        <v>0</v>
      </c>
      <c r="AC37" s="177" t="str">
        <f t="shared" si="9"/>
        <v>0</v>
      </c>
      <c r="AD37" s="177" t="str">
        <f t="shared" si="10"/>
        <v>0</v>
      </c>
    </row>
    <row r="38" ht="16.5" customHeight="1">
      <c r="A38" s="179" t="s">
        <v>176</v>
      </c>
      <c r="B38" s="159" t="s">
        <v>122</v>
      </c>
      <c r="C38" s="133" t="str">
        <f t="shared" si="2"/>
        <v>0</v>
      </c>
      <c r="D38" s="133" t="str">
        <f t="shared" si="3"/>
        <v>0</v>
      </c>
      <c r="E38" s="133" t="str">
        <f t="shared" si="4"/>
        <v>0</v>
      </c>
      <c r="F38" s="133"/>
      <c r="G38" s="133"/>
      <c r="H38" s="108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83"/>
      <c r="X38" s="159" t="str">
        <f t="shared" si="5"/>
        <v>0</v>
      </c>
      <c r="Y38" s="159" t="str">
        <f>BASE!A42</f>
        <v>27</v>
      </c>
      <c r="Z38" s="177" t="str">
        <f t="shared" si="6"/>
        <v>0</v>
      </c>
      <c r="AA38" s="177" t="str">
        <f t="shared" si="7"/>
        <v>0</v>
      </c>
      <c r="AB38" s="177" t="str">
        <f t="shared" si="8"/>
        <v>0</v>
      </c>
      <c r="AC38" s="177" t="str">
        <f t="shared" si="9"/>
        <v>0</v>
      </c>
      <c r="AD38" s="177" t="str">
        <f t="shared" si="10"/>
        <v>0</v>
      </c>
    </row>
    <row r="39" ht="16.5" customHeight="1">
      <c r="A39" s="179" t="s">
        <v>177</v>
      </c>
      <c r="B39" s="159" t="s">
        <v>122</v>
      </c>
      <c r="C39" s="133" t="str">
        <f t="shared" si="2"/>
        <v>0</v>
      </c>
      <c r="D39" s="133" t="str">
        <f t="shared" si="3"/>
        <v>0</v>
      </c>
      <c r="E39" s="133" t="str">
        <f t="shared" si="4"/>
        <v>0</v>
      </c>
      <c r="F39" s="133"/>
      <c r="G39" s="133"/>
      <c r="H39" s="108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83"/>
      <c r="X39" s="159" t="str">
        <f t="shared" si="5"/>
        <v>0</v>
      </c>
      <c r="Y39" s="159" t="str">
        <f>BASE!A43</f>
        <v>28</v>
      </c>
      <c r="Z39" s="177" t="str">
        <f t="shared" si="6"/>
        <v>0</v>
      </c>
      <c r="AA39" s="177" t="str">
        <f t="shared" si="7"/>
        <v>0</v>
      </c>
      <c r="AB39" s="177" t="str">
        <f t="shared" si="8"/>
        <v>0</v>
      </c>
      <c r="AC39" s="177" t="str">
        <f t="shared" si="9"/>
        <v>0</v>
      </c>
      <c r="AD39" s="177" t="str">
        <f t="shared" si="10"/>
        <v>0</v>
      </c>
    </row>
    <row r="40" ht="16.5" customHeight="1">
      <c r="A40" s="179" t="s">
        <v>178</v>
      </c>
      <c r="B40" s="159" t="s">
        <v>122</v>
      </c>
      <c r="C40" s="133" t="str">
        <f t="shared" si="2"/>
        <v>0</v>
      </c>
      <c r="D40" s="133" t="str">
        <f t="shared" si="3"/>
        <v>0</v>
      </c>
      <c r="E40" s="133" t="str">
        <f t="shared" si="4"/>
        <v>0</v>
      </c>
      <c r="F40" s="133"/>
      <c r="G40" s="133"/>
      <c r="H40" s="108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83"/>
      <c r="X40" s="159" t="str">
        <f t="shared" si="5"/>
        <v>0</v>
      </c>
      <c r="Y40" s="159" t="str">
        <f>BASE!A44</f>
        <v>29</v>
      </c>
      <c r="Z40" s="177" t="str">
        <f t="shared" si="6"/>
        <v>0</v>
      </c>
      <c r="AA40" s="177" t="str">
        <f t="shared" si="7"/>
        <v>0</v>
      </c>
      <c r="AB40" s="177" t="str">
        <f t="shared" si="8"/>
        <v>0</v>
      </c>
      <c r="AC40" s="177" t="str">
        <f t="shared" si="9"/>
        <v>0</v>
      </c>
      <c r="AD40" s="177" t="str">
        <f t="shared" si="10"/>
        <v>0</v>
      </c>
    </row>
    <row r="41" ht="16.5" customHeight="1">
      <c r="A41" s="179" t="s">
        <v>179</v>
      </c>
      <c r="B41" s="159" t="s">
        <v>122</v>
      </c>
      <c r="C41" s="133" t="str">
        <f t="shared" si="2"/>
        <v>0</v>
      </c>
      <c r="D41" s="133" t="str">
        <f t="shared" si="3"/>
        <v>0</v>
      </c>
      <c r="E41" s="133" t="str">
        <f t="shared" si="4"/>
        <v>0</v>
      </c>
      <c r="F41" s="133"/>
      <c r="G41" s="133"/>
      <c r="H41" s="108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83"/>
      <c r="X41" s="159" t="str">
        <f t="shared" si="5"/>
        <v>0</v>
      </c>
      <c r="Y41" s="159" t="str">
        <f>BASE!A45</f>
        <v>30</v>
      </c>
      <c r="Z41" s="177" t="str">
        <f t="shared" si="6"/>
        <v>0</v>
      </c>
      <c r="AA41" s="177" t="str">
        <f t="shared" si="7"/>
        <v>0</v>
      </c>
      <c r="AB41" s="177" t="str">
        <f t="shared" si="8"/>
        <v>0</v>
      </c>
      <c r="AC41" s="177" t="str">
        <f t="shared" si="9"/>
        <v>0</v>
      </c>
      <c r="AD41" s="177" t="str">
        <f t="shared" si="10"/>
        <v>0</v>
      </c>
    </row>
    <row r="42" ht="16.5" customHeight="1">
      <c r="A42" s="179" t="s">
        <v>180</v>
      </c>
      <c r="B42" s="159" t="s">
        <v>122</v>
      </c>
      <c r="C42" s="133" t="str">
        <f t="shared" si="2"/>
        <v>0</v>
      </c>
      <c r="D42" s="133" t="str">
        <f t="shared" si="3"/>
        <v>0</v>
      </c>
      <c r="E42" s="133" t="str">
        <f t="shared" si="4"/>
        <v>0</v>
      </c>
      <c r="F42" s="133"/>
      <c r="G42" s="133"/>
      <c r="H42" s="108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83"/>
      <c r="X42" s="159" t="str">
        <f t="shared" si="5"/>
        <v>0</v>
      </c>
      <c r="Y42" s="159" t="str">
        <f>BASE!A46</f>
        <v>31</v>
      </c>
      <c r="Z42" s="177" t="str">
        <f t="shared" si="6"/>
        <v>0</v>
      </c>
      <c r="AA42" s="177" t="str">
        <f t="shared" si="7"/>
        <v>0</v>
      </c>
      <c r="AB42" s="177" t="str">
        <f t="shared" si="8"/>
        <v>0</v>
      </c>
      <c r="AC42" s="177" t="str">
        <f t="shared" si="9"/>
        <v>0</v>
      </c>
      <c r="AD42" s="177" t="str">
        <f t="shared" si="10"/>
        <v>0</v>
      </c>
    </row>
    <row r="43" ht="16.5" customHeight="1">
      <c r="A43" s="179" t="s">
        <v>181</v>
      </c>
      <c r="B43" s="159" t="s">
        <v>122</v>
      </c>
      <c r="C43" s="133" t="str">
        <f t="shared" si="2"/>
        <v>0</v>
      </c>
      <c r="D43" s="133" t="str">
        <f t="shared" si="3"/>
        <v>0</v>
      </c>
      <c r="E43" s="133" t="str">
        <f t="shared" si="4"/>
        <v>0</v>
      </c>
      <c r="F43" s="133"/>
      <c r="G43" s="133"/>
      <c r="H43" s="108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83"/>
      <c r="X43" s="159" t="str">
        <f t="shared" si="5"/>
        <v>0</v>
      </c>
      <c r="Y43" s="159" t="str">
        <f>BASE!A47</f>
        <v>32</v>
      </c>
      <c r="Z43" s="177" t="str">
        <f t="shared" si="6"/>
        <v>0</v>
      </c>
      <c r="AA43" s="177" t="str">
        <f t="shared" si="7"/>
        <v>0</v>
      </c>
      <c r="AB43" s="177" t="str">
        <f t="shared" si="8"/>
        <v>0</v>
      </c>
      <c r="AC43" s="177" t="str">
        <f t="shared" si="9"/>
        <v>0</v>
      </c>
      <c r="AD43" s="177" t="str">
        <f t="shared" si="10"/>
        <v>0</v>
      </c>
    </row>
    <row r="44" ht="16.5" customHeight="1">
      <c r="A44" s="179" t="s">
        <v>182</v>
      </c>
      <c r="B44" s="159" t="s">
        <v>122</v>
      </c>
      <c r="C44" s="133" t="str">
        <f t="shared" si="2"/>
        <v>0</v>
      </c>
      <c r="D44" s="133" t="str">
        <f t="shared" si="3"/>
        <v>0</v>
      </c>
      <c r="E44" s="133" t="str">
        <f t="shared" si="4"/>
        <v>0</v>
      </c>
      <c r="F44" s="133"/>
      <c r="G44" s="133"/>
      <c r="H44" s="108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83"/>
      <c r="X44" s="159" t="str">
        <f t="shared" si="5"/>
        <v>0</v>
      </c>
      <c r="Y44" s="159" t="str">
        <f>BASE!A48</f>
        <v>33</v>
      </c>
      <c r="Z44" s="177" t="str">
        <f t="shared" si="6"/>
        <v>0</v>
      </c>
      <c r="AA44" s="177" t="str">
        <f t="shared" si="7"/>
        <v>0</v>
      </c>
      <c r="AB44" s="177" t="str">
        <f t="shared" si="8"/>
        <v>0</v>
      </c>
      <c r="AC44" s="177" t="str">
        <f t="shared" si="9"/>
        <v>0</v>
      </c>
      <c r="AD44" s="177" t="str">
        <f t="shared" si="10"/>
        <v>0</v>
      </c>
    </row>
    <row r="45" ht="16.5" customHeight="1">
      <c r="A45" s="179" t="s">
        <v>183</v>
      </c>
      <c r="B45" s="159" t="s">
        <v>122</v>
      </c>
      <c r="C45" s="133" t="str">
        <f t="shared" si="2"/>
        <v>0</v>
      </c>
      <c r="D45" s="133" t="str">
        <f t="shared" si="3"/>
        <v>0</v>
      </c>
      <c r="E45" s="133" t="str">
        <f t="shared" si="4"/>
        <v>0</v>
      </c>
      <c r="F45" s="133"/>
      <c r="G45" s="133"/>
      <c r="H45" s="108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83"/>
      <c r="X45" s="159" t="str">
        <f t="shared" si="5"/>
        <v>0</v>
      </c>
      <c r="Y45" s="159" t="str">
        <f>BASE!A49</f>
        <v>34</v>
      </c>
      <c r="Z45" s="177" t="str">
        <f t="shared" si="6"/>
        <v>0</v>
      </c>
      <c r="AA45" s="177" t="str">
        <f t="shared" si="7"/>
        <v>0</v>
      </c>
      <c r="AB45" s="177" t="str">
        <f t="shared" si="8"/>
        <v>0</v>
      </c>
      <c r="AC45" s="177" t="str">
        <f t="shared" si="9"/>
        <v>0</v>
      </c>
      <c r="AD45" s="177" t="str">
        <f t="shared" si="10"/>
        <v>0</v>
      </c>
    </row>
    <row r="46" ht="16.5" customHeight="1">
      <c r="A46" s="179" t="s">
        <v>184</v>
      </c>
      <c r="B46" s="159" t="s">
        <v>122</v>
      </c>
      <c r="C46" s="133" t="str">
        <f t="shared" si="2"/>
        <v>0</v>
      </c>
      <c r="D46" s="133" t="str">
        <f t="shared" si="3"/>
        <v>0</v>
      </c>
      <c r="E46" s="133" t="str">
        <f t="shared" si="4"/>
        <v>0</v>
      </c>
      <c r="F46" s="133"/>
      <c r="G46" s="133"/>
      <c r="H46" s="108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83"/>
      <c r="X46" s="159" t="str">
        <f t="shared" si="5"/>
        <v>0</v>
      </c>
      <c r="Y46" s="159" t="str">
        <f>BASE!A50</f>
        <v>35</v>
      </c>
      <c r="Z46" s="177" t="str">
        <f t="shared" si="6"/>
        <v>0</v>
      </c>
      <c r="AA46" s="177" t="str">
        <f t="shared" si="7"/>
        <v>0</v>
      </c>
      <c r="AB46" s="177" t="str">
        <f t="shared" si="8"/>
        <v>0</v>
      </c>
      <c r="AC46" s="177" t="str">
        <f t="shared" si="9"/>
        <v>0</v>
      </c>
      <c r="AD46" s="177" t="str">
        <f t="shared" si="10"/>
        <v>0</v>
      </c>
    </row>
    <row r="47" ht="16.5" customHeight="1">
      <c r="A47" s="179" t="s">
        <v>185</v>
      </c>
      <c r="B47" s="159" t="s">
        <v>122</v>
      </c>
      <c r="C47" s="133" t="str">
        <f t="shared" si="2"/>
        <v>0</v>
      </c>
      <c r="D47" s="133" t="str">
        <f t="shared" si="3"/>
        <v>0</v>
      </c>
      <c r="E47" s="133" t="str">
        <f t="shared" si="4"/>
        <v>0</v>
      </c>
      <c r="F47" s="133"/>
      <c r="G47" s="133"/>
      <c r="H47" s="108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83"/>
      <c r="X47" s="159" t="str">
        <f t="shared" si="5"/>
        <v>0</v>
      </c>
      <c r="Y47" s="159" t="str">
        <f>BASE!A51</f>
        <v>36</v>
      </c>
      <c r="Z47" s="177" t="str">
        <f t="shared" si="6"/>
        <v>0</v>
      </c>
      <c r="AA47" s="177" t="str">
        <f t="shared" si="7"/>
        <v>0</v>
      </c>
      <c r="AB47" s="177" t="str">
        <f t="shared" si="8"/>
        <v>0</v>
      </c>
      <c r="AC47" s="177" t="str">
        <f t="shared" si="9"/>
        <v>0</v>
      </c>
      <c r="AD47" s="177" t="str">
        <f t="shared" si="10"/>
        <v>0</v>
      </c>
    </row>
    <row r="48" ht="16.5" customHeight="1">
      <c r="A48" s="179" t="s">
        <v>186</v>
      </c>
      <c r="B48" s="159" t="s">
        <v>122</v>
      </c>
      <c r="C48" s="133" t="str">
        <f t="shared" si="2"/>
        <v>0</v>
      </c>
      <c r="D48" s="133" t="str">
        <f t="shared" si="3"/>
        <v>0</v>
      </c>
      <c r="E48" s="133" t="str">
        <f t="shared" si="4"/>
        <v>0</v>
      </c>
      <c r="F48" s="133"/>
      <c r="G48" s="133"/>
      <c r="H48" s="108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83"/>
      <c r="X48" s="159" t="str">
        <f t="shared" si="5"/>
        <v>0</v>
      </c>
      <c r="Y48" s="159" t="str">
        <f>BASE!A52</f>
        <v>37</v>
      </c>
      <c r="Z48" s="177" t="str">
        <f t="shared" si="6"/>
        <v>0</v>
      </c>
      <c r="AA48" s="177" t="str">
        <f t="shared" si="7"/>
        <v>0</v>
      </c>
      <c r="AB48" s="177" t="str">
        <f t="shared" si="8"/>
        <v>0</v>
      </c>
      <c r="AC48" s="177" t="str">
        <f t="shared" si="9"/>
        <v>0</v>
      </c>
      <c r="AD48" s="177" t="str">
        <f t="shared" si="10"/>
        <v>0</v>
      </c>
    </row>
    <row r="49" ht="16.5" customHeight="1">
      <c r="A49" s="179" t="s">
        <v>187</v>
      </c>
      <c r="B49" s="159" t="s">
        <v>122</v>
      </c>
      <c r="C49" s="133" t="str">
        <f t="shared" si="2"/>
        <v>0</v>
      </c>
      <c r="D49" s="133" t="str">
        <f t="shared" si="3"/>
        <v>0</v>
      </c>
      <c r="E49" s="133" t="str">
        <f t="shared" si="4"/>
        <v>0</v>
      </c>
      <c r="F49" s="133"/>
      <c r="G49" s="133"/>
      <c r="H49" s="108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83"/>
      <c r="X49" s="159" t="str">
        <f t="shared" si="5"/>
        <v>0</v>
      </c>
      <c r="Y49" s="159" t="str">
        <f>BASE!A53</f>
        <v>38</v>
      </c>
      <c r="Z49" s="177" t="str">
        <f t="shared" si="6"/>
        <v>0</v>
      </c>
      <c r="AA49" s="177" t="str">
        <f t="shared" si="7"/>
        <v>0</v>
      </c>
      <c r="AB49" s="177" t="str">
        <f t="shared" si="8"/>
        <v>0</v>
      </c>
      <c r="AC49" s="177" t="str">
        <f t="shared" si="9"/>
        <v>0</v>
      </c>
      <c r="AD49" s="177" t="str">
        <f t="shared" si="10"/>
        <v>0</v>
      </c>
    </row>
    <row r="50" ht="16.5" customHeight="1">
      <c r="A50" s="179" t="s">
        <v>188</v>
      </c>
      <c r="B50" s="159" t="s">
        <v>122</v>
      </c>
      <c r="C50" s="133" t="str">
        <f t="shared" si="2"/>
        <v>0</v>
      </c>
      <c r="D50" s="133" t="str">
        <f t="shared" si="3"/>
        <v>0</v>
      </c>
      <c r="E50" s="133" t="str">
        <f t="shared" si="4"/>
        <v>0</v>
      </c>
      <c r="F50" s="133"/>
      <c r="G50" s="133"/>
      <c r="H50" s="108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83"/>
      <c r="X50" s="159" t="str">
        <f t="shared" si="5"/>
        <v>0</v>
      </c>
      <c r="Y50" s="159" t="str">
        <f>BASE!A54</f>
        <v>39</v>
      </c>
      <c r="Z50" s="177" t="str">
        <f t="shared" si="6"/>
        <v>0</v>
      </c>
      <c r="AA50" s="177" t="str">
        <f t="shared" si="7"/>
        <v>0</v>
      </c>
      <c r="AB50" s="177" t="str">
        <f t="shared" si="8"/>
        <v>0</v>
      </c>
      <c r="AC50" s="177" t="str">
        <f t="shared" si="9"/>
        <v>0</v>
      </c>
      <c r="AD50" s="177" t="str">
        <f t="shared" si="10"/>
        <v>0</v>
      </c>
    </row>
    <row r="51" ht="16.5" customHeight="1">
      <c r="A51" s="179" t="s">
        <v>189</v>
      </c>
      <c r="B51" s="159" t="s">
        <v>122</v>
      </c>
      <c r="C51" s="133" t="str">
        <f t="shared" si="2"/>
        <v>0</v>
      </c>
      <c r="D51" s="133" t="str">
        <f t="shared" si="3"/>
        <v>0</v>
      </c>
      <c r="E51" s="133" t="str">
        <f t="shared" si="4"/>
        <v>0</v>
      </c>
      <c r="F51" s="133"/>
      <c r="G51" s="133"/>
      <c r="H51" s="108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83"/>
      <c r="X51" s="159" t="str">
        <f t="shared" si="5"/>
        <v>0</v>
      </c>
      <c r="Y51" s="159" t="str">
        <f>BASE!A55</f>
        <v>40</v>
      </c>
      <c r="Z51" s="177" t="str">
        <f t="shared" si="6"/>
        <v>0</v>
      </c>
      <c r="AA51" s="177" t="str">
        <f t="shared" si="7"/>
        <v>0</v>
      </c>
      <c r="AB51" s="177" t="str">
        <f t="shared" si="8"/>
        <v>0</v>
      </c>
      <c r="AC51" s="177" t="str">
        <f t="shared" si="9"/>
        <v>0</v>
      </c>
      <c r="AD51" s="177" t="str">
        <f t="shared" si="10"/>
        <v>0</v>
      </c>
    </row>
    <row r="52" ht="16.5" customHeight="1">
      <c r="A52" s="179" t="s">
        <v>190</v>
      </c>
      <c r="B52" s="159" t="s">
        <v>122</v>
      </c>
      <c r="C52" s="133" t="str">
        <f t="shared" si="2"/>
        <v>0</v>
      </c>
      <c r="D52" s="133" t="str">
        <f t="shared" si="3"/>
        <v>0</v>
      </c>
      <c r="E52" s="133" t="str">
        <f t="shared" si="4"/>
        <v>0</v>
      </c>
      <c r="F52" s="133"/>
      <c r="G52" s="133"/>
      <c r="H52" s="108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83"/>
      <c r="X52" s="159" t="str">
        <f t="shared" si="5"/>
        <v>0</v>
      </c>
      <c r="Y52" s="159" t="str">
        <f>BASE!A56</f>
        <v>41</v>
      </c>
      <c r="Z52" s="177" t="str">
        <f t="shared" si="6"/>
        <v>0</v>
      </c>
      <c r="AA52" s="177" t="str">
        <f t="shared" si="7"/>
        <v>0</v>
      </c>
      <c r="AB52" s="177" t="str">
        <f t="shared" si="8"/>
        <v>0</v>
      </c>
      <c r="AC52" s="177" t="str">
        <f t="shared" si="9"/>
        <v>0</v>
      </c>
      <c r="AD52" s="177" t="str">
        <f t="shared" si="10"/>
        <v>0</v>
      </c>
    </row>
    <row r="53" ht="16.5" customHeight="1">
      <c r="A53" s="179" t="s">
        <v>191</v>
      </c>
      <c r="B53" s="159" t="s">
        <v>122</v>
      </c>
      <c r="C53" s="133" t="str">
        <f t="shared" si="2"/>
        <v>0</v>
      </c>
      <c r="D53" s="133" t="str">
        <f t="shared" si="3"/>
        <v>0</v>
      </c>
      <c r="E53" s="133" t="str">
        <f t="shared" si="4"/>
        <v>0</v>
      </c>
      <c r="F53" s="133"/>
      <c r="G53" s="133"/>
      <c r="H53" s="108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83"/>
      <c r="X53" s="159" t="str">
        <f t="shared" si="5"/>
        <v>0</v>
      </c>
      <c r="Y53" s="159" t="str">
        <f>BASE!A57</f>
        <v>42</v>
      </c>
      <c r="Z53" s="177" t="str">
        <f t="shared" si="6"/>
        <v>0</v>
      </c>
      <c r="AA53" s="177" t="str">
        <f t="shared" si="7"/>
        <v>0</v>
      </c>
      <c r="AB53" s="177" t="str">
        <f t="shared" si="8"/>
        <v>0</v>
      </c>
      <c r="AC53" s="177" t="str">
        <f t="shared" si="9"/>
        <v>0</v>
      </c>
      <c r="AD53" s="177" t="str">
        <f t="shared" si="10"/>
        <v>0</v>
      </c>
    </row>
    <row r="54" ht="16.5" customHeight="1">
      <c r="A54" s="179" t="s">
        <v>192</v>
      </c>
      <c r="B54" s="159" t="s">
        <v>122</v>
      </c>
      <c r="C54" s="133" t="str">
        <f t="shared" si="2"/>
        <v>0</v>
      </c>
      <c r="D54" s="133" t="str">
        <f t="shared" si="3"/>
        <v>0</v>
      </c>
      <c r="E54" s="133" t="str">
        <f t="shared" si="4"/>
        <v>0</v>
      </c>
      <c r="F54" s="133"/>
      <c r="G54" s="133"/>
      <c r="H54" s="108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83"/>
      <c r="X54" s="159" t="str">
        <f t="shared" si="5"/>
        <v>0</v>
      </c>
      <c r="Y54" s="159" t="str">
        <f>BASE!A58</f>
        <v>43</v>
      </c>
      <c r="Z54" s="177" t="str">
        <f t="shared" si="6"/>
        <v>0</v>
      </c>
      <c r="AA54" s="177" t="str">
        <f t="shared" si="7"/>
        <v>0</v>
      </c>
      <c r="AB54" s="177" t="str">
        <f t="shared" si="8"/>
        <v>0</v>
      </c>
      <c r="AC54" s="177" t="str">
        <f t="shared" si="9"/>
        <v>0</v>
      </c>
      <c r="AD54" s="177" t="str">
        <f t="shared" si="10"/>
        <v>0</v>
      </c>
    </row>
    <row r="55" ht="16.5" customHeight="1">
      <c r="A55" s="179" t="s">
        <v>193</v>
      </c>
      <c r="B55" s="159" t="s">
        <v>122</v>
      </c>
      <c r="C55" s="133" t="str">
        <f t="shared" si="2"/>
        <v>0</v>
      </c>
      <c r="D55" s="133" t="str">
        <f t="shared" si="3"/>
        <v>0</v>
      </c>
      <c r="E55" s="133" t="str">
        <f t="shared" si="4"/>
        <v>0</v>
      </c>
      <c r="F55" s="133"/>
      <c r="G55" s="133"/>
      <c r="H55" s="108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83"/>
      <c r="X55" s="159" t="str">
        <f t="shared" si="5"/>
        <v>0</v>
      </c>
      <c r="Y55" s="159" t="str">
        <f>BASE!A59</f>
        <v>44</v>
      </c>
      <c r="Z55" s="177" t="str">
        <f t="shared" si="6"/>
        <v>0</v>
      </c>
      <c r="AA55" s="177" t="str">
        <f t="shared" si="7"/>
        <v>0</v>
      </c>
      <c r="AB55" s="177" t="str">
        <f t="shared" si="8"/>
        <v>0</v>
      </c>
      <c r="AC55" s="177" t="str">
        <f t="shared" si="9"/>
        <v>0</v>
      </c>
      <c r="AD55" s="177" t="str">
        <f t="shared" si="10"/>
        <v>0</v>
      </c>
    </row>
    <row r="56" ht="16.5" customHeight="1">
      <c r="A56" s="179" t="s">
        <v>194</v>
      </c>
      <c r="B56" s="159" t="s">
        <v>122</v>
      </c>
      <c r="C56" s="133" t="str">
        <f t="shared" si="2"/>
        <v>0</v>
      </c>
      <c r="D56" s="133" t="str">
        <f t="shared" si="3"/>
        <v>0</v>
      </c>
      <c r="E56" s="133" t="str">
        <f t="shared" si="4"/>
        <v>0</v>
      </c>
      <c r="F56" s="133"/>
      <c r="G56" s="133"/>
      <c r="H56" s="108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83"/>
      <c r="X56" s="159" t="str">
        <f t="shared" si="5"/>
        <v>0</v>
      </c>
      <c r="Y56" s="159" t="str">
        <f>BASE!A60</f>
        <v>45</v>
      </c>
      <c r="Z56" s="177" t="str">
        <f t="shared" si="6"/>
        <v>0</v>
      </c>
      <c r="AA56" s="177" t="str">
        <f t="shared" si="7"/>
        <v>0</v>
      </c>
      <c r="AB56" s="177" t="str">
        <f t="shared" si="8"/>
        <v>0</v>
      </c>
      <c r="AC56" s="177" t="str">
        <f t="shared" si="9"/>
        <v>0</v>
      </c>
      <c r="AD56" s="177" t="str">
        <f t="shared" si="10"/>
        <v>0</v>
      </c>
    </row>
    <row r="57" ht="16.5" customHeight="1">
      <c r="A57" s="179" t="s">
        <v>195</v>
      </c>
      <c r="B57" s="159" t="s">
        <v>122</v>
      </c>
      <c r="C57" s="133" t="str">
        <f t="shared" si="2"/>
        <v>0</v>
      </c>
      <c r="D57" s="133" t="str">
        <f t="shared" si="3"/>
        <v>0</v>
      </c>
      <c r="E57" s="133" t="str">
        <f t="shared" si="4"/>
        <v>0</v>
      </c>
      <c r="F57" s="133"/>
      <c r="G57" s="133"/>
      <c r="H57" s="108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83"/>
      <c r="X57" s="159" t="str">
        <f t="shared" si="5"/>
        <v>0</v>
      </c>
      <c r="Y57" s="159" t="str">
        <f>BASE!A61</f>
        <v>46</v>
      </c>
      <c r="Z57" s="177" t="str">
        <f t="shared" si="6"/>
        <v>0</v>
      </c>
      <c r="AA57" s="177" t="str">
        <f t="shared" si="7"/>
        <v>0</v>
      </c>
      <c r="AB57" s="177" t="str">
        <f t="shared" si="8"/>
        <v>0</v>
      </c>
      <c r="AC57" s="177" t="str">
        <f t="shared" si="9"/>
        <v>0</v>
      </c>
      <c r="AD57" s="177" t="str">
        <f t="shared" si="10"/>
        <v>0</v>
      </c>
    </row>
    <row r="58" ht="16.5" customHeight="1">
      <c r="A58" s="179"/>
      <c r="B58" s="159" t="s">
        <v>122</v>
      </c>
      <c r="C58" s="133" t="str">
        <f t="shared" si="2"/>
        <v>0</v>
      </c>
      <c r="D58" s="133" t="str">
        <f t="shared" si="3"/>
        <v>0</v>
      </c>
      <c r="E58" s="133" t="str">
        <f t="shared" si="4"/>
        <v>0</v>
      </c>
      <c r="F58" s="133"/>
      <c r="G58" s="133"/>
      <c r="H58" s="108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83"/>
      <c r="X58" s="159" t="str">
        <f t="shared" si="5"/>
        <v>0</v>
      </c>
      <c r="Y58" s="159" t="str">
        <f>BASE!A62</f>
        <v>47</v>
      </c>
      <c r="Z58" s="177" t="str">
        <f t="shared" si="6"/>
        <v>0</v>
      </c>
      <c r="AA58" s="177" t="str">
        <f t="shared" si="7"/>
        <v>0</v>
      </c>
      <c r="AB58" s="177" t="str">
        <f t="shared" si="8"/>
        <v>0</v>
      </c>
      <c r="AC58" s="177" t="str">
        <f t="shared" si="9"/>
        <v>0</v>
      </c>
      <c r="AD58" s="177" t="str">
        <f t="shared" si="10"/>
        <v>0</v>
      </c>
    </row>
    <row r="59" ht="16.5" customHeight="1">
      <c r="A59" s="179"/>
      <c r="B59" s="159" t="s">
        <v>122</v>
      </c>
      <c r="C59" s="133" t="str">
        <f t="shared" si="2"/>
        <v>0</v>
      </c>
      <c r="D59" s="133" t="str">
        <f t="shared" si="3"/>
        <v>0</v>
      </c>
      <c r="E59" s="133" t="str">
        <f t="shared" si="4"/>
        <v>0</v>
      </c>
      <c r="F59" s="133"/>
      <c r="G59" s="133"/>
      <c r="H59" s="108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83"/>
      <c r="X59" s="159" t="str">
        <f t="shared" si="5"/>
        <v>0</v>
      </c>
      <c r="Y59" s="159" t="str">
        <f>BASE!A63</f>
        <v>48</v>
      </c>
      <c r="Z59" s="177" t="str">
        <f t="shared" si="6"/>
        <v>0</v>
      </c>
      <c r="AA59" s="177" t="str">
        <f t="shared" si="7"/>
        <v>0</v>
      </c>
      <c r="AB59" s="177" t="str">
        <f t="shared" si="8"/>
        <v>0</v>
      </c>
      <c r="AC59" s="177" t="str">
        <f t="shared" si="9"/>
        <v>0</v>
      </c>
      <c r="AD59" s="177" t="str">
        <f t="shared" si="10"/>
        <v>0</v>
      </c>
    </row>
    <row r="60" ht="16.5" customHeight="1">
      <c r="A60" s="179"/>
      <c r="B60" s="159" t="s">
        <v>122</v>
      </c>
      <c r="C60" s="133" t="str">
        <f t="shared" si="2"/>
        <v>0</v>
      </c>
      <c r="D60" s="133" t="str">
        <f t="shared" si="3"/>
        <v>0</v>
      </c>
      <c r="E60" s="133" t="str">
        <f t="shared" si="4"/>
        <v>0</v>
      </c>
      <c r="F60" s="133"/>
      <c r="G60" s="133"/>
      <c r="H60" s="108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83"/>
      <c r="X60" s="159" t="str">
        <f t="shared" si="5"/>
        <v>0</v>
      </c>
      <c r="Y60" s="159" t="str">
        <f>BASE!A64</f>
        <v>49</v>
      </c>
      <c r="Z60" s="177" t="str">
        <f t="shared" si="6"/>
        <v>0</v>
      </c>
      <c r="AA60" s="177" t="str">
        <f t="shared" si="7"/>
        <v>0</v>
      </c>
      <c r="AB60" s="177" t="str">
        <f t="shared" si="8"/>
        <v>0</v>
      </c>
      <c r="AC60" s="177" t="str">
        <f t="shared" si="9"/>
        <v>0</v>
      </c>
      <c r="AD60" s="177" t="str">
        <f t="shared" si="10"/>
        <v>0</v>
      </c>
    </row>
    <row r="61" ht="16.5" customHeight="1">
      <c r="A61" s="179"/>
      <c r="B61" s="159" t="s">
        <v>122</v>
      </c>
      <c r="C61" s="133" t="str">
        <f t="shared" si="2"/>
        <v>0</v>
      </c>
      <c r="D61" s="133" t="str">
        <f t="shared" si="3"/>
        <v>0</v>
      </c>
      <c r="E61" s="133" t="str">
        <f t="shared" si="4"/>
        <v>0</v>
      </c>
      <c r="F61" s="133"/>
      <c r="G61" s="133"/>
      <c r="H61" s="108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83"/>
      <c r="X61" s="159" t="str">
        <f t="shared" si="5"/>
        <v>0</v>
      </c>
      <c r="Y61" s="159" t="str">
        <f>BASE!A65</f>
        <v>50</v>
      </c>
      <c r="Z61" s="177" t="str">
        <f t="shared" si="6"/>
        <v>0</v>
      </c>
      <c r="AA61" s="177" t="str">
        <f t="shared" si="7"/>
        <v>0</v>
      </c>
      <c r="AB61" s="177" t="str">
        <f t="shared" si="8"/>
        <v>0</v>
      </c>
      <c r="AC61" s="177" t="str">
        <f t="shared" si="9"/>
        <v>0</v>
      </c>
      <c r="AD61" s="177" t="str">
        <f t="shared" si="10"/>
        <v>0</v>
      </c>
    </row>
    <row r="62" ht="16.5" customHeight="1">
      <c r="A62" s="179"/>
      <c r="B62" s="159" t="s">
        <v>122</v>
      </c>
      <c r="C62" s="133" t="str">
        <f t="shared" si="2"/>
        <v>0</v>
      </c>
      <c r="D62" s="133" t="str">
        <f t="shared" si="3"/>
        <v>0</v>
      </c>
      <c r="E62" s="133" t="str">
        <f t="shared" si="4"/>
        <v>0</v>
      </c>
      <c r="F62" s="133"/>
      <c r="G62" s="133"/>
      <c r="H62" s="108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83"/>
      <c r="X62" s="159" t="str">
        <f t="shared" si="5"/>
        <v>0</v>
      </c>
      <c r="Y62" s="159" t="str">
        <f>BASE!A66</f>
        <v>51</v>
      </c>
      <c r="Z62" s="177" t="str">
        <f t="shared" si="6"/>
        <v>0</v>
      </c>
      <c r="AA62" s="177" t="str">
        <f t="shared" si="7"/>
        <v>0</v>
      </c>
      <c r="AB62" s="177" t="str">
        <f t="shared" si="8"/>
        <v>0</v>
      </c>
      <c r="AC62" s="177" t="str">
        <f t="shared" si="9"/>
        <v>0</v>
      </c>
      <c r="AD62" s="177" t="str">
        <f t="shared" si="10"/>
        <v>0</v>
      </c>
    </row>
    <row r="63" ht="16.5" customHeight="1">
      <c r="A63" s="179"/>
      <c r="B63" s="159" t="s">
        <v>122</v>
      </c>
      <c r="C63" s="133" t="str">
        <f t="shared" si="2"/>
        <v>0</v>
      </c>
      <c r="D63" s="133" t="str">
        <f t="shared" si="3"/>
        <v>0</v>
      </c>
      <c r="E63" s="133" t="str">
        <f t="shared" si="4"/>
        <v>0</v>
      </c>
      <c r="F63" s="133"/>
      <c r="G63" s="133"/>
      <c r="H63" s="108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83"/>
      <c r="X63" s="159" t="str">
        <f t="shared" si="5"/>
        <v>0</v>
      </c>
      <c r="Y63" s="159" t="str">
        <f>BASE!A67</f>
        <v>52</v>
      </c>
      <c r="Z63" s="177" t="str">
        <f t="shared" si="6"/>
        <v>0</v>
      </c>
      <c r="AA63" s="177" t="str">
        <f t="shared" si="7"/>
        <v>0</v>
      </c>
      <c r="AB63" s="177" t="str">
        <f t="shared" si="8"/>
        <v>0</v>
      </c>
      <c r="AC63" s="177" t="str">
        <f t="shared" si="9"/>
        <v>0</v>
      </c>
      <c r="AD63" s="177" t="str">
        <f t="shared" si="10"/>
        <v>0</v>
      </c>
    </row>
    <row r="64" ht="16.5" customHeight="1">
      <c r="A64" s="179"/>
      <c r="B64" s="159" t="s">
        <v>122</v>
      </c>
      <c r="C64" s="133" t="str">
        <f t="shared" si="2"/>
        <v>0</v>
      </c>
      <c r="D64" s="133" t="str">
        <f t="shared" si="3"/>
        <v>0</v>
      </c>
      <c r="E64" s="133" t="str">
        <f t="shared" si="4"/>
        <v>0</v>
      </c>
      <c r="F64" s="133"/>
      <c r="G64" s="133"/>
      <c r="H64" s="108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83"/>
      <c r="X64" s="159" t="str">
        <f t="shared" si="5"/>
        <v>0</v>
      </c>
      <c r="Y64" s="159" t="str">
        <f>BASE!A68</f>
        <v>53</v>
      </c>
      <c r="Z64" s="177" t="str">
        <f t="shared" si="6"/>
        <v>0</v>
      </c>
      <c r="AA64" s="177" t="str">
        <f t="shared" si="7"/>
        <v>0</v>
      </c>
      <c r="AB64" s="177" t="str">
        <f t="shared" si="8"/>
        <v>0</v>
      </c>
      <c r="AC64" s="177" t="str">
        <f t="shared" si="9"/>
        <v>0</v>
      </c>
      <c r="AD64" s="177" t="str">
        <f t="shared" si="10"/>
        <v>0</v>
      </c>
    </row>
    <row r="65" ht="16.5" customHeight="1">
      <c r="A65" s="179"/>
      <c r="B65" s="159" t="s">
        <v>122</v>
      </c>
      <c r="C65" s="133" t="str">
        <f t="shared" si="2"/>
        <v>0</v>
      </c>
      <c r="D65" s="133" t="str">
        <f t="shared" si="3"/>
        <v>0</v>
      </c>
      <c r="E65" s="133" t="str">
        <f t="shared" si="4"/>
        <v>0</v>
      </c>
      <c r="F65" s="133"/>
      <c r="G65" s="133"/>
      <c r="H65" s="108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83"/>
      <c r="X65" s="159" t="str">
        <f t="shared" si="5"/>
        <v>0</v>
      </c>
      <c r="Y65" s="159" t="str">
        <f>BASE!A69</f>
        <v>54</v>
      </c>
      <c r="Z65" s="177" t="str">
        <f t="shared" si="6"/>
        <v>0</v>
      </c>
      <c r="AA65" s="177" t="str">
        <f t="shared" si="7"/>
        <v>0</v>
      </c>
      <c r="AB65" s="177" t="str">
        <f t="shared" si="8"/>
        <v>0</v>
      </c>
      <c r="AC65" s="177" t="str">
        <f t="shared" si="9"/>
        <v>0</v>
      </c>
      <c r="AD65" s="177" t="str">
        <f t="shared" si="10"/>
        <v>0</v>
      </c>
    </row>
    <row r="66" ht="16.5" customHeight="1">
      <c r="A66" s="179"/>
      <c r="B66" s="159" t="s">
        <v>122</v>
      </c>
      <c r="C66" s="133" t="str">
        <f t="shared" si="2"/>
        <v>0</v>
      </c>
      <c r="D66" s="133" t="str">
        <f t="shared" si="3"/>
        <v>0</v>
      </c>
      <c r="E66" s="133" t="str">
        <f t="shared" si="4"/>
        <v>0</v>
      </c>
      <c r="F66" s="133"/>
      <c r="G66" s="133"/>
      <c r="H66" s="108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83"/>
      <c r="X66" s="159" t="str">
        <f t="shared" si="5"/>
        <v>0</v>
      </c>
      <c r="Y66" s="159" t="str">
        <f>BASE!A70</f>
        <v>55</v>
      </c>
      <c r="Z66" s="177" t="str">
        <f t="shared" si="6"/>
        <v>0</v>
      </c>
      <c r="AA66" s="177" t="str">
        <f t="shared" si="7"/>
        <v>0</v>
      </c>
      <c r="AB66" s="177" t="str">
        <f t="shared" si="8"/>
        <v>0</v>
      </c>
      <c r="AC66" s="177" t="str">
        <f t="shared" si="9"/>
        <v>0</v>
      </c>
      <c r="AD66" s="177" t="str">
        <f t="shared" si="10"/>
        <v>0</v>
      </c>
    </row>
    <row r="67" ht="16.5" customHeight="1">
      <c r="A67" s="179"/>
      <c r="B67" s="159" t="s">
        <v>122</v>
      </c>
      <c r="C67" s="133" t="str">
        <f t="shared" si="2"/>
        <v>0</v>
      </c>
      <c r="D67" s="133" t="str">
        <f t="shared" si="3"/>
        <v>0</v>
      </c>
      <c r="E67" s="133" t="str">
        <f t="shared" si="4"/>
        <v>0</v>
      </c>
      <c r="F67" s="133"/>
      <c r="G67" s="133"/>
      <c r="H67" s="108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83"/>
      <c r="X67" s="159" t="str">
        <f t="shared" si="5"/>
        <v>0</v>
      </c>
      <c r="Y67" s="159" t="str">
        <f>BASE!A71</f>
        <v>56</v>
      </c>
      <c r="Z67" s="177" t="str">
        <f t="shared" si="6"/>
        <v>0</v>
      </c>
      <c r="AA67" s="177" t="str">
        <f t="shared" si="7"/>
        <v>0</v>
      </c>
      <c r="AB67" s="177" t="str">
        <f t="shared" si="8"/>
        <v>0</v>
      </c>
      <c r="AC67" s="177" t="str">
        <f t="shared" si="9"/>
        <v>0</v>
      </c>
      <c r="AD67" s="177" t="str">
        <f t="shared" si="10"/>
        <v>0</v>
      </c>
    </row>
    <row r="68" ht="16.5" customHeight="1">
      <c r="A68" s="179"/>
      <c r="B68" s="159" t="s">
        <v>122</v>
      </c>
      <c r="C68" s="133" t="str">
        <f t="shared" si="2"/>
        <v>0</v>
      </c>
      <c r="D68" s="133" t="str">
        <f t="shared" si="3"/>
        <v>0</v>
      </c>
      <c r="E68" s="133" t="str">
        <f t="shared" si="4"/>
        <v>0</v>
      </c>
      <c r="F68" s="133"/>
      <c r="G68" s="133"/>
      <c r="H68" s="108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83"/>
      <c r="X68" s="159" t="str">
        <f t="shared" si="5"/>
        <v>0</v>
      </c>
      <c r="Y68" s="159" t="str">
        <f>BASE!A72</f>
        <v>57</v>
      </c>
      <c r="Z68" s="177" t="str">
        <f t="shared" si="6"/>
        <v>0</v>
      </c>
      <c r="AA68" s="177" t="str">
        <f t="shared" si="7"/>
        <v>0</v>
      </c>
      <c r="AB68" s="177" t="str">
        <f t="shared" si="8"/>
        <v>0</v>
      </c>
      <c r="AC68" s="177" t="str">
        <f t="shared" si="9"/>
        <v>0</v>
      </c>
      <c r="AD68" s="177" t="str">
        <f t="shared" si="10"/>
        <v>0</v>
      </c>
    </row>
    <row r="69" ht="16.5" customHeight="1">
      <c r="A69" s="179"/>
      <c r="B69" s="159" t="s">
        <v>122</v>
      </c>
      <c r="C69" s="133" t="str">
        <f t="shared" si="2"/>
        <v>0</v>
      </c>
      <c r="D69" s="133" t="str">
        <f t="shared" si="3"/>
        <v>0</v>
      </c>
      <c r="E69" s="133" t="str">
        <f t="shared" si="4"/>
        <v>0</v>
      </c>
      <c r="F69" s="133"/>
      <c r="G69" s="133"/>
      <c r="H69" s="108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83"/>
      <c r="X69" s="159" t="str">
        <f t="shared" si="5"/>
        <v>0</v>
      </c>
      <c r="Y69" s="159" t="str">
        <f>BASE!A73</f>
        <v>58</v>
      </c>
      <c r="Z69" s="177" t="str">
        <f t="shared" si="6"/>
        <v>0</v>
      </c>
      <c r="AA69" s="177" t="str">
        <f t="shared" si="7"/>
        <v>0</v>
      </c>
      <c r="AB69" s="177" t="str">
        <f t="shared" si="8"/>
        <v>0</v>
      </c>
      <c r="AC69" s="177" t="str">
        <f t="shared" si="9"/>
        <v>0</v>
      </c>
      <c r="AD69" s="177" t="str">
        <f t="shared" si="10"/>
        <v>0</v>
      </c>
    </row>
    <row r="70" ht="16.5" customHeight="1">
      <c r="A70" s="179"/>
      <c r="B70" s="159" t="s">
        <v>122</v>
      </c>
      <c r="C70" s="133" t="str">
        <f t="shared" si="2"/>
        <v>0</v>
      </c>
      <c r="D70" s="133" t="str">
        <f t="shared" si="3"/>
        <v>0</v>
      </c>
      <c r="E70" s="133" t="str">
        <f t="shared" si="4"/>
        <v>0</v>
      </c>
      <c r="F70" s="133"/>
      <c r="G70" s="133"/>
      <c r="H70" s="108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83"/>
      <c r="X70" s="159" t="str">
        <f t="shared" si="5"/>
        <v>0</v>
      </c>
      <c r="Y70" s="159" t="str">
        <f>BASE!A74</f>
        <v>59</v>
      </c>
      <c r="Z70" s="177" t="str">
        <f t="shared" si="6"/>
        <v>0</v>
      </c>
      <c r="AA70" s="177" t="str">
        <f t="shared" si="7"/>
        <v>0</v>
      </c>
      <c r="AB70" s="177" t="str">
        <f t="shared" si="8"/>
        <v>0</v>
      </c>
      <c r="AC70" s="177" t="str">
        <f t="shared" si="9"/>
        <v>0</v>
      </c>
      <c r="AD70" s="177" t="str">
        <f t="shared" si="10"/>
        <v>0</v>
      </c>
    </row>
    <row r="71" ht="16.5" customHeight="1">
      <c r="A71" s="179"/>
      <c r="B71" s="159" t="s">
        <v>122</v>
      </c>
      <c r="C71" s="133" t="str">
        <f t="shared" si="2"/>
        <v>0</v>
      </c>
      <c r="D71" s="133" t="str">
        <f t="shared" si="3"/>
        <v>0</v>
      </c>
      <c r="E71" s="133" t="str">
        <f t="shared" si="4"/>
        <v>0</v>
      </c>
      <c r="F71" s="133"/>
      <c r="G71" s="133"/>
      <c r="H71" s="108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83"/>
      <c r="X71" s="159" t="str">
        <f t="shared" si="5"/>
        <v>0</v>
      </c>
      <c r="Y71" s="159" t="str">
        <f>BASE!A75</f>
        <v>60</v>
      </c>
      <c r="Z71" s="177" t="str">
        <f t="shared" si="6"/>
        <v>0</v>
      </c>
      <c r="AA71" s="177" t="str">
        <f t="shared" si="7"/>
        <v>0</v>
      </c>
      <c r="AB71" s="177" t="str">
        <f t="shared" si="8"/>
        <v>0</v>
      </c>
      <c r="AC71" s="177" t="str">
        <f t="shared" si="9"/>
        <v>0</v>
      </c>
      <c r="AD71" s="177" t="str">
        <f t="shared" si="10"/>
        <v>0</v>
      </c>
    </row>
    <row r="72" ht="16.5" customHeight="1">
      <c r="A72" s="179"/>
      <c r="B72" s="159" t="s">
        <v>122</v>
      </c>
      <c r="C72" s="133" t="str">
        <f t="shared" si="2"/>
        <v>0</v>
      </c>
      <c r="D72" s="133" t="str">
        <f t="shared" si="3"/>
        <v>0</v>
      </c>
      <c r="E72" s="133" t="str">
        <f t="shared" si="4"/>
        <v>0</v>
      </c>
      <c r="F72" s="133"/>
      <c r="G72" s="133"/>
      <c r="H72" s="108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83"/>
      <c r="X72" s="159" t="str">
        <f t="shared" si="5"/>
        <v>0</v>
      </c>
      <c r="Y72" s="159" t="str">
        <f>BASE!A76</f>
        <v>61</v>
      </c>
      <c r="Z72" s="177" t="str">
        <f t="shared" si="6"/>
        <v>0</v>
      </c>
      <c r="AA72" s="177" t="str">
        <f t="shared" si="7"/>
        <v>0</v>
      </c>
      <c r="AB72" s="177" t="str">
        <f t="shared" si="8"/>
        <v>0</v>
      </c>
      <c r="AC72" s="177" t="str">
        <f t="shared" si="9"/>
        <v>0</v>
      </c>
      <c r="AD72" s="177" t="str">
        <f t="shared" si="10"/>
        <v>0</v>
      </c>
    </row>
    <row r="73" ht="16.5" customHeight="1">
      <c r="A73" s="179"/>
      <c r="B73" s="159" t="s">
        <v>122</v>
      </c>
      <c r="C73" s="133" t="str">
        <f t="shared" si="2"/>
        <v>0</v>
      </c>
      <c r="D73" s="133" t="str">
        <f t="shared" si="3"/>
        <v>0</v>
      </c>
      <c r="E73" s="133" t="str">
        <f t="shared" si="4"/>
        <v>0</v>
      </c>
      <c r="F73" s="133"/>
      <c r="G73" s="133"/>
      <c r="H73" s="108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83"/>
      <c r="X73" s="159" t="str">
        <f t="shared" si="5"/>
        <v>0</v>
      </c>
      <c r="Y73" s="159" t="str">
        <f>BASE!A77</f>
        <v>62</v>
      </c>
      <c r="Z73" s="177" t="str">
        <f t="shared" si="6"/>
        <v>0</v>
      </c>
      <c r="AA73" s="177" t="str">
        <f t="shared" si="7"/>
        <v>0</v>
      </c>
      <c r="AB73" s="177" t="str">
        <f t="shared" si="8"/>
        <v>0</v>
      </c>
      <c r="AC73" s="177" t="str">
        <f t="shared" si="9"/>
        <v>0</v>
      </c>
      <c r="AD73" s="177" t="str">
        <f t="shared" si="10"/>
        <v>0</v>
      </c>
    </row>
    <row r="74" ht="16.5" customHeight="1">
      <c r="A74" s="179"/>
      <c r="B74" s="159" t="s">
        <v>122</v>
      </c>
      <c r="C74" s="133" t="str">
        <f t="shared" si="2"/>
        <v>0</v>
      </c>
      <c r="D74" s="133" t="str">
        <f t="shared" si="3"/>
        <v>0</v>
      </c>
      <c r="E74" s="133" t="str">
        <f t="shared" si="4"/>
        <v>0</v>
      </c>
      <c r="F74" s="133"/>
      <c r="G74" s="133"/>
      <c r="H74" s="108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83"/>
      <c r="X74" s="159" t="str">
        <f t="shared" si="5"/>
        <v>0</v>
      </c>
      <c r="Y74" s="159" t="str">
        <f>BASE!A78</f>
        <v>63</v>
      </c>
      <c r="Z74" s="177" t="str">
        <f t="shared" si="6"/>
        <v>0</v>
      </c>
      <c r="AA74" s="177" t="str">
        <f t="shared" si="7"/>
        <v>0</v>
      </c>
      <c r="AB74" s="177" t="str">
        <f t="shared" si="8"/>
        <v>0</v>
      </c>
      <c r="AC74" s="177" t="str">
        <f t="shared" si="9"/>
        <v>0</v>
      </c>
      <c r="AD74" s="177" t="str">
        <f t="shared" si="10"/>
        <v>0</v>
      </c>
    </row>
    <row r="75" ht="16.5" customHeight="1">
      <c r="A75" s="179"/>
      <c r="B75" s="159" t="s">
        <v>122</v>
      </c>
      <c r="C75" s="133" t="str">
        <f t="shared" si="2"/>
        <v>0</v>
      </c>
      <c r="D75" s="133" t="str">
        <f t="shared" si="3"/>
        <v>0</v>
      </c>
      <c r="E75" s="133" t="str">
        <f t="shared" si="4"/>
        <v>0</v>
      </c>
      <c r="F75" s="133"/>
      <c r="G75" s="133"/>
      <c r="H75" s="108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83"/>
      <c r="X75" s="159" t="str">
        <f t="shared" si="5"/>
        <v>0</v>
      </c>
      <c r="Y75" s="159" t="str">
        <f>BASE!A79</f>
        <v>64</v>
      </c>
      <c r="Z75" s="177" t="str">
        <f t="shared" si="6"/>
        <v>0</v>
      </c>
      <c r="AA75" s="177" t="str">
        <f t="shared" si="7"/>
        <v>0</v>
      </c>
      <c r="AB75" s="177" t="str">
        <f t="shared" si="8"/>
        <v>0</v>
      </c>
      <c r="AC75" s="177" t="str">
        <f t="shared" si="9"/>
        <v>0</v>
      </c>
      <c r="AD75" s="177" t="str">
        <f t="shared" si="10"/>
        <v>0</v>
      </c>
    </row>
    <row r="76" ht="16.5" customHeight="1">
      <c r="A76" s="179"/>
      <c r="B76" s="159" t="s">
        <v>122</v>
      </c>
      <c r="C76" s="133" t="str">
        <f t="shared" si="2"/>
        <v>0</v>
      </c>
      <c r="D76" s="133" t="str">
        <f t="shared" si="3"/>
        <v>0</v>
      </c>
      <c r="E76" s="133" t="str">
        <f t="shared" si="4"/>
        <v>0</v>
      </c>
      <c r="F76" s="133"/>
      <c r="G76" s="133"/>
      <c r="H76" s="108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83"/>
      <c r="X76" s="159" t="str">
        <f t="shared" si="5"/>
        <v>0</v>
      </c>
      <c r="Y76" s="159" t="str">
        <f>BASE!A80</f>
        <v>65</v>
      </c>
      <c r="Z76" s="177" t="str">
        <f t="shared" si="6"/>
        <v>0</v>
      </c>
      <c r="AA76" s="177" t="str">
        <f t="shared" si="7"/>
        <v>0</v>
      </c>
      <c r="AB76" s="177" t="str">
        <f t="shared" si="8"/>
        <v>0</v>
      </c>
      <c r="AC76" s="177" t="str">
        <f t="shared" si="9"/>
        <v>0</v>
      </c>
      <c r="AD76" s="177" t="str">
        <f t="shared" si="10"/>
        <v>0</v>
      </c>
    </row>
    <row r="77" ht="16.5" customHeight="1">
      <c r="A77" s="179"/>
      <c r="B77" s="159" t="s">
        <v>122</v>
      </c>
      <c r="C77" s="133" t="str">
        <f t="shared" si="2"/>
        <v>0</v>
      </c>
      <c r="D77" s="133" t="str">
        <f t="shared" si="3"/>
        <v>0</v>
      </c>
      <c r="E77" s="133" t="str">
        <f t="shared" si="4"/>
        <v>0</v>
      </c>
      <c r="F77" s="133"/>
      <c r="G77" s="133"/>
      <c r="H77" s="108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83"/>
      <c r="X77" s="159" t="str">
        <f t="shared" si="5"/>
        <v>0</v>
      </c>
      <c r="Y77" s="159" t="str">
        <f>BASE!A81</f>
        <v>66</v>
      </c>
      <c r="Z77" s="177" t="str">
        <f t="shared" si="6"/>
        <v>0</v>
      </c>
      <c r="AA77" s="177" t="str">
        <f t="shared" si="7"/>
        <v>0</v>
      </c>
      <c r="AB77" s="177" t="str">
        <f t="shared" si="8"/>
        <v>0</v>
      </c>
      <c r="AC77" s="177" t="str">
        <f t="shared" si="9"/>
        <v>0</v>
      </c>
      <c r="AD77" s="177" t="str">
        <f t="shared" si="10"/>
        <v>0</v>
      </c>
    </row>
    <row r="78" ht="16.5" customHeight="1">
      <c r="A78" s="179"/>
      <c r="B78" s="159" t="s">
        <v>122</v>
      </c>
      <c r="C78" s="133" t="str">
        <f t="shared" si="2"/>
        <v>0</v>
      </c>
      <c r="D78" s="133" t="str">
        <f t="shared" si="3"/>
        <v>0</v>
      </c>
      <c r="E78" s="133" t="str">
        <f t="shared" si="4"/>
        <v>0</v>
      </c>
      <c r="F78" s="133"/>
      <c r="G78" s="133"/>
      <c r="H78" s="108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83"/>
      <c r="X78" s="159" t="str">
        <f t="shared" si="5"/>
        <v>0</v>
      </c>
      <c r="Y78" s="159" t="str">
        <f>BASE!A82</f>
        <v>67</v>
      </c>
      <c r="Z78" s="177" t="str">
        <f t="shared" si="6"/>
        <v>0</v>
      </c>
      <c r="AA78" s="177" t="str">
        <f t="shared" si="7"/>
        <v>0</v>
      </c>
      <c r="AB78" s="177" t="str">
        <f t="shared" si="8"/>
        <v>0</v>
      </c>
      <c r="AC78" s="177" t="str">
        <f t="shared" si="9"/>
        <v>0</v>
      </c>
      <c r="AD78" s="177" t="str">
        <f t="shared" si="10"/>
        <v>0</v>
      </c>
    </row>
    <row r="79" ht="20.25" customHeight="1">
      <c r="A79" s="179"/>
      <c r="B79" s="159" t="s">
        <v>122</v>
      </c>
      <c r="C79" s="133" t="str">
        <f t="shared" si="2"/>
        <v>0</v>
      </c>
      <c r="D79" s="133" t="str">
        <f t="shared" si="3"/>
        <v>0</v>
      </c>
      <c r="E79" s="133" t="str">
        <f t="shared" si="4"/>
        <v>0</v>
      </c>
      <c r="F79" s="133"/>
      <c r="G79" s="133"/>
      <c r="H79" s="108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83"/>
      <c r="X79" s="159" t="str">
        <f t="shared" si="5"/>
        <v>0</v>
      </c>
      <c r="Y79" s="159" t="str">
        <f>BASE!A83</f>
        <v>68</v>
      </c>
      <c r="Z79" s="177" t="str">
        <f t="shared" si="6"/>
        <v>0</v>
      </c>
      <c r="AA79" s="177" t="str">
        <f t="shared" si="7"/>
        <v>0</v>
      </c>
      <c r="AB79" s="177" t="str">
        <f t="shared" si="8"/>
        <v>0</v>
      </c>
      <c r="AC79" s="177" t="str">
        <f t="shared" si="9"/>
        <v>0</v>
      </c>
      <c r="AD79" s="177" t="str">
        <f t="shared" si="10"/>
        <v>0</v>
      </c>
    </row>
    <row r="80" ht="20.25" customHeight="1">
      <c r="A80" s="179"/>
      <c r="B80" s="159" t="s">
        <v>122</v>
      </c>
      <c r="C80" s="133" t="str">
        <f t="shared" si="2"/>
        <v>0</v>
      </c>
      <c r="D80" s="133" t="str">
        <f t="shared" si="3"/>
        <v>0</v>
      </c>
      <c r="E80" s="133" t="str">
        <f t="shared" si="4"/>
        <v>0</v>
      </c>
      <c r="F80" s="133"/>
      <c r="G80" s="133"/>
      <c r="H80" s="108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83"/>
      <c r="X80" s="159" t="str">
        <f t="shared" si="5"/>
        <v>0</v>
      </c>
      <c r="Y80" s="159" t="str">
        <f>BASE!A84</f>
        <v>69</v>
      </c>
      <c r="Z80" s="177" t="str">
        <f t="shared" si="6"/>
        <v>0</v>
      </c>
      <c r="AA80" s="177" t="str">
        <f t="shared" si="7"/>
        <v>0</v>
      </c>
      <c r="AB80" s="177" t="str">
        <f t="shared" si="8"/>
        <v>0</v>
      </c>
      <c r="AC80" s="177" t="str">
        <f t="shared" si="9"/>
        <v>0</v>
      </c>
      <c r="AD80" s="177" t="str">
        <f t="shared" si="10"/>
        <v>0</v>
      </c>
    </row>
    <row r="81" ht="20.25" customHeight="1">
      <c r="A81" s="179"/>
      <c r="B81" s="159" t="s">
        <v>122</v>
      </c>
      <c r="C81" s="133" t="str">
        <f t="shared" si="2"/>
        <v>0</v>
      </c>
      <c r="D81" s="133" t="str">
        <f t="shared" si="3"/>
        <v>0</v>
      </c>
      <c r="E81" s="133" t="str">
        <f t="shared" si="4"/>
        <v>0</v>
      </c>
      <c r="F81" s="133"/>
      <c r="G81" s="133"/>
      <c r="H81" s="108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83"/>
      <c r="X81" s="159" t="str">
        <f t="shared" si="5"/>
        <v>0</v>
      </c>
      <c r="Y81" s="159" t="str">
        <f>BASE!A85</f>
        <v>70</v>
      </c>
      <c r="Z81" s="177" t="str">
        <f t="shared" si="6"/>
        <v>0</v>
      </c>
      <c r="AA81" s="177" t="str">
        <f t="shared" si="7"/>
        <v>0</v>
      </c>
      <c r="AB81" s="177" t="str">
        <f t="shared" si="8"/>
        <v>0</v>
      </c>
      <c r="AC81" s="177" t="str">
        <f t="shared" si="9"/>
        <v>0</v>
      </c>
      <c r="AD81" s="177" t="str">
        <f t="shared" si="10"/>
        <v>0</v>
      </c>
    </row>
    <row r="82" ht="20.25" customHeight="1">
      <c r="A82" s="179"/>
      <c r="B82" s="159" t="s">
        <v>122</v>
      </c>
      <c r="C82" s="133" t="str">
        <f t="shared" si="2"/>
        <v>0</v>
      </c>
      <c r="D82" s="133" t="str">
        <f t="shared" si="3"/>
        <v>0</v>
      </c>
      <c r="E82" s="133" t="str">
        <f t="shared" si="4"/>
        <v>0</v>
      </c>
      <c r="F82" s="133"/>
      <c r="G82" s="133"/>
      <c r="H82" s="108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83"/>
      <c r="X82" s="159" t="str">
        <f t="shared" si="5"/>
        <v>0</v>
      </c>
      <c r="Y82" s="159" t="str">
        <f>BASE!A86</f>
        <v>71</v>
      </c>
      <c r="Z82" s="177" t="str">
        <f t="shared" si="6"/>
        <v>0</v>
      </c>
      <c r="AA82" s="177" t="str">
        <f t="shared" si="7"/>
        <v>0</v>
      </c>
      <c r="AB82" s="177" t="str">
        <f t="shared" si="8"/>
        <v>0</v>
      </c>
      <c r="AC82" s="177" t="str">
        <f t="shared" si="9"/>
        <v>0</v>
      </c>
      <c r="AD82" s="177" t="str">
        <f t="shared" si="10"/>
        <v>0</v>
      </c>
    </row>
    <row r="83" ht="20.25" customHeight="1">
      <c r="A83" s="179"/>
      <c r="B83" s="159" t="s">
        <v>122</v>
      </c>
      <c r="C83" s="133" t="str">
        <f t="shared" si="2"/>
        <v>0</v>
      </c>
      <c r="D83" s="133" t="str">
        <f t="shared" si="3"/>
        <v>0</v>
      </c>
      <c r="E83" s="133" t="str">
        <f t="shared" si="4"/>
        <v>0</v>
      </c>
      <c r="F83" s="133"/>
      <c r="G83" s="133"/>
      <c r="H83" s="108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83"/>
      <c r="X83" s="159" t="str">
        <f t="shared" si="5"/>
        <v>0</v>
      </c>
      <c r="Y83" s="159" t="str">
        <f>BASE!A87</f>
        <v>72</v>
      </c>
      <c r="Z83" s="177" t="str">
        <f t="shared" si="6"/>
        <v>0</v>
      </c>
      <c r="AA83" s="177" t="str">
        <f t="shared" si="7"/>
        <v>0</v>
      </c>
      <c r="AB83" s="177" t="str">
        <f t="shared" si="8"/>
        <v>0</v>
      </c>
      <c r="AC83" s="177" t="str">
        <f t="shared" si="9"/>
        <v>0</v>
      </c>
      <c r="AD83" s="177" t="str">
        <f t="shared" si="10"/>
        <v>0</v>
      </c>
    </row>
    <row r="84" ht="20.25" customHeight="1">
      <c r="A84" s="179"/>
      <c r="B84" s="159" t="s">
        <v>122</v>
      </c>
      <c r="C84" s="133" t="str">
        <f t="shared" si="2"/>
        <v>0</v>
      </c>
      <c r="D84" s="133" t="str">
        <f t="shared" si="3"/>
        <v>0</v>
      </c>
      <c r="E84" s="133" t="str">
        <f t="shared" si="4"/>
        <v>0</v>
      </c>
      <c r="F84" s="133"/>
      <c r="G84" s="133"/>
      <c r="H84" s="108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83"/>
      <c r="X84" s="159" t="str">
        <f t="shared" si="5"/>
        <v>0</v>
      </c>
      <c r="Y84" s="159" t="str">
        <f>BASE!A88</f>
        <v>73</v>
      </c>
      <c r="Z84" s="177" t="str">
        <f t="shared" si="6"/>
        <v>0</v>
      </c>
      <c r="AA84" s="177" t="str">
        <f t="shared" si="7"/>
        <v>0</v>
      </c>
      <c r="AB84" s="177" t="str">
        <f t="shared" si="8"/>
        <v>0</v>
      </c>
      <c r="AC84" s="177" t="str">
        <f t="shared" si="9"/>
        <v>0</v>
      </c>
      <c r="AD84" s="177" t="str">
        <f t="shared" si="10"/>
        <v>0</v>
      </c>
    </row>
    <row r="85" ht="20.25" customHeight="1">
      <c r="A85" s="179"/>
      <c r="B85" s="159" t="s">
        <v>122</v>
      </c>
      <c r="C85" s="133" t="str">
        <f t="shared" si="2"/>
        <v>0</v>
      </c>
      <c r="D85" s="133" t="str">
        <f t="shared" si="3"/>
        <v>0</v>
      </c>
      <c r="E85" s="133" t="str">
        <f t="shared" si="4"/>
        <v>0</v>
      </c>
      <c r="F85" s="133"/>
      <c r="G85" s="133"/>
      <c r="H85" s="108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83"/>
      <c r="X85" s="159" t="str">
        <f t="shared" si="5"/>
        <v>0</v>
      </c>
      <c r="Y85" s="159" t="str">
        <f>BASE!A89</f>
        <v>74</v>
      </c>
      <c r="Z85" s="177" t="str">
        <f t="shared" si="6"/>
        <v>0</v>
      </c>
      <c r="AA85" s="177" t="str">
        <f t="shared" si="7"/>
        <v>0</v>
      </c>
      <c r="AB85" s="177" t="str">
        <f t="shared" si="8"/>
        <v>0</v>
      </c>
      <c r="AC85" s="177" t="str">
        <f t="shared" si="9"/>
        <v>0</v>
      </c>
      <c r="AD85" s="177" t="str">
        <f t="shared" si="10"/>
        <v>0</v>
      </c>
    </row>
    <row r="86" ht="20.25" customHeight="1">
      <c r="A86" s="179"/>
      <c r="B86" s="159" t="s">
        <v>122</v>
      </c>
      <c r="C86" s="133" t="str">
        <f t="shared" si="2"/>
        <v>0</v>
      </c>
      <c r="D86" s="133" t="str">
        <f t="shared" si="3"/>
        <v>0</v>
      </c>
      <c r="E86" s="133" t="str">
        <f t="shared" si="4"/>
        <v>0</v>
      </c>
      <c r="F86" s="133"/>
      <c r="G86" s="133"/>
      <c r="H86" s="108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83"/>
      <c r="X86" s="159" t="str">
        <f t="shared" si="5"/>
        <v>0</v>
      </c>
      <c r="Y86" s="159" t="str">
        <f>BASE!A90</f>
        <v>75</v>
      </c>
      <c r="Z86" s="177" t="str">
        <f t="shared" si="6"/>
        <v>0</v>
      </c>
      <c r="AA86" s="177" t="str">
        <f t="shared" si="7"/>
        <v>0</v>
      </c>
      <c r="AB86" s="177" t="str">
        <f t="shared" si="8"/>
        <v>0</v>
      </c>
      <c r="AC86" s="177" t="str">
        <f t="shared" si="9"/>
        <v>0</v>
      </c>
      <c r="AD86" s="177" t="str">
        <f t="shared" si="10"/>
        <v>0</v>
      </c>
    </row>
    <row r="87" ht="20.25" customHeight="1">
      <c r="A87" s="179"/>
      <c r="B87" s="159" t="s">
        <v>122</v>
      </c>
      <c r="C87" s="133" t="str">
        <f t="shared" si="2"/>
        <v>0</v>
      </c>
      <c r="D87" s="133" t="str">
        <f t="shared" si="3"/>
        <v>0</v>
      </c>
      <c r="E87" s="133" t="str">
        <f t="shared" si="4"/>
        <v>0</v>
      </c>
      <c r="F87" s="133"/>
      <c r="G87" s="133"/>
      <c r="H87" s="108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83"/>
      <c r="X87" s="159" t="str">
        <f t="shared" si="5"/>
        <v>0</v>
      </c>
      <c r="Y87" s="159" t="str">
        <f>BASE!A91</f>
        <v>76</v>
      </c>
      <c r="Z87" s="177" t="str">
        <f t="shared" si="6"/>
        <v>0</v>
      </c>
      <c r="AA87" s="177" t="str">
        <f t="shared" si="7"/>
        <v>0</v>
      </c>
      <c r="AB87" s="177" t="str">
        <f t="shared" si="8"/>
        <v>0</v>
      </c>
      <c r="AC87" s="177" t="str">
        <f t="shared" si="9"/>
        <v>0</v>
      </c>
      <c r="AD87" s="177" t="str">
        <f t="shared" si="10"/>
        <v>0</v>
      </c>
    </row>
    <row r="88" ht="20.25" customHeight="1">
      <c r="A88" s="179"/>
      <c r="B88" s="159" t="s">
        <v>122</v>
      </c>
      <c r="C88" s="133" t="str">
        <f t="shared" si="2"/>
        <v>0</v>
      </c>
      <c r="D88" s="133" t="str">
        <f t="shared" si="3"/>
        <v>0</v>
      </c>
      <c r="E88" s="133" t="str">
        <f t="shared" si="4"/>
        <v>0</v>
      </c>
      <c r="F88" s="133"/>
      <c r="G88" s="133"/>
      <c r="H88" s="108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83"/>
      <c r="X88" s="159" t="str">
        <f t="shared" si="5"/>
        <v>0</v>
      </c>
      <c r="Y88" s="159" t="str">
        <f>BASE!A92</f>
        <v>77</v>
      </c>
      <c r="Z88" s="177" t="str">
        <f t="shared" si="6"/>
        <v>0</v>
      </c>
      <c r="AA88" s="177" t="str">
        <f t="shared" si="7"/>
        <v>0</v>
      </c>
      <c r="AB88" s="177" t="str">
        <f t="shared" si="8"/>
        <v>0</v>
      </c>
      <c r="AC88" s="177" t="str">
        <f t="shared" si="9"/>
        <v>0</v>
      </c>
      <c r="AD88" s="177" t="str">
        <f t="shared" si="10"/>
        <v>0</v>
      </c>
    </row>
    <row r="89" ht="20.25" customHeight="1">
      <c r="A89" s="179"/>
      <c r="B89" s="159" t="s">
        <v>122</v>
      </c>
      <c r="C89" s="133" t="str">
        <f t="shared" si="2"/>
        <v>0</v>
      </c>
      <c r="D89" s="133" t="str">
        <f t="shared" si="3"/>
        <v>0</v>
      </c>
      <c r="E89" s="133" t="str">
        <f t="shared" si="4"/>
        <v>0</v>
      </c>
      <c r="F89" s="133"/>
      <c r="G89" s="133"/>
      <c r="H89" s="108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83"/>
      <c r="X89" s="159" t="str">
        <f t="shared" si="5"/>
        <v>0</v>
      </c>
      <c r="Y89" s="159" t="str">
        <f>BASE!A93</f>
        <v>78</v>
      </c>
      <c r="Z89" s="177" t="str">
        <f t="shared" si="6"/>
        <v>0</v>
      </c>
      <c r="AA89" s="177" t="str">
        <f t="shared" si="7"/>
        <v>0</v>
      </c>
      <c r="AB89" s="177" t="str">
        <f t="shared" si="8"/>
        <v>0</v>
      </c>
      <c r="AC89" s="177" t="str">
        <f t="shared" si="9"/>
        <v>0</v>
      </c>
      <c r="AD89" s="177" t="str">
        <f t="shared" si="10"/>
        <v>0</v>
      </c>
    </row>
    <row r="90" ht="20.25" customHeight="1">
      <c r="A90" s="179"/>
      <c r="B90" s="159" t="s">
        <v>122</v>
      </c>
      <c r="C90" s="133" t="str">
        <f t="shared" si="2"/>
        <v>0</v>
      </c>
      <c r="D90" s="133" t="str">
        <f t="shared" si="3"/>
        <v>0</v>
      </c>
      <c r="E90" s="133" t="str">
        <f t="shared" si="4"/>
        <v>0</v>
      </c>
      <c r="F90" s="133"/>
      <c r="G90" s="133"/>
      <c r="H90" s="108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83"/>
      <c r="X90" s="159" t="str">
        <f t="shared" si="5"/>
        <v>0</v>
      </c>
      <c r="Y90" s="159" t="str">
        <f>BASE!A94</f>
        <v>79</v>
      </c>
      <c r="Z90" s="177" t="str">
        <f t="shared" si="6"/>
        <v>0</v>
      </c>
      <c r="AA90" s="177" t="str">
        <f t="shared" si="7"/>
        <v>0</v>
      </c>
      <c r="AB90" s="177" t="str">
        <f t="shared" si="8"/>
        <v>0</v>
      </c>
      <c r="AC90" s="177" t="str">
        <f t="shared" si="9"/>
        <v>0</v>
      </c>
      <c r="AD90" s="177" t="str">
        <f t="shared" si="10"/>
        <v>0</v>
      </c>
    </row>
    <row r="91" ht="20.25" customHeight="1">
      <c r="A91" s="179"/>
      <c r="B91" s="159" t="s">
        <v>122</v>
      </c>
      <c r="C91" s="133" t="str">
        <f t="shared" si="2"/>
        <v>0</v>
      </c>
      <c r="D91" s="133" t="str">
        <f t="shared" si="3"/>
        <v>0</v>
      </c>
      <c r="E91" s="133" t="str">
        <f t="shared" si="4"/>
        <v>0</v>
      </c>
      <c r="F91" s="133"/>
      <c r="G91" s="133"/>
      <c r="H91" s="108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83"/>
      <c r="X91" s="159" t="str">
        <f t="shared" si="5"/>
        <v>0</v>
      </c>
      <c r="Y91" s="159" t="str">
        <f>BASE!A95</f>
        <v>80</v>
      </c>
      <c r="Z91" s="177" t="str">
        <f t="shared" si="6"/>
        <v>0</v>
      </c>
      <c r="AA91" s="177" t="str">
        <f t="shared" si="7"/>
        <v>0</v>
      </c>
      <c r="AB91" s="177" t="str">
        <f t="shared" si="8"/>
        <v>0</v>
      </c>
      <c r="AC91" s="177" t="str">
        <f t="shared" si="9"/>
        <v>0</v>
      </c>
      <c r="AD91" s="177" t="str">
        <f t="shared" si="10"/>
        <v>0</v>
      </c>
    </row>
    <row r="92" ht="20.25" customHeight="1">
      <c r="A92" s="179"/>
      <c r="B92" s="159" t="s">
        <v>122</v>
      </c>
      <c r="C92" s="133" t="str">
        <f t="shared" si="2"/>
        <v>0</v>
      </c>
      <c r="D92" s="133" t="str">
        <f t="shared" si="3"/>
        <v>0</v>
      </c>
      <c r="E92" s="133" t="str">
        <f t="shared" si="4"/>
        <v>0</v>
      </c>
      <c r="F92" s="133"/>
      <c r="G92" s="133"/>
      <c r="H92" s="108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83"/>
      <c r="X92" s="159" t="str">
        <f t="shared" si="5"/>
        <v>0</v>
      </c>
      <c r="Y92" s="159" t="str">
        <f>BASE!A96</f>
        <v>81</v>
      </c>
      <c r="Z92" s="177" t="str">
        <f t="shared" si="6"/>
        <v>0</v>
      </c>
      <c r="AA92" s="177" t="str">
        <f t="shared" si="7"/>
        <v>0</v>
      </c>
      <c r="AB92" s="177" t="str">
        <f t="shared" si="8"/>
        <v>0</v>
      </c>
      <c r="AC92" s="177" t="str">
        <f t="shared" si="9"/>
        <v>0</v>
      </c>
      <c r="AD92" s="177" t="str">
        <f t="shared" si="10"/>
        <v>0</v>
      </c>
    </row>
    <row r="93" ht="20.25" customHeight="1">
      <c r="A93" s="179"/>
      <c r="B93" s="159" t="s">
        <v>122</v>
      </c>
      <c r="C93" s="133" t="str">
        <f t="shared" si="2"/>
        <v>0</v>
      </c>
      <c r="D93" s="133" t="str">
        <f t="shared" si="3"/>
        <v>0</v>
      </c>
      <c r="E93" s="133" t="str">
        <f t="shared" si="4"/>
        <v>0</v>
      </c>
      <c r="F93" s="133"/>
      <c r="G93" s="133"/>
      <c r="H93" s="108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83"/>
      <c r="X93" s="159" t="str">
        <f t="shared" si="5"/>
        <v>0</v>
      </c>
      <c r="Y93" s="159" t="str">
        <f>BASE!A97</f>
        <v>82</v>
      </c>
      <c r="Z93" s="177" t="str">
        <f t="shared" si="6"/>
        <v>0</v>
      </c>
      <c r="AA93" s="177" t="str">
        <f t="shared" si="7"/>
        <v>0</v>
      </c>
      <c r="AB93" s="177" t="str">
        <f t="shared" si="8"/>
        <v>0</v>
      </c>
      <c r="AC93" s="177" t="str">
        <f t="shared" si="9"/>
        <v>0</v>
      </c>
      <c r="AD93" s="177" t="str">
        <f t="shared" si="10"/>
        <v>0</v>
      </c>
    </row>
    <row r="94" ht="20.25" customHeight="1">
      <c r="A94" s="179"/>
      <c r="B94" s="159" t="s">
        <v>122</v>
      </c>
      <c r="C94" s="133" t="str">
        <f t="shared" si="2"/>
        <v>0</v>
      </c>
      <c r="D94" s="133" t="str">
        <f t="shared" si="3"/>
        <v>0</v>
      </c>
      <c r="E94" s="133" t="str">
        <f t="shared" si="4"/>
        <v>0</v>
      </c>
      <c r="F94" s="133"/>
      <c r="G94" s="133"/>
      <c r="H94" s="108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83"/>
      <c r="X94" s="159" t="str">
        <f t="shared" si="5"/>
        <v>0</v>
      </c>
      <c r="Y94" s="159" t="str">
        <f>BASE!A98</f>
        <v>83</v>
      </c>
      <c r="Z94" s="177" t="str">
        <f t="shared" si="6"/>
        <v>0</v>
      </c>
      <c r="AA94" s="177" t="str">
        <f t="shared" si="7"/>
        <v>0</v>
      </c>
      <c r="AB94" s="177" t="str">
        <f t="shared" si="8"/>
        <v>0</v>
      </c>
      <c r="AC94" s="177" t="str">
        <f t="shared" si="9"/>
        <v>0</v>
      </c>
      <c r="AD94" s="177" t="str">
        <f t="shared" si="10"/>
        <v>0</v>
      </c>
    </row>
    <row r="95" ht="20.25" customHeight="1">
      <c r="A95" s="179"/>
      <c r="B95" s="159" t="s">
        <v>122</v>
      </c>
      <c r="C95" s="133" t="str">
        <f t="shared" si="2"/>
        <v>0</v>
      </c>
      <c r="D95" s="133" t="str">
        <f t="shared" si="3"/>
        <v>0</v>
      </c>
      <c r="E95" s="133" t="str">
        <f t="shared" si="4"/>
        <v>0</v>
      </c>
      <c r="F95" s="133"/>
      <c r="G95" s="133"/>
      <c r="H95" s="108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83"/>
      <c r="X95" s="159" t="str">
        <f t="shared" si="5"/>
        <v>0</v>
      </c>
      <c r="Y95" s="159" t="str">
        <f>BASE!A99</f>
        <v>84</v>
      </c>
      <c r="Z95" s="177" t="str">
        <f t="shared" si="6"/>
        <v>0</v>
      </c>
      <c r="AA95" s="177" t="str">
        <f t="shared" si="7"/>
        <v>0</v>
      </c>
      <c r="AB95" s="177" t="str">
        <f t="shared" si="8"/>
        <v>0</v>
      </c>
      <c r="AC95" s="177" t="str">
        <f t="shared" si="9"/>
        <v>0</v>
      </c>
      <c r="AD95" s="177" t="str">
        <f t="shared" si="10"/>
        <v>0</v>
      </c>
    </row>
    <row r="96" ht="20.25" customHeight="1">
      <c r="A96" s="179"/>
      <c r="B96" s="159" t="s">
        <v>122</v>
      </c>
      <c r="C96" s="133" t="str">
        <f t="shared" si="2"/>
        <v>0</v>
      </c>
      <c r="D96" s="133" t="str">
        <f t="shared" si="3"/>
        <v>0</v>
      </c>
      <c r="E96" s="133" t="str">
        <f t="shared" si="4"/>
        <v>0</v>
      </c>
      <c r="F96" s="133"/>
      <c r="G96" s="133"/>
      <c r="H96" s="108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83"/>
      <c r="X96" s="159" t="str">
        <f t="shared" si="5"/>
        <v>0</v>
      </c>
      <c r="Y96" s="159" t="str">
        <f>BASE!A100</f>
        <v>85</v>
      </c>
      <c r="Z96" s="177" t="str">
        <f t="shared" si="6"/>
        <v>0</v>
      </c>
      <c r="AA96" s="177" t="str">
        <f t="shared" si="7"/>
        <v>0</v>
      </c>
      <c r="AB96" s="177" t="str">
        <f t="shared" si="8"/>
        <v>0</v>
      </c>
      <c r="AC96" s="177" t="str">
        <f t="shared" si="9"/>
        <v>0</v>
      </c>
      <c r="AD96" s="177" t="str">
        <f t="shared" si="10"/>
        <v>0</v>
      </c>
    </row>
    <row r="97" ht="20.25" customHeight="1">
      <c r="A97" s="179"/>
      <c r="B97" s="159" t="s">
        <v>122</v>
      </c>
      <c r="C97" s="133" t="str">
        <f t="shared" si="2"/>
        <v>0</v>
      </c>
      <c r="D97" s="133" t="str">
        <f t="shared" si="3"/>
        <v>0</v>
      </c>
      <c r="E97" s="133" t="str">
        <f t="shared" si="4"/>
        <v>0</v>
      </c>
      <c r="F97" s="133"/>
      <c r="G97" s="133"/>
      <c r="H97" s="108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83"/>
      <c r="X97" s="159" t="str">
        <f t="shared" si="5"/>
        <v>0</v>
      </c>
      <c r="Y97" s="159" t="str">
        <f>BASE!A101</f>
        <v>86</v>
      </c>
      <c r="Z97" s="177" t="str">
        <f t="shared" si="6"/>
        <v>0</v>
      </c>
      <c r="AA97" s="177" t="str">
        <f t="shared" si="7"/>
        <v>0</v>
      </c>
      <c r="AB97" s="177" t="str">
        <f t="shared" si="8"/>
        <v>0</v>
      </c>
      <c r="AC97" s="177" t="str">
        <f t="shared" si="9"/>
        <v>0</v>
      </c>
      <c r="AD97" s="177" t="str">
        <f t="shared" si="10"/>
        <v>0</v>
      </c>
    </row>
    <row r="98" ht="20.25" customHeight="1">
      <c r="A98" s="179"/>
      <c r="B98" s="159" t="s">
        <v>122</v>
      </c>
      <c r="C98" s="133" t="str">
        <f t="shared" si="2"/>
        <v>0</v>
      </c>
      <c r="D98" s="133" t="str">
        <f t="shared" si="3"/>
        <v>0</v>
      </c>
      <c r="E98" s="133" t="str">
        <f t="shared" si="4"/>
        <v>0</v>
      </c>
      <c r="F98" s="133"/>
      <c r="G98" s="133"/>
      <c r="H98" s="108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83"/>
      <c r="X98" s="159" t="str">
        <f t="shared" si="5"/>
        <v>0</v>
      </c>
      <c r="Y98" s="159" t="str">
        <f>BASE!A102</f>
        <v>87</v>
      </c>
      <c r="Z98" s="177" t="str">
        <f t="shared" si="6"/>
        <v>0</v>
      </c>
      <c r="AA98" s="177" t="str">
        <f t="shared" si="7"/>
        <v>0</v>
      </c>
      <c r="AB98" s="177" t="str">
        <f t="shared" si="8"/>
        <v>0</v>
      </c>
      <c r="AC98" s="177" t="str">
        <f t="shared" si="9"/>
        <v>0</v>
      </c>
      <c r="AD98" s="177" t="str">
        <f t="shared" si="10"/>
        <v>0</v>
      </c>
    </row>
    <row r="99" ht="20.25" customHeight="1">
      <c r="A99" s="179"/>
      <c r="B99" s="159" t="s">
        <v>122</v>
      </c>
      <c r="C99" s="133" t="str">
        <f t="shared" si="2"/>
        <v>0</v>
      </c>
      <c r="D99" s="133" t="str">
        <f t="shared" si="3"/>
        <v>0</v>
      </c>
      <c r="E99" s="133" t="str">
        <f t="shared" si="4"/>
        <v>0</v>
      </c>
      <c r="F99" s="133"/>
      <c r="G99" s="133"/>
      <c r="H99" s="108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83"/>
      <c r="X99" s="159" t="str">
        <f t="shared" si="5"/>
        <v>0</v>
      </c>
      <c r="Y99" s="159" t="str">
        <f>BASE!A103</f>
        <v>88</v>
      </c>
      <c r="Z99" s="177" t="str">
        <f t="shared" si="6"/>
        <v>0</v>
      </c>
      <c r="AA99" s="177" t="str">
        <f t="shared" si="7"/>
        <v>0</v>
      </c>
      <c r="AB99" s="177" t="str">
        <f t="shared" si="8"/>
        <v>0</v>
      </c>
      <c r="AC99" s="177" t="str">
        <f t="shared" si="9"/>
        <v>0</v>
      </c>
      <c r="AD99" s="177" t="str">
        <f t="shared" si="10"/>
        <v>0</v>
      </c>
    </row>
    <row r="100" ht="20.25" customHeight="1">
      <c r="A100" s="179"/>
      <c r="B100" s="159" t="s">
        <v>122</v>
      </c>
      <c r="C100" s="133" t="str">
        <f t="shared" si="2"/>
        <v>0</v>
      </c>
      <c r="D100" s="133" t="str">
        <f t="shared" si="3"/>
        <v>0</v>
      </c>
      <c r="E100" s="133" t="str">
        <f t="shared" si="4"/>
        <v>0</v>
      </c>
      <c r="F100" s="133"/>
      <c r="G100" s="133"/>
      <c r="H100" s="108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83"/>
      <c r="X100" s="159" t="str">
        <f t="shared" si="5"/>
        <v>0</v>
      </c>
      <c r="Y100" s="159" t="str">
        <f>BASE!A104</f>
        <v>89</v>
      </c>
      <c r="Z100" s="177" t="str">
        <f t="shared" si="6"/>
        <v>0</v>
      </c>
      <c r="AA100" s="177" t="str">
        <f t="shared" si="7"/>
        <v>0</v>
      </c>
      <c r="AB100" s="177" t="str">
        <f t="shared" si="8"/>
        <v>0</v>
      </c>
      <c r="AC100" s="177" t="str">
        <f t="shared" si="9"/>
        <v>0</v>
      </c>
      <c r="AD100" s="177" t="str">
        <f t="shared" si="10"/>
        <v>0</v>
      </c>
    </row>
    <row r="101" ht="20.25" customHeight="1">
      <c r="A101" s="179"/>
      <c r="B101" s="159" t="s">
        <v>122</v>
      </c>
      <c r="C101" s="133" t="str">
        <f t="shared" si="2"/>
        <v>0</v>
      </c>
      <c r="D101" s="133" t="str">
        <f t="shared" si="3"/>
        <v>0</v>
      </c>
      <c r="E101" s="133" t="str">
        <f t="shared" si="4"/>
        <v>0</v>
      </c>
      <c r="F101" s="133"/>
      <c r="G101" s="133"/>
      <c r="H101" s="108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83"/>
      <c r="X101" s="159" t="str">
        <f t="shared" si="5"/>
        <v>0</v>
      </c>
      <c r="Y101" s="159" t="str">
        <f>BASE!A105</f>
        <v>90</v>
      </c>
      <c r="Z101" s="177" t="str">
        <f t="shared" si="6"/>
        <v>0</v>
      </c>
      <c r="AA101" s="177" t="str">
        <f t="shared" si="7"/>
        <v>0</v>
      </c>
      <c r="AB101" s="177" t="str">
        <f t="shared" si="8"/>
        <v>0</v>
      </c>
      <c r="AC101" s="177" t="str">
        <f t="shared" si="9"/>
        <v>0</v>
      </c>
      <c r="AD101" s="177" t="str">
        <f t="shared" si="10"/>
        <v>0</v>
      </c>
    </row>
    <row r="102" ht="20.25" customHeight="1">
      <c r="A102" s="179"/>
      <c r="B102" s="159" t="s">
        <v>122</v>
      </c>
      <c r="C102" s="133" t="str">
        <f t="shared" si="2"/>
        <v>0</v>
      </c>
      <c r="D102" s="133" t="str">
        <f t="shared" si="3"/>
        <v>0</v>
      </c>
      <c r="E102" s="133" t="str">
        <f t="shared" si="4"/>
        <v>0</v>
      </c>
      <c r="F102" s="133"/>
      <c r="G102" s="133"/>
      <c r="H102" s="108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83"/>
      <c r="X102" s="159" t="str">
        <f t="shared" si="5"/>
        <v>0</v>
      </c>
      <c r="Y102" s="159" t="str">
        <f>BASE!A106</f>
        <v>91</v>
      </c>
      <c r="Z102" s="177" t="str">
        <f t="shared" si="6"/>
        <v>0</v>
      </c>
      <c r="AA102" s="177" t="str">
        <f t="shared" si="7"/>
        <v>0</v>
      </c>
      <c r="AB102" s="177" t="str">
        <f t="shared" si="8"/>
        <v>0</v>
      </c>
      <c r="AC102" s="177" t="str">
        <f t="shared" si="9"/>
        <v>0</v>
      </c>
      <c r="AD102" s="177" t="str">
        <f t="shared" si="10"/>
        <v>0</v>
      </c>
    </row>
    <row r="103" ht="20.25" customHeight="1">
      <c r="A103" s="179"/>
      <c r="B103" s="159" t="s">
        <v>122</v>
      </c>
      <c r="C103" s="133" t="str">
        <f t="shared" si="2"/>
        <v>0</v>
      </c>
      <c r="D103" s="133" t="str">
        <f t="shared" si="3"/>
        <v>0</v>
      </c>
      <c r="E103" s="133" t="str">
        <f t="shared" si="4"/>
        <v>0</v>
      </c>
      <c r="F103" s="133"/>
      <c r="G103" s="133"/>
      <c r="H103" s="108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83"/>
      <c r="X103" s="159" t="str">
        <f t="shared" si="5"/>
        <v>0</v>
      </c>
      <c r="Y103" s="159" t="str">
        <f>BASE!A107</f>
        <v>92</v>
      </c>
      <c r="Z103" s="177" t="str">
        <f t="shared" si="6"/>
        <v>0</v>
      </c>
      <c r="AA103" s="177" t="str">
        <f t="shared" si="7"/>
        <v>0</v>
      </c>
      <c r="AB103" s="177" t="str">
        <f t="shared" si="8"/>
        <v>0</v>
      </c>
      <c r="AC103" s="177" t="str">
        <f t="shared" si="9"/>
        <v>0</v>
      </c>
      <c r="AD103" s="177" t="str">
        <f t="shared" si="10"/>
        <v>0</v>
      </c>
    </row>
    <row r="104" ht="20.25" customHeight="1">
      <c r="A104" s="179"/>
      <c r="B104" s="159" t="s">
        <v>122</v>
      </c>
      <c r="C104" s="133" t="str">
        <f t="shared" si="2"/>
        <v>0</v>
      </c>
      <c r="D104" s="133" t="str">
        <f t="shared" si="3"/>
        <v>0</v>
      </c>
      <c r="E104" s="133" t="str">
        <f t="shared" si="4"/>
        <v>0</v>
      </c>
      <c r="F104" s="133"/>
      <c r="G104" s="133"/>
      <c r="H104" s="108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83"/>
      <c r="X104" s="159" t="str">
        <f t="shared" si="5"/>
        <v>0</v>
      </c>
      <c r="Y104" s="159" t="str">
        <f>BASE!A108</f>
        <v>93</v>
      </c>
      <c r="Z104" s="177" t="str">
        <f t="shared" si="6"/>
        <v>0</v>
      </c>
      <c r="AA104" s="177" t="str">
        <f t="shared" si="7"/>
        <v>0</v>
      </c>
      <c r="AB104" s="177" t="str">
        <f t="shared" si="8"/>
        <v>0</v>
      </c>
      <c r="AC104" s="177" t="str">
        <f t="shared" si="9"/>
        <v>0</v>
      </c>
      <c r="AD104" s="177" t="str">
        <f t="shared" si="10"/>
        <v>0</v>
      </c>
    </row>
    <row r="105" ht="20.25" customHeight="1">
      <c r="A105" s="179"/>
      <c r="B105" s="159" t="s">
        <v>122</v>
      </c>
      <c r="C105" s="133" t="str">
        <f t="shared" si="2"/>
        <v>0</v>
      </c>
      <c r="D105" s="133" t="str">
        <f t="shared" si="3"/>
        <v>0</v>
      </c>
      <c r="E105" s="133" t="str">
        <f t="shared" si="4"/>
        <v>0</v>
      </c>
      <c r="F105" s="133"/>
      <c r="G105" s="133"/>
      <c r="H105" s="108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83"/>
      <c r="X105" s="159" t="str">
        <f t="shared" si="5"/>
        <v>0</v>
      </c>
      <c r="Y105" s="159" t="str">
        <f>BASE!A109</f>
        <v>94</v>
      </c>
      <c r="Z105" s="177" t="str">
        <f t="shared" si="6"/>
        <v>0</v>
      </c>
      <c r="AA105" s="177" t="str">
        <f t="shared" si="7"/>
        <v>0</v>
      </c>
      <c r="AB105" s="177" t="str">
        <f t="shared" si="8"/>
        <v>0</v>
      </c>
      <c r="AC105" s="177" t="str">
        <f t="shared" si="9"/>
        <v>0</v>
      </c>
      <c r="AD105" s="177" t="str">
        <f t="shared" si="10"/>
        <v>0</v>
      </c>
    </row>
    <row r="106" ht="20.25" customHeight="1">
      <c r="A106" s="179"/>
      <c r="B106" s="159" t="s">
        <v>122</v>
      </c>
      <c r="C106" s="133" t="str">
        <f t="shared" si="2"/>
        <v>0</v>
      </c>
      <c r="D106" s="133" t="str">
        <f t="shared" si="3"/>
        <v>0</v>
      </c>
      <c r="E106" s="133" t="str">
        <f t="shared" si="4"/>
        <v>0</v>
      </c>
      <c r="F106" s="133"/>
      <c r="G106" s="133"/>
      <c r="H106" s="108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83"/>
      <c r="X106" s="159" t="str">
        <f t="shared" si="5"/>
        <v>0</v>
      </c>
      <c r="Y106" s="159" t="str">
        <f>BASE!A110</f>
        <v>95</v>
      </c>
      <c r="Z106" s="177" t="str">
        <f t="shared" si="6"/>
        <v>0</v>
      </c>
      <c r="AA106" s="177" t="str">
        <f t="shared" si="7"/>
        <v>0</v>
      </c>
      <c r="AB106" s="177" t="str">
        <f t="shared" si="8"/>
        <v>0</v>
      </c>
      <c r="AC106" s="177" t="str">
        <f t="shared" si="9"/>
        <v>0</v>
      </c>
      <c r="AD106" s="177" t="str">
        <f t="shared" si="10"/>
        <v>0</v>
      </c>
    </row>
    <row r="107" ht="20.25" customHeight="1">
      <c r="A107" s="179"/>
      <c r="B107" s="159" t="s">
        <v>122</v>
      </c>
      <c r="C107" s="133" t="str">
        <f t="shared" si="2"/>
        <v>0</v>
      </c>
      <c r="D107" s="133" t="str">
        <f t="shared" si="3"/>
        <v>0</v>
      </c>
      <c r="E107" s="133" t="str">
        <f t="shared" si="4"/>
        <v>0</v>
      </c>
      <c r="F107" s="133"/>
      <c r="G107" s="133"/>
      <c r="H107" s="108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83"/>
      <c r="X107" s="159" t="str">
        <f t="shared" si="5"/>
        <v>0</v>
      </c>
      <c r="Y107" s="159" t="str">
        <f>BASE!A111</f>
        <v>96</v>
      </c>
      <c r="Z107" s="177" t="str">
        <f t="shared" si="6"/>
        <v>0</v>
      </c>
      <c r="AA107" s="177" t="str">
        <f t="shared" si="7"/>
        <v>0</v>
      </c>
      <c r="AB107" s="177" t="str">
        <f t="shared" si="8"/>
        <v>0</v>
      </c>
      <c r="AC107" s="177" t="str">
        <f t="shared" si="9"/>
        <v>0</v>
      </c>
      <c r="AD107" s="177" t="str">
        <f t="shared" si="10"/>
        <v>0</v>
      </c>
    </row>
    <row r="108" ht="20.25" customHeight="1">
      <c r="A108" s="179"/>
      <c r="B108" s="159" t="s">
        <v>122</v>
      </c>
      <c r="C108" s="133" t="str">
        <f t="shared" si="2"/>
        <v>0</v>
      </c>
      <c r="D108" s="133" t="str">
        <f t="shared" si="3"/>
        <v>0</v>
      </c>
      <c r="E108" s="133" t="str">
        <f t="shared" si="4"/>
        <v>0</v>
      </c>
      <c r="F108" s="133"/>
      <c r="G108" s="133"/>
      <c r="H108" s="108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83"/>
      <c r="X108" s="159" t="str">
        <f t="shared" si="5"/>
        <v>0</v>
      </c>
      <c r="Y108" s="159" t="str">
        <f>BASE!A112</f>
        <v>97</v>
      </c>
      <c r="Z108" s="177" t="str">
        <f t="shared" si="6"/>
        <v>0</v>
      </c>
      <c r="AA108" s="177" t="str">
        <f t="shared" si="7"/>
        <v>0</v>
      </c>
      <c r="AB108" s="177" t="str">
        <f t="shared" si="8"/>
        <v>0</v>
      </c>
      <c r="AC108" s="177" t="str">
        <f t="shared" si="9"/>
        <v>0</v>
      </c>
      <c r="AD108" s="177" t="str">
        <f t="shared" si="10"/>
        <v>0</v>
      </c>
    </row>
    <row r="109" ht="20.25" customHeight="1">
      <c r="A109" s="179"/>
      <c r="B109" s="159" t="s">
        <v>122</v>
      </c>
      <c r="C109" s="133" t="str">
        <f t="shared" si="2"/>
        <v>0</v>
      </c>
      <c r="D109" s="133" t="str">
        <f t="shared" si="3"/>
        <v>0</v>
      </c>
      <c r="E109" s="133" t="str">
        <f t="shared" si="4"/>
        <v>0</v>
      </c>
      <c r="F109" s="133"/>
      <c r="G109" s="133"/>
      <c r="H109" s="108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83"/>
      <c r="X109" s="159" t="str">
        <f t="shared" si="5"/>
        <v>0</v>
      </c>
      <c r="Y109" s="159" t="str">
        <f>BASE!A113</f>
        <v>98</v>
      </c>
      <c r="Z109" s="177" t="str">
        <f t="shared" si="6"/>
        <v>0</v>
      </c>
      <c r="AA109" s="177" t="str">
        <f t="shared" si="7"/>
        <v>0</v>
      </c>
      <c r="AB109" s="177" t="str">
        <f t="shared" si="8"/>
        <v>0</v>
      </c>
      <c r="AC109" s="177" t="str">
        <f t="shared" si="9"/>
        <v>0</v>
      </c>
      <c r="AD109" s="177" t="str">
        <f t="shared" si="10"/>
        <v>0</v>
      </c>
    </row>
    <row r="110" ht="20.25" customHeight="1">
      <c r="A110" s="179"/>
      <c r="B110" s="159" t="s">
        <v>122</v>
      </c>
      <c r="C110" s="133" t="str">
        <f t="shared" si="2"/>
        <v>0</v>
      </c>
      <c r="D110" s="133" t="str">
        <f t="shared" si="3"/>
        <v>0</v>
      </c>
      <c r="E110" s="133" t="str">
        <f t="shared" si="4"/>
        <v>0</v>
      </c>
      <c r="F110" s="133"/>
      <c r="G110" s="133"/>
      <c r="H110" s="108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83"/>
      <c r="X110" s="159" t="str">
        <f t="shared" si="5"/>
        <v>0</v>
      </c>
      <c r="Y110" s="159" t="str">
        <f>BASE!A114</f>
        <v>99</v>
      </c>
      <c r="Z110" s="177" t="str">
        <f t="shared" si="6"/>
        <v>0</v>
      </c>
      <c r="AA110" s="177" t="str">
        <f t="shared" si="7"/>
        <v>0</v>
      </c>
      <c r="AB110" s="177" t="str">
        <f t="shared" si="8"/>
        <v>0</v>
      </c>
      <c r="AC110" s="177" t="str">
        <f t="shared" si="9"/>
        <v>0</v>
      </c>
      <c r="AD110" s="177" t="str">
        <f t="shared" si="10"/>
        <v>0</v>
      </c>
    </row>
    <row r="111" ht="20.25" customHeight="1">
      <c r="A111" s="179"/>
      <c r="B111" s="159" t="s">
        <v>122</v>
      </c>
      <c r="C111" s="133" t="str">
        <f t="shared" si="2"/>
        <v>0</v>
      </c>
      <c r="D111" s="133" t="str">
        <f t="shared" si="3"/>
        <v>0</v>
      </c>
      <c r="E111" s="133" t="str">
        <f t="shared" si="4"/>
        <v>0</v>
      </c>
      <c r="F111" s="133"/>
      <c r="G111" s="133"/>
      <c r="H111" s="108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83"/>
      <c r="X111" s="159" t="str">
        <f t="shared" si="5"/>
        <v>0</v>
      </c>
      <c r="Y111" s="159" t="str">
        <f>BASE!A115</f>
        <v>100</v>
      </c>
      <c r="Z111" s="177" t="str">
        <f t="shared" si="6"/>
        <v>0</v>
      </c>
      <c r="AA111" s="177" t="str">
        <f t="shared" si="7"/>
        <v>0</v>
      </c>
      <c r="AB111" s="177" t="str">
        <f t="shared" si="8"/>
        <v>0</v>
      </c>
      <c r="AC111" s="177" t="str">
        <f t="shared" si="9"/>
        <v>0</v>
      </c>
      <c r="AD111" s="177" t="str">
        <f t="shared" si="10"/>
        <v>0</v>
      </c>
    </row>
    <row r="112" ht="20.25" customHeight="1">
      <c r="A112" s="179"/>
      <c r="B112" s="159" t="s">
        <v>122</v>
      </c>
      <c r="C112" s="133" t="str">
        <f t="shared" si="2"/>
        <v>0</v>
      </c>
      <c r="D112" s="133" t="str">
        <f t="shared" si="3"/>
        <v>0</v>
      </c>
      <c r="E112" s="133" t="str">
        <f t="shared" si="4"/>
        <v>0</v>
      </c>
      <c r="F112" s="133"/>
      <c r="G112" s="133"/>
      <c r="H112" s="108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83"/>
      <c r="X112" s="159" t="str">
        <f t="shared" si="5"/>
        <v>0</v>
      </c>
      <c r="Y112" s="159" t="str">
        <f>BASE!A116</f>
        <v>101</v>
      </c>
      <c r="Z112" s="177" t="str">
        <f t="shared" si="6"/>
        <v>0</v>
      </c>
      <c r="AA112" s="177" t="str">
        <f t="shared" si="7"/>
        <v>0</v>
      </c>
      <c r="AB112" s="177" t="str">
        <f t="shared" si="8"/>
        <v>0</v>
      </c>
      <c r="AC112" s="177" t="str">
        <f t="shared" si="9"/>
        <v>0</v>
      </c>
      <c r="AD112" s="177" t="str">
        <f t="shared" si="10"/>
        <v>0</v>
      </c>
    </row>
    <row r="113" ht="20.25" customHeight="1">
      <c r="A113" s="179"/>
      <c r="B113" s="159" t="s">
        <v>122</v>
      </c>
      <c r="C113" s="133" t="str">
        <f t="shared" si="2"/>
        <v>0</v>
      </c>
      <c r="D113" s="133" t="str">
        <f t="shared" si="3"/>
        <v>0</v>
      </c>
      <c r="E113" s="133" t="str">
        <f t="shared" si="4"/>
        <v>0</v>
      </c>
      <c r="F113" s="133"/>
      <c r="G113" s="133"/>
      <c r="H113" s="108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83"/>
      <c r="X113" s="159" t="str">
        <f t="shared" si="5"/>
        <v>0</v>
      </c>
      <c r="Y113" s="159" t="str">
        <f>BASE!A117</f>
        <v>102</v>
      </c>
      <c r="Z113" s="177" t="str">
        <f t="shared" si="6"/>
        <v>0</v>
      </c>
      <c r="AA113" s="177" t="str">
        <f t="shared" si="7"/>
        <v>0</v>
      </c>
      <c r="AB113" s="177" t="str">
        <f t="shared" si="8"/>
        <v>0</v>
      </c>
      <c r="AC113" s="177" t="str">
        <f t="shared" si="9"/>
        <v>0</v>
      </c>
      <c r="AD113" s="177" t="str">
        <f t="shared" si="10"/>
        <v>0</v>
      </c>
    </row>
    <row r="114" ht="20.25" customHeight="1">
      <c r="A114" s="179"/>
      <c r="B114" s="159" t="s">
        <v>122</v>
      </c>
      <c r="C114" s="133" t="str">
        <f t="shared" si="2"/>
        <v>0</v>
      </c>
      <c r="D114" s="133" t="str">
        <f t="shared" si="3"/>
        <v>0</v>
      </c>
      <c r="E114" s="133" t="str">
        <f t="shared" si="4"/>
        <v>0</v>
      </c>
      <c r="F114" s="133"/>
      <c r="G114" s="133"/>
      <c r="H114" s="108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83"/>
      <c r="X114" s="159" t="str">
        <f t="shared" si="5"/>
        <v>0</v>
      </c>
      <c r="Y114" s="159" t="str">
        <f>BASE!A118</f>
        <v>103</v>
      </c>
      <c r="Z114" s="177" t="str">
        <f t="shared" si="6"/>
        <v>0</v>
      </c>
      <c r="AA114" s="177" t="str">
        <f t="shared" si="7"/>
        <v>0</v>
      </c>
      <c r="AB114" s="177" t="str">
        <f t="shared" si="8"/>
        <v>0</v>
      </c>
      <c r="AC114" s="177" t="str">
        <f t="shared" si="9"/>
        <v>0</v>
      </c>
      <c r="AD114" s="177" t="str">
        <f t="shared" si="10"/>
        <v>0</v>
      </c>
    </row>
    <row r="115" ht="20.25" customHeight="1">
      <c r="A115" s="179"/>
      <c r="B115" s="159" t="s">
        <v>122</v>
      </c>
      <c r="C115" s="133" t="str">
        <f t="shared" si="2"/>
        <v>0</v>
      </c>
      <c r="D115" s="133" t="str">
        <f t="shared" si="3"/>
        <v>0</v>
      </c>
      <c r="E115" s="133" t="str">
        <f t="shared" si="4"/>
        <v>0</v>
      </c>
      <c r="F115" s="133"/>
      <c r="G115" s="133"/>
      <c r="H115" s="108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83"/>
      <c r="X115" s="159" t="str">
        <f t="shared" si="5"/>
        <v>0</v>
      </c>
      <c r="Y115" s="159" t="str">
        <f>BASE!A119</f>
        <v>104</v>
      </c>
      <c r="Z115" s="177" t="str">
        <f t="shared" si="6"/>
        <v>0</v>
      </c>
      <c r="AA115" s="177" t="str">
        <f t="shared" si="7"/>
        <v>0</v>
      </c>
      <c r="AB115" s="177" t="str">
        <f t="shared" si="8"/>
        <v>0</v>
      </c>
      <c r="AC115" s="177" t="str">
        <f t="shared" si="9"/>
        <v>0</v>
      </c>
      <c r="AD115" s="177" t="str">
        <f t="shared" si="10"/>
        <v>0</v>
      </c>
    </row>
    <row r="116" ht="20.25" customHeight="1">
      <c r="A116" s="179"/>
      <c r="B116" s="159" t="s">
        <v>122</v>
      </c>
      <c r="C116" s="133" t="str">
        <f t="shared" si="2"/>
        <v>0</v>
      </c>
      <c r="D116" s="133" t="str">
        <f t="shared" si="3"/>
        <v>0</v>
      </c>
      <c r="E116" s="133" t="str">
        <f t="shared" si="4"/>
        <v>0</v>
      </c>
      <c r="F116" s="133"/>
      <c r="G116" s="133"/>
      <c r="H116" s="108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83"/>
      <c r="X116" s="159" t="str">
        <f t="shared" si="5"/>
        <v>0</v>
      </c>
      <c r="Y116" s="159" t="str">
        <f>BASE!A120</f>
        <v>105</v>
      </c>
      <c r="Z116" s="177" t="str">
        <f t="shared" si="6"/>
        <v>0</v>
      </c>
      <c r="AA116" s="177" t="str">
        <f t="shared" si="7"/>
        <v>0</v>
      </c>
      <c r="AB116" s="177" t="str">
        <f t="shared" si="8"/>
        <v>0</v>
      </c>
      <c r="AC116" s="177" t="str">
        <f t="shared" si="9"/>
        <v>0</v>
      </c>
      <c r="AD116" s="177" t="str">
        <f t="shared" si="10"/>
        <v>0</v>
      </c>
    </row>
    <row r="117" ht="20.25" customHeight="1">
      <c r="A117" s="179"/>
      <c r="B117" s="159" t="s">
        <v>122</v>
      </c>
      <c r="C117" s="133" t="str">
        <f t="shared" si="2"/>
        <v>0</v>
      </c>
      <c r="D117" s="133" t="str">
        <f t="shared" si="3"/>
        <v>0</v>
      </c>
      <c r="E117" s="133" t="str">
        <f t="shared" si="4"/>
        <v>0</v>
      </c>
      <c r="F117" s="133"/>
      <c r="G117" s="133"/>
      <c r="H117" s="108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83"/>
      <c r="X117" s="159" t="str">
        <f t="shared" si="5"/>
        <v>0</v>
      </c>
      <c r="Y117" s="159" t="str">
        <f>BASE!A121</f>
        <v>106</v>
      </c>
      <c r="Z117" s="177" t="str">
        <f t="shared" si="6"/>
        <v>0</v>
      </c>
      <c r="AA117" s="177" t="str">
        <f t="shared" si="7"/>
        <v>0</v>
      </c>
      <c r="AB117" s="177" t="str">
        <f t="shared" si="8"/>
        <v>0</v>
      </c>
      <c r="AC117" s="177" t="str">
        <f t="shared" si="9"/>
        <v>0</v>
      </c>
      <c r="AD117" s="177" t="str">
        <f t="shared" si="10"/>
        <v>0</v>
      </c>
    </row>
    <row r="118" ht="20.25" customHeight="1">
      <c r="A118" s="179"/>
      <c r="B118" s="159" t="s">
        <v>122</v>
      </c>
      <c r="C118" s="133" t="str">
        <f t="shared" si="2"/>
        <v>0</v>
      </c>
      <c r="D118" s="133" t="str">
        <f t="shared" si="3"/>
        <v>0</v>
      </c>
      <c r="E118" s="133" t="str">
        <f t="shared" si="4"/>
        <v>0</v>
      </c>
      <c r="F118" s="133"/>
      <c r="G118" s="133"/>
      <c r="H118" s="108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83"/>
      <c r="X118" s="159" t="str">
        <f t="shared" si="5"/>
        <v>0</v>
      </c>
      <c r="Y118" s="159" t="str">
        <f>BASE!A122</f>
        <v>107</v>
      </c>
      <c r="Z118" s="177" t="str">
        <f t="shared" si="6"/>
        <v>0</v>
      </c>
      <c r="AA118" s="177" t="str">
        <f t="shared" si="7"/>
        <v>0</v>
      </c>
      <c r="AB118" s="177" t="str">
        <f t="shared" si="8"/>
        <v>0</v>
      </c>
      <c r="AC118" s="177" t="str">
        <f t="shared" si="9"/>
        <v>0</v>
      </c>
      <c r="AD118" s="177" t="str">
        <f t="shared" si="10"/>
        <v>0</v>
      </c>
    </row>
    <row r="119" ht="20.25" customHeight="1">
      <c r="A119" s="179"/>
      <c r="B119" s="159" t="s">
        <v>122</v>
      </c>
      <c r="C119" s="133" t="str">
        <f t="shared" si="2"/>
        <v>0</v>
      </c>
      <c r="D119" s="133" t="str">
        <f t="shared" si="3"/>
        <v>0</v>
      </c>
      <c r="E119" s="133" t="str">
        <f t="shared" si="4"/>
        <v>0</v>
      </c>
      <c r="F119" s="133"/>
      <c r="G119" s="133"/>
      <c r="H119" s="108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83"/>
      <c r="X119" s="159" t="str">
        <f t="shared" si="5"/>
        <v>0</v>
      </c>
      <c r="Y119" s="159" t="str">
        <f>BASE!A123</f>
        <v>108</v>
      </c>
      <c r="Z119" s="177" t="str">
        <f t="shared" si="6"/>
        <v>0</v>
      </c>
      <c r="AA119" s="177" t="str">
        <f t="shared" si="7"/>
        <v>0</v>
      </c>
      <c r="AB119" s="177" t="str">
        <f t="shared" si="8"/>
        <v>0</v>
      </c>
      <c r="AC119" s="177" t="str">
        <f t="shared" si="9"/>
        <v>0</v>
      </c>
      <c r="AD119" s="177" t="str">
        <f t="shared" si="10"/>
        <v>0</v>
      </c>
    </row>
    <row r="120" ht="20.25" customHeight="1">
      <c r="A120" s="179"/>
      <c r="B120" s="159" t="s">
        <v>122</v>
      </c>
      <c r="C120" s="133" t="str">
        <f t="shared" si="2"/>
        <v>0</v>
      </c>
      <c r="D120" s="133" t="str">
        <f t="shared" si="3"/>
        <v>0</v>
      </c>
      <c r="E120" s="133" t="str">
        <f t="shared" si="4"/>
        <v>0</v>
      </c>
      <c r="F120" s="133"/>
      <c r="G120" s="133"/>
      <c r="H120" s="108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83"/>
      <c r="X120" s="159" t="str">
        <f t="shared" si="5"/>
        <v>0</v>
      </c>
      <c r="Y120" s="159" t="str">
        <f>BASE!A124</f>
        <v>109</v>
      </c>
      <c r="Z120" s="177" t="str">
        <f t="shared" si="6"/>
        <v>0</v>
      </c>
      <c r="AA120" s="177" t="str">
        <f t="shared" si="7"/>
        <v>0</v>
      </c>
      <c r="AB120" s="177" t="str">
        <f t="shared" si="8"/>
        <v>0</v>
      </c>
      <c r="AC120" s="177" t="str">
        <f t="shared" si="9"/>
        <v>0</v>
      </c>
      <c r="AD120" s="177" t="str">
        <f t="shared" si="10"/>
        <v>0</v>
      </c>
    </row>
    <row r="121" ht="20.25" customHeight="1">
      <c r="A121" s="179"/>
      <c r="B121" s="159" t="s">
        <v>122</v>
      </c>
      <c r="C121" s="133" t="str">
        <f t="shared" si="2"/>
        <v>0</v>
      </c>
      <c r="D121" s="133" t="str">
        <f t="shared" si="3"/>
        <v>0</v>
      </c>
      <c r="E121" s="133" t="str">
        <f t="shared" si="4"/>
        <v>0</v>
      </c>
      <c r="F121" s="133"/>
      <c r="G121" s="133"/>
      <c r="H121" s="108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83"/>
      <c r="X121" s="159" t="str">
        <f t="shared" si="5"/>
        <v>0</v>
      </c>
      <c r="Y121" s="159" t="str">
        <f>BASE!A125</f>
        <v>110</v>
      </c>
      <c r="Z121" s="177" t="str">
        <f t="shared" si="6"/>
        <v>0</v>
      </c>
      <c r="AA121" s="177" t="str">
        <f t="shared" si="7"/>
        <v>0</v>
      </c>
      <c r="AB121" s="177" t="str">
        <f t="shared" si="8"/>
        <v>0</v>
      </c>
      <c r="AC121" s="177" t="str">
        <f t="shared" si="9"/>
        <v>0</v>
      </c>
      <c r="AD121" s="177" t="str">
        <f t="shared" si="10"/>
        <v>0</v>
      </c>
    </row>
    <row r="122" ht="20.25" customHeight="1">
      <c r="A122" s="179"/>
      <c r="B122" s="159" t="s">
        <v>122</v>
      </c>
      <c r="C122" s="133" t="str">
        <f t="shared" si="2"/>
        <v>0</v>
      </c>
      <c r="D122" s="133" t="str">
        <f t="shared" si="3"/>
        <v>0</v>
      </c>
      <c r="E122" s="133" t="str">
        <f t="shared" si="4"/>
        <v>0</v>
      </c>
      <c r="F122" s="133"/>
      <c r="G122" s="133"/>
      <c r="H122" s="108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83"/>
      <c r="X122" s="159" t="str">
        <f t="shared" si="5"/>
        <v>0</v>
      </c>
      <c r="Y122" s="159" t="str">
        <f>BASE!A126</f>
        <v>111</v>
      </c>
      <c r="Z122" s="177" t="str">
        <f t="shared" si="6"/>
        <v>0</v>
      </c>
      <c r="AA122" s="177" t="str">
        <f t="shared" si="7"/>
        <v>0</v>
      </c>
      <c r="AB122" s="177" t="str">
        <f t="shared" si="8"/>
        <v>0</v>
      </c>
      <c r="AC122" s="177" t="str">
        <f t="shared" si="9"/>
        <v>0</v>
      </c>
      <c r="AD122" s="177" t="str">
        <f t="shared" si="10"/>
        <v>0</v>
      </c>
    </row>
    <row r="123" ht="20.25" customHeight="1">
      <c r="A123" s="179"/>
      <c r="B123" s="159" t="s">
        <v>122</v>
      </c>
      <c r="C123" s="133" t="str">
        <f t="shared" si="2"/>
        <v>0</v>
      </c>
      <c r="D123" s="133" t="str">
        <f t="shared" si="3"/>
        <v>0</v>
      </c>
      <c r="E123" s="133" t="str">
        <f t="shared" si="4"/>
        <v>0</v>
      </c>
      <c r="F123" s="133"/>
      <c r="G123" s="133"/>
      <c r="H123" s="108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83"/>
      <c r="X123" s="159" t="str">
        <f t="shared" si="5"/>
        <v>0</v>
      </c>
      <c r="Y123" s="159" t="str">
        <f>BASE!A127</f>
        <v>112</v>
      </c>
      <c r="Z123" s="177" t="str">
        <f t="shared" si="6"/>
        <v>0</v>
      </c>
      <c r="AA123" s="177" t="str">
        <f t="shared" si="7"/>
        <v>0</v>
      </c>
      <c r="AB123" s="177" t="str">
        <f t="shared" si="8"/>
        <v>0</v>
      </c>
      <c r="AC123" s="177" t="str">
        <f t="shared" si="9"/>
        <v>0</v>
      </c>
      <c r="AD123" s="177" t="str">
        <f t="shared" si="10"/>
        <v>0</v>
      </c>
    </row>
    <row r="124" ht="20.25" customHeight="1">
      <c r="A124" s="179"/>
      <c r="B124" s="159" t="s">
        <v>122</v>
      </c>
      <c r="C124" s="133" t="str">
        <f t="shared" si="2"/>
        <v>0</v>
      </c>
      <c r="D124" s="133" t="str">
        <f t="shared" si="3"/>
        <v>0</v>
      </c>
      <c r="E124" s="133" t="str">
        <f t="shared" si="4"/>
        <v>0</v>
      </c>
      <c r="F124" s="133"/>
      <c r="G124" s="133"/>
      <c r="H124" s="108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83"/>
      <c r="X124" s="159" t="str">
        <f t="shared" si="5"/>
        <v>0</v>
      </c>
      <c r="Y124" s="159" t="str">
        <f>BASE!A128</f>
        <v>113</v>
      </c>
      <c r="Z124" s="177" t="str">
        <f t="shared" si="6"/>
        <v>0</v>
      </c>
      <c r="AA124" s="177" t="str">
        <f t="shared" si="7"/>
        <v>0</v>
      </c>
      <c r="AB124" s="177" t="str">
        <f t="shared" si="8"/>
        <v>0</v>
      </c>
      <c r="AC124" s="177" t="str">
        <f t="shared" si="9"/>
        <v>0</v>
      </c>
      <c r="AD124" s="177" t="str">
        <f t="shared" si="10"/>
        <v>0</v>
      </c>
    </row>
    <row r="125" ht="20.25" customHeight="1">
      <c r="A125" s="179"/>
      <c r="B125" s="159" t="s">
        <v>122</v>
      </c>
      <c r="C125" s="133" t="str">
        <f t="shared" si="2"/>
        <v>0</v>
      </c>
      <c r="D125" s="133" t="str">
        <f t="shared" si="3"/>
        <v>0</v>
      </c>
      <c r="E125" s="133" t="str">
        <f t="shared" si="4"/>
        <v>0</v>
      </c>
      <c r="F125" s="133"/>
      <c r="G125" s="133"/>
      <c r="H125" s="108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83"/>
      <c r="X125" s="159" t="str">
        <f t="shared" si="5"/>
        <v>0</v>
      </c>
      <c r="Y125" s="159" t="str">
        <f>BASE!A129</f>
        <v>114</v>
      </c>
      <c r="Z125" s="177" t="str">
        <f t="shared" si="6"/>
        <v>0</v>
      </c>
      <c r="AA125" s="177" t="str">
        <f t="shared" si="7"/>
        <v>0</v>
      </c>
      <c r="AB125" s="177" t="str">
        <f t="shared" si="8"/>
        <v>0</v>
      </c>
      <c r="AC125" s="177" t="str">
        <f t="shared" si="9"/>
        <v>0</v>
      </c>
      <c r="AD125" s="177" t="str">
        <f t="shared" si="10"/>
        <v>0</v>
      </c>
    </row>
    <row r="126" ht="20.25" customHeight="1">
      <c r="A126" s="179"/>
      <c r="B126" s="159" t="s">
        <v>122</v>
      </c>
      <c r="C126" s="133" t="str">
        <f t="shared" si="2"/>
        <v>0</v>
      </c>
      <c r="D126" s="133" t="str">
        <f t="shared" si="3"/>
        <v>0</v>
      </c>
      <c r="E126" s="133" t="str">
        <f t="shared" si="4"/>
        <v>0</v>
      </c>
      <c r="F126" s="133"/>
      <c r="G126" s="133"/>
      <c r="H126" s="108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83"/>
      <c r="X126" s="159" t="str">
        <f t="shared" si="5"/>
        <v>0</v>
      </c>
      <c r="Y126" s="159" t="str">
        <f>BASE!A130</f>
        <v>115</v>
      </c>
      <c r="Z126" s="177" t="str">
        <f t="shared" si="6"/>
        <v>0</v>
      </c>
      <c r="AA126" s="177" t="str">
        <f t="shared" si="7"/>
        <v>0</v>
      </c>
      <c r="AB126" s="177" t="str">
        <f t="shared" si="8"/>
        <v>0</v>
      </c>
      <c r="AC126" s="177" t="str">
        <f t="shared" si="9"/>
        <v>0</v>
      </c>
      <c r="AD126" s="177" t="str">
        <f t="shared" si="10"/>
        <v>0</v>
      </c>
    </row>
    <row r="127" ht="20.25" customHeight="1">
      <c r="A127" s="179"/>
      <c r="B127" s="159" t="s">
        <v>122</v>
      </c>
      <c r="C127" s="133" t="str">
        <f t="shared" si="2"/>
        <v>0</v>
      </c>
      <c r="D127" s="133" t="str">
        <f t="shared" si="3"/>
        <v>0</v>
      </c>
      <c r="E127" s="133" t="str">
        <f t="shared" si="4"/>
        <v>0</v>
      </c>
      <c r="F127" s="133"/>
      <c r="G127" s="133"/>
      <c r="H127" s="108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83"/>
      <c r="X127" s="159" t="str">
        <f t="shared" si="5"/>
        <v>0</v>
      </c>
      <c r="Y127" s="159" t="str">
        <f>BASE!A131</f>
        <v>116</v>
      </c>
      <c r="Z127" s="177" t="str">
        <f t="shared" si="6"/>
        <v>0</v>
      </c>
      <c r="AA127" s="177" t="str">
        <f t="shared" si="7"/>
        <v>0</v>
      </c>
      <c r="AB127" s="177" t="str">
        <f t="shared" si="8"/>
        <v>0</v>
      </c>
      <c r="AC127" s="177" t="str">
        <f t="shared" si="9"/>
        <v>0</v>
      </c>
      <c r="AD127" s="177" t="str">
        <f t="shared" si="10"/>
        <v>0</v>
      </c>
    </row>
    <row r="128" ht="20.25" customHeight="1">
      <c r="A128" s="179"/>
      <c r="B128" s="159" t="s">
        <v>122</v>
      </c>
      <c r="C128" s="133" t="str">
        <f t="shared" si="2"/>
        <v>0</v>
      </c>
      <c r="D128" s="133" t="str">
        <f t="shared" si="3"/>
        <v>0</v>
      </c>
      <c r="E128" s="133" t="str">
        <f t="shared" si="4"/>
        <v>0</v>
      </c>
      <c r="F128" s="133"/>
      <c r="G128" s="133"/>
      <c r="H128" s="108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83"/>
      <c r="X128" s="159" t="str">
        <f t="shared" si="5"/>
        <v>0</v>
      </c>
      <c r="Y128" s="159" t="str">
        <f>BASE!A132</f>
        <v>117</v>
      </c>
      <c r="Z128" s="177" t="str">
        <f t="shared" si="6"/>
        <v>0</v>
      </c>
      <c r="AA128" s="177" t="str">
        <f t="shared" si="7"/>
        <v>0</v>
      </c>
      <c r="AB128" s="177" t="str">
        <f t="shared" si="8"/>
        <v>0</v>
      </c>
      <c r="AC128" s="177" t="str">
        <f t="shared" si="9"/>
        <v>0</v>
      </c>
      <c r="AD128" s="177" t="str">
        <f t="shared" si="10"/>
        <v>0</v>
      </c>
    </row>
    <row r="129" ht="20.25" customHeight="1">
      <c r="A129" s="179"/>
      <c r="B129" s="159" t="s">
        <v>122</v>
      </c>
      <c r="C129" s="133" t="str">
        <f t="shared" si="2"/>
        <v>0</v>
      </c>
      <c r="D129" s="133" t="str">
        <f t="shared" si="3"/>
        <v>0</v>
      </c>
      <c r="E129" s="133" t="str">
        <f t="shared" si="4"/>
        <v>0</v>
      </c>
      <c r="F129" s="133"/>
      <c r="G129" s="133"/>
      <c r="H129" s="108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83"/>
      <c r="X129" s="159" t="str">
        <f t="shared" si="5"/>
        <v>0</v>
      </c>
      <c r="Y129" s="159" t="str">
        <f>BASE!A133</f>
        <v>118</v>
      </c>
      <c r="Z129" s="177" t="str">
        <f t="shared" si="6"/>
        <v>0</v>
      </c>
      <c r="AA129" s="177" t="str">
        <f t="shared" si="7"/>
        <v>0</v>
      </c>
      <c r="AB129" s="177" t="str">
        <f t="shared" si="8"/>
        <v>0</v>
      </c>
      <c r="AC129" s="177" t="str">
        <f t="shared" si="9"/>
        <v>0</v>
      </c>
      <c r="AD129" s="177" t="str">
        <f t="shared" si="10"/>
        <v>0</v>
      </c>
    </row>
    <row r="130" ht="20.25" customHeight="1">
      <c r="A130" s="179"/>
      <c r="B130" s="159" t="s">
        <v>122</v>
      </c>
      <c r="C130" s="133" t="str">
        <f t="shared" si="2"/>
        <v>0</v>
      </c>
      <c r="D130" s="133" t="str">
        <f t="shared" si="3"/>
        <v>0</v>
      </c>
      <c r="E130" s="133" t="str">
        <f t="shared" si="4"/>
        <v>0</v>
      </c>
      <c r="F130" s="133"/>
      <c r="G130" s="133"/>
      <c r="H130" s="108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83"/>
      <c r="X130" s="159" t="str">
        <f t="shared" si="5"/>
        <v>0</v>
      </c>
      <c r="Y130" s="159" t="str">
        <f>BASE!A134</f>
        <v>119</v>
      </c>
      <c r="Z130" s="177" t="str">
        <f t="shared" si="6"/>
        <v>0</v>
      </c>
      <c r="AA130" s="177" t="str">
        <f t="shared" si="7"/>
        <v>0</v>
      </c>
      <c r="AB130" s="177" t="str">
        <f t="shared" si="8"/>
        <v>0</v>
      </c>
      <c r="AC130" s="177" t="str">
        <f t="shared" si="9"/>
        <v>0</v>
      </c>
      <c r="AD130" s="177" t="str">
        <f t="shared" si="10"/>
        <v>0</v>
      </c>
    </row>
    <row r="131" ht="20.25" customHeight="1">
      <c r="A131" s="179"/>
      <c r="B131" s="159" t="s">
        <v>122</v>
      </c>
      <c r="C131" s="133" t="str">
        <f t="shared" si="2"/>
        <v>0</v>
      </c>
      <c r="D131" s="133" t="str">
        <f t="shared" si="3"/>
        <v>0</v>
      </c>
      <c r="E131" s="133" t="str">
        <f t="shared" si="4"/>
        <v>0</v>
      </c>
      <c r="F131" s="133"/>
      <c r="G131" s="133"/>
      <c r="H131" s="108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83"/>
      <c r="X131" s="159" t="str">
        <f t="shared" si="5"/>
        <v>0</v>
      </c>
      <c r="Y131" s="159" t="str">
        <f>BASE!A135</f>
        <v>120</v>
      </c>
      <c r="Z131" s="177" t="str">
        <f t="shared" si="6"/>
        <v>0</v>
      </c>
      <c r="AA131" s="177" t="str">
        <f t="shared" si="7"/>
        <v>0</v>
      </c>
      <c r="AB131" s="177" t="str">
        <f t="shared" si="8"/>
        <v>0</v>
      </c>
      <c r="AC131" s="177" t="str">
        <f t="shared" si="9"/>
        <v>0</v>
      </c>
      <c r="AD131" s="177" t="str">
        <f t="shared" si="10"/>
        <v>0</v>
      </c>
    </row>
    <row r="132" ht="20.25" customHeight="1">
      <c r="A132" s="179"/>
      <c r="B132" s="159" t="s">
        <v>122</v>
      </c>
      <c r="C132" s="133" t="str">
        <f t="shared" si="2"/>
        <v>0</v>
      </c>
      <c r="D132" s="133" t="str">
        <f t="shared" si="3"/>
        <v>0</v>
      </c>
      <c r="E132" s="133" t="str">
        <f t="shared" si="4"/>
        <v>0</v>
      </c>
      <c r="F132" s="133"/>
      <c r="G132" s="133"/>
      <c r="H132" s="108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83"/>
      <c r="X132" s="159" t="str">
        <f t="shared" si="5"/>
        <v>0</v>
      </c>
      <c r="Y132" s="159" t="str">
        <f>BASE!A136</f>
        <v>121</v>
      </c>
      <c r="Z132" s="177" t="str">
        <f t="shared" si="6"/>
        <v>0</v>
      </c>
      <c r="AA132" s="177" t="str">
        <f t="shared" si="7"/>
        <v>0</v>
      </c>
      <c r="AB132" s="177" t="str">
        <f t="shared" si="8"/>
        <v>0</v>
      </c>
      <c r="AC132" s="177" t="str">
        <f t="shared" si="9"/>
        <v>0</v>
      </c>
      <c r="AD132" s="177" t="str">
        <f t="shared" si="10"/>
        <v>0</v>
      </c>
    </row>
    <row r="133" ht="20.25" customHeight="1">
      <c r="A133" s="179"/>
      <c r="B133" s="159" t="s">
        <v>122</v>
      </c>
      <c r="C133" s="133" t="str">
        <f t="shared" si="2"/>
        <v>0</v>
      </c>
      <c r="D133" s="133" t="str">
        <f t="shared" si="3"/>
        <v>0</v>
      </c>
      <c r="E133" s="133" t="str">
        <f t="shared" si="4"/>
        <v>0</v>
      </c>
      <c r="F133" s="133"/>
      <c r="G133" s="133"/>
      <c r="H133" s="108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83"/>
      <c r="X133" s="159" t="str">
        <f t="shared" si="5"/>
        <v>0</v>
      </c>
      <c r="Y133" s="159" t="str">
        <f>BASE!A137</f>
        <v>122</v>
      </c>
      <c r="Z133" s="177" t="str">
        <f t="shared" si="6"/>
        <v>0</v>
      </c>
      <c r="AA133" s="177" t="str">
        <f t="shared" si="7"/>
        <v>0</v>
      </c>
      <c r="AB133" s="177" t="str">
        <f t="shared" si="8"/>
        <v>0</v>
      </c>
      <c r="AC133" s="177" t="str">
        <f t="shared" si="9"/>
        <v>0</v>
      </c>
      <c r="AD133" s="177" t="str">
        <f t="shared" si="10"/>
        <v>0</v>
      </c>
    </row>
    <row r="134" ht="20.25" customHeight="1">
      <c r="A134" s="179"/>
      <c r="B134" s="159" t="s">
        <v>122</v>
      </c>
      <c r="C134" s="133" t="str">
        <f t="shared" si="2"/>
        <v>0</v>
      </c>
      <c r="D134" s="133" t="str">
        <f t="shared" si="3"/>
        <v>0</v>
      </c>
      <c r="E134" s="133" t="str">
        <f t="shared" si="4"/>
        <v>0</v>
      </c>
      <c r="F134" s="133"/>
      <c r="G134" s="133"/>
      <c r="H134" s="108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83"/>
      <c r="X134" s="159" t="str">
        <f t="shared" si="5"/>
        <v>0</v>
      </c>
      <c r="Y134" s="159" t="str">
        <f>BASE!A138</f>
        <v>123</v>
      </c>
      <c r="Z134" s="177" t="str">
        <f t="shared" si="6"/>
        <v>0</v>
      </c>
      <c r="AA134" s="177" t="str">
        <f t="shared" si="7"/>
        <v>0</v>
      </c>
      <c r="AB134" s="177" t="str">
        <f t="shared" si="8"/>
        <v>0</v>
      </c>
      <c r="AC134" s="177" t="str">
        <f t="shared" si="9"/>
        <v>0</v>
      </c>
      <c r="AD134" s="177" t="str">
        <f t="shared" si="10"/>
        <v>0</v>
      </c>
    </row>
    <row r="135" ht="20.25" customHeight="1">
      <c r="A135" s="179"/>
      <c r="B135" s="159" t="s">
        <v>122</v>
      </c>
      <c r="C135" s="133" t="str">
        <f t="shared" si="2"/>
        <v>0</v>
      </c>
      <c r="D135" s="133" t="str">
        <f t="shared" si="3"/>
        <v>0</v>
      </c>
      <c r="E135" s="133" t="str">
        <f t="shared" si="4"/>
        <v>0</v>
      </c>
      <c r="F135" s="133"/>
      <c r="G135" s="133"/>
      <c r="H135" s="108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83"/>
      <c r="X135" s="159" t="str">
        <f t="shared" si="5"/>
        <v>0</v>
      </c>
      <c r="Y135" s="159" t="str">
        <f>BASE!A139</f>
        <v>124</v>
      </c>
      <c r="Z135" s="177" t="str">
        <f t="shared" si="6"/>
        <v>0</v>
      </c>
      <c r="AA135" s="177" t="str">
        <f t="shared" si="7"/>
        <v>0</v>
      </c>
      <c r="AB135" s="177" t="str">
        <f t="shared" si="8"/>
        <v>0</v>
      </c>
      <c r="AC135" s="177" t="str">
        <f t="shared" si="9"/>
        <v>0</v>
      </c>
      <c r="AD135" s="177" t="str">
        <f t="shared" si="10"/>
        <v>0</v>
      </c>
    </row>
    <row r="136" ht="20.25" customHeight="1">
      <c r="A136" s="179"/>
      <c r="B136" s="159" t="s">
        <v>122</v>
      </c>
      <c r="C136" s="133" t="str">
        <f t="shared" si="2"/>
        <v>0</v>
      </c>
      <c r="D136" s="133" t="str">
        <f t="shared" si="3"/>
        <v>0</v>
      </c>
      <c r="E136" s="133" t="str">
        <f t="shared" si="4"/>
        <v>0</v>
      </c>
      <c r="F136" s="133"/>
      <c r="G136" s="133"/>
      <c r="H136" s="108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83"/>
      <c r="X136" s="159" t="str">
        <f t="shared" si="5"/>
        <v>0</v>
      </c>
      <c r="Y136" s="159" t="str">
        <f>BASE!A140</f>
        <v>125</v>
      </c>
      <c r="Z136" s="177" t="str">
        <f t="shared" si="6"/>
        <v>0</v>
      </c>
      <c r="AA136" s="177" t="str">
        <f t="shared" si="7"/>
        <v>0</v>
      </c>
      <c r="AB136" s="177" t="str">
        <f t="shared" si="8"/>
        <v>0</v>
      </c>
      <c r="AC136" s="177" t="str">
        <f t="shared" si="9"/>
        <v>0</v>
      </c>
      <c r="AD136" s="177" t="str">
        <f t="shared" si="10"/>
        <v>0</v>
      </c>
    </row>
    <row r="137" ht="20.25" customHeight="1">
      <c r="A137" s="179"/>
      <c r="B137" s="159" t="s">
        <v>122</v>
      </c>
      <c r="C137" s="133" t="str">
        <f t="shared" si="2"/>
        <v>0</v>
      </c>
      <c r="D137" s="133" t="str">
        <f t="shared" si="3"/>
        <v>0</v>
      </c>
      <c r="E137" s="133" t="str">
        <f t="shared" si="4"/>
        <v>0</v>
      </c>
      <c r="F137" s="133"/>
      <c r="G137" s="133"/>
      <c r="H137" s="108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83"/>
      <c r="X137" s="159" t="str">
        <f t="shared" si="5"/>
        <v>0</v>
      </c>
      <c r="Y137" s="159" t="str">
        <f>BASE!A141</f>
        <v>126</v>
      </c>
      <c r="Z137" s="177" t="str">
        <f t="shared" si="6"/>
        <v>0</v>
      </c>
      <c r="AA137" s="177" t="str">
        <f t="shared" si="7"/>
        <v>0</v>
      </c>
      <c r="AB137" s="177" t="str">
        <f t="shared" si="8"/>
        <v>0</v>
      </c>
      <c r="AC137" s="177" t="str">
        <f t="shared" si="9"/>
        <v>0</v>
      </c>
      <c r="AD137" s="177" t="str">
        <f t="shared" si="10"/>
        <v>0</v>
      </c>
    </row>
    <row r="138" ht="20.25" customHeight="1">
      <c r="A138" s="179"/>
      <c r="B138" s="159" t="s">
        <v>122</v>
      </c>
      <c r="C138" s="133" t="str">
        <f t="shared" si="2"/>
        <v>0</v>
      </c>
      <c r="D138" s="133" t="str">
        <f t="shared" si="3"/>
        <v>0</v>
      </c>
      <c r="E138" s="133" t="str">
        <f t="shared" si="4"/>
        <v>0</v>
      </c>
      <c r="F138" s="133"/>
      <c r="G138" s="133"/>
      <c r="H138" s="108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83"/>
      <c r="X138" s="159" t="str">
        <f t="shared" si="5"/>
        <v>0</v>
      </c>
      <c r="Y138" s="159" t="str">
        <f>BASE!A142</f>
        <v>127</v>
      </c>
      <c r="Z138" s="177" t="str">
        <f t="shared" si="6"/>
        <v>0</v>
      </c>
      <c r="AA138" s="177" t="str">
        <f t="shared" si="7"/>
        <v>0</v>
      </c>
      <c r="AB138" s="177" t="str">
        <f t="shared" si="8"/>
        <v>0</v>
      </c>
      <c r="AC138" s="177" t="str">
        <f t="shared" si="9"/>
        <v>0</v>
      </c>
      <c r="AD138" s="177" t="str">
        <f t="shared" si="10"/>
        <v>0</v>
      </c>
    </row>
    <row r="139" ht="20.25" customHeight="1">
      <c r="A139" s="179"/>
      <c r="B139" s="159" t="s">
        <v>122</v>
      </c>
      <c r="C139" s="133" t="str">
        <f t="shared" si="2"/>
        <v>0</v>
      </c>
      <c r="D139" s="133" t="str">
        <f t="shared" si="3"/>
        <v>0</v>
      </c>
      <c r="E139" s="133" t="str">
        <f t="shared" si="4"/>
        <v>0</v>
      </c>
      <c r="F139" s="133"/>
      <c r="G139" s="133"/>
      <c r="H139" s="108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83"/>
      <c r="X139" s="159" t="str">
        <f t="shared" si="5"/>
        <v>0</v>
      </c>
      <c r="Y139" s="159" t="str">
        <f>BASE!A143</f>
        <v>128</v>
      </c>
      <c r="Z139" s="177" t="str">
        <f t="shared" si="6"/>
        <v>0</v>
      </c>
      <c r="AA139" s="177" t="str">
        <f t="shared" si="7"/>
        <v>0</v>
      </c>
      <c r="AB139" s="177" t="str">
        <f t="shared" si="8"/>
        <v>0</v>
      </c>
      <c r="AC139" s="177" t="str">
        <f t="shared" si="9"/>
        <v>0</v>
      </c>
      <c r="AD139" s="177" t="str">
        <f t="shared" si="10"/>
        <v>0</v>
      </c>
    </row>
    <row r="140" ht="20.25" customHeight="1">
      <c r="A140" s="179"/>
      <c r="B140" s="159" t="s">
        <v>122</v>
      </c>
      <c r="C140" s="133" t="str">
        <f t="shared" si="2"/>
        <v>0</v>
      </c>
      <c r="D140" s="133" t="str">
        <f t="shared" si="3"/>
        <v>0</v>
      </c>
      <c r="E140" s="133" t="str">
        <f t="shared" si="4"/>
        <v>0</v>
      </c>
      <c r="F140" s="133"/>
      <c r="G140" s="133"/>
      <c r="H140" s="108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83"/>
      <c r="X140" s="159" t="str">
        <f t="shared" si="5"/>
        <v>0</v>
      </c>
      <c r="Y140" s="159" t="str">
        <f>BASE!A144</f>
        <v>129</v>
      </c>
      <c r="Z140" s="177" t="str">
        <f t="shared" si="6"/>
        <v>0</v>
      </c>
      <c r="AA140" s="177" t="str">
        <f t="shared" si="7"/>
        <v>0</v>
      </c>
      <c r="AB140" s="177" t="str">
        <f t="shared" si="8"/>
        <v>0</v>
      </c>
      <c r="AC140" s="177" t="str">
        <f t="shared" si="9"/>
        <v>0</v>
      </c>
      <c r="AD140" s="177" t="str">
        <f t="shared" si="10"/>
        <v>0</v>
      </c>
    </row>
    <row r="141" ht="20.25" customHeight="1">
      <c r="A141" s="179"/>
      <c r="B141" s="159" t="s">
        <v>122</v>
      </c>
      <c r="C141" s="133" t="str">
        <f t="shared" si="2"/>
        <v>0</v>
      </c>
      <c r="D141" s="133" t="str">
        <f t="shared" si="3"/>
        <v>0</v>
      </c>
      <c r="E141" s="133" t="str">
        <f t="shared" si="4"/>
        <v>0</v>
      </c>
      <c r="F141" s="133"/>
      <c r="G141" s="133"/>
      <c r="H141" s="108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83"/>
      <c r="X141" s="159" t="str">
        <f t="shared" si="5"/>
        <v>0</v>
      </c>
      <c r="Y141" s="159" t="str">
        <f>BASE!A145</f>
        <v>130</v>
      </c>
      <c r="Z141" s="177" t="str">
        <f t="shared" si="6"/>
        <v>0</v>
      </c>
      <c r="AA141" s="177" t="str">
        <f t="shared" si="7"/>
        <v>0</v>
      </c>
      <c r="AB141" s="177" t="str">
        <f t="shared" si="8"/>
        <v>0</v>
      </c>
      <c r="AC141" s="177" t="str">
        <f t="shared" si="9"/>
        <v>0</v>
      </c>
      <c r="AD141" s="177" t="str">
        <f t="shared" si="10"/>
        <v>0</v>
      </c>
    </row>
    <row r="142" ht="20.25" customHeight="1">
      <c r="A142" s="179"/>
      <c r="B142" s="159" t="s">
        <v>122</v>
      </c>
      <c r="C142" s="133" t="str">
        <f t="shared" si="2"/>
        <v>0</v>
      </c>
      <c r="D142" s="133" t="str">
        <f t="shared" si="3"/>
        <v>0</v>
      </c>
      <c r="E142" s="133" t="str">
        <f t="shared" si="4"/>
        <v>0</v>
      </c>
      <c r="F142" s="133"/>
      <c r="G142" s="133"/>
      <c r="H142" s="108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83"/>
      <c r="X142" s="159" t="str">
        <f t="shared" si="5"/>
        <v>0</v>
      </c>
      <c r="Y142" s="159" t="str">
        <f>BASE!A146</f>
        <v>131</v>
      </c>
      <c r="Z142" s="177" t="str">
        <f t="shared" si="6"/>
        <v>0</v>
      </c>
      <c r="AA142" s="177" t="str">
        <f t="shared" si="7"/>
        <v>0</v>
      </c>
      <c r="AB142" s="177" t="str">
        <f t="shared" si="8"/>
        <v>0</v>
      </c>
      <c r="AC142" s="177" t="str">
        <f t="shared" si="9"/>
        <v>0</v>
      </c>
      <c r="AD142" s="177" t="str">
        <f t="shared" si="10"/>
        <v>0</v>
      </c>
    </row>
    <row r="143" ht="20.25" customHeight="1">
      <c r="A143" s="179"/>
      <c r="B143" s="159" t="s">
        <v>122</v>
      </c>
      <c r="C143" s="133" t="str">
        <f t="shared" si="2"/>
        <v>0</v>
      </c>
      <c r="D143" s="133" t="str">
        <f t="shared" si="3"/>
        <v>0</v>
      </c>
      <c r="E143" s="133" t="str">
        <f t="shared" si="4"/>
        <v>0</v>
      </c>
      <c r="F143" s="133"/>
      <c r="G143" s="133"/>
      <c r="H143" s="108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83"/>
      <c r="X143" s="159" t="str">
        <f t="shared" si="5"/>
        <v>0</v>
      </c>
      <c r="Y143" s="159" t="str">
        <f>BASE!A147</f>
        <v>132</v>
      </c>
      <c r="Z143" s="177" t="str">
        <f t="shared" si="6"/>
        <v>0</v>
      </c>
      <c r="AA143" s="177" t="str">
        <f t="shared" si="7"/>
        <v>0</v>
      </c>
      <c r="AB143" s="177" t="str">
        <f t="shared" si="8"/>
        <v>0</v>
      </c>
      <c r="AC143" s="177" t="str">
        <f t="shared" si="9"/>
        <v>0</v>
      </c>
      <c r="AD143" s="177" t="str">
        <f t="shared" si="10"/>
        <v>0</v>
      </c>
    </row>
    <row r="144" ht="20.25" customHeight="1">
      <c r="A144" s="179"/>
      <c r="B144" s="159" t="s">
        <v>122</v>
      </c>
      <c r="C144" s="133" t="str">
        <f t="shared" si="2"/>
        <v>0</v>
      </c>
      <c r="D144" s="133" t="str">
        <f t="shared" si="3"/>
        <v>0</v>
      </c>
      <c r="E144" s="133" t="str">
        <f t="shared" si="4"/>
        <v>0</v>
      </c>
      <c r="F144" s="133"/>
      <c r="G144" s="133"/>
      <c r="H144" s="108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83"/>
      <c r="X144" s="159" t="str">
        <f t="shared" si="5"/>
        <v>0</v>
      </c>
      <c r="Y144" s="159" t="str">
        <f>BASE!A148</f>
        <v>133</v>
      </c>
      <c r="Z144" s="177" t="str">
        <f t="shared" si="6"/>
        <v>0</v>
      </c>
      <c r="AA144" s="177" t="str">
        <f t="shared" si="7"/>
        <v>0</v>
      </c>
      <c r="AB144" s="177" t="str">
        <f t="shared" si="8"/>
        <v>0</v>
      </c>
      <c r="AC144" s="177" t="str">
        <f t="shared" si="9"/>
        <v>0</v>
      </c>
      <c r="AD144" s="177" t="str">
        <f t="shared" si="10"/>
        <v>0</v>
      </c>
    </row>
    <row r="145" ht="20.25" customHeight="1">
      <c r="A145" s="179"/>
      <c r="B145" s="159" t="s">
        <v>122</v>
      </c>
      <c r="C145" s="133" t="str">
        <f t="shared" si="2"/>
        <v>0</v>
      </c>
      <c r="D145" s="133" t="str">
        <f t="shared" si="3"/>
        <v>0</v>
      </c>
      <c r="E145" s="133" t="str">
        <f t="shared" si="4"/>
        <v>0</v>
      </c>
      <c r="F145" s="133"/>
      <c r="G145" s="133"/>
      <c r="H145" s="108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83"/>
      <c r="X145" s="159" t="str">
        <f t="shared" si="5"/>
        <v>0</v>
      </c>
      <c r="Y145" s="159" t="str">
        <f>BASE!A149</f>
        <v>134</v>
      </c>
      <c r="Z145" s="177" t="str">
        <f t="shared" si="6"/>
        <v>0</v>
      </c>
      <c r="AA145" s="177" t="str">
        <f t="shared" si="7"/>
        <v>0</v>
      </c>
      <c r="AB145" s="177" t="str">
        <f t="shared" si="8"/>
        <v>0</v>
      </c>
      <c r="AC145" s="177" t="str">
        <f t="shared" si="9"/>
        <v>0</v>
      </c>
      <c r="AD145" s="177" t="str">
        <f t="shared" si="10"/>
        <v>0</v>
      </c>
    </row>
    <row r="146" ht="20.25" customHeight="1">
      <c r="A146" s="179"/>
      <c r="B146" s="159" t="s">
        <v>122</v>
      </c>
      <c r="C146" s="133" t="str">
        <f t="shared" si="2"/>
        <v>0</v>
      </c>
      <c r="D146" s="133" t="str">
        <f t="shared" si="3"/>
        <v>0</v>
      </c>
      <c r="E146" s="133" t="str">
        <f t="shared" si="4"/>
        <v>0</v>
      </c>
      <c r="F146" s="133"/>
      <c r="G146" s="133"/>
      <c r="H146" s="108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83"/>
      <c r="X146" s="159" t="str">
        <f t="shared" si="5"/>
        <v>0</v>
      </c>
      <c r="Y146" s="159" t="str">
        <f>BASE!A150</f>
        <v>135</v>
      </c>
      <c r="Z146" s="177" t="str">
        <f t="shared" si="6"/>
        <v>0</v>
      </c>
      <c r="AA146" s="177" t="str">
        <f t="shared" si="7"/>
        <v>0</v>
      </c>
      <c r="AB146" s="177" t="str">
        <f t="shared" si="8"/>
        <v>0</v>
      </c>
      <c r="AC146" s="177" t="str">
        <f t="shared" si="9"/>
        <v>0</v>
      </c>
      <c r="AD146" s="177" t="str">
        <f t="shared" si="10"/>
        <v>0</v>
      </c>
    </row>
    <row r="147" ht="20.25" customHeight="1">
      <c r="A147" s="179"/>
      <c r="B147" s="159" t="s">
        <v>122</v>
      </c>
      <c r="C147" s="133" t="str">
        <f t="shared" si="2"/>
        <v>0</v>
      </c>
      <c r="D147" s="133" t="str">
        <f t="shared" si="3"/>
        <v>0</v>
      </c>
      <c r="E147" s="133" t="str">
        <f t="shared" si="4"/>
        <v>0</v>
      </c>
      <c r="F147" s="133"/>
      <c r="G147" s="133"/>
      <c r="H147" s="108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83"/>
      <c r="X147" s="159" t="str">
        <f t="shared" si="5"/>
        <v>0</v>
      </c>
      <c r="Y147" s="159" t="str">
        <f>BASE!A151</f>
        <v>136</v>
      </c>
      <c r="Z147" s="177" t="str">
        <f t="shared" si="6"/>
        <v>0</v>
      </c>
      <c r="AA147" s="177" t="str">
        <f t="shared" si="7"/>
        <v>0</v>
      </c>
      <c r="AB147" s="177" t="str">
        <f t="shared" si="8"/>
        <v>0</v>
      </c>
      <c r="AC147" s="177" t="str">
        <f t="shared" si="9"/>
        <v>0</v>
      </c>
      <c r="AD147" s="177" t="str">
        <f t="shared" si="10"/>
        <v>0</v>
      </c>
    </row>
    <row r="148" ht="20.25" customHeight="1">
      <c r="A148" s="179"/>
      <c r="B148" s="159" t="s">
        <v>122</v>
      </c>
      <c r="C148" s="133" t="str">
        <f t="shared" si="2"/>
        <v>0</v>
      </c>
      <c r="D148" s="133" t="str">
        <f t="shared" si="3"/>
        <v>0</v>
      </c>
      <c r="E148" s="133" t="str">
        <f t="shared" si="4"/>
        <v>0</v>
      </c>
      <c r="F148" s="133"/>
      <c r="G148" s="133"/>
      <c r="H148" s="108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83"/>
      <c r="X148" s="159" t="str">
        <f t="shared" si="5"/>
        <v>0</v>
      </c>
      <c r="Y148" s="159" t="str">
        <f>BASE!A152</f>
        <v>137</v>
      </c>
      <c r="Z148" s="177" t="str">
        <f t="shared" si="6"/>
        <v>0</v>
      </c>
      <c r="AA148" s="177" t="str">
        <f t="shared" si="7"/>
        <v>0</v>
      </c>
      <c r="AB148" s="177" t="str">
        <f t="shared" si="8"/>
        <v>0</v>
      </c>
      <c r="AC148" s="177" t="str">
        <f t="shared" si="9"/>
        <v>0</v>
      </c>
      <c r="AD148" s="177" t="str">
        <f t="shared" si="10"/>
        <v>0</v>
      </c>
    </row>
    <row r="149" ht="20.25" customHeight="1">
      <c r="A149" s="179"/>
      <c r="B149" s="159" t="s">
        <v>122</v>
      </c>
      <c r="C149" s="133" t="str">
        <f t="shared" si="2"/>
        <v>0</v>
      </c>
      <c r="D149" s="133" t="str">
        <f t="shared" si="3"/>
        <v>0</v>
      </c>
      <c r="E149" s="133" t="str">
        <f t="shared" si="4"/>
        <v>0</v>
      </c>
      <c r="F149" s="133"/>
      <c r="G149" s="133"/>
      <c r="H149" s="108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83"/>
      <c r="X149" s="159" t="str">
        <f t="shared" si="5"/>
        <v>0</v>
      </c>
      <c r="Y149" s="159" t="str">
        <f>BASE!A153</f>
        <v>138</v>
      </c>
      <c r="Z149" s="177" t="str">
        <f t="shared" si="6"/>
        <v>0</v>
      </c>
      <c r="AA149" s="177" t="str">
        <f t="shared" si="7"/>
        <v>0</v>
      </c>
      <c r="AB149" s="177" t="str">
        <f t="shared" si="8"/>
        <v>0</v>
      </c>
      <c r="AC149" s="177" t="str">
        <f t="shared" si="9"/>
        <v>0</v>
      </c>
      <c r="AD149" s="177" t="str">
        <f t="shared" si="10"/>
        <v>0</v>
      </c>
    </row>
    <row r="150" ht="20.25" customHeight="1">
      <c r="A150" s="179"/>
      <c r="B150" s="159" t="s">
        <v>122</v>
      </c>
      <c r="C150" s="133" t="str">
        <f t="shared" si="2"/>
        <v>0</v>
      </c>
      <c r="D150" s="133" t="str">
        <f t="shared" si="3"/>
        <v>0</v>
      </c>
      <c r="E150" s="133" t="str">
        <f t="shared" si="4"/>
        <v>0</v>
      </c>
      <c r="F150" s="133"/>
      <c r="G150" s="133"/>
      <c r="H150" s="108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83"/>
      <c r="X150" s="159" t="str">
        <f t="shared" si="5"/>
        <v>0</v>
      </c>
      <c r="Y150" s="159" t="str">
        <f>BASE!A154</f>
        <v>139</v>
      </c>
      <c r="Z150" s="177" t="str">
        <f t="shared" si="6"/>
        <v>0</v>
      </c>
      <c r="AA150" s="177" t="str">
        <f t="shared" si="7"/>
        <v>0</v>
      </c>
      <c r="AB150" s="177" t="str">
        <f t="shared" si="8"/>
        <v>0</v>
      </c>
      <c r="AC150" s="177" t="str">
        <f t="shared" si="9"/>
        <v>0</v>
      </c>
      <c r="AD150" s="177" t="str">
        <f t="shared" si="10"/>
        <v>0</v>
      </c>
    </row>
    <row r="151" ht="20.25" customHeight="1">
      <c r="A151" s="179"/>
      <c r="B151" s="159" t="s">
        <v>122</v>
      </c>
      <c r="C151" s="133" t="str">
        <f t="shared" si="2"/>
        <v>0</v>
      </c>
      <c r="D151" s="133" t="str">
        <f t="shared" si="3"/>
        <v>0</v>
      </c>
      <c r="E151" s="133" t="str">
        <f t="shared" si="4"/>
        <v>0</v>
      </c>
      <c r="F151" s="133"/>
      <c r="G151" s="133"/>
      <c r="H151" s="108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83"/>
      <c r="X151" s="159" t="str">
        <f t="shared" si="5"/>
        <v>0</v>
      </c>
      <c r="Y151" s="159" t="str">
        <f>BASE!A155</f>
        <v>140</v>
      </c>
      <c r="Z151" s="177" t="str">
        <f t="shared" si="6"/>
        <v>0</v>
      </c>
      <c r="AA151" s="177" t="str">
        <f t="shared" si="7"/>
        <v>0</v>
      </c>
      <c r="AB151" s="177" t="str">
        <f t="shared" si="8"/>
        <v>0</v>
      </c>
      <c r="AC151" s="177" t="str">
        <f t="shared" si="9"/>
        <v>0</v>
      </c>
      <c r="AD151" s="177" t="str">
        <f t="shared" si="10"/>
        <v>0</v>
      </c>
    </row>
    <row r="152" ht="20.25" customHeight="1">
      <c r="A152" s="179"/>
      <c r="B152" s="159" t="s">
        <v>122</v>
      </c>
      <c r="C152" s="133" t="str">
        <f t="shared" si="2"/>
        <v>0</v>
      </c>
      <c r="D152" s="133" t="str">
        <f t="shared" si="3"/>
        <v>0</v>
      </c>
      <c r="E152" s="133" t="str">
        <f t="shared" si="4"/>
        <v>0</v>
      </c>
      <c r="F152" s="133"/>
      <c r="G152" s="133"/>
      <c r="H152" s="108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83"/>
      <c r="X152" s="159" t="str">
        <f t="shared" si="5"/>
        <v>0</v>
      </c>
      <c r="Y152" s="159" t="str">
        <f>BASE!A156</f>
        <v>141</v>
      </c>
      <c r="Z152" s="177" t="str">
        <f t="shared" si="6"/>
        <v>0</v>
      </c>
      <c r="AA152" s="177" t="str">
        <f t="shared" si="7"/>
        <v>0</v>
      </c>
      <c r="AB152" s="177" t="str">
        <f t="shared" si="8"/>
        <v>0</v>
      </c>
      <c r="AC152" s="177" t="str">
        <f t="shared" si="9"/>
        <v>0</v>
      </c>
      <c r="AD152" s="177" t="str">
        <f t="shared" si="10"/>
        <v>0</v>
      </c>
    </row>
    <row r="153" ht="20.25" customHeight="1">
      <c r="A153" s="179"/>
      <c r="B153" s="159" t="s">
        <v>122</v>
      </c>
      <c r="C153" s="133" t="str">
        <f t="shared" si="2"/>
        <v>0</v>
      </c>
      <c r="D153" s="133" t="str">
        <f t="shared" si="3"/>
        <v>0</v>
      </c>
      <c r="E153" s="133" t="str">
        <f t="shared" si="4"/>
        <v>0</v>
      </c>
      <c r="F153" s="133"/>
      <c r="G153" s="133"/>
      <c r="H153" s="108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83"/>
      <c r="X153" s="159" t="str">
        <f t="shared" si="5"/>
        <v>0</v>
      </c>
      <c r="Y153" s="159" t="str">
        <f>BASE!A157</f>
        <v>142</v>
      </c>
      <c r="Z153" s="177" t="str">
        <f t="shared" si="6"/>
        <v>0</v>
      </c>
      <c r="AA153" s="177" t="str">
        <f t="shared" si="7"/>
        <v>0</v>
      </c>
      <c r="AB153" s="177" t="str">
        <f t="shared" si="8"/>
        <v>0</v>
      </c>
      <c r="AC153" s="177" t="str">
        <f t="shared" si="9"/>
        <v>0</v>
      </c>
      <c r="AD153" s="177" t="str">
        <f t="shared" si="10"/>
        <v>0</v>
      </c>
    </row>
    <row r="154" ht="20.25" customHeight="1">
      <c r="A154" s="179"/>
      <c r="B154" s="159" t="s">
        <v>122</v>
      </c>
      <c r="C154" s="133" t="str">
        <f t="shared" si="2"/>
        <v>0</v>
      </c>
      <c r="D154" s="133" t="str">
        <f t="shared" si="3"/>
        <v>0</v>
      </c>
      <c r="E154" s="133" t="str">
        <f t="shared" si="4"/>
        <v>0</v>
      </c>
      <c r="F154" s="133"/>
      <c r="G154" s="133"/>
      <c r="H154" s="108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83"/>
      <c r="X154" s="159" t="str">
        <f t="shared" si="5"/>
        <v>0</v>
      </c>
      <c r="Y154" s="159" t="str">
        <f>BASE!A158</f>
        <v>143</v>
      </c>
      <c r="Z154" s="177" t="str">
        <f t="shared" si="6"/>
        <v>0</v>
      </c>
      <c r="AA154" s="177" t="str">
        <f t="shared" si="7"/>
        <v>0</v>
      </c>
      <c r="AB154" s="177" t="str">
        <f t="shared" si="8"/>
        <v>0</v>
      </c>
      <c r="AC154" s="177" t="str">
        <f t="shared" si="9"/>
        <v>0</v>
      </c>
      <c r="AD154" s="177" t="str">
        <f t="shared" si="10"/>
        <v>0</v>
      </c>
    </row>
    <row r="155" ht="20.25" customHeight="1">
      <c r="A155" s="179"/>
      <c r="B155" s="159" t="s">
        <v>122</v>
      </c>
      <c r="C155" s="133" t="str">
        <f t="shared" si="2"/>
        <v>0</v>
      </c>
      <c r="D155" s="133" t="str">
        <f t="shared" si="3"/>
        <v>0</v>
      </c>
      <c r="E155" s="133" t="str">
        <f t="shared" si="4"/>
        <v>0</v>
      </c>
      <c r="F155" s="133"/>
      <c r="G155" s="133"/>
      <c r="H155" s="108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83"/>
      <c r="X155" s="159" t="str">
        <f t="shared" si="5"/>
        <v>0</v>
      </c>
      <c r="Y155" s="159" t="str">
        <f>BASE!A159</f>
        <v>144</v>
      </c>
      <c r="Z155" s="177" t="str">
        <f t="shared" si="6"/>
        <v>0</v>
      </c>
      <c r="AA155" s="177" t="str">
        <f t="shared" si="7"/>
        <v>0</v>
      </c>
      <c r="AB155" s="177" t="str">
        <f t="shared" si="8"/>
        <v>0</v>
      </c>
      <c r="AC155" s="177" t="str">
        <f t="shared" si="9"/>
        <v>0</v>
      </c>
      <c r="AD155" s="177" t="str">
        <f t="shared" si="10"/>
        <v>0</v>
      </c>
    </row>
    <row r="156" ht="20.25" customHeight="1">
      <c r="A156" s="179"/>
      <c r="B156" s="159" t="s">
        <v>122</v>
      </c>
      <c r="C156" s="133" t="str">
        <f t="shared" si="2"/>
        <v>0</v>
      </c>
      <c r="D156" s="133" t="str">
        <f t="shared" si="3"/>
        <v>0</v>
      </c>
      <c r="E156" s="133" t="str">
        <f t="shared" si="4"/>
        <v>0</v>
      </c>
      <c r="F156" s="133"/>
      <c r="G156" s="133"/>
      <c r="H156" s="108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83"/>
      <c r="X156" s="159" t="str">
        <f t="shared" si="5"/>
        <v>0</v>
      </c>
      <c r="Y156" s="159" t="str">
        <f>BASE!A160</f>
        <v>145</v>
      </c>
      <c r="Z156" s="177" t="str">
        <f t="shared" si="6"/>
        <v>0</v>
      </c>
      <c r="AA156" s="177" t="str">
        <f t="shared" si="7"/>
        <v>0</v>
      </c>
      <c r="AB156" s="177" t="str">
        <f t="shared" si="8"/>
        <v>0</v>
      </c>
      <c r="AC156" s="177" t="str">
        <f t="shared" si="9"/>
        <v>0</v>
      </c>
      <c r="AD156" s="177" t="str">
        <f t="shared" si="10"/>
        <v>0</v>
      </c>
    </row>
    <row r="157" ht="20.25" customHeight="1">
      <c r="A157" s="179"/>
      <c r="B157" s="159" t="s">
        <v>122</v>
      </c>
      <c r="C157" s="133" t="str">
        <f t="shared" si="2"/>
        <v>0</v>
      </c>
      <c r="D157" s="133" t="str">
        <f t="shared" si="3"/>
        <v>0</v>
      </c>
      <c r="E157" s="133" t="str">
        <f t="shared" si="4"/>
        <v>0</v>
      </c>
      <c r="F157" s="133"/>
      <c r="G157" s="133"/>
      <c r="H157" s="108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83"/>
      <c r="X157" s="159" t="str">
        <f t="shared" si="5"/>
        <v>0</v>
      </c>
      <c r="Y157" s="159" t="str">
        <f>BASE!A161</f>
        <v>146</v>
      </c>
      <c r="Z157" s="177" t="str">
        <f t="shared" si="6"/>
        <v>0</v>
      </c>
      <c r="AA157" s="177" t="str">
        <f t="shared" si="7"/>
        <v>0</v>
      </c>
      <c r="AB157" s="177" t="str">
        <f t="shared" si="8"/>
        <v>0</v>
      </c>
      <c r="AC157" s="177" t="str">
        <f t="shared" si="9"/>
        <v>0</v>
      </c>
      <c r="AD157" s="177" t="str">
        <f t="shared" si="10"/>
        <v>0</v>
      </c>
    </row>
    <row r="158" ht="20.25" customHeight="1">
      <c r="A158" s="179"/>
      <c r="B158" s="159" t="s">
        <v>122</v>
      </c>
      <c r="C158" s="133" t="str">
        <f t="shared" si="2"/>
        <v>0</v>
      </c>
      <c r="D158" s="133" t="str">
        <f t="shared" si="3"/>
        <v>0</v>
      </c>
      <c r="E158" s="133" t="str">
        <f t="shared" si="4"/>
        <v>0</v>
      </c>
      <c r="F158" s="133"/>
      <c r="G158" s="133"/>
      <c r="H158" s="108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83"/>
      <c r="X158" s="159" t="str">
        <f t="shared" si="5"/>
        <v>0</v>
      </c>
      <c r="Y158" s="159" t="str">
        <f>BASE!A162</f>
        <v>147</v>
      </c>
      <c r="Z158" s="177" t="str">
        <f t="shared" si="6"/>
        <v>0</v>
      </c>
      <c r="AA158" s="177" t="str">
        <f t="shared" si="7"/>
        <v>0</v>
      </c>
      <c r="AB158" s="177" t="str">
        <f t="shared" si="8"/>
        <v>0</v>
      </c>
      <c r="AC158" s="177" t="str">
        <f t="shared" si="9"/>
        <v>0</v>
      </c>
      <c r="AD158" s="177" t="str">
        <f t="shared" si="10"/>
        <v>0</v>
      </c>
    </row>
    <row r="159" ht="20.25" customHeight="1">
      <c r="A159" s="179"/>
      <c r="B159" s="159" t="s">
        <v>122</v>
      </c>
      <c r="C159" s="133" t="str">
        <f t="shared" si="2"/>
        <v>0</v>
      </c>
      <c r="D159" s="133" t="str">
        <f t="shared" si="3"/>
        <v>0</v>
      </c>
      <c r="E159" s="133" t="str">
        <f t="shared" si="4"/>
        <v>0</v>
      </c>
      <c r="F159" s="133"/>
      <c r="G159" s="133"/>
      <c r="H159" s="108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83"/>
      <c r="X159" s="159" t="str">
        <f t="shared" si="5"/>
        <v>0</v>
      </c>
      <c r="Y159" s="159" t="str">
        <f>BASE!A163</f>
        <v>148</v>
      </c>
      <c r="Z159" s="177" t="str">
        <f t="shared" si="6"/>
        <v>0</v>
      </c>
      <c r="AA159" s="177" t="str">
        <f t="shared" si="7"/>
        <v>0</v>
      </c>
      <c r="AB159" s="177" t="str">
        <f t="shared" si="8"/>
        <v>0</v>
      </c>
      <c r="AC159" s="177" t="str">
        <f t="shared" si="9"/>
        <v>0</v>
      </c>
      <c r="AD159" s="177" t="str">
        <f t="shared" si="10"/>
        <v>0</v>
      </c>
    </row>
    <row r="160" ht="20.25" customHeight="1">
      <c r="A160" s="179"/>
      <c r="B160" s="159" t="s">
        <v>122</v>
      </c>
      <c r="C160" s="133" t="str">
        <f t="shared" si="2"/>
        <v>0</v>
      </c>
      <c r="D160" s="133" t="str">
        <f t="shared" si="3"/>
        <v>0</v>
      </c>
      <c r="E160" s="133" t="str">
        <f t="shared" si="4"/>
        <v>0</v>
      </c>
      <c r="F160" s="133"/>
      <c r="G160" s="133"/>
      <c r="H160" s="108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83"/>
      <c r="X160" s="159" t="str">
        <f t="shared" si="5"/>
        <v>0</v>
      </c>
      <c r="Y160" s="159" t="str">
        <f>BASE!A164</f>
        <v>149</v>
      </c>
      <c r="Z160" s="177" t="str">
        <f t="shared" si="6"/>
        <v>0</v>
      </c>
      <c r="AA160" s="177" t="str">
        <f t="shared" si="7"/>
        <v>0</v>
      </c>
      <c r="AB160" s="177" t="str">
        <f t="shared" si="8"/>
        <v>0</v>
      </c>
      <c r="AC160" s="177" t="str">
        <f t="shared" si="9"/>
        <v>0</v>
      </c>
      <c r="AD160" s="177" t="str">
        <f t="shared" si="10"/>
        <v>0</v>
      </c>
    </row>
    <row r="161" ht="20.25" customHeight="1">
      <c r="A161" s="179"/>
      <c r="B161" s="159" t="s">
        <v>122</v>
      </c>
      <c r="C161" s="133" t="str">
        <f t="shared" si="2"/>
        <v>0</v>
      </c>
      <c r="D161" s="133" t="str">
        <f t="shared" si="3"/>
        <v>0</v>
      </c>
      <c r="E161" s="133" t="str">
        <f t="shared" si="4"/>
        <v>0</v>
      </c>
      <c r="F161" s="133"/>
      <c r="G161" s="133"/>
      <c r="H161" s="108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83"/>
      <c r="X161" s="159" t="str">
        <f t="shared" si="5"/>
        <v>0</v>
      </c>
      <c r="Y161" s="159" t="str">
        <f>BASE!A165</f>
        <v>150</v>
      </c>
      <c r="Z161" s="177" t="str">
        <f t="shared" si="6"/>
        <v>0</v>
      </c>
      <c r="AA161" s="177" t="str">
        <f t="shared" si="7"/>
        <v>0</v>
      </c>
      <c r="AB161" s="177" t="str">
        <f t="shared" si="8"/>
        <v>0</v>
      </c>
      <c r="AC161" s="177" t="str">
        <f t="shared" si="9"/>
        <v>0</v>
      </c>
      <c r="AD161" s="177" t="str">
        <f t="shared" si="10"/>
        <v>0</v>
      </c>
    </row>
    <row r="162" ht="17.25" customHeight="1">
      <c r="A162" s="179"/>
      <c r="B162" s="159" t="s">
        <v>122</v>
      </c>
      <c r="C162" s="133" t="str">
        <f t="shared" si="2"/>
        <v>0</v>
      </c>
      <c r="D162" s="133" t="str">
        <f t="shared" si="3"/>
        <v>0</v>
      </c>
      <c r="E162" s="133" t="str">
        <f t="shared" si="4"/>
        <v>0</v>
      </c>
      <c r="F162" s="133"/>
      <c r="G162" s="133"/>
      <c r="H162" s="108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80"/>
      <c r="X162" s="181" t="str">
        <f t="shared" si="5"/>
        <v>0</v>
      </c>
      <c r="Y162" s="159" t="str">
        <f>BASE!A166</f>
        <v>151</v>
      </c>
      <c r="Z162" s="182" t="str">
        <f t="shared" si="6"/>
        <v>0</v>
      </c>
      <c r="AA162" s="182" t="str">
        <f t="shared" si="7"/>
        <v>0</v>
      </c>
      <c r="AB162" s="182" t="str">
        <f t="shared" si="8"/>
        <v>0</v>
      </c>
      <c r="AC162" s="182" t="str">
        <f t="shared" si="9"/>
        <v>0</v>
      </c>
      <c r="AD162" s="182" t="str">
        <f t="shared" si="10"/>
        <v>0</v>
      </c>
    </row>
    <row r="163" ht="17.25" customHeight="1">
      <c r="A163" s="179"/>
      <c r="B163" s="159" t="s">
        <v>122</v>
      </c>
      <c r="C163" s="133" t="str">
        <f t="shared" si="2"/>
        <v>0</v>
      </c>
      <c r="D163" s="133" t="str">
        <f t="shared" si="3"/>
        <v>0</v>
      </c>
      <c r="E163" s="133" t="str">
        <f t="shared" si="4"/>
        <v>0</v>
      </c>
      <c r="F163" s="133"/>
      <c r="G163" s="133"/>
      <c r="H163" s="108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83"/>
      <c r="X163" s="159" t="str">
        <f t="shared" si="5"/>
        <v>0</v>
      </c>
      <c r="Y163" s="159" t="str">
        <f>BASE!A167</f>
        <v>152</v>
      </c>
      <c r="Z163" s="177" t="str">
        <f t="shared" si="6"/>
        <v>0</v>
      </c>
      <c r="AA163" s="177" t="str">
        <f t="shared" si="7"/>
        <v>0</v>
      </c>
      <c r="AB163" s="177" t="str">
        <f t="shared" si="8"/>
        <v>0</v>
      </c>
      <c r="AC163" s="177" t="str">
        <f t="shared" si="9"/>
        <v>0</v>
      </c>
      <c r="AD163" s="177" t="str">
        <f t="shared" si="10"/>
        <v>0</v>
      </c>
    </row>
    <row r="164" ht="17.25" customHeight="1">
      <c r="A164" s="179"/>
      <c r="B164" s="159" t="s">
        <v>122</v>
      </c>
      <c r="C164" s="133" t="str">
        <f t="shared" si="2"/>
        <v>0</v>
      </c>
      <c r="D164" s="133" t="str">
        <f t="shared" si="3"/>
        <v>0</v>
      </c>
      <c r="E164" s="133" t="str">
        <f t="shared" si="4"/>
        <v>0</v>
      </c>
      <c r="F164" s="133"/>
      <c r="G164" s="133"/>
      <c r="H164" s="108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83"/>
      <c r="X164" s="159" t="str">
        <f t="shared" si="5"/>
        <v>0</v>
      </c>
      <c r="Y164" s="159" t="str">
        <f>BASE!A168</f>
        <v>153</v>
      </c>
      <c r="Z164" s="177" t="str">
        <f t="shared" si="6"/>
        <v>0</v>
      </c>
      <c r="AA164" s="177" t="str">
        <f t="shared" si="7"/>
        <v>0</v>
      </c>
      <c r="AB164" s="177" t="str">
        <f t="shared" si="8"/>
        <v>0</v>
      </c>
      <c r="AC164" s="177" t="str">
        <f t="shared" si="9"/>
        <v>0</v>
      </c>
      <c r="AD164" s="177" t="str">
        <f t="shared" si="10"/>
        <v>0</v>
      </c>
    </row>
    <row r="165" ht="17.25" customHeight="1">
      <c r="A165" s="179"/>
      <c r="B165" s="159" t="s">
        <v>122</v>
      </c>
      <c r="C165" s="133" t="str">
        <f t="shared" si="2"/>
        <v>0</v>
      </c>
      <c r="D165" s="133" t="str">
        <f t="shared" si="3"/>
        <v>0</v>
      </c>
      <c r="E165" s="133" t="str">
        <f t="shared" si="4"/>
        <v>0</v>
      </c>
      <c r="F165" s="133"/>
      <c r="G165" s="133"/>
      <c r="H165" s="108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83"/>
      <c r="X165" s="159" t="str">
        <f t="shared" si="5"/>
        <v>0</v>
      </c>
      <c r="Y165" s="159" t="str">
        <f>BASE!A169</f>
        <v>154</v>
      </c>
      <c r="Z165" s="177" t="str">
        <f t="shared" si="6"/>
        <v>0</v>
      </c>
      <c r="AA165" s="177" t="str">
        <f t="shared" si="7"/>
        <v>0</v>
      </c>
      <c r="AB165" s="177" t="str">
        <f t="shared" si="8"/>
        <v>0</v>
      </c>
      <c r="AC165" s="177" t="str">
        <f t="shared" si="9"/>
        <v>0</v>
      </c>
      <c r="AD165" s="177" t="str">
        <f t="shared" si="10"/>
        <v>0</v>
      </c>
    </row>
    <row r="166" ht="17.25" customHeight="1">
      <c r="A166" s="179"/>
      <c r="B166" s="159" t="s">
        <v>122</v>
      </c>
      <c r="C166" s="133" t="str">
        <f t="shared" si="2"/>
        <v>0</v>
      </c>
      <c r="D166" s="133" t="str">
        <f t="shared" si="3"/>
        <v>0</v>
      </c>
      <c r="E166" s="133" t="str">
        <f t="shared" si="4"/>
        <v>0</v>
      </c>
      <c r="F166" s="133"/>
      <c r="G166" s="133"/>
      <c r="H166" s="108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83"/>
      <c r="X166" s="159" t="str">
        <f t="shared" si="5"/>
        <v>0</v>
      </c>
      <c r="Y166" s="159" t="str">
        <f>BASE!A170</f>
        <v>155</v>
      </c>
      <c r="Z166" s="177" t="str">
        <f t="shared" si="6"/>
        <v>0</v>
      </c>
      <c r="AA166" s="177" t="str">
        <f t="shared" si="7"/>
        <v>0</v>
      </c>
      <c r="AB166" s="177" t="str">
        <f t="shared" si="8"/>
        <v>0</v>
      </c>
      <c r="AC166" s="177" t="str">
        <f t="shared" si="9"/>
        <v>0</v>
      </c>
      <c r="AD166" s="177" t="str">
        <f t="shared" si="10"/>
        <v>0</v>
      </c>
    </row>
    <row r="167" ht="17.25" customHeight="1">
      <c r="A167" s="179"/>
      <c r="B167" s="159" t="s">
        <v>122</v>
      </c>
      <c r="C167" s="133" t="str">
        <f t="shared" si="2"/>
        <v>0</v>
      </c>
      <c r="D167" s="133" t="str">
        <f t="shared" si="3"/>
        <v>0</v>
      </c>
      <c r="E167" s="133" t="str">
        <f t="shared" si="4"/>
        <v>0</v>
      </c>
      <c r="F167" s="133"/>
      <c r="G167" s="133"/>
      <c r="H167" s="108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83"/>
      <c r="X167" s="159" t="str">
        <f t="shared" si="5"/>
        <v>0</v>
      </c>
      <c r="Y167" s="159" t="str">
        <f>BASE!A171</f>
        <v>156</v>
      </c>
      <c r="Z167" s="177" t="str">
        <f t="shared" si="6"/>
        <v>0</v>
      </c>
      <c r="AA167" s="177" t="str">
        <f t="shared" si="7"/>
        <v>0</v>
      </c>
      <c r="AB167" s="177" t="str">
        <f t="shared" si="8"/>
        <v>0</v>
      </c>
      <c r="AC167" s="177" t="str">
        <f t="shared" si="9"/>
        <v>0</v>
      </c>
      <c r="AD167" s="177" t="str">
        <f t="shared" si="10"/>
        <v>0</v>
      </c>
    </row>
    <row r="168" ht="17.25" customHeight="1">
      <c r="A168" s="179"/>
      <c r="B168" s="159" t="s">
        <v>122</v>
      </c>
      <c r="C168" s="133" t="str">
        <f t="shared" si="2"/>
        <v>0</v>
      </c>
      <c r="D168" s="133" t="str">
        <f t="shared" si="3"/>
        <v>0</v>
      </c>
      <c r="E168" s="133" t="str">
        <f t="shared" si="4"/>
        <v>0</v>
      </c>
      <c r="F168" s="133"/>
      <c r="G168" s="133"/>
      <c r="H168" s="108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83"/>
      <c r="X168" s="159" t="str">
        <f t="shared" si="5"/>
        <v>0</v>
      </c>
      <c r="Y168" s="159" t="str">
        <f>BASE!A172</f>
        <v>157</v>
      </c>
      <c r="Z168" s="177" t="str">
        <f t="shared" si="6"/>
        <v>0</v>
      </c>
      <c r="AA168" s="177" t="str">
        <f t="shared" si="7"/>
        <v>0</v>
      </c>
      <c r="AB168" s="177" t="str">
        <f t="shared" si="8"/>
        <v>0</v>
      </c>
      <c r="AC168" s="177" t="str">
        <f t="shared" si="9"/>
        <v>0</v>
      </c>
      <c r="AD168" s="177" t="str">
        <f t="shared" si="10"/>
        <v>0</v>
      </c>
    </row>
    <row r="169" ht="17.25" customHeight="1">
      <c r="A169" s="179"/>
      <c r="B169" s="159" t="s">
        <v>122</v>
      </c>
      <c r="C169" s="133" t="str">
        <f t="shared" si="2"/>
        <v>0</v>
      </c>
      <c r="D169" s="133" t="str">
        <f t="shared" si="3"/>
        <v>0</v>
      </c>
      <c r="E169" s="133" t="str">
        <f t="shared" si="4"/>
        <v>0</v>
      </c>
      <c r="F169" s="133"/>
      <c r="G169" s="133"/>
      <c r="H169" s="108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83"/>
      <c r="X169" s="159" t="str">
        <f t="shared" si="5"/>
        <v>0</v>
      </c>
      <c r="Y169" s="159" t="str">
        <f>BASE!A173</f>
        <v>158</v>
      </c>
      <c r="Z169" s="177" t="str">
        <f t="shared" si="6"/>
        <v>0</v>
      </c>
      <c r="AA169" s="177" t="str">
        <f t="shared" si="7"/>
        <v>0</v>
      </c>
      <c r="AB169" s="177" t="str">
        <f t="shared" si="8"/>
        <v>0</v>
      </c>
      <c r="AC169" s="177" t="str">
        <f t="shared" si="9"/>
        <v>0</v>
      </c>
      <c r="AD169" s="177" t="str">
        <f t="shared" si="10"/>
        <v>0</v>
      </c>
    </row>
    <row r="170" ht="17.25" customHeight="1">
      <c r="A170" s="179"/>
      <c r="B170" s="159" t="s">
        <v>122</v>
      </c>
      <c r="C170" s="133" t="str">
        <f t="shared" si="2"/>
        <v>0</v>
      </c>
      <c r="D170" s="133" t="str">
        <f t="shared" si="3"/>
        <v>0</v>
      </c>
      <c r="E170" s="133" t="str">
        <f t="shared" si="4"/>
        <v>0</v>
      </c>
      <c r="F170" s="133"/>
      <c r="G170" s="133"/>
      <c r="H170" s="108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83"/>
      <c r="X170" s="159" t="str">
        <f t="shared" si="5"/>
        <v>0</v>
      </c>
      <c r="Y170" s="159" t="str">
        <f>BASE!A174</f>
        <v>159</v>
      </c>
      <c r="Z170" s="177" t="str">
        <f t="shared" si="6"/>
        <v>0</v>
      </c>
      <c r="AA170" s="177" t="str">
        <f t="shared" si="7"/>
        <v>0</v>
      </c>
      <c r="AB170" s="177" t="str">
        <f t="shared" si="8"/>
        <v>0</v>
      </c>
      <c r="AC170" s="177" t="str">
        <f t="shared" si="9"/>
        <v>0</v>
      </c>
      <c r="AD170" s="177" t="str">
        <f t="shared" si="10"/>
        <v>0</v>
      </c>
    </row>
    <row r="171" ht="17.25" customHeight="1">
      <c r="A171" s="179"/>
      <c r="B171" s="159" t="s">
        <v>122</v>
      </c>
      <c r="C171" s="133" t="str">
        <f t="shared" si="2"/>
        <v>0</v>
      </c>
      <c r="D171" s="133" t="str">
        <f t="shared" si="3"/>
        <v>0</v>
      </c>
      <c r="E171" s="133" t="str">
        <f t="shared" si="4"/>
        <v>0</v>
      </c>
      <c r="F171" s="133"/>
      <c r="G171" s="133"/>
      <c r="H171" s="108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83"/>
      <c r="X171" s="159" t="str">
        <f t="shared" si="5"/>
        <v>0</v>
      </c>
      <c r="Y171" s="159" t="str">
        <f>BASE!A175</f>
        <v>160</v>
      </c>
      <c r="Z171" s="177" t="str">
        <f t="shared" si="6"/>
        <v>0</v>
      </c>
      <c r="AA171" s="177" t="str">
        <f t="shared" si="7"/>
        <v>0</v>
      </c>
      <c r="AB171" s="177" t="str">
        <f t="shared" si="8"/>
        <v>0</v>
      </c>
      <c r="AC171" s="177" t="str">
        <f t="shared" si="9"/>
        <v>0</v>
      </c>
      <c r="AD171" s="177" t="str">
        <f t="shared" si="10"/>
        <v>0</v>
      </c>
    </row>
    <row r="172" ht="17.25" customHeight="1">
      <c r="A172" s="179"/>
      <c r="B172" s="159" t="s">
        <v>122</v>
      </c>
      <c r="C172" s="133" t="str">
        <f t="shared" si="2"/>
        <v>0</v>
      </c>
      <c r="D172" s="133" t="str">
        <f t="shared" si="3"/>
        <v>0</v>
      </c>
      <c r="E172" s="133" t="str">
        <f t="shared" si="4"/>
        <v>0</v>
      </c>
      <c r="F172" s="133"/>
      <c r="G172" s="133"/>
      <c r="H172" s="108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83"/>
      <c r="X172" s="159" t="str">
        <f t="shared" si="5"/>
        <v>0</v>
      </c>
      <c r="Y172" s="159" t="str">
        <f>BASE!A176</f>
        <v>161</v>
      </c>
      <c r="Z172" s="177" t="str">
        <f t="shared" si="6"/>
        <v>0</v>
      </c>
      <c r="AA172" s="177" t="str">
        <f t="shared" si="7"/>
        <v>0</v>
      </c>
      <c r="AB172" s="177" t="str">
        <f t="shared" si="8"/>
        <v>0</v>
      </c>
      <c r="AC172" s="177" t="str">
        <f t="shared" si="9"/>
        <v>0</v>
      </c>
      <c r="AD172" s="177" t="str">
        <f t="shared" si="10"/>
        <v>0</v>
      </c>
    </row>
    <row r="173" ht="17.25" customHeight="1">
      <c r="A173" s="179"/>
      <c r="B173" s="159" t="s">
        <v>122</v>
      </c>
      <c r="C173" s="133" t="str">
        <f t="shared" si="2"/>
        <v>0</v>
      </c>
      <c r="D173" s="133" t="str">
        <f t="shared" si="3"/>
        <v>0</v>
      </c>
      <c r="E173" s="133" t="str">
        <f t="shared" si="4"/>
        <v>0</v>
      </c>
      <c r="F173" s="133"/>
      <c r="G173" s="133"/>
      <c r="H173" s="108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83"/>
      <c r="X173" s="159" t="str">
        <f t="shared" si="5"/>
        <v>0</v>
      </c>
      <c r="Y173" s="159" t="str">
        <f>BASE!A177</f>
        <v>162</v>
      </c>
      <c r="Z173" s="177" t="str">
        <f t="shared" si="6"/>
        <v>0</v>
      </c>
      <c r="AA173" s="177" t="str">
        <f t="shared" si="7"/>
        <v>0</v>
      </c>
      <c r="AB173" s="177" t="str">
        <f t="shared" si="8"/>
        <v>0</v>
      </c>
      <c r="AC173" s="177" t="str">
        <f t="shared" si="9"/>
        <v>0</v>
      </c>
      <c r="AD173" s="177" t="str">
        <f t="shared" si="10"/>
        <v>0</v>
      </c>
    </row>
    <row r="174" ht="17.25" customHeight="1">
      <c r="A174" s="179"/>
      <c r="B174" s="159" t="s">
        <v>122</v>
      </c>
      <c r="C174" s="133" t="str">
        <f t="shared" si="2"/>
        <v>0</v>
      </c>
      <c r="D174" s="133" t="str">
        <f t="shared" si="3"/>
        <v>0</v>
      </c>
      <c r="E174" s="133" t="str">
        <f t="shared" si="4"/>
        <v>0</v>
      </c>
      <c r="F174" s="133"/>
      <c r="G174" s="133"/>
      <c r="H174" s="108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83"/>
      <c r="X174" s="159" t="str">
        <f t="shared" si="5"/>
        <v>0</v>
      </c>
      <c r="Y174" s="159" t="str">
        <f>BASE!A178</f>
        <v>163</v>
      </c>
      <c r="Z174" s="177" t="str">
        <f t="shared" si="6"/>
        <v>0</v>
      </c>
      <c r="AA174" s="177" t="str">
        <f t="shared" si="7"/>
        <v>0</v>
      </c>
      <c r="AB174" s="177" t="str">
        <f t="shared" si="8"/>
        <v>0</v>
      </c>
      <c r="AC174" s="177" t="str">
        <f t="shared" si="9"/>
        <v>0</v>
      </c>
      <c r="AD174" s="177" t="str">
        <f t="shared" si="10"/>
        <v>0</v>
      </c>
    </row>
    <row r="175" ht="17.25" customHeight="1">
      <c r="A175" s="179"/>
      <c r="B175" s="159" t="s">
        <v>122</v>
      </c>
      <c r="C175" s="133" t="str">
        <f t="shared" si="2"/>
        <v>0</v>
      </c>
      <c r="D175" s="133" t="str">
        <f t="shared" si="3"/>
        <v>0</v>
      </c>
      <c r="E175" s="133" t="str">
        <f t="shared" si="4"/>
        <v>0</v>
      </c>
      <c r="F175" s="133"/>
      <c r="G175" s="133"/>
      <c r="H175" s="108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83"/>
      <c r="X175" s="159" t="str">
        <f t="shared" si="5"/>
        <v>0</v>
      </c>
      <c r="Y175" s="159" t="str">
        <f>BASE!A179</f>
        <v>164</v>
      </c>
      <c r="Z175" s="177" t="str">
        <f t="shared" si="6"/>
        <v>0</v>
      </c>
      <c r="AA175" s="177" t="str">
        <f t="shared" si="7"/>
        <v>0</v>
      </c>
      <c r="AB175" s="177" t="str">
        <f t="shared" si="8"/>
        <v>0</v>
      </c>
      <c r="AC175" s="177" t="str">
        <f t="shared" si="9"/>
        <v>0</v>
      </c>
      <c r="AD175" s="177" t="str">
        <f t="shared" si="10"/>
        <v>0</v>
      </c>
    </row>
    <row r="176" ht="17.25" customHeight="1">
      <c r="A176" s="179"/>
      <c r="B176" s="159" t="s">
        <v>122</v>
      </c>
      <c r="C176" s="133" t="str">
        <f t="shared" si="2"/>
        <v>0</v>
      </c>
      <c r="D176" s="133" t="str">
        <f t="shared" si="3"/>
        <v>0</v>
      </c>
      <c r="E176" s="133" t="str">
        <f t="shared" si="4"/>
        <v>0</v>
      </c>
      <c r="F176" s="133"/>
      <c r="G176" s="133"/>
      <c r="H176" s="108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83"/>
      <c r="X176" s="159" t="str">
        <f t="shared" si="5"/>
        <v>0</v>
      </c>
      <c r="Y176" s="159" t="str">
        <f>BASE!A180</f>
        <v>165</v>
      </c>
      <c r="Z176" s="177" t="str">
        <f t="shared" si="6"/>
        <v>0</v>
      </c>
      <c r="AA176" s="177" t="str">
        <f t="shared" si="7"/>
        <v>0</v>
      </c>
      <c r="AB176" s="177" t="str">
        <f t="shared" si="8"/>
        <v>0</v>
      </c>
      <c r="AC176" s="177" t="str">
        <f t="shared" si="9"/>
        <v>0</v>
      </c>
      <c r="AD176" s="177" t="str">
        <f t="shared" si="10"/>
        <v>0</v>
      </c>
    </row>
    <row r="177" ht="17.25" customHeight="1">
      <c r="A177" s="179"/>
      <c r="B177" s="159" t="s">
        <v>122</v>
      </c>
      <c r="C177" s="133" t="str">
        <f t="shared" si="2"/>
        <v>0</v>
      </c>
      <c r="D177" s="133" t="str">
        <f t="shared" si="3"/>
        <v>0</v>
      </c>
      <c r="E177" s="133" t="str">
        <f t="shared" si="4"/>
        <v>0</v>
      </c>
      <c r="F177" s="133"/>
      <c r="G177" s="133"/>
      <c r="H177" s="108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83"/>
      <c r="X177" s="159" t="str">
        <f t="shared" si="5"/>
        <v>0</v>
      </c>
      <c r="Y177" s="159" t="str">
        <f>BASE!A181</f>
        <v>166</v>
      </c>
      <c r="Z177" s="177" t="str">
        <f t="shared" si="6"/>
        <v>0</v>
      </c>
      <c r="AA177" s="177" t="str">
        <f t="shared" si="7"/>
        <v>0</v>
      </c>
      <c r="AB177" s="177" t="str">
        <f t="shared" si="8"/>
        <v>0</v>
      </c>
      <c r="AC177" s="177" t="str">
        <f t="shared" si="9"/>
        <v>0</v>
      </c>
      <c r="AD177" s="177" t="str">
        <f t="shared" si="10"/>
        <v>0</v>
      </c>
    </row>
    <row r="178" ht="17.25" customHeight="1">
      <c r="A178" s="179"/>
      <c r="B178" s="159" t="s">
        <v>122</v>
      </c>
      <c r="C178" s="133" t="str">
        <f t="shared" si="2"/>
        <v>0</v>
      </c>
      <c r="D178" s="133" t="str">
        <f t="shared" si="3"/>
        <v>0</v>
      </c>
      <c r="E178" s="133" t="str">
        <f t="shared" si="4"/>
        <v>0</v>
      </c>
      <c r="F178" s="133"/>
      <c r="G178" s="133"/>
      <c r="H178" s="108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83"/>
      <c r="X178" s="159" t="str">
        <f t="shared" si="5"/>
        <v>0</v>
      </c>
      <c r="Y178" s="159" t="str">
        <f>BASE!A182</f>
        <v>167</v>
      </c>
      <c r="Z178" s="177" t="str">
        <f t="shared" si="6"/>
        <v>0</v>
      </c>
      <c r="AA178" s="177" t="str">
        <f t="shared" si="7"/>
        <v>0</v>
      </c>
      <c r="AB178" s="177" t="str">
        <f t="shared" si="8"/>
        <v>0</v>
      </c>
      <c r="AC178" s="177" t="str">
        <f t="shared" si="9"/>
        <v>0</v>
      </c>
      <c r="AD178" s="177" t="str">
        <f t="shared" si="10"/>
        <v>0</v>
      </c>
    </row>
    <row r="179" ht="17.25" customHeight="1">
      <c r="A179" s="179"/>
      <c r="B179" s="159" t="s">
        <v>122</v>
      </c>
      <c r="C179" s="133" t="str">
        <f t="shared" si="2"/>
        <v>0</v>
      </c>
      <c r="D179" s="133" t="str">
        <f t="shared" si="3"/>
        <v>0</v>
      </c>
      <c r="E179" s="133" t="str">
        <f t="shared" si="4"/>
        <v>0</v>
      </c>
      <c r="F179" s="133"/>
      <c r="G179" s="133"/>
      <c r="H179" s="108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83"/>
      <c r="X179" s="159" t="str">
        <f t="shared" si="5"/>
        <v>0</v>
      </c>
      <c r="Y179" s="159" t="str">
        <f>BASE!A183</f>
        <v>168</v>
      </c>
      <c r="Z179" s="177" t="str">
        <f t="shared" si="6"/>
        <v>0</v>
      </c>
      <c r="AA179" s="177" t="str">
        <f t="shared" si="7"/>
        <v>0</v>
      </c>
      <c r="AB179" s="177" t="str">
        <f t="shared" si="8"/>
        <v>0</v>
      </c>
      <c r="AC179" s="177" t="str">
        <f t="shared" si="9"/>
        <v>0</v>
      </c>
      <c r="AD179" s="177" t="str">
        <f t="shared" si="10"/>
        <v>0</v>
      </c>
    </row>
    <row r="180" ht="17.25" customHeight="1">
      <c r="A180" s="179"/>
      <c r="B180" s="159" t="s">
        <v>122</v>
      </c>
      <c r="C180" s="133" t="str">
        <f t="shared" si="2"/>
        <v>0</v>
      </c>
      <c r="D180" s="133" t="str">
        <f t="shared" si="3"/>
        <v>0</v>
      </c>
      <c r="E180" s="133" t="str">
        <f t="shared" si="4"/>
        <v>0</v>
      </c>
      <c r="F180" s="133"/>
      <c r="G180" s="133"/>
      <c r="H180" s="108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83"/>
      <c r="X180" s="159" t="str">
        <f t="shared" si="5"/>
        <v>0</v>
      </c>
      <c r="Y180" s="159" t="str">
        <f>BASE!A184</f>
        <v>169</v>
      </c>
      <c r="Z180" s="177" t="str">
        <f t="shared" si="6"/>
        <v>0</v>
      </c>
      <c r="AA180" s="177" t="str">
        <f t="shared" si="7"/>
        <v>0</v>
      </c>
      <c r="AB180" s="177" t="str">
        <f t="shared" si="8"/>
        <v>0</v>
      </c>
      <c r="AC180" s="177" t="str">
        <f t="shared" si="9"/>
        <v>0</v>
      </c>
      <c r="AD180" s="177" t="str">
        <f t="shared" si="10"/>
        <v>0</v>
      </c>
    </row>
    <row r="181" ht="17.25" customHeight="1">
      <c r="A181" s="179"/>
      <c r="B181" s="159" t="s">
        <v>122</v>
      </c>
      <c r="C181" s="133" t="str">
        <f t="shared" si="2"/>
        <v>0</v>
      </c>
      <c r="D181" s="133" t="str">
        <f t="shared" si="3"/>
        <v>0</v>
      </c>
      <c r="E181" s="133" t="str">
        <f t="shared" si="4"/>
        <v>0</v>
      </c>
      <c r="F181" s="133"/>
      <c r="G181" s="133"/>
      <c r="H181" s="108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83"/>
      <c r="X181" s="159" t="str">
        <f t="shared" si="5"/>
        <v>0</v>
      </c>
      <c r="Y181" s="159" t="str">
        <f>BASE!A185</f>
        <v>170</v>
      </c>
      <c r="Z181" s="177" t="str">
        <f t="shared" si="6"/>
        <v>0</v>
      </c>
      <c r="AA181" s="177" t="str">
        <f t="shared" si="7"/>
        <v>0</v>
      </c>
      <c r="AB181" s="177" t="str">
        <f t="shared" si="8"/>
        <v>0</v>
      </c>
      <c r="AC181" s="177" t="str">
        <f t="shared" si="9"/>
        <v>0</v>
      </c>
      <c r="AD181" s="177" t="str">
        <f t="shared" si="10"/>
        <v>0</v>
      </c>
    </row>
    <row r="182" ht="17.25" customHeight="1">
      <c r="A182" s="179"/>
      <c r="B182" s="159" t="s">
        <v>122</v>
      </c>
      <c r="C182" s="133" t="str">
        <f t="shared" si="2"/>
        <v>0</v>
      </c>
      <c r="D182" s="133" t="str">
        <f t="shared" si="3"/>
        <v>0</v>
      </c>
      <c r="E182" s="133" t="str">
        <f t="shared" si="4"/>
        <v>0</v>
      </c>
      <c r="F182" s="133"/>
      <c r="G182" s="133"/>
      <c r="H182" s="108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83"/>
      <c r="X182" s="159" t="str">
        <f t="shared" si="5"/>
        <v>0</v>
      </c>
      <c r="Y182" s="159" t="str">
        <f>BASE!A186</f>
        <v>171</v>
      </c>
      <c r="Z182" s="177" t="str">
        <f t="shared" si="6"/>
        <v>0</v>
      </c>
      <c r="AA182" s="177" t="str">
        <f t="shared" si="7"/>
        <v>0</v>
      </c>
      <c r="AB182" s="177" t="str">
        <f t="shared" si="8"/>
        <v>0</v>
      </c>
      <c r="AC182" s="177" t="str">
        <f t="shared" si="9"/>
        <v>0</v>
      </c>
      <c r="AD182" s="177" t="str">
        <f t="shared" si="10"/>
        <v>0</v>
      </c>
    </row>
    <row r="183" ht="17.25" customHeight="1">
      <c r="A183" s="179"/>
      <c r="B183" s="159" t="s">
        <v>122</v>
      </c>
      <c r="C183" s="133" t="str">
        <f t="shared" si="2"/>
        <v>0</v>
      </c>
      <c r="D183" s="133" t="str">
        <f t="shared" si="3"/>
        <v>0</v>
      </c>
      <c r="E183" s="133" t="str">
        <f t="shared" si="4"/>
        <v>0</v>
      </c>
      <c r="F183" s="133"/>
      <c r="G183" s="133"/>
      <c r="H183" s="108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83"/>
      <c r="X183" s="159" t="str">
        <f t="shared" si="5"/>
        <v>0</v>
      </c>
      <c r="Y183" s="159" t="str">
        <f>BASE!A187</f>
        <v>172</v>
      </c>
      <c r="Z183" s="177" t="str">
        <f t="shared" si="6"/>
        <v>0</v>
      </c>
      <c r="AA183" s="177" t="str">
        <f t="shared" si="7"/>
        <v>0</v>
      </c>
      <c r="AB183" s="177" t="str">
        <f t="shared" si="8"/>
        <v>0</v>
      </c>
      <c r="AC183" s="177" t="str">
        <f t="shared" si="9"/>
        <v>0</v>
      </c>
      <c r="AD183" s="177" t="str">
        <f t="shared" si="10"/>
        <v>0</v>
      </c>
    </row>
    <row r="184" ht="17.25" customHeight="1">
      <c r="A184" s="179"/>
      <c r="B184" s="159" t="s">
        <v>122</v>
      </c>
      <c r="C184" s="133" t="str">
        <f t="shared" si="2"/>
        <v>0</v>
      </c>
      <c r="D184" s="133" t="str">
        <f t="shared" si="3"/>
        <v>0</v>
      </c>
      <c r="E184" s="133" t="str">
        <f t="shared" si="4"/>
        <v>0</v>
      </c>
      <c r="F184" s="133"/>
      <c r="G184" s="133"/>
      <c r="H184" s="108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83"/>
      <c r="X184" s="159" t="str">
        <f t="shared" si="5"/>
        <v>0</v>
      </c>
      <c r="Y184" s="159" t="str">
        <f>BASE!A188</f>
        <v>173</v>
      </c>
      <c r="Z184" s="177" t="str">
        <f t="shared" si="6"/>
        <v>0</v>
      </c>
      <c r="AA184" s="177" t="str">
        <f t="shared" si="7"/>
        <v>0</v>
      </c>
      <c r="AB184" s="177" t="str">
        <f t="shared" si="8"/>
        <v>0</v>
      </c>
      <c r="AC184" s="177" t="str">
        <f t="shared" si="9"/>
        <v>0</v>
      </c>
      <c r="AD184" s="177" t="str">
        <f t="shared" si="10"/>
        <v>0</v>
      </c>
    </row>
    <row r="185" ht="17.25" customHeight="1">
      <c r="A185" s="179"/>
      <c r="B185" s="159" t="s">
        <v>122</v>
      </c>
      <c r="C185" s="133" t="str">
        <f t="shared" si="2"/>
        <v>0</v>
      </c>
      <c r="D185" s="133" t="str">
        <f t="shared" si="3"/>
        <v>0</v>
      </c>
      <c r="E185" s="133" t="str">
        <f t="shared" si="4"/>
        <v>0</v>
      </c>
      <c r="F185" s="133"/>
      <c r="G185" s="133"/>
      <c r="H185" s="108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83"/>
      <c r="X185" s="159" t="str">
        <f t="shared" si="5"/>
        <v>0</v>
      </c>
      <c r="Y185" s="159" t="str">
        <f>BASE!A189</f>
        <v>174</v>
      </c>
      <c r="Z185" s="177" t="str">
        <f t="shared" si="6"/>
        <v>0</v>
      </c>
      <c r="AA185" s="177" t="str">
        <f t="shared" si="7"/>
        <v>0</v>
      </c>
      <c r="AB185" s="177" t="str">
        <f t="shared" si="8"/>
        <v>0</v>
      </c>
      <c r="AC185" s="177" t="str">
        <f t="shared" si="9"/>
        <v>0</v>
      </c>
      <c r="AD185" s="177" t="str">
        <f t="shared" si="10"/>
        <v>0</v>
      </c>
    </row>
    <row r="186" ht="17.25" customHeight="1">
      <c r="A186" s="179"/>
      <c r="B186" s="159" t="s">
        <v>122</v>
      </c>
      <c r="C186" s="133" t="str">
        <f t="shared" si="2"/>
        <v>0</v>
      </c>
      <c r="D186" s="133" t="str">
        <f t="shared" si="3"/>
        <v>0</v>
      </c>
      <c r="E186" s="133" t="str">
        <f t="shared" si="4"/>
        <v>0</v>
      </c>
      <c r="F186" s="133"/>
      <c r="G186" s="133"/>
      <c r="H186" s="108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83"/>
      <c r="X186" s="159" t="str">
        <f t="shared" si="5"/>
        <v>0</v>
      </c>
      <c r="Y186" s="159" t="str">
        <f>BASE!A190</f>
        <v>175</v>
      </c>
      <c r="Z186" s="177" t="str">
        <f t="shared" si="6"/>
        <v>0</v>
      </c>
      <c r="AA186" s="177" t="str">
        <f t="shared" si="7"/>
        <v>0</v>
      </c>
      <c r="AB186" s="177" t="str">
        <f t="shared" si="8"/>
        <v>0</v>
      </c>
      <c r="AC186" s="177" t="str">
        <f t="shared" si="9"/>
        <v>0</v>
      </c>
      <c r="AD186" s="177" t="str">
        <f t="shared" si="10"/>
        <v>0</v>
      </c>
    </row>
    <row r="187" ht="17.25" customHeight="1">
      <c r="A187" s="179"/>
      <c r="B187" s="159" t="s">
        <v>122</v>
      </c>
      <c r="C187" s="133" t="str">
        <f t="shared" si="2"/>
        <v>0</v>
      </c>
      <c r="D187" s="133" t="str">
        <f t="shared" si="3"/>
        <v>0</v>
      </c>
      <c r="E187" s="133" t="str">
        <f t="shared" si="4"/>
        <v>0</v>
      </c>
      <c r="F187" s="133"/>
      <c r="G187" s="133"/>
      <c r="H187" s="108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83"/>
      <c r="X187" s="159" t="str">
        <f t="shared" si="5"/>
        <v>0</v>
      </c>
      <c r="Y187" s="159" t="str">
        <f>BASE!A191</f>
        <v>176</v>
      </c>
      <c r="Z187" s="177" t="str">
        <f t="shared" si="6"/>
        <v>0</v>
      </c>
      <c r="AA187" s="177" t="str">
        <f t="shared" si="7"/>
        <v>0</v>
      </c>
      <c r="AB187" s="177" t="str">
        <f t="shared" si="8"/>
        <v>0</v>
      </c>
      <c r="AC187" s="177" t="str">
        <f t="shared" si="9"/>
        <v>0</v>
      </c>
      <c r="AD187" s="177" t="str">
        <f t="shared" si="10"/>
        <v>0</v>
      </c>
    </row>
    <row r="188" ht="17.25" customHeight="1">
      <c r="A188" s="179"/>
      <c r="B188" s="159" t="s">
        <v>122</v>
      </c>
      <c r="C188" s="133" t="str">
        <f t="shared" si="2"/>
        <v>0</v>
      </c>
      <c r="D188" s="133" t="str">
        <f t="shared" si="3"/>
        <v>0</v>
      </c>
      <c r="E188" s="133" t="str">
        <f t="shared" si="4"/>
        <v>0</v>
      </c>
      <c r="F188" s="133"/>
      <c r="G188" s="133"/>
      <c r="H188" s="108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83"/>
      <c r="X188" s="159" t="str">
        <f t="shared" si="5"/>
        <v>0</v>
      </c>
      <c r="Y188" s="159" t="str">
        <f>BASE!A192</f>
        <v>177</v>
      </c>
      <c r="Z188" s="177" t="str">
        <f t="shared" si="6"/>
        <v>0</v>
      </c>
      <c r="AA188" s="177" t="str">
        <f t="shared" si="7"/>
        <v>0</v>
      </c>
      <c r="AB188" s="177" t="str">
        <f t="shared" si="8"/>
        <v>0</v>
      </c>
      <c r="AC188" s="177" t="str">
        <f t="shared" si="9"/>
        <v>0</v>
      </c>
      <c r="AD188" s="177" t="str">
        <f t="shared" si="10"/>
        <v>0</v>
      </c>
    </row>
    <row r="189" ht="17.25" customHeight="1">
      <c r="A189" s="179"/>
      <c r="B189" s="159" t="s">
        <v>122</v>
      </c>
      <c r="C189" s="133" t="str">
        <f t="shared" si="2"/>
        <v>0</v>
      </c>
      <c r="D189" s="133" t="str">
        <f t="shared" si="3"/>
        <v>0</v>
      </c>
      <c r="E189" s="133" t="str">
        <f t="shared" si="4"/>
        <v>0</v>
      </c>
      <c r="F189" s="133"/>
      <c r="G189" s="133"/>
      <c r="H189" s="108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83"/>
      <c r="X189" s="159" t="str">
        <f t="shared" si="5"/>
        <v>0</v>
      </c>
      <c r="Y189" s="159" t="str">
        <f>BASE!A193</f>
        <v>178</v>
      </c>
      <c r="Z189" s="177" t="str">
        <f t="shared" si="6"/>
        <v>0</v>
      </c>
      <c r="AA189" s="177" t="str">
        <f t="shared" si="7"/>
        <v>0</v>
      </c>
      <c r="AB189" s="177" t="str">
        <f t="shared" si="8"/>
        <v>0</v>
      </c>
      <c r="AC189" s="177" t="str">
        <f t="shared" si="9"/>
        <v>0</v>
      </c>
      <c r="AD189" s="177" t="str">
        <f t="shared" si="10"/>
        <v>0</v>
      </c>
    </row>
    <row r="190" ht="17.25" customHeight="1">
      <c r="A190" s="179"/>
      <c r="B190" s="159" t="s">
        <v>122</v>
      </c>
      <c r="C190" s="133" t="str">
        <f t="shared" si="2"/>
        <v>0</v>
      </c>
      <c r="D190" s="133" t="str">
        <f t="shared" si="3"/>
        <v>0</v>
      </c>
      <c r="E190" s="133" t="str">
        <f t="shared" si="4"/>
        <v>0</v>
      </c>
      <c r="F190" s="133"/>
      <c r="G190" s="133"/>
      <c r="H190" s="108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83"/>
      <c r="X190" s="159" t="str">
        <f t="shared" si="5"/>
        <v>0</v>
      </c>
      <c r="Y190" s="159" t="str">
        <f>BASE!A194</f>
        <v>179</v>
      </c>
      <c r="Z190" s="177" t="str">
        <f t="shared" si="6"/>
        <v>0</v>
      </c>
      <c r="AA190" s="177" t="str">
        <f t="shared" si="7"/>
        <v>0</v>
      </c>
      <c r="AB190" s="177" t="str">
        <f t="shared" si="8"/>
        <v>0</v>
      </c>
      <c r="AC190" s="177" t="str">
        <f t="shared" si="9"/>
        <v>0</v>
      </c>
      <c r="AD190" s="177" t="str">
        <f t="shared" si="10"/>
        <v>0</v>
      </c>
    </row>
    <row r="191" ht="17.25" customHeight="1">
      <c r="A191" s="179"/>
      <c r="B191" s="159" t="s">
        <v>122</v>
      </c>
      <c r="C191" s="133" t="str">
        <f t="shared" si="2"/>
        <v>0</v>
      </c>
      <c r="D191" s="133" t="str">
        <f t="shared" si="3"/>
        <v>0</v>
      </c>
      <c r="E191" s="133" t="str">
        <f t="shared" si="4"/>
        <v>0</v>
      </c>
      <c r="F191" s="133"/>
      <c r="G191" s="133"/>
      <c r="H191" s="108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83"/>
      <c r="X191" s="159" t="str">
        <f t="shared" si="5"/>
        <v>0</v>
      </c>
      <c r="Y191" s="159" t="str">
        <f>BASE!A195</f>
        <v>180</v>
      </c>
      <c r="Z191" s="177" t="str">
        <f t="shared" si="6"/>
        <v>0</v>
      </c>
      <c r="AA191" s="177" t="str">
        <f t="shared" si="7"/>
        <v>0</v>
      </c>
      <c r="AB191" s="177" t="str">
        <f t="shared" si="8"/>
        <v>0</v>
      </c>
      <c r="AC191" s="177" t="str">
        <f t="shared" si="9"/>
        <v>0</v>
      </c>
      <c r="AD191" s="177" t="str">
        <f t="shared" si="10"/>
        <v>0</v>
      </c>
    </row>
    <row r="192" ht="17.25" customHeight="1">
      <c r="A192" s="179"/>
      <c r="B192" s="159" t="s">
        <v>122</v>
      </c>
      <c r="C192" s="133" t="str">
        <f t="shared" si="2"/>
        <v>0</v>
      </c>
      <c r="D192" s="133" t="str">
        <f t="shared" si="3"/>
        <v>0</v>
      </c>
      <c r="E192" s="133" t="str">
        <f t="shared" si="4"/>
        <v>0</v>
      </c>
      <c r="F192" s="133"/>
      <c r="G192" s="133"/>
      <c r="H192" s="108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83"/>
      <c r="X192" s="159" t="str">
        <f t="shared" si="5"/>
        <v>0</v>
      </c>
      <c r="Y192" s="159" t="str">
        <f>BASE!A196</f>
        <v>181</v>
      </c>
      <c r="Z192" s="177" t="str">
        <f t="shared" si="6"/>
        <v>0</v>
      </c>
      <c r="AA192" s="177" t="str">
        <f t="shared" si="7"/>
        <v>0</v>
      </c>
      <c r="AB192" s="177" t="str">
        <f t="shared" si="8"/>
        <v>0</v>
      </c>
      <c r="AC192" s="177" t="str">
        <f t="shared" si="9"/>
        <v>0</v>
      </c>
      <c r="AD192" s="177" t="str">
        <f t="shared" si="10"/>
        <v>0</v>
      </c>
    </row>
    <row r="193" ht="17.25" customHeight="1">
      <c r="A193" s="179"/>
      <c r="B193" s="159" t="s">
        <v>122</v>
      </c>
      <c r="C193" s="133" t="str">
        <f t="shared" si="2"/>
        <v>0</v>
      </c>
      <c r="D193" s="133" t="str">
        <f t="shared" si="3"/>
        <v>0</v>
      </c>
      <c r="E193" s="133" t="str">
        <f t="shared" si="4"/>
        <v>0</v>
      </c>
      <c r="F193" s="133"/>
      <c r="G193" s="133"/>
      <c r="H193" s="108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83"/>
      <c r="X193" s="159" t="str">
        <f t="shared" si="5"/>
        <v>0</v>
      </c>
      <c r="Y193" s="159" t="str">
        <f>BASE!A197</f>
        <v>182</v>
      </c>
      <c r="Z193" s="177" t="str">
        <f t="shared" si="6"/>
        <v>0</v>
      </c>
      <c r="AA193" s="177" t="str">
        <f t="shared" si="7"/>
        <v>0</v>
      </c>
      <c r="AB193" s="177" t="str">
        <f t="shared" si="8"/>
        <v>0</v>
      </c>
      <c r="AC193" s="177" t="str">
        <f t="shared" si="9"/>
        <v>0</v>
      </c>
      <c r="AD193" s="177" t="str">
        <f t="shared" si="10"/>
        <v>0</v>
      </c>
    </row>
    <row r="194" ht="17.25" customHeight="1">
      <c r="A194" s="179"/>
      <c r="B194" s="159" t="s">
        <v>122</v>
      </c>
      <c r="C194" s="133" t="str">
        <f t="shared" si="2"/>
        <v>0</v>
      </c>
      <c r="D194" s="133" t="str">
        <f t="shared" si="3"/>
        <v>0</v>
      </c>
      <c r="E194" s="133" t="str">
        <f t="shared" si="4"/>
        <v>0</v>
      </c>
      <c r="F194" s="133"/>
      <c r="G194" s="133"/>
      <c r="H194" s="108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83"/>
      <c r="X194" s="159" t="str">
        <f t="shared" si="5"/>
        <v>0</v>
      </c>
      <c r="Y194" s="159" t="str">
        <f>BASE!A198</f>
        <v>183</v>
      </c>
      <c r="Z194" s="177" t="str">
        <f t="shared" si="6"/>
        <v>0</v>
      </c>
      <c r="AA194" s="177" t="str">
        <f t="shared" si="7"/>
        <v>0</v>
      </c>
      <c r="AB194" s="177" t="str">
        <f t="shared" si="8"/>
        <v>0</v>
      </c>
      <c r="AC194" s="177" t="str">
        <f t="shared" si="9"/>
        <v>0</v>
      </c>
      <c r="AD194" s="177" t="str">
        <f t="shared" si="10"/>
        <v>0</v>
      </c>
    </row>
    <row r="195" ht="17.25" customHeight="1">
      <c r="A195" s="179"/>
      <c r="B195" s="159" t="s">
        <v>122</v>
      </c>
      <c r="C195" s="133" t="str">
        <f t="shared" si="2"/>
        <v>0</v>
      </c>
      <c r="D195" s="133" t="str">
        <f t="shared" si="3"/>
        <v>0</v>
      </c>
      <c r="E195" s="133" t="str">
        <f t="shared" si="4"/>
        <v>0</v>
      </c>
      <c r="F195" s="133"/>
      <c r="G195" s="133"/>
      <c r="H195" s="108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83"/>
      <c r="X195" s="159" t="str">
        <f t="shared" si="5"/>
        <v>0</v>
      </c>
      <c r="Y195" s="159" t="str">
        <f>BASE!A199</f>
        <v>184</v>
      </c>
      <c r="Z195" s="177" t="str">
        <f t="shared" si="6"/>
        <v>0</v>
      </c>
      <c r="AA195" s="177" t="str">
        <f t="shared" si="7"/>
        <v>0</v>
      </c>
      <c r="AB195" s="177" t="str">
        <f t="shared" si="8"/>
        <v>0</v>
      </c>
      <c r="AC195" s="177" t="str">
        <f t="shared" si="9"/>
        <v>0</v>
      </c>
      <c r="AD195" s="177" t="str">
        <f t="shared" si="10"/>
        <v>0</v>
      </c>
    </row>
    <row r="196" ht="17.25" customHeight="1">
      <c r="A196" s="179"/>
      <c r="B196" s="159" t="s">
        <v>122</v>
      </c>
      <c r="C196" s="133" t="str">
        <f t="shared" si="2"/>
        <v>0</v>
      </c>
      <c r="D196" s="133" t="str">
        <f t="shared" si="3"/>
        <v>0</v>
      </c>
      <c r="E196" s="133" t="str">
        <f t="shared" si="4"/>
        <v>0</v>
      </c>
      <c r="F196" s="133"/>
      <c r="G196" s="133"/>
      <c r="H196" s="108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83"/>
      <c r="X196" s="159" t="str">
        <f t="shared" si="5"/>
        <v>0</v>
      </c>
      <c r="Y196" s="159" t="str">
        <f>BASE!A200</f>
        <v>185</v>
      </c>
      <c r="Z196" s="177" t="str">
        <f t="shared" si="6"/>
        <v>0</v>
      </c>
      <c r="AA196" s="177" t="str">
        <f t="shared" si="7"/>
        <v>0</v>
      </c>
      <c r="AB196" s="177" t="str">
        <f t="shared" si="8"/>
        <v>0</v>
      </c>
      <c r="AC196" s="177" t="str">
        <f t="shared" si="9"/>
        <v>0</v>
      </c>
      <c r="AD196" s="177" t="str">
        <f t="shared" si="10"/>
        <v>0</v>
      </c>
    </row>
    <row r="197" ht="17.25" customHeight="1">
      <c r="A197" s="179"/>
      <c r="B197" s="159" t="s">
        <v>122</v>
      </c>
      <c r="C197" s="133" t="str">
        <f t="shared" si="2"/>
        <v>0</v>
      </c>
      <c r="D197" s="133" t="str">
        <f t="shared" si="3"/>
        <v>0</v>
      </c>
      <c r="E197" s="133" t="str">
        <f t="shared" si="4"/>
        <v>0</v>
      </c>
      <c r="F197" s="133"/>
      <c r="G197" s="133"/>
      <c r="H197" s="108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83"/>
      <c r="X197" s="159" t="str">
        <f t="shared" si="5"/>
        <v>0</v>
      </c>
      <c r="Y197" s="159" t="str">
        <f>BASE!A201</f>
        <v>186</v>
      </c>
      <c r="Z197" s="177" t="str">
        <f t="shared" si="6"/>
        <v>0</v>
      </c>
      <c r="AA197" s="177" t="str">
        <f t="shared" si="7"/>
        <v>0</v>
      </c>
      <c r="AB197" s="177" t="str">
        <f t="shared" si="8"/>
        <v>0</v>
      </c>
      <c r="AC197" s="177" t="str">
        <f t="shared" si="9"/>
        <v>0</v>
      </c>
      <c r="AD197" s="177" t="str">
        <f t="shared" si="10"/>
        <v>0</v>
      </c>
    </row>
    <row r="198" ht="17.25" customHeight="1">
      <c r="A198" s="179"/>
      <c r="B198" s="159" t="s">
        <v>122</v>
      </c>
      <c r="C198" s="133" t="str">
        <f t="shared" si="2"/>
        <v>0</v>
      </c>
      <c r="D198" s="133" t="str">
        <f t="shared" si="3"/>
        <v>0</v>
      </c>
      <c r="E198" s="133" t="str">
        <f t="shared" si="4"/>
        <v>0</v>
      </c>
      <c r="F198" s="133"/>
      <c r="G198" s="133"/>
      <c r="H198" s="108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83"/>
      <c r="X198" s="159" t="str">
        <f t="shared" si="5"/>
        <v>0</v>
      </c>
      <c r="Y198" s="159" t="str">
        <f>BASE!A202</f>
        <v>187</v>
      </c>
      <c r="Z198" s="177" t="str">
        <f t="shared" si="6"/>
        <v>0</v>
      </c>
      <c r="AA198" s="177" t="str">
        <f t="shared" si="7"/>
        <v>0</v>
      </c>
      <c r="AB198" s="177" t="str">
        <f t="shared" si="8"/>
        <v>0</v>
      </c>
      <c r="AC198" s="177" t="str">
        <f t="shared" si="9"/>
        <v>0</v>
      </c>
      <c r="AD198" s="177" t="str">
        <f t="shared" si="10"/>
        <v>0</v>
      </c>
    </row>
    <row r="199" ht="17.25" customHeight="1">
      <c r="A199" s="179"/>
      <c r="B199" s="159" t="s">
        <v>122</v>
      </c>
      <c r="C199" s="133" t="str">
        <f t="shared" si="2"/>
        <v>0</v>
      </c>
      <c r="D199" s="133" t="str">
        <f t="shared" si="3"/>
        <v>0</v>
      </c>
      <c r="E199" s="133" t="str">
        <f t="shared" si="4"/>
        <v>0</v>
      </c>
      <c r="F199" s="133"/>
      <c r="G199" s="133"/>
      <c r="H199" s="108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83"/>
      <c r="X199" s="159" t="str">
        <f t="shared" si="5"/>
        <v>0</v>
      </c>
      <c r="Y199" s="159" t="str">
        <f>BASE!A203</f>
        <v>188</v>
      </c>
      <c r="Z199" s="177" t="str">
        <f t="shared" si="6"/>
        <v>0</v>
      </c>
      <c r="AA199" s="177" t="str">
        <f t="shared" si="7"/>
        <v>0</v>
      </c>
      <c r="AB199" s="177" t="str">
        <f t="shared" si="8"/>
        <v>0</v>
      </c>
      <c r="AC199" s="177" t="str">
        <f t="shared" si="9"/>
        <v>0</v>
      </c>
      <c r="AD199" s="177" t="str">
        <f t="shared" si="10"/>
        <v>0</v>
      </c>
    </row>
    <row r="200" ht="17.25" customHeight="1">
      <c r="A200" s="179"/>
      <c r="B200" s="159" t="s">
        <v>122</v>
      </c>
      <c r="C200" s="133" t="str">
        <f t="shared" si="2"/>
        <v>0</v>
      </c>
      <c r="D200" s="133" t="str">
        <f t="shared" si="3"/>
        <v>0</v>
      </c>
      <c r="E200" s="133" t="str">
        <f t="shared" si="4"/>
        <v>0</v>
      </c>
      <c r="F200" s="133"/>
      <c r="G200" s="133"/>
      <c r="H200" s="108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83"/>
      <c r="X200" s="159" t="str">
        <f t="shared" si="5"/>
        <v>0</v>
      </c>
      <c r="Y200" s="159" t="str">
        <f>BASE!A204</f>
        <v>189</v>
      </c>
      <c r="Z200" s="177" t="str">
        <f t="shared" si="6"/>
        <v>0</v>
      </c>
      <c r="AA200" s="177" t="str">
        <f t="shared" si="7"/>
        <v>0</v>
      </c>
      <c r="AB200" s="177" t="str">
        <f t="shared" si="8"/>
        <v>0</v>
      </c>
      <c r="AC200" s="177" t="str">
        <f t="shared" si="9"/>
        <v>0</v>
      </c>
      <c r="AD200" s="177" t="str">
        <f t="shared" si="10"/>
        <v>0</v>
      </c>
    </row>
    <row r="201" ht="17.25" customHeight="1">
      <c r="A201" s="179"/>
      <c r="B201" s="159" t="s">
        <v>122</v>
      </c>
      <c r="C201" s="133" t="str">
        <f t="shared" si="2"/>
        <v>0</v>
      </c>
      <c r="D201" s="133" t="str">
        <f t="shared" si="3"/>
        <v>0</v>
      </c>
      <c r="E201" s="133" t="str">
        <f t="shared" si="4"/>
        <v>0</v>
      </c>
      <c r="F201" s="133"/>
      <c r="G201" s="133"/>
      <c r="H201" s="108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83"/>
      <c r="X201" s="159" t="str">
        <f t="shared" si="5"/>
        <v>0</v>
      </c>
      <c r="Y201" s="159" t="str">
        <f>BASE!A205</f>
        <v>190</v>
      </c>
      <c r="Z201" s="177" t="str">
        <f t="shared" si="6"/>
        <v>0</v>
      </c>
      <c r="AA201" s="177" t="str">
        <f t="shared" si="7"/>
        <v>0</v>
      </c>
      <c r="AB201" s="177" t="str">
        <f t="shared" si="8"/>
        <v>0</v>
      </c>
      <c r="AC201" s="177" t="str">
        <f t="shared" si="9"/>
        <v>0</v>
      </c>
      <c r="AD201" s="177" t="str">
        <f t="shared" si="10"/>
        <v>0</v>
      </c>
    </row>
    <row r="202" ht="17.25" customHeight="1">
      <c r="A202" s="179"/>
      <c r="B202" s="159" t="s">
        <v>122</v>
      </c>
      <c r="C202" s="133" t="str">
        <f t="shared" si="2"/>
        <v>0</v>
      </c>
      <c r="D202" s="133" t="str">
        <f t="shared" si="3"/>
        <v>0</v>
      </c>
      <c r="E202" s="133" t="str">
        <f t="shared" si="4"/>
        <v>0</v>
      </c>
      <c r="F202" s="133"/>
      <c r="G202" s="133"/>
      <c r="H202" s="108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83"/>
      <c r="X202" s="159" t="str">
        <f t="shared" si="5"/>
        <v>0</v>
      </c>
      <c r="Y202" s="159" t="str">
        <f>BASE!A206</f>
        <v>191</v>
      </c>
      <c r="Z202" s="177" t="str">
        <f t="shared" si="6"/>
        <v>0</v>
      </c>
      <c r="AA202" s="177" t="str">
        <f t="shared" si="7"/>
        <v>0</v>
      </c>
      <c r="AB202" s="177" t="str">
        <f t="shared" si="8"/>
        <v>0</v>
      </c>
      <c r="AC202" s="177" t="str">
        <f t="shared" si="9"/>
        <v>0</v>
      </c>
      <c r="AD202" s="177" t="str">
        <f t="shared" si="10"/>
        <v>0</v>
      </c>
    </row>
    <row r="203" ht="17.25" customHeight="1">
      <c r="A203" s="179"/>
      <c r="B203" s="159" t="s">
        <v>122</v>
      </c>
      <c r="C203" s="133" t="str">
        <f t="shared" si="2"/>
        <v>0</v>
      </c>
      <c r="D203" s="133" t="str">
        <f t="shared" si="3"/>
        <v>0</v>
      </c>
      <c r="E203" s="133" t="str">
        <f t="shared" si="4"/>
        <v>0</v>
      </c>
      <c r="F203" s="133"/>
      <c r="G203" s="133"/>
      <c r="H203" s="108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83"/>
      <c r="X203" s="159" t="str">
        <f t="shared" si="5"/>
        <v>0</v>
      </c>
      <c r="Y203" s="159" t="str">
        <f>BASE!A207</f>
        <v>192</v>
      </c>
      <c r="Z203" s="177" t="str">
        <f t="shared" si="6"/>
        <v>0</v>
      </c>
      <c r="AA203" s="177" t="str">
        <f t="shared" si="7"/>
        <v>0</v>
      </c>
      <c r="AB203" s="177" t="str">
        <f t="shared" si="8"/>
        <v>0</v>
      </c>
      <c r="AC203" s="177" t="str">
        <f t="shared" si="9"/>
        <v>0</v>
      </c>
      <c r="AD203" s="177" t="str">
        <f t="shared" si="10"/>
        <v>0</v>
      </c>
    </row>
    <row r="204" ht="17.25" customHeight="1">
      <c r="A204" s="179"/>
      <c r="B204" s="159" t="s">
        <v>122</v>
      </c>
      <c r="C204" s="133" t="str">
        <f t="shared" si="2"/>
        <v>0</v>
      </c>
      <c r="D204" s="133" t="str">
        <f t="shared" si="3"/>
        <v>0</v>
      </c>
      <c r="E204" s="133" t="str">
        <f t="shared" si="4"/>
        <v>0</v>
      </c>
      <c r="F204" s="133"/>
      <c r="G204" s="133"/>
      <c r="H204" s="108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83"/>
      <c r="X204" s="159" t="str">
        <f t="shared" si="5"/>
        <v>0</v>
      </c>
      <c r="Y204" s="159" t="str">
        <f>BASE!A208</f>
        <v>193</v>
      </c>
      <c r="Z204" s="177" t="str">
        <f t="shared" si="6"/>
        <v>0</v>
      </c>
      <c r="AA204" s="177" t="str">
        <f t="shared" si="7"/>
        <v>0</v>
      </c>
      <c r="AB204" s="177" t="str">
        <f t="shared" si="8"/>
        <v>0</v>
      </c>
      <c r="AC204" s="177" t="str">
        <f t="shared" si="9"/>
        <v>0</v>
      </c>
      <c r="AD204" s="177" t="str">
        <f t="shared" si="10"/>
        <v>0</v>
      </c>
    </row>
    <row r="205" ht="17.25" customHeight="1">
      <c r="A205" s="179"/>
      <c r="B205" s="159" t="s">
        <v>122</v>
      </c>
      <c r="C205" s="133" t="str">
        <f t="shared" si="2"/>
        <v>0</v>
      </c>
      <c r="D205" s="133" t="str">
        <f t="shared" si="3"/>
        <v>0</v>
      </c>
      <c r="E205" s="133" t="str">
        <f t="shared" si="4"/>
        <v>0</v>
      </c>
      <c r="F205" s="133"/>
      <c r="G205" s="133"/>
      <c r="H205" s="108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83"/>
      <c r="X205" s="159" t="str">
        <f t="shared" si="5"/>
        <v>0</v>
      </c>
      <c r="Y205" s="159" t="str">
        <f>BASE!A209</f>
        <v>194</v>
      </c>
      <c r="Z205" s="177" t="str">
        <f t="shared" si="6"/>
        <v>0</v>
      </c>
      <c r="AA205" s="177" t="str">
        <f t="shared" si="7"/>
        <v>0</v>
      </c>
      <c r="AB205" s="177" t="str">
        <f t="shared" si="8"/>
        <v>0</v>
      </c>
      <c r="AC205" s="177" t="str">
        <f t="shared" si="9"/>
        <v>0</v>
      </c>
      <c r="AD205" s="177" t="str">
        <f t="shared" si="10"/>
        <v>0</v>
      </c>
    </row>
    <row r="206" ht="17.25" customHeight="1">
      <c r="A206" s="179"/>
      <c r="B206" s="159" t="s">
        <v>122</v>
      </c>
      <c r="C206" s="133" t="str">
        <f t="shared" si="2"/>
        <v>0</v>
      </c>
      <c r="D206" s="133" t="str">
        <f t="shared" si="3"/>
        <v>0</v>
      </c>
      <c r="E206" s="133" t="str">
        <f t="shared" si="4"/>
        <v>0</v>
      </c>
      <c r="F206" s="133"/>
      <c r="G206" s="133"/>
      <c r="H206" s="108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83"/>
      <c r="X206" s="159" t="str">
        <f t="shared" si="5"/>
        <v>0</v>
      </c>
      <c r="Y206" s="159" t="str">
        <f>BASE!A210</f>
        <v>195</v>
      </c>
      <c r="Z206" s="177" t="str">
        <f t="shared" si="6"/>
        <v>0</v>
      </c>
      <c r="AA206" s="177" t="str">
        <f t="shared" si="7"/>
        <v>0</v>
      </c>
      <c r="AB206" s="177" t="str">
        <f t="shared" si="8"/>
        <v>0</v>
      </c>
      <c r="AC206" s="177" t="str">
        <f t="shared" si="9"/>
        <v>0</v>
      </c>
      <c r="AD206" s="177" t="str">
        <f t="shared" si="10"/>
        <v>0</v>
      </c>
    </row>
    <row r="207" ht="17.25" customHeight="1">
      <c r="A207" s="179"/>
      <c r="B207" s="159" t="s">
        <v>122</v>
      </c>
      <c r="C207" s="133" t="str">
        <f t="shared" si="2"/>
        <v>0</v>
      </c>
      <c r="D207" s="133" t="str">
        <f t="shared" si="3"/>
        <v>0</v>
      </c>
      <c r="E207" s="133" t="str">
        <f t="shared" si="4"/>
        <v>0</v>
      </c>
      <c r="F207" s="133"/>
      <c r="G207" s="133"/>
      <c r="H207" s="108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83"/>
      <c r="X207" s="159" t="str">
        <f t="shared" si="5"/>
        <v>0</v>
      </c>
      <c r="Y207" s="159" t="str">
        <f>BASE!A211</f>
        <v>196</v>
      </c>
      <c r="Z207" s="177" t="str">
        <f t="shared" si="6"/>
        <v>0</v>
      </c>
      <c r="AA207" s="177" t="str">
        <f t="shared" si="7"/>
        <v>0</v>
      </c>
      <c r="AB207" s="177" t="str">
        <f t="shared" si="8"/>
        <v>0</v>
      </c>
      <c r="AC207" s="177" t="str">
        <f t="shared" si="9"/>
        <v>0</v>
      </c>
      <c r="AD207" s="177" t="str">
        <f t="shared" si="10"/>
        <v>0</v>
      </c>
    </row>
    <row r="208" ht="17.25" customHeight="1">
      <c r="A208" s="179"/>
      <c r="B208" s="159" t="s">
        <v>122</v>
      </c>
      <c r="C208" s="133" t="str">
        <f t="shared" si="2"/>
        <v>0</v>
      </c>
      <c r="D208" s="133" t="str">
        <f t="shared" si="3"/>
        <v>0</v>
      </c>
      <c r="E208" s="133" t="str">
        <f t="shared" si="4"/>
        <v>0</v>
      </c>
      <c r="F208" s="133"/>
      <c r="G208" s="133"/>
      <c r="H208" s="108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83"/>
      <c r="X208" s="159" t="str">
        <f t="shared" si="5"/>
        <v>0</v>
      </c>
      <c r="Y208" s="159" t="str">
        <f>BASE!A212</f>
        <v>197</v>
      </c>
      <c r="Z208" s="177" t="str">
        <f t="shared" si="6"/>
        <v>0</v>
      </c>
      <c r="AA208" s="177" t="str">
        <f t="shared" si="7"/>
        <v>0</v>
      </c>
      <c r="AB208" s="177" t="str">
        <f t="shared" si="8"/>
        <v>0</v>
      </c>
      <c r="AC208" s="177" t="str">
        <f t="shared" si="9"/>
        <v>0</v>
      </c>
      <c r="AD208" s="177" t="str">
        <f t="shared" si="10"/>
        <v>0</v>
      </c>
    </row>
    <row r="209" ht="17.25" customHeight="1">
      <c r="A209" s="179"/>
      <c r="B209" s="159" t="s">
        <v>122</v>
      </c>
      <c r="C209" s="133" t="str">
        <f t="shared" si="2"/>
        <v>0</v>
      </c>
      <c r="D209" s="133" t="str">
        <f t="shared" si="3"/>
        <v>0</v>
      </c>
      <c r="E209" s="133" t="str">
        <f t="shared" si="4"/>
        <v>0</v>
      </c>
      <c r="F209" s="133"/>
      <c r="G209" s="133"/>
      <c r="H209" s="108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83"/>
      <c r="X209" s="159" t="str">
        <f t="shared" si="5"/>
        <v>0</v>
      </c>
      <c r="Y209" s="159" t="str">
        <f>BASE!A213</f>
        <v>198</v>
      </c>
      <c r="Z209" s="177" t="str">
        <f t="shared" si="6"/>
        <v>0</v>
      </c>
      <c r="AA209" s="177" t="str">
        <f t="shared" si="7"/>
        <v>0</v>
      </c>
      <c r="AB209" s="177" t="str">
        <f t="shared" si="8"/>
        <v>0</v>
      </c>
      <c r="AC209" s="177" t="str">
        <f t="shared" si="9"/>
        <v>0</v>
      </c>
      <c r="AD209" s="177" t="str">
        <f t="shared" si="10"/>
        <v>0</v>
      </c>
    </row>
    <row r="210" ht="17.25" customHeight="1">
      <c r="A210" s="179"/>
      <c r="B210" s="159" t="s">
        <v>122</v>
      </c>
      <c r="C210" s="133" t="str">
        <f t="shared" si="2"/>
        <v>0</v>
      </c>
      <c r="D210" s="133" t="str">
        <f t="shared" si="3"/>
        <v>0</v>
      </c>
      <c r="E210" s="133" t="str">
        <f t="shared" si="4"/>
        <v>0</v>
      </c>
      <c r="F210" s="133"/>
      <c r="G210" s="133"/>
      <c r="H210" s="108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83"/>
      <c r="X210" s="159" t="str">
        <f t="shared" si="5"/>
        <v>0</v>
      </c>
      <c r="Y210" s="159" t="str">
        <f>BASE!A214</f>
        <v>199</v>
      </c>
      <c r="Z210" s="177" t="str">
        <f t="shared" si="6"/>
        <v>0</v>
      </c>
      <c r="AA210" s="177" t="str">
        <f t="shared" si="7"/>
        <v>0</v>
      </c>
      <c r="AB210" s="177" t="str">
        <f t="shared" si="8"/>
        <v>0</v>
      </c>
      <c r="AC210" s="177" t="str">
        <f t="shared" si="9"/>
        <v>0</v>
      </c>
      <c r="AD210" s="177" t="str">
        <f t="shared" si="10"/>
        <v>0</v>
      </c>
    </row>
    <row r="211" ht="17.25" customHeight="1">
      <c r="A211" s="179"/>
      <c r="B211" s="159" t="s">
        <v>122</v>
      </c>
      <c r="C211" s="133" t="str">
        <f t="shared" si="2"/>
        <v>0</v>
      </c>
      <c r="D211" s="133" t="str">
        <f t="shared" si="3"/>
        <v>0</v>
      </c>
      <c r="E211" s="133" t="str">
        <f t="shared" si="4"/>
        <v>0</v>
      </c>
      <c r="F211" s="133"/>
      <c r="G211" s="133"/>
      <c r="H211" s="108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83"/>
      <c r="X211" s="159" t="str">
        <f t="shared" si="5"/>
        <v>0</v>
      </c>
      <c r="Y211" s="159" t="str">
        <f>BASE!A215</f>
        <v>200</v>
      </c>
      <c r="Z211" s="177" t="str">
        <f t="shared" si="6"/>
        <v>0</v>
      </c>
      <c r="AA211" s="177" t="str">
        <f t="shared" si="7"/>
        <v>0</v>
      </c>
      <c r="AB211" s="177" t="str">
        <f t="shared" si="8"/>
        <v>0</v>
      </c>
      <c r="AC211" s="177" t="str">
        <f t="shared" si="9"/>
        <v>0</v>
      </c>
      <c r="AD211" s="177" t="str">
        <f t="shared" si="10"/>
        <v>0</v>
      </c>
    </row>
    <row r="212" ht="17.25" customHeight="1">
      <c r="A212" s="179"/>
      <c r="B212" s="159" t="s">
        <v>122</v>
      </c>
      <c r="C212" s="133" t="str">
        <f t="shared" si="2"/>
        <v>0</v>
      </c>
      <c r="D212" s="133" t="str">
        <f t="shared" si="3"/>
        <v>0</v>
      </c>
      <c r="E212" s="133" t="str">
        <f t="shared" si="4"/>
        <v>0</v>
      </c>
      <c r="F212" s="133"/>
      <c r="G212" s="133"/>
      <c r="H212" s="108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83"/>
      <c r="X212" s="159" t="str">
        <f t="shared" si="5"/>
        <v>0</v>
      </c>
      <c r="Y212" s="159" t="str">
        <f>BASE!A216</f>
        <v>201</v>
      </c>
      <c r="Z212" s="177" t="str">
        <f t="shared" si="6"/>
        <v>0</v>
      </c>
      <c r="AA212" s="177" t="str">
        <f t="shared" si="7"/>
        <v>0</v>
      </c>
      <c r="AB212" s="177" t="str">
        <f t="shared" si="8"/>
        <v>0</v>
      </c>
      <c r="AC212" s="177" t="str">
        <f t="shared" si="9"/>
        <v>0</v>
      </c>
      <c r="AD212" s="177" t="str">
        <f t="shared" si="10"/>
        <v>0</v>
      </c>
    </row>
    <row r="213" ht="17.25" customHeight="1">
      <c r="A213" s="179"/>
      <c r="B213" s="159" t="s">
        <v>122</v>
      </c>
      <c r="C213" s="133" t="str">
        <f t="shared" si="2"/>
        <v>0</v>
      </c>
      <c r="D213" s="133" t="str">
        <f t="shared" si="3"/>
        <v>0</v>
      </c>
      <c r="E213" s="133" t="str">
        <f t="shared" si="4"/>
        <v>0</v>
      </c>
      <c r="F213" s="133"/>
      <c r="G213" s="133"/>
      <c r="H213" s="108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83"/>
      <c r="X213" s="159" t="str">
        <f t="shared" si="5"/>
        <v>0</v>
      </c>
      <c r="Y213" s="159" t="str">
        <f>BASE!A217</f>
        <v>202</v>
      </c>
      <c r="Z213" s="177" t="str">
        <f t="shared" si="6"/>
        <v>0</v>
      </c>
      <c r="AA213" s="177" t="str">
        <f t="shared" si="7"/>
        <v>0</v>
      </c>
      <c r="AB213" s="177" t="str">
        <f t="shared" si="8"/>
        <v>0</v>
      </c>
      <c r="AC213" s="177" t="str">
        <f t="shared" si="9"/>
        <v>0</v>
      </c>
      <c r="AD213" s="177" t="str">
        <f t="shared" si="10"/>
        <v>0</v>
      </c>
    </row>
    <row r="214" ht="17.25" customHeight="1">
      <c r="A214" s="179"/>
      <c r="B214" s="159" t="s">
        <v>122</v>
      </c>
      <c r="C214" s="133" t="str">
        <f t="shared" si="2"/>
        <v>0</v>
      </c>
      <c r="D214" s="133" t="str">
        <f t="shared" si="3"/>
        <v>0</v>
      </c>
      <c r="E214" s="133" t="str">
        <f t="shared" si="4"/>
        <v>0</v>
      </c>
      <c r="F214" s="133"/>
      <c r="G214" s="133"/>
      <c r="H214" s="108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83"/>
      <c r="X214" s="159" t="str">
        <f t="shared" si="5"/>
        <v>0</v>
      </c>
      <c r="Y214" s="159" t="str">
        <f>BASE!A218</f>
        <v>203</v>
      </c>
      <c r="Z214" s="177" t="str">
        <f t="shared" si="6"/>
        <v>0</v>
      </c>
      <c r="AA214" s="177" t="str">
        <f t="shared" si="7"/>
        <v>0</v>
      </c>
      <c r="AB214" s="177" t="str">
        <f t="shared" si="8"/>
        <v>0</v>
      </c>
      <c r="AC214" s="177" t="str">
        <f t="shared" si="9"/>
        <v>0</v>
      </c>
      <c r="AD214" s="177" t="str">
        <f t="shared" si="10"/>
        <v>0</v>
      </c>
    </row>
    <row r="215" ht="17.25" customHeight="1">
      <c r="A215" s="179"/>
      <c r="B215" s="159" t="s">
        <v>122</v>
      </c>
      <c r="C215" s="133" t="str">
        <f t="shared" si="2"/>
        <v>0</v>
      </c>
      <c r="D215" s="133" t="str">
        <f t="shared" si="3"/>
        <v>0</v>
      </c>
      <c r="E215" s="133" t="str">
        <f t="shared" si="4"/>
        <v>0</v>
      </c>
      <c r="F215" s="133"/>
      <c r="G215" s="133"/>
      <c r="H215" s="108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83"/>
      <c r="X215" s="159" t="str">
        <f t="shared" si="5"/>
        <v>0</v>
      </c>
      <c r="Y215" s="159" t="str">
        <f>BASE!A219</f>
        <v>204</v>
      </c>
      <c r="Z215" s="177" t="str">
        <f t="shared" si="6"/>
        <v>0</v>
      </c>
      <c r="AA215" s="177" t="str">
        <f t="shared" si="7"/>
        <v>0</v>
      </c>
      <c r="AB215" s="177" t="str">
        <f t="shared" si="8"/>
        <v>0</v>
      </c>
      <c r="AC215" s="177" t="str">
        <f t="shared" si="9"/>
        <v>0</v>
      </c>
      <c r="AD215" s="177" t="str">
        <f t="shared" si="10"/>
        <v>0</v>
      </c>
    </row>
    <row r="216" ht="17.25" customHeight="1">
      <c r="A216" s="179"/>
      <c r="B216" s="159" t="s">
        <v>122</v>
      </c>
      <c r="C216" s="133" t="str">
        <f t="shared" si="2"/>
        <v>0</v>
      </c>
      <c r="D216" s="133" t="str">
        <f t="shared" si="3"/>
        <v>0</v>
      </c>
      <c r="E216" s="133" t="str">
        <f t="shared" si="4"/>
        <v>0</v>
      </c>
      <c r="F216" s="133"/>
      <c r="G216" s="133"/>
      <c r="H216" s="108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83"/>
      <c r="X216" s="159" t="str">
        <f t="shared" si="5"/>
        <v>0</v>
      </c>
      <c r="Y216" s="159" t="str">
        <f>BASE!A220</f>
        <v>205</v>
      </c>
      <c r="Z216" s="177" t="str">
        <f t="shared" si="6"/>
        <v>0</v>
      </c>
      <c r="AA216" s="177" t="str">
        <f t="shared" si="7"/>
        <v>0</v>
      </c>
      <c r="AB216" s="177" t="str">
        <f t="shared" si="8"/>
        <v>0</v>
      </c>
      <c r="AC216" s="177" t="str">
        <f t="shared" si="9"/>
        <v>0</v>
      </c>
      <c r="AD216" s="177" t="str">
        <f t="shared" si="10"/>
        <v>0</v>
      </c>
    </row>
    <row r="217" ht="17.25" customHeight="1">
      <c r="A217" s="179"/>
      <c r="B217" s="159" t="s">
        <v>122</v>
      </c>
      <c r="C217" s="133" t="str">
        <f t="shared" si="2"/>
        <v>0</v>
      </c>
      <c r="D217" s="133" t="str">
        <f t="shared" si="3"/>
        <v>0</v>
      </c>
      <c r="E217" s="133" t="str">
        <f t="shared" si="4"/>
        <v>0</v>
      </c>
      <c r="F217" s="133"/>
      <c r="G217" s="133"/>
      <c r="H217" s="108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83"/>
      <c r="X217" s="159" t="str">
        <f t="shared" si="5"/>
        <v>0</v>
      </c>
      <c r="Y217" s="159" t="str">
        <f>BASE!A221</f>
        <v>206</v>
      </c>
      <c r="Z217" s="177" t="str">
        <f t="shared" si="6"/>
        <v>0</v>
      </c>
      <c r="AA217" s="177" t="str">
        <f t="shared" si="7"/>
        <v>0</v>
      </c>
      <c r="AB217" s="177" t="str">
        <f t="shared" si="8"/>
        <v>0</v>
      </c>
      <c r="AC217" s="177" t="str">
        <f t="shared" si="9"/>
        <v>0</v>
      </c>
      <c r="AD217" s="177" t="str">
        <f t="shared" si="10"/>
        <v>0</v>
      </c>
    </row>
    <row r="218" ht="17.25" customHeight="1">
      <c r="A218" s="179"/>
      <c r="B218" s="159" t="s">
        <v>122</v>
      </c>
      <c r="C218" s="133" t="str">
        <f t="shared" si="2"/>
        <v>0</v>
      </c>
      <c r="D218" s="133" t="str">
        <f t="shared" si="3"/>
        <v>0</v>
      </c>
      <c r="E218" s="133" t="str">
        <f t="shared" si="4"/>
        <v>0</v>
      </c>
      <c r="F218" s="133"/>
      <c r="G218" s="133"/>
      <c r="H218" s="108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83"/>
      <c r="X218" s="159" t="str">
        <f t="shared" si="5"/>
        <v>0</v>
      </c>
      <c r="Y218" s="159" t="str">
        <f>BASE!A222</f>
        <v>207</v>
      </c>
      <c r="Z218" s="177" t="str">
        <f t="shared" si="6"/>
        <v>0</v>
      </c>
      <c r="AA218" s="177" t="str">
        <f t="shared" si="7"/>
        <v>0</v>
      </c>
      <c r="AB218" s="177" t="str">
        <f t="shared" si="8"/>
        <v>0</v>
      </c>
      <c r="AC218" s="177" t="str">
        <f t="shared" si="9"/>
        <v>0</v>
      </c>
      <c r="AD218" s="177" t="str">
        <f t="shared" si="10"/>
        <v>0</v>
      </c>
    </row>
    <row r="219" ht="17.25" customHeight="1">
      <c r="A219" s="179"/>
      <c r="B219" s="159" t="s">
        <v>122</v>
      </c>
      <c r="C219" s="133" t="str">
        <f t="shared" si="2"/>
        <v>0</v>
      </c>
      <c r="D219" s="133" t="str">
        <f t="shared" si="3"/>
        <v>0</v>
      </c>
      <c r="E219" s="133" t="str">
        <f t="shared" si="4"/>
        <v>0</v>
      </c>
      <c r="F219" s="133"/>
      <c r="G219" s="133"/>
      <c r="H219" s="108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83"/>
      <c r="X219" s="159" t="str">
        <f t="shared" si="5"/>
        <v>0</v>
      </c>
      <c r="Y219" s="159" t="str">
        <f>BASE!A223</f>
        <v>208</v>
      </c>
      <c r="Z219" s="177" t="str">
        <f t="shared" si="6"/>
        <v>0</v>
      </c>
      <c r="AA219" s="177" t="str">
        <f t="shared" si="7"/>
        <v>0</v>
      </c>
      <c r="AB219" s="177" t="str">
        <f t="shared" si="8"/>
        <v>0</v>
      </c>
      <c r="AC219" s="177" t="str">
        <f t="shared" si="9"/>
        <v>0</v>
      </c>
      <c r="AD219" s="177" t="str">
        <f t="shared" si="10"/>
        <v>0</v>
      </c>
    </row>
    <row r="220" ht="17.25" customHeight="1">
      <c r="A220" s="179"/>
      <c r="B220" s="159" t="s">
        <v>122</v>
      </c>
      <c r="C220" s="133" t="str">
        <f t="shared" si="2"/>
        <v>0</v>
      </c>
      <c r="D220" s="133" t="str">
        <f t="shared" si="3"/>
        <v>0</v>
      </c>
      <c r="E220" s="133" t="str">
        <f t="shared" si="4"/>
        <v>0</v>
      </c>
      <c r="F220" s="133"/>
      <c r="G220" s="133"/>
      <c r="H220" s="108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83"/>
      <c r="X220" s="159" t="str">
        <f t="shared" si="5"/>
        <v>0</v>
      </c>
      <c r="Y220" s="159" t="str">
        <f>BASE!A224</f>
        <v>209</v>
      </c>
      <c r="Z220" s="177" t="str">
        <f t="shared" si="6"/>
        <v>0</v>
      </c>
      <c r="AA220" s="177" t="str">
        <f t="shared" si="7"/>
        <v>0</v>
      </c>
      <c r="AB220" s="177" t="str">
        <f t="shared" si="8"/>
        <v>0</v>
      </c>
      <c r="AC220" s="177" t="str">
        <f t="shared" si="9"/>
        <v>0</v>
      </c>
      <c r="AD220" s="177" t="str">
        <f t="shared" si="10"/>
        <v>0</v>
      </c>
    </row>
    <row r="221" ht="17.25" customHeight="1">
      <c r="A221" s="179"/>
      <c r="B221" s="159" t="s">
        <v>122</v>
      </c>
      <c r="C221" s="133" t="str">
        <f t="shared" si="2"/>
        <v>0</v>
      </c>
      <c r="D221" s="133" t="str">
        <f t="shared" si="3"/>
        <v>0</v>
      </c>
      <c r="E221" s="133" t="str">
        <f t="shared" si="4"/>
        <v>0</v>
      </c>
      <c r="F221" s="133"/>
      <c r="G221" s="133"/>
      <c r="H221" s="108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83"/>
      <c r="X221" s="159" t="str">
        <f t="shared" si="5"/>
        <v>0</v>
      </c>
      <c r="Y221" s="159" t="str">
        <f>BASE!A225</f>
        <v>210</v>
      </c>
      <c r="Z221" s="177" t="str">
        <f t="shared" si="6"/>
        <v>0</v>
      </c>
      <c r="AA221" s="177" t="str">
        <f t="shared" si="7"/>
        <v>0</v>
      </c>
      <c r="AB221" s="177" t="str">
        <f t="shared" si="8"/>
        <v>0</v>
      </c>
      <c r="AC221" s="177" t="str">
        <f t="shared" si="9"/>
        <v>0</v>
      </c>
      <c r="AD221" s="177" t="str">
        <f t="shared" si="10"/>
        <v>0</v>
      </c>
    </row>
    <row r="222" ht="17.25" customHeight="1">
      <c r="A222" s="179"/>
      <c r="B222" s="159" t="s">
        <v>122</v>
      </c>
      <c r="C222" s="133" t="str">
        <f t="shared" si="2"/>
        <v>0</v>
      </c>
      <c r="D222" s="133" t="str">
        <f t="shared" si="3"/>
        <v>0</v>
      </c>
      <c r="E222" s="133" t="str">
        <f t="shared" si="4"/>
        <v>0</v>
      </c>
      <c r="F222" s="133"/>
      <c r="G222" s="133"/>
      <c r="H222" s="108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83"/>
      <c r="X222" s="159" t="str">
        <f t="shared" si="5"/>
        <v>0</v>
      </c>
      <c r="Y222" s="159" t="str">
        <f>BASE!A226</f>
        <v>211</v>
      </c>
      <c r="Z222" s="177" t="str">
        <f t="shared" si="6"/>
        <v>0</v>
      </c>
      <c r="AA222" s="177" t="str">
        <f t="shared" si="7"/>
        <v>0</v>
      </c>
      <c r="AB222" s="177" t="str">
        <f t="shared" si="8"/>
        <v>0</v>
      </c>
      <c r="AC222" s="177" t="str">
        <f t="shared" si="9"/>
        <v>0</v>
      </c>
      <c r="AD222" s="177" t="str">
        <f t="shared" si="10"/>
        <v>0</v>
      </c>
    </row>
    <row r="223" ht="17.25" customHeight="1">
      <c r="A223" s="179"/>
      <c r="B223" s="159" t="s">
        <v>122</v>
      </c>
      <c r="C223" s="133" t="str">
        <f t="shared" si="2"/>
        <v>0</v>
      </c>
      <c r="D223" s="133" t="str">
        <f t="shared" si="3"/>
        <v>0</v>
      </c>
      <c r="E223" s="133" t="str">
        <f t="shared" si="4"/>
        <v>0</v>
      </c>
      <c r="F223" s="133"/>
      <c r="G223" s="133"/>
      <c r="H223" s="108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83"/>
      <c r="X223" s="159" t="str">
        <f t="shared" si="5"/>
        <v>0</v>
      </c>
      <c r="Y223" s="159" t="str">
        <f>BASE!A227</f>
        <v>212</v>
      </c>
      <c r="Z223" s="177" t="str">
        <f t="shared" si="6"/>
        <v>0</v>
      </c>
      <c r="AA223" s="177" t="str">
        <f t="shared" si="7"/>
        <v>0</v>
      </c>
      <c r="AB223" s="177" t="str">
        <f t="shared" si="8"/>
        <v>0</v>
      </c>
      <c r="AC223" s="177" t="str">
        <f t="shared" si="9"/>
        <v>0</v>
      </c>
      <c r="AD223" s="177" t="str">
        <f t="shared" si="10"/>
        <v>0</v>
      </c>
    </row>
    <row r="224" ht="17.25" customHeight="1">
      <c r="A224" s="179"/>
      <c r="B224" s="159" t="s">
        <v>122</v>
      </c>
      <c r="C224" s="133" t="str">
        <f t="shared" si="2"/>
        <v>0</v>
      </c>
      <c r="D224" s="133" t="str">
        <f t="shared" si="3"/>
        <v>0</v>
      </c>
      <c r="E224" s="133" t="str">
        <f t="shared" si="4"/>
        <v>0</v>
      </c>
      <c r="F224" s="133"/>
      <c r="G224" s="133"/>
      <c r="H224" s="108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83"/>
      <c r="X224" s="159" t="str">
        <f t="shared" si="5"/>
        <v>0</v>
      </c>
      <c r="Y224" s="159" t="str">
        <f>BASE!A228</f>
        <v>213</v>
      </c>
      <c r="Z224" s="177" t="str">
        <f t="shared" si="6"/>
        <v>0</v>
      </c>
      <c r="AA224" s="177" t="str">
        <f t="shared" si="7"/>
        <v>0</v>
      </c>
      <c r="AB224" s="177" t="str">
        <f t="shared" si="8"/>
        <v>0</v>
      </c>
      <c r="AC224" s="177" t="str">
        <f t="shared" si="9"/>
        <v>0</v>
      </c>
      <c r="AD224" s="177" t="str">
        <f t="shared" si="10"/>
        <v>0</v>
      </c>
    </row>
    <row r="225" ht="17.25" customHeight="1">
      <c r="A225" s="179"/>
      <c r="B225" s="159" t="s">
        <v>122</v>
      </c>
      <c r="C225" s="133" t="str">
        <f t="shared" si="2"/>
        <v>0</v>
      </c>
      <c r="D225" s="133" t="str">
        <f t="shared" si="3"/>
        <v>0</v>
      </c>
      <c r="E225" s="133" t="str">
        <f t="shared" si="4"/>
        <v>0</v>
      </c>
      <c r="F225" s="133"/>
      <c r="G225" s="133"/>
      <c r="H225" s="108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83"/>
      <c r="X225" s="159" t="str">
        <f t="shared" si="5"/>
        <v>0</v>
      </c>
      <c r="Y225" s="159" t="str">
        <f>BASE!A229</f>
        <v>214</v>
      </c>
      <c r="Z225" s="177" t="str">
        <f t="shared" si="6"/>
        <v>0</v>
      </c>
      <c r="AA225" s="177" t="str">
        <f t="shared" si="7"/>
        <v>0</v>
      </c>
      <c r="AB225" s="177" t="str">
        <f t="shared" si="8"/>
        <v>0</v>
      </c>
      <c r="AC225" s="177" t="str">
        <f t="shared" si="9"/>
        <v>0</v>
      </c>
      <c r="AD225" s="177" t="str">
        <f t="shared" si="10"/>
        <v>0</v>
      </c>
    </row>
    <row r="226" ht="17.25" customHeight="1">
      <c r="A226" s="179"/>
      <c r="B226" s="159" t="s">
        <v>122</v>
      </c>
      <c r="C226" s="133" t="str">
        <f t="shared" si="2"/>
        <v>0</v>
      </c>
      <c r="D226" s="133" t="str">
        <f t="shared" si="3"/>
        <v>0</v>
      </c>
      <c r="E226" s="133" t="str">
        <f t="shared" si="4"/>
        <v>0</v>
      </c>
      <c r="F226" s="133"/>
      <c r="G226" s="133"/>
      <c r="H226" s="108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83"/>
      <c r="X226" s="159" t="str">
        <f t="shared" si="5"/>
        <v>0</v>
      </c>
      <c r="Y226" s="159" t="str">
        <f>BASE!A230</f>
        <v>215</v>
      </c>
      <c r="Z226" s="177" t="str">
        <f t="shared" si="6"/>
        <v>0</v>
      </c>
      <c r="AA226" s="177" t="str">
        <f t="shared" si="7"/>
        <v>0</v>
      </c>
      <c r="AB226" s="177" t="str">
        <f t="shared" si="8"/>
        <v>0</v>
      </c>
      <c r="AC226" s="177" t="str">
        <f t="shared" si="9"/>
        <v>0</v>
      </c>
      <c r="AD226" s="177" t="str">
        <f t="shared" si="10"/>
        <v>0</v>
      </c>
    </row>
    <row r="227" ht="17.25" customHeight="1">
      <c r="A227" s="179"/>
      <c r="B227" s="159" t="s">
        <v>122</v>
      </c>
      <c r="C227" s="133" t="str">
        <f t="shared" si="2"/>
        <v>0</v>
      </c>
      <c r="D227" s="133" t="str">
        <f t="shared" si="3"/>
        <v>0</v>
      </c>
      <c r="E227" s="133" t="str">
        <f t="shared" si="4"/>
        <v>0</v>
      </c>
      <c r="F227" s="133"/>
      <c r="G227" s="133"/>
      <c r="H227" s="108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83"/>
      <c r="X227" s="159" t="str">
        <f t="shared" si="5"/>
        <v>0</v>
      </c>
      <c r="Y227" s="159" t="str">
        <f>BASE!A231</f>
        <v>216</v>
      </c>
      <c r="Z227" s="177" t="str">
        <f t="shared" si="6"/>
        <v>0</v>
      </c>
      <c r="AA227" s="177" t="str">
        <f t="shared" si="7"/>
        <v>0</v>
      </c>
      <c r="AB227" s="177" t="str">
        <f t="shared" si="8"/>
        <v>0</v>
      </c>
      <c r="AC227" s="177" t="str">
        <f t="shared" si="9"/>
        <v>0</v>
      </c>
      <c r="AD227" s="177" t="str">
        <f t="shared" si="10"/>
        <v>0</v>
      </c>
    </row>
    <row r="228" ht="17.25" customHeight="1">
      <c r="A228" s="179"/>
      <c r="B228" s="159" t="s">
        <v>122</v>
      </c>
      <c r="C228" s="133" t="str">
        <f t="shared" si="2"/>
        <v>0</v>
      </c>
      <c r="D228" s="133" t="str">
        <f t="shared" si="3"/>
        <v>0</v>
      </c>
      <c r="E228" s="133" t="str">
        <f t="shared" si="4"/>
        <v>0</v>
      </c>
      <c r="F228" s="133"/>
      <c r="G228" s="133"/>
      <c r="H228" s="108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83"/>
      <c r="X228" s="159" t="str">
        <f t="shared" si="5"/>
        <v>0</v>
      </c>
      <c r="Y228" s="159" t="str">
        <f>BASE!A232</f>
        <v>217</v>
      </c>
      <c r="Z228" s="177" t="str">
        <f t="shared" si="6"/>
        <v>0</v>
      </c>
      <c r="AA228" s="177" t="str">
        <f t="shared" si="7"/>
        <v>0</v>
      </c>
      <c r="AB228" s="177" t="str">
        <f t="shared" si="8"/>
        <v>0</v>
      </c>
      <c r="AC228" s="177" t="str">
        <f t="shared" si="9"/>
        <v>0</v>
      </c>
      <c r="AD228" s="177" t="str">
        <f t="shared" si="10"/>
        <v>0</v>
      </c>
    </row>
    <row r="229" ht="17.25" customHeight="1">
      <c r="A229" s="179"/>
      <c r="B229" s="159" t="s">
        <v>122</v>
      </c>
      <c r="C229" s="133" t="str">
        <f t="shared" si="2"/>
        <v>0</v>
      </c>
      <c r="D229" s="133" t="str">
        <f t="shared" si="3"/>
        <v>0</v>
      </c>
      <c r="E229" s="133" t="str">
        <f t="shared" si="4"/>
        <v>0</v>
      </c>
      <c r="F229" s="133"/>
      <c r="G229" s="133"/>
      <c r="H229" s="108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83"/>
      <c r="X229" s="159" t="str">
        <f t="shared" si="5"/>
        <v>0</v>
      </c>
      <c r="Y229" s="159" t="str">
        <f>BASE!A233</f>
        <v>218</v>
      </c>
      <c r="Z229" s="177" t="str">
        <f t="shared" si="6"/>
        <v>0</v>
      </c>
      <c r="AA229" s="177" t="str">
        <f t="shared" si="7"/>
        <v>0</v>
      </c>
      <c r="AB229" s="177" t="str">
        <f t="shared" si="8"/>
        <v>0</v>
      </c>
      <c r="AC229" s="177" t="str">
        <f t="shared" si="9"/>
        <v>0</v>
      </c>
      <c r="AD229" s="177" t="str">
        <f t="shared" si="10"/>
        <v>0</v>
      </c>
    </row>
    <row r="230" ht="17.25" customHeight="1">
      <c r="A230" s="179"/>
      <c r="B230" s="159" t="s">
        <v>122</v>
      </c>
      <c r="C230" s="133" t="str">
        <f t="shared" si="2"/>
        <v>0</v>
      </c>
      <c r="D230" s="133" t="str">
        <f t="shared" si="3"/>
        <v>0</v>
      </c>
      <c r="E230" s="133" t="str">
        <f t="shared" si="4"/>
        <v>0</v>
      </c>
      <c r="F230" s="133"/>
      <c r="G230" s="133"/>
      <c r="H230" s="108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83"/>
      <c r="X230" s="159" t="str">
        <f t="shared" si="5"/>
        <v>0</v>
      </c>
      <c r="Y230" s="159" t="str">
        <f>BASE!A234</f>
        <v>219</v>
      </c>
      <c r="Z230" s="177" t="str">
        <f t="shared" si="6"/>
        <v>0</v>
      </c>
      <c r="AA230" s="177" t="str">
        <f t="shared" si="7"/>
        <v>0</v>
      </c>
      <c r="AB230" s="177" t="str">
        <f t="shared" si="8"/>
        <v>0</v>
      </c>
      <c r="AC230" s="177" t="str">
        <f t="shared" si="9"/>
        <v>0</v>
      </c>
      <c r="AD230" s="177" t="str">
        <f t="shared" si="10"/>
        <v>0</v>
      </c>
    </row>
    <row r="231" ht="17.25" customHeight="1">
      <c r="A231" s="179"/>
      <c r="B231" s="159" t="s">
        <v>122</v>
      </c>
      <c r="C231" s="133" t="str">
        <f t="shared" si="2"/>
        <v>0</v>
      </c>
      <c r="D231" s="133" t="str">
        <f t="shared" si="3"/>
        <v>0</v>
      </c>
      <c r="E231" s="133" t="str">
        <f t="shared" si="4"/>
        <v>0</v>
      </c>
      <c r="F231" s="133"/>
      <c r="G231" s="133"/>
      <c r="H231" s="108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83"/>
      <c r="X231" s="159" t="str">
        <f t="shared" si="5"/>
        <v>0</v>
      </c>
      <c r="Y231" s="159" t="str">
        <f>BASE!A235</f>
        <v>220</v>
      </c>
      <c r="Z231" s="177" t="str">
        <f t="shared" si="6"/>
        <v>0</v>
      </c>
      <c r="AA231" s="177" t="str">
        <f t="shared" si="7"/>
        <v>0</v>
      </c>
      <c r="AB231" s="177" t="str">
        <f t="shared" si="8"/>
        <v>0</v>
      </c>
      <c r="AC231" s="177" t="str">
        <f t="shared" si="9"/>
        <v>0</v>
      </c>
      <c r="AD231" s="177" t="str">
        <f t="shared" si="10"/>
        <v>0</v>
      </c>
    </row>
    <row r="232" ht="17.25" customHeight="1">
      <c r="A232" s="179"/>
      <c r="B232" s="159" t="s">
        <v>122</v>
      </c>
      <c r="C232" s="133" t="str">
        <f t="shared" si="2"/>
        <v>0</v>
      </c>
      <c r="D232" s="133" t="str">
        <f t="shared" si="3"/>
        <v>0</v>
      </c>
      <c r="E232" s="133" t="str">
        <f t="shared" si="4"/>
        <v>0</v>
      </c>
      <c r="F232" s="133"/>
      <c r="G232" s="133"/>
      <c r="H232" s="108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83"/>
      <c r="X232" s="159" t="str">
        <f t="shared" si="5"/>
        <v>0</v>
      </c>
      <c r="Y232" s="159" t="str">
        <f>BASE!A236</f>
        <v>221</v>
      </c>
      <c r="Z232" s="177" t="str">
        <f t="shared" si="6"/>
        <v>0</v>
      </c>
      <c r="AA232" s="177" t="str">
        <f t="shared" si="7"/>
        <v>0</v>
      </c>
      <c r="AB232" s="177" t="str">
        <f t="shared" si="8"/>
        <v>0</v>
      </c>
      <c r="AC232" s="177" t="str">
        <f t="shared" si="9"/>
        <v>0</v>
      </c>
      <c r="AD232" s="177" t="str">
        <f t="shared" si="10"/>
        <v>0</v>
      </c>
    </row>
    <row r="233" ht="17.25" customHeight="1">
      <c r="A233" s="179"/>
      <c r="B233" s="159" t="s">
        <v>122</v>
      </c>
      <c r="C233" s="133" t="str">
        <f t="shared" si="2"/>
        <v>0</v>
      </c>
      <c r="D233" s="133" t="str">
        <f t="shared" si="3"/>
        <v>0</v>
      </c>
      <c r="E233" s="133" t="str">
        <f t="shared" si="4"/>
        <v>0</v>
      </c>
      <c r="F233" s="133"/>
      <c r="G233" s="133"/>
      <c r="H233" s="108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83"/>
      <c r="X233" s="159" t="str">
        <f t="shared" si="5"/>
        <v>0</v>
      </c>
      <c r="Y233" s="159" t="str">
        <f>BASE!A237</f>
        <v>222</v>
      </c>
      <c r="Z233" s="177" t="str">
        <f t="shared" si="6"/>
        <v>0</v>
      </c>
      <c r="AA233" s="177" t="str">
        <f t="shared" si="7"/>
        <v>0</v>
      </c>
      <c r="AB233" s="177" t="str">
        <f t="shared" si="8"/>
        <v>0</v>
      </c>
      <c r="AC233" s="177" t="str">
        <f t="shared" si="9"/>
        <v>0</v>
      </c>
      <c r="AD233" s="177" t="str">
        <f t="shared" si="10"/>
        <v>0</v>
      </c>
    </row>
    <row r="234" ht="17.25" customHeight="1">
      <c r="A234" s="179"/>
      <c r="B234" s="159" t="s">
        <v>122</v>
      </c>
      <c r="C234" s="133" t="str">
        <f t="shared" si="2"/>
        <v>0</v>
      </c>
      <c r="D234" s="133" t="str">
        <f t="shared" si="3"/>
        <v>0</v>
      </c>
      <c r="E234" s="133" t="str">
        <f t="shared" si="4"/>
        <v>0</v>
      </c>
      <c r="F234" s="133"/>
      <c r="G234" s="133"/>
      <c r="H234" s="108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83"/>
      <c r="X234" s="159" t="str">
        <f t="shared" si="5"/>
        <v>0</v>
      </c>
      <c r="Y234" s="159" t="str">
        <f>BASE!A238</f>
        <v>223</v>
      </c>
      <c r="Z234" s="177" t="str">
        <f t="shared" si="6"/>
        <v>0</v>
      </c>
      <c r="AA234" s="177" t="str">
        <f t="shared" si="7"/>
        <v>0</v>
      </c>
      <c r="AB234" s="177" t="str">
        <f t="shared" si="8"/>
        <v>0</v>
      </c>
      <c r="AC234" s="177" t="str">
        <f t="shared" si="9"/>
        <v>0</v>
      </c>
      <c r="AD234" s="177" t="str">
        <f t="shared" si="10"/>
        <v>0</v>
      </c>
    </row>
    <row r="235" ht="17.25" customHeight="1">
      <c r="A235" s="179"/>
      <c r="B235" s="159" t="s">
        <v>122</v>
      </c>
      <c r="C235" s="133" t="str">
        <f t="shared" si="2"/>
        <v>0</v>
      </c>
      <c r="D235" s="133" t="str">
        <f t="shared" si="3"/>
        <v>0</v>
      </c>
      <c r="E235" s="133" t="str">
        <f t="shared" si="4"/>
        <v>0</v>
      </c>
      <c r="F235" s="133"/>
      <c r="G235" s="133"/>
      <c r="H235" s="108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83"/>
      <c r="X235" s="159" t="str">
        <f t="shared" si="5"/>
        <v>0</v>
      </c>
      <c r="Y235" s="159" t="str">
        <f>BASE!A239</f>
        <v>224</v>
      </c>
      <c r="Z235" s="177" t="str">
        <f t="shared" si="6"/>
        <v>0</v>
      </c>
      <c r="AA235" s="177" t="str">
        <f t="shared" si="7"/>
        <v>0</v>
      </c>
      <c r="AB235" s="177" t="str">
        <f t="shared" si="8"/>
        <v>0</v>
      </c>
      <c r="AC235" s="177" t="str">
        <f t="shared" si="9"/>
        <v>0</v>
      </c>
      <c r="AD235" s="177" t="str">
        <f t="shared" si="10"/>
        <v>0</v>
      </c>
    </row>
    <row r="236" ht="17.25" customHeight="1">
      <c r="A236" s="179"/>
      <c r="B236" s="159" t="s">
        <v>122</v>
      </c>
      <c r="C236" s="133" t="str">
        <f t="shared" si="2"/>
        <v>0</v>
      </c>
      <c r="D236" s="133" t="str">
        <f t="shared" si="3"/>
        <v>0</v>
      </c>
      <c r="E236" s="133" t="str">
        <f t="shared" si="4"/>
        <v>0</v>
      </c>
      <c r="F236" s="133"/>
      <c r="G236" s="133"/>
      <c r="H236" s="108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83"/>
      <c r="X236" s="159" t="str">
        <f t="shared" si="5"/>
        <v>0</v>
      </c>
      <c r="Y236" s="159" t="str">
        <f>BASE!A240</f>
        <v>225</v>
      </c>
      <c r="Z236" s="177" t="str">
        <f t="shared" si="6"/>
        <v>0</v>
      </c>
      <c r="AA236" s="177" t="str">
        <f t="shared" si="7"/>
        <v>0</v>
      </c>
      <c r="AB236" s="177" t="str">
        <f t="shared" si="8"/>
        <v>0</v>
      </c>
      <c r="AC236" s="177" t="str">
        <f t="shared" si="9"/>
        <v>0</v>
      </c>
      <c r="AD236" s="177" t="str">
        <f t="shared" si="10"/>
        <v>0</v>
      </c>
    </row>
    <row r="237" ht="17.25" customHeight="1">
      <c r="A237" s="179"/>
      <c r="B237" s="159" t="s">
        <v>122</v>
      </c>
      <c r="C237" s="133" t="str">
        <f t="shared" si="2"/>
        <v>0</v>
      </c>
      <c r="D237" s="133" t="str">
        <f t="shared" si="3"/>
        <v>0</v>
      </c>
      <c r="E237" s="133" t="str">
        <f t="shared" si="4"/>
        <v>0</v>
      </c>
      <c r="F237" s="133"/>
      <c r="G237" s="133"/>
      <c r="H237" s="108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83"/>
      <c r="X237" s="159" t="str">
        <f t="shared" si="5"/>
        <v>0</v>
      </c>
      <c r="Y237" s="159" t="str">
        <f>BASE!A241</f>
        <v>226</v>
      </c>
      <c r="Z237" s="177" t="str">
        <f t="shared" si="6"/>
        <v>0</v>
      </c>
      <c r="AA237" s="177" t="str">
        <f t="shared" si="7"/>
        <v>0</v>
      </c>
      <c r="AB237" s="177" t="str">
        <f t="shared" si="8"/>
        <v>0</v>
      </c>
      <c r="AC237" s="177" t="str">
        <f t="shared" si="9"/>
        <v>0</v>
      </c>
      <c r="AD237" s="177" t="str">
        <f t="shared" si="10"/>
        <v>0</v>
      </c>
    </row>
    <row r="238" ht="17.25" customHeight="1">
      <c r="A238" s="179"/>
      <c r="B238" s="159" t="s">
        <v>122</v>
      </c>
      <c r="C238" s="133" t="str">
        <f t="shared" si="2"/>
        <v>0</v>
      </c>
      <c r="D238" s="133" t="str">
        <f t="shared" si="3"/>
        <v>0</v>
      </c>
      <c r="E238" s="133" t="str">
        <f t="shared" si="4"/>
        <v>0</v>
      </c>
      <c r="F238" s="133"/>
      <c r="G238" s="133"/>
      <c r="H238" s="108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83"/>
      <c r="X238" s="159" t="str">
        <f t="shared" si="5"/>
        <v>0</v>
      </c>
      <c r="Y238" s="159" t="str">
        <f>BASE!A242</f>
        <v>227</v>
      </c>
      <c r="Z238" s="177" t="str">
        <f t="shared" si="6"/>
        <v>0</v>
      </c>
      <c r="AA238" s="177" t="str">
        <f t="shared" si="7"/>
        <v>0</v>
      </c>
      <c r="AB238" s="177" t="str">
        <f t="shared" si="8"/>
        <v>0</v>
      </c>
      <c r="AC238" s="177" t="str">
        <f t="shared" si="9"/>
        <v>0</v>
      </c>
      <c r="AD238" s="177" t="str">
        <f t="shared" si="10"/>
        <v>0</v>
      </c>
    </row>
    <row r="239" ht="17.25" customHeight="1">
      <c r="A239" s="179"/>
      <c r="B239" s="159" t="s">
        <v>122</v>
      </c>
      <c r="C239" s="133" t="str">
        <f t="shared" si="2"/>
        <v>0</v>
      </c>
      <c r="D239" s="133" t="str">
        <f t="shared" si="3"/>
        <v>0</v>
      </c>
      <c r="E239" s="133" t="str">
        <f t="shared" si="4"/>
        <v>0</v>
      </c>
      <c r="F239" s="133"/>
      <c r="G239" s="133"/>
      <c r="H239" s="108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83"/>
      <c r="X239" s="159" t="str">
        <f t="shared" si="5"/>
        <v>0</v>
      </c>
      <c r="Y239" s="159" t="str">
        <f>BASE!A243</f>
        <v>228</v>
      </c>
      <c r="Z239" s="177" t="str">
        <f t="shared" si="6"/>
        <v>0</v>
      </c>
      <c r="AA239" s="177" t="str">
        <f t="shared" si="7"/>
        <v>0</v>
      </c>
      <c r="AB239" s="177" t="str">
        <f t="shared" si="8"/>
        <v>0</v>
      </c>
      <c r="AC239" s="177" t="str">
        <f t="shared" si="9"/>
        <v>0</v>
      </c>
      <c r="AD239" s="177" t="str">
        <f t="shared" si="10"/>
        <v>0</v>
      </c>
    </row>
    <row r="240" ht="17.25" customHeight="1">
      <c r="A240" s="179"/>
      <c r="B240" s="159" t="s">
        <v>122</v>
      </c>
      <c r="C240" s="133" t="str">
        <f t="shared" si="2"/>
        <v>0</v>
      </c>
      <c r="D240" s="133" t="str">
        <f t="shared" si="3"/>
        <v>0</v>
      </c>
      <c r="E240" s="133" t="str">
        <f t="shared" si="4"/>
        <v>0</v>
      </c>
      <c r="F240" s="133"/>
      <c r="G240" s="133"/>
      <c r="H240" s="108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83"/>
      <c r="X240" s="159" t="str">
        <f t="shared" si="5"/>
        <v>0</v>
      </c>
      <c r="Y240" s="159" t="str">
        <f>BASE!A244</f>
        <v>229</v>
      </c>
      <c r="Z240" s="177" t="str">
        <f t="shared" si="6"/>
        <v>0</v>
      </c>
      <c r="AA240" s="177" t="str">
        <f t="shared" si="7"/>
        <v>0</v>
      </c>
      <c r="AB240" s="177" t="str">
        <f t="shared" si="8"/>
        <v>0</v>
      </c>
      <c r="AC240" s="177" t="str">
        <f t="shared" si="9"/>
        <v>0</v>
      </c>
      <c r="AD240" s="177" t="str">
        <f t="shared" si="10"/>
        <v>0</v>
      </c>
    </row>
    <row r="241" ht="17.25" customHeight="1">
      <c r="A241" s="179"/>
      <c r="B241" s="159" t="s">
        <v>122</v>
      </c>
      <c r="C241" s="133" t="str">
        <f t="shared" si="2"/>
        <v>0</v>
      </c>
      <c r="D241" s="133" t="str">
        <f t="shared" si="3"/>
        <v>0</v>
      </c>
      <c r="E241" s="133" t="str">
        <f t="shared" si="4"/>
        <v>0</v>
      </c>
      <c r="F241" s="133"/>
      <c r="G241" s="133"/>
      <c r="H241" s="108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83"/>
      <c r="X241" s="159" t="str">
        <f t="shared" si="5"/>
        <v>0</v>
      </c>
      <c r="Y241" s="159" t="str">
        <f>BASE!A245</f>
        <v>230</v>
      </c>
      <c r="Z241" s="177" t="str">
        <f t="shared" si="6"/>
        <v>0</v>
      </c>
      <c r="AA241" s="177" t="str">
        <f t="shared" si="7"/>
        <v>0</v>
      </c>
      <c r="AB241" s="177" t="str">
        <f t="shared" si="8"/>
        <v>0</v>
      </c>
      <c r="AC241" s="177" t="str">
        <f t="shared" si="9"/>
        <v>0</v>
      </c>
      <c r="AD241" s="177" t="str">
        <f t="shared" si="10"/>
        <v>0</v>
      </c>
    </row>
    <row r="242" ht="17.25" customHeight="1">
      <c r="A242" s="179"/>
      <c r="B242" s="159" t="s">
        <v>122</v>
      </c>
      <c r="C242" s="133" t="str">
        <f t="shared" si="2"/>
        <v>0</v>
      </c>
      <c r="D242" s="133" t="str">
        <f t="shared" si="3"/>
        <v>0</v>
      </c>
      <c r="E242" s="133" t="str">
        <f t="shared" si="4"/>
        <v>0</v>
      </c>
      <c r="F242" s="133"/>
      <c r="G242" s="133"/>
      <c r="H242" s="108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83"/>
      <c r="X242" s="159" t="str">
        <f t="shared" si="5"/>
        <v>0</v>
      </c>
      <c r="Y242" s="159" t="str">
        <f>BASE!A246</f>
        <v>231</v>
      </c>
      <c r="Z242" s="177" t="str">
        <f t="shared" si="6"/>
        <v>0</v>
      </c>
      <c r="AA242" s="177" t="str">
        <f t="shared" si="7"/>
        <v>0</v>
      </c>
      <c r="AB242" s="177" t="str">
        <f t="shared" si="8"/>
        <v>0</v>
      </c>
      <c r="AC242" s="177" t="str">
        <f t="shared" si="9"/>
        <v>0</v>
      </c>
      <c r="AD242" s="177" t="str">
        <f t="shared" si="10"/>
        <v>0</v>
      </c>
    </row>
    <row r="243" ht="17.25" customHeight="1">
      <c r="A243" s="179"/>
      <c r="B243" s="159" t="s">
        <v>122</v>
      </c>
      <c r="C243" s="133" t="str">
        <f t="shared" si="2"/>
        <v>0</v>
      </c>
      <c r="D243" s="133" t="str">
        <f t="shared" si="3"/>
        <v>0</v>
      </c>
      <c r="E243" s="133" t="str">
        <f t="shared" si="4"/>
        <v>0</v>
      </c>
      <c r="F243" s="133"/>
      <c r="G243" s="133"/>
      <c r="H243" s="108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83"/>
      <c r="X243" s="159" t="str">
        <f t="shared" si="5"/>
        <v>0</v>
      </c>
      <c r="Y243" s="159" t="str">
        <f>BASE!A247</f>
        <v>232</v>
      </c>
      <c r="Z243" s="177" t="str">
        <f t="shared" si="6"/>
        <v>0</v>
      </c>
      <c r="AA243" s="177" t="str">
        <f t="shared" si="7"/>
        <v>0</v>
      </c>
      <c r="AB243" s="177" t="str">
        <f t="shared" si="8"/>
        <v>0</v>
      </c>
      <c r="AC243" s="177" t="str">
        <f t="shared" si="9"/>
        <v>0</v>
      </c>
      <c r="AD243" s="177" t="str">
        <f t="shared" si="10"/>
        <v>0</v>
      </c>
    </row>
    <row r="244" ht="17.25" customHeight="1">
      <c r="A244" s="179"/>
      <c r="B244" s="159" t="s">
        <v>122</v>
      </c>
      <c r="C244" s="133" t="str">
        <f t="shared" si="2"/>
        <v>0</v>
      </c>
      <c r="D244" s="133" t="str">
        <f t="shared" si="3"/>
        <v>0</v>
      </c>
      <c r="E244" s="133" t="str">
        <f t="shared" si="4"/>
        <v>0</v>
      </c>
      <c r="F244" s="133"/>
      <c r="G244" s="133"/>
      <c r="H244" s="108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83"/>
      <c r="X244" s="159" t="str">
        <f t="shared" si="5"/>
        <v>0</v>
      </c>
      <c r="Y244" s="159" t="str">
        <f>BASE!A248</f>
        <v>233</v>
      </c>
      <c r="Z244" s="177" t="str">
        <f t="shared" si="6"/>
        <v>0</v>
      </c>
      <c r="AA244" s="177" t="str">
        <f t="shared" si="7"/>
        <v>0</v>
      </c>
      <c r="AB244" s="177" t="str">
        <f t="shared" si="8"/>
        <v>0</v>
      </c>
      <c r="AC244" s="177" t="str">
        <f t="shared" si="9"/>
        <v>0</v>
      </c>
      <c r="AD244" s="177" t="str">
        <f t="shared" si="10"/>
        <v>0</v>
      </c>
    </row>
    <row r="245" ht="17.25" customHeight="1">
      <c r="A245" s="179"/>
      <c r="B245" s="159" t="s">
        <v>122</v>
      </c>
      <c r="C245" s="133" t="str">
        <f t="shared" si="2"/>
        <v>0</v>
      </c>
      <c r="D245" s="133" t="str">
        <f t="shared" si="3"/>
        <v>0</v>
      </c>
      <c r="E245" s="133" t="str">
        <f t="shared" si="4"/>
        <v>0</v>
      </c>
      <c r="F245" s="133"/>
      <c r="G245" s="133"/>
      <c r="H245" s="108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83"/>
      <c r="X245" s="159" t="str">
        <f t="shared" si="5"/>
        <v>0</v>
      </c>
      <c r="Y245" s="159" t="str">
        <f>BASE!A249</f>
        <v>234</v>
      </c>
      <c r="Z245" s="177" t="str">
        <f t="shared" si="6"/>
        <v>0</v>
      </c>
      <c r="AA245" s="177" t="str">
        <f t="shared" si="7"/>
        <v>0</v>
      </c>
      <c r="AB245" s="177" t="str">
        <f t="shared" si="8"/>
        <v>0</v>
      </c>
      <c r="AC245" s="177" t="str">
        <f t="shared" si="9"/>
        <v>0</v>
      </c>
      <c r="AD245" s="177" t="str">
        <f t="shared" si="10"/>
        <v>0</v>
      </c>
    </row>
    <row r="246" ht="17.25" customHeight="1">
      <c r="A246" s="179"/>
      <c r="B246" s="159" t="s">
        <v>122</v>
      </c>
      <c r="C246" s="133" t="str">
        <f t="shared" si="2"/>
        <v>0</v>
      </c>
      <c r="D246" s="133" t="str">
        <f t="shared" si="3"/>
        <v>0</v>
      </c>
      <c r="E246" s="133" t="str">
        <f t="shared" si="4"/>
        <v>0</v>
      </c>
      <c r="F246" s="133"/>
      <c r="G246" s="133"/>
      <c r="H246" s="108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83"/>
      <c r="X246" s="159" t="str">
        <f t="shared" si="5"/>
        <v>0</v>
      </c>
      <c r="Y246" s="159" t="str">
        <f>BASE!A250</f>
        <v>235</v>
      </c>
      <c r="Z246" s="177" t="str">
        <f t="shared" si="6"/>
        <v>0</v>
      </c>
      <c r="AA246" s="177" t="str">
        <f t="shared" si="7"/>
        <v>0</v>
      </c>
      <c r="AB246" s="177" t="str">
        <f t="shared" si="8"/>
        <v>0</v>
      </c>
      <c r="AC246" s="177" t="str">
        <f t="shared" si="9"/>
        <v>0</v>
      </c>
      <c r="AD246" s="177" t="str">
        <f t="shared" si="10"/>
        <v>0</v>
      </c>
    </row>
    <row r="247" ht="17.25" customHeight="1">
      <c r="A247" s="179"/>
      <c r="B247" s="159" t="s">
        <v>122</v>
      </c>
      <c r="C247" s="133" t="str">
        <f t="shared" si="2"/>
        <v>0</v>
      </c>
      <c r="D247" s="133" t="str">
        <f t="shared" si="3"/>
        <v>0</v>
      </c>
      <c r="E247" s="133" t="str">
        <f t="shared" si="4"/>
        <v>0</v>
      </c>
      <c r="F247" s="133"/>
      <c r="G247" s="133"/>
      <c r="H247" s="108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83"/>
      <c r="X247" s="159" t="str">
        <f t="shared" si="5"/>
        <v>0</v>
      </c>
      <c r="Y247" s="159" t="str">
        <f>BASE!A251</f>
        <v>236</v>
      </c>
      <c r="Z247" s="177" t="str">
        <f t="shared" si="6"/>
        <v>0</v>
      </c>
      <c r="AA247" s="177" t="str">
        <f t="shared" si="7"/>
        <v>0</v>
      </c>
      <c r="AB247" s="177" t="str">
        <f t="shared" si="8"/>
        <v>0</v>
      </c>
      <c r="AC247" s="177" t="str">
        <f t="shared" si="9"/>
        <v>0</v>
      </c>
      <c r="AD247" s="177" t="str">
        <f t="shared" si="10"/>
        <v>0</v>
      </c>
    </row>
    <row r="248" ht="17.25" customHeight="1">
      <c r="A248" s="179"/>
      <c r="B248" s="159" t="s">
        <v>122</v>
      </c>
      <c r="C248" s="133" t="str">
        <f t="shared" si="2"/>
        <v>0</v>
      </c>
      <c r="D248" s="133" t="str">
        <f t="shared" si="3"/>
        <v>0</v>
      </c>
      <c r="E248" s="133" t="str">
        <f t="shared" si="4"/>
        <v>0</v>
      </c>
      <c r="F248" s="133"/>
      <c r="G248" s="133"/>
      <c r="H248" s="108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83"/>
      <c r="X248" s="159" t="str">
        <f t="shared" si="5"/>
        <v>0</v>
      </c>
      <c r="Y248" s="159" t="str">
        <f>BASE!A252</f>
        <v>237</v>
      </c>
      <c r="Z248" s="177" t="str">
        <f t="shared" si="6"/>
        <v>0</v>
      </c>
      <c r="AA248" s="177" t="str">
        <f t="shared" si="7"/>
        <v>0</v>
      </c>
      <c r="AB248" s="177" t="str">
        <f t="shared" si="8"/>
        <v>0</v>
      </c>
      <c r="AC248" s="177" t="str">
        <f t="shared" si="9"/>
        <v>0</v>
      </c>
      <c r="AD248" s="177" t="str">
        <f t="shared" si="10"/>
        <v>0</v>
      </c>
    </row>
    <row r="249" ht="17.25" customHeight="1">
      <c r="A249" s="179"/>
      <c r="B249" s="159" t="s">
        <v>122</v>
      </c>
      <c r="C249" s="133" t="str">
        <f t="shared" si="2"/>
        <v>0</v>
      </c>
      <c r="D249" s="133" t="str">
        <f t="shared" si="3"/>
        <v>0</v>
      </c>
      <c r="E249" s="133" t="str">
        <f t="shared" si="4"/>
        <v>0</v>
      </c>
      <c r="F249" s="133"/>
      <c r="G249" s="133"/>
      <c r="H249" s="108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83"/>
      <c r="X249" s="159" t="str">
        <f t="shared" si="5"/>
        <v>0</v>
      </c>
      <c r="Y249" s="159" t="str">
        <f>BASE!A253</f>
        <v>238</v>
      </c>
      <c r="Z249" s="177" t="str">
        <f t="shared" si="6"/>
        <v>0</v>
      </c>
      <c r="AA249" s="177" t="str">
        <f t="shared" si="7"/>
        <v>0</v>
      </c>
      <c r="AB249" s="177" t="str">
        <f t="shared" si="8"/>
        <v>0</v>
      </c>
      <c r="AC249" s="177" t="str">
        <f t="shared" si="9"/>
        <v>0</v>
      </c>
      <c r="AD249" s="177" t="str">
        <f t="shared" si="10"/>
        <v>0</v>
      </c>
    </row>
    <row r="250" ht="17.25" customHeight="1">
      <c r="A250" s="179"/>
      <c r="B250" s="159" t="s">
        <v>122</v>
      </c>
      <c r="C250" s="133" t="str">
        <f t="shared" si="2"/>
        <v>0</v>
      </c>
      <c r="D250" s="133" t="str">
        <f t="shared" si="3"/>
        <v>0</v>
      </c>
      <c r="E250" s="133" t="str">
        <f t="shared" si="4"/>
        <v>0</v>
      </c>
      <c r="F250" s="133"/>
      <c r="G250" s="133"/>
      <c r="H250" s="108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83"/>
      <c r="X250" s="159" t="str">
        <f t="shared" si="5"/>
        <v>0</v>
      </c>
      <c r="Y250" s="159" t="str">
        <f>BASE!A254</f>
        <v>239</v>
      </c>
      <c r="Z250" s="177" t="str">
        <f t="shared" si="6"/>
        <v>0</v>
      </c>
      <c r="AA250" s="177" t="str">
        <f t="shared" si="7"/>
        <v>0</v>
      </c>
      <c r="AB250" s="177" t="str">
        <f t="shared" si="8"/>
        <v>0</v>
      </c>
      <c r="AC250" s="177" t="str">
        <f t="shared" si="9"/>
        <v>0</v>
      </c>
      <c r="AD250" s="177" t="str">
        <f t="shared" si="10"/>
        <v>0</v>
      </c>
    </row>
    <row r="251" ht="17.25" customHeight="1">
      <c r="A251" s="179"/>
      <c r="B251" s="159" t="s">
        <v>122</v>
      </c>
      <c r="C251" s="133" t="str">
        <f t="shared" si="2"/>
        <v>0</v>
      </c>
      <c r="D251" s="133" t="str">
        <f t="shared" si="3"/>
        <v>0</v>
      </c>
      <c r="E251" s="133" t="str">
        <f t="shared" si="4"/>
        <v>0</v>
      </c>
      <c r="F251" s="133"/>
      <c r="G251" s="133"/>
      <c r="H251" s="108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83"/>
      <c r="X251" s="159" t="str">
        <f t="shared" si="5"/>
        <v>0</v>
      </c>
      <c r="Y251" s="159" t="str">
        <f>BASE!A255</f>
        <v>240</v>
      </c>
      <c r="Z251" s="177" t="str">
        <f t="shared" si="6"/>
        <v>0</v>
      </c>
      <c r="AA251" s="177" t="str">
        <f t="shared" si="7"/>
        <v>0</v>
      </c>
      <c r="AB251" s="177" t="str">
        <f t="shared" si="8"/>
        <v>0</v>
      </c>
      <c r="AC251" s="177" t="str">
        <f t="shared" si="9"/>
        <v>0</v>
      </c>
      <c r="AD251" s="177" t="str">
        <f t="shared" si="10"/>
        <v>0</v>
      </c>
    </row>
    <row r="252" ht="17.25" customHeight="1">
      <c r="A252" s="179"/>
      <c r="B252" s="159" t="s">
        <v>122</v>
      </c>
      <c r="C252" s="133" t="str">
        <f t="shared" si="2"/>
        <v>0</v>
      </c>
      <c r="D252" s="133" t="str">
        <f t="shared" si="3"/>
        <v>0</v>
      </c>
      <c r="E252" s="133" t="str">
        <f t="shared" si="4"/>
        <v>0</v>
      </c>
      <c r="F252" s="133"/>
      <c r="G252" s="133"/>
      <c r="H252" s="108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72"/>
      <c r="X252" s="159" t="str">
        <f t="shared" si="5"/>
        <v>0</v>
      </c>
      <c r="Y252" s="159" t="str">
        <f>BASE!A256</f>
        <v>241</v>
      </c>
      <c r="Z252" s="177" t="str">
        <f t="shared" si="6"/>
        <v>0</v>
      </c>
      <c r="AA252" s="177" t="str">
        <f t="shared" si="7"/>
        <v>0</v>
      </c>
      <c r="AB252" s="177" t="str">
        <f t="shared" si="8"/>
        <v>0</v>
      </c>
      <c r="AC252" s="177" t="str">
        <f t="shared" si="9"/>
        <v>0</v>
      </c>
      <c r="AD252" s="177" t="str">
        <f t="shared" si="10"/>
        <v>0</v>
      </c>
    </row>
    <row r="253" ht="17.25" customHeight="1">
      <c r="A253" s="179"/>
      <c r="B253" s="159" t="s">
        <v>122</v>
      </c>
      <c r="C253" s="133" t="str">
        <f t="shared" si="2"/>
        <v>0</v>
      </c>
      <c r="D253" s="133" t="str">
        <f t="shared" si="3"/>
        <v>0</v>
      </c>
      <c r="E253" s="133" t="str">
        <f t="shared" si="4"/>
        <v>0</v>
      </c>
      <c r="F253" s="133"/>
      <c r="G253" s="133"/>
      <c r="H253" s="108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72"/>
      <c r="X253" s="159" t="str">
        <f t="shared" si="5"/>
        <v>0</v>
      </c>
      <c r="Y253" s="159" t="str">
        <f>BASE!A257</f>
        <v>242</v>
      </c>
      <c r="Z253" s="177" t="str">
        <f t="shared" si="6"/>
        <v>0</v>
      </c>
      <c r="AA253" s="177" t="str">
        <f t="shared" si="7"/>
        <v>0</v>
      </c>
      <c r="AB253" s="177" t="str">
        <f t="shared" si="8"/>
        <v>0</v>
      </c>
      <c r="AC253" s="177" t="str">
        <f t="shared" si="9"/>
        <v>0</v>
      </c>
      <c r="AD253" s="177" t="str">
        <f t="shared" si="10"/>
        <v>0</v>
      </c>
    </row>
    <row r="254" ht="17.25" customHeight="1">
      <c r="A254" s="179"/>
      <c r="B254" s="159" t="s">
        <v>122</v>
      </c>
      <c r="C254" s="133" t="str">
        <f t="shared" si="2"/>
        <v>0</v>
      </c>
      <c r="D254" s="133" t="str">
        <f t="shared" si="3"/>
        <v>0</v>
      </c>
      <c r="E254" s="133" t="str">
        <f t="shared" si="4"/>
        <v>0</v>
      </c>
      <c r="F254" s="133"/>
      <c r="G254" s="133"/>
      <c r="H254" s="108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72"/>
      <c r="X254" s="159" t="str">
        <f t="shared" si="5"/>
        <v>0</v>
      </c>
      <c r="Y254" s="159" t="str">
        <f>BASE!A258</f>
        <v>243</v>
      </c>
      <c r="Z254" s="177" t="str">
        <f t="shared" si="6"/>
        <v>0</v>
      </c>
      <c r="AA254" s="177" t="str">
        <f t="shared" si="7"/>
        <v>0</v>
      </c>
      <c r="AB254" s="177" t="str">
        <f t="shared" si="8"/>
        <v>0</v>
      </c>
      <c r="AC254" s="177" t="str">
        <f t="shared" si="9"/>
        <v>0</v>
      </c>
      <c r="AD254" s="177" t="str">
        <f t="shared" si="10"/>
        <v>0</v>
      </c>
    </row>
    <row r="255" ht="17.25" customHeight="1">
      <c r="A255" s="179"/>
      <c r="B255" s="159" t="s">
        <v>122</v>
      </c>
      <c r="C255" s="133" t="str">
        <f t="shared" si="2"/>
        <v>0</v>
      </c>
      <c r="D255" s="133" t="str">
        <f t="shared" si="3"/>
        <v>0</v>
      </c>
      <c r="E255" s="133" t="str">
        <f t="shared" si="4"/>
        <v>0</v>
      </c>
      <c r="F255" s="133"/>
      <c r="G255" s="133"/>
      <c r="H255" s="108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72"/>
      <c r="X255" s="159" t="str">
        <f t="shared" si="5"/>
        <v>0</v>
      </c>
      <c r="Y255" s="159" t="str">
        <f>BASE!A259</f>
        <v>244</v>
      </c>
      <c r="Z255" s="177" t="str">
        <f t="shared" si="6"/>
        <v>0</v>
      </c>
      <c r="AA255" s="177" t="str">
        <f t="shared" si="7"/>
        <v>0</v>
      </c>
      <c r="AB255" s="177" t="str">
        <f t="shared" si="8"/>
        <v>0</v>
      </c>
      <c r="AC255" s="177" t="str">
        <f t="shared" si="9"/>
        <v>0</v>
      </c>
      <c r="AD255" s="177" t="str">
        <f t="shared" si="10"/>
        <v>0</v>
      </c>
    </row>
    <row r="256" ht="17.25" customHeight="1">
      <c r="A256" s="179"/>
      <c r="B256" s="159" t="s">
        <v>122</v>
      </c>
      <c r="C256" s="133" t="str">
        <f t="shared" si="2"/>
        <v>0</v>
      </c>
      <c r="D256" s="133" t="str">
        <f t="shared" si="3"/>
        <v>0</v>
      </c>
      <c r="E256" s="133" t="str">
        <f t="shared" si="4"/>
        <v>0</v>
      </c>
      <c r="F256" s="133"/>
      <c r="G256" s="133"/>
      <c r="H256" s="108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72"/>
      <c r="X256" s="159" t="str">
        <f t="shared" si="5"/>
        <v>0</v>
      </c>
      <c r="Y256" s="159" t="str">
        <f>BASE!A260</f>
        <v>245</v>
      </c>
      <c r="Z256" s="177" t="str">
        <f t="shared" si="6"/>
        <v>0</v>
      </c>
      <c r="AA256" s="177" t="str">
        <f t="shared" si="7"/>
        <v>0</v>
      </c>
      <c r="AB256" s="177" t="str">
        <f t="shared" si="8"/>
        <v>0</v>
      </c>
      <c r="AC256" s="177" t="str">
        <f t="shared" si="9"/>
        <v>0</v>
      </c>
      <c r="AD256" s="177" t="str">
        <f t="shared" si="10"/>
        <v>0</v>
      </c>
    </row>
    <row r="257" ht="17.25" customHeight="1">
      <c r="A257" s="179"/>
      <c r="B257" s="159" t="s">
        <v>122</v>
      </c>
      <c r="C257" s="133" t="str">
        <f t="shared" si="2"/>
        <v>0</v>
      </c>
      <c r="D257" s="133" t="str">
        <f t="shared" si="3"/>
        <v>0</v>
      </c>
      <c r="E257" s="133" t="str">
        <f t="shared" si="4"/>
        <v>0</v>
      </c>
      <c r="F257" s="133"/>
      <c r="G257" s="133"/>
      <c r="H257" s="108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72"/>
      <c r="X257" s="159" t="str">
        <f t="shared" si="5"/>
        <v>0</v>
      </c>
      <c r="Y257" s="159" t="str">
        <f>BASE!A261</f>
        <v>246</v>
      </c>
      <c r="Z257" s="177" t="str">
        <f t="shared" si="6"/>
        <v>0</v>
      </c>
      <c r="AA257" s="177" t="str">
        <f t="shared" si="7"/>
        <v>0</v>
      </c>
      <c r="AB257" s="177" t="str">
        <f t="shared" si="8"/>
        <v>0</v>
      </c>
      <c r="AC257" s="177" t="str">
        <f t="shared" si="9"/>
        <v>0</v>
      </c>
      <c r="AD257" s="177" t="str">
        <f t="shared" si="10"/>
        <v>0</v>
      </c>
    </row>
    <row r="258" ht="17.25" customHeight="1">
      <c r="A258" s="179"/>
      <c r="B258" s="159" t="s">
        <v>122</v>
      </c>
      <c r="C258" s="133" t="str">
        <f t="shared" si="2"/>
        <v>0</v>
      </c>
      <c r="D258" s="133" t="str">
        <f t="shared" si="3"/>
        <v>0</v>
      </c>
      <c r="E258" s="133" t="str">
        <f t="shared" si="4"/>
        <v>0</v>
      </c>
      <c r="F258" s="133"/>
      <c r="G258" s="133"/>
      <c r="H258" s="108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72"/>
      <c r="X258" s="159" t="str">
        <f t="shared" si="5"/>
        <v>0</v>
      </c>
      <c r="Y258" s="159" t="str">
        <f>BASE!A262</f>
        <v>247</v>
      </c>
      <c r="Z258" s="177" t="str">
        <f t="shared" si="6"/>
        <v>0</v>
      </c>
      <c r="AA258" s="177" t="str">
        <f t="shared" si="7"/>
        <v>0</v>
      </c>
      <c r="AB258" s="177" t="str">
        <f t="shared" si="8"/>
        <v>0</v>
      </c>
      <c r="AC258" s="177" t="str">
        <f t="shared" si="9"/>
        <v>0</v>
      </c>
      <c r="AD258" s="177" t="str">
        <f t="shared" si="10"/>
        <v>0</v>
      </c>
    </row>
    <row r="259" ht="17.25" customHeight="1">
      <c r="A259" s="179"/>
      <c r="B259" s="159" t="s">
        <v>122</v>
      </c>
      <c r="C259" s="133" t="str">
        <f t="shared" si="2"/>
        <v>0</v>
      </c>
      <c r="D259" s="133" t="str">
        <f t="shared" si="3"/>
        <v>0</v>
      </c>
      <c r="E259" s="133" t="str">
        <f t="shared" si="4"/>
        <v>0</v>
      </c>
      <c r="F259" s="133"/>
      <c r="G259" s="133"/>
      <c r="H259" s="108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72"/>
      <c r="X259" s="159" t="str">
        <f t="shared" si="5"/>
        <v>0</v>
      </c>
      <c r="Y259" s="159" t="str">
        <f>BASE!A263</f>
        <v>248</v>
      </c>
      <c r="Z259" s="177" t="str">
        <f t="shared" si="6"/>
        <v>0</v>
      </c>
      <c r="AA259" s="177" t="str">
        <f t="shared" si="7"/>
        <v>0</v>
      </c>
      <c r="AB259" s="177" t="str">
        <f t="shared" si="8"/>
        <v>0</v>
      </c>
      <c r="AC259" s="177" t="str">
        <f t="shared" si="9"/>
        <v>0</v>
      </c>
      <c r="AD259" s="177" t="str">
        <f t="shared" si="10"/>
        <v>0</v>
      </c>
    </row>
    <row r="260" ht="17.25" customHeight="1">
      <c r="A260" s="179"/>
      <c r="B260" s="159" t="s">
        <v>122</v>
      </c>
      <c r="C260" s="133" t="str">
        <f t="shared" si="2"/>
        <v>0</v>
      </c>
      <c r="D260" s="133" t="str">
        <f t="shared" si="3"/>
        <v>0</v>
      </c>
      <c r="E260" s="133" t="str">
        <f t="shared" si="4"/>
        <v>0</v>
      </c>
      <c r="F260" s="133"/>
      <c r="G260" s="133"/>
      <c r="H260" s="108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72"/>
      <c r="X260" s="159" t="str">
        <f t="shared" si="5"/>
        <v>0</v>
      </c>
      <c r="Y260" s="159" t="str">
        <f>BASE!A264</f>
        <v>249</v>
      </c>
      <c r="Z260" s="177" t="str">
        <f t="shared" si="6"/>
        <v>0</v>
      </c>
      <c r="AA260" s="177" t="str">
        <f t="shared" si="7"/>
        <v>0</v>
      </c>
      <c r="AB260" s="177" t="str">
        <f t="shared" si="8"/>
        <v>0</v>
      </c>
      <c r="AC260" s="177" t="str">
        <f t="shared" si="9"/>
        <v>0</v>
      </c>
      <c r="AD260" s="177" t="str">
        <f t="shared" si="10"/>
        <v>0</v>
      </c>
    </row>
    <row r="261" ht="17.25" customHeight="1">
      <c r="A261" s="179"/>
      <c r="B261" s="159" t="s">
        <v>122</v>
      </c>
      <c r="C261" s="133" t="str">
        <f t="shared" si="2"/>
        <v>0</v>
      </c>
      <c r="D261" s="133" t="str">
        <f t="shared" si="3"/>
        <v>0</v>
      </c>
      <c r="E261" s="133" t="str">
        <f t="shared" si="4"/>
        <v>0</v>
      </c>
      <c r="F261" s="133"/>
      <c r="G261" s="133"/>
      <c r="H261" s="108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72"/>
      <c r="X261" s="159" t="str">
        <f t="shared" si="5"/>
        <v>0</v>
      </c>
      <c r="Y261" s="159" t="str">
        <f>BASE!A265</f>
        <v>250</v>
      </c>
      <c r="Z261" s="177" t="str">
        <f t="shared" si="6"/>
        <v>0</v>
      </c>
      <c r="AA261" s="177" t="str">
        <f t="shared" si="7"/>
        <v>0</v>
      </c>
      <c r="AB261" s="177" t="str">
        <f t="shared" si="8"/>
        <v>0</v>
      </c>
      <c r="AC261" s="177" t="str">
        <f t="shared" si="9"/>
        <v>0</v>
      </c>
      <c r="AD261" s="177" t="str">
        <f t="shared" si="10"/>
        <v>0</v>
      </c>
    </row>
    <row r="262" ht="17.25" customHeight="1">
      <c r="A262" s="179"/>
      <c r="B262" s="159" t="s">
        <v>122</v>
      </c>
      <c r="C262" s="133" t="str">
        <f t="shared" si="2"/>
        <v>0</v>
      </c>
      <c r="D262" s="133" t="str">
        <f t="shared" si="3"/>
        <v>0</v>
      </c>
      <c r="E262" s="133" t="str">
        <f t="shared" si="4"/>
        <v>0</v>
      </c>
      <c r="F262" s="133"/>
      <c r="G262" s="133"/>
      <c r="H262" s="108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72"/>
      <c r="X262" s="159" t="str">
        <f t="shared" si="5"/>
        <v>0</v>
      </c>
      <c r="Y262" s="159" t="str">
        <f>BASE!A266</f>
        <v>251</v>
      </c>
      <c r="Z262" s="177" t="str">
        <f t="shared" si="6"/>
        <v>0</v>
      </c>
      <c r="AA262" s="177" t="str">
        <f t="shared" si="7"/>
        <v>0</v>
      </c>
      <c r="AB262" s="177" t="str">
        <f t="shared" si="8"/>
        <v>0</v>
      </c>
      <c r="AC262" s="177" t="str">
        <f t="shared" si="9"/>
        <v>0</v>
      </c>
      <c r="AD262" s="177" t="str">
        <f t="shared" si="10"/>
        <v>0</v>
      </c>
    </row>
    <row r="263" ht="17.25" customHeight="1">
      <c r="A263" s="179"/>
      <c r="B263" s="159" t="s">
        <v>122</v>
      </c>
      <c r="C263" s="133" t="str">
        <f t="shared" si="2"/>
        <v>0</v>
      </c>
      <c r="D263" s="133" t="str">
        <f t="shared" si="3"/>
        <v>0</v>
      </c>
      <c r="E263" s="133" t="str">
        <f t="shared" si="4"/>
        <v>0</v>
      </c>
      <c r="F263" s="133"/>
      <c r="G263" s="133"/>
      <c r="H263" s="108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72"/>
      <c r="X263" s="159" t="str">
        <f t="shared" si="5"/>
        <v>0</v>
      </c>
      <c r="Y263" s="159" t="str">
        <f>BASE!A267</f>
        <v>252</v>
      </c>
      <c r="Z263" s="177" t="str">
        <f t="shared" si="6"/>
        <v>0</v>
      </c>
      <c r="AA263" s="177" t="str">
        <f t="shared" si="7"/>
        <v>0</v>
      </c>
      <c r="AB263" s="177" t="str">
        <f t="shared" si="8"/>
        <v>0</v>
      </c>
      <c r="AC263" s="177" t="str">
        <f t="shared" si="9"/>
        <v>0</v>
      </c>
      <c r="AD263" s="177" t="str">
        <f t="shared" si="10"/>
        <v>0</v>
      </c>
    </row>
    <row r="264" ht="17.25" customHeight="1">
      <c r="A264" s="179"/>
      <c r="B264" s="159" t="s">
        <v>122</v>
      </c>
      <c r="C264" s="133" t="str">
        <f t="shared" si="2"/>
        <v>0</v>
      </c>
      <c r="D264" s="133" t="str">
        <f t="shared" si="3"/>
        <v>0</v>
      </c>
      <c r="E264" s="133" t="str">
        <f t="shared" si="4"/>
        <v>0</v>
      </c>
      <c r="F264" s="133"/>
      <c r="G264" s="133"/>
      <c r="H264" s="108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72"/>
      <c r="X264" s="159" t="str">
        <f t="shared" si="5"/>
        <v>0</v>
      </c>
      <c r="Y264" s="159" t="str">
        <f>BASE!A268</f>
        <v>253</v>
      </c>
      <c r="Z264" s="177" t="str">
        <f t="shared" si="6"/>
        <v>0</v>
      </c>
      <c r="AA264" s="177" t="str">
        <f t="shared" si="7"/>
        <v>0</v>
      </c>
      <c r="AB264" s="177" t="str">
        <f t="shared" si="8"/>
        <v>0</v>
      </c>
      <c r="AC264" s="177" t="str">
        <f t="shared" si="9"/>
        <v>0</v>
      </c>
      <c r="AD264" s="177" t="str">
        <f t="shared" si="10"/>
        <v>0</v>
      </c>
    </row>
    <row r="265" ht="17.25" customHeight="1">
      <c r="A265" s="179"/>
      <c r="B265" s="159" t="s">
        <v>122</v>
      </c>
      <c r="C265" s="133" t="str">
        <f t="shared" si="2"/>
        <v>0</v>
      </c>
      <c r="D265" s="133" t="str">
        <f t="shared" si="3"/>
        <v>0</v>
      </c>
      <c r="E265" s="133" t="str">
        <f t="shared" si="4"/>
        <v>0</v>
      </c>
      <c r="F265" s="133"/>
      <c r="G265" s="133"/>
      <c r="H265" s="108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72"/>
      <c r="X265" s="159" t="str">
        <f t="shared" si="5"/>
        <v>0</v>
      </c>
      <c r="Y265" s="159" t="str">
        <f>BASE!A269</f>
        <v>254</v>
      </c>
      <c r="Z265" s="177" t="str">
        <f t="shared" si="6"/>
        <v>0</v>
      </c>
      <c r="AA265" s="177" t="str">
        <f t="shared" si="7"/>
        <v>0</v>
      </c>
      <c r="AB265" s="177" t="str">
        <f t="shared" si="8"/>
        <v>0</v>
      </c>
      <c r="AC265" s="177" t="str">
        <f t="shared" si="9"/>
        <v>0</v>
      </c>
      <c r="AD265" s="177" t="str">
        <f t="shared" si="10"/>
        <v>0</v>
      </c>
    </row>
    <row r="266" ht="17.25" customHeight="1">
      <c r="A266" s="179"/>
      <c r="B266" s="159" t="s">
        <v>122</v>
      </c>
      <c r="C266" s="133" t="str">
        <f t="shared" si="2"/>
        <v>0</v>
      </c>
      <c r="D266" s="133" t="str">
        <f t="shared" si="3"/>
        <v>0</v>
      </c>
      <c r="E266" s="133" t="str">
        <f t="shared" si="4"/>
        <v>0</v>
      </c>
      <c r="F266" s="133"/>
      <c r="G266" s="133"/>
      <c r="H266" s="108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72"/>
      <c r="X266" s="159" t="str">
        <f t="shared" si="5"/>
        <v>0</v>
      </c>
      <c r="Y266" s="159" t="str">
        <f>BASE!A270</f>
        <v>255</v>
      </c>
      <c r="Z266" s="177" t="str">
        <f t="shared" si="6"/>
        <v>0</v>
      </c>
      <c r="AA266" s="177" t="str">
        <f t="shared" si="7"/>
        <v>0</v>
      </c>
      <c r="AB266" s="177" t="str">
        <f t="shared" si="8"/>
        <v>0</v>
      </c>
      <c r="AC266" s="177" t="str">
        <f t="shared" si="9"/>
        <v>0</v>
      </c>
      <c r="AD266" s="177" t="str">
        <f t="shared" si="10"/>
        <v>0</v>
      </c>
    </row>
    <row r="267" ht="17.25" customHeight="1">
      <c r="A267" s="179"/>
      <c r="B267" s="159" t="s">
        <v>122</v>
      </c>
      <c r="C267" s="133" t="str">
        <f t="shared" si="2"/>
        <v>0</v>
      </c>
      <c r="D267" s="133" t="str">
        <f t="shared" si="3"/>
        <v>0</v>
      </c>
      <c r="E267" s="133" t="str">
        <f t="shared" si="4"/>
        <v>0</v>
      </c>
      <c r="F267" s="133"/>
      <c r="G267" s="133"/>
      <c r="H267" s="108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72"/>
      <c r="X267" s="159" t="str">
        <f t="shared" si="5"/>
        <v>0</v>
      </c>
      <c r="Y267" s="159" t="str">
        <f>BASE!A271</f>
        <v>256</v>
      </c>
      <c r="Z267" s="177" t="str">
        <f t="shared" si="6"/>
        <v>0</v>
      </c>
      <c r="AA267" s="177" t="str">
        <f t="shared" si="7"/>
        <v>0</v>
      </c>
      <c r="AB267" s="177" t="str">
        <f t="shared" si="8"/>
        <v>0</v>
      </c>
      <c r="AC267" s="177" t="str">
        <f t="shared" si="9"/>
        <v>0</v>
      </c>
      <c r="AD267" s="177" t="str">
        <f t="shared" si="10"/>
        <v>0</v>
      </c>
    </row>
    <row r="268" ht="17.25" customHeight="1">
      <c r="A268" s="179"/>
      <c r="B268" s="159" t="s">
        <v>122</v>
      </c>
      <c r="C268" s="133" t="str">
        <f t="shared" si="2"/>
        <v>0</v>
      </c>
      <c r="D268" s="133" t="str">
        <f t="shared" si="3"/>
        <v>0</v>
      </c>
      <c r="E268" s="133" t="str">
        <f t="shared" si="4"/>
        <v>0</v>
      </c>
      <c r="F268" s="133"/>
      <c r="G268" s="133"/>
      <c r="H268" s="108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72"/>
      <c r="X268" s="159" t="str">
        <f t="shared" si="5"/>
        <v>0</v>
      </c>
      <c r="Y268" s="159" t="str">
        <f>BASE!A272</f>
        <v>257</v>
      </c>
      <c r="Z268" s="177" t="str">
        <f t="shared" si="6"/>
        <v>0</v>
      </c>
      <c r="AA268" s="177" t="str">
        <f t="shared" si="7"/>
        <v>0</v>
      </c>
      <c r="AB268" s="177" t="str">
        <f t="shared" si="8"/>
        <v>0</v>
      </c>
      <c r="AC268" s="177" t="str">
        <f t="shared" si="9"/>
        <v>0</v>
      </c>
      <c r="AD268" s="177" t="str">
        <f t="shared" si="10"/>
        <v>0</v>
      </c>
    </row>
    <row r="269" ht="17.25" customHeight="1">
      <c r="A269" s="179"/>
      <c r="B269" s="159" t="s">
        <v>122</v>
      </c>
      <c r="C269" s="133" t="str">
        <f t="shared" si="2"/>
        <v>0</v>
      </c>
      <c r="D269" s="133" t="str">
        <f t="shared" si="3"/>
        <v>0</v>
      </c>
      <c r="E269" s="133" t="str">
        <f t="shared" si="4"/>
        <v>0</v>
      </c>
      <c r="F269" s="133"/>
      <c r="G269" s="133"/>
      <c r="H269" s="108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72"/>
      <c r="X269" s="159" t="str">
        <f t="shared" si="5"/>
        <v>0</v>
      </c>
      <c r="Y269" s="159" t="str">
        <f>BASE!A273</f>
        <v>258</v>
      </c>
      <c r="Z269" s="177" t="str">
        <f t="shared" si="6"/>
        <v>0</v>
      </c>
      <c r="AA269" s="177" t="str">
        <f t="shared" si="7"/>
        <v>0</v>
      </c>
      <c r="AB269" s="177" t="str">
        <f t="shared" si="8"/>
        <v>0</v>
      </c>
      <c r="AC269" s="177" t="str">
        <f t="shared" si="9"/>
        <v>0</v>
      </c>
      <c r="AD269" s="177" t="str">
        <f t="shared" si="10"/>
        <v>0</v>
      </c>
    </row>
    <row r="270" ht="17.25" customHeight="1">
      <c r="A270" s="179"/>
      <c r="B270" s="159" t="s">
        <v>122</v>
      </c>
      <c r="C270" s="133" t="str">
        <f t="shared" si="2"/>
        <v>0</v>
      </c>
      <c r="D270" s="133" t="str">
        <f t="shared" si="3"/>
        <v>0</v>
      </c>
      <c r="E270" s="133" t="str">
        <f t="shared" si="4"/>
        <v>0</v>
      </c>
      <c r="F270" s="133"/>
      <c r="G270" s="133"/>
      <c r="H270" s="108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72"/>
      <c r="X270" s="159" t="str">
        <f t="shared" si="5"/>
        <v>0</v>
      </c>
      <c r="Y270" s="159" t="str">
        <f>BASE!A274</f>
        <v>259</v>
      </c>
      <c r="Z270" s="177" t="str">
        <f t="shared" si="6"/>
        <v>0</v>
      </c>
      <c r="AA270" s="177" t="str">
        <f t="shared" si="7"/>
        <v>0</v>
      </c>
      <c r="AB270" s="177" t="str">
        <f t="shared" si="8"/>
        <v>0</v>
      </c>
      <c r="AC270" s="177" t="str">
        <f t="shared" si="9"/>
        <v>0</v>
      </c>
      <c r="AD270" s="177" t="str">
        <f t="shared" si="10"/>
        <v>0</v>
      </c>
    </row>
    <row r="271" ht="17.25" customHeight="1">
      <c r="A271" s="179"/>
      <c r="B271" s="159" t="s">
        <v>122</v>
      </c>
      <c r="C271" s="133" t="str">
        <f t="shared" si="2"/>
        <v>0</v>
      </c>
      <c r="D271" s="133" t="str">
        <f t="shared" si="3"/>
        <v>0</v>
      </c>
      <c r="E271" s="133" t="str">
        <f t="shared" si="4"/>
        <v>0</v>
      </c>
      <c r="F271" s="133"/>
      <c r="G271" s="133"/>
      <c r="H271" s="108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72"/>
      <c r="X271" s="159" t="str">
        <f t="shared" si="5"/>
        <v>0</v>
      </c>
      <c r="Y271" s="159" t="str">
        <f>BASE!A275</f>
        <v>260</v>
      </c>
      <c r="Z271" s="177" t="str">
        <f t="shared" si="6"/>
        <v>0</v>
      </c>
      <c r="AA271" s="177" t="str">
        <f t="shared" si="7"/>
        <v>0</v>
      </c>
      <c r="AB271" s="177" t="str">
        <f t="shared" si="8"/>
        <v>0</v>
      </c>
      <c r="AC271" s="177" t="str">
        <f t="shared" si="9"/>
        <v>0</v>
      </c>
      <c r="AD271" s="177" t="str">
        <f t="shared" si="10"/>
        <v>0</v>
      </c>
    </row>
    <row r="272" ht="17.25" customHeight="1">
      <c r="A272" s="179"/>
      <c r="B272" s="159" t="s">
        <v>122</v>
      </c>
      <c r="C272" s="133" t="str">
        <f t="shared" si="2"/>
        <v>0</v>
      </c>
      <c r="D272" s="133" t="str">
        <f t="shared" si="3"/>
        <v>0</v>
      </c>
      <c r="E272" s="133" t="str">
        <f t="shared" si="4"/>
        <v>0</v>
      </c>
      <c r="F272" s="133"/>
      <c r="G272" s="133"/>
      <c r="H272" s="108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72"/>
      <c r="X272" s="159" t="str">
        <f t="shared" si="5"/>
        <v>0</v>
      </c>
      <c r="Y272" s="159" t="str">
        <f>BASE!A276</f>
        <v>261</v>
      </c>
      <c r="Z272" s="177" t="str">
        <f t="shared" si="6"/>
        <v>0</v>
      </c>
      <c r="AA272" s="177" t="str">
        <f t="shared" si="7"/>
        <v>0</v>
      </c>
      <c r="AB272" s="177" t="str">
        <f t="shared" si="8"/>
        <v>0</v>
      </c>
      <c r="AC272" s="177" t="str">
        <f t="shared" si="9"/>
        <v>0</v>
      </c>
      <c r="AD272" s="177" t="str">
        <f t="shared" si="10"/>
        <v>0</v>
      </c>
    </row>
    <row r="273" ht="17.25" customHeight="1">
      <c r="A273" s="179"/>
      <c r="B273" s="159" t="s">
        <v>122</v>
      </c>
      <c r="C273" s="133" t="str">
        <f t="shared" si="2"/>
        <v>0</v>
      </c>
      <c r="D273" s="133" t="str">
        <f t="shared" si="3"/>
        <v>0</v>
      </c>
      <c r="E273" s="133" t="str">
        <f t="shared" si="4"/>
        <v>0</v>
      </c>
      <c r="F273" s="133"/>
      <c r="G273" s="133"/>
      <c r="H273" s="108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72"/>
      <c r="X273" s="159" t="str">
        <f t="shared" si="5"/>
        <v>0</v>
      </c>
      <c r="Y273" s="159" t="str">
        <f>BASE!A277</f>
        <v>262</v>
      </c>
      <c r="Z273" s="177" t="str">
        <f t="shared" si="6"/>
        <v>0</v>
      </c>
      <c r="AA273" s="177" t="str">
        <f t="shared" si="7"/>
        <v>0</v>
      </c>
      <c r="AB273" s="177" t="str">
        <f t="shared" si="8"/>
        <v>0</v>
      </c>
      <c r="AC273" s="177" t="str">
        <f t="shared" si="9"/>
        <v>0</v>
      </c>
      <c r="AD273" s="177" t="str">
        <f t="shared" si="10"/>
        <v>0</v>
      </c>
    </row>
    <row r="274" ht="17.25" customHeight="1">
      <c r="A274" s="179"/>
      <c r="B274" s="159" t="s">
        <v>122</v>
      </c>
      <c r="C274" s="133" t="str">
        <f t="shared" si="2"/>
        <v>0</v>
      </c>
      <c r="D274" s="133" t="str">
        <f t="shared" si="3"/>
        <v>0</v>
      </c>
      <c r="E274" s="133" t="str">
        <f t="shared" si="4"/>
        <v>0</v>
      </c>
      <c r="F274" s="133"/>
      <c r="G274" s="133"/>
      <c r="H274" s="108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72"/>
      <c r="X274" s="159" t="str">
        <f t="shared" si="5"/>
        <v>0</v>
      </c>
      <c r="Y274" s="159" t="str">
        <f>BASE!A278</f>
        <v>263</v>
      </c>
      <c r="Z274" s="177" t="str">
        <f t="shared" si="6"/>
        <v>0</v>
      </c>
      <c r="AA274" s="177" t="str">
        <f t="shared" si="7"/>
        <v>0</v>
      </c>
      <c r="AB274" s="177" t="str">
        <f t="shared" si="8"/>
        <v>0</v>
      </c>
      <c r="AC274" s="177" t="str">
        <f t="shared" si="9"/>
        <v>0</v>
      </c>
      <c r="AD274" s="177" t="str">
        <f t="shared" si="10"/>
        <v>0</v>
      </c>
    </row>
    <row r="275" ht="17.25" customHeight="1">
      <c r="A275" s="179"/>
      <c r="B275" s="159" t="s">
        <v>122</v>
      </c>
      <c r="C275" s="133" t="str">
        <f t="shared" si="2"/>
        <v>0</v>
      </c>
      <c r="D275" s="133" t="str">
        <f t="shared" si="3"/>
        <v>0</v>
      </c>
      <c r="E275" s="133" t="str">
        <f t="shared" si="4"/>
        <v>0</v>
      </c>
      <c r="F275" s="133"/>
      <c r="G275" s="133"/>
      <c r="H275" s="108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72"/>
      <c r="X275" s="159" t="str">
        <f t="shared" si="5"/>
        <v>0</v>
      </c>
      <c r="Y275" s="159" t="str">
        <f>BASE!A279</f>
        <v>264</v>
      </c>
      <c r="Z275" s="177" t="str">
        <f t="shared" si="6"/>
        <v>0</v>
      </c>
      <c r="AA275" s="177" t="str">
        <f t="shared" si="7"/>
        <v>0</v>
      </c>
      <c r="AB275" s="177" t="str">
        <f t="shared" si="8"/>
        <v>0</v>
      </c>
      <c r="AC275" s="177" t="str">
        <f t="shared" si="9"/>
        <v>0</v>
      </c>
      <c r="AD275" s="177" t="str">
        <f t="shared" si="10"/>
        <v>0</v>
      </c>
    </row>
    <row r="276" ht="17.25" customHeight="1">
      <c r="A276" s="179"/>
      <c r="B276" s="159" t="s">
        <v>122</v>
      </c>
      <c r="C276" s="133" t="str">
        <f t="shared" si="2"/>
        <v>0</v>
      </c>
      <c r="D276" s="133" t="str">
        <f t="shared" si="3"/>
        <v>0</v>
      </c>
      <c r="E276" s="133" t="str">
        <f t="shared" si="4"/>
        <v>0</v>
      </c>
      <c r="F276" s="133"/>
      <c r="G276" s="133"/>
      <c r="H276" s="108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72"/>
      <c r="X276" s="159" t="str">
        <f t="shared" si="5"/>
        <v>0</v>
      </c>
      <c r="Y276" s="159" t="str">
        <f>BASE!A280</f>
        <v>265</v>
      </c>
      <c r="Z276" s="177" t="str">
        <f t="shared" si="6"/>
        <v>0</v>
      </c>
      <c r="AA276" s="177" t="str">
        <f t="shared" si="7"/>
        <v>0</v>
      </c>
      <c r="AB276" s="177" t="str">
        <f t="shared" si="8"/>
        <v>0</v>
      </c>
      <c r="AC276" s="177" t="str">
        <f t="shared" si="9"/>
        <v>0</v>
      </c>
      <c r="AD276" s="177" t="str">
        <f t="shared" si="10"/>
        <v>0</v>
      </c>
    </row>
    <row r="277" ht="17.25" customHeight="1">
      <c r="A277" s="179"/>
      <c r="B277" s="159" t="s">
        <v>122</v>
      </c>
      <c r="C277" s="133" t="str">
        <f t="shared" si="2"/>
        <v>0</v>
      </c>
      <c r="D277" s="133" t="str">
        <f t="shared" si="3"/>
        <v>0</v>
      </c>
      <c r="E277" s="133" t="str">
        <f t="shared" si="4"/>
        <v>0</v>
      </c>
      <c r="F277" s="133"/>
      <c r="G277" s="133"/>
      <c r="H277" s="108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72"/>
      <c r="X277" s="159" t="str">
        <f t="shared" si="5"/>
        <v>0</v>
      </c>
      <c r="Y277" s="159" t="str">
        <f>BASE!A281</f>
        <v>266</v>
      </c>
      <c r="Z277" s="177" t="str">
        <f t="shared" si="6"/>
        <v>0</v>
      </c>
      <c r="AA277" s="177" t="str">
        <f t="shared" si="7"/>
        <v>0</v>
      </c>
      <c r="AB277" s="177" t="str">
        <f t="shared" si="8"/>
        <v>0</v>
      </c>
      <c r="AC277" s="177" t="str">
        <f t="shared" si="9"/>
        <v>0</v>
      </c>
      <c r="AD277" s="177" t="str">
        <f t="shared" si="10"/>
        <v>0</v>
      </c>
    </row>
    <row r="278" ht="17.25" customHeight="1">
      <c r="A278" s="179"/>
      <c r="B278" s="159" t="s">
        <v>122</v>
      </c>
      <c r="C278" s="133" t="str">
        <f t="shared" si="2"/>
        <v>0</v>
      </c>
      <c r="D278" s="133" t="str">
        <f t="shared" si="3"/>
        <v>0</v>
      </c>
      <c r="E278" s="133" t="str">
        <f t="shared" si="4"/>
        <v>0</v>
      </c>
      <c r="F278" s="133"/>
      <c r="G278" s="133"/>
      <c r="H278" s="108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72"/>
      <c r="X278" s="159" t="str">
        <f t="shared" si="5"/>
        <v>0</v>
      </c>
      <c r="Y278" s="159" t="str">
        <f>BASE!A282</f>
        <v>267</v>
      </c>
      <c r="Z278" s="177" t="str">
        <f t="shared" si="6"/>
        <v>0</v>
      </c>
      <c r="AA278" s="177" t="str">
        <f t="shared" si="7"/>
        <v>0</v>
      </c>
      <c r="AB278" s="177" t="str">
        <f t="shared" si="8"/>
        <v>0</v>
      </c>
      <c r="AC278" s="177" t="str">
        <f t="shared" si="9"/>
        <v>0</v>
      </c>
      <c r="AD278" s="177" t="str">
        <f t="shared" si="10"/>
        <v>0</v>
      </c>
    </row>
    <row r="279" ht="17.25" customHeight="1">
      <c r="A279" s="179"/>
      <c r="B279" s="159" t="s">
        <v>122</v>
      </c>
      <c r="C279" s="133" t="str">
        <f t="shared" si="2"/>
        <v>0</v>
      </c>
      <c r="D279" s="133" t="str">
        <f t="shared" si="3"/>
        <v>0</v>
      </c>
      <c r="E279" s="133" t="str">
        <f t="shared" si="4"/>
        <v>0</v>
      </c>
      <c r="F279" s="133"/>
      <c r="G279" s="133"/>
      <c r="H279" s="108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72"/>
      <c r="X279" s="159" t="str">
        <f t="shared" si="5"/>
        <v>0</v>
      </c>
      <c r="Y279" s="159" t="str">
        <f>BASE!A283</f>
        <v>268</v>
      </c>
      <c r="Z279" s="177" t="str">
        <f t="shared" si="6"/>
        <v>0</v>
      </c>
      <c r="AA279" s="177" t="str">
        <f t="shared" si="7"/>
        <v>0</v>
      </c>
      <c r="AB279" s="177" t="str">
        <f t="shared" si="8"/>
        <v>0</v>
      </c>
      <c r="AC279" s="177" t="str">
        <f t="shared" si="9"/>
        <v>0</v>
      </c>
      <c r="AD279" s="177" t="str">
        <f t="shared" si="10"/>
        <v>0</v>
      </c>
    </row>
    <row r="280" ht="17.25" customHeight="1">
      <c r="A280" s="179"/>
      <c r="B280" s="159" t="s">
        <v>122</v>
      </c>
      <c r="C280" s="133" t="str">
        <f t="shared" si="2"/>
        <v>0</v>
      </c>
      <c r="D280" s="133" t="str">
        <f t="shared" si="3"/>
        <v>0</v>
      </c>
      <c r="E280" s="133" t="str">
        <f t="shared" si="4"/>
        <v>0</v>
      </c>
      <c r="F280" s="133"/>
      <c r="G280" s="133"/>
      <c r="H280" s="108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72"/>
      <c r="X280" s="159" t="str">
        <f t="shared" si="5"/>
        <v>0</v>
      </c>
      <c r="Y280" s="159" t="str">
        <f>BASE!A284</f>
        <v>269</v>
      </c>
      <c r="Z280" s="177" t="str">
        <f t="shared" si="6"/>
        <v>0</v>
      </c>
      <c r="AA280" s="177" t="str">
        <f t="shared" si="7"/>
        <v>0</v>
      </c>
      <c r="AB280" s="177" t="str">
        <f t="shared" si="8"/>
        <v>0</v>
      </c>
      <c r="AC280" s="177" t="str">
        <f t="shared" si="9"/>
        <v>0</v>
      </c>
      <c r="AD280" s="177" t="str">
        <f t="shared" si="10"/>
        <v>0</v>
      </c>
    </row>
    <row r="281" ht="17.25" customHeight="1">
      <c r="A281" s="179"/>
      <c r="B281" s="159" t="s">
        <v>122</v>
      </c>
      <c r="C281" s="133" t="str">
        <f t="shared" si="2"/>
        <v>0</v>
      </c>
      <c r="D281" s="133" t="str">
        <f t="shared" si="3"/>
        <v>0</v>
      </c>
      <c r="E281" s="133" t="str">
        <f t="shared" si="4"/>
        <v>0</v>
      </c>
      <c r="F281" s="133"/>
      <c r="G281" s="133"/>
      <c r="H281" s="108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72"/>
      <c r="X281" s="159" t="str">
        <f t="shared" si="5"/>
        <v>0</v>
      </c>
      <c r="Y281" s="159" t="str">
        <f>BASE!A285</f>
        <v>270</v>
      </c>
      <c r="Z281" s="177" t="str">
        <f t="shared" si="6"/>
        <v>0</v>
      </c>
      <c r="AA281" s="177" t="str">
        <f t="shared" si="7"/>
        <v>0</v>
      </c>
      <c r="AB281" s="177" t="str">
        <f t="shared" si="8"/>
        <v>0</v>
      </c>
      <c r="AC281" s="177" t="str">
        <f t="shared" si="9"/>
        <v>0</v>
      </c>
      <c r="AD281" s="177" t="str">
        <f t="shared" si="10"/>
        <v>0</v>
      </c>
    </row>
    <row r="282" ht="17.25" customHeight="1">
      <c r="A282" s="179"/>
      <c r="B282" s="159" t="s">
        <v>122</v>
      </c>
      <c r="C282" s="133" t="str">
        <f t="shared" si="2"/>
        <v>0</v>
      </c>
      <c r="D282" s="133" t="str">
        <f t="shared" si="3"/>
        <v>0</v>
      </c>
      <c r="E282" s="133" t="str">
        <f t="shared" si="4"/>
        <v>0</v>
      </c>
      <c r="F282" s="133"/>
      <c r="G282" s="133"/>
      <c r="H282" s="108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72"/>
      <c r="X282" s="159" t="str">
        <f t="shared" si="5"/>
        <v>0</v>
      </c>
      <c r="Y282" s="159" t="str">
        <f>BASE!A286</f>
        <v>271</v>
      </c>
      <c r="Z282" s="177" t="str">
        <f t="shared" si="6"/>
        <v>0</v>
      </c>
      <c r="AA282" s="177" t="str">
        <f t="shared" si="7"/>
        <v>0</v>
      </c>
      <c r="AB282" s="177" t="str">
        <f t="shared" si="8"/>
        <v>0</v>
      </c>
      <c r="AC282" s="177" t="str">
        <f t="shared" si="9"/>
        <v>0</v>
      </c>
      <c r="AD282" s="177" t="str">
        <f t="shared" si="10"/>
        <v>0</v>
      </c>
    </row>
    <row r="283" ht="17.25" customHeight="1">
      <c r="A283" s="179"/>
      <c r="B283" s="159" t="s">
        <v>122</v>
      </c>
      <c r="C283" s="133" t="str">
        <f t="shared" si="2"/>
        <v>0</v>
      </c>
      <c r="D283" s="133" t="str">
        <f t="shared" si="3"/>
        <v>0</v>
      </c>
      <c r="E283" s="133" t="str">
        <f t="shared" si="4"/>
        <v>0</v>
      </c>
      <c r="F283" s="133"/>
      <c r="G283" s="133"/>
      <c r="H283" s="108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72"/>
      <c r="X283" s="159" t="str">
        <f t="shared" si="5"/>
        <v>0</v>
      </c>
      <c r="Y283" s="159" t="str">
        <f>BASE!A287</f>
        <v>272</v>
      </c>
      <c r="Z283" s="177" t="str">
        <f t="shared" si="6"/>
        <v>0</v>
      </c>
      <c r="AA283" s="177" t="str">
        <f t="shared" si="7"/>
        <v>0</v>
      </c>
      <c r="AB283" s="177" t="str">
        <f t="shared" si="8"/>
        <v>0</v>
      </c>
      <c r="AC283" s="177" t="str">
        <f t="shared" si="9"/>
        <v>0</v>
      </c>
      <c r="AD283" s="177" t="str">
        <f t="shared" si="10"/>
        <v>0</v>
      </c>
    </row>
    <row r="284" ht="17.25" customHeight="1">
      <c r="A284" s="179"/>
      <c r="B284" s="159" t="s">
        <v>122</v>
      </c>
      <c r="C284" s="133" t="str">
        <f t="shared" si="2"/>
        <v>0</v>
      </c>
      <c r="D284" s="133" t="str">
        <f t="shared" si="3"/>
        <v>0</v>
      </c>
      <c r="E284" s="133" t="str">
        <f t="shared" si="4"/>
        <v>0</v>
      </c>
      <c r="F284" s="133"/>
      <c r="G284" s="133"/>
      <c r="H284" s="108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72"/>
      <c r="X284" s="159" t="str">
        <f t="shared" si="5"/>
        <v>0</v>
      </c>
      <c r="Y284" s="159" t="str">
        <f>BASE!A288</f>
        <v>273</v>
      </c>
      <c r="Z284" s="177" t="str">
        <f t="shared" si="6"/>
        <v>0</v>
      </c>
      <c r="AA284" s="177" t="str">
        <f t="shared" si="7"/>
        <v>0</v>
      </c>
      <c r="AB284" s="177" t="str">
        <f t="shared" si="8"/>
        <v>0</v>
      </c>
      <c r="AC284" s="177" t="str">
        <f t="shared" si="9"/>
        <v>0</v>
      </c>
      <c r="AD284" s="177" t="str">
        <f t="shared" si="10"/>
        <v>0</v>
      </c>
    </row>
    <row r="285" ht="17.25" customHeight="1">
      <c r="A285" s="179"/>
      <c r="B285" s="159" t="s">
        <v>122</v>
      </c>
      <c r="C285" s="133" t="str">
        <f t="shared" si="2"/>
        <v>0</v>
      </c>
      <c r="D285" s="133" t="str">
        <f t="shared" si="3"/>
        <v>0</v>
      </c>
      <c r="E285" s="133" t="str">
        <f t="shared" si="4"/>
        <v>0</v>
      </c>
      <c r="F285" s="133"/>
      <c r="G285" s="133"/>
      <c r="H285" s="108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72"/>
      <c r="X285" s="159" t="str">
        <f t="shared" si="5"/>
        <v>0</v>
      </c>
      <c r="Y285" s="159" t="str">
        <f>BASE!A289</f>
        <v>274</v>
      </c>
      <c r="Z285" s="177" t="str">
        <f t="shared" si="6"/>
        <v>0</v>
      </c>
      <c r="AA285" s="177" t="str">
        <f t="shared" si="7"/>
        <v>0</v>
      </c>
      <c r="AB285" s="177" t="str">
        <f t="shared" si="8"/>
        <v>0</v>
      </c>
      <c r="AC285" s="177" t="str">
        <f t="shared" si="9"/>
        <v>0</v>
      </c>
      <c r="AD285" s="177" t="str">
        <f t="shared" si="10"/>
        <v>0</v>
      </c>
    </row>
    <row r="286" ht="17.25" customHeight="1">
      <c r="A286" s="179"/>
      <c r="B286" s="159" t="s">
        <v>122</v>
      </c>
      <c r="C286" s="133" t="str">
        <f t="shared" si="2"/>
        <v>0</v>
      </c>
      <c r="D286" s="133" t="str">
        <f t="shared" si="3"/>
        <v>0</v>
      </c>
      <c r="E286" s="133" t="str">
        <f t="shared" si="4"/>
        <v>0</v>
      </c>
      <c r="F286" s="133"/>
      <c r="G286" s="133"/>
      <c r="H286" s="108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72"/>
      <c r="X286" s="159" t="str">
        <f t="shared" si="5"/>
        <v>0</v>
      </c>
      <c r="Y286" s="159" t="str">
        <f>BASE!A290</f>
        <v>275</v>
      </c>
      <c r="Z286" s="177" t="str">
        <f t="shared" si="6"/>
        <v>0</v>
      </c>
      <c r="AA286" s="177" t="str">
        <f t="shared" si="7"/>
        <v>0</v>
      </c>
      <c r="AB286" s="177" t="str">
        <f t="shared" si="8"/>
        <v>0</v>
      </c>
      <c r="AC286" s="177" t="str">
        <f t="shared" si="9"/>
        <v>0</v>
      </c>
      <c r="AD286" s="177" t="str">
        <f t="shared" si="10"/>
        <v>0</v>
      </c>
    </row>
    <row r="287" ht="17.25" customHeight="1">
      <c r="A287" s="179"/>
      <c r="B287" s="159" t="s">
        <v>122</v>
      </c>
      <c r="C287" s="133" t="str">
        <f t="shared" si="2"/>
        <v>0</v>
      </c>
      <c r="D287" s="133" t="str">
        <f t="shared" si="3"/>
        <v>0</v>
      </c>
      <c r="E287" s="133" t="str">
        <f t="shared" si="4"/>
        <v>0</v>
      </c>
      <c r="F287" s="133"/>
      <c r="G287" s="133"/>
      <c r="H287" s="108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72"/>
      <c r="X287" s="159" t="str">
        <f t="shared" si="5"/>
        <v>0</v>
      </c>
      <c r="Y287" s="159" t="str">
        <f>BASE!A291</f>
        <v>276</v>
      </c>
      <c r="Z287" s="177" t="str">
        <f t="shared" si="6"/>
        <v>0</v>
      </c>
      <c r="AA287" s="177" t="str">
        <f t="shared" si="7"/>
        <v>0</v>
      </c>
      <c r="AB287" s="177" t="str">
        <f t="shared" si="8"/>
        <v>0</v>
      </c>
      <c r="AC287" s="177" t="str">
        <f t="shared" si="9"/>
        <v>0</v>
      </c>
      <c r="AD287" s="177" t="str">
        <f t="shared" si="10"/>
        <v>0</v>
      </c>
    </row>
    <row r="288" ht="17.25" customHeight="1">
      <c r="A288" s="179"/>
      <c r="B288" s="159" t="s">
        <v>122</v>
      </c>
      <c r="C288" s="133" t="str">
        <f t="shared" si="2"/>
        <v>0</v>
      </c>
      <c r="D288" s="133" t="str">
        <f t="shared" si="3"/>
        <v>0</v>
      </c>
      <c r="E288" s="133" t="str">
        <f t="shared" si="4"/>
        <v>0</v>
      </c>
      <c r="F288" s="133"/>
      <c r="G288" s="133"/>
      <c r="H288" s="108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72"/>
      <c r="X288" s="159" t="str">
        <f t="shared" si="5"/>
        <v>0</v>
      </c>
      <c r="Y288" s="159" t="str">
        <f>BASE!A292</f>
        <v>277</v>
      </c>
      <c r="Z288" s="177" t="str">
        <f t="shared" si="6"/>
        <v>0</v>
      </c>
      <c r="AA288" s="177" t="str">
        <f t="shared" si="7"/>
        <v>0</v>
      </c>
      <c r="AB288" s="177" t="str">
        <f t="shared" si="8"/>
        <v>0</v>
      </c>
      <c r="AC288" s="177" t="str">
        <f t="shared" si="9"/>
        <v>0</v>
      </c>
      <c r="AD288" s="177" t="str">
        <f t="shared" si="10"/>
        <v>0</v>
      </c>
    </row>
    <row r="289" ht="17.25" customHeight="1">
      <c r="A289" s="179"/>
      <c r="B289" s="159" t="s">
        <v>122</v>
      </c>
      <c r="C289" s="133" t="str">
        <f t="shared" si="2"/>
        <v>0</v>
      </c>
      <c r="D289" s="133" t="str">
        <f t="shared" si="3"/>
        <v>0</v>
      </c>
      <c r="E289" s="133" t="str">
        <f t="shared" si="4"/>
        <v>0</v>
      </c>
      <c r="F289" s="133"/>
      <c r="G289" s="133"/>
      <c r="H289" s="108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72"/>
      <c r="X289" s="159" t="str">
        <f t="shared" si="5"/>
        <v>0</v>
      </c>
      <c r="Y289" s="159" t="str">
        <f>BASE!A293</f>
        <v>278</v>
      </c>
      <c r="Z289" s="177" t="str">
        <f t="shared" si="6"/>
        <v>0</v>
      </c>
      <c r="AA289" s="177" t="str">
        <f t="shared" si="7"/>
        <v>0</v>
      </c>
      <c r="AB289" s="177" t="str">
        <f t="shared" si="8"/>
        <v>0</v>
      </c>
      <c r="AC289" s="177" t="str">
        <f t="shared" si="9"/>
        <v>0</v>
      </c>
      <c r="AD289" s="177" t="str">
        <f t="shared" si="10"/>
        <v>0</v>
      </c>
    </row>
    <row r="290" ht="17.25" customHeight="1">
      <c r="A290" s="179"/>
      <c r="B290" s="159" t="s">
        <v>122</v>
      </c>
      <c r="C290" s="133" t="str">
        <f t="shared" si="2"/>
        <v>0</v>
      </c>
      <c r="D290" s="133" t="str">
        <f t="shared" si="3"/>
        <v>0</v>
      </c>
      <c r="E290" s="133" t="str">
        <f t="shared" si="4"/>
        <v>0</v>
      </c>
      <c r="F290" s="133"/>
      <c r="G290" s="133"/>
      <c r="H290" s="108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72"/>
      <c r="X290" s="159" t="str">
        <f t="shared" si="5"/>
        <v>0</v>
      </c>
      <c r="Y290" s="159" t="str">
        <f>BASE!A294</f>
        <v>279</v>
      </c>
      <c r="Z290" s="177" t="str">
        <f t="shared" si="6"/>
        <v>0</v>
      </c>
      <c r="AA290" s="177" t="str">
        <f t="shared" si="7"/>
        <v>0</v>
      </c>
      <c r="AB290" s="177" t="str">
        <f t="shared" si="8"/>
        <v>0</v>
      </c>
      <c r="AC290" s="177" t="str">
        <f t="shared" si="9"/>
        <v>0</v>
      </c>
      <c r="AD290" s="177" t="str">
        <f t="shared" si="10"/>
        <v>0</v>
      </c>
    </row>
    <row r="291" ht="17.25" customHeight="1">
      <c r="A291" s="179"/>
      <c r="B291" s="159" t="s">
        <v>122</v>
      </c>
      <c r="C291" s="133" t="str">
        <f t="shared" si="2"/>
        <v>0</v>
      </c>
      <c r="D291" s="133" t="str">
        <f t="shared" si="3"/>
        <v>0</v>
      </c>
      <c r="E291" s="133" t="str">
        <f t="shared" si="4"/>
        <v>0</v>
      </c>
      <c r="F291" s="133"/>
      <c r="G291" s="133"/>
      <c r="H291" s="108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72"/>
      <c r="X291" s="159" t="str">
        <f t="shared" si="5"/>
        <v>0</v>
      </c>
      <c r="Y291" s="159" t="str">
        <f>BASE!A295</f>
        <v>280</v>
      </c>
      <c r="Z291" s="177" t="str">
        <f t="shared" si="6"/>
        <v>0</v>
      </c>
      <c r="AA291" s="177" t="str">
        <f t="shared" si="7"/>
        <v>0</v>
      </c>
      <c r="AB291" s="177" t="str">
        <f t="shared" si="8"/>
        <v>0</v>
      </c>
      <c r="AC291" s="177" t="str">
        <f t="shared" si="9"/>
        <v>0</v>
      </c>
      <c r="AD291" s="177" t="str">
        <f t="shared" si="10"/>
        <v>0</v>
      </c>
    </row>
    <row r="292" ht="17.25" customHeight="1">
      <c r="A292" s="179"/>
      <c r="B292" s="159" t="s">
        <v>122</v>
      </c>
      <c r="C292" s="133" t="str">
        <f t="shared" si="2"/>
        <v>0</v>
      </c>
      <c r="D292" s="133" t="str">
        <f t="shared" si="3"/>
        <v>0</v>
      </c>
      <c r="E292" s="133" t="str">
        <f t="shared" si="4"/>
        <v>0</v>
      </c>
      <c r="F292" s="133"/>
      <c r="G292" s="133"/>
      <c r="H292" s="108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72"/>
      <c r="X292" s="159" t="str">
        <f t="shared" si="5"/>
        <v>0</v>
      </c>
      <c r="Y292" s="159" t="str">
        <f>BASE!A296</f>
        <v>281</v>
      </c>
      <c r="Z292" s="177" t="str">
        <f t="shared" si="6"/>
        <v>0</v>
      </c>
      <c r="AA292" s="177" t="str">
        <f t="shared" si="7"/>
        <v>0</v>
      </c>
      <c r="AB292" s="177" t="str">
        <f t="shared" si="8"/>
        <v>0</v>
      </c>
      <c r="AC292" s="177" t="str">
        <f t="shared" si="9"/>
        <v>0</v>
      </c>
      <c r="AD292" s="177" t="str">
        <f t="shared" si="10"/>
        <v>0</v>
      </c>
    </row>
    <row r="293" ht="17.25" customHeight="1">
      <c r="A293" s="179"/>
      <c r="B293" s="159" t="s">
        <v>122</v>
      </c>
      <c r="C293" s="133" t="str">
        <f t="shared" si="2"/>
        <v>0</v>
      </c>
      <c r="D293" s="133" t="str">
        <f t="shared" si="3"/>
        <v>0</v>
      </c>
      <c r="E293" s="133" t="str">
        <f t="shared" si="4"/>
        <v>0</v>
      </c>
      <c r="F293" s="133"/>
      <c r="G293" s="133"/>
      <c r="H293" s="108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72"/>
      <c r="X293" s="159" t="str">
        <f t="shared" si="5"/>
        <v>0</v>
      </c>
      <c r="Y293" s="159" t="str">
        <f>BASE!A297</f>
        <v>282</v>
      </c>
      <c r="Z293" s="177" t="str">
        <f t="shared" si="6"/>
        <v>0</v>
      </c>
      <c r="AA293" s="177" t="str">
        <f t="shared" si="7"/>
        <v>0</v>
      </c>
      <c r="AB293" s="177" t="str">
        <f t="shared" si="8"/>
        <v>0</v>
      </c>
      <c r="AC293" s="177" t="str">
        <f t="shared" si="9"/>
        <v>0</v>
      </c>
      <c r="AD293" s="177" t="str">
        <f t="shared" si="10"/>
        <v>0</v>
      </c>
    </row>
    <row r="294" ht="17.25" customHeight="1">
      <c r="A294" s="179"/>
      <c r="B294" s="159" t="s">
        <v>122</v>
      </c>
      <c r="C294" s="133" t="str">
        <f t="shared" si="2"/>
        <v>0</v>
      </c>
      <c r="D294" s="133" t="str">
        <f t="shared" si="3"/>
        <v>0</v>
      </c>
      <c r="E294" s="133" t="str">
        <f t="shared" si="4"/>
        <v>0</v>
      </c>
      <c r="F294" s="133"/>
      <c r="G294" s="133"/>
      <c r="H294" s="108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72"/>
      <c r="X294" s="159" t="str">
        <f t="shared" si="5"/>
        <v>0</v>
      </c>
      <c r="Y294" s="159" t="str">
        <f>BASE!A298</f>
        <v>283</v>
      </c>
      <c r="Z294" s="177" t="str">
        <f t="shared" si="6"/>
        <v>0</v>
      </c>
      <c r="AA294" s="177" t="str">
        <f t="shared" si="7"/>
        <v>0</v>
      </c>
      <c r="AB294" s="177" t="str">
        <f t="shared" si="8"/>
        <v>0</v>
      </c>
      <c r="AC294" s="177" t="str">
        <f t="shared" si="9"/>
        <v>0</v>
      </c>
      <c r="AD294" s="177" t="str">
        <f t="shared" si="10"/>
        <v>0</v>
      </c>
    </row>
    <row r="295" ht="17.25" customHeight="1">
      <c r="A295" s="179"/>
      <c r="B295" s="159" t="s">
        <v>122</v>
      </c>
      <c r="C295" s="133" t="str">
        <f t="shared" si="2"/>
        <v>0</v>
      </c>
      <c r="D295" s="133" t="str">
        <f t="shared" si="3"/>
        <v>0</v>
      </c>
      <c r="E295" s="133" t="str">
        <f t="shared" si="4"/>
        <v>0</v>
      </c>
      <c r="F295" s="133"/>
      <c r="G295" s="133"/>
      <c r="H295" s="108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72"/>
      <c r="X295" s="159" t="str">
        <f t="shared" si="5"/>
        <v>0</v>
      </c>
      <c r="Y295" s="159" t="str">
        <f>BASE!A299</f>
        <v>284</v>
      </c>
      <c r="Z295" s="177" t="str">
        <f t="shared" si="6"/>
        <v>0</v>
      </c>
      <c r="AA295" s="177" t="str">
        <f t="shared" si="7"/>
        <v>0</v>
      </c>
      <c r="AB295" s="177" t="str">
        <f t="shared" si="8"/>
        <v>0</v>
      </c>
      <c r="AC295" s="177" t="str">
        <f t="shared" si="9"/>
        <v>0</v>
      </c>
      <c r="AD295" s="177" t="str">
        <f t="shared" si="10"/>
        <v>0</v>
      </c>
    </row>
    <row r="296" ht="17.25" customHeight="1">
      <c r="A296" s="179"/>
      <c r="B296" s="159" t="s">
        <v>122</v>
      </c>
      <c r="C296" s="133" t="str">
        <f t="shared" si="2"/>
        <v>0</v>
      </c>
      <c r="D296" s="133" t="str">
        <f t="shared" si="3"/>
        <v>0</v>
      </c>
      <c r="E296" s="133" t="str">
        <f t="shared" si="4"/>
        <v>0</v>
      </c>
      <c r="F296" s="133"/>
      <c r="G296" s="133"/>
      <c r="H296" s="108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72"/>
      <c r="X296" s="159" t="str">
        <f t="shared" si="5"/>
        <v>0</v>
      </c>
      <c r="Y296" s="159" t="str">
        <f>BASE!A300</f>
        <v>285</v>
      </c>
      <c r="Z296" s="177" t="str">
        <f t="shared" si="6"/>
        <v>0</v>
      </c>
      <c r="AA296" s="177" t="str">
        <f t="shared" si="7"/>
        <v>0</v>
      </c>
      <c r="AB296" s="177" t="str">
        <f t="shared" si="8"/>
        <v>0</v>
      </c>
      <c r="AC296" s="177" t="str">
        <f t="shared" si="9"/>
        <v>0</v>
      </c>
      <c r="AD296" s="177" t="str">
        <f t="shared" si="10"/>
        <v>0</v>
      </c>
    </row>
    <row r="297" ht="17.25" customHeight="1">
      <c r="A297" s="179"/>
      <c r="B297" s="159" t="s">
        <v>122</v>
      </c>
      <c r="C297" s="133" t="str">
        <f t="shared" si="2"/>
        <v>0</v>
      </c>
      <c r="D297" s="133" t="str">
        <f t="shared" si="3"/>
        <v>0</v>
      </c>
      <c r="E297" s="133" t="str">
        <f t="shared" si="4"/>
        <v>0</v>
      </c>
      <c r="F297" s="133"/>
      <c r="G297" s="133"/>
      <c r="H297" s="108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72"/>
      <c r="X297" s="159" t="str">
        <f t="shared" si="5"/>
        <v>0</v>
      </c>
      <c r="Y297" s="159" t="str">
        <f>BASE!A301</f>
        <v>286</v>
      </c>
      <c r="Z297" s="177" t="str">
        <f t="shared" si="6"/>
        <v>0</v>
      </c>
      <c r="AA297" s="177" t="str">
        <f t="shared" si="7"/>
        <v>0</v>
      </c>
      <c r="AB297" s="177" t="str">
        <f t="shared" si="8"/>
        <v>0</v>
      </c>
      <c r="AC297" s="177" t="str">
        <f t="shared" si="9"/>
        <v>0</v>
      </c>
      <c r="AD297" s="177" t="str">
        <f t="shared" si="10"/>
        <v>0</v>
      </c>
    </row>
    <row r="298" ht="17.25" customHeight="1">
      <c r="A298" s="179"/>
      <c r="B298" s="159" t="s">
        <v>122</v>
      </c>
      <c r="C298" s="133" t="str">
        <f t="shared" si="2"/>
        <v>0</v>
      </c>
      <c r="D298" s="133" t="str">
        <f t="shared" si="3"/>
        <v>0</v>
      </c>
      <c r="E298" s="133" t="str">
        <f t="shared" si="4"/>
        <v>0</v>
      </c>
      <c r="F298" s="133"/>
      <c r="G298" s="133"/>
      <c r="H298" s="108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72"/>
      <c r="X298" s="159" t="str">
        <f t="shared" si="5"/>
        <v>0</v>
      </c>
      <c r="Y298" s="159" t="str">
        <f>BASE!A302</f>
        <v>287</v>
      </c>
      <c r="Z298" s="177" t="str">
        <f t="shared" si="6"/>
        <v>0</v>
      </c>
      <c r="AA298" s="177" t="str">
        <f t="shared" si="7"/>
        <v>0</v>
      </c>
      <c r="AB298" s="177" t="str">
        <f t="shared" si="8"/>
        <v>0</v>
      </c>
      <c r="AC298" s="177" t="str">
        <f t="shared" si="9"/>
        <v>0</v>
      </c>
      <c r="AD298" s="177" t="str">
        <f t="shared" si="10"/>
        <v>0</v>
      </c>
    </row>
    <row r="299" ht="17.25" customHeight="1">
      <c r="A299" s="179"/>
      <c r="B299" s="159" t="s">
        <v>122</v>
      </c>
      <c r="C299" s="133" t="str">
        <f t="shared" si="2"/>
        <v>0</v>
      </c>
      <c r="D299" s="133" t="str">
        <f t="shared" si="3"/>
        <v>0</v>
      </c>
      <c r="E299" s="133" t="str">
        <f t="shared" si="4"/>
        <v>0</v>
      </c>
      <c r="F299" s="133"/>
      <c r="G299" s="133"/>
      <c r="H299" s="108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72"/>
      <c r="X299" s="159" t="str">
        <f t="shared" si="5"/>
        <v>0</v>
      </c>
      <c r="Y299" s="159" t="str">
        <f>BASE!A303</f>
        <v>288</v>
      </c>
      <c r="Z299" s="177" t="str">
        <f t="shared" si="6"/>
        <v>0</v>
      </c>
      <c r="AA299" s="177" t="str">
        <f t="shared" si="7"/>
        <v>0</v>
      </c>
      <c r="AB299" s="177" t="str">
        <f t="shared" si="8"/>
        <v>0</v>
      </c>
      <c r="AC299" s="177" t="str">
        <f t="shared" si="9"/>
        <v>0</v>
      </c>
      <c r="AD299" s="177" t="str">
        <f t="shared" si="10"/>
        <v>0</v>
      </c>
    </row>
    <row r="300" ht="17.25" customHeight="1">
      <c r="A300" s="179"/>
      <c r="B300" s="159" t="s">
        <v>122</v>
      </c>
      <c r="C300" s="133" t="str">
        <f t="shared" si="2"/>
        <v>0</v>
      </c>
      <c r="D300" s="133" t="str">
        <f t="shared" si="3"/>
        <v>0</v>
      </c>
      <c r="E300" s="133" t="str">
        <f t="shared" si="4"/>
        <v>0</v>
      </c>
      <c r="F300" s="133"/>
      <c r="G300" s="133"/>
      <c r="H300" s="108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72"/>
      <c r="X300" s="159" t="str">
        <f t="shared" si="5"/>
        <v>0</v>
      </c>
      <c r="Y300" s="159" t="str">
        <f>BASE!A304</f>
        <v>289</v>
      </c>
      <c r="Z300" s="177" t="str">
        <f t="shared" si="6"/>
        <v>0</v>
      </c>
      <c r="AA300" s="177" t="str">
        <f t="shared" si="7"/>
        <v>0</v>
      </c>
      <c r="AB300" s="177" t="str">
        <f t="shared" si="8"/>
        <v>0</v>
      </c>
      <c r="AC300" s="177" t="str">
        <f t="shared" si="9"/>
        <v>0</v>
      </c>
      <c r="AD300" s="177" t="str">
        <f t="shared" si="10"/>
        <v>0</v>
      </c>
    </row>
    <row r="301" ht="17.25" customHeight="1">
      <c r="A301" s="179"/>
      <c r="B301" s="159" t="s">
        <v>122</v>
      </c>
      <c r="C301" s="133" t="str">
        <f t="shared" si="2"/>
        <v>0</v>
      </c>
      <c r="D301" s="133" t="str">
        <f t="shared" si="3"/>
        <v>0</v>
      </c>
      <c r="E301" s="133" t="str">
        <f t="shared" si="4"/>
        <v>0</v>
      </c>
      <c r="F301" s="133"/>
      <c r="G301" s="133"/>
      <c r="H301" s="108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72"/>
      <c r="X301" s="159" t="str">
        <f t="shared" si="5"/>
        <v>0</v>
      </c>
      <c r="Y301" s="159" t="str">
        <f>BASE!A305</f>
        <v>290</v>
      </c>
      <c r="Z301" s="177" t="str">
        <f t="shared" si="6"/>
        <v>0</v>
      </c>
      <c r="AA301" s="177" t="str">
        <f t="shared" si="7"/>
        <v>0</v>
      </c>
      <c r="AB301" s="177" t="str">
        <f t="shared" si="8"/>
        <v>0</v>
      </c>
      <c r="AC301" s="177" t="str">
        <f t="shared" si="9"/>
        <v>0</v>
      </c>
      <c r="AD301" s="177" t="str">
        <f t="shared" si="10"/>
        <v>0</v>
      </c>
    </row>
    <row r="302" ht="17.25" customHeight="1">
      <c r="A302" s="179"/>
      <c r="B302" s="159" t="s">
        <v>122</v>
      </c>
      <c r="C302" s="133" t="str">
        <f t="shared" si="2"/>
        <v>0</v>
      </c>
      <c r="D302" s="133" t="str">
        <f t="shared" si="3"/>
        <v>0</v>
      </c>
      <c r="E302" s="133" t="str">
        <f t="shared" si="4"/>
        <v>0</v>
      </c>
      <c r="F302" s="133"/>
      <c r="G302" s="133"/>
      <c r="H302" s="108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72"/>
      <c r="X302" s="159" t="str">
        <f t="shared" si="5"/>
        <v>0</v>
      </c>
      <c r="Y302" s="159" t="str">
        <f>BASE!A306</f>
        <v>291</v>
      </c>
      <c r="Z302" s="177" t="str">
        <f t="shared" si="6"/>
        <v>0</v>
      </c>
      <c r="AA302" s="177" t="str">
        <f t="shared" si="7"/>
        <v>0</v>
      </c>
      <c r="AB302" s="177" t="str">
        <f t="shared" si="8"/>
        <v>0</v>
      </c>
      <c r="AC302" s="177" t="str">
        <f t="shared" si="9"/>
        <v>0</v>
      </c>
      <c r="AD302" s="177" t="str">
        <f t="shared" si="10"/>
        <v>0</v>
      </c>
    </row>
    <row r="303" ht="17.25" customHeight="1">
      <c r="A303" s="179"/>
      <c r="B303" s="159" t="s">
        <v>122</v>
      </c>
      <c r="C303" s="133" t="str">
        <f t="shared" si="2"/>
        <v>0</v>
      </c>
      <c r="D303" s="133" t="str">
        <f t="shared" si="3"/>
        <v>0</v>
      </c>
      <c r="E303" s="133" t="str">
        <f t="shared" si="4"/>
        <v>0</v>
      </c>
      <c r="F303" s="133"/>
      <c r="G303" s="133"/>
      <c r="H303" s="108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72"/>
      <c r="X303" s="159" t="str">
        <f t="shared" si="5"/>
        <v>0</v>
      </c>
      <c r="Y303" s="159" t="str">
        <f>BASE!A307</f>
        <v>292</v>
      </c>
      <c r="Z303" s="177" t="str">
        <f t="shared" si="6"/>
        <v>0</v>
      </c>
      <c r="AA303" s="177" t="str">
        <f t="shared" si="7"/>
        <v>0</v>
      </c>
      <c r="AB303" s="177" t="str">
        <f t="shared" si="8"/>
        <v>0</v>
      </c>
      <c r="AC303" s="177" t="str">
        <f t="shared" si="9"/>
        <v>0</v>
      </c>
      <c r="AD303" s="177" t="str">
        <f t="shared" si="10"/>
        <v>0</v>
      </c>
    </row>
    <row r="304" ht="17.25" customHeight="1">
      <c r="A304" s="179"/>
      <c r="B304" s="159" t="s">
        <v>122</v>
      </c>
      <c r="C304" s="133" t="str">
        <f t="shared" si="2"/>
        <v>0</v>
      </c>
      <c r="D304" s="133" t="str">
        <f t="shared" si="3"/>
        <v>0</v>
      </c>
      <c r="E304" s="133" t="str">
        <f t="shared" si="4"/>
        <v>0</v>
      </c>
      <c r="F304" s="133"/>
      <c r="G304" s="133"/>
      <c r="H304" s="108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72"/>
      <c r="X304" s="159" t="str">
        <f t="shared" si="5"/>
        <v>0</v>
      </c>
      <c r="Y304" s="159" t="str">
        <f>BASE!A308</f>
        <v>293</v>
      </c>
      <c r="Z304" s="177" t="str">
        <f t="shared" si="6"/>
        <v>0</v>
      </c>
      <c r="AA304" s="177" t="str">
        <f t="shared" si="7"/>
        <v>0</v>
      </c>
      <c r="AB304" s="177" t="str">
        <f t="shared" si="8"/>
        <v>0</v>
      </c>
      <c r="AC304" s="177" t="str">
        <f t="shared" si="9"/>
        <v>0</v>
      </c>
      <c r="AD304" s="177" t="str">
        <f t="shared" si="10"/>
        <v>0</v>
      </c>
    </row>
    <row r="305" ht="17.25" customHeight="1">
      <c r="A305" s="179"/>
      <c r="B305" s="159" t="s">
        <v>122</v>
      </c>
      <c r="C305" s="133" t="str">
        <f t="shared" si="2"/>
        <v>0</v>
      </c>
      <c r="D305" s="133" t="str">
        <f t="shared" si="3"/>
        <v>0</v>
      </c>
      <c r="E305" s="133" t="str">
        <f t="shared" si="4"/>
        <v>0</v>
      </c>
      <c r="F305" s="133"/>
      <c r="G305" s="133"/>
      <c r="H305" s="108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72"/>
      <c r="X305" s="159" t="str">
        <f t="shared" si="5"/>
        <v>0</v>
      </c>
      <c r="Y305" s="159" t="str">
        <f>BASE!A309</f>
        <v>294</v>
      </c>
      <c r="Z305" s="177" t="str">
        <f t="shared" si="6"/>
        <v>0</v>
      </c>
      <c r="AA305" s="177" t="str">
        <f t="shared" si="7"/>
        <v>0</v>
      </c>
      <c r="AB305" s="177" t="str">
        <f t="shared" si="8"/>
        <v>0</v>
      </c>
      <c r="AC305" s="177" t="str">
        <f t="shared" si="9"/>
        <v>0</v>
      </c>
      <c r="AD305" s="177" t="str">
        <f t="shared" si="10"/>
        <v>0</v>
      </c>
    </row>
    <row r="306" ht="17.25" customHeight="1">
      <c r="A306" s="179"/>
      <c r="B306" s="159" t="s">
        <v>122</v>
      </c>
      <c r="C306" s="133" t="str">
        <f t="shared" si="2"/>
        <v>0</v>
      </c>
      <c r="D306" s="133" t="str">
        <f t="shared" si="3"/>
        <v>0</v>
      </c>
      <c r="E306" s="133" t="str">
        <f t="shared" si="4"/>
        <v>0</v>
      </c>
      <c r="F306" s="133"/>
      <c r="G306" s="133"/>
      <c r="H306" s="108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72"/>
      <c r="X306" s="159" t="str">
        <f t="shared" si="5"/>
        <v>0</v>
      </c>
      <c r="Y306" s="159" t="str">
        <f>BASE!A310</f>
        <v>295</v>
      </c>
      <c r="Z306" s="177" t="str">
        <f t="shared" si="6"/>
        <v>0</v>
      </c>
      <c r="AA306" s="177" t="str">
        <f t="shared" si="7"/>
        <v>0</v>
      </c>
      <c r="AB306" s="177" t="str">
        <f t="shared" si="8"/>
        <v>0</v>
      </c>
      <c r="AC306" s="177" t="str">
        <f t="shared" si="9"/>
        <v>0</v>
      </c>
      <c r="AD306" s="177" t="str">
        <f t="shared" si="10"/>
        <v>0</v>
      </c>
    </row>
    <row r="307" ht="17.25" customHeight="1">
      <c r="A307" s="179"/>
      <c r="B307" s="159" t="s">
        <v>122</v>
      </c>
      <c r="C307" s="133" t="str">
        <f t="shared" si="2"/>
        <v>0</v>
      </c>
      <c r="D307" s="133" t="str">
        <f t="shared" si="3"/>
        <v>0</v>
      </c>
      <c r="E307" s="133" t="str">
        <f t="shared" si="4"/>
        <v>0</v>
      </c>
      <c r="F307" s="133"/>
      <c r="G307" s="133"/>
      <c r="H307" s="108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72"/>
      <c r="X307" s="159" t="str">
        <f t="shared" si="5"/>
        <v>0</v>
      </c>
      <c r="Y307" s="159" t="str">
        <f>BASE!A311</f>
        <v>296</v>
      </c>
      <c r="Z307" s="177" t="str">
        <f t="shared" si="6"/>
        <v>0</v>
      </c>
      <c r="AA307" s="177" t="str">
        <f t="shared" si="7"/>
        <v>0</v>
      </c>
      <c r="AB307" s="177" t="str">
        <f t="shared" si="8"/>
        <v>0</v>
      </c>
      <c r="AC307" s="177" t="str">
        <f t="shared" si="9"/>
        <v>0</v>
      </c>
      <c r="AD307" s="177" t="str">
        <f t="shared" si="10"/>
        <v>0</v>
      </c>
    </row>
    <row r="308" ht="17.25" customHeight="1">
      <c r="A308" s="179"/>
      <c r="B308" s="159" t="s">
        <v>122</v>
      </c>
      <c r="C308" s="133" t="str">
        <f t="shared" si="2"/>
        <v>0</v>
      </c>
      <c r="D308" s="133" t="str">
        <f t="shared" si="3"/>
        <v>0</v>
      </c>
      <c r="E308" s="133" t="str">
        <f t="shared" si="4"/>
        <v>0</v>
      </c>
      <c r="F308" s="133"/>
      <c r="G308" s="133"/>
      <c r="H308" s="108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72"/>
      <c r="X308" s="159" t="str">
        <f t="shared" si="5"/>
        <v>0</v>
      </c>
      <c r="Y308" s="159" t="str">
        <f>BASE!A312</f>
        <v>297</v>
      </c>
      <c r="Z308" s="177" t="str">
        <f t="shared" si="6"/>
        <v>0</v>
      </c>
      <c r="AA308" s="177" t="str">
        <f t="shared" si="7"/>
        <v>0</v>
      </c>
      <c r="AB308" s="177" t="str">
        <f t="shared" si="8"/>
        <v>0</v>
      </c>
      <c r="AC308" s="177" t="str">
        <f t="shared" si="9"/>
        <v>0</v>
      </c>
      <c r="AD308" s="177" t="str">
        <f t="shared" si="10"/>
        <v>0</v>
      </c>
    </row>
    <row r="309" ht="17.25" customHeight="1">
      <c r="A309" s="179"/>
      <c r="B309" s="159" t="s">
        <v>122</v>
      </c>
      <c r="C309" s="133" t="str">
        <f t="shared" si="2"/>
        <v>0</v>
      </c>
      <c r="D309" s="133" t="str">
        <f t="shared" si="3"/>
        <v>0</v>
      </c>
      <c r="E309" s="133" t="str">
        <f t="shared" si="4"/>
        <v>0</v>
      </c>
      <c r="F309" s="133"/>
      <c r="G309" s="133"/>
      <c r="H309" s="108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72"/>
      <c r="X309" s="159" t="str">
        <f t="shared" si="5"/>
        <v>0</v>
      </c>
      <c r="Y309" s="159" t="str">
        <f>BASE!A313</f>
        <v>298</v>
      </c>
      <c r="Z309" s="177" t="str">
        <f t="shared" si="6"/>
        <v>0</v>
      </c>
      <c r="AA309" s="177" t="str">
        <f t="shared" si="7"/>
        <v>0</v>
      </c>
      <c r="AB309" s="177" t="str">
        <f t="shared" si="8"/>
        <v>0</v>
      </c>
      <c r="AC309" s="177" t="str">
        <f t="shared" si="9"/>
        <v>0</v>
      </c>
      <c r="AD309" s="177" t="str">
        <f t="shared" si="10"/>
        <v>0</v>
      </c>
    </row>
    <row r="310" ht="17.25" customHeight="1">
      <c r="A310" s="179"/>
      <c r="B310" s="159" t="s">
        <v>122</v>
      </c>
      <c r="C310" s="133" t="str">
        <f t="shared" si="2"/>
        <v>0</v>
      </c>
      <c r="D310" s="133" t="str">
        <f t="shared" si="3"/>
        <v>0</v>
      </c>
      <c r="E310" s="133" t="str">
        <f t="shared" si="4"/>
        <v>0</v>
      </c>
      <c r="F310" s="133"/>
      <c r="G310" s="133"/>
      <c r="H310" s="108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72"/>
      <c r="X310" s="159" t="str">
        <f t="shared" si="5"/>
        <v>0</v>
      </c>
      <c r="Y310" s="159" t="str">
        <f>BASE!A314</f>
        <v>299</v>
      </c>
      <c r="Z310" s="177" t="str">
        <f t="shared" si="6"/>
        <v>0</v>
      </c>
      <c r="AA310" s="177" t="str">
        <f t="shared" si="7"/>
        <v>0</v>
      </c>
      <c r="AB310" s="177" t="str">
        <f t="shared" si="8"/>
        <v>0</v>
      </c>
      <c r="AC310" s="177" t="str">
        <f t="shared" si="9"/>
        <v>0</v>
      </c>
      <c r="AD310" s="177" t="str">
        <f t="shared" si="10"/>
        <v>0</v>
      </c>
    </row>
    <row r="311" ht="17.25" customHeight="1">
      <c r="A311" s="179"/>
      <c r="B311" s="159" t="s">
        <v>122</v>
      </c>
      <c r="C311" s="133" t="str">
        <f t="shared" si="2"/>
        <v>0</v>
      </c>
      <c r="D311" s="133" t="str">
        <f t="shared" si="3"/>
        <v>0</v>
      </c>
      <c r="E311" s="133" t="str">
        <f t="shared" si="4"/>
        <v>0</v>
      </c>
      <c r="F311" s="133"/>
      <c r="G311" s="133"/>
      <c r="H311" s="108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72"/>
      <c r="X311" s="159" t="str">
        <f t="shared" si="5"/>
        <v>0</v>
      </c>
      <c r="Y311" s="159" t="str">
        <f>BASE!A315</f>
        <v>300</v>
      </c>
      <c r="Z311" s="177" t="str">
        <f t="shared" si="6"/>
        <v>0</v>
      </c>
      <c r="AA311" s="177" t="str">
        <f t="shared" si="7"/>
        <v>0</v>
      </c>
      <c r="AB311" s="177" t="str">
        <f t="shared" si="8"/>
        <v>0</v>
      </c>
      <c r="AC311" s="177" t="str">
        <f t="shared" si="9"/>
        <v>0</v>
      </c>
      <c r="AD311" s="177" t="str">
        <f t="shared" si="10"/>
        <v>0</v>
      </c>
    </row>
    <row r="312" ht="17.25" customHeight="1">
      <c r="A312" s="179"/>
      <c r="B312" s="159" t="s">
        <v>122</v>
      </c>
      <c r="C312" s="133" t="str">
        <f t="shared" si="2"/>
        <v>0</v>
      </c>
      <c r="D312" s="133" t="str">
        <f t="shared" si="3"/>
        <v>0</v>
      </c>
      <c r="E312" s="133" t="str">
        <f t="shared" si="4"/>
        <v>0</v>
      </c>
      <c r="F312" s="133"/>
      <c r="G312" s="133"/>
      <c r="H312" s="108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72"/>
      <c r="X312" s="159" t="str">
        <f t="shared" si="5"/>
        <v>0</v>
      </c>
      <c r="Y312" s="159" t="str">
        <f>BASE!A316</f>
        <v>301</v>
      </c>
      <c r="Z312" s="177" t="str">
        <f t="shared" si="6"/>
        <v>0</v>
      </c>
      <c r="AA312" s="177" t="str">
        <f t="shared" si="7"/>
        <v>0</v>
      </c>
      <c r="AB312" s="177" t="str">
        <f t="shared" si="8"/>
        <v>0</v>
      </c>
      <c r="AC312" s="177" t="str">
        <f t="shared" si="9"/>
        <v>0</v>
      </c>
      <c r="AD312" s="177" t="str">
        <f t="shared" si="10"/>
        <v>0</v>
      </c>
    </row>
    <row r="313" ht="17.25" customHeight="1">
      <c r="A313" s="179"/>
      <c r="B313" s="159" t="s">
        <v>122</v>
      </c>
      <c r="C313" s="133" t="str">
        <f t="shared" si="2"/>
        <v>0</v>
      </c>
      <c r="D313" s="133" t="str">
        <f t="shared" si="3"/>
        <v>0</v>
      </c>
      <c r="E313" s="133" t="str">
        <f t="shared" si="4"/>
        <v>0</v>
      </c>
      <c r="F313" s="133"/>
      <c r="G313" s="133"/>
      <c r="H313" s="108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72"/>
      <c r="X313" s="159" t="str">
        <f t="shared" si="5"/>
        <v>0</v>
      </c>
      <c r="Y313" s="159" t="str">
        <f>BASE!A317</f>
        <v>302</v>
      </c>
      <c r="Z313" s="177" t="str">
        <f t="shared" si="6"/>
        <v>0</v>
      </c>
      <c r="AA313" s="177" t="str">
        <f t="shared" si="7"/>
        <v>0</v>
      </c>
      <c r="AB313" s="177" t="str">
        <f t="shared" si="8"/>
        <v>0</v>
      </c>
      <c r="AC313" s="177" t="str">
        <f t="shared" si="9"/>
        <v>0</v>
      </c>
      <c r="AD313" s="177" t="str">
        <f t="shared" si="10"/>
        <v>0</v>
      </c>
    </row>
    <row r="314" ht="17.25" customHeight="1">
      <c r="A314" s="179"/>
      <c r="B314" s="159" t="s">
        <v>122</v>
      </c>
      <c r="C314" s="133" t="str">
        <f t="shared" si="2"/>
        <v>0</v>
      </c>
      <c r="D314" s="133" t="str">
        <f t="shared" si="3"/>
        <v>0</v>
      </c>
      <c r="E314" s="133" t="str">
        <f t="shared" si="4"/>
        <v>0</v>
      </c>
      <c r="F314" s="133"/>
      <c r="G314" s="133"/>
      <c r="H314" s="108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72"/>
      <c r="X314" s="159" t="str">
        <f t="shared" si="5"/>
        <v>0</v>
      </c>
      <c r="Y314" s="159" t="str">
        <f>BASE!A318</f>
        <v>303</v>
      </c>
      <c r="Z314" s="177" t="str">
        <f t="shared" si="6"/>
        <v>0</v>
      </c>
      <c r="AA314" s="177" t="str">
        <f t="shared" si="7"/>
        <v>0</v>
      </c>
      <c r="AB314" s="177" t="str">
        <f t="shared" si="8"/>
        <v>0</v>
      </c>
      <c r="AC314" s="177" t="str">
        <f t="shared" si="9"/>
        <v>0</v>
      </c>
      <c r="AD314" s="177" t="str">
        <f t="shared" si="10"/>
        <v>0</v>
      </c>
    </row>
    <row r="315" ht="17.25" customHeight="1">
      <c r="A315" s="179"/>
      <c r="B315" s="159" t="s">
        <v>122</v>
      </c>
      <c r="C315" s="133" t="str">
        <f t="shared" si="2"/>
        <v>0</v>
      </c>
      <c r="D315" s="133" t="str">
        <f t="shared" si="3"/>
        <v>0</v>
      </c>
      <c r="E315" s="133" t="str">
        <f t="shared" si="4"/>
        <v>0</v>
      </c>
      <c r="F315" s="133"/>
      <c r="G315" s="133"/>
      <c r="H315" s="108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72"/>
      <c r="X315" s="159" t="str">
        <f t="shared" si="5"/>
        <v>0</v>
      </c>
      <c r="Y315" s="159" t="str">
        <f>BASE!A319</f>
        <v>304</v>
      </c>
      <c r="Z315" s="177" t="str">
        <f t="shared" si="6"/>
        <v>0</v>
      </c>
      <c r="AA315" s="177" t="str">
        <f t="shared" si="7"/>
        <v>0</v>
      </c>
      <c r="AB315" s="177" t="str">
        <f t="shared" si="8"/>
        <v>0</v>
      </c>
      <c r="AC315" s="177" t="str">
        <f t="shared" si="9"/>
        <v>0</v>
      </c>
      <c r="AD315" s="177" t="str">
        <f t="shared" si="10"/>
        <v>0</v>
      </c>
    </row>
    <row r="316" ht="17.25" customHeight="1">
      <c r="A316" s="179"/>
      <c r="B316" s="159" t="s">
        <v>122</v>
      </c>
      <c r="C316" s="133" t="str">
        <f t="shared" si="2"/>
        <v>0</v>
      </c>
      <c r="D316" s="133" t="str">
        <f t="shared" si="3"/>
        <v>0</v>
      </c>
      <c r="E316" s="133" t="str">
        <f t="shared" si="4"/>
        <v>0</v>
      </c>
      <c r="F316" s="133"/>
      <c r="G316" s="133"/>
      <c r="H316" s="108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72"/>
      <c r="X316" s="159" t="str">
        <f t="shared" si="5"/>
        <v>0</v>
      </c>
      <c r="Y316" s="159" t="str">
        <f>BASE!A320</f>
        <v>305</v>
      </c>
      <c r="Z316" s="177" t="str">
        <f t="shared" si="6"/>
        <v>0</v>
      </c>
      <c r="AA316" s="177" t="str">
        <f t="shared" si="7"/>
        <v>0</v>
      </c>
      <c r="AB316" s="177" t="str">
        <f t="shared" si="8"/>
        <v>0</v>
      </c>
      <c r="AC316" s="177" t="str">
        <f t="shared" si="9"/>
        <v>0</v>
      </c>
      <c r="AD316" s="177" t="str">
        <f t="shared" si="10"/>
        <v>0</v>
      </c>
    </row>
    <row r="317" ht="17.25" customHeight="1">
      <c r="A317" s="179"/>
      <c r="B317" s="159" t="s">
        <v>122</v>
      </c>
      <c r="C317" s="133" t="str">
        <f t="shared" si="2"/>
        <v>0</v>
      </c>
      <c r="D317" s="133" t="str">
        <f t="shared" si="3"/>
        <v>0</v>
      </c>
      <c r="E317" s="133" t="str">
        <f t="shared" si="4"/>
        <v>0</v>
      </c>
      <c r="F317" s="133"/>
      <c r="G317" s="133"/>
      <c r="H317" s="108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72"/>
      <c r="X317" s="159" t="str">
        <f t="shared" si="5"/>
        <v>0</v>
      </c>
      <c r="Y317" s="159" t="str">
        <f>BASE!A321</f>
        <v>306</v>
      </c>
      <c r="Z317" s="177" t="str">
        <f t="shared" si="6"/>
        <v>0</v>
      </c>
      <c r="AA317" s="177" t="str">
        <f t="shared" si="7"/>
        <v>0</v>
      </c>
      <c r="AB317" s="177" t="str">
        <f t="shared" si="8"/>
        <v>0</v>
      </c>
      <c r="AC317" s="177" t="str">
        <f t="shared" si="9"/>
        <v>0</v>
      </c>
      <c r="AD317" s="177" t="str">
        <f t="shared" si="10"/>
        <v>0</v>
      </c>
    </row>
    <row r="318" ht="17.25" customHeight="1">
      <c r="A318" s="179"/>
      <c r="B318" s="159" t="s">
        <v>122</v>
      </c>
      <c r="C318" s="133" t="str">
        <f t="shared" si="2"/>
        <v>0</v>
      </c>
      <c r="D318" s="133" t="str">
        <f t="shared" si="3"/>
        <v>0</v>
      </c>
      <c r="E318" s="133" t="str">
        <f t="shared" si="4"/>
        <v>0</v>
      </c>
      <c r="F318" s="133"/>
      <c r="G318" s="133"/>
      <c r="H318" s="108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72"/>
      <c r="X318" s="159" t="str">
        <f t="shared" si="5"/>
        <v>0</v>
      </c>
      <c r="Y318" s="159" t="str">
        <f>BASE!A322</f>
        <v>307</v>
      </c>
      <c r="Z318" s="177" t="str">
        <f t="shared" si="6"/>
        <v>0</v>
      </c>
      <c r="AA318" s="177" t="str">
        <f t="shared" si="7"/>
        <v>0</v>
      </c>
      <c r="AB318" s="177" t="str">
        <f t="shared" si="8"/>
        <v>0</v>
      </c>
      <c r="AC318" s="177" t="str">
        <f t="shared" si="9"/>
        <v>0</v>
      </c>
      <c r="AD318" s="177" t="str">
        <f t="shared" si="10"/>
        <v>0</v>
      </c>
    </row>
    <row r="319" ht="17.25" customHeight="1">
      <c r="A319" s="179"/>
      <c r="B319" s="159" t="s">
        <v>122</v>
      </c>
      <c r="C319" s="133" t="str">
        <f t="shared" si="2"/>
        <v>0</v>
      </c>
      <c r="D319" s="133" t="str">
        <f t="shared" si="3"/>
        <v>0</v>
      </c>
      <c r="E319" s="133" t="str">
        <f t="shared" si="4"/>
        <v>0</v>
      </c>
      <c r="F319" s="133"/>
      <c r="G319" s="133"/>
      <c r="H319" s="108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72"/>
      <c r="X319" s="159" t="str">
        <f t="shared" si="5"/>
        <v>0</v>
      </c>
      <c r="Y319" s="159" t="str">
        <f>BASE!A323</f>
        <v>308</v>
      </c>
      <c r="Z319" s="177" t="str">
        <f t="shared" si="6"/>
        <v>0</v>
      </c>
      <c r="AA319" s="177" t="str">
        <f t="shared" si="7"/>
        <v>0</v>
      </c>
      <c r="AB319" s="177" t="str">
        <f t="shared" si="8"/>
        <v>0</v>
      </c>
      <c r="AC319" s="177" t="str">
        <f t="shared" si="9"/>
        <v>0</v>
      </c>
      <c r="AD319" s="177" t="str">
        <f t="shared" si="10"/>
        <v>0</v>
      </c>
    </row>
    <row r="320" ht="17.25" customHeight="1">
      <c r="A320" s="179"/>
      <c r="B320" s="159" t="s">
        <v>122</v>
      </c>
      <c r="C320" s="133" t="str">
        <f t="shared" si="2"/>
        <v>0</v>
      </c>
      <c r="D320" s="133" t="str">
        <f t="shared" si="3"/>
        <v>0</v>
      </c>
      <c r="E320" s="133" t="str">
        <f t="shared" si="4"/>
        <v>0</v>
      </c>
      <c r="F320" s="133"/>
      <c r="G320" s="133"/>
      <c r="H320" s="108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72"/>
      <c r="X320" s="159" t="str">
        <f t="shared" si="5"/>
        <v>0</v>
      </c>
      <c r="Y320" s="159" t="str">
        <f>BASE!A324</f>
        <v>309</v>
      </c>
      <c r="Z320" s="177" t="str">
        <f t="shared" si="6"/>
        <v>0</v>
      </c>
      <c r="AA320" s="177" t="str">
        <f t="shared" si="7"/>
        <v>0</v>
      </c>
      <c r="AB320" s="177" t="str">
        <f t="shared" si="8"/>
        <v>0</v>
      </c>
      <c r="AC320" s="177" t="str">
        <f t="shared" si="9"/>
        <v>0</v>
      </c>
      <c r="AD320" s="177" t="str">
        <f t="shared" si="10"/>
        <v>0</v>
      </c>
    </row>
    <row r="321" ht="17.25" customHeight="1">
      <c r="A321" s="179"/>
      <c r="B321" s="159" t="s">
        <v>122</v>
      </c>
      <c r="C321" s="133" t="str">
        <f t="shared" si="2"/>
        <v>0</v>
      </c>
      <c r="D321" s="133" t="str">
        <f t="shared" si="3"/>
        <v>0</v>
      </c>
      <c r="E321" s="133" t="str">
        <f t="shared" si="4"/>
        <v>0</v>
      </c>
      <c r="F321" s="133"/>
      <c r="G321" s="133"/>
      <c r="H321" s="108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72"/>
      <c r="X321" s="159" t="str">
        <f t="shared" si="5"/>
        <v>0</v>
      </c>
      <c r="Y321" s="159" t="str">
        <f>BASE!A325</f>
        <v>310</v>
      </c>
      <c r="Z321" s="177" t="str">
        <f t="shared" si="6"/>
        <v>0</v>
      </c>
      <c r="AA321" s="177" t="str">
        <f t="shared" si="7"/>
        <v>0</v>
      </c>
      <c r="AB321" s="177" t="str">
        <f t="shared" si="8"/>
        <v>0</v>
      </c>
      <c r="AC321" s="177" t="str">
        <f t="shared" si="9"/>
        <v>0</v>
      </c>
      <c r="AD321" s="177" t="str">
        <f t="shared" si="10"/>
        <v>0</v>
      </c>
    </row>
    <row r="322" ht="17.25" customHeight="1">
      <c r="A322" s="179"/>
      <c r="B322" s="159" t="s">
        <v>122</v>
      </c>
      <c r="C322" s="133" t="str">
        <f t="shared" si="2"/>
        <v>0</v>
      </c>
      <c r="D322" s="133" t="str">
        <f t="shared" si="3"/>
        <v>0</v>
      </c>
      <c r="E322" s="133" t="str">
        <f t="shared" si="4"/>
        <v>0</v>
      </c>
      <c r="F322" s="133"/>
      <c r="G322" s="133"/>
      <c r="H322" s="108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72"/>
      <c r="X322" s="159" t="str">
        <f t="shared" si="5"/>
        <v>0</v>
      </c>
      <c r="Y322" s="159" t="str">
        <f>BASE!A326</f>
        <v>311</v>
      </c>
      <c r="Z322" s="177" t="str">
        <f t="shared" si="6"/>
        <v>0</v>
      </c>
      <c r="AA322" s="177" t="str">
        <f t="shared" si="7"/>
        <v>0</v>
      </c>
      <c r="AB322" s="177" t="str">
        <f t="shared" si="8"/>
        <v>0</v>
      </c>
      <c r="AC322" s="177" t="str">
        <f t="shared" si="9"/>
        <v>0</v>
      </c>
      <c r="AD322" s="177" t="str">
        <f t="shared" si="10"/>
        <v>0</v>
      </c>
    </row>
    <row r="323" ht="17.25" customHeight="1">
      <c r="A323" s="179"/>
      <c r="B323" s="159" t="s">
        <v>122</v>
      </c>
      <c r="C323" s="133" t="str">
        <f t="shared" si="2"/>
        <v>0</v>
      </c>
      <c r="D323" s="133" t="str">
        <f t="shared" si="3"/>
        <v>0</v>
      </c>
      <c r="E323" s="133" t="str">
        <f t="shared" si="4"/>
        <v>0</v>
      </c>
      <c r="F323" s="133"/>
      <c r="G323" s="133"/>
      <c r="H323" s="108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72"/>
      <c r="X323" s="159" t="str">
        <f t="shared" si="5"/>
        <v>0</v>
      </c>
      <c r="Y323" s="159" t="str">
        <f>BASE!A327</f>
        <v>312</v>
      </c>
      <c r="Z323" s="177" t="str">
        <f t="shared" si="6"/>
        <v>0</v>
      </c>
      <c r="AA323" s="177" t="str">
        <f t="shared" si="7"/>
        <v>0</v>
      </c>
      <c r="AB323" s="177" t="str">
        <f t="shared" si="8"/>
        <v>0</v>
      </c>
      <c r="AC323" s="177" t="str">
        <f t="shared" si="9"/>
        <v>0</v>
      </c>
      <c r="AD323" s="177" t="str">
        <f t="shared" si="10"/>
        <v>0</v>
      </c>
    </row>
    <row r="324" ht="17.25" customHeight="1">
      <c r="A324" s="179"/>
      <c r="B324" s="159" t="s">
        <v>122</v>
      </c>
      <c r="C324" s="133" t="str">
        <f t="shared" si="2"/>
        <v>0</v>
      </c>
      <c r="D324" s="133" t="str">
        <f t="shared" si="3"/>
        <v>0</v>
      </c>
      <c r="E324" s="133" t="str">
        <f t="shared" si="4"/>
        <v>0</v>
      </c>
      <c r="F324" s="133"/>
      <c r="G324" s="133"/>
      <c r="H324" s="108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72"/>
      <c r="X324" s="159" t="str">
        <f t="shared" si="5"/>
        <v>0</v>
      </c>
      <c r="Y324" s="159" t="str">
        <f>BASE!A328</f>
        <v>313</v>
      </c>
      <c r="Z324" s="177" t="str">
        <f t="shared" si="6"/>
        <v>0</v>
      </c>
      <c r="AA324" s="177" t="str">
        <f t="shared" si="7"/>
        <v>0</v>
      </c>
      <c r="AB324" s="177" t="str">
        <f t="shared" si="8"/>
        <v>0</v>
      </c>
      <c r="AC324" s="177" t="str">
        <f t="shared" si="9"/>
        <v>0</v>
      </c>
      <c r="AD324" s="177" t="str">
        <f t="shared" si="10"/>
        <v>0</v>
      </c>
    </row>
    <row r="325" ht="17.25" customHeight="1">
      <c r="A325" s="179"/>
      <c r="B325" s="159" t="s">
        <v>122</v>
      </c>
      <c r="C325" s="133" t="str">
        <f t="shared" si="2"/>
        <v>0</v>
      </c>
      <c r="D325" s="133" t="str">
        <f t="shared" si="3"/>
        <v>0</v>
      </c>
      <c r="E325" s="133" t="str">
        <f t="shared" si="4"/>
        <v>0</v>
      </c>
      <c r="F325" s="133"/>
      <c r="G325" s="133"/>
      <c r="H325" s="108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72"/>
      <c r="X325" s="159" t="str">
        <f t="shared" si="5"/>
        <v>0</v>
      </c>
      <c r="Y325" s="159" t="str">
        <f>BASE!A329</f>
        <v>314</v>
      </c>
      <c r="Z325" s="177" t="str">
        <f t="shared" si="6"/>
        <v>0</v>
      </c>
      <c r="AA325" s="177" t="str">
        <f t="shared" si="7"/>
        <v>0</v>
      </c>
      <c r="AB325" s="177" t="str">
        <f t="shared" si="8"/>
        <v>0</v>
      </c>
      <c r="AC325" s="177" t="str">
        <f t="shared" si="9"/>
        <v>0</v>
      </c>
      <c r="AD325" s="177" t="str">
        <f t="shared" si="10"/>
        <v>0</v>
      </c>
    </row>
    <row r="326" ht="17.25" customHeight="1">
      <c r="A326" s="179"/>
      <c r="B326" s="159" t="s">
        <v>122</v>
      </c>
      <c r="C326" s="133" t="str">
        <f t="shared" si="2"/>
        <v>0</v>
      </c>
      <c r="D326" s="133" t="str">
        <f t="shared" si="3"/>
        <v>0</v>
      </c>
      <c r="E326" s="133" t="str">
        <f t="shared" si="4"/>
        <v>0</v>
      </c>
      <c r="F326" s="133"/>
      <c r="G326" s="133"/>
      <c r="H326" s="108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72"/>
      <c r="X326" s="159" t="str">
        <f t="shared" si="5"/>
        <v>0</v>
      </c>
      <c r="Y326" s="159" t="str">
        <f>BASE!A330</f>
        <v>315</v>
      </c>
      <c r="Z326" s="177" t="str">
        <f t="shared" si="6"/>
        <v>0</v>
      </c>
      <c r="AA326" s="177" t="str">
        <f t="shared" si="7"/>
        <v>0</v>
      </c>
      <c r="AB326" s="177" t="str">
        <f t="shared" si="8"/>
        <v>0</v>
      </c>
      <c r="AC326" s="177" t="str">
        <f t="shared" si="9"/>
        <v>0</v>
      </c>
      <c r="AD326" s="177" t="str">
        <f t="shared" si="10"/>
        <v>0</v>
      </c>
    </row>
    <row r="327" ht="17.25" customHeight="1">
      <c r="A327" s="179"/>
      <c r="B327" s="159" t="s">
        <v>122</v>
      </c>
      <c r="C327" s="133" t="str">
        <f t="shared" si="2"/>
        <v>0</v>
      </c>
      <c r="D327" s="133" t="str">
        <f t="shared" si="3"/>
        <v>0</v>
      </c>
      <c r="E327" s="133" t="str">
        <f t="shared" si="4"/>
        <v>0</v>
      </c>
      <c r="F327" s="133"/>
      <c r="G327" s="133"/>
      <c r="H327" s="108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72"/>
      <c r="X327" s="159" t="str">
        <f t="shared" si="5"/>
        <v>0</v>
      </c>
      <c r="Y327" s="159" t="str">
        <f>BASE!A331</f>
        <v>316</v>
      </c>
      <c r="Z327" s="177" t="str">
        <f t="shared" si="6"/>
        <v>0</v>
      </c>
      <c r="AA327" s="177" t="str">
        <f t="shared" si="7"/>
        <v>0</v>
      </c>
      <c r="AB327" s="177" t="str">
        <f t="shared" si="8"/>
        <v>0</v>
      </c>
      <c r="AC327" s="177" t="str">
        <f t="shared" si="9"/>
        <v>0</v>
      </c>
      <c r="AD327" s="177" t="str">
        <f t="shared" si="10"/>
        <v>0</v>
      </c>
    </row>
    <row r="328" ht="17.25" customHeight="1">
      <c r="A328" s="179"/>
      <c r="B328" s="159" t="s">
        <v>122</v>
      </c>
      <c r="C328" s="133" t="str">
        <f t="shared" si="2"/>
        <v>0</v>
      </c>
      <c r="D328" s="133" t="str">
        <f t="shared" si="3"/>
        <v>0</v>
      </c>
      <c r="E328" s="133" t="str">
        <f t="shared" si="4"/>
        <v>0</v>
      </c>
      <c r="F328" s="133"/>
      <c r="G328" s="133"/>
      <c r="H328" s="108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72"/>
      <c r="X328" s="159" t="str">
        <f t="shared" si="5"/>
        <v>0</v>
      </c>
      <c r="Y328" s="159" t="str">
        <f>BASE!A332</f>
        <v>317</v>
      </c>
      <c r="Z328" s="177" t="str">
        <f t="shared" si="6"/>
        <v>0</v>
      </c>
      <c r="AA328" s="177" t="str">
        <f t="shared" si="7"/>
        <v>0</v>
      </c>
      <c r="AB328" s="177" t="str">
        <f t="shared" si="8"/>
        <v>0</v>
      </c>
      <c r="AC328" s="177" t="str">
        <f t="shared" si="9"/>
        <v>0</v>
      </c>
      <c r="AD328" s="177" t="str">
        <f t="shared" si="10"/>
        <v>0</v>
      </c>
    </row>
    <row r="329" ht="17.25" customHeight="1">
      <c r="A329" s="179"/>
      <c r="B329" s="159" t="s">
        <v>122</v>
      </c>
      <c r="C329" s="133" t="str">
        <f t="shared" si="2"/>
        <v>0</v>
      </c>
      <c r="D329" s="133" t="str">
        <f t="shared" si="3"/>
        <v>0</v>
      </c>
      <c r="E329" s="133" t="str">
        <f t="shared" si="4"/>
        <v>0</v>
      </c>
      <c r="F329" s="133"/>
      <c r="G329" s="133"/>
      <c r="H329" s="108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72"/>
      <c r="X329" s="159" t="str">
        <f t="shared" si="5"/>
        <v>0</v>
      </c>
      <c r="Y329" s="159" t="str">
        <f>BASE!A333</f>
        <v>318</v>
      </c>
      <c r="Z329" s="177" t="str">
        <f t="shared" si="6"/>
        <v>0</v>
      </c>
      <c r="AA329" s="177" t="str">
        <f t="shared" si="7"/>
        <v>0</v>
      </c>
      <c r="AB329" s="177" t="str">
        <f t="shared" si="8"/>
        <v>0</v>
      </c>
      <c r="AC329" s="177" t="str">
        <f t="shared" si="9"/>
        <v>0</v>
      </c>
      <c r="AD329" s="177" t="str">
        <f t="shared" si="10"/>
        <v>0</v>
      </c>
    </row>
    <row r="330" ht="17.25" customHeight="1">
      <c r="A330" s="179"/>
      <c r="B330" s="159" t="s">
        <v>122</v>
      </c>
      <c r="C330" s="133" t="str">
        <f t="shared" si="2"/>
        <v>0</v>
      </c>
      <c r="D330" s="133" t="str">
        <f t="shared" si="3"/>
        <v>0</v>
      </c>
      <c r="E330" s="133" t="str">
        <f t="shared" si="4"/>
        <v>0</v>
      </c>
      <c r="F330" s="133"/>
      <c r="G330" s="133"/>
      <c r="H330" s="108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72"/>
      <c r="X330" s="159" t="str">
        <f t="shared" si="5"/>
        <v>0</v>
      </c>
      <c r="Y330" s="159" t="str">
        <f>BASE!A334</f>
        <v>319</v>
      </c>
      <c r="Z330" s="177" t="str">
        <f t="shared" si="6"/>
        <v>0</v>
      </c>
      <c r="AA330" s="177" t="str">
        <f t="shared" si="7"/>
        <v>0</v>
      </c>
      <c r="AB330" s="177" t="str">
        <f t="shared" si="8"/>
        <v>0</v>
      </c>
      <c r="AC330" s="177" t="str">
        <f t="shared" si="9"/>
        <v>0</v>
      </c>
      <c r="AD330" s="177" t="str">
        <f t="shared" si="10"/>
        <v>0</v>
      </c>
    </row>
    <row r="331" ht="17.25" customHeight="1">
      <c r="A331" s="179"/>
      <c r="B331" s="159" t="s">
        <v>122</v>
      </c>
      <c r="C331" s="133" t="str">
        <f t="shared" si="2"/>
        <v>0</v>
      </c>
      <c r="D331" s="133" t="str">
        <f t="shared" si="3"/>
        <v>0</v>
      </c>
      <c r="E331" s="133" t="str">
        <f t="shared" si="4"/>
        <v>0</v>
      </c>
      <c r="F331" s="133"/>
      <c r="G331" s="133"/>
      <c r="H331" s="108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72"/>
      <c r="X331" s="159" t="str">
        <f t="shared" si="5"/>
        <v>0</v>
      </c>
      <c r="Y331" s="159" t="str">
        <f>BASE!A335</f>
        <v>320</v>
      </c>
      <c r="Z331" s="177" t="str">
        <f t="shared" si="6"/>
        <v>0</v>
      </c>
      <c r="AA331" s="177" t="str">
        <f t="shared" si="7"/>
        <v>0</v>
      </c>
      <c r="AB331" s="177" t="str">
        <f t="shared" si="8"/>
        <v>0</v>
      </c>
      <c r="AC331" s="177" t="str">
        <f t="shared" si="9"/>
        <v>0</v>
      </c>
      <c r="AD331" s="177" t="str">
        <f t="shared" si="10"/>
        <v>0</v>
      </c>
    </row>
    <row r="332" ht="17.25" customHeight="1">
      <c r="A332" s="179"/>
      <c r="B332" s="159" t="s">
        <v>122</v>
      </c>
      <c r="C332" s="133" t="str">
        <f t="shared" si="2"/>
        <v>0</v>
      </c>
      <c r="D332" s="133" t="str">
        <f t="shared" si="3"/>
        <v>0</v>
      </c>
      <c r="E332" s="133" t="str">
        <f t="shared" si="4"/>
        <v>0</v>
      </c>
      <c r="F332" s="133"/>
      <c r="G332" s="133"/>
      <c r="H332" s="108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72"/>
      <c r="X332" s="159" t="str">
        <f t="shared" si="5"/>
        <v>0</v>
      </c>
      <c r="Y332" s="159" t="str">
        <f>BASE!A336</f>
        <v>321</v>
      </c>
      <c r="Z332" s="177" t="str">
        <f t="shared" si="6"/>
        <v>0</v>
      </c>
      <c r="AA332" s="177" t="str">
        <f t="shared" si="7"/>
        <v>0</v>
      </c>
      <c r="AB332" s="177" t="str">
        <f t="shared" si="8"/>
        <v>0</v>
      </c>
      <c r="AC332" s="177" t="str">
        <f t="shared" si="9"/>
        <v>0</v>
      </c>
      <c r="AD332" s="177" t="str">
        <f t="shared" si="10"/>
        <v>0</v>
      </c>
    </row>
    <row r="333" ht="17.25" customHeight="1">
      <c r="A333" s="179"/>
      <c r="B333" s="159" t="s">
        <v>122</v>
      </c>
      <c r="C333" s="133" t="str">
        <f t="shared" si="2"/>
        <v>0</v>
      </c>
      <c r="D333" s="133" t="str">
        <f t="shared" si="3"/>
        <v>0</v>
      </c>
      <c r="E333" s="133" t="str">
        <f t="shared" si="4"/>
        <v>0</v>
      </c>
      <c r="F333" s="133"/>
      <c r="G333" s="133"/>
      <c r="H333" s="108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72"/>
      <c r="X333" s="159" t="str">
        <f t="shared" si="5"/>
        <v>0</v>
      </c>
      <c r="Y333" s="159" t="str">
        <f>BASE!A337</f>
        <v>322</v>
      </c>
      <c r="Z333" s="177" t="str">
        <f t="shared" si="6"/>
        <v>0</v>
      </c>
      <c r="AA333" s="177" t="str">
        <f t="shared" si="7"/>
        <v>0</v>
      </c>
      <c r="AB333" s="177" t="str">
        <f t="shared" si="8"/>
        <v>0</v>
      </c>
      <c r="AC333" s="177" t="str">
        <f t="shared" si="9"/>
        <v>0</v>
      </c>
      <c r="AD333" s="177" t="str">
        <f t="shared" si="10"/>
        <v>0</v>
      </c>
    </row>
    <row r="334" ht="17.25" customHeight="1">
      <c r="A334" s="179"/>
      <c r="B334" s="159" t="s">
        <v>122</v>
      </c>
      <c r="C334" s="133" t="str">
        <f t="shared" si="2"/>
        <v>0</v>
      </c>
      <c r="D334" s="133" t="str">
        <f t="shared" si="3"/>
        <v>0</v>
      </c>
      <c r="E334" s="133" t="str">
        <f t="shared" si="4"/>
        <v>0</v>
      </c>
      <c r="F334" s="133"/>
      <c r="G334" s="133"/>
      <c r="H334" s="108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72"/>
      <c r="X334" s="159" t="str">
        <f t="shared" si="5"/>
        <v>0</v>
      </c>
      <c r="Y334" s="159" t="str">
        <f>BASE!A338</f>
        <v>323</v>
      </c>
      <c r="Z334" s="177" t="str">
        <f t="shared" si="6"/>
        <v>0</v>
      </c>
      <c r="AA334" s="177" t="str">
        <f t="shared" si="7"/>
        <v>0</v>
      </c>
      <c r="AB334" s="177" t="str">
        <f t="shared" si="8"/>
        <v>0</v>
      </c>
      <c r="AC334" s="177" t="str">
        <f t="shared" si="9"/>
        <v>0</v>
      </c>
      <c r="AD334" s="177" t="str">
        <f t="shared" si="10"/>
        <v>0</v>
      </c>
    </row>
    <row r="335" ht="17.25" customHeight="1">
      <c r="A335" s="179"/>
      <c r="B335" s="159" t="s">
        <v>122</v>
      </c>
      <c r="C335" s="133" t="str">
        <f t="shared" si="2"/>
        <v>0</v>
      </c>
      <c r="D335" s="133" t="str">
        <f t="shared" si="3"/>
        <v>0</v>
      </c>
      <c r="E335" s="133" t="str">
        <f t="shared" si="4"/>
        <v>0</v>
      </c>
      <c r="F335" s="133"/>
      <c r="G335" s="133"/>
      <c r="H335" s="108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72"/>
      <c r="X335" s="159" t="str">
        <f t="shared" si="5"/>
        <v>0</v>
      </c>
      <c r="Y335" s="159" t="str">
        <f>BASE!A339</f>
        <v>324</v>
      </c>
      <c r="Z335" s="177" t="str">
        <f t="shared" si="6"/>
        <v>0</v>
      </c>
      <c r="AA335" s="177" t="str">
        <f t="shared" si="7"/>
        <v>0</v>
      </c>
      <c r="AB335" s="177" t="str">
        <f t="shared" si="8"/>
        <v>0</v>
      </c>
      <c r="AC335" s="177" t="str">
        <f t="shared" si="9"/>
        <v>0</v>
      </c>
      <c r="AD335" s="177" t="str">
        <f t="shared" si="10"/>
        <v>0</v>
      </c>
    </row>
    <row r="336" ht="17.25" customHeight="1">
      <c r="A336" s="179"/>
      <c r="B336" s="159" t="s">
        <v>122</v>
      </c>
      <c r="C336" s="133" t="str">
        <f t="shared" si="2"/>
        <v>0</v>
      </c>
      <c r="D336" s="133" t="str">
        <f t="shared" si="3"/>
        <v>0</v>
      </c>
      <c r="E336" s="133" t="str">
        <f t="shared" si="4"/>
        <v>0</v>
      </c>
      <c r="F336" s="133"/>
      <c r="G336" s="133"/>
      <c r="H336" s="108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72"/>
      <c r="X336" s="159" t="str">
        <f t="shared" si="5"/>
        <v>0</v>
      </c>
      <c r="Y336" s="159" t="str">
        <f>BASE!A340</f>
        <v>325</v>
      </c>
      <c r="Z336" s="177" t="str">
        <f t="shared" si="6"/>
        <v>0</v>
      </c>
      <c r="AA336" s="177" t="str">
        <f t="shared" si="7"/>
        <v>0</v>
      </c>
      <c r="AB336" s="177" t="str">
        <f t="shared" si="8"/>
        <v>0</v>
      </c>
      <c r="AC336" s="177" t="str">
        <f t="shared" si="9"/>
        <v>0</v>
      </c>
      <c r="AD336" s="177" t="str">
        <f t="shared" si="10"/>
        <v>0</v>
      </c>
    </row>
    <row r="337" ht="17.25" customHeight="1">
      <c r="A337" s="179"/>
      <c r="B337" s="159" t="s">
        <v>122</v>
      </c>
      <c r="C337" s="133" t="str">
        <f t="shared" si="2"/>
        <v>0</v>
      </c>
      <c r="D337" s="133" t="str">
        <f t="shared" si="3"/>
        <v>0</v>
      </c>
      <c r="E337" s="133" t="str">
        <f t="shared" si="4"/>
        <v>0</v>
      </c>
      <c r="F337" s="133"/>
      <c r="G337" s="133"/>
      <c r="H337" s="108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72"/>
      <c r="X337" s="159" t="str">
        <f t="shared" si="5"/>
        <v>0</v>
      </c>
      <c r="Y337" s="159" t="str">
        <f>BASE!A341</f>
        <v>326</v>
      </c>
      <c r="Z337" s="177" t="str">
        <f t="shared" si="6"/>
        <v>0</v>
      </c>
      <c r="AA337" s="177" t="str">
        <f t="shared" si="7"/>
        <v>0</v>
      </c>
      <c r="AB337" s="177" t="str">
        <f t="shared" si="8"/>
        <v>0</v>
      </c>
      <c r="AC337" s="177" t="str">
        <f t="shared" si="9"/>
        <v>0</v>
      </c>
      <c r="AD337" s="177" t="str">
        <f t="shared" si="10"/>
        <v>0</v>
      </c>
    </row>
    <row r="338" ht="17.25" customHeight="1">
      <c r="A338" s="179"/>
      <c r="B338" s="159" t="s">
        <v>122</v>
      </c>
      <c r="C338" s="133" t="str">
        <f t="shared" si="2"/>
        <v>0</v>
      </c>
      <c r="D338" s="133" t="str">
        <f t="shared" si="3"/>
        <v>0</v>
      </c>
      <c r="E338" s="133" t="str">
        <f t="shared" si="4"/>
        <v>0</v>
      </c>
      <c r="F338" s="133"/>
      <c r="G338" s="133"/>
      <c r="H338" s="108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72"/>
      <c r="X338" s="159" t="str">
        <f t="shared" si="5"/>
        <v>0</v>
      </c>
      <c r="Y338" s="159" t="str">
        <f>BASE!A342</f>
        <v>327</v>
      </c>
      <c r="Z338" s="177" t="str">
        <f t="shared" si="6"/>
        <v>0</v>
      </c>
      <c r="AA338" s="177" t="str">
        <f t="shared" si="7"/>
        <v>0</v>
      </c>
      <c r="AB338" s="177" t="str">
        <f t="shared" si="8"/>
        <v>0</v>
      </c>
      <c r="AC338" s="177" t="str">
        <f t="shared" si="9"/>
        <v>0</v>
      </c>
      <c r="AD338" s="177" t="str">
        <f t="shared" si="10"/>
        <v>0</v>
      </c>
    </row>
    <row r="339" ht="17.25" customHeight="1">
      <c r="A339" s="179"/>
      <c r="B339" s="159" t="s">
        <v>122</v>
      </c>
      <c r="C339" s="133" t="str">
        <f t="shared" si="2"/>
        <v>0</v>
      </c>
      <c r="D339" s="133" t="str">
        <f t="shared" si="3"/>
        <v>0</v>
      </c>
      <c r="E339" s="133" t="str">
        <f t="shared" si="4"/>
        <v>0</v>
      </c>
      <c r="F339" s="133"/>
      <c r="G339" s="133"/>
      <c r="H339" s="108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72"/>
      <c r="X339" s="159" t="str">
        <f t="shared" si="5"/>
        <v>0</v>
      </c>
      <c r="Y339" s="159" t="str">
        <f>BASE!A343</f>
        <v>328</v>
      </c>
      <c r="Z339" s="177" t="str">
        <f t="shared" si="6"/>
        <v>0</v>
      </c>
      <c r="AA339" s="177" t="str">
        <f t="shared" si="7"/>
        <v>0</v>
      </c>
      <c r="AB339" s="177" t="str">
        <f t="shared" si="8"/>
        <v>0</v>
      </c>
      <c r="AC339" s="177" t="str">
        <f t="shared" si="9"/>
        <v>0</v>
      </c>
      <c r="AD339" s="177" t="str">
        <f t="shared" si="10"/>
        <v>0</v>
      </c>
    </row>
    <row r="340" ht="17.25" customHeight="1">
      <c r="A340" s="179"/>
      <c r="B340" s="159" t="s">
        <v>122</v>
      </c>
      <c r="C340" s="133" t="str">
        <f t="shared" si="2"/>
        <v>0</v>
      </c>
      <c r="D340" s="133" t="str">
        <f t="shared" si="3"/>
        <v>0</v>
      </c>
      <c r="E340" s="133" t="str">
        <f t="shared" si="4"/>
        <v>0</v>
      </c>
      <c r="F340" s="133"/>
      <c r="G340" s="133"/>
      <c r="H340" s="108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72"/>
      <c r="X340" s="159" t="str">
        <f t="shared" si="5"/>
        <v>0</v>
      </c>
      <c r="Y340" s="159" t="str">
        <f>BASE!A344</f>
        <v>329</v>
      </c>
      <c r="Z340" s="177" t="str">
        <f t="shared" si="6"/>
        <v>0</v>
      </c>
      <c r="AA340" s="177" t="str">
        <f t="shared" si="7"/>
        <v>0</v>
      </c>
      <c r="AB340" s="177" t="str">
        <f t="shared" si="8"/>
        <v>0</v>
      </c>
      <c r="AC340" s="177" t="str">
        <f t="shared" si="9"/>
        <v>0</v>
      </c>
      <c r="AD340" s="177" t="str">
        <f t="shared" si="10"/>
        <v>0</v>
      </c>
    </row>
    <row r="341" ht="17.25" customHeight="1">
      <c r="A341" s="179"/>
      <c r="B341" s="159" t="s">
        <v>122</v>
      </c>
      <c r="C341" s="133" t="str">
        <f t="shared" si="2"/>
        <v>0</v>
      </c>
      <c r="D341" s="133" t="str">
        <f t="shared" si="3"/>
        <v>0</v>
      </c>
      <c r="E341" s="133" t="str">
        <f t="shared" si="4"/>
        <v>0</v>
      </c>
      <c r="F341" s="133"/>
      <c r="G341" s="133"/>
      <c r="H341" s="108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72"/>
      <c r="X341" s="159" t="str">
        <f t="shared" si="5"/>
        <v>0</v>
      </c>
      <c r="Y341" s="159" t="str">
        <f>BASE!A345</f>
        <v>330</v>
      </c>
      <c r="Z341" s="177" t="str">
        <f t="shared" si="6"/>
        <v>0</v>
      </c>
      <c r="AA341" s="177" t="str">
        <f t="shared" si="7"/>
        <v>0</v>
      </c>
      <c r="AB341" s="177" t="str">
        <f t="shared" si="8"/>
        <v>0</v>
      </c>
      <c r="AC341" s="177" t="str">
        <f t="shared" si="9"/>
        <v>0</v>
      </c>
      <c r="AD341" s="177" t="str">
        <f t="shared" si="10"/>
        <v>0</v>
      </c>
    </row>
    <row r="342" ht="17.25" customHeight="1">
      <c r="A342" s="179"/>
      <c r="B342" s="159" t="s">
        <v>122</v>
      </c>
      <c r="C342" s="133" t="str">
        <f t="shared" si="2"/>
        <v>0</v>
      </c>
      <c r="D342" s="133" t="str">
        <f t="shared" si="3"/>
        <v>0</v>
      </c>
      <c r="E342" s="133" t="str">
        <f t="shared" si="4"/>
        <v>0</v>
      </c>
      <c r="F342" s="133"/>
      <c r="G342" s="133"/>
      <c r="H342" s="108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72"/>
      <c r="X342" s="159" t="str">
        <f t="shared" si="5"/>
        <v>0</v>
      </c>
      <c r="Y342" s="159" t="str">
        <f>BASE!A346</f>
        <v>331</v>
      </c>
      <c r="Z342" s="177" t="str">
        <f t="shared" si="6"/>
        <v>0</v>
      </c>
      <c r="AA342" s="177" t="str">
        <f t="shared" si="7"/>
        <v>0</v>
      </c>
      <c r="AB342" s="177" t="str">
        <f t="shared" si="8"/>
        <v>0</v>
      </c>
      <c r="AC342" s="177" t="str">
        <f t="shared" si="9"/>
        <v>0</v>
      </c>
      <c r="AD342" s="177" t="str">
        <f t="shared" si="10"/>
        <v>0</v>
      </c>
    </row>
    <row r="343" ht="17.25" customHeight="1">
      <c r="A343" s="179"/>
      <c r="B343" s="159" t="s">
        <v>122</v>
      </c>
      <c r="C343" s="133" t="str">
        <f t="shared" si="2"/>
        <v>0</v>
      </c>
      <c r="D343" s="133" t="str">
        <f t="shared" si="3"/>
        <v>0</v>
      </c>
      <c r="E343" s="133" t="str">
        <f t="shared" si="4"/>
        <v>0</v>
      </c>
      <c r="F343" s="133"/>
      <c r="G343" s="133"/>
      <c r="H343" s="108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72"/>
      <c r="X343" s="159" t="str">
        <f t="shared" si="5"/>
        <v>0</v>
      </c>
      <c r="Y343" s="159" t="str">
        <f>BASE!A347</f>
        <v>332</v>
      </c>
      <c r="Z343" s="177" t="str">
        <f t="shared" si="6"/>
        <v>0</v>
      </c>
      <c r="AA343" s="177" t="str">
        <f t="shared" si="7"/>
        <v>0</v>
      </c>
      <c r="AB343" s="177" t="str">
        <f t="shared" si="8"/>
        <v>0</v>
      </c>
      <c r="AC343" s="177" t="str">
        <f t="shared" si="9"/>
        <v>0</v>
      </c>
      <c r="AD343" s="177" t="str">
        <f t="shared" si="10"/>
        <v>0</v>
      </c>
    </row>
    <row r="344" ht="17.25" customHeight="1">
      <c r="A344" s="179"/>
      <c r="B344" s="159" t="s">
        <v>122</v>
      </c>
      <c r="C344" s="133" t="str">
        <f t="shared" si="2"/>
        <v>0</v>
      </c>
      <c r="D344" s="133" t="str">
        <f t="shared" si="3"/>
        <v>0</v>
      </c>
      <c r="E344" s="133" t="str">
        <f t="shared" si="4"/>
        <v>0</v>
      </c>
      <c r="F344" s="133"/>
      <c r="G344" s="133"/>
      <c r="H344" s="108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72"/>
      <c r="X344" s="159" t="str">
        <f t="shared" si="5"/>
        <v>0</v>
      </c>
      <c r="Y344" s="159" t="str">
        <f>BASE!A348</f>
        <v>333</v>
      </c>
      <c r="Z344" s="177" t="str">
        <f t="shared" si="6"/>
        <v>0</v>
      </c>
      <c r="AA344" s="177" t="str">
        <f t="shared" si="7"/>
        <v>0</v>
      </c>
      <c r="AB344" s="177" t="str">
        <f t="shared" si="8"/>
        <v>0</v>
      </c>
      <c r="AC344" s="177" t="str">
        <f t="shared" si="9"/>
        <v>0</v>
      </c>
      <c r="AD344" s="177" t="str">
        <f t="shared" si="10"/>
        <v>0</v>
      </c>
    </row>
    <row r="345" ht="17.25" customHeight="1">
      <c r="A345" s="179"/>
      <c r="B345" s="159" t="s">
        <v>122</v>
      </c>
      <c r="C345" s="133" t="str">
        <f t="shared" si="2"/>
        <v>0</v>
      </c>
      <c r="D345" s="133" t="str">
        <f t="shared" si="3"/>
        <v>0</v>
      </c>
      <c r="E345" s="133" t="str">
        <f t="shared" si="4"/>
        <v>0</v>
      </c>
      <c r="F345" s="133"/>
      <c r="G345" s="133"/>
      <c r="H345" s="108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72"/>
      <c r="X345" s="159" t="str">
        <f t="shared" si="5"/>
        <v>0</v>
      </c>
      <c r="Y345" s="159" t="str">
        <f>BASE!A349</f>
        <v>334</v>
      </c>
      <c r="Z345" s="177" t="str">
        <f t="shared" si="6"/>
        <v>0</v>
      </c>
      <c r="AA345" s="177" t="str">
        <f t="shared" si="7"/>
        <v>0</v>
      </c>
      <c r="AB345" s="177" t="str">
        <f t="shared" si="8"/>
        <v>0</v>
      </c>
      <c r="AC345" s="177" t="str">
        <f t="shared" si="9"/>
        <v>0</v>
      </c>
      <c r="AD345" s="177" t="str">
        <f t="shared" si="10"/>
        <v>0</v>
      </c>
    </row>
    <row r="346" ht="17.25" customHeight="1">
      <c r="A346" s="179"/>
      <c r="B346" s="159" t="s">
        <v>122</v>
      </c>
      <c r="C346" s="133" t="str">
        <f t="shared" si="2"/>
        <v>0</v>
      </c>
      <c r="D346" s="133" t="str">
        <f t="shared" si="3"/>
        <v>0</v>
      </c>
      <c r="E346" s="133" t="str">
        <f t="shared" si="4"/>
        <v>0</v>
      </c>
      <c r="F346" s="133"/>
      <c r="G346" s="133"/>
      <c r="H346" s="108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72"/>
      <c r="X346" s="159" t="str">
        <f t="shared" si="5"/>
        <v>0</v>
      </c>
      <c r="Y346" s="159" t="str">
        <f>BASE!A350</f>
        <v>335</v>
      </c>
      <c r="Z346" s="177" t="str">
        <f t="shared" si="6"/>
        <v>0</v>
      </c>
      <c r="AA346" s="177" t="str">
        <f t="shared" si="7"/>
        <v>0</v>
      </c>
      <c r="AB346" s="177" t="str">
        <f t="shared" si="8"/>
        <v>0</v>
      </c>
      <c r="AC346" s="177" t="str">
        <f t="shared" si="9"/>
        <v>0</v>
      </c>
      <c r="AD346" s="177" t="str">
        <f t="shared" si="10"/>
        <v>0</v>
      </c>
    </row>
    <row r="347" ht="17.25" customHeight="1">
      <c r="A347" s="179"/>
      <c r="B347" s="159" t="s">
        <v>122</v>
      </c>
      <c r="C347" s="133" t="str">
        <f t="shared" si="2"/>
        <v>0</v>
      </c>
      <c r="D347" s="133" t="str">
        <f t="shared" si="3"/>
        <v>0</v>
      </c>
      <c r="E347" s="133" t="str">
        <f t="shared" si="4"/>
        <v>0</v>
      </c>
      <c r="F347" s="133"/>
      <c r="G347" s="133"/>
      <c r="H347" s="108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72"/>
      <c r="X347" s="159" t="str">
        <f t="shared" si="5"/>
        <v>0</v>
      </c>
      <c r="Y347" s="159" t="str">
        <f>BASE!A351</f>
        <v>336</v>
      </c>
      <c r="Z347" s="177" t="str">
        <f t="shared" si="6"/>
        <v>0</v>
      </c>
      <c r="AA347" s="177" t="str">
        <f t="shared" si="7"/>
        <v>0</v>
      </c>
      <c r="AB347" s="177" t="str">
        <f t="shared" si="8"/>
        <v>0</v>
      </c>
      <c r="AC347" s="177" t="str">
        <f t="shared" si="9"/>
        <v>0</v>
      </c>
      <c r="AD347" s="177" t="str">
        <f t="shared" si="10"/>
        <v>0</v>
      </c>
    </row>
    <row r="348" ht="17.25" customHeight="1">
      <c r="A348" s="179"/>
      <c r="B348" s="159" t="s">
        <v>122</v>
      </c>
      <c r="C348" s="133" t="str">
        <f t="shared" si="2"/>
        <v>0</v>
      </c>
      <c r="D348" s="133" t="str">
        <f t="shared" si="3"/>
        <v>0</v>
      </c>
      <c r="E348" s="133" t="str">
        <f t="shared" si="4"/>
        <v>0</v>
      </c>
      <c r="F348" s="133"/>
      <c r="G348" s="133"/>
      <c r="H348" s="108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72"/>
      <c r="X348" s="159" t="str">
        <f t="shared" si="5"/>
        <v>0</v>
      </c>
      <c r="Y348" s="159" t="str">
        <f>BASE!A352</f>
        <v>337</v>
      </c>
      <c r="Z348" s="177" t="str">
        <f t="shared" si="6"/>
        <v>0</v>
      </c>
      <c r="AA348" s="177" t="str">
        <f t="shared" si="7"/>
        <v>0</v>
      </c>
      <c r="AB348" s="177" t="str">
        <f t="shared" si="8"/>
        <v>0</v>
      </c>
      <c r="AC348" s="177" t="str">
        <f t="shared" si="9"/>
        <v>0</v>
      </c>
      <c r="AD348" s="177" t="str">
        <f t="shared" si="10"/>
        <v>0</v>
      </c>
    </row>
    <row r="349" ht="17.25" customHeight="1">
      <c r="A349" s="179"/>
      <c r="B349" s="159" t="s">
        <v>122</v>
      </c>
      <c r="C349" s="133" t="str">
        <f t="shared" si="2"/>
        <v>0</v>
      </c>
      <c r="D349" s="133" t="str">
        <f t="shared" si="3"/>
        <v>0</v>
      </c>
      <c r="E349" s="133" t="str">
        <f t="shared" si="4"/>
        <v>0</v>
      </c>
      <c r="F349" s="133"/>
      <c r="G349" s="133"/>
      <c r="H349" s="108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72"/>
      <c r="X349" s="159" t="str">
        <f t="shared" si="5"/>
        <v>0</v>
      </c>
      <c r="Y349" s="159" t="str">
        <f>BASE!A353</f>
        <v>338</v>
      </c>
      <c r="Z349" s="177" t="str">
        <f t="shared" si="6"/>
        <v>0</v>
      </c>
      <c r="AA349" s="177" t="str">
        <f t="shared" si="7"/>
        <v>0</v>
      </c>
      <c r="AB349" s="177" t="str">
        <f t="shared" si="8"/>
        <v>0</v>
      </c>
      <c r="AC349" s="177" t="str">
        <f t="shared" si="9"/>
        <v>0</v>
      </c>
      <c r="AD349" s="177" t="str">
        <f t="shared" si="10"/>
        <v>0</v>
      </c>
    </row>
    <row r="350" ht="17.25" customHeight="1">
      <c r="A350" s="179"/>
      <c r="B350" s="159" t="s">
        <v>122</v>
      </c>
      <c r="C350" s="133" t="str">
        <f t="shared" si="2"/>
        <v>0</v>
      </c>
      <c r="D350" s="133" t="str">
        <f t="shared" si="3"/>
        <v>0</v>
      </c>
      <c r="E350" s="133" t="str">
        <f t="shared" si="4"/>
        <v>0</v>
      </c>
      <c r="F350" s="133"/>
      <c r="G350" s="133"/>
      <c r="H350" s="108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72"/>
      <c r="X350" s="159" t="str">
        <f t="shared" si="5"/>
        <v>0</v>
      </c>
      <c r="Y350" s="159" t="str">
        <f>BASE!A354</f>
        <v>339</v>
      </c>
      <c r="Z350" s="177" t="str">
        <f t="shared" si="6"/>
        <v>0</v>
      </c>
      <c r="AA350" s="177" t="str">
        <f t="shared" si="7"/>
        <v>0</v>
      </c>
      <c r="AB350" s="177" t="str">
        <f t="shared" si="8"/>
        <v>0</v>
      </c>
      <c r="AC350" s="177" t="str">
        <f t="shared" si="9"/>
        <v>0</v>
      </c>
      <c r="AD350" s="177" t="str">
        <f t="shared" si="10"/>
        <v>0</v>
      </c>
    </row>
    <row r="351" ht="17.25" customHeight="1">
      <c r="A351" s="179"/>
      <c r="B351" s="159" t="s">
        <v>122</v>
      </c>
      <c r="C351" s="133" t="str">
        <f t="shared" si="2"/>
        <v>0</v>
      </c>
      <c r="D351" s="133" t="str">
        <f t="shared" si="3"/>
        <v>0</v>
      </c>
      <c r="E351" s="133" t="str">
        <f t="shared" si="4"/>
        <v>0</v>
      </c>
      <c r="F351" s="133"/>
      <c r="G351" s="133"/>
      <c r="H351" s="108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72"/>
      <c r="X351" s="159" t="str">
        <f t="shared" si="5"/>
        <v>0</v>
      </c>
      <c r="Y351" s="159" t="str">
        <f>BASE!A355</f>
        <v>340</v>
      </c>
      <c r="Z351" s="177" t="str">
        <f t="shared" si="6"/>
        <v>0</v>
      </c>
      <c r="AA351" s="177" t="str">
        <f t="shared" si="7"/>
        <v>0</v>
      </c>
      <c r="AB351" s="177" t="str">
        <f t="shared" si="8"/>
        <v>0</v>
      </c>
      <c r="AC351" s="177" t="str">
        <f t="shared" si="9"/>
        <v>0</v>
      </c>
      <c r="AD351" s="177" t="str">
        <f t="shared" si="10"/>
        <v>0</v>
      </c>
    </row>
    <row r="352" ht="17.25" customHeight="1">
      <c r="A352" s="179"/>
      <c r="B352" s="159" t="s">
        <v>122</v>
      </c>
      <c r="C352" s="133" t="str">
        <f t="shared" si="2"/>
        <v>0</v>
      </c>
      <c r="D352" s="133" t="str">
        <f t="shared" si="3"/>
        <v>0</v>
      </c>
      <c r="E352" s="133" t="str">
        <f t="shared" si="4"/>
        <v>0</v>
      </c>
      <c r="F352" s="133"/>
      <c r="G352" s="133"/>
      <c r="H352" s="108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72"/>
      <c r="X352" s="159" t="str">
        <f t="shared" si="5"/>
        <v>0</v>
      </c>
      <c r="Y352" s="159" t="str">
        <f>BASE!A356</f>
        <v>341</v>
      </c>
      <c r="Z352" s="177" t="str">
        <f t="shared" si="6"/>
        <v>0</v>
      </c>
      <c r="AA352" s="177" t="str">
        <f t="shared" si="7"/>
        <v>0</v>
      </c>
      <c r="AB352" s="177" t="str">
        <f t="shared" si="8"/>
        <v>0</v>
      </c>
      <c r="AC352" s="177" t="str">
        <f t="shared" si="9"/>
        <v>0</v>
      </c>
      <c r="AD352" s="177" t="str">
        <f t="shared" si="10"/>
        <v>0</v>
      </c>
    </row>
    <row r="353" ht="17.25" customHeight="1">
      <c r="A353" s="179"/>
      <c r="B353" s="159" t="s">
        <v>122</v>
      </c>
      <c r="C353" s="133" t="str">
        <f t="shared" si="2"/>
        <v>0</v>
      </c>
      <c r="D353" s="133" t="str">
        <f t="shared" si="3"/>
        <v>0</v>
      </c>
      <c r="E353" s="133" t="str">
        <f t="shared" si="4"/>
        <v>0</v>
      </c>
      <c r="F353" s="133"/>
      <c r="G353" s="133"/>
      <c r="H353" s="108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72"/>
      <c r="X353" s="159" t="str">
        <f t="shared" si="5"/>
        <v>0</v>
      </c>
      <c r="Y353" s="159" t="str">
        <f>BASE!A357</f>
        <v>342</v>
      </c>
      <c r="Z353" s="177" t="str">
        <f t="shared" si="6"/>
        <v>0</v>
      </c>
      <c r="AA353" s="177" t="str">
        <f t="shared" si="7"/>
        <v>0</v>
      </c>
      <c r="AB353" s="177" t="str">
        <f t="shared" si="8"/>
        <v>0</v>
      </c>
      <c r="AC353" s="177" t="str">
        <f t="shared" si="9"/>
        <v>0</v>
      </c>
      <c r="AD353" s="177" t="str">
        <f t="shared" si="10"/>
        <v>0</v>
      </c>
    </row>
    <row r="354" ht="17.25" customHeight="1">
      <c r="A354" s="179"/>
      <c r="B354" s="159" t="s">
        <v>122</v>
      </c>
      <c r="C354" s="133" t="str">
        <f t="shared" si="2"/>
        <v>0</v>
      </c>
      <c r="D354" s="133" t="str">
        <f t="shared" si="3"/>
        <v>0</v>
      </c>
      <c r="E354" s="133" t="str">
        <f t="shared" si="4"/>
        <v>0</v>
      </c>
      <c r="F354" s="133"/>
      <c r="G354" s="133"/>
      <c r="H354" s="108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72"/>
      <c r="X354" s="159" t="str">
        <f t="shared" si="5"/>
        <v>0</v>
      </c>
      <c r="Y354" s="159" t="str">
        <f>BASE!A358</f>
        <v>343</v>
      </c>
      <c r="Z354" s="177" t="str">
        <f t="shared" si="6"/>
        <v>0</v>
      </c>
      <c r="AA354" s="177" t="str">
        <f t="shared" si="7"/>
        <v>0</v>
      </c>
      <c r="AB354" s="177" t="str">
        <f t="shared" si="8"/>
        <v>0</v>
      </c>
      <c r="AC354" s="177" t="str">
        <f t="shared" si="9"/>
        <v>0</v>
      </c>
      <c r="AD354" s="177" t="str">
        <f t="shared" si="10"/>
        <v>0</v>
      </c>
    </row>
    <row r="355" ht="17.25" customHeight="1">
      <c r="A355" s="179"/>
      <c r="B355" s="159" t="s">
        <v>122</v>
      </c>
      <c r="C355" s="133" t="str">
        <f t="shared" si="2"/>
        <v>0</v>
      </c>
      <c r="D355" s="133" t="str">
        <f t="shared" si="3"/>
        <v>0</v>
      </c>
      <c r="E355" s="133" t="str">
        <f t="shared" si="4"/>
        <v>0</v>
      </c>
      <c r="F355" s="133"/>
      <c r="G355" s="133"/>
      <c r="H355" s="108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72"/>
      <c r="X355" s="159" t="str">
        <f t="shared" si="5"/>
        <v>0</v>
      </c>
      <c r="Y355" s="159" t="str">
        <f>BASE!A359</f>
        <v>344</v>
      </c>
      <c r="Z355" s="177" t="str">
        <f t="shared" si="6"/>
        <v>0</v>
      </c>
      <c r="AA355" s="177" t="str">
        <f t="shared" si="7"/>
        <v>0</v>
      </c>
      <c r="AB355" s="177" t="str">
        <f t="shared" si="8"/>
        <v>0</v>
      </c>
      <c r="AC355" s="177" t="str">
        <f t="shared" si="9"/>
        <v>0</v>
      </c>
      <c r="AD355" s="177" t="str">
        <f t="shared" si="10"/>
        <v>0</v>
      </c>
    </row>
    <row r="356" ht="17.25" customHeight="1">
      <c r="A356" s="179"/>
      <c r="B356" s="159" t="s">
        <v>122</v>
      </c>
      <c r="C356" s="133" t="str">
        <f t="shared" si="2"/>
        <v>0</v>
      </c>
      <c r="D356" s="133" t="str">
        <f t="shared" si="3"/>
        <v>0</v>
      </c>
      <c r="E356" s="133" t="str">
        <f t="shared" si="4"/>
        <v>0</v>
      </c>
      <c r="F356" s="133"/>
      <c r="G356" s="133"/>
      <c r="H356" s="108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72"/>
      <c r="X356" s="159" t="str">
        <f t="shared" si="5"/>
        <v>0</v>
      </c>
      <c r="Y356" s="159" t="str">
        <f>BASE!A360</f>
        <v>345</v>
      </c>
      <c r="Z356" s="177" t="str">
        <f t="shared" si="6"/>
        <v>0</v>
      </c>
      <c r="AA356" s="177" t="str">
        <f t="shared" si="7"/>
        <v>0</v>
      </c>
      <c r="AB356" s="177" t="str">
        <f t="shared" si="8"/>
        <v>0</v>
      </c>
      <c r="AC356" s="177" t="str">
        <f t="shared" si="9"/>
        <v>0</v>
      </c>
      <c r="AD356" s="177" t="str">
        <f t="shared" si="10"/>
        <v>0</v>
      </c>
    </row>
    <row r="357" ht="17.25" customHeight="1">
      <c r="A357" s="179"/>
      <c r="B357" s="159" t="s">
        <v>122</v>
      </c>
      <c r="C357" s="133" t="str">
        <f t="shared" si="2"/>
        <v>0</v>
      </c>
      <c r="D357" s="133" t="str">
        <f t="shared" si="3"/>
        <v>0</v>
      </c>
      <c r="E357" s="133" t="str">
        <f t="shared" si="4"/>
        <v>0</v>
      </c>
      <c r="F357" s="133"/>
      <c r="G357" s="133"/>
      <c r="H357" s="108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72"/>
      <c r="X357" s="159" t="str">
        <f t="shared" si="5"/>
        <v>0</v>
      </c>
      <c r="Y357" s="159" t="str">
        <f>BASE!A361</f>
        <v>346</v>
      </c>
      <c r="Z357" s="177" t="str">
        <f t="shared" si="6"/>
        <v>0</v>
      </c>
      <c r="AA357" s="177" t="str">
        <f t="shared" si="7"/>
        <v>0</v>
      </c>
      <c r="AB357" s="177" t="str">
        <f t="shared" si="8"/>
        <v>0</v>
      </c>
      <c r="AC357" s="177" t="str">
        <f t="shared" si="9"/>
        <v>0</v>
      </c>
      <c r="AD357" s="177" t="str">
        <f t="shared" si="10"/>
        <v>0</v>
      </c>
    </row>
    <row r="358" ht="17.25" customHeight="1">
      <c r="A358" s="179"/>
      <c r="B358" s="159" t="s">
        <v>122</v>
      </c>
      <c r="C358" s="133" t="str">
        <f t="shared" si="2"/>
        <v>0</v>
      </c>
      <c r="D358" s="133" t="str">
        <f t="shared" si="3"/>
        <v>0</v>
      </c>
      <c r="E358" s="133" t="str">
        <f t="shared" si="4"/>
        <v>0</v>
      </c>
      <c r="F358" s="133"/>
      <c r="G358" s="133"/>
      <c r="H358" s="108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72"/>
      <c r="X358" s="159" t="str">
        <f t="shared" si="5"/>
        <v>0</v>
      </c>
      <c r="Y358" s="159" t="str">
        <f>BASE!A362</f>
        <v>347</v>
      </c>
      <c r="Z358" s="177" t="str">
        <f t="shared" si="6"/>
        <v>0</v>
      </c>
      <c r="AA358" s="177" t="str">
        <f t="shared" si="7"/>
        <v>0</v>
      </c>
      <c r="AB358" s="177" t="str">
        <f t="shared" si="8"/>
        <v>0</v>
      </c>
      <c r="AC358" s="177" t="str">
        <f t="shared" si="9"/>
        <v>0</v>
      </c>
      <c r="AD358" s="177" t="str">
        <f t="shared" si="10"/>
        <v>0</v>
      </c>
    </row>
    <row r="359" ht="17.25" customHeight="1">
      <c r="A359" s="179"/>
      <c r="B359" s="159" t="s">
        <v>122</v>
      </c>
      <c r="C359" s="133" t="str">
        <f t="shared" si="2"/>
        <v>0</v>
      </c>
      <c r="D359" s="133" t="str">
        <f t="shared" si="3"/>
        <v>0</v>
      </c>
      <c r="E359" s="133" t="str">
        <f t="shared" si="4"/>
        <v>0</v>
      </c>
      <c r="F359" s="133"/>
      <c r="G359" s="133"/>
      <c r="H359" s="108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72"/>
      <c r="X359" s="159" t="str">
        <f t="shared" si="5"/>
        <v>0</v>
      </c>
      <c r="Y359" s="159" t="str">
        <f>BASE!A363</f>
        <v>348</v>
      </c>
      <c r="Z359" s="177" t="str">
        <f t="shared" si="6"/>
        <v>0</v>
      </c>
      <c r="AA359" s="177" t="str">
        <f t="shared" si="7"/>
        <v>0</v>
      </c>
      <c r="AB359" s="177" t="str">
        <f t="shared" si="8"/>
        <v>0</v>
      </c>
      <c r="AC359" s="177" t="str">
        <f t="shared" si="9"/>
        <v>0</v>
      </c>
      <c r="AD359" s="177" t="str">
        <f t="shared" si="10"/>
        <v>0</v>
      </c>
    </row>
    <row r="360" ht="17.25" customHeight="1">
      <c r="A360" s="179"/>
      <c r="B360" s="159" t="s">
        <v>122</v>
      </c>
      <c r="C360" s="133" t="str">
        <f t="shared" si="2"/>
        <v>0</v>
      </c>
      <c r="D360" s="133" t="str">
        <f t="shared" si="3"/>
        <v>0</v>
      </c>
      <c r="E360" s="133" t="str">
        <f t="shared" si="4"/>
        <v>0</v>
      </c>
      <c r="F360" s="133"/>
      <c r="G360" s="133"/>
      <c r="H360" s="108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72"/>
      <c r="X360" s="159" t="str">
        <f t="shared" si="5"/>
        <v>0</v>
      </c>
      <c r="Y360" s="159" t="str">
        <f>BASE!A364</f>
        <v>349</v>
      </c>
      <c r="Z360" s="177" t="str">
        <f t="shared" si="6"/>
        <v>0</v>
      </c>
      <c r="AA360" s="177" t="str">
        <f t="shared" si="7"/>
        <v>0</v>
      </c>
      <c r="AB360" s="177" t="str">
        <f t="shared" si="8"/>
        <v>0</v>
      </c>
      <c r="AC360" s="177" t="str">
        <f t="shared" si="9"/>
        <v>0</v>
      </c>
      <c r="AD360" s="177" t="str">
        <f t="shared" si="10"/>
        <v>0</v>
      </c>
    </row>
    <row r="361" ht="17.25" customHeight="1">
      <c r="A361" s="179"/>
      <c r="B361" s="159" t="s">
        <v>122</v>
      </c>
      <c r="C361" s="133" t="str">
        <f t="shared" si="2"/>
        <v>0</v>
      </c>
      <c r="D361" s="133" t="str">
        <f t="shared" si="3"/>
        <v>0</v>
      </c>
      <c r="E361" s="133" t="str">
        <f t="shared" si="4"/>
        <v>0</v>
      </c>
      <c r="F361" s="133"/>
      <c r="G361" s="133"/>
      <c r="H361" s="108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72"/>
      <c r="X361" s="159" t="str">
        <f t="shared" si="5"/>
        <v>0</v>
      </c>
      <c r="Y361" s="159" t="str">
        <f>BASE!A365</f>
        <v>350</v>
      </c>
      <c r="Z361" s="177" t="str">
        <f t="shared" si="6"/>
        <v>0</v>
      </c>
      <c r="AA361" s="177" t="str">
        <f t="shared" si="7"/>
        <v>0</v>
      </c>
      <c r="AB361" s="177" t="str">
        <f t="shared" si="8"/>
        <v>0</v>
      </c>
      <c r="AC361" s="177" t="str">
        <f t="shared" si="9"/>
        <v>0</v>
      </c>
      <c r="AD361" s="177" t="str">
        <f t="shared" si="10"/>
        <v>0</v>
      </c>
    </row>
    <row r="362" ht="17.25" customHeight="1">
      <c r="A362" s="179"/>
      <c r="B362" s="159" t="s">
        <v>122</v>
      </c>
      <c r="C362" s="133" t="str">
        <f t="shared" si="2"/>
        <v>0</v>
      </c>
      <c r="D362" s="133" t="str">
        <f t="shared" si="3"/>
        <v>0</v>
      </c>
      <c r="E362" s="133" t="str">
        <f t="shared" si="4"/>
        <v>0</v>
      </c>
      <c r="F362" s="133"/>
      <c r="G362" s="133"/>
      <c r="H362" s="108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72"/>
      <c r="X362" s="159" t="str">
        <f t="shared" si="5"/>
        <v>0</v>
      </c>
      <c r="Y362" s="159" t="str">
        <f>BASE!A366</f>
        <v>351</v>
      </c>
      <c r="Z362" s="177" t="str">
        <f t="shared" si="6"/>
        <v>0</v>
      </c>
      <c r="AA362" s="177" t="str">
        <f t="shared" si="7"/>
        <v>0</v>
      </c>
      <c r="AB362" s="177" t="str">
        <f t="shared" si="8"/>
        <v>0</v>
      </c>
      <c r="AC362" s="177" t="str">
        <f t="shared" si="9"/>
        <v>0</v>
      </c>
      <c r="AD362" s="177" t="str">
        <f t="shared" si="10"/>
        <v>0</v>
      </c>
    </row>
    <row r="363" ht="17.25" customHeight="1">
      <c r="A363" s="179"/>
      <c r="B363" s="159" t="s">
        <v>122</v>
      </c>
      <c r="C363" s="133" t="str">
        <f t="shared" si="2"/>
        <v>0</v>
      </c>
      <c r="D363" s="133" t="str">
        <f t="shared" si="3"/>
        <v>0</v>
      </c>
      <c r="E363" s="133" t="str">
        <f t="shared" si="4"/>
        <v>0</v>
      </c>
      <c r="F363" s="133"/>
      <c r="G363" s="133"/>
      <c r="H363" s="108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72"/>
      <c r="X363" s="159" t="str">
        <f t="shared" si="5"/>
        <v>0</v>
      </c>
      <c r="Y363" s="159" t="str">
        <f>BASE!A367</f>
        <v>352</v>
      </c>
      <c r="Z363" s="177" t="str">
        <f t="shared" si="6"/>
        <v>0</v>
      </c>
      <c r="AA363" s="177" t="str">
        <f t="shared" si="7"/>
        <v>0</v>
      </c>
      <c r="AB363" s="177" t="str">
        <f t="shared" si="8"/>
        <v>0</v>
      </c>
      <c r="AC363" s="177" t="str">
        <f t="shared" si="9"/>
        <v>0</v>
      </c>
      <c r="AD363" s="177" t="str">
        <f t="shared" si="10"/>
        <v>0</v>
      </c>
    </row>
    <row r="364" ht="17.25" customHeight="1">
      <c r="A364" s="179"/>
      <c r="B364" s="159" t="s">
        <v>122</v>
      </c>
      <c r="C364" s="133" t="str">
        <f t="shared" si="2"/>
        <v>0</v>
      </c>
      <c r="D364" s="133" t="str">
        <f t="shared" si="3"/>
        <v>0</v>
      </c>
      <c r="E364" s="133" t="str">
        <f t="shared" si="4"/>
        <v>0</v>
      </c>
      <c r="F364" s="133"/>
      <c r="G364" s="133"/>
      <c r="H364" s="108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72"/>
      <c r="X364" s="159" t="str">
        <f t="shared" si="5"/>
        <v>0</v>
      </c>
      <c r="Y364" s="159" t="str">
        <f>BASE!A368</f>
        <v>353</v>
      </c>
      <c r="Z364" s="177" t="str">
        <f t="shared" si="6"/>
        <v>0</v>
      </c>
      <c r="AA364" s="177" t="str">
        <f t="shared" si="7"/>
        <v>0</v>
      </c>
      <c r="AB364" s="177" t="str">
        <f t="shared" si="8"/>
        <v>0</v>
      </c>
      <c r="AC364" s="177" t="str">
        <f t="shared" si="9"/>
        <v>0</v>
      </c>
      <c r="AD364" s="177" t="str">
        <f t="shared" si="10"/>
        <v>0</v>
      </c>
    </row>
    <row r="365" ht="17.25" customHeight="1">
      <c r="A365" s="179"/>
      <c r="B365" s="159" t="s">
        <v>122</v>
      </c>
      <c r="C365" s="133" t="str">
        <f t="shared" si="2"/>
        <v>0</v>
      </c>
      <c r="D365" s="133" t="str">
        <f t="shared" si="3"/>
        <v>0</v>
      </c>
      <c r="E365" s="133" t="str">
        <f t="shared" si="4"/>
        <v>0</v>
      </c>
      <c r="F365" s="133"/>
      <c r="G365" s="133"/>
      <c r="H365" s="108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72"/>
      <c r="X365" s="159" t="str">
        <f t="shared" si="5"/>
        <v>0</v>
      </c>
      <c r="Y365" s="159" t="str">
        <f>BASE!A369</f>
        <v>354</v>
      </c>
      <c r="Z365" s="177" t="str">
        <f t="shared" si="6"/>
        <v>0</v>
      </c>
      <c r="AA365" s="177" t="str">
        <f t="shared" si="7"/>
        <v>0</v>
      </c>
      <c r="AB365" s="177" t="str">
        <f t="shared" si="8"/>
        <v>0</v>
      </c>
      <c r="AC365" s="177" t="str">
        <f t="shared" si="9"/>
        <v>0</v>
      </c>
      <c r="AD365" s="177" t="str">
        <f t="shared" si="10"/>
        <v>0</v>
      </c>
    </row>
    <row r="366" ht="17.25" customHeight="1">
      <c r="A366" s="179"/>
      <c r="B366" s="159" t="s">
        <v>122</v>
      </c>
      <c r="C366" s="133" t="str">
        <f t="shared" si="2"/>
        <v>0</v>
      </c>
      <c r="D366" s="133" t="str">
        <f t="shared" si="3"/>
        <v>0</v>
      </c>
      <c r="E366" s="133" t="str">
        <f t="shared" si="4"/>
        <v>0</v>
      </c>
      <c r="F366" s="133"/>
      <c r="G366" s="133"/>
      <c r="H366" s="108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72"/>
      <c r="X366" s="159" t="str">
        <f t="shared" si="5"/>
        <v>0</v>
      </c>
      <c r="Y366" s="159" t="str">
        <f>BASE!A370</f>
        <v>355</v>
      </c>
      <c r="Z366" s="177" t="str">
        <f t="shared" si="6"/>
        <v>0</v>
      </c>
      <c r="AA366" s="177" t="str">
        <f t="shared" si="7"/>
        <v>0</v>
      </c>
      <c r="AB366" s="177" t="str">
        <f t="shared" si="8"/>
        <v>0</v>
      </c>
      <c r="AC366" s="177" t="str">
        <f t="shared" si="9"/>
        <v>0</v>
      </c>
      <c r="AD366" s="177" t="str">
        <f t="shared" si="10"/>
        <v>0</v>
      </c>
    </row>
    <row r="367" ht="17.25" customHeight="1">
      <c r="A367" s="179"/>
      <c r="B367" s="159" t="s">
        <v>122</v>
      </c>
      <c r="C367" s="133" t="str">
        <f t="shared" si="2"/>
        <v>0</v>
      </c>
      <c r="D367" s="133" t="str">
        <f t="shared" si="3"/>
        <v>0</v>
      </c>
      <c r="E367" s="133" t="str">
        <f t="shared" si="4"/>
        <v>0</v>
      </c>
      <c r="F367" s="133"/>
      <c r="G367" s="133"/>
      <c r="H367" s="108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72"/>
      <c r="X367" s="159" t="str">
        <f t="shared" si="5"/>
        <v>0</v>
      </c>
      <c r="Y367" s="159" t="str">
        <f>BASE!A371</f>
        <v>356</v>
      </c>
      <c r="Z367" s="177" t="str">
        <f t="shared" si="6"/>
        <v>0</v>
      </c>
      <c r="AA367" s="177" t="str">
        <f t="shared" si="7"/>
        <v>0</v>
      </c>
      <c r="AB367" s="177" t="str">
        <f t="shared" si="8"/>
        <v>0</v>
      </c>
      <c r="AC367" s="177" t="str">
        <f t="shared" si="9"/>
        <v>0</v>
      </c>
      <c r="AD367" s="177" t="str">
        <f t="shared" si="10"/>
        <v>0</v>
      </c>
    </row>
    <row r="368" ht="17.25" customHeight="1">
      <c r="A368" s="179"/>
      <c r="B368" s="159" t="s">
        <v>122</v>
      </c>
      <c r="C368" s="133" t="str">
        <f t="shared" si="2"/>
        <v>0</v>
      </c>
      <c r="D368" s="133" t="str">
        <f t="shared" si="3"/>
        <v>0</v>
      </c>
      <c r="E368" s="133" t="str">
        <f t="shared" si="4"/>
        <v>0</v>
      </c>
      <c r="F368" s="133"/>
      <c r="G368" s="133"/>
      <c r="H368" s="108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72"/>
      <c r="X368" s="159" t="str">
        <f t="shared" si="5"/>
        <v>0</v>
      </c>
      <c r="Y368" s="159" t="str">
        <f>BASE!A372</f>
        <v>357</v>
      </c>
      <c r="Z368" s="177" t="str">
        <f t="shared" si="6"/>
        <v>0</v>
      </c>
      <c r="AA368" s="177" t="str">
        <f t="shared" si="7"/>
        <v>0</v>
      </c>
      <c r="AB368" s="177" t="str">
        <f t="shared" si="8"/>
        <v>0</v>
      </c>
      <c r="AC368" s="177" t="str">
        <f t="shared" si="9"/>
        <v>0</v>
      </c>
      <c r="AD368" s="177" t="str">
        <f t="shared" si="10"/>
        <v>0</v>
      </c>
    </row>
    <row r="369" ht="17.25" customHeight="1">
      <c r="A369" s="179"/>
      <c r="B369" s="159" t="s">
        <v>122</v>
      </c>
      <c r="C369" s="133" t="str">
        <f t="shared" si="2"/>
        <v>0</v>
      </c>
      <c r="D369" s="133" t="str">
        <f t="shared" si="3"/>
        <v>0</v>
      </c>
      <c r="E369" s="133" t="str">
        <f t="shared" si="4"/>
        <v>0</v>
      </c>
      <c r="F369" s="133"/>
      <c r="G369" s="133"/>
      <c r="H369" s="108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72"/>
      <c r="X369" s="159" t="str">
        <f t="shared" si="5"/>
        <v>0</v>
      </c>
      <c r="Y369" s="159" t="str">
        <f>BASE!A373</f>
        <v>358</v>
      </c>
      <c r="Z369" s="177" t="str">
        <f t="shared" si="6"/>
        <v>0</v>
      </c>
      <c r="AA369" s="177" t="str">
        <f t="shared" si="7"/>
        <v>0</v>
      </c>
      <c r="AB369" s="177" t="str">
        <f t="shared" si="8"/>
        <v>0</v>
      </c>
      <c r="AC369" s="177" t="str">
        <f t="shared" si="9"/>
        <v>0</v>
      </c>
      <c r="AD369" s="177" t="str">
        <f t="shared" si="10"/>
        <v>0</v>
      </c>
    </row>
    <row r="370" ht="17.25" customHeight="1">
      <c r="A370" s="179"/>
      <c r="B370" s="159" t="s">
        <v>122</v>
      </c>
      <c r="C370" s="133" t="str">
        <f t="shared" si="2"/>
        <v>0</v>
      </c>
      <c r="D370" s="133" t="str">
        <f t="shared" si="3"/>
        <v>0</v>
      </c>
      <c r="E370" s="133" t="str">
        <f t="shared" si="4"/>
        <v>0</v>
      </c>
      <c r="F370" s="133"/>
      <c r="G370" s="133"/>
      <c r="H370" s="108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72"/>
      <c r="X370" s="159" t="str">
        <f t="shared" si="5"/>
        <v>0</v>
      </c>
      <c r="Y370" s="159" t="str">
        <f>BASE!A374</f>
        <v>359</v>
      </c>
      <c r="Z370" s="177" t="str">
        <f t="shared" si="6"/>
        <v>0</v>
      </c>
      <c r="AA370" s="177" t="str">
        <f t="shared" si="7"/>
        <v>0</v>
      </c>
      <c r="AB370" s="177" t="str">
        <f t="shared" si="8"/>
        <v>0</v>
      </c>
      <c r="AC370" s="177" t="str">
        <f t="shared" si="9"/>
        <v>0</v>
      </c>
      <c r="AD370" s="177" t="str">
        <f t="shared" si="10"/>
        <v>0</v>
      </c>
    </row>
    <row r="371" ht="17.25" customHeight="1">
      <c r="A371" s="179"/>
      <c r="B371" s="159" t="s">
        <v>122</v>
      </c>
      <c r="C371" s="133" t="str">
        <f t="shared" si="2"/>
        <v>0</v>
      </c>
      <c r="D371" s="133" t="str">
        <f t="shared" si="3"/>
        <v>0</v>
      </c>
      <c r="E371" s="133" t="str">
        <f t="shared" si="4"/>
        <v>0</v>
      </c>
      <c r="F371" s="133"/>
      <c r="G371" s="133"/>
      <c r="H371" s="108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72"/>
      <c r="X371" s="159" t="str">
        <f t="shared" si="5"/>
        <v>0</v>
      </c>
      <c r="Y371" s="159" t="str">
        <f>BASE!A375</f>
        <v>360</v>
      </c>
      <c r="Z371" s="177" t="str">
        <f t="shared" si="6"/>
        <v>0</v>
      </c>
      <c r="AA371" s="177" t="str">
        <f t="shared" si="7"/>
        <v>0</v>
      </c>
      <c r="AB371" s="177" t="str">
        <f t="shared" si="8"/>
        <v>0</v>
      </c>
      <c r="AC371" s="177" t="str">
        <f t="shared" si="9"/>
        <v>0</v>
      </c>
      <c r="AD371" s="177" t="str">
        <f t="shared" si="10"/>
        <v>0</v>
      </c>
    </row>
    <row r="372" ht="17.25" customHeight="1">
      <c r="A372" s="179"/>
      <c r="B372" s="159" t="s">
        <v>122</v>
      </c>
      <c r="C372" s="133" t="str">
        <f t="shared" si="2"/>
        <v>0</v>
      </c>
      <c r="D372" s="133" t="str">
        <f t="shared" si="3"/>
        <v>0</v>
      </c>
      <c r="E372" s="133" t="str">
        <f t="shared" si="4"/>
        <v>0</v>
      </c>
      <c r="F372" s="133"/>
      <c r="G372" s="133"/>
      <c r="H372" s="108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72"/>
      <c r="X372" s="159" t="str">
        <f t="shared" si="5"/>
        <v>0</v>
      </c>
      <c r="Y372" s="159" t="str">
        <f>BASE!A376</f>
        <v>361</v>
      </c>
      <c r="Z372" s="177" t="str">
        <f t="shared" si="6"/>
        <v>0</v>
      </c>
      <c r="AA372" s="177" t="str">
        <f t="shared" si="7"/>
        <v>0</v>
      </c>
      <c r="AB372" s="177" t="str">
        <f t="shared" si="8"/>
        <v>0</v>
      </c>
      <c r="AC372" s="177" t="str">
        <f t="shared" si="9"/>
        <v>0</v>
      </c>
      <c r="AD372" s="177" t="str">
        <f t="shared" si="10"/>
        <v>0</v>
      </c>
    </row>
    <row r="373" ht="17.25" customHeight="1">
      <c r="A373" s="179"/>
      <c r="B373" s="159" t="s">
        <v>122</v>
      </c>
      <c r="C373" s="133" t="str">
        <f t="shared" si="2"/>
        <v>0</v>
      </c>
      <c r="D373" s="133" t="str">
        <f t="shared" si="3"/>
        <v>0</v>
      </c>
      <c r="E373" s="133" t="str">
        <f t="shared" si="4"/>
        <v>0</v>
      </c>
      <c r="F373" s="133"/>
      <c r="G373" s="133"/>
      <c r="H373" s="108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72"/>
      <c r="X373" s="159" t="str">
        <f t="shared" si="5"/>
        <v>0</v>
      </c>
      <c r="Y373" s="159" t="str">
        <f>BASE!A377</f>
        <v>362</v>
      </c>
      <c r="Z373" s="177" t="str">
        <f t="shared" si="6"/>
        <v>0</v>
      </c>
      <c r="AA373" s="177" t="str">
        <f t="shared" si="7"/>
        <v>0</v>
      </c>
      <c r="AB373" s="177" t="str">
        <f t="shared" si="8"/>
        <v>0</v>
      </c>
      <c r="AC373" s="177" t="str">
        <f t="shared" si="9"/>
        <v>0</v>
      </c>
      <c r="AD373" s="177" t="str">
        <f t="shared" si="10"/>
        <v>0</v>
      </c>
    </row>
    <row r="374" ht="17.25" customHeight="1">
      <c r="A374" s="179"/>
      <c r="B374" s="159" t="s">
        <v>122</v>
      </c>
      <c r="C374" s="133" t="str">
        <f t="shared" si="2"/>
        <v>0</v>
      </c>
      <c r="D374" s="133" t="str">
        <f t="shared" si="3"/>
        <v>0</v>
      </c>
      <c r="E374" s="133" t="str">
        <f t="shared" si="4"/>
        <v>0</v>
      </c>
      <c r="F374" s="133"/>
      <c r="G374" s="133"/>
      <c r="H374" s="108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72"/>
      <c r="X374" s="159" t="str">
        <f t="shared" si="5"/>
        <v>0</v>
      </c>
      <c r="Y374" s="159" t="str">
        <f>BASE!A378</f>
        <v>363</v>
      </c>
      <c r="Z374" s="177" t="str">
        <f t="shared" si="6"/>
        <v>0</v>
      </c>
      <c r="AA374" s="177" t="str">
        <f t="shared" si="7"/>
        <v>0</v>
      </c>
      <c r="AB374" s="177" t="str">
        <f t="shared" si="8"/>
        <v>0</v>
      </c>
      <c r="AC374" s="177" t="str">
        <f t="shared" si="9"/>
        <v>0</v>
      </c>
      <c r="AD374" s="177" t="str">
        <f t="shared" si="10"/>
        <v>0</v>
      </c>
    </row>
    <row r="375" ht="17.25" customHeight="1">
      <c r="A375" s="179"/>
      <c r="B375" s="159" t="s">
        <v>122</v>
      </c>
      <c r="C375" s="133" t="str">
        <f t="shared" si="2"/>
        <v>0</v>
      </c>
      <c r="D375" s="133" t="str">
        <f t="shared" si="3"/>
        <v>0</v>
      </c>
      <c r="E375" s="133" t="str">
        <f t="shared" si="4"/>
        <v>0</v>
      </c>
      <c r="F375" s="133"/>
      <c r="G375" s="133"/>
      <c r="H375" s="108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72"/>
      <c r="X375" s="159" t="str">
        <f t="shared" si="5"/>
        <v>0</v>
      </c>
      <c r="Y375" s="159" t="str">
        <f>BASE!A379</f>
        <v>364</v>
      </c>
      <c r="Z375" s="177" t="str">
        <f t="shared" si="6"/>
        <v>0</v>
      </c>
      <c r="AA375" s="177" t="str">
        <f t="shared" si="7"/>
        <v>0</v>
      </c>
      <c r="AB375" s="177" t="str">
        <f t="shared" si="8"/>
        <v>0</v>
      </c>
      <c r="AC375" s="177" t="str">
        <f t="shared" si="9"/>
        <v>0</v>
      </c>
      <c r="AD375" s="177" t="str">
        <f t="shared" si="10"/>
        <v>0</v>
      </c>
    </row>
    <row r="376" ht="17.25" customHeight="1">
      <c r="A376" s="179"/>
      <c r="B376" s="159" t="s">
        <v>122</v>
      </c>
      <c r="C376" s="133" t="str">
        <f t="shared" si="2"/>
        <v>0</v>
      </c>
      <c r="D376" s="133" t="str">
        <f t="shared" si="3"/>
        <v>0</v>
      </c>
      <c r="E376" s="133" t="str">
        <f t="shared" si="4"/>
        <v>0</v>
      </c>
      <c r="F376" s="133"/>
      <c r="G376" s="133"/>
      <c r="H376" s="108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72"/>
      <c r="X376" s="159" t="str">
        <f t="shared" si="5"/>
        <v>0</v>
      </c>
      <c r="Y376" s="159" t="str">
        <f>BASE!A380</f>
        <v>365</v>
      </c>
      <c r="Z376" s="177" t="str">
        <f t="shared" si="6"/>
        <v>0</v>
      </c>
      <c r="AA376" s="177" t="str">
        <f t="shared" si="7"/>
        <v>0</v>
      </c>
      <c r="AB376" s="177" t="str">
        <f t="shared" si="8"/>
        <v>0</v>
      </c>
      <c r="AC376" s="177" t="str">
        <f t="shared" si="9"/>
        <v>0</v>
      </c>
      <c r="AD376" s="177" t="str">
        <f t="shared" si="10"/>
        <v>0</v>
      </c>
    </row>
    <row r="377" ht="17.25" customHeight="1">
      <c r="A377" s="179"/>
      <c r="B377" s="159" t="s">
        <v>122</v>
      </c>
      <c r="C377" s="133" t="str">
        <f t="shared" si="2"/>
        <v>0</v>
      </c>
      <c r="D377" s="133" t="str">
        <f t="shared" si="3"/>
        <v>0</v>
      </c>
      <c r="E377" s="133" t="str">
        <f t="shared" si="4"/>
        <v>0</v>
      </c>
      <c r="F377" s="133"/>
      <c r="G377" s="133"/>
      <c r="H377" s="108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72"/>
      <c r="X377" s="159" t="str">
        <f t="shared" si="5"/>
        <v>0</v>
      </c>
      <c r="Y377" s="159" t="str">
        <f>BASE!A381</f>
        <v>366</v>
      </c>
      <c r="Z377" s="177" t="str">
        <f t="shared" si="6"/>
        <v>0</v>
      </c>
      <c r="AA377" s="177" t="str">
        <f t="shared" si="7"/>
        <v>0</v>
      </c>
      <c r="AB377" s="177" t="str">
        <f t="shared" si="8"/>
        <v>0</v>
      </c>
      <c r="AC377" s="177" t="str">
        <f t="shared" si="9"/>
        <v>0</v>
      </c>
      <c r="AD377" s="177" t="str">
        <f t="shared" si="10"/>
        <v>0</v>
      </c>
    </row>
    <row r="378" ht="17.25" customHeight="1">
      <c r="A378" s="179"/>
      <c r="B378" s="159" t="s">
        <v>122</v>
      </c>
      <c r="C378" s="133" t="str">
        <f t="shared" si="2"/>
        <v>0</v>
      </c>
      <c r="D378" s="133" t="str">
        <f t="shared" si="3"/>
        <v>0</v>
      </c>
      <c r="E378" s="133" t="str">
        <f t="shared" si="4"/>
        <v>0</v>
      </c>
      <c r="F378" s="133"/>
      <c r="G378" s="133"/>
      <c r="H378" s="108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72"/>
      <c r="X378" s="159" t="str">
        <f t="shared" si="5"/>
        <v>0</v>
      </c>
      <c r="Y378" s="159" t="str">
        <f>BASE!A382</f>
        <v>367</v>
      </c>
      <c r="Z378" s="177" t="str">
        <f t="shared" si="6"/>
        <v>0</v>
      </c>
      <c r="AA378" s="177" t="str">
        <f t="shared" si="7"/>
        <v>0</v>
      </c>
      <c r="AB378" s="177" t="str">
        <f t="shared" si="8"/>
        <v>0</v>
      </c>
      <c r="AC378" s="177" t="str">
        <f t="shared" si="9"/>
        <v>0</v>
      </c>
      <c r="AD378" s="177" t="str">
        <f t="shared" si="10"/>
        <v>0</v>
      </c>
    </row>
    <row r="379" ht="17.25" customHeight="1">
      <c r="A379" s="179"/>
      <c r="B379" s="159" t="s">
        <v>122</v>
      </c>
      <c r="C379" s="133" t="str">
        <f t="shared" si="2"/>
        <v>0</v>
      </c>
      <c r="D379" s="133" t="str">
        <f t="shared" si="3"/>
        <v>0</v>
      </c>
      <c r="E379" s="133" t="str">
        <f t="shared" si="4"/>
        <v>0</v>
      </c>
      <c r="F379" s="133"/>
      <c r="G379" s="133"/>
      <c r="H379" s="108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72"/>
      <c r="X379" s="159" t="str">
        <f t="shared" si="5"/>
        <v>0</v>
      </c>
      <c r="Y379" s="159" t="str">
        <f>BASE!A383</f>
        <v>368</v>
      </c>
      <c r="Z379" s="177" t="str">
        <f t="shared" si="6"/>
        <v>0</v>
      </c>
      <c r="AA379" s="177" t="str">
        <f t="shared" si="7"/>
        <v>0</v>
      </c>
      <c r="AB379" s="177" t="str">
        <f t="shared" si="8"/>
        <v>0</v>
      </c>
      <c r="AC379" s="177" t="str">
        <f t="shared" si="9"/>
        <v>0</v>
      </c>
      <c r="AD379" s="177" t="str">
        <f t="shared" si="10"/>
        <v>0</v>
      </c>
    </row>
    <row r="380" ht="17.25" customHeight="1">
      <c r="A380" s="179"/>
      <c r="B380" s="159" t="s">
        <v>122</v>
      </c>
      <c r="C380" s="133" t="str">
        <f t="shared" si="2"/>
        <v>0</v>
      </c>
      <c r="D380" s="133" t="str">
        <f t="shared" si="3"/>
        <v>0</v>
      </c>
      <c r="E380" s="133" t="str">
        <f t="shared" si="4"/>
        <v>0</v>
      </c>
      <c r="F380" s="133"/>
      <c r="G380" s="133"/>
      <c r="H380" s="108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72"/>
      <c r="X380" s="159" t="str">
        <f t="shared" si="5"/>
        <v>0</v>
      </c>
      <c r="Y380" s="159" t="str">
        <f>BASE!A384</f>
        <v>369</v>
      </c>
      <c r="Z380" s="177" t="str">
        <f t="shared" si="6"/>
        <v>0</v>
      </c>
      <c r="AA380" s="177" t="str">
        <f t="shared" si="7"/>
        <v>0</v>
      </c>
      <c r="AB380" s="177" t="str">
        <f t="shared" si="8"/>
        <v>0</v>
      </c>
      <c r="AC380" s="177" t="str">
        <f t="shared" si="9"/>
        <v>0</v>
      </c>
      <c r="AD380" s="177" t="str">
        <f t="shared" si="10"/>
        <v>0</v>
      </c>
    </row>
    <row r="381" ht="17.25" customHeight="1">
      <c r="A381" s="179"/>
      <c r="B381" s="159" t="s">
        <v>122</v>
      </c>
      <c r="C381" s="133" t="str">
        <f t="shared" si="2"/>
        <v>0</v>
      </c>
      <c r="D381" s="133" t="str">
        <f t="shared" si="3"/>
        <v>0</v>
      </c>
      <c r="E381" s="133" t="str">
        <f t="shared" si="4"/>
        <v>0</v>
      </c>
      <c r="F381" s="133"/>
      <c r="G381" s="133"/>
      <c r="H381" s="108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72"/>
      <c r="X381" s="159" t="str">
        <f t="shared" si="5"/>
        <v>0</v>
      </c>
      <c r="Y381" s="159" t="str">
        <f>BASE!A385</f>
        <v>370</v>
      </c>
      <c r="Z381" s="177" t="str">
        <f t="shared" si="6"/>
        <v>0</v>
      </c>
      <c r="AA381" s="177" t="str">
        <f t="shared" si="7"/>
        <v>0</v>
      </c>
      <c r="AB381" s="177" t="str">
        <f t="shared" si="8"/>
        <v>0</v>
      </c>
      <c r="AC381" s="177" t="str">
        <f t="shared" si="9"/>
        <v>0</v>
      </c>
      <c r="AD381" s="177" t="str">
        <f t="shared" si="10"/>
        <v>0</v>
      </c>
    </row>
    <row r="382" ht="17.25" customHeight="1">
      <c r="A382" s="179"/>
      <c r="B382" s="159" t="s">
        <v>122</v>
      </c>
      <c r="C382" s="133" t="str">
        <f t="shared" si="2"/>
        <v>0</v>
      </c>
      <c r="D382" s="133" t="str">
        <f t="shared" si="3"/>
        <v>0</v>
      </c>
      <c r="E382" s="133" t="str">
        <f t="shared" si="4"/>
        <v>0</v>
      </c>
      <c r="F382" s="133"/>
      <c r="G382" s="133"/>
      <c r="H382" s="108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72"/>
      <c r="X382" s="159" t="str">
        <f t="shared" si="5"/>
        <v>0</v>
      </c>
      <c r="Y382" s="159" t="str">
        <f>BASE!A386</f>
        <v>371</v>
      </c>
      <c r="Z382" s="177" t="str">
        <f t="shared" si="6"/>
        <v>0</v>
      </c>
      <c r="AA382" s="177" t="str">
        <f t="shared" si="7"/>
        <v>0</v>
      </c>
      <c r="AB382" s="177" t="str">
        <f t="shared" si="8"/>
        <v>0</v>
      </c>
      <c r="AC382" s="177" t="str">
        <f t="shared" si="9"/>
        <v>0</v>
      </c>
      <c r="AD382" s="177" t="str">
        <f t="shared" si="10"/>
        <v>0</v>
      </c>
    </row>
    <row r="383" ht="17.25" customHeight="1">
      <c r="A383" s="179"/>
      <c r="B383" s="159" t="s">
        <v>122</v>
      </c>
      <c r="C383" s="133" t="str">
        <f t="shared" si="2"/>
        <v>0</v>
      </c>
      <c r="D383" s="133" t="str">
        <f t="shared" si="3"/>
        <v>0</v>
      </c>
      <c r="E383" s="133" t="str">
        <f t="shared" si="4"/>
        <v>0</v>
      </c>
      <c r="F383" s="133"/>
      <c r="G383" s="133"/>
      <c r="H383" s="108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72"/>
      <c r="X383" s="159" t="str">
        <f t="shared" si="5"/>
        <v>0</v>
      </c>
      <c r="Y383" s="159" t="str">
        <f>BASE!A387</f>
        <v>372</v>
      </c>
      <c r="Z383" s="177" t="str">
        <f t="shared" si="6"/>
        <v>0</v>
      </c>
      <c r="AA383" s="177" t="str">
        <f t="shared" si="7"/>
        <v>0</v>
      </c>
      <c r="AB383" s="177" t="str">
        <f t="shared" si="8"/>
        <v>0</v>
      </c>
      <c r="AC383" s="177" t="str">
        <f t="shared" si="9"/>
        <v>0</v>
      </c>
      <c r="AD383" s="177" t="str">
        <f t="shared" si="10"/>
        <v>0</v>
      </c>
    </row>
    <row r="384" ht="17.25" customHeight="1">
      <c r="A384" s="179"/>
      <c r="B384" s="159" t="s">
        <v>122</v>
      </c>
      <c r="C384" s="133" t="str">
        <f t="shared" si="2"/>
        <v>0</v>
      </c>
      <c r="D384" s="133" t="str">
        <f t="shared" si="3"/>
        <v>0</v>
      </c>
      <c r="E384" s="133" t="str">
        <f t="shared" si="4"/>
        <v>0</v>
      </c>
      <c r="F384" s="133"/>
      <c r="G384" s="133"/>
      <c r="H384" s="108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72"/>
      <c r="X384" s="159" t="str">
        <f t="shared" si="5"/>
        <v>0</v>
      </c>
      <c r="Y384" s="159" t="str">
        <f>BASE!A388</f>
        <v>373</v>
      </c>
      <c r="Z384" s="177" t="str">
        <f t="shared" si="6"/>
        <v>0</v>
      </c>
      <c r="AA384" s="177" t="str">
        <f t="shared" si="7"/>
        <v>0</v>
      </c>
      <c r="AB384" s="177" t="str">
        <f t="shared" si="8"/>
        <v>0</v>
      </c>
      <c r="AC384" s="177" t="str">
        <f t="shared" si="9"/>
        <v>0</v>
      </c>
      <c r="AD384" s="177" t="str">
        <f t="shared" si="10"/>
        <v>0</v>
      </c>
    </row>
    <row r="385" ht="17.25" customHeight="1">
      <c r="A385" s="179"/>
      <c r="B385" s="159" t="s">
        <v>122</v>
      </c>
      <c r="C385" s="133" t="str">
        <f t="shared" si="2"/>
        <v>0</v>
      </c>
      <c r="D385" s="133" t="str">
        <f t="shared" si="3"/>
        <v>0</v>
      </c>
      <c r="E385" s="133" t="str">
        <f t="shared" si="4"/>
        <v>0</v>
      </c>
      <c r="F385" s="133"/>
      <c r="G385" s="133"/>
      <c r="H385" s="108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72"/>
      <c r="X385" s="159" t="str">
        <f t="shared" si="5"/>
        <v>0</v>
      </c>
      <c r="Y385" s="159" t="str">
        <f>BASE!A389</f>
        <v>374</v>
      </c>
      <c r="Z385" s="177" t="str">
        <f t="shared" si="6"/>
        <v>0</v>
      </c>
      <c r="AA385" s="177" t="str">
        <f t="shared" si="7"/>
        <v>0</v>
      </c>
      <c r="AB385" s="177" t="str">
        <f t="shared" si="8"/>
        <v>0</v>
      </c>
      <c r="AC385" s="177" t="str">
        <f t="shared" si="9"/>
        <v>0</v>
      </c>
      <c r="AD385" s="177" t="str">
        <f t="shared" si="10"/>
        <v>0</v>
      </c>
    </row>
    <row r="386" ht="17.25" customHeight="1">
      <c r="A386" s="179"/>
      <c r="B386" s="159" t="s">
        <v>122</v>
      </c>
      <c r="C386" s="133" t="str">
        <f t="shared" si="2"/>
        <v>0</v>
      </c>
      <c r="D386" s="133" t="str">
        <f t="shared" si="3"/>
        <v>0</v>
      </c>
      <c r="E386" s="133" t="str">
        <f t="shared" si="4"/>
        <v>0</v>
      </c>
      <c r="F386" s="133"/>
      <c r="G386" s="133"/>
      <c r="H386" s="108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72"/>
      <c r="X386" s="159" t="str">
        <f t="shared" si="5"/>
        <v>0</v>
      </c>
      <c r="Y386" s="159" t="str">
        <f>BASE!A390</f>
        <v>375</v>
      </c>
      <c r="Z386" s="177" t="str">
        <f t="shared" si="6"/>
        <v>0</v>
      </c>
      <c r="AA386" s="177" t="str">
        <f t="shared" si="7"/>
        <v>0</v>
      </c>
      <c r="AB386" s="177" t="str">
        <f t="shared" si="8"/>
        <v>0</v>
      </c>
      <c r="AC386" s="177" t="str">
        <f t="shared" si="9"/>
        <v>0</v>
      </c>
      <c r="AD386" s="177" t="str">
        <f t="shared" si="10"/>
        <v>0</v>
      </c>
    </row>
    <row r="387" ht="17.25" customHeight="1">
      <c r="A387" s="179"/>
      <c r="B387" s="159" t="s">
        <v>122</v>
      </c>
      <c r="C387" s="133" t="str">
        <f t="shared" si="2"/>
        <v>0</v>
      </c>
      <c r="D387" s="133" t="str">
        <f t="shared" si="3"/>
        <v>0</v>
      </c>
      <c r="E387" s="133" t="str">
        <f t="shared" si="4"/>
        <v>0</v>
      </c>
      <c r="F387" s="133"/>
      <c r="G387" s="133"/>
      <c r="H387" s="108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72"/>
      <c r="X387" s="159" t="str">
        <f t="shared" si="5"/>
        <v>0</v>
      </c>
      <c r="Y387" s="159" t="str">
        <f>BASE!A391</f>
        <v>376</v>
      </c>
      <c r="Z387" s="177" t="str">
        <f t="shared" si="6"/>
        <v>0</v>
      </c>
      <c r="AA387" s="177" t="str">
        <f t="shared" si="7"/>
        <v>0</v>
      </c>
      <c r="AB387" s="177" t="str">
        <f t="shared" si="8"/>
        <v>0</v>
      </c>
      <c r="AC387" s="177" t="str">
        <f t="shared" si="9"/>
        <v>0</v>
      </c>
      <c r="AD387" s="177" t="str">
        <f t="shared" si="10"/>
        <v>0</v>
      </c>
    </row>
    <row r="388" ht="17.25" customHeight="1">
      <c r="A388" s="179"/>
      <c r="B388" s="159" t="s">
        <v>122</v>
      </c>
      <c r="C388" s="133" t="str">
        <f t="shared" si="2"/>
        <v>0</v>
      </c>
      <c r="D388" s="133" t="str">
        <f t="shared" si="3"/>
        <v>0</v>
      </c>
      <c r="E388" s="133" t="str">
        <f t="shared" si="4"/>
        <v>0</v>
      </c>
      <c r="F388" s="133"/>
      <c r="G388" s="133"/>
      <c r="H388" s="108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72"/>
      <c r="X388" s="159" t="str">
        <f t="shared" si="5"/>
        <v>0</v>
      </c>
      <c r="Y388" s="159" t="str">
        <f>BASE!A392</f>
        <v>377</v>
      </c>
      <c r="Z388" s="177" t="str">
        <f t="shared" si="6"/>
        <v>0</v>
      </c>
      <c r="AA388" s="177" t="str">
        <f t="shared" si="7"/>
        <v>0</v>
      </c>
      <c r="AB388" s="177" t="str">
        <f t="shared" si="8"/>
        <v>0</v>
      </c>
      <c r="AC388" s="177" t="str">
        <f t="shared" si="9"/>
        <v>0</v>
      </c>
      <c r="AD388" s="177" t="str">
        <f t="shared" si="10"/>
        <v>0</v>
      </c>
    </row>
    <row r="389" ht="17.25" customHeight="1">
      <c r="A389" s="179"/>
      <c r="B389" s="159" t="s">
        <v>122</v>
      </c>
      <c r="C389" s="133" t="str">
        <f t="shared" si="2"/>
        <v>0</v>
      </c>
      <c r="D389" s="133" t="str">
        <f t="shared" si="3"/>
        <v>0</v>
      </c>
      <c r="E389" s="133" t="str">
        <f t="shared" si="4"/>
        <v>0</v>
      </c>
      <c r="F389" s="133"/>
      <c r="G389" s="133"/>
      <c r="H389" s="108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72"/>
      <c r="X389" s="159" t="str">
        <f t="shared" si="5"/>
        <v>0</v>
      </c>
      <c r="Y389" s="159" t="str">
        <f>BASE!A393</f>
        <v>378</v>
      </c>
      <c r="Z389" s="177" t="str">
        <f t="shared" si="6"/>
        <v>0</v>
      </c>
      <c r="AA389" s="177" t="str">
        <f t="shared" si="7"/>
        <v>0</v>
      </c>
      <c r="AB389" s="177" t="str">
        <f t="shared" si="8"/>
        <v>0</v>
      </c>
      <c r="AC389" s="177" t="str">
        <f t="shared" si="9"/>
        <v>0</v>
      </c>
      <c r="AD389" s="177" t="str">
        <f t="shared" si="10"/>
        <v>0</v>
      </c>
    </row>
    <row r="390" ht="17.25" customHeight="1">
      <c r="A390" s="179"/>
      <c r="B390" s="159" t="s">
        <v>122</v>
      </c>
      <c r="C390" s="133" t="str">
        <f t="shared" si="2"/>
        <v>0</v>
      </c>
      <c r="D390" s="133" t="str">
        <f t="shared" si="3"/>
        <v>0</v>
      </c>
      <c r="E390" s="133" t="str">
        <f t="shared" si="4"/>
        <v>0</v>
      </c>
      <c r="F390" s="133"/>
      <c r="G390" s="133"/>
      <c r="H390" s="108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72"/>
      <c r="X390" s="159" t="str">
        <f t="shared" si="5"/>
        <v>0</v>
      </c>
      <c r="Y390" s="159" t="str">
        <f>BASE!A394</f>
        <v>379</v>
      </c>
      <c r="Z390" s="177" t="str">
        <f t="shared" si="6"/>
        <v>0</v>
      </c>
      <c r="AA390" s="177" t="str">
        <f t="shared" si="7"/>
        <v>0</v>
      </c>
      <c r="AB390" s="177" t="str">
        <f t="shared" si="8"/>
        <v>0</v>
      </c>
      <c r="AC390" s="177" t="str">
        <f t="shared" si="9"/>
        <v>0</v>
      </c>
      <c r="AD390" s="177" t="str">
        <f t="shared" si="10"/>
        <v>0</v>
      </c>
    </row>
    <row r="391" ht="17.25" customHeight="1">
      <c r="A391" s="179"/>
      <c r="B391" s="159" t="s">
        <v>122</v>
      </c>
      <c r="C391" s="133" t="str">
        <f t="shared" si="2"/>
        <v>0</v>
      </c>
      <c r="D391" s="133" t="str">
        <f t="shared" si="3"/>
        <v>0</v>
      </c>
      <c r="E391" s="133" t="str">
        <f t="shared" si="4"/>
        <v>0</v>
      </c>
      <c r="F391" s="133"/>
      <c r="G391" s="133"/>
      <c r="H391" s="108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72"/>
      <c r="X391" s="159" t="str">
        <f t="shared" si="5"/>
        <v>0</v>
      </c>
      <c r="Y391" s="159" t="str">
        <f>BASE!A395</f>
        <v>380</v>
      </c>
      <c r="Z391" s="177" t="str">
        <f t="shared" si="6"/>
        <v>0</v>
      </c>
      <c r="AA391" s="177" t="str">
        <f t="shared" si="7"/>
        <v>0</v>
      </c>
      <c r="AB391" s="177" t="str">
        <f t="shared" si="8"/>
        <v>0</v>
      </c>
      <c r="AC391" s="177" t="str">
        <f t="shared" si="9"/>
        <v>0</v>
      </c>
      <c r="AD391" s="177" t="str">
        <f t="shared" si="10"/>
        <v>0</v>
      </c>
    </row>
    <row r="392" ht="17.25" customHeight="1">
      <c r="A392" s="179"/>
      <c r="B392" s="159" t="s">
        <v>122</v>
      </c>
      <c r="C392" s="133" t="str">
        <f t="shared" si="2"/>
        <v>0</v>
      </c>
      <c r="D392" s="133" t="str">
        <f t="shared" si="3"/>
        <v>0</v>
      </c>
      <c r="E392" s="133" t="str">
        <f t="shared" si="4"/>
        <v>0</v>
      </c>
      <c r="F392" s="133"/>
      <c r="G392" s="133"/>
      <c r="H392" s="108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72"/>
      <c r="X392" s="159" t="str">
        <f t="shared" si="5"/>
        <v>0</v>
      </c>
      <c r="Y392" s="159" t="str">
        <f>BASE!A396</f>
        <v>381</v>
      </c>
      <c r="Z392" s="177" t="str">
        <f t="shared" si="6"/>
        <v>0</v>
      </c>
      <c r="AA392" s="177" t="str">
        <f t="shared" si="7"/>
        <v>0</v>
      </c>
      <c r="AB392" s="177" t="str">
        <f t="shared" si="8"/>
        <v>0</v>
      </c>
      <c r="AC392" s="177" t="str">
        <f t="shared" si="9"/>
        <v>0</v>
      </c>
      <c r="AD392" s="177" t="str">
        <f t="shared" si="10"/>
        <v>0</v>
      </c>
    </row>
    <row r="393" ht="17.25" customHeight="1">
      <c r="A393" s="179"/>
      <c r="B393" s="159" t="s">
        <v>122</v>
      </c>
      <c r="C393" s="133" t="str">
        <f t="shared" si="2"/>
        <v>0</v>
      </c>
      <c r="D393" s="133" t="str">
        <f t="shared" si="3"/>
        <v>0</v>
      </c>
      <c r="E393" s="133" t="str">
        <f t="shared" si="4"/>
        <v>0</v>
      </c>
      <c r="F393" s="133"/>
      <c r="G393" s="133"/>
      <c r="H393" s="108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72"/>
      <c r="X393" s="159" t="str">
        <f t="shared" si="5"/>
        <v>0</v>
      </c>
      <c r="Y393" s="159" t="str">
        <f>BASE!A397</f>
        <v>382</v>
      </c>
      <c r="Z393" s="177" t="str">
        <f t="shared" si="6"/>
        <v>0</v>
      </c>
      <c r="AA393" s="177" t="str">
        <f t="shared" si="7"/>
        <v>0</v>
      </c>
      <c r="AB393" s="177" t="str">
        <f t="shared" si="8"/>
        <v>0</v>
      </c>
      <c r="AC393" s="177" t="str">
        <f t="shared" si="9"/>
        <v>0</v>
      </c>
      <c r="AD393" s="177" t="str">
        <f t="shared" si="10"/>
        <v>0</v>
      </c>
    </row>
    <row r="394" ht="17.25" customHeight="1">
      <c r="A394" s="179"/>
      <c r="B394" s="159" t="s">
        <v>122</v>
      </c>
      <c r="C394" s="133" t="str">
        <f t="shared" si="2"/>
        <v>0</v>
      </c>
      <c r="D394" s="133" t="str">
        <f t="shared" si="3"/>
        <v>0</v>
      </c>
      <c r="E394" s="133" t="str">
        <f t="shared" si="4"/>
        <v>0</v>
      </c>
      <c r="F394" s="133"/>
      <c r="G394" s="133"/>
      <c r="H394" s="108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72"/>
      <c r="X394" s="159" t="str">
        <f t="shared" si="5"/>
        <v>0</v>
      </c>
      <c r="Y394" s="159" t="str">
        <f>BASE!A398</f>
        <v>383</v>
      </c>
      <c r="Z394" s="177" t="str">
        <f t="shared" si="6"/>
        <v>0</v>
      </c>
      <c r="AA394" s="177" t="str">
        <f t="shared" si="7"/>
        <v>0</v>
      </c>
      <c r="AB394" s="177" t="str">
        <f t="shared" si="8"/>
        <v>0</v>
      </c>
      <c r="AC394" s="177" t="str">
        <f t="shared" si="9"/>
        <v>0</v>
      </c>
      <c r="AD394" s="177" t="str">
        <f t="shared" si="10"/>
        <v>0</v>
      </c>
    </row>
    <row r="395" ht="17.25" customHeight="1">
      <c r="A395" s="179"/>
      <c r="B395" s="159" t="s">
        <v>122</v>
      </c>
      <c r="C395" s="133" t="str">
        <f t="shared" si="2"/>
        <v>0</v>
      </c>
      <c r="D395" s="133" t="str">
        <f t="shared" si="3"/>
        <v>0</v>
      </c>
      <c r="E395" s="133" t="str">
        <f t="shared" si="4"/>
        <v>0</v>
      </c>
      <c r="F395" s="133"/>
      <c r="G395" s="133"/>
      <c r="H395" s="108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72"/>
      <c r="X395" s="159" t="str">
        <f t="shared" si="5"/>
        <v>0</v>
      </c>
      <c r="Y395" s="159" t="str">
        <f>BASE!A399</f>
        <v>384</v>
      </c>
      <c r="Z395" s="177" t="str">
        <f t="shared" si="6"/>
        <v>0</v>
      </c>
      <c r="AA395" s="177" t="str">
        <f t="shared" si="7"/>
        <v>0</v>
      </c>
      <c r="AB395" s="177" t="str">
        <f t="shared" si="8"/>
        <v>0</v>
      </c>
      <c r="AC395" s="177" t="str">
        <f t="shared" si="9"/>
        <v>0</v>
      </c>
      <c r="AD395" s="177" t="str">
        <f t="shared" si="10"/>
        <v>0</v>
      </c>
    </row>
    <row r="396" ht="17.25" customHeight="1">
      <c r="A396" s="179"/>
      <c r="B396" s="159" t="s">
        <v>122</v>
      </c>
      <c r="C396" s="133" t="str">
        <f t="shared" si="2"/>
        <v>0</v>
      </c>
      <c r="D396" s="133" t="str">
        <f t="shared" si="3"/>
        <v>0</v>
      </c>
      <c r="E396" s="133" t="str">
        <f t="shared" si="4"/>
        <v>0</v>
      </c>
      <c r="F396" s="133"/>
      <c r="G396" s="133"/>
      <c r="H396" s="108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72"/>
      <c r="X396" s="159" t="str">
        <f t="shared" si="5"/>
        <v>0</v>
      </c>
      <c r="Y396" s="159" t="str">
        <f>BASE!A400</f>
        <v>385</v>
      </c>
      <c r="Z396" s="177" t="str">
        <f t="shared" si="6"/>
        <v>0</v>
      </c>
      <c r="AA396" s="177" t="str">
        <f t="shared" si="7"/>
        <v>0</v>
      </c>
      <c r="AB396" s="177" t="str">
        <f t="shared" si="8"/>
        <v>0</v>
      </c>
      <c r="AC396" s="177" t="str">
        <f t="shared" si="9"/>
        <v>0</v>
      </c>
      <c r="AD396" s="177" t="str">
        <f t="shared" si="10"/>
        <v>0</v>
      </c>
    </row>
    <row r="397" ht="17.25" customHeight="1">
      <c r="A397" s="179"/>
      <c r="B397" s="159" t="s">
        <v>122</v>
      </c>
      <c r="C397" s="133" t="str">
        <f t="shared" si="2"/>
        <v>0</v>
      </c>
      <c r="D397" s="133" t="str">
        <f t="shared" si="3"/>
        <v>0</v>
      </c>
      <c r="E397" s="133" t="str">
        <f t="shared" si="4"/>
        <v>0</v>
      </c>
      <c r="F397" s="133"/>
      <c r="G397" s="133"/>
      <c r="H397" s="108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72"/>
      <c r="X397" s="159" t="str">
        <f t="shared" si="5"/>
        <v>0</v>
      </c>
      <c r="Y397" s="159" t="str">
        <f>BASE!A401</f>
        <v>386</v>
      </c>
      <c r="Z397" s="177" t="str">
        <f t="shared" si="6"/>
        <v>0</v>
      </c>
      <c r="AA397" s="177" t="str">
        <f t="shared" si="7"/>
        <v>0</v>
      </c>
      <c r="AB397" s="177" t="str">
        <f t="shared" si="8"/>
        <v>0</v>
      </c>
      <c r="AC397" s="177" t="str">
        <f t="shared" si="9"/>
        <v>0</v>
      </c>
      <c r="AD397" s="177" t="str">
        <f t="shared" si="10"/>
        <v>0</v>
      </c>
    </row>
    <row r="398" ht="17.25" customHeight="1">
      <c r="A398" s="179"/>
      <c r="B398" s="159" t="s">
        <v>122</v>
      </c>
      <c r="C398" s="133" t="str">
        <f t="shared" si="2"/>
        <v>0</v>
      </c>
      <c r="D398" s="133" t="str">
        <f t="shared" si="3"/>
        <v>0</v>
      </c>
      <c r="E398" s="133" t="str">
        <f t="shared" si="4"/>
        <v>0</v>
      </c>
      <c r="F398" s="133"/>
      <c r="G398" s="133"/>
      <c r="H398" s="108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72"/>
      <c r="X398" s="159" t="str">
        <f t="shared" si="5"/>
        <v>0</v>
      </c>
      <c r="Y398" s="159" t="str">
        <f>BASE!A402</f>
        <v>387</v>
      </c>
      <c r="Z398" s="177" t="str">
        <f t="shared" si="6"/>
        <v>0</v>
      </c>
      <c r="AA398" s="177" t="str">
        <f t="shared" si="7"/>
        <v>0</v>
      </c>
      <c r="AB398" s="177" t="str">
        <f t="shared" si="8"/>
        <v>0</v>
      </c>
      <c r="AC398" s="177" t="str">
        <f t="shared" si="9"/>
        <v>0</v>
      </c>
      <c r="AD398" s="177" t="str">
        <f t="shared" si="10"/>
        <v>0</v>
      </c>
    </row>
    <row r="399" ht="17.25" customHeight="1">
      <c r="A399" s="179"/>
      <c r="B399" s="159" t="s">
        <v>122</v>
      </c>
      <c r="C399" s="133" t="str">
        <f t="shared" si="2"/>
        <v>0</v>
      </c>
      <c r="D399" s="133" t="str">
        <f t="shared" si="3"/>
        <v>0</v>
      </c>
      <c r="E399" s="133" t="str">
        <f t="shared" si="4"/>
        <v>0</v>
      </c>
      <c r="F399" s="133"/>
      <c r="G399" s="133"/>
      <c r="H399" s="108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72"/>
      <c r="X399" s="159" t="str">
        <f t="shared" si="5"/>
        <v>0</v>
      </c>
      <c r="Y399" s="159" t="str">
        <f>BASE!A403</f>
        <v>388</v>
      </c>
      <c r="Z399" s="177" t="str">
        <f t="shared" si="6"/>
        <v>0</v>
      </c>
      <c r="AA399" s="177" t="str">
        <f t="shared" si="7"/>
        <v>0</v>
      </c>
      <c r="AB399" s="177" t="str">
        <f t="shared" si="8"/>
        <v>0</v>
      </c>
      <c r="AC399" s="177" t="str">
        <f t="shared" si="9"/>
        <v>0</v>
      </c>
      <c r="AD399" s="177" t="str">
        <f t="shared" si="10"/>
        <v>0</v>
      </c>
    </row>
    <row r="400" ht="17.25" customHeight="1">
      <c r="A400" s="179"/>
      <c r="B400" s="159" t="s">
        <v>122</v>
      </c>
      <c r="C400" s="133" t="str">
        <f t="shared" si="2"/>
        <v>0</v>
      </c>
      <c r="D400" s="133" t="str">
        <f t="shared" si="3"/>
        <v>0</v>
      </c>
      <c r="E400" s="133" t="str">
        <f t="shared" si="4"/>
        <v>0</v>
      </c>
      <c r="F400" s="133"/>
      <c r="G400" s="133"/>
      <c r="H400" s="108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72"/>
      <c r="X400" s="159" t="str">
        <f t="shared" si="5"/>
        <v>0</v>
      </c>
      <c r="Y400" s="159" t="str">
        <f>BASE!A404</f>
        <v>389</v>
      </c>
      <c r="Z400" s="177" t="str">
        <f t="shared" si="6"/>
        <v>0</v>
      </c>
      <c r="AA400" s="177" t="str">
        <f t="shared" si="7"/>
        <v>0</v>
      </c>
      <c r="AB400" s="177" t="str">
        <f t="shared" si="8"/>
        <v>0</v>
      </c>
      <c r="AC400" s="177" t="str">
        <f t="shared" si="9"/>
        <v>0</v>
      </c>
      <c r="AD400" s="177" t="str">
        <f t="shared" si="10"/>
        <v>0</v>
      </c>
    </row>
    <row r="401" ht="17.25" customHeight="1">
      <c r="A401" s="179"/>
      <c r="B401" s="159" t="s">
        <v>122</v>
      </c>
      <c r="C401" s="133" t="str">
        <f t="shared" si="2"/>
        <v>0</v>
      </c>
      <c r="D401" s="133" t="str">
        <f t="shared" si="3"/>
        <v>0</v>
      </c>
      <c r="E401" s="133" t="str">
        <f t="shared" si="4"/>
        <v>0</v>
      </c>
      <c r="F401" s="133"/>
      <c r="G401" s="133"/>
      <c r="H401" s="108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72"/>
      <c r="X401" s="159" t="str">
        <f t="shared" si="5"/>
        <v>0</v>
      </c>
      <c r="Y401" s="159" t="str">
        <f>BASE!A405</f>
        <v>390</v>
      </c>
      <c r="Z401" s="177" t="str">
        <f t="shared" si="6"/>
        <v>0</v>
      </c>
      <c r="AA401" s="177" t="str">
        <f t="shared" si="7"/>
        <v>0</v>
      </c>
      <c r="AB401" s="177" t="str">
        <f t="shared" si="8"/>
        <v>0</v>
      </c>
      <c r="AC401" s="177" t="str">
        <f t="shared" si="9"/>
        <v>0</v>
      </c>
      <c r="AD401" s="177" t="str">
        <f t="shared" si="10"/>
        <v>0</v>
      </c>
    </row>
    <row r="402" ht="17.25" customHeight="1">
      <c r="A402" s="179"/>
      <c r="B402" s="159" t="s">
        <v>122</v>
      </c>
      <c r="C402" s="133" t="str">
        <f t="shared" si="2"/>
        <v>0</v>
      </c>
      <c r="D402" s="133" t="str">
        <f t="shared" si="3"/>
        <v>0</v>
      </c>
      <c r="E402" s="133" t="str">
        <f t="shared" si="4"/>
        <v>0</v>
      </c>
      <c r="F402" s="133"/>
      <c r="G402" s="133"/>
      <c r="H402" s="108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72"/>
      <c r="X402" s="159" t="str">
        <f t="shared" si="5"/>
        <v>0</v>
      </c>
      <c r="Y402" s="159" t="str">
        <f>BASE!A406</f>
        <v>391</v>
      </c>
      <c r="Z402" s="177" t="str">
        <f t="shared" si="6"/>
        <v>0</v>
      </c>
      <c r="AA402" s="177" t="str">
        <f t="shared" si="7"/>
        <v>0</v>
      </c>
      <c r="AB402" s="177" t="str">
        <f t="shared" si="8"/>
        <v>0</v>
      </c>
      <c r="AC402" s="177" t="str">
        <f t="shared" si="9"/>
        <v>0</v>
      </c>
      <c r="AD402" s="177" t="str">
        <f t="shared" si="10"/>
        <v>0</v>
      </c>
    </row>
    <row r="403" ht="17.25" customHeight="1">
      <c r="A403" s="179"/>
      <c r="B403" s="159" t="s">
        <v>122</v>
      </c>
      <c r="C403" s="133" t="str">
        <f t="shared" si="2"/>
        <v>0</v>
      </c>
      <c r="D403" s="133" t="str">
        <f t="shared" si="3"/>
        <v>0</v>
      </c>
      <c r="E403" s="133" t="str">
        <f t="shared" si="4"/>
        <v>0</v>
      </c>
      <c r="F403" s="133"/>
      <c r="G403" s="133"/>
      <c r="H403" s="108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72"/>
      <c r="X403" s="159" t="str">
        <f t="shared" si="5"/>
        <v>0</v>
      </c>
      <c r="Y403" s="159" t="str">
        <f>BASE!A407</f>
        <v>392</v>
      </c>
      <c r="Z403" s="177" t="str">
        <f t="shared" si="6"/>
        <v>0</v>
      </c>
      <c r="AA403" s="177" t="str">
        <f t="shared" si="7"/>
        <v>0</v>
      </c>
      <c r="AB403" s="177" t="str">
        <f t="shared" si="8"/>
        <v>0</v>
      </c>
      <c r="AC403" s="177" t="str">
        <f t="shared" si="9"/>
        <v>0</v>
      </c>
      <c r="AD403" s="177" t="str">
        <f t="shared" si="10"/>
        <v>0</v>
      </c>
    </row>
    <row r="404" ht="17.25" customHeight="1">
      <c r="A404" s="179"/>
      <c r="B404" s="159" t="s">
        <v>122</v>
      </c>
      <c r="C404" s="133" t="str">
        <f t="shared" si="2"/>
        <v>0</v>
      </c>
      <c r="D404" s="133" t="str">
        <f t="shared" si="3"/>
        <v>0</v>
      </c>
      <c r="E404" s="133" t="str">
        <f t="shared" si="4"/>
        <v>0</v>
      </c>
      <c r="F404" s="133"/>
      <c r="G404" s="133"/>
      <c r="H404" s="108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72"/>
      <c r="X404" s="159" t="str">
        <f t="shared" si="5"/>
        <v>0</v>
      </c>
      <c r="Y404" s="159" t="str">
        <f>BASE!A408</f>
        <v>393</v>
      </c>
      <c r="Z404" s="177" t="str">
        <f t="shared" si="6"/>
        <v>0</v>
      </c>
      <c r="AA404" s="177" t="str">
        <f t="shared" si="7"/>
        <v>0</v>
      </c>
      <c r="AB404" s="177" t="str">
        <f t="shared" si="8"/>
        <v>0</v>
      </c>
      <c r="AC404" s="177" t="str">
        <f t="shared" si="9"/>
        <v>0</v>
      </c>
      <c r="AD404" s="177" t="str">
        <f t="shared" si="10"/>
        <v>0</v>
      </c>
    </row>
    <row r="405" ht="17.25" customHeight="1">
      <c r="A405" s="179"/>
      <c r="B405" s="159" t="s">
        <v>122</v>
      </c>
      <c r="C405" s="133" t="str">
        <f t="shared" si="2"/>
        <v>0</v>
      </c>
      <c r="D405" s="133" t="str">
        <f t="shared" si="3"/>
        <v>0</v>
      </c>
      <c r="E405" s="133" t="str">
        <f t="shared" si="4"/>
        <v>0</v>
      </c>
      <c r="F405" s="133"/>
      <c r="G405" s="133"/>
      <c r="H405" s="108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72"/>
      <c r="X405" s="159" t="str">
        <f t="shared" si="5"/>
        <v>0</v>
      </c>
      <c r="Y405" s="159" t="str">
        <f>BASE!A409</f>
        <v>394</v>
      </c>
      <c r="Z405" s="177" t="str">
        <f t="shared" si="6"/>
        <v>0</v>
      </c>
      <c r="AA405" s="177" t="str">
        <f t="shared" si="7"/>
        <v>0</v>
      </c>
      <c r="AB405" s="177" t="str">
        <f t="shared" si="8"/>
        <v>0</v>
      </c>
      <c r="AC405" s="177" t="str">
        <f t="shared" si="9"/>
        <v>0</v>
      </c>
      <c r="AD405" s="177" t="str">
        <f t="shared" si="10"/>
        <v>0</v>
      </c>
    </row>
    <row r="406" ht="17.25" customHeight="1">
      <c r="A406" s="179"/>
      <c r="B406" s="159" t="s">
        <v>122</v>
      </c>
      <c r="C406" s="133" t="str">
        <f t="shared" si="2"/>
        <v>0</v>
      </c>
      <c r="D406" s="133" t="str">
        <f t="shared" si="3"/>
        <v>0</v>
      </c>
      <c r="E406" s="133" t="str">
        <f t="shared" si="4"/>
        <v>0</v>
      </c>
      <c r="F406" s="133"/>
      <c r="G406" s="133"/>
      <c r="H406" s="108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72"/>
      <c r="X406" s="159" t="str">
        <f t="shared" si="5"/>
        <v>0</v>
      </c>
      <c r="Y406" s="159" t="str">
        <f>BASE!A410</f>
        <v>395</v>
      </c>
      <c r="Z406" s="177" t="str">
        <f t="shared" si="6"/>
        <v>0</v>
      </c>
      <c r="AA406" s="177" t="str">
        <f t="shared" si="7"/>
        <v>0</v>
      </c>
      <c r="AB406" s="177" t="str">
        <f t="shared" si="8"/>
        <v>0</v>
      </c>
      <c r="AC406" s="177" t="str">
        <f t="shared" si="9"/>
        <v>0</v>
      </c>
      <c r="AD406" s="177" t="str">
        <f t="shared" si="10"/>
        <v>0</v>
      </c>
    </row>
    <row r="407" ht="17.25" customHeight="1">
      <c r="A407" s="179"/>
      <c r="B407" s="159" t="s">
        <v>122</v>
      </c>
      <c r="C407" s="133" t="str">
        <f t="shared" si="2"/>
        <v>0</v>
      </c>
      <c r="D407" s="133" t="str">
        <f t="shared" si="3"/>
        <v>0</v>
      </c>
      <c r="E407" s="133" t="str">
        <f t="shared" si="4"/>
        <v>0</v>
      </c>
      <c r="F407" s="133"/>
      <c r="G407" s="133"/>
      <c r="H407" s="108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72"/>
      <c r="X407" s="159" t="str">
        <f t="shared" si="5"/>
        <v>0</v>
      </c>
      <c r="Y407" s="159" t="str">
        <f>BASE!A411</f>
        <v>396</v>
      </c>
      <c r="Z407" s="177" t="str">
        <f t="shared" si="6"/>
        <v>0</v>
      </c>
      <c r="AA407" s="177" t="str">
        <f t="shared" si="7"/>
        <v>0</v>
      </c>
      <c r="AB407" s="177" t="str">
        <f t="shared" si="8"/>
        <v>0</v>
      </c>
      <c r="AC407" s="177" t="str">
        <f t="shared" si="9"/>
        <v>0</v>
      </c>
      <c r="AD407" s="177" t="str">
        <f t="shared" si="10"/>
        <v>0</v>
      </c>
    </row>
    <row r="408" ht="17.25" customHeight="1">
      <c r="A408" s="179"/>
      <c r="B408" s="159" t="s">
        <v>122</v>
      </c>
      <c r="C408" s="133" t="str">
        <f t="shared" si="2"/>
        <v>0</v>
      </c>
      <c r="D408" s="133" t="str">
        <f t="shared" si="3"/>
        <v>0</v>
      </c>
      <c r="E408" s="133" t="str">
        <f t="shared" si="4"/>
        <v>0</v>
      </c>
      <c r="F408" s="133"/>
      <c r="G408" s="133"/>
      <c r="H408" s="108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72"/>
      <c r="X408" s="159" t="str">
        <f t="shared" si="5"/>
        <v>0</v>
      </c>
      <c r="Y408" s="159" t="str">
        <f>BASE!A412</f>
        <v>397</v>
      </c>
      <c r="Z408" s="177" t="str">
        <f t="shared" si="6"/>
        <v>0</v>
      </c>
      <c r="AA408" s="177" t="str">
        <f t="shared" si="7"/>
        <v>0</v>
      </c>
      <c r="AB408" s="177" t="str">
        <f t="shared" si="8"/>
        <v>0</v>
      </c>
      <c r="AC408" s="177" t="str">
        <f t="shared" si="9"/>
        <v>0</v>
      </c>
      <c r="AD408" s="177" t="str">
        <f t="shared" si="10"/>
        <v>0</v>
      </c>
    </row>
    <row r="409" ht="17.25" customHeight="1">
      <c r="A409" s="179"/>
      <c r="B409" s="159" t="s">
        <v>122</v>
      </c>
      <c r="C409" s="133" t="str">
        <f t="shared" si="2"/>
        <v>0</v>
      </c>
      <c r="D409" s="133" t="str">
        <f t="shared" si="3"/>
        <v>0</v>
      </c>
      <c r="E409" s="133" t="str">
        <f t="shared" si="4"/>
        <v>0</v>
      </c>
      <c r="F409" s="133"/>
      <c r="G409" s="133"/>
      <c r="H409" s="108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72"/>
      <c r="X409" s="159" t="str">
        <f t="shared" si="5"/>
        <v>0</v>
      </c>
      <c r="Y409" s="159" t="str">
        <f>BASE!A413</f>
        <v>398</v>
      </c>
      <c r="Z409" s="177" t="str">
        <f t="shared" si="6"/>
        <v>0</v>
      </c>
      <c r="AA409" s="177" t="str">
        <f t="shared" si="7"/>
        <v>0</v>
      </c>
      <c r="AB409" s="177" t="str">
        <f t="shared" si="8"/>
        <v>0</v>
      </c>
      <c r="AC409" s="177" t="str">
        <f t="shared" si="9"/>
        <v>0</v>
      </c>
      <c r="AD409" s="177" t="str">
        <f t="shared" si="10"/>
        <v>0</v>
      </c>
    </row>
    <row r="410" ht="17.25" customHeight="1">
      <c r="A410" s="179"/>
      <c r="B410" s="159" t="s">
        <v>122</v>
      </c>
      <c r="C410" s="133" t="str">
        <f t="shared" si="2"/>
        <v>0</v>
      </c>
      <c r="D410" s="133" t="str">
        <f t="shared" si="3"/>
        <v>0</v>
      </c>
      <c r="E410" s="133" t="str">
        <f t="shared" si="4"/>
        <v>0</v>
      </c>
      <c r="F410" s="133"/>
      <c r="G410" s="133"/>
      <c r="H410" s="108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72"/>
      <c r="X410" s="159" t="str">
        <f t="shared" si="5"/>
        <v>0</v>
      </c>
      <c r="Y410" s="159" t="str">
        <f>BASE!A414</f>
        <v>399</v>
      </c>
      <c r="Z410" s="177" t="str">
        <f t="shared" si="6"/>
        <v>0</v>
      </c>
      <c r="AA410" s="177" t="str">
        <f t="shared" si="7"/>
        <v>0</v>
      </c>
      <c r="AB410" s="177" t="str">
        <f t="shared" si="8"/>
        <v>0</v>
      </c>
      <c r="AC410" s="177" t="str">
        <f t="shared" si="9"/>
        <v>0</v>
      </c>
      <c r="AD410" s="177" t="str">
        <f t="shared" si="10"/>
        <v>0</v>
      </c>
    </row>
    <row r="411" ht="17.25" customHeight="1">
      <c r="A411" s="179"/>
      <c r="B411" s="159" t="s">
        <v>122</v>
      </c>
      <c r="C411" s="133" t="str">
        <f t="shared" si="2"/>
        <v>0</v>
      </c>
      <c r="D411" s="133" t="str">
        <f t="shared" si="3"/>
        <v>0</v>
      </c>
      <c r="E411" s="133" t="str">
        <f t="shared" si="4"/>
        <v>0</v>
      </c>
      <c r="F411" s="133"/>
      <c r="G411" s="133"/>
      <c r="H411" s="108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72"/>
      <c r="X411" s="159" t="str">
        <f t="shared" si="5"/>
        <v>0</v>
      </c>
      <c r="Y411" s="159" t="str">
        <f>BASE!A415</f>
        <v>400</v>
      </c>
      <c r="Z411" s="177" t="str">
        <f t="shared" si="6"/>
        <v>0</v>
      </c>
      <c r="AA411" s="177" t="str">
        <f t="shared" si="7"/>
        <v>0</v>
      </c>
      <c r="AB411" s="177" t="str">
        <f t="shared" si="8"/>
        <v>0</v>
      </c>
      <c r="AC411" s="177" t="str">
        <f t="shared" si="9"/>
        <v>0</v>
      </c>
      <c r="AD411" s="177" t="str">
        <f t="shared" si="10"/>
        <v>0</v>
      </c>
    </row>
    <row r="412" ht="17.25" customHeight="1">
      <c r="A412" s="179"/>
      <c r="B412" s="159" t="s">
        <v>122</v>
      </c>
      <c r="C412" s="133" t="str">
        <f t="shared" si="2"/>
        <v>0</v>
      </c>
      <c r="D412" s="133" t="str">
        <f t="shared" si="3"/>
        <v>0</v>
      </c>
      <c r="E412" s="133" t="str">
        <f t="shared" si="4"/>
        <v>0</v>
      </c>
      <c r="F412" s="133"/>
      <c r="G412" s="133"/>
      <c r="H412" s="108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72"/>
      <c r="X412" s="159" t="str">
        <f t="shared" si="5"/>
        <v>0</v>
      </c>
      <c r="Y412" s="159" t="str">
        <f>BASE!A416</f>
        <v>401</v>
      </c>
      <c r="Z412" s="177" t="str">
        <f t="shared" si="6"/>
        <v>0</v>
      </c>
      <c r="AA412" s="177" t="str">
        <f t="shared" si="7"/>
        <v>0</v>
      </c>
      <c r="AB412" s="177" t="str">
        <f t="shared" si="8"/>
        <v>0</v>
      </c>
      <c r="AC412" s="177" t="str">
        <f t="shared" si="9"/>
        <v>0</v>
      </c>
      <c r="AD412" s="177" t="str">
        <f t="shared" si="10"/>
        <v>0</v>
      </c>
    </row>
    <row r="413" ht="17.25" customHeight="1">
      <c r="A413" s="179"/>
      <c r="B413" s="159" t="s">
        <v>122</v>
      </c>
      <c r="C413" s="133" t="str">
        <f t="shared" si="2"/>
        <v>0</v>
      </c>
      <c r="D413" s="133" t="str">
        <f t="shared" si="3"/>
        <v>0</v>
      </c>
      <c r="E413" s="133" t="str">
        <f t="shared" si="4"/>
        <v>0</v>
      </c>
      <c r="F413" s="133"/>
      <c r="G413" s="133"/>
      <c r="H413" s="108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72"/>
      <c r="X413" s="159" t="str">
        <f t="shared" si="5"/>
        <v>0</v>
      </c>
      <c r="Y413" s="159" t="str">
        <f>BASE!A417</f>
        <v>402</v>
      </c>
      <c r="Z413" s="177" t="str">
        <f t="shared" si="6"/>
        <v>0</v>
      </c>
      <c r="AA413" s="177" t="str">
        <f t="shared" si="7"/>
        <v>0</v>
      </c>
      <c r="AB413" s="177" t="str">
        <f t="shared" si="8"/>
        <v>0</v>
      </c>
      <c r="AC413" s="177" t="str">
        <f t="shared" si="9"/>
        <v>0</v>
      </c>
      <c r="AD413" s="177" t="str">
        <f t="shared" si="10"/>
        <v>0</v>
      </c>
    </row>
    <row r="414" ht="17.25" customHeight="1">
      <c r="A414" s="179"/>
      <c r="B414" s="159" t="s">
        <v>122</v>
      </c>
      <c r="C414" s="133" t="str">
        <f t="shared" si="2"/>
        <v>0</v>
      </c>
      <c r="D414" s="133" t="str">
        <f t="shared" si="3"/>
        <v>0</v>
      </c>
      <c r="E414" s="133" t="str">
        <f t="shared" si="4"/>
        <v>0</v>
      </c>
      <c r="F414" s="133"/>
      <c r="G414" s="133"/>
      <c r="H414" s="108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72"/>
      <c r="X414" s="159" t="str">
        <f t="shared" si="5"/>
        <v>0</v>
      </c>
      <c r="Y414" s="159" t="str">
        <f>BASE!A418</f>
        <v>403</v>
      </c>
      <c r="Z414" s="177" t="str">
        <f t="shared" si="6"/>
        <v>0</v>
      </c>
      <c r="AA414" s="177" t="str">
        <f t="shared" si="7"/>
        <v>0</v>
      </c>
      <c r="AB414" s="177" t="str">
        <f t="shared" si="8"/>
        <v>0</v>
      </c>
      <c r="AC414" s="177" t="str">
        <f t="shared" si="9"/>
        <v>0</v>
      </c>
      <c r="AD414" s="177" t="str">
        <f t="shared" si="10"/>
        <v>0</v>
      </c>
    </row>
    <row r="415" ht="17.25" customHeight="1">
      <c r="A415" s="179"/>
      <c r="B415" s="159" t="s">
        <v>122</v>
      </c>
      <c r="C415" s="133" t="str">
        <f t="shared" si="2"/>
        <v>0</v>
      </c>
      <c r="D415" s="133" t="str">
        <f t="shared" si="3"/>
        <v>0</v>
      </c>
      <c r="E415" s="133" t="str">
        <f t="shared" si="4"/>
        <v>0</v>
      </c>
      <c r="F415" s="133"/>
      <c r="G415" s="133"/>
      <c r="H415" s="108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72"/>
      <c r="X415" s="159" t="str">
        <f t="shared" si="5"/>
        <v>0</v>
      </c>
      <c r="Y415" s="159" t="str">
        <f>BASE!A419</f>
        <v>404</v>
      </c>
      <c r="Z415" s="177" t="str">
        <f t="shared" si="6"/>
        <v>0</v>
      </c>
      <c r="AA415" s="177" t="str">
        <f t="shared" si="7"/>
        <v>0</v>
      </c>
      <c r="AB415" s="177" t="str">
        <f t="shared" si="8"/>
        <v>0</v>
      </c>
      <c r="AC415" s="177" t="str">
        <f t="shared" si="9"/>
        <v>0</v>
      </c>
      <c r="AD415" s="177" t="str">
        <f t="shared" si="10"/>
        <v>0</v>
      </c>
    </row>
    <row r="416" ht="17.25" customHeight="1">
      <c r="A416" s="179"/>
      <c r="B416" s="159" t="s">
        <v>122</v>
      </c>
      <c r="C416" s="133" t="str">
        <f t="shared" si="2"/>
        <v>0</v>
      </c>
      <c r="D416" s="133" t="str">
        <f t="shared" si="3"/>
        <v>0</v>
      </c>
      <c r="E416" s="133" t="str">
        <f t="shared" si="4"/>
        <v>0</v>
      </c>
      <c r="F416" s="133"/>
      <c r="G416" s="133"/>
      <c r="H416" s="108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72"/>
      <c r="X416" s="159" t="str">
        <f t="shared" si="5"/>
        <v>0</v>
      </c>
      <c r="Y416" s="159" t="str">
        <f>BASE!A420</f>
        <v>405</v>
      </c>
      <c r="Z416" s="177" t="str">
        <f t="shared" si="6"/>
        <v>0</v>
      </c>
      <c r="AA416" s="177" t="str">
        <f t="shared" si="7"/>
        <v>0</v>
      </c>
      <c r="AB416" s="177" t="str">
        <f t="shared" si="8"/>
        <v>0</v>
      </c>
      <c r="AC416" s="177" t="str">
        <f t="shared" si="9"/>
        <v>0</v>
      </c>
      <c r="AD416" s="177" t="str">
        <f t="shared" si="10"/>
        <v>0</v>
      </c>
    </row>
    <row r="417" ht="17.25" customHeight="1">
      <c r="A417" s="179"/>
      <c r="B417" s="159" t="s">
        <v>122</v>
      </c>
      <c r="C417" s="133" t="str">
        <f t="shared" si="2"/>
        <v>0</v>
      </c>
      <c r="D417" s="133" t="str">
        <f t="shared" si="3"/>
        <v>0</v>
      </c>
      <c r="E417" s="133" t="str">
        <f t="shared" si="4"/>
        <v>0</v>
      </c>
      <c r="F417" s="133"/>
      <c r="G417" s="133"/>
      <c r="H417" s="108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72"/>
      <c r="X417" s="159" t="str">
        <f t="shared" si="5"/>
        <v>0</v>
      </c>
      <c r="Y417" s="159" t="str">
        <f>BASE!A421</f>
        <v>406</v>
      </c>
      <c r="Z417" s="177" t="str">
        <f t="shared" si="6"/>
        <v>0</v>
      </c>
      <c r="AA417" s="177" t="str">
        <f t="shared" si="7"/>
        <v>0</v>
      </c>
      <c r="AB417" s="177" t="str">
        <f t="shared" si="8"/>
        <v>0</v>
      </c>
      <c r="AC417" s="177" t="str">
        <f t="shared" si="9"/>
        <v>0</v>
      </c>
      <c r="AD417" s="177" t="str">
        <f t="shared" si="10"/>
        <v>0</v>
      </c>
    </row>
    <row r="418" ht="17.25" customHeight="1">
      <c r="A418" s="179"/>
      <c r="B418" s="159" t="s">
        <v>122</v>
      </c>
      <c r="C418" s="133" t="str">
        <f t="shared" si="2"/>
        <v>0</v>
      </c>
      <c r="D418" s="133" t="str">
        <f t="shared" si="3"/>
        <v>0</v>
      </c>
      <c r="E418" s="133" t="str">
        <f t="shared" si="4"/>
        <v>0</v>
      </c>
      <c r="F418" s="133"/>
      <c r="G418" s="133"/>
      <c r="H418" s="108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72"/>
      <c r="X418" s="159" t="str">
        <f t="shared" si="5"/>
        <v>0</v>
      </c>
      <c r="Y418" s="159" t="str">
        <f>BASE!A422</f>
        <v>407</v>
      </c>
      <c r="Z418" s="177" t="str">
        <f t="shared" si="6"/>
        <v>0</v>
      </c>
      <c r="AA418" s="177" t="str">
        <f t="shared" si="7"/>
        <v>0</v>
      </c>
      <c r="AB418" s="177" t="str">
        <f t="shared" si="8"/>
        <v>0</v>
      </c>
      <c r="AC418" s="177" t="str">
        <f t="shared" si="9"/>
        <v>0</v>
      </c>
      <c r="AD418" s="177" t="str">
        <f t="shared" si="10"/>
        <v>0</v>
      </c>
    </row>
    <row r="419" ht="17.25" customHeight="1">
      <c r="A419" s="179"/>
      <c r="B419" s="159" t="s">
        <v>122</v>
      </c>
      <c r="C419" s="133" t="str">
        <f t="shared" si="2"/>
        <v>0</v>
      </c>
      <c r="D419" s="133" t="str">
        <f t="shared" si="3"/>
        <v>0</v>
      </c>
      <c r="E419" s="133" t="str">
        <f t="shared" si="4"/>
        <v>0</v>
      </c>
      <c r="F419" s="133"/>
      <c r="G419" s="133"/>
      <c r="H419" s="108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72"/>
      <c r="X419" s="159" t="str">
        <f t="shared" si="5"/>
        <v>0</v>
      </c>
      <c r="Y419" s="159" t="str">
        <f>BASE!A423</f>
        <v>408</v>
      </c>
      <c r="Z419" s="177" t="str">
        <f t="shared" si="6"/>
        <v>0</v>
      </c>
      <c r="AA419" s="177" t="str">
        <f t="shared" si="7"/>
        <v>0</v>
      </c>
      <c r="AB419" s="177" t="str">
        <f t="shared" si="8"/>
        <v>0</v>
      </c>
      <c r="AC419" s="177" t="str">
        <f t="shared" si="9"/>
        <v>0</v>
      </c>
      <c r="AD419" s="177" t="str">
        <f t="shared" si="10"/>
        <v>0</v>
      </c>
    </row>
    <row r="420" ht="17.25" customHeight="1">
      <c r="A420" s="179"/>
      <c r="B420" s="159" t="s">
        <v>122</v>
      </c>
      <c r="C420" s="133" t="str">
        <f t="shared" si="2"/>
        <v>0</v>
      </c>
      <c r="D420" s="133" t="str">
        <f t="shared" si="3"/>
        <v>0</v>
      </c>
      <c r="E420" s="133" t="str">
        <f t="shared" si="4"/>
        <v>0</v>
      </c>
      <c r="F420" s="133"/>
      <c r="G420" s="133"/>
      <c r="H420" s="108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72"/>
      <c r="X420" s="159" t="str">
        <f t="shared" si="5"/>
        <v>0</v>
      </c>
      <c r="Y420" s="159" t="str">
        <f>BASE!A424</f>
        <v>409</v>
      </c>
      <c r="Z420" s="177" t="str">
        <f t="shared" si="6"/>
        <v>0</v>
      </c>
      <c r="AA420" s="177" t="str">
        <f t="shared" si="7"/>
        <v>0</v>
      </c>
      <c r="AB420" s="177" t="str">
        <f t="shared" si="8"/>
        <v>0</v>
      </c>
      <c r="AC420" s="177" t="str">
        <f t="shared" si="9"/>
        <v>0</v>
      </c>
      <c r="AD420" s="177" t="str">
        <f t="shared" si="10"/>
        <v>0</v>
      </c>
    </row>
    <row r="421" ht="17.25" customHeight="1">
      <c r="A421" s="179"/>
      <c r="B421" s="159" t="s">
        <v>122</v>
      </c>
      <c r="C421" s="133" t="str">
        <f t="shared" si="2"/>
        <v>0</v>
      </c>
      <c r="D421" s="133" t="str">
        <f t="shared" si="3"/>
        <v>0</v>
      </c>
      <c r="E421" s="133" t="str">
        <f t="shared" si="4"/>
        <v>0</v>
      </c>
      <c r="F421" s="133"/>
      <c r="G421" s="133"/>
      <c r="H421" s="108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72"/>
      <c r="X421" s="159" t="str">
        <f t="shared" si="5"/>
        <v>0</v>
      </c>
      <c r="Y421" s="159" t="str">
        <f>BASE!A425</f>
        <v>410</v>
      </c>
      <c r="Z421" s="177" t="str">
        <f t="shared" si="6"/>
        <v>0</v>
      </c>
      <c r="AA421" s="177" t="str">
        <f t="shared" si="7"/>
        <v>0</v>
      </c>
      <c r="AB421" s="177" t="str">
        <f t="shared" si="8"/>
        <v>0</v>
      </c>
      <c r="AC421" s="177" t="str">
        <f t="shared" si="9"/>
        <v>0</v>
      </c>
      <c r="AD421" s="177" t="str">
        <f t="shared" si="10"/>
        <v>0</v>
      </c>
    </row>
    <row r="422" ht="17.25" customHeight="1">
      <c r="A422" s="179"/>
      <c r="B422" s="159" t="s">
        <v>122</v>
      </c>
      <c r="C422" s="133" t="str">
        <f t="shared" si="2"/>
        <v>0</v>
      </c>
      <c r="D422" s="133" t="str">
        <f t="shared" si="3"/>
        <v>0</v>
      </c>
      <c r="E422" s="133" t="str">
        <f t="shared" si="4"/>
        <v>0</v>
      </c>
      <c r="F422" s="133"/>
      <c r="G422" s="133"/>
      <c r="H422" s="108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72"/>
      <c r="X422" s="159" t="str">
        <f t="shared" si="5"/>
        <v>0</v>
      </c>
      <c r="Y422" s="159" t="str">
        <f>BASE!A426</f>
        <v>411</v>
      </c>
      <c r="Z422" s="177" t="str">
        <f t="shared" si="6"/>
        <v>0</v>
      </c>
      <c r="AA422" s="177" t="str">
        <f t="shared" si="7"/>
        <v>0</v>
      </c>
      <c r="AB422" s="177" t="str">
        <f t="shared" si="8"/>
        <v>0</v>
      </c>
      <c r="AC422" s="177" t="str">
        <f t="shared" si="9"/>
        <v>0</v>
      </c>
      <c r="AD422" s="177" t="str">
        <f t="shared" si="10"/>
        <v>0</v>
      </c>
    </row>
    <row r="423" ht="17.25" customHeight="1">
      <c r="A423" s="179"/>
      <c r="B423" s="159" t="s">
        <v>122</v>
      </c>
      <c r="C423" s="133" t="str">
        <f t="shared" si="2"/>
        <v>0</v>
      </c>
      <c r="D423" s="133" t="str">
        <f t="shared" si="3"/>
        <v>0</v>
      </c>
      <c r="E423" s="133" t="str">
        <f t="shared" si="4"/>
        <v>0</v>
      </c>
      <c r="F423" s="133"/>
      <c r="G423" s="133"/>
      <c r="H423" s="108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72"/>
      <c r="X423" s="159" t="str">
        <f t="shared" si="5"/>
        <v>0</v>
      </c>
      <c r="Y423" s="159" t="str">
        <f>BASE!A427</f>
        <v>412</v>
      </c>
      <c r="Z423" s="177" t="str">
        <f t="shared" si="6"/>
        <v>0</v>
      </c>
      <c r="AA423" s="177" t="str">
        <f t="shared" si="7"/>
        <v>0</v>
      </c>
      <c r="AB423" s="177" t="str">
        <f t="shared" si="8"/>
        <v>0</v>
      </c>
      <c r="AC423" s="177" t="str">
        <f t="shared" si="9"/>
        <v>0</v>
      </c>
      <c r="AD423" s="177" t="str">
        <f t="shared" si="10"/>
        <v>0</v>
      </c>
    </row>
    <row r="424" ht="17.25" customHeight="1">
      <c r="A424" s="179"/>
      <c r="B424" s="159" t="s">
        <v>122</v>
      </c>
      <c r="C424" s="133" t="str">
        <f t="shared" si="2"/>
        <v>0</v>
      </c>
      <c r="D424" s="133" t="str">
        <f t="shared" si="3"/>
        <v>0</v>
      </c>
      <c r="E424" s="133" t="str">
        <f t="shared" si="4"/>
        <v>0</v>
      </c>
      <c r="F424" s="133"/>
      <c r="G424" s="133"/>
      <c r="H424" s="108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72"/>
      <c r="X424" s="159" t="str">
        <f t="shared" si="5"/>
        <v>0</v>
      </c>
      <c r="Y424" s="159" t="str">
        <f>BASE!A428</f>
        <v>413</v>
      </c>
      <c r="Z424" s="177" t="str">
        <f t="shared" si="6"/>
        <v>0</v>
      </c>
      <c r="AA424" s="177" t="str">
        <f t="shared" si="7"/>
        <v>0</v>
      </c>
      <c r="AB424" s="177" t="str">
        <f t="shared" si="8"/>
        <v>0</v>
      </c>
      <c r="AC424" s="177" t="str">
        <f t="shared" si="9"/>
        <v>0</v>
      </c>
      <c r="AD424" s="177" t="str">
        <f t="shared" si="10"/>
        <v>0</v>
      </c>
    </row>
    <row r="425" ht="17.25" customHeight="1">
      <c r="A425" s="179"/>
      <c r="B425" s="159" t="s">
        <v>122</v>
      </c>
      <c r="C425" s="133" t="str">
        <f t="shared" si="2"/>
        <v>0</v>
      </c>
      <c r="D425" s="133" t="str">
        <f t="shared" si="3"/>
        <v>0</v>
      </c>
      <c r="E425" s="133" t="str">
        <f t="shared" si="4"/>
        <v>0</v>
      </c>
      <c r="F425" s="133"/>
      <c r="G425" s="133"/>
      <c r="H425" s="108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72"/>
      <c r="X425" s="159" t="str">
        <f t="shared" si="5"/>
        <v>0</v>
      </c>
      <c r="Y425" s="159" t="str">
        <f>BASE!A429</f>
        <v>414</v>
      </c>
      <c r="Z425" s="177" t="str">
        <f t="shared" si="6"/>
        <v>0</v>
      </c>
      <c r="AA425" s="177" t="str">
        <f t="shared" si="7"/>
        <v>0</v>
      </c>
      <c r="AB425" s="177" t="str">
        <f t="shared" si="8"/>
        <v>0</v>
      </c>
      <c r="AC425" s="177" t="str">
        <f t="shared" si="9"/>
        <v>0</v>
      </c>
      <c r="AD425" s="177" t="str">
        <f t="shared" si="10"/>
        <v>0</v>
      </c>
    </row>
    <row r="426" ht="17.25" customHeight="1">
      <c r="A426" s="179"/>
      <c r="B426" s="159" t="s">
        <v>122</v>
      </c>
      <c r="C426" s="133" t="str">
        <f t="shared" si="2"/>
        <v>0</v>
      </c>
      <c r="D426" s="133" t="str">
        <f t="shared" si="3"/>
        <v>0</v>
      </c>
      <c r="E426" s="133" t="str">
        <f t="shared" si="4"/>
        <v>0</v>
      </c>
      <c r="F426" s="133"/>
      <c r="G426" s="133"/>
      <c r="H426" s="108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72"/>
      <c r="X426" s="159" t="str">
        <f t="shared" si="5"/>
        <v>0</v>
      </c>
      <c r="Y426" s="159" t="str">
        <f>BASE!A430</f>
        <v>415</v>
      </c>
      <c r="Z426" s="177" t="str">
        <f t="shared" si="6"/>
        <v>0</v>
      </c>
      <c r="AA426" s="177" t="str">
        <f t="shared" si="7"/>
        <v>0</v>
      </c>
      <c r="AB426" s="177" t="str">
        <f t="shared" si="8"/>
        <v>0</v>
      </c>
      <c r="AC426" s="177" t="str">
        <f t="shared" si="9"/>
        <v>0</v>
      </c>
      <c r="AD426" s="177" t="str">
        <f t="shared" si="10"/>
        <v>0</v>
      </c>
    </row>
    <row r="427" ht="17.25" customHeight="1">
      <c r="A427" s="179"/>
      <c r="B427" s="159" t="s">
        <v>122</v>
      </c>
      <c r="C427" s="133" t="str">
        <f t="shared" si="2"/>
        <v>0</v>
      </c>
      <c r="D427" s="133" t="str">
        <f t="shared" si="3"/>
        <v>0</v>
      </c>
      <c r="E427" s="133" t="str">
        <f t="shared" si="4"/>
        <v>0</v>
      </c>
      <c r="F427" s="133"/>
      <c r="G427" s="133"/>
      <c r="H427" s="108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72"/>
      <c r="X427" s="159" t="str">
        <f t="shared" si="5"/>
        <v>0</v>
      </c>
      <c r="Y427" s="159" t="str">
        <f>BASE!A431</f>
        <v>416</v>
      </c>
      <c r="Z427" s="177" t="str">
        <f t="shared" si="6"/>
        <v>0</v>
      </c>
      <c r="AA427" s="177" t="str">
        <f t="shared" si="7"/>
        <v>0</v>
      </c>
      <c r="AB427" s="177" t="str">
        <f t="shared" si="8"/>
        <v>0</v>
      </c>
      <c r="AC427" s="177" t="str">
        <f t="shared" si="9"/>
        <v>0</v>
      </c>
      <c r="AD427" s="177" t="str">
        <f t="shared" si="10"/>
        <v>0</v>
      </c>
    </row>
    <row r="428" ht="17.25" customHeight="1">
      <c r="A428" s="179"/>
      <c r="B428" s="159" t="s">
        <v>122</v>
      </c>
      <c r="C428" s="133" t="str">
        <f t="shared" si="2"/>
        <v>0</v>
      </c>
      <c r="D428" s="133" t="str">
        <f t="shared" si="3"/>
        <v>0</v>
      </c>
      <c r="E428" s="133" t="str">
        <f t="shared" si="4"/>
        <v>0</v>
      </c>
      <c r="F428" s="133"/>
      <c r="G428" s="133"/>
      <c r="H428" s="108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72"/>
      <c r="X428" s="159" t="str">
        <f t="shared" si="5"/>
        <v>0</v>
      </c>
      <c r="Y428" s="159" t="str">
        <f>BASE!A432</f>
        <v>417</v>
      </c>
      <c r="Z428" s="177" t="str">
        <f t="shared" si="6"/>
        <v>0</v>
      </c>
      <c r="AA428" s="177" t="str">
        <f t="shared" si="7"/>
        <v>0</v>
      </c>
      <c r="AB428" s="177" t="str">
        <f t="shared" si="8"/>
        <v>0</v>
      </c>
      <c r="AC428" s="177" t="str">
        <f t="shared" si="9"/>
        <v>0</v>
      </c>
      <c r="AD428" s="177" t="str">
        <f t="shared" si="10"/>
        <v>0</v>
      </c>
    </row>
    <row r="429" ht="17.25" customHeight="1">
      <c r="A429" s="179"/>
      <c r="B429" s="159" t="s">
        <v>122</v>
      </c>
      <c r="C429" s="133" t="str">
        <f t="shared" si="2"/>
        <v>0</v>
      </c>
      <c r="D429" s="133" t="str">
        <f t="shared" si="3"/>
        <v>0</v>
      </c>
      <c r="E429" s="133" t="str">
        <f t="shared" si="4"/>
        <v>0</v>
      </c>
      <c r="F429" s="133"/>
      <c r="G429" s="133"/>
      <c r="H429" s="108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72"/>
      <c r="X429" s="159" t="str">
        <f t="shared" si="5"/>
        <v>0</v>
      </c>
      <c r="Y429" s="159" t="str">
        <f>BASE!A433</f>
        <v>418</v>
      </c>
      <c r="Z429" s="177" t="str">
        <f t="shared" si="6"/>
        <v>0</v>
      </c>
      <c r="AA429" s="177" t="str">
        <f t="shared" si="7"/>
        <v>0</v>
      </c>
      <c r="AB429" s="177" t="str">
        <f t="shared" si="8"/>
        <v>0</v>
      </c>
      <c r="AC429" s="177" t="str">
        <f t="shared" si="9"/>
        <v>0</v>
      </c>
      <c r="AD429" s="177" t="str">
        <f t="shared" si="10"/>
        <v>0</v>
      </c>
    </row>
    <row r="430" ht="17.25" customHeight="1">
      <c r="A430" s="179"/>
      <c r="B430" s="159" t="s">
        <v>122</v>
      </c>
      <c r="C430" s="133" t="str">
        <f t="shared" si="2"/>
        <v>0</v>
      </c>
      <c r="D430" s="133" t="str">
        <f t="shared" si="3"/>
        <v>0</v>
      </c>
      <c r="E430" s="133" t="str">
        <f t="shared" si="4"/>
        <v>0</v>
      </c>
      <c r="F430" s="133"/>
      <c r="G430" s="133"/>
      <c r="H430" s="108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72"/>
      <c r="X430" s="159" t="str">
        <f t="shared" si="5"/>
        <v>0</v>
      </c>
      <c r="Y430" s="159" t="str">
        <f>BASE!A434</f>
        <v>419</v>
      </c>
      <c r="Z430" s="177" t="str">
        <f t="shared" si="6"/>
        <v>0</v>
      </c>
      <c r="AA430" s="177" t="str">
        <f t="shared" si="7"/>
        <v>0</v>
      </c>
      <c r="AB430" s="177" t="str">
        <f t="shared" si="8"/>
        <v>0</v>
      </c>
      <c r="AC430" s="177" t="str">
        <f t="shared" si="9"/>
        <v>0</v>
      </c>
      <c r="AD430" s="177" t="str">
        <f t="shared" si="10"/>
        <v>0</v>
      </c>
    </row>
    <row r="431" ht="17.25" customHeight="1">
      <c r="A431" s="179"/>
      <c r="B431" s="159" t="s">
        <v>122</v>
      </c>
      <c r="C431" s="133" t="str">
        <f t="shared" si="2"/>
        <v>0</v>
      </c>
      <c r="D431" s="133" t="str">
        <f t="shared" si="3"/>
        <v>0</v>
      </c>
      <c r="E431" s="133" t="str">
        <f t="shared" si="4"/>
        <v>0</v>
      </c>
      <c r="F431" s="133"/>
      <c r="G431" s="133"/>
      <c r="H431" s="108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72"/>
      <c r="X431" s="159" t="str">
        <f t="shared" si="5"/>
        <v>0</v>
      </c>
      <c r="Y431" s="159" t="str">
        <f>BASE!A435</f>
        <v>420</v>
      </c>
      <c r="Z431" s="177" t="str">
        <f t="shared" si="6"/>
        <v>0</v>
      </c>
      <c r="AA431" s="177" t="str">
        <f t="shared" si="7"/>
        <v>0</v>
      </c>
      <c r="AB431" s="177" t="str">
        <f t="shared" si="8"/>
        <v>0</v>
      </c>
      <c r="AC431" s="177" t="str">
        <f t="shared" si="9"/>
        <v>0</v>
      </c>
      <c r="AD431" s="177" t="str">
        <f t="shared" si="10"/>
        <v>0</v>
      </c>
    </row>
    <row r="432" ht="17.25" customHeight="1">
      <c r="A432" s="179"/>
      <c r="B432" s="159" t="s">
        <v>122</v>
      </c>
      <c r="C432" s="133" t="str">
        <f t="shared" si="2"/>
        <v>0</v>
      </c>
      <c r="D432" s="133" t="str">
        <f t="shared" si="3"/>
        <v>0</v>
      </c>
      <c r="E432" s="133" t="str">
        <f t="shared" si="4"/>
        <v>0</v>
      </c>
      <c r="F432" s="133"/>
      <c r="G432" s="133"/>
      <c r="H432" s="108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72"/>
      <c r="X432" s="159" t="str">
        <f t="shared" si="5"/>
        <v>0</v>
      </c>
      <c r="Y432" s="159" t="str">
        <f>BASE!A436</f>
        <v>421</v>
      </c>
      <c r="Z432" s="177" t="str">
        <f t="shared" si="6"/>
        <v>0</v>
      </c>
      <c r="AA432" s="177" t="str">
        <f t="shared" si="7"/>
        <v>0</v>
      </c>
      <c r="AB432" s="177" t="str">
        <f t="shared" si="8"/>
        <v>0</v>
      </c>
      <c r="AC432" s="177" t="str">
        <f t="shared" si="9"/>
        <v>0</v>
      </c>
      <c r="AD432" s="177" t="str">
        <f t="shared" si="10"/>
        <v>0</v>
      </c>
    </row>
    <row r="433" ht="17.25" customHeight="1">
      <c r="A433" s="179"/>
      <c r="B433" s="159" t="s">
        <v>122</v>
      </c>
      <c r="C433" s="133" t="str">
        <f t="shared" si="2"/>
        <v>0</v>
      </c>
      <c r="D433" s="133" t="str">
        <f t="shared" si="3"/>
        <v>0</v>
      </c>
      <c r="E433" s="133" t="str">
        <f t="shared" si="4"/>
        <v>0</v>
      </c>
      <c r="F433" s="133"/>
      <c r="G433" s="133"/>
      <c r="H433" s="108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72"/>
      <c r="X433" s="159" t="str">
        <f t="shared" si="5"/>
        <v>0</v>
      </c>
      <c r="Y433" s="159" t="str">
        <f>BASE!A437</f>
        <v>422</v>
      </c>
      <c r="Z433" s="177" t="str">
        <f t="shared" si="6"/>
        <v>0</v>
      </c>
      <c r="AA433" s="177" t="str">
        <f t="shared" si="7"/>
        <v>0</v>
      </c>
      <c r="AB433" s="177" t="str">
        <f t="shared" si="8"/>
        <v>0</v>
      </c>
      <c r="AC433" s="177" t="str">
        <f t="shared" si="9"/>
        <v>0</v>
      </c>
      <c r="AD433" s="177" t="str">
        <f t="shared" si="10"/>
        <v>0</v>
      </c>
    </row>
    <row r="434" ht="17.25" customHeight="1">
      <c r="A434" s="179"/>
      <c r="B434" s="159" t="s">
        <v>122</v>
      </c>
      <c r="C434" s="133" t="str">
        <f t="shared" si="2"/>
        <v>0</v>
      </c>
      <c r="D434" s="133" t="str">
        <f t="shared" si="3"/>
        <v>0</v>
      </c>
      <c r="E434" s="133" t="str">
        <f t="shared" si="4"/>
        <v>0</v>
      </c>
      <c r="F434" s="133"/>
      <c r="G434" s="133"/>
      <c r="H434" s="108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72"/>
      <c r="X434" s="159" t="str">
        <f t="shared" si="5"/>
        <v>0</v>
      </c>
      <c r="Y434" s="159" t="str">
        <f>BASE!A438</f>
        <v>423</v>
      </c>
      <c r="Z434" s="177" t="str">
        <f t="shared" si="6"/>
        <v>0</v>
      </c>
      <c r="AA434" s="177" t="str">
        <f t="shared" si="7"/>
        <v>0</v>
      </c>
      <c r="AB434" s="177" t="str">
        <f t="shared" si="8"/>
        <v>0</v>
      </c>
      <c r="AC434" s="177" t="str">
        <f t="shared" si="9"/>
        <v>0</v>
      </c>
      <c r="AD434" s="177" t="str">
        <f t="shared" si="10"/>
        <v>0</v>
      </c>
    </row>
    <row r="435" ht="17.25" customHeight="1">
      <c r="A435" s="179"/>
      <c r="B435" s="159" t="s">
        <v>122</v>
      </c>
      <c r="C435" s="133" t="str">
        <f t="shared" si="2"/>
        <v>0</v>
      </c>
      <c r="D435" s="133" t="str">
        <f t="shared" si="3"/>
        <v>0</v>
      </c>
      <c r="E435" s="133" t="str">
        <f t="shared" si="4"/>
        <v>0</v>
      </c>
      <c r="F435" s="133"/>
      <c r="G435" s="133"/>
      <c r="H435" s="108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72"/>
      <c r="X435" s="159" t="str">
        <f t="shared" si="5"/>
        <v>0</v>
      </c>
      <c r="Y435" s="159" t="str">
        <f>BASE!A439</f>
        <v>424</v>
      </c>
      <c r="Z435" s="177" t="str">
        <f t="shared" si="6"/>
        <v>0</v>
      </c>
      <c r="AA435" s="177" t="str">
        <f t="shared" si="7"/>
        <v>0</v>
      </c>
      <c r="AB435" s="177" t="str">
        <f t="shared" si="8"/>
        <v>0</v>
      </c>
      <c r="AC435" s="177" t="str">
        <f t="shared" si="9"/>
        <v>0</v>
      </c>
      <c r="AD435" s="177" t="str">
        <f t="shared" si="10"/>
        <v>0</v>
      </c>
    </row>
    <row r="436" ht="17.25" customHeight="1">
      <c r="A436" s="179"/>
      <c r="B436" s="159" t="s">
        <v>122</v>
      </c>
      <c r="C436" s="133" t="str">
        <f t="shared" si="2"/>
        <v>0</v>
      </c>
      <c r="D436" s="133" t="str">
        <f t="shared" si="3"/>
        <v>0</v>
      </c>
      <c r="E436" s="133" t="str">
        <f t="shared" si="4"/>
        <v>0</v>
      </c>
      <c r="F436" s="133"/>
      <c r="G436" s="133"/>
      <c r="H436" s="108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72"/>
      <c r="X436" s="159" t="str">
        <f t="shared" si="5"/>
        <v>0</v>
      </c>
      <c r="Y436" s="159" t="str">
        <f>BASE!A440</f>
        <v>425</v>
      </c>
      <c r="Z436" s="177" t="str">
        <f t="shared" si="6"/>
        <v>0</v>
      </c>
      <c r="AA436" s="177" t="str">
        <f t="shared" si="7"/>
        <v>0</v>
      </c>
      <c r="AB436" s="177" t="str">
        <f t="shared" si="8"/>
        <v>0</v>
      </c>
      <c r="AC436" s="177" t="str">
        <f t="shared" si="9"/>
        <v>0</v>
      </c>
      <c r="AD436" s="177" t="str">
        <f t="shared" si="10"/>
        <v>0</v>
      </c>
    </row>
    <row r="437" ht="17.25" customHeight="1">
      <c r="A437" s="179"/>
      <c r="B437" s="159" t="s">
        <v>122</v>
      </c>
      <c r="C437" s="133" t="str">
        <f t="shared" si="2"/>
        <v>0</v>
      </c>
      <c r="D437" s="133" t="str">
        <f t="shared" si="3"/>
        <v>0</v>
      </c>
      <c r="E437" s="133" t="str">
        <f t="shared" si="4"/>
        <v>0</v>
      </c>
      <c r="F437" s="133"/>
      <c r="G437" s="133"/>
      <c r="H437" s="108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72"/>
      <c r="X437" s="159" t="str">
        <f t="shared" si="5"/>
        <v>0</v>
      </c>
      <c r="Y437" s="159" t="str">
        <f>BASE!A441</f>
        <v>426</v>
      </c>
      <c r="Z437" s="177" t="str">
        <f t="shared" si="6"/>
        <v>0</v>
      </c>
      <c r="AA437" s="177" t="str">
        <f t="shared" si="7"/>
        <v>0</v>
      </c>
      <c r="AB437" s="177" t="str">
        <f t="shared" si="8"/>
        <v>0</v>
      </c>
      <c r="AC437" s="177" t="str">
        <f t="shared" si="9"/>
        <v>0</v>
      </c>
      <c r="AD437" s="177" t="str">
        <f t="shared" si="10"/>
        <v>0</v>
      </c>
    </row>
    <row r="438" ht="17.25" customHeight="1">
      <c r="A438" s="179"/>
      <c r="B438" s="159" t="s">
        <v>122</v>
      </c>
      <c r="C438" s="133" t="str">
        <f t="shared" si="2"/>
        <v>0</v>
      </c>
      <c r="D438" s="133" t="str">
        <f t="shared" si="3"/>
        <v>0</v>
      </c>
      <c r="E438" s="133" t="str">
        <f t="shared" si="4"/>
        <v>0</v>
      </c>
      <c r="F438" s="133"/>
      <c r="G438" s="133"/>
      <c r="H438" s="108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72"/>
      <c r="X438" s="159" t="str">
        <f t="shared" si="5"/>
        <v>0</v>
      </c>
      <c r="Y438" s="159" t="str">
        <f>BASE!A442</f>
        <v>427</v>
      </c>
      <c r="Z438" s="177" t="str">
        <f t="shared" si="6"/>
        <v>0</v>
      </c>
      <c r="AA438" s="177" t="str">
        <f t="shared" si="7"/>
        <v>0</v>
      </c>
      <c r="AB438" s="177" t="str">
        <f t="shared" si="8"/>
        <v>0</v>
      </c>
      <c r="AC438" s="177" t="str">
        <f t="shared" si="9"/>
        <v>0</v>
      </c>
      <c r="AD438" s="177" t="str">
        <f t="shared" si="10"/>
        <v>0</v>
      </c>
    </row>
    <row r="439" ht="17.25" customHeight="1">
      <c r="A439" s="179"/>
      <c r="B439" s="159" t="s">
        <v>122</v>
      </c>
      <c r="C439" s="133" t="str">
        <f t="shared" si="2"/>
        <v>0</v>
      </c>
      <c r="D439" s="133" t="str">
        <f t="shared" si="3"/>
        <v>0</v>
      </c>
      <c r="E439" s="133" t="str">
        <f t="shared" si="4"/>
        <v>0</v>
      </c>
      <c r="F439" s="133"/>
      <c r="G439" s="133"/>
      <c r="H439" s="108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72"/>
      <c r="X439" s="159" t="str">
        <f t="shared" si="5"/>
        <v>0</v>
      </c>
      <c r="Y439" s="159" t="str">
        <f>BASE!A443</f>
        <v>428</v>
      </c>
      <c r="Z439" s="177" t="str">
        <f t="shared" si="6"/>
        <v>0</v>
      </c>
      <c r="AA439" s="177" t="str">
        <f t="shared" si="7"/>
        <v>0</v>
      </c>
      <c r="AB439" s="177" t="str">
        <f t="shared" si="8"/>
        <v>0</v>
      </c>
      <c r="AC439" s="177" t="str">
        <f t="shared" si="9"/>
        <v>0</v>
      </c>
      <c r="AD439" s="177" t="str">
        <f t="shared" si="10"/>
        <v>0</v>
      </c>
    </row>
    <row r="440" ht="17.25" customHeight="1">
      <c r="A440" s="179"/>
      <c r="B440" s="159" t="s">
        <v>122</v>
      </c>
      <c r="C440" s="133" t="str">
        <f t="shared" si="2"/>
        <v>0</v>
      </c>
      <c r="D440" s="133" t="str">
        <f t="shared" si="3"/>
        <v>0</v>
      </c>
      <c r="E440" s="133" t="str">
        <f t="shared" si="4"/>
        <v>0</v>
      </c>
      <c r="F440" s="133"/>
      <c r="G440" s="133"/>
      <c r="H440" s="108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72"/>
      <c r="X440" s="159" t="str">
        <f t="shared" si="5"/>
        <v>0</v>
      </c>
      <c r="Y440" s="159" t="str">
        <f>BASE!A444</f>
        <v>429</v>
      </c>
      <c r="Z440" s="177" t="str">
        <f t="shared" si="6"/>
        <v>0</v>
      </c>
      <c r="AA440" s="177" t="str">
        <f t="shared" si="7"/>
        <v>0</v>
      </c>
      <c r="AB440" s="177" t="str">
        <f t="shared" si="8"/>
        <v>0</v>
      </c>
      <c r="AC440" s="177" t="str">
        <f t="shared" si="9"/>
        <v>0</v>
      </c>
      <c r="AD440" s="177" t="str">
        <f t="shared" si="10"/>
        <v>0</v>
      </c>
    </row>
    <row r="441" ht="17.25" customHeight="1">
      <c r="A441" s="179"/>
      <c r="B441" s="159" t="s">
        <v>122</v>
      </c>
      <c r="C441" s="133" t="str">
        <f t="shared" si="2"/>
        <v>0</v>
      </c>
      <c r="D441" s="133" t="str">
        <f t="shared" si="3"/>
        <v>0</v>
      </c>
      <c r="E441" s="133" t="str">
        <f t="shared" si="4"/>
        <v>0</v>
      </c>
      <c r="F441" s="133"/>
      <c r="G441" s="133"/>
      <c r="H441" s="108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72"/>
      <c r="X441" s="159" t="str">
        <f t="shared" si="5"/>
        <v>0</v>
      </c>
      <c r="Y441" s="159" t="str">
        <f>BASE!A445</f>
        <v>430</v>
      </c>
      <c r="Z441" s="177" t="str">
        <f t="shared" si="6"/>
        <v>0</v>
      </c>
      <c r="AA441" s="177" t="str">
        <f t="shared" si="7"/>
        <v>0</v>
      </c>
      <c r="AB441" s="177" t="str">
        <f t="shared" si="8"/>
        <v>0</v>
      </c>
      <c r="AC441" s="177" t="str">
        <f t="shared" si="9"/>
        <v>0</v>
      </c>
      <c r="AD441" s="177" t="str">
        <f t="shared" si="10"/>
        <v>0</v>
      </c>
    </row>
    <row r="442" ht="17.25" customHeight="1">
      <c r="A442" s="179"/>
      <c r="B442" s="159" t="s">
        <v>122</v>
      </c>
      <c r="C442" s="133" t="str">
        <f t="shared" si="2"/>
        <v>0</v>
      </c>
      <c r="D442" s="133" t="str">
        <f t="shared" si="3"/>
        <v>0</v>
      </c>
      <c r="E442" s="133" t="str">
        <f t="shared" si="4"/>
        <v>0</v>
      </c>
      <c r="F442" s="133"/>
      <c r="G442" s="133"/>
      <c r="H442" s="108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72"/>
      <c r="X442" s="159" t="str">
        <f t="shared" si="5"/>
        <v>0</v>
      </c>
      <c r="Y442" s="159" t="str">
        <f>BASE!A446</f>
        <v>431</v>
      </c>
      <c r="Z442" s="177" t="str">
        <f t="shared" si="6"/>
        <v>0</v>
      </c>
      <c r="AA442" s="177" t="str">
        <f t="shared" si="7"/>
        <v>0</v>
      </c>
      <c r="AB442" s="177" t="str">
        <f t="shared" si="8"/>
        <v>0</v>
      </c>
      <c r="AC442" s="177" t="str">
        <f t="shared" si="9"/>
        <v>0</v>
      </c>
      <c r="AD442" s="177" t="str">
        <f t="shared" si="10"/>
        <v>0</v>
      </c>
    </row>
    <row r="443" ht="17.25" customHeight="1">
      <c r="A443" s="179"/>
      <c r="B443" s="159" t="s">
        <v>122</v>
      </c>
      <c r="C443" s="133" t="str">
        <f t="shared" si="2"/>
        <v>0</v>
      </c>
      <c r="D443" s="133" t="str">
        <f t="shared" si="3"/>
        <v>0</v>
      </c>
      <c r="E443" s="133" t="str">
        <f t="shared" si="4"/>
        <v>0</v>
      </c>
      <c r="F443" s="133"/>
      <c r="G443" s="133"/>
      <c r="H443" s="108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72"/>
      <c r="X443" s="159" t="str">
        <f t="shared" si="5"/>
        <v>0</v>
      </c>
      <c r="Y443" s="159" t="str">
        <f>BASE!A447</f>
        <v>432</v>
      </c>
      <c r="Z443" s="177" t="str">
        <f t="shared" si="6"/>
        <v>0</v>
      </c>
      <c r="AA443" s="177" t="str">
        <f t="shared" si="7"/>
        <v>0</v>
      </c>
      <c r="AB443" s="177" t="str">
        <f t="shared" si="8"/>
        <v>0</v>
      </c>
      <c r="AC443" s="177" t="str">
        <f t="shared" si="9"/>
        <v>0</v>
      </c>
      <c r="AD443" s="177" t="str">
        <f t="shared" si="10"/>
        <v>0</v>
      </c>
    </row>
    <row r="444" ht="17.25" customHeight="1">
      <c r="A444" s="179"/>
      <c r="B444" s="159" t="s">
        <v>122</v>
      </c>
      <c r="C444" s="133" t="str">
        <f t="shared" si="2"/>
        <v>0</v>
      </c>
      <c r="D444" s="133" t="str">
        <f t="shared" si="3"/>
        <v>0</v>
      </c>
      <c r="E444" s="133" t="str">
        <f t="shared" si="4"/>
        <v>0</v>
      </c>
      <c r="F444" s="133"/>
      <c r="G444" s="133"/>
      <c r="H444" s="108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72"/>
      <c r="X444" s="159" t="str">
        <f t="shared" si="5"/>
        <v>0</v>
      </c>
      <c r="Y444" s="159" t="str">
        <f>BASE!A448</f>
        <v>433</v>
      </c>
      <c r="Z444" s="177" t="str">
        <f t="shared" si="6"/>
        <v>0</v>
      </c>
      <c r="AA444" s="177" t="str">
        <f t="shared" si="7"/>
        <v>0</v>
      </c>
      <c r="AB444" s="177" t="str">
        <f t="shared" si="8"/>
        <v>0</v>
      </c>
      <c r="AC444" s="177" t="str">
        <f t="shared" si="9"/>
        <v>0</v>
      </c>
      <c r="AD444" s="177" t="str">
        <f t="shared" si="10"/>
        <v>0</v>
      </c>
    </row>
    <row r="445" ht="17.25" customHeight="1">
      <c r="A445" s="179"/>
      <c r="B445" s="159" t="s">
        <v>122</v>
      </c>
      <c r="C445" s="133" t="str">
        <f t="shared" si="2"/>
        <v>0</v>
      </c>
      <c r="D445" s="133" t="str">
        <f t="shared" si="3"/>
        <v>0</v>
      </c>
      <c r="E445" s="133" t="str">
        <f t="shared" si="4"/>
        <v>0</v>
      </c>
      <c r="F445" s="133"/>
      <c r="G445" s="133"/>
      <c r="H445" s="108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72"/>
      <c r="X445" s="159" t="str">
        <f t="shared" si="5"/>
        <v>0</v>
      </c>
      <c r="Y445" s="159" t="str">
        <f>BASE!A449</f>
        <v>434</v>
      </c>
      <c r="Z445" s="177" t="str">
        <f t="shared" si="6"/>
        <v>0</v>
      </c>
      <c r="AA445" s="177" t="str">
        <f t="shared" si="7"/>
        <v>0</v>
      </c>
      <c r="AB445" s="177" t="str">
        <f t="shared" si="8"/>
        <v>0</v>
      </c>
      <c r="AC445" s="177" t="str">
        <f t="shared" si="9"/>
        <v>0</v>
      </c>
      <c r="AD445" s="177" t="str">
        <f t="shared" si="10"/>
        <v>0</v>
      </c>
    </row>
    <row r="446" ht="17.25" customHeight="1">
      <c r="A446" s="179"/>
      <c r="B446" s="159" t="s">
        <v>122</v>
      </c>
      <c r="C446" s="133" t="str">
        <f t="shared" si="2"/>
        <v>0</v>
      </c>
      <c r="D446" s="133" t="str">
        <f t="shared" si="3"/>
        <v>0</v>
      </c>
      <c r="E446" s="133" t="str">
        <f t="shared" si="4"/>
        <v>0</v>
      </c>
      <c r="F446" s="133"/>
      <c r="G446" s="133"/>
      <c r="H446" s="108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72"/>
      <c r="X446" s="159" t="str">
        <f t="shared" si="5"/>
        <v>0</v>
      </c>
      <c r="Y446" s="159" t="str">
        <f>BASE!A450</f>
        <v>435</v>
      </c>
      <c r="Z446" s="177" t="str">
        <f t="shared" si="6"/>
        <v>0</v>
      </c>
      <c r="AA446" s="177" t="str">
        <f t="shared" si="7"/>
        <v>0</v>
      </c>
      <c r="AB446" s="177" t="str">
        <f t="shared" si="8"/>
        <v>0</v>
      </c>
      <c r="AC446" s="177" t="str">
        <f t="shared" si="9"/>
        <v>0</v>
      </c>
      <c r="AD446" s="177" t="str">
        <f t="shared" si="10"/>
        <v>0</v>
      </c>
    </row>
    <row r="447" ht="17.25" customHeight="1">
      <c r="A447" s="179"/>
      <c r="B447" s="159" t="s">
        <v>122</v>
      </c>
      <c r="C447" s="133" t="str">
        <f t="shared" si="2"/>
        <v>0</v>
      </c>
      <c r="D447" s="133" t="str">
        <f t="shared" si="3"/>
        <v>0</v>
      </c>
      <c r="E447" s="133" t="str">
        <f t="shared" si="4"/>
        <v>0</v>
      </c>
      <c r="F447" s="133"/>
      <c r="G447" s="133"/>
      <c r="H447" s="108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72"/>
      <c r="X447" s="159" t="str">
        <f t="shared" si="5"/>
        <v>0</v>
      </c>
      <c r="Y447" s="159" t="str">
        <f>BASE!A451</f>
        <v>436</v>
      </c>
      <c r="Z447" s="177" t="str">
        <f t="shared" si="6"/>
        <v>0</v>
      </c>
      <c r="AA447" s="177" t="str">
        <f t="shared" si="7"/>
        <v>0</v>
      </c>
      <c r="AB447" s="177" t="str">
        <f t="shared" si="8"/>
        <v>0</v>
      </c>
      <c r="AC447" s="177" t="str">
        <f t="shared" si="9"/>
        <v>0</v>
      </c>
      <c r="AD447" s="177" t="str">
        <f t="shared" si="10"/>
        <v>0</v>
      </c>
    </row>
    <row r="448" ht="17.25" customHeight="1">
      <c r="A448" s="179"/>
      <c r="B448" s="159" t="s">
        <v>122</v>
      </c>
      <c r="C448" s="133" t="str">
        <f t="shared" si="2"/>
        <v>0</v>
      </c>
      <c r="D448" s="133" t="str">
        <f t="shared" si="3"/>
        <v>0</v>
      </c>
      <c r="E448" s="133" t="str">
        <f t="shared" si="4"/>
        <v>0</v>
      </c>
      <c r="F448" s="133"/>
      <c r="G448" s="133"/>
      <c r="H448" s="108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72"/>
      <c r="X448" s="159" t="str">
        <f t="shared" si="5"/>
        <v>0</v>
      </c>
      <c r="Y448" s="159" t="str">
        <f>BASE!A452</f>
        <v>437</v>
      </c>
      <c r="Z448" s="177" t="str">
        <f t="shared" si="6"/>
        <v>0</v>
      </c>
      <c r="AA448" s="177" t="str">
        <f t="shared" si="7"/>
        <v>0</v>
      </c>
      <c r="AB448" s="177" t="str">
        <f t="shared" si="8"/>
        <v>0</v>
      </c>
      <c r="AC448" s="177" t="str">
        <f t="shared" si="9"/>
        <v>0</v>
      </c>
      <c r="AD448" s="177" t="str">
        <f t="shared" si="10"/>
        <v>0</v>
      </c>
    </row>
    <row r="449" ht="17.25" customHeight="1">
      <c r="A449" s="179"/>
      <c r="B449" s="159" t="s">
        <v>122</v>
      </c>
      <c r="C449" s="133" t="str">
        <f t="shared" si="2"/>
        <v>0</v>
      </c>
      <c r="D449" s="133" t="str">
        <f t="shared" si="3"/>
        <v>0</v>
      </c>
      <c r="E449" s="133" t="str">
        <f t="shared" si="4"/>
        <v>0</v>
      </c>
      <c r="F449" s="133"/>
      <c r="G449" s="133"/>
      <c r="H449" s="108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72"/>
      <c r="X449" s="159" t="str">
        <f t="shared" si="5"/>
        <v>0</v>
      </c>
      <c r="Y449" s="159" t="str">
        <f>BASE!A453</f>
        <v>438</v>
      </c>
      <c r="Z449" s="177" t="str">
        <f t="shared" si="6"/>
        <v>0</v>
      </c>
      <c r="AA449" s="177" t="str">
        <f t="shared" si="7"/>
        <v>0</v>
      </c>
      <c r="AB449" s="177" t="str">
        <f t="shared" si="8"/>
        <v>0</v>
      </c>
      <c r="AC449" s="177" t="str">
        <f t="shared" si="9"/>
        <v>0</v>
      </c>
      <c r="AD449" s="177" t="str">
        <f t="shared" si="10"/>
        <v>0</v>
      </c>
    </row>
    <row r="450" ht="17.25" customHeight="1">
      <c r="A450" s="179"/>
      <c r="B450" s="159" t="s">
        <v>122</v>
      </c>
      <c r="C450" s="133" t="str">
        <f t="shared" si="2"/>
        <v>0</v>
      </c>
      <c r="D450" s="133" t="str">
        <f t="shared" si="3"/>
        <v>0</v>
      </c>
      <c r="E450" s="133" t="str">
        <f t="shared" si="4"/>
        <v>0</v>
      </c>
      <c r="F450" s="133"/>
      <c r="G450" s="133"/>
      <c r="H450" s="108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72"/>
      <c r="X450" s="159" t="str">
        <f t="shared" si="5"/>
        <v>0</v>
      </c>
      <c r="Y450" s="159" t="str">
        <f>BASE!A454</f>
        <v>439</v>
      </c>
      <c r="Z450" s="177" t="str">
        <f t="shared" si="6"/>
        <v>0</v>
      </c>
      <c r="AA450" s="177" t="str">
        <f t="shared" si="7"/>
        <v>0</v>
      </c>
      <c r="AB450" s="177" t="str">
        <f t="shared" si="8"/>
        <v>0</v>
      </c>
      <c r="AC450" s="177" t="str">
        <f t="shared" si="9"/>
        <v>0</v>
      </c>
      <c r="AD450" s="177" t="str">
        <f t="shared" si="10"/>
        <v>0</v>
      </c>
    </row>
    <row r="451" ht="17.25" customHeight="1">
      <c r="A451" s="179"/>
      <c r="B451" s="159" t="s">
        <v>122</v>
      </c>
      <c r="C451" s="133" t="str">
        <f t="shared" si="2"/>
        <v>0</v>
      </c>
      <c r="D451" s="133" t="str">
        <f t="shared" si="3"/>
        <v>0</v>
      </c>
      <c r="E451" s="133" t="str">
        <f t="shared" si="4"/>
        <v>0</v>
      </c>
      <c r="F451" s="133"/>
      <c r="G451" s="133"/>
      <c r="H451" s="108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72"/>
      <c r="X451" s="159" t="str">
        <f t="shared" si="5"/>
        <v>0</v>
      </c>
      <c r="Y451" s="159" t="str">
        <f>BASE!A455</f>
        <v>440</v>
      </c>
      <c r="Z451" s="177" t="str">
        <f t="shared" si="6"/>
        <v>0</v>
      </c>
      <c r="AA451" s="177" t="str">
        <f t="shared" si="7"/>
        <v>0</v>
      </c>
      <c r="AB451" s="177" t="str">
        <f t="shared" si="8"/>
        <v>0</v>
      </c>
      <c r="AC451" s="177" t="str">
        <f t="shared" si="9"/>
        <v>0</v>
      </c>
      <c r="AD451" s="177" t="str">
        <f t="shared" si="10"/>
        <v>0</v>
      </c>
    </row>
    <row r="452" ht="15.75" customHeight="1">
      <c r="A452" s="179"/>
      <c r="B452" s="159" t="s">
        <v>122</v>
      </c>
      <c r="C452" s="133" t="str">
        <f t="shared" si="2"/>
        <v>0</v>
      </c>
      <c r="D452" s="133" t="str">
        <f t="shared" si="3"/>
        <v>0</v>
      </c>
      <c r="E452" s="133" t="str">
        <f t="shared" si="4"/>
        <v>0</v>
      </c>
      <c r="F452" s="133"/>
      <c r="G452" s="133"/>
      <c r="H452" s="108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25"/>
      <c r="X452" s="159" t="str">
        <f t="shared" si="5"/>
        <v>0</v>
      </c>
      <c r="Y452" s="159" t="str">
        <f>BASE!A456</f>
        <v>441</v>
      </c>
      <c r="Z452" s="177" t="str">
        <f t="shared" si="6"/>
        <v>0</v>
      </c>
      <c r="AA452" s="177" t="str">
        <f t="shared" si="7"/>
        <v>0</v>
      </c>
      <c r="AB452" s="177" t="str">
        <f t="shared" si="8"/>
        <v>0</v>
      </c>
      <c r="AC452" s="177" t="str">
        <f t="shared" si="9"/>
        <v>0</v>
      </c>
      <c r="AD452" s="177" t="str">
        <f t="shared" si="10"/>
        <v>0</v>
      </c>
    </row>
    <row r="453" ht="15.75" customHeight="1">
      <c r="A453" s="179"/>
      <c r="B453" s="159" t="s">
        <v>122</v>
      </c>
      <c r="C453" s="133" t="str">
        <f t="shared" si="2"/>
        <v>0</v>
      </c>
      <c r="D453" s="133" t="str">
        <f t="shared" si="3"/>
        <v>0</v>
      </c>
      <c r="E453" s="133" t="str">
        <f t="shared" si="4"/>
        <v>0</v>
      </c>
      <c r="F453" s="133"/>
      <c r="G453" s="133"/>
      <c r="H453" s="108"/>
      <c r="I453" s="134"/>
      <c r="J453" s="134"/>
      <c r="K453" s="134"/>
      <c r="L453" s="134"/>
      <c r="M453" s="134"/>
      <c r="N453" s="134"/>
      <c r="O453" s="134"/>
      <c r="P453" s="134"/>
      <c r="Q453" s="134"/>
      <c r="R453" s="134"/>
      <c r="S453" s="134"/>
      <c r="T453" s="134"/>
      <c r="U453" s="134"/>
      <c r="V453" s="134"/>
      <c r="W453" s="25"/>
      <c r="X453" s="159" t="str">
        <f t="shared" si="5"/>
        <v>0</v>
      </c>
      <c r="Y453" s="159" t="str">
        <f>BASE!A457</f>
        <v>442</v>
      </c>
      <c r="Z453" s="177" t="str">
        <f t="shared" si="6"/>
        <v>0</v>
      </c>
      <c r="AA453" s="177" t="str">
        <f t="shared" si="7"/>
        <v>0</v>
      </c>
      <c r="AB453" s="177" t="str">
        <f t="shared" si="8"/>
        <v>0</v>
      </c>
      <c r="AC453" s="177" t="str">
        <f t="shared" si="9"/>
        <v>0</v>
      </c>
      <c r="AD453" s="177" t="str">
        <f t="shared" si="10"/>
        <v>0</v>
      </c>
    </row>
    <row r="454" ht="15.75" customHeight="1">
      <c r="A454" s="179"/>
      <c r="B454" s="159" t="s">
        <v>122</v>
      </c>
      <c r="C454" s="133" t="str">
        <f t="shared" si="2"/>
        <v>0</v>
      </c>
      <c r="D454" s="133" t="str">
        <f t="shared" si="3"/>
        <v>0</v>
      </c>
      <c r="E454" s="133" t="str">
        <f t="shared" si="4"/>
        <v>0</v>
      </c>
      <c r="F454" s="133"/>
      <c r="G454" s="133"/>
      <c r="H454" s="108"/>
      <c r="I454" s="134"/>
      <c r="J454" s="134"/>
      <c r="K454" s="134"/>
      <c r="L454" s="134"/>
      <c r="M454" s="134"/>
      <c r="N454" s="134"/>
      <c r="O454" s="134"/>
      <c r="P454" s="134"/>
      <c r="Q454" s="134"/>
      <c r="R454" s="134"/>
      <c r="S454" s="134"/>
      <c r="T454" s="134"/>
      <c r="U454" s="134"/>
      <c r="V454" s="134"/>
      <c r="W454" s="25"/>
      <c r="X454" s="159" t="str">
        <f t="shared" si="5"/>
        <v>0</v>
      </c>
      <c r="Y454" s="159" t="str">
        <f>BASE!A458</f>
        <v>443</v>
      </c>
      <c r="Z454" s="177" t="str">
        <f t="shared" si="6"/>
        <v>0</v>
      </c>
      <c r="AA454" s="177" t="str">
        <f t="shared" si="7"/>
        <v>0</v>
      </c>
      <c r="AB454" s="177" t="str">
        <f t="shared" si="8"/>
        <v>0</v>
      </c>
      <c r="AC454" s="177" t="str">
        <f t="shared" si="9"/>
        <v>0</v>
      </c>
      <c r="AD454" s="177" t="str">
        <f t="shared" si="10"/>
        <v>0</v>
      </c>
    </row>
    <row r="455" ht="15.75" customHeight="1">
      <c r="A455" s="179"/>
      <c r="B455" s="159" t="s">
        <v>122</v>
      </c>
      <c r="C455" s="133" t="str">
        <f t="shared" si="2"/>
        <v>0</v>
      </c>
      <c r="D455" s="133" t="str">
        <f t="shared" si="3"/>
        <v>0</v>
      </c>
      <c r="E455" s="133" t="str">
        <f t="shared" si="4"/>
        <v>0</v>
      </c>
      <c r="F455" s="133"/>
      <c r="G455" s="133"/>
      <c r="H455" s="108"/>
      <c r="I455" s="134"/>
      <c r="J455" s="134"/>
      <c r="K455" s="134"/>
      <c r="L455" s="134"/>
      <c r="M455" s="134"/>
      <c r="N455" s="134"/>
      <c r="O455" s="134"/>
      <c r="P455" s="134"/>
      <c r="Q455" s="134"/>
      <c r="R455" s="134"/>
      <c r="S455" s="134"/>
      <c r="T455" s="134"/>
      <c r="U455" s="134"/>
      <c r="V455" s="134"/>
      <c r="W455" s="25"/>
      <c r="X455" s="159" t="str">
        <f t="shared" si="5"/>
        <v>0</v>
      </c>
      <c r="Y455" s="159" t="str">
        <f>BASE!A459</f>
        <v>444</v>
      </c>
      <c r="Z455" s="177" t="str">
        <f t="shared" si="6"/>
        <v>0</v>
      </c>
      <c r="AA455" s="177" t="str">
        <f t="shared" si="7"/>
        <v>0</v>
      </c>
      <c r="AB455" s="177" t="str">
        <f t="shared" si="8"/>
        <v>0</v>
      </c>
      <c r="AC455" s="177" t="str">
        <f t="shared" si="9"/>
        <v>0</v>
      </c>
      <c r="AD455" s="177" t="str">
        <f t="shared" si="10"/>
        <v>0</v>
      </c>
    </row>
    <row r="456" ht="15.75" customHeight="1">
      <c r="A456" s="179"/>
      <c r="B456" s="159" t="s">
        <v>122</v>
      </c>
      <c r="C456" s="133" t="str">
        <f t="shared" si="2"/>
        <v>0</v>
      </c>
      <c r="D456" s="133" t="str">
        <f t="shared" si="3"/>
        <v>0</v>
      </c>
      <c r="E456" s="133" t="str">
        <f t="shared" si="4"/>
        <v>0</v>
      </c>
      <c r="F456" s="133"/>
      <c r="G456" s="133"/>
      <c r="H456" s="108"/>
      <c r="I456" s="134"/>
      <c r="J456" s="134"/>
      <c r="K456" s="134"/>
      <c r="L456" s="134"/>
      <c r="M456" s="134"/>
      <c r="N456" s="134"/>
      <c r="O456" s="134"/>
      <c r="P456" s="134"/>
      <c r="Q456" s="134"/>
      <c r="R456" s="134"/>
      <c r="S456" s="134"/>
      <c r="T456" s="134"/>
      <c r="U456" s="134"/>
      <c r="V456" s="134"/>
      <c r="W456" s="25"/>
      <c r="X456" s="159" t="str">
        <f t="shared" si="5"/>
        <v>0</v>
      </c>
      <c r="Y456" s="159" t="str">
        <f>BASE!A460</f>
        <v>445</v>
      </c>
      <c r="Z456" s="177" t="str">
        <f t="shared" si="6"/>
        <v>0</v>
      </c>
      <c r="AA456" s="177" t="str">
        <f t="shared" si="7"/>
        <v>0</v>
      </c>
      <c r="AB456" s="177" t="str">
        <f t="shared" si="8"/>
        <v>0</v>
      </c>
      <c r="AC456" s="177" t="str">
        <f t="shared" si="9"/>
        <v>0</v>
      </c>
      <c r="AD456" s="177" t="str">
        <f t="shared" si="10"/>
        <v>0</v>
      </c>
    </row>
    <row r="457" ht="15.75" customHeight="1">
      <c r="A457" s="179"/>
      <c r="B457" s="159" t="s">
        <v>122</v>
      </c>
      <c r="C457" s="133" t="str">
        <f t="shared" si="2"/>
        <v>0</v>
      </c>
      <c r="D457" s="133" t="str">
        <f t="shared" si="3"/>
        <v>0</v>
      </c>
      <c r="E457" s="133" t="str">
        <f t="shared" si="4"/>
        <v>0</v>
      </c>
      <c r="F457" s="133"/>
      <c r="G457" s="133"/>
      <c r="H457" s="108"/>
      <c r="I457" s="134"/>
      <c r="J457" s="134"/>
      <c r="K457" s="134"/>
      <c r="L457" s="134"/>
      <c r="M457" s="134"/>
      <c r="N457" s="134"/>
      <c r="O457" s="134"/>
      <c r="P457" s="134"/>
      <c r="Q457" s="134"/>
      <c r="R457" s="134"/>
      <c r="S457" s="134"/>
      <c r="T457" s="134"/>
      <c r="U457" s="134"/>
      <c r="V457" s="134"/>
      <c r="W457" s="25"/>
      <c r="X457" s="159" t="str">
        <f t="shared" si="5"/>
        <v>0</v>
      </c>
      <c r="Y457" s="159" t="str">
        <f>BASE!A461</f>
        <v>446</v>
      </c>
      <c r="Z457" s="177" t="str">
        <f t="shared" si="6"/>
        <v>0</v>
      </c>
      <c r="AA457" s="177" t="str">
        <f t="shared" si="7"/>
        <v>0</v>
      </c>
      <c r="AB457" s="177" t="str">
        <f t="shared" si="8"/>
        <v>0</v>
      </c>
      <c r="AC457" s="177" t="str">
        <f t="shared" si="9"/>
        <v>0</v>
      </c>
      <c r="AD457" s="177" t="str">
        <f t="shared" si="10"/>
        <v>0</v>
      </c>
    </row>
    <row r="458" ht="15.75" customHeight="1">
      <c r="A458" s="179"/>
      <c r="B458" s="159" t="s">
        <v>122</v>
      </c>
      <c r="C458" s="133" t="str">
        <f t="shared" si="2"/>
        <v>0</v>
      </c>
      <c r="D458" s="133" t="str">
        <f t="shared" si="3"/>
        <v>0</v>
      </c>
      <c r="E458" s="133" t="str">
        <f t="shared" si="4"/>
        <v>0</v>
      </c>
      <c r="F458" s="133"/>
      <c r="G458" s="133"/>
      <c r="H458" s="108"/>
      <c r="I458" s="134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  <c r="T458" s="134"/>
      <c r="U458" s="134"/>
      <c r="V458" s="134"/>
      <c r="W458" s="25"/>
      <c r="X458" s="159" t="str">
        <f t="shared" si="5"/>
        <v>0</v>
      </c>
      <c r="Y458" s="159" t="str">
        <f>BASE!A462</f>
        <v>447</v>
      </c>
      <c r="Z458" s="177" t="str">
        <f t="shared" si="6"/>
        <v>0</v>
      </c>
      <c r="AA458" s="177" t="str">
        <f t="shared" si="7"/>
        <v>0</v>
      </c>
      <c r="AB458" s="177" t="str">
        <f t="shared" si="8"/>
        <v>0</v>
      </c>
      <c r="AC458" s="177" t="str">
        <f t="shared" si="9"/>
        <v>0</v>
      </c>
      <c r="AD458" s="177" t="str">
        <f t="shared" si="10"/>
        <v>0</v>
      </c>
    </row>
    <row r="459" ht="15.75" customHeight="1">
      <c r="A459" s="179"/>
      <c r="B459" s="159" t="s">
        <v>122</v>
      </c>
      <c r="C459" s="133" t="str">
        <f t="shared" si="2"/>
        <v>0</v>
      </c>
      <c r="D459" s="133" t="str">
        <f t="shared" si="3"/>
        <v>0</v>
      </c>
      <c r="E459" s="133" t="str">
        <f t="shared" si="4"/>
        <v>0</v>
      </c>
      <c r="F459" s="133"/>
      <c r="G459" s="133"/>
      <c r="H459" s="108"/>
      <c r="I459" s="134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  <c r="T459" s="134"/>
      <c r="U459" s="134"/>
      <c r="V459" s="134"/>
      <c r="W459" s="25"/>
      <c r="X459" s="159" t="str">
        <f t="shared" si="5"/>
        <v>0</v>
      </c>
      <c r="Y459" s="159" t="str">
        <f>BASE!A463</f>
        <v>448</v>
      </c>
      <c r="Z459" s="177" t="str">
        <f t="shared" si="6"/>
        <v>0</v>
      </c>
      <c r="AA459" s="177" t="str">
        <f t="shared" si="7"/>
        <v>0</v>
      </c>
      <c r="AB459" s="177" t="str">
        <f t="shared" si="8"/>
        <v>0</v>
      </c>
      <c r="AC459" s="177" t="str">
        <f t="shared" si="9"/>
        <v>0</v>
      </c>
      <c r="AD459" s="177" t="str">
        <f t="shared" si="10"/>
        <v>0</v>
      </c>
    </row>
    <row r="460" ht="15.75" customHeight="1">
      <c r="A460" s="179"/>
      <c r="B460" s="159" t="s">
        <v>122</v>
      </c>
      <c r="C460" s="133" t="str">
        <f t="shared" si="2"/>
        <v>0</v>
      </c>
      <c r="D460" s="133" t="str">
        <f t="shared" si="3"/>
        <v>0</v>
      </c>
      <c r="E460" s="133" t="str">
        <f t="shared" si="4"/>
        <v>0</v>
      </c>
      <c r="F460" s="133"/>
      <c r="G460" s="133"/>
      <c r="H460" s="108"/>
      <c r="I460" s="134"/>
      <c r="J460" s="134"/>
      <c r="K460" s="134"/>
      <c r="L460" s="134"/>
      <c r="M460" s="134"/>
      <c r="N460" s="134"/>
      <c r="O460" s="134"/>
      <c r="P460" s="134"/>
      <c r="Q460" s="134"/>
      <c r="R460" s="134"/>
      <c r="S460" s="134"/>
      <c r="T460" s="134"/>
      <c r="U460" s="134"/>
      <c r="V460" s="134"/>
      <c r="W460" s="25"/>
      <c r="X460" s="159" t="str">
        <f t="shared" si="5"/>
        <v>0</v>
      </c>
      <c r="Y460" s="159" t="str">
        <f>BASE!A464</f>
        <v>449</v>
      </c>
      <c r="Z460" s="177" t="str">
        <f t="shared" si="6"/>
        <v>0</v>
      </c>
      <c r="AA460" s="177" t="str">
        <f t="shared" si="7"/>
        <v>0</v>
      </c>
      <c r="AB460" s="177" t="str">
        <f t="shared" si="8"/>
        <v>0</v>
      </c>
      <c r="AC460" s="177" t="str">
        <f t="shared" si="9"/>
        <v>0</v>
      </c>
      <c r="AD460" s="177" t="str">
        <f t="shared" si="10"/>
        <v>0</v>
      </c>
    </row>
    <row r="461" ht="15.75" customHeight="1">
      <c r="A461" s="179"/>
      <c r="B461" s="159" t="s">
        <v>122</v>
      </c>
      <c r="C461" s="133" t="str">
        <f t="shared" si="2"/>
        <v>0</v>
      </c>
      <c r="D461" s="133" t="str">
        <f t="shared" si="3"/>
        <v>0</v>
      </c>
      <c r="E461" s="133" t="str">
        <f t="shared" si="4"/>
        <v>0</v>
      </c>
      <c r="F461" s="133"/>
      <c r="G461" s="133"/>
      <c r="H461" s="108"/>
      <c r="I461" s="134"/>
      <c r="J461" s="134"/>
      <c r="K461" s="134"/>
      <c r="L461" s="134"/>
      <c r="M461" s="134"/>
      <c r="N461" s="134"/>
      <c r="O461" s="134"/>
      <c r="P461" s="134"/>
      <c r="Q461" s="134"/>
      <c r="R461" s="134"/>
      <c r="S461" s="134"/>
      <c r="T461" s="134"/>
      <c r="U461" s="134"/>
      <c r="V461" s="134"/>
      <c r="W461" s="25"/>
      <c r="X461" s="159" t="str">
        <f t="shared" si="5"/>
        <v>0</v>
      </c>
      <c r="Y461" s="159" t="str">
        <f>BASE!A465</f>
        <v>450</v>
      </c>
      <c r="Z461" s="177" t="str">
        <f t="shared" si="6"/>
        <v>0</v>
      </c>
      <c r="AA461" s="177" t="str">
        <f t="shared" si="7"/>
        <v>0</v>
      </c>
      <c r="AB461" s="177" t="str">
        <f t="shared" si="8"/>
        <v>0</v>
      </c>
      <c r="AC461" s="177" t="str">
        <f t="shared" si="9"/>
        <v>0</v>
      </c>
      <c r="AD461" s="177" t="str">
        <f t="shared" si="10"/>
        <v>0</v>
      </c>
    </row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</sheetData>
  <mergeCells count="36">
    <mergeCell ref="C5:F5"/>
    <mergeCell ref="G5:X5"/>
    <mergeCell ref="A1:X1"/>
    <mergeCell ref="A2:X2"/>
    <mergeCell ref="A3:X3"/>
    <mergeCell ref="S4:X4"/>
    <mergeCell ref="C4:G4"/>
    <mergeCell ref="Y5:Z5"/>
    <mergeCell ref="AA5:AD5"/>
    <mergeCell ref="Y1:AD1"/>
    <mergeCell ref="Y2:AD2"/>
    <mergeCell ref="Y3:AD3"/>
    <mergeCell ref="Y4:Z4"/>
    <mergeCell ref="Y6:Z6"/>
    <mergeCell ref="AA6:AB6"/>
    <mergeCell ref="C9:G9"/>
    <mergeCell ref="A9:A11"/>
    <mergeCell ref="L7:N7"/>
    <mergeCell ref="O7:Q7"/>
    <mergeCell ref="G7:J7"/>
    <mergeCell ref="C7:F7"/>
    <mergeCell ref="S6:X6"/>
    <mergeCell ref="G6:H6"/>
    <mergeCell ref="I6:J6"/>
    <mergeCell ref="O6:R6"/>
    <mergeCell ref="K6:M6"/>
    <mergeCell ref="C6:F6"/>
    <mergeCell ref="Y9:Y11"/>
    <mergeCell ref="X9:X11"/>
    <mergeCell ref="AA4:AD4"/>
    <mergeCell ref="H4:M4"/>
    <mergeCell ref="N4:R4"/>
    <mergeCell ref="AA7:AD7"/>
    <mergeCell ref="Z11:AD11"/>
    <mergeCell ref="S7:X7"/>
    <mergeCell ref="Y7:Z7"/>
  </mergeCells>
  <dataValidations>
    <dataValidation type="decimal" allowBlank="1" showErrorMessage="1" sqref="I12:L461">
      <formula1>0.0</formula1>
      <formula2>2.0</formula2>
    </dataValidation>
    <dataValidation type="decimal" allowBlank="1" showErrorMessage="1" sqref="M12:V461">
      <formula1>0.0</formula1>
      <formula2>16.0</formula2>
    </dataValidation>
    <dataValidation type="decimal" allowBlank="1" showErrorMessage="1" sqref="H12:H461">
      <formula1>0.0</formula1>
      <formula2>100.0</formula2>
    </dataValidation>
  </dataValidations>
  <printOptions horizontalCentered="1"/>
  <pageMargins bottom="0.5118110236220472" footer="0.0" header="0.0" left="0.4330708661417323" right="0.1968503937007874" top="0.5118110236220472"/>
  <pageSetup paperSize="9" orientation="landscape"/>
  <rowBreaks count="3" manualBreakCount="3">
    <brk id="53" man="1"/>
    <brk id="107" man="1"/>
    <brk id="139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4.67"/>
    <col customWidth="1" min="2" max="2" width="6.78"/>
    <col customWidth="1" min="3" max="3" width="7.78"/>
    <col customWidth="1" min="4" max="8" width="6.0"/>
    <col customWidth="1" min="9" max="23" width="7.11"/>
  </cols>
  <sheetData>
    <row r="1" ht="21.0" customHeight="1">
      <c r="A1" s="127" t="str">
        <f>BASE!A7</f>
        <v/>
      </c>
      <c r="N1" s="89"/>
      <c r="O1" s="89"/>
      <c r="P1" s="89"/>
      <c r="Q1" s="89"/>
      <c r="R1" s="89"/>
      <c r="S1" s="89"/>
      <c r="T1" s="89"/>
      <c r="U1" s="89"/>
      <c r="V1" s="89"/>
      <c r="W1" s="89"/>
    </row>
    <row r="2" ht="24.0" customHeight="1">
      <c r="A2" s="127" t="str">
        <f>BASE!A8</f>
        <v/>
      </c>
      <c r="N2" s="89"/>
      <c r="O2" s="89"/>
      <c r="P2" s="89"/>
      <c r="Q2" s="89"/>
      <c r="R2" s="89"/>
      <c r="S2" s="89"/>
      <c r="T2" s="89"/>
      <c r="U2" s="89"/>
      <c r="V2" s="89"/>
      <c r="W2" s="89"/>
    </row>
    <row r="3" ht="24.0" customHeight="1">
      <c r="A3" s="127" t="str">
        <f>BASE!A9</f>
        <v>LABORATORY COURSE OUTCOME ANALYSIS</v>
      </c>
      <c r="N3" s="89"/>
      <c r="O3" s="89"/>
      <c r="P3" s="89"/>
      <c r="Q3" s="89"/>
      <c r="R3" s="89"/>
      <c r="S3" s="89"/>
      <c r="T3" s="89"/>
      <c r="U3" s="89"/>
      <c r="V3" s="89"/>
      <c r="W3" s="89"/>
    </row>
    <row r="4" ht="38.25" customHeight="1">
      <c r="A4" s="135" t="str">
        <f>BASE!A11</f>
        <v>Name of Faculty(s)</v>
      </c>
      <c r="B4" s="136" t="s">
        <v>122</v>
      </c>
      <c r="C4" s="137" t="str">
        <f>BASE!D11</f>
        <v>a</v>
      </c>
      <c r="D4" s="3"/>
      <c r="E4" s="184" t="str">
        <f>BASE!G11</f>
        <v>b</v>
      </c>
      <c r="F4" s="42"/>
      <c r="G4" s="43"/>
      <c r="H4" s="184" t="str">
        <f>BASE!J11</f>
        <v>c</v>
      </c>
      <c r="I4" s="42"/>
      <c r="J4" s="43"/>
      <c r="K4" s="185" t="str">
        <f>BASE!M11</f>
        <v>d</v>
      </c>
      <c r="L4" s="42"/>
      <c r="M4" s="43"/>
      <c r="N4" s="89"/>
      <c r="O4" s="89"/>
      <c r="P4" s="89"/>
      <c r="Q4" s="89"/>
      <c r="R4" s="89"/>
      <c r="S4" s="89"/>
      <c r="T4" s="89"/>
      <c r="U4" s="89"/>
      <c r="V4" s="89"/>
      <c r="W4" s="89"/>
    </row>
    <row r="5" ht="38.25" customHeight="1">
      <c r="A5" s="135" t="str">
        <f>BASE!A12</f>
        <v>Course Code and Name</v>
      </c>
      <c r="B5" s="136" t="s">
        <v>122</v>
      </c>
      <c r="C5" s="1" t="str">
        <f>BASE!D12</f>
        <v/>
      </c>
      <c r="D5" s="2"/>
      <c r="E5" s="137" t="str">
        <f>BASE!G12</f>
        <v>XXXXXXXX XXXXX XXXXXXXX</v>
      </c>
      <c r="F5" s="2"/>
      <c r="G5" s="2"/>
      <c r="H5" s="2"/>
      <c r="I5" s="2"/>
      <c r="J5" s="2"/>
      <c r="K5" s="2"/>
      <c r="L5" s="2"/>
      <c r="M5" s="3"/>
      <c r="N5" s="89"/>
      <c r="O5" s="89"/>
      <c r="P5" s="89"/>
      <c r="Q5" s="89"/>
      <c r="R5" s="89"/>
      <c r="S5" s="89"/>
      <c r="T5" s="89"/>
      <c r="U5" s="89"/>
      <c r="V5" s="89"/>
      <c r="W5" s="89"/>
    </row>
    <row r="6" ht="38.25" customHeight="1">
      <c r="A6" s="135" t="str">
        <f>BASE!A13</f>
        <v>Branch / Year / Semester</v>
      </c>
      <c r="B6" s="136" t="s">
        <v>122</v>
      </c>
      <c r="C6" s="1" t="str">
        <f>BASE!D13</f>
        <v>abcd</v>
      </c>
      <c r="D6" s="2"/>
      <c r="E6" s="3"/>
      <c r="F6" s="186" t="str">
        <f>BASE!H13</f>
        <v>II</v>
      </c>
      <c r="G6" s="186" t="str">
        <f>BASE!L13</f>
        <v>IV</v>
      </c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</row>
    <row r="7" ht="39.0" customHeight="1">
      <c r="A7" s="135" t="s">
        <v>135</v>
      </c>
      <c r="B7" s="136" t="str">
        <f>+BASE!I22</f>
        <v>46</v>
      </c>
      <c r="C7" s="137" t="s">
        <v>136</v>
      </c>
      <c r="D7" s="2"/>
      <c r="E7" s="2"/>
      <c r="F7" s="2"/>
      <c r="G7" s="133" t="str">
        <f>BASE!N22</f>
        <v>2</v>
      </c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</row>
    <row r="8" ht="17.25" customHeight="1">
      <c r="A8" s="140"/>
      <c r="B8" s="89"/>
      <c r="C8" s="133" t="s">
        <v>137</v>
      </c>
      <c r="D8" s="133" t="s">
        <v>138</v>
      </c>
      <c r="E8" s="133" t="s">
        <v>139</v>
      </c>
      <c r="F8" s="133"/>
      <c r="G8" s="133"/>
      <c r="H8" s="127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</row>
    <row r="9">
      <c r="A9" s="144" t="s">
        <v>196</v>
      </c>
      <c r="B9" s="89"/>
      <c r="C9" s="133" t="str">
        <f>ESE!Z10</f>
        <v>33.33</v>
      </c>
      <c r="D9" s="133" t="str">
        <f>ESE!AA10</f>
        <v>33.33</v>
      </c>
      <c r="E9" s="133" t="str">
        <f>ESE!AB10</f>
        <v>33.34</v>
      </c>
      <c r="F9" s="133"/>
      <c r="G9" s="133"/>
      <c r="H9" s="127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</row>
    <row r="10" ht="38.25" customHeight="1">
      <c r="A10" s="144" t="s">
        <v>141</v>
      </c>
      <c r="B10" s="145"/>
      <c r="C10" s="138"/>
      <c r="D10" s="2"/>
      <c r="E10" s="2"/>
      <c r="F10" s="2"/>
      <c r="G10" s="3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</row>
    <row r="11" ht="16.5" customHeight="1">
      <c r="A11" s="179" t="s">
        <v>150</v>
      </c>
      <c r="B11" s="49" t="s">
        <v>122</v>
      </c>
      <c r="C11" s="133" t="str">
        <f>ESE!Z12</f>
        <v>0</v>
      </c>
      <c r="D11" s="133" t="str">
        <f>ESE!AA12</f>
        <v>0</v>
      </c>
      <c r="E11" s="133" t="str">
        <f>ESE!AB12</f>
        <v>0</v>
      </c>
      <c r="F11" s="133" t="str">
        <f>ESE!AC12</f>
        <v>0</v>
      </c>
      <c r="G11" s="133" t="str">
        <f>ESE!AD12</f>
        <v>0</v>
      </c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</row>
    <row r="12" ht="16.5" customHeight="1">
      <c r="A12" s="179" t="s">
        <v>151</v>
      </c>
      <c r="B12" s="49" t="s">
        <v>122</v>
      </c>
      <c r="C12" s="133" t="str">
        <f>ESE!Z13</f>
        <v>0</v>
      </c>
      <c r="D12" s="133" t="str">
        <f>ESE!AA13</f>
        <v>0</v>
      </c>
      <c r="E12" s="133" t="str">
        <f>ESE!AB13</f>
        <v>0</v>
      </c>
      <c r="F12" s="133" t="str">
        <f>ESE!AC13</f>
        <v>0</v>
      </c>
      <c r="G12" s="133" t="str">
        <f>ESE!AD13</f>
        <v>0</v>
      </c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</row>
    <row r="13" ht="16.5" customHeight="1">
      <c r="A13" s="179" t="s">
        <v>152</v>
      </c>
      <c r="B13" s="49" t="s">
        <v>122</v>
      </c>
      <c r="C13" s="133" t="str">
        <f>ESE!Z14</f>
        <v>0</v>
      </c>
      <c r="D13" s="133" t="str">
        <f>ESE!AA14</f>
        <v>0</v>
      </c>
      <c r="E13" s="133" t="str">
        <f>ESE!AB14</f>
        <v>0</v>
      </c>
      <c r="F13" s="133" t="str">
        <f>ESE!AC14</f>
        <v>0</v>
      </c>
      <c r="G13" s="133" t="str">
        <f>ESE!AD14</f>
        <v>0</v>
      </c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</row>
    <row r="14" ht="16.5" customHeight="1">
      <c r="A14" s="179" t="s">
        <v>153</v>
      </c>
      <c r="B14" s="49" t="s">
        <v>122</v>
      </c>
      <c r="C14" s="133" t="str">
        <f>ESE!Z15</f>
        <v>0</v>
      </c>
      <c r="D14" s="133" t="str">
        <f>ESE!AA15</f>
        <v>0</v>
      </c>
      <c r="E14" s="133" t="str">
        <f>ESE!AB15</f>
        <v>0</v>
      </c>
      <c r="F14" s="133" t="str">
        <f>ESE!AC15</f>
        <v>0</v>
      </c>
      <c r="G14" s="133" t="str">
        <f>ESE!AD15</f>
        <v>0</v>
      </c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</row>
    <row r="15" ht="16.5" customHeight="1">
      <c r="A15" s="179" t="s">
        <v>154</v>
      </c>
      <c r="B15" s="49" t="s">
        <v>122</v>
      </c>
      <c r="C15" s="133" t="str">
        <f>ESE!Z16</f>
        <v>0</v>
      </c>
      <c r="D15" s="133" t="str">
        <f>ESE!AA16</f>
        <v>0</v>
      </c>
      <c r="E15" s="133" t="str">
        <f>ESE!AB16</f>
        <v>0</v>
      </c>
      <c r="F15" s="133" t="str">
        <f>ESE!AC16</f>
        <v>0</v>
      </c>
      <c r="G15" s="133" t="str">
        <f>ESE!AD16</f>
        <v>0</v>
      </c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</row>
    <row r="16" ht="16.5" customHeight="1">
      <c r="A16" s="179" t="s">
        <v>155</v>
      </c>
      <c r="B16" s="49" t="s">
        <v>122</v>
      </c>
      <c r="C16" s="133" t="str">
        <f>ESE!Z17</f>
        <v>0</v>
      </c>
      <c r="D16" s="133" t="str">
        <f>ESE!AA17</f>
        <v>0</v>
      </c>
      <c r="E16" s="133" t="str">
        <f>ESE!AB17</f>
        <v>0</v>
      </c>
      <c r="F16" s="133" t="str">
        <f>ESE!AC17</f>
        <v>0</v>
      </c>
      <c r="G16" s="133" t="str">
        <f>ESE!AD17</f>
        <v>0</v>
      </c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</row>
    <row r="17" ht="16.5" customHeight="1">
      <c r="A17" s="179" t="s">
        <v>156</v>
      </c>
      <c r="B17" s="49" t="s">
        <v>122</v>
      </c>
      <c r="C17" s="133" t="str">
        <f>ESE!Z18</f>
        <v>0</v>
      </c>
      <c r="D17" s="133" t="str">
        <f>ESE!AA18</f>
        <v>0</v>
      </c>
      <c r="E17" s="133" t="str">
        <f>ESE!AB18</f>
        <v>0</v>
      </c>
      <c r="F17" s="133" t="str">
        <f>ESE!AC18</f>
        <v>0</v>
      </c>
      <c r="G17" s="133" t="str">
        <f>ESE!AD18</f>
        <v>0</v>
      </c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</row>
    <row r="18" ht="16.5" customHeight="1">
      <c r="A18" s="179" t="s">
        <v>157</v>
      </c>
      <c r="B18" s="49" t="s">
        <v>122</v>
      </c>
      <c r="C18" s="133" t="str">
        <f>ESE!Z19</f>
        <v>0</v>
      </c>
      <c r="D18" s="133" t="str">
        <f>ESE!AA19</f>
        <v>0</v>
      </c>
      <c r="E18" s="133" t="str">
        <f>ESE!AB19</f>
        <v>0</v>
      </c>
      <c r="F18" s="133" t="str">
        <f>ESE!AC19</f>
        <v>0</v>
      </c>
      <c r="G18" s="133" t="str">
        <f>ESE!AD19</f>
        <v>0</v>
      </c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</row>
    <row r="19" ht="16.5" customHeight="1">
      <c r="A19" s="179" t="s">
        <v>158</v>
      </c>
      <c r="B19" s="49" t="s">
        <v>122</v>
      </c>
      <c r="C19" s="133" t="str">
        <f>ESE!Z20</f>
        <v>0</v>
      </c>
      <c r="D19" s="133" t="str">
        <f>ESE!AA20</f>
        <v>0</v>
      </c>
      <c r="E19" s="133" t="str">
        <f>ESE!AB20</f>
        <v>0</v>
      </c>
      <c r="F19" s="133" t="str">
        <f>ESE!AC20</f>
        <v>0</v>
      </c>
      <c r="G19" s="133" t="str">
        <f>ESE!AD20</f>
        <v>0</v>
      </c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</row>
    <row r="20" ht="16.5" customHeight="1">
      <c r="A20" s="179" t="s">
        <v>159</v>
      </c>
      <c r="B20" s="49" t="s">
        <v>122</v>
      </c>
      <c r="C20" s="133" t="str">
        <f>ESE!Z21</f>
        <v>0</v>
      </c>
      <c r="D20" s="133" t="str">
        <f>ESE!AA21</f>
        <v>0</v>
      </c>
      <c r="E20" s="133" t="str">
        <f>ESE!AB21</f>
        <v>0</v>
      </c>
      <c r="F20" s="133" t="str">
        <f>ESE!AC21</f>
        <v>0</v>
      </c>
      <c r="G20" s="133" t="str">
        <f>ESE!AD21</f>
        <v>0</v>
      </c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</row>
    <row r="21" ht="16.5" customHeight="1">
      <c r="A21" s="179" t="s">
        <v>160</v>
      </c>
      <c r="B21" s="49" t="s">
        <v>122</v>
      </c>
      <c r="C21" s="133" t="str">
        <f>ESE!Z22</f>
        <v>0</v>
      </c>
      <c r="D21" s="133" t="str">
        <f>ESE!AA22</f>
        <v>0</v>
      </c>
      <c r="E21" s="133" t="str">
        <f>ESE!AB22</f>
        <v>0</v>
      </c>
      <c r="F21" s="133" t="str">
        <f>ESE!AC22</f>
        <v>0</v>
      </c>
      <c r="G21" s="133" t="str">
        <f>ESE!AD22</f>
        <v>0</v>
      </c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</row>
    <row r="22" ht="16.5" customHeight="1">
      <c r="A22" s="179" t="s">
        <v>161</v>
      </c>
      <c r="B22" s="49" t="s">
        <v>122</v>
      </c>
      <c r="C22" s="133" t="str">
        <f>ESE!Z23</f>
        <v>0</v>
      </c>
      <c r="D22" s="133" t="str">
        <f>ESE!AA23</f>
        <v>0</v>
      </c>
      <c r="E22" s="133" t="str">
        <f>ESE!AB23</f>
        <v>0</v>
      </c>
      <c r="F22" s="133" t="str">
        <f>ESE!AC23</f>
        <v>0</v>
      </c>
      <c r="G22" s="133" t="str">
        <f>ESE!AD23</f>
        <v>0</v>
      </c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</row>
    <row r="23" ht="16.5" customHeight="1">
      <c r="A23" s="179" t="s">
        <v>162</v>
      </c>
      <c r="B23" s="49" t="s">
        <v>122</v>
      </c>
      <c r="C23" s="133" t="str">
        <f>ESE!Z24</f>
        <v>0</v>
      </c>
      <c r="D23" s="133" t="str">
        <f>ESE!AA24</f>
        <v>0</v>
      </c>
      <c r="E23" s="133" t="str">
        <f>ESE!AB24</f>
        <v>0</v>
      </c>
      <c r="F23" s="133" t="str">
        <f>ESE!AC24</f>
        <v>0</v>
      </c>
      <c r="G23" s="133" t="str">
        <f>ESE!AD24</f>
        <v>0</v>
      </c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</row>
    <row r="24" ht="16.5" customHeight="1">
      <c r="A24" s="179" t="s">
        <v>163</v>
      </c>
      <c r="B24" s="49" t="s">
        <v>122</v>
      </c>
      <c r="C24" s="133" t="str">
        <f>ESE!Z25</f>
        <v>0</v>
      </c>
      <c r="D24" s="133" t="str">
        <f>ESE!AA25</f>
        <v>0</v>
      </c>
      <c r="E24" s="133" t="str">
        <f>ESE!AB25</f>
        <v>0</v>
      </c>
      <c r="F24" s="133" t="str">
        <f>ESE!AC25</f>
        <v>0</v>
      </c>
      <c r="G24" s="133" t="str">
        <f>ESE!AD25</f>
        <v>0</v>
      </c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</row>
    <row r="25" ht="16.5" customHeight="1">
      <c r="A25" s="179" t="s">
        <v>164</v>
      </c>
      <c r="B25" s="49" t="s">
        <v>122</v>
      </c>
      <c r="C25" s="133" t="str">
        <f>ESE!Z26</f>
        <v>0</v>
      </c>
      <c r="D25" s="133" t="str">
        <f>ESE!AA26</f>
        <v>0</v>
      </c>
      <c r="E25" s="133" t="str">
        <f>ESE!AB26</f>
        <v>0</v>
      </c>
      <c r="F25" s="133" t="str">
        <f>ESE!AC26</f>
        <v>0</v>
      </c>
      <c r="G25" s="133" t="str">
        <f>ESE!AD26</f>
        <v>0</v>
      </c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</row>
    <row r="26" ht="16.5" customHeight="1">
      <c r="A26" s="179" t="s">
        <v>165</v>
      </c>
      <c r="B26" s="49" t="s">
        <v>122</v>
      </c>
      <c r="C26" s="133" t="str">
        <f>ESE!Z27</f>
        <v>0</v>
      </c>
      <c r="D26" s="133" t="str">
        <f>ESE!AA27</f>
        <v>0</v>
      </c>
      <c r="E26" s="133" t="str">
        <f>ESE!AB27</f>
        <v>0</v>
      </c>
      <c r="F26" s="133" t="str">
        <f>ESE!AC27</f>
        <v>0</v>
      </c>
      <c r="G26" s="133" t="str">
        <f>ESE!AD27</f>
        <v>0</v>
      </c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</row>
    <row r="27" ht="16.5" customHeight="1">
      <c r="A27" s="179" t="s">
        <v>166</v>
      </c>
      <c r="B27" s="49" t="s">
        <v>122</v>
      </c>
      <c r="C27" s="133" t="str">
        <f>ESE!Z28</f>
        <v>0</v>
      </c>
      <c r="D27" s="133" t="str">
        <f>ESE!AA28</f>
        <v>0</v>
      </c>
      <c r="E27" s="133" t="str">
        <f>ESE!AB28</f>
        <v>0</v>
      </c>
      <c r="F27" s="133" t="str">
        <f>ESE!AC28</f>
        <v>0</v>
      </c>
      <c r="G27" s="133" t="str">
        <f>ESE!AD28</f>
        <v>0</v>
      </c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</row>
    <row r="28" ht="16.5" customHeight="1">
      <c r="A28" s="179" t="s">
        <v>167</v>
      </c>
      <c r="B28" s="49" t="s">
        <v>122</v>
      </c>
      <c r="C28" s="133" t="str">
        <f>ESE!Z29</f>
        <v>0</v>
      </c>
      <c r="D28" s="133" t="str">
        <f>ESE!AA29</f>
        <v>0</v>
      </c>
      <c r="E28" s="133" t="str">
        <f>ESE!AB29</f>
        <v>0</v>
      </c>
      <c r="F28" s="133" t="str">
        <f>ESE!AC29</f>
        <v>0</v>
      </c>
      <c r="G28" s="133" t="str">
        <f>ESE!AD29</f>
        <v>0</v>
      </c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</row>
    <row r="29" ht="16.5" customHeight="1">
      <c r="A29" s="179" t="s">
        <v>168</v>
      </c>
      <c r="B29" s="49" t="s">
        <v>122</v>
      </c>
      <c r="C29" s="133" t="str">
        <f>ESE!Z30</f>
        <v>0</v>
      </c>
      <c r="D29" s="133" t="str">
        <f>ESE!AA30</f>
        <v>0</v>
      </c>
      <c r="E29" s="133" t="str">
        <f>ESE!AB30</f>
        <v>0</v>
      </c>
      <c r="F29" s="133" t="str">
        <f>ESE!AC30</f>
        <v>0</v>
      </c>
      <c r="G29" s="133" t="str">
        <f>ESE!AD30</f>
        <v>0</v>
      </c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</row>
    <row r="30" ht="16.5" customHeight="1">
      <c r="A30" s="179" t="s">
        <v>169</v>
      </c>
      <c r="B30" s="49" t="s">
        <v>122</v>
      </c>
      <c r="C30" s="133" t="str">
        <f>ESE!Z31</f>
        <v>0</v>
      </c>
      <c r="D30" s="133" t="str">
        <f>ESE!AA31</f>
        <v>0</v>
      </c>
      <c r="E30" s="133" t="str">
        <f>ESE!AB31</f>
        <v>0</v>
      </c>
      <c r="F30" s="133" t="str">
        <f>ESE!AC31</f>
        <v>0</v>
      </c>
      <c r="G30" s="133" t="str">
        <f>ESE!AD31</f>
        <v>0</v>
      </c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</row>
    <row r="31" ht="16.5" customHeight="1">
      <c r="A31" s="179" t="s">
        <v>170</v>
      </c>
      <c r="B31" s="49" t="s">
        <v>122</v>
      </c>
      <c r="C31" s="133" t="str">
        <f>ESE!Z32</f>
        <v>0</v>
      </c>
      <c r="D31" s="133" t="str">
        <f>ESE!AA32</f>
        <v>0</v>
      </c>
      <c r="E31" s="133" t="str">
        <f>ESE!AB32</f>
        <v>0</v>
      </c>
      <c r="F31" s="133" t="str">
        <f>ESE!AC32</f>
        <v>0</v>
      </c>
      <c r="G31" s="133" t="str">
        <f>ESE!AD32</f>
        <v>0</v>
      </c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</row>
    <row r="32" ht="16.5" customHeight="1">
      <c r="A32" s="179" t="s">
        <v>171</v>
      </c>
      <c r="B32" s="49" t="s">
        <v>122</v>
      </c>
      <c r="C32" s="133" t="str">
        <f>ESE!Z33</f>
        <v>0</v>
      </c>
      <c r="D32" s="133" t="str">
        <f>ESE!AA33</f>
        <v>0</v>
      </c>
      <c r="E32" s="133" t="str">
        <f>ESE!AB33</f>
        <v>0</v>
      </c>
      <c r="F32" s="133" t="str">
        <f>ESE!AC33</f>
        <v>0</v>
      </c>
      <c r="G32" s="133" t="str">
        <f>ESE!AD33</f>
        <v>0</v>
      </c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</row>
    <row r="33" ht="16.5" customHeight="1">
      <c r="A33" s="179" t="s">
        <v>172</v>
      </c>
      <c r="B33" s="49" t="s">
        <v>122</v>
      </c>
      <c r="C33" s="133" t="str">
        <f>ESE!Z34</f>
        <v>0</v>
      </c>
      <c r="D33" s="133" t="str">
        <f>ESE!AA34</f>
        <v>0</v>
      </c>
      <c r="E33" s="133" t="str">
        <f>ESE!AB34</f>
        <v>0</v>
      </c>
      <c r="F33" s="133" t="str">
        <f>ESE!AC34</f>
        <v>0</v>
      </c>
      <c r="G33" s="133" t="str">
        <f>ESE!AD34</f>
        <v>0</v>
      </c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</row>
    <row r="34" ht="16.5" customHeight="1">
      <c r="A34" s="179" t="s">
        <v>173</v>
      </c>
      <c r="B34" s="49" t="s">
        <v>122</v>
      </c>
      <c r="C34" s="133" t="str">
        <f>ESE!Z35</f>
        <v>0</v>
      </c>
      <c r="D34" s="133" t="str">
        <f>ESE!AA35</f>
        <v>0</v>
      </c>
      <c r="E34" s="133" t="str">
        <f>ESE!AB35</f>
        <v>0</v>
      </c>
      <c r="F34" s="133" t="str">
        <f>ESE!AC35</f>
        <v>0</v>
      </c>
      <c r="G34" s="133" t="str">
        <f>ESE!AD35</f>
        <v>0</v>
      </c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</row>
    <row r="35" ht="16.5" customHeight="1">
      <c r="A35" s="179" t="s">
        <v>174</v>
      </c>
      <c r="B35" s="49" t="s">
        <v>122</v>
      </c>
      <c r="C35" s="133" t="str">
        <f>ESE!Z36</f>
        <v>0</v>
      </c>
      <c r="D35" s="133" t="str">
        <f>ESE!AA36</f>
        <v>0</v>
      </c>
      <c r="E35" s="133" t="str">
        <f>ESE!AB36</f>
        <v>0</v>
      </c>
      <c r="F35" s="133" t="str">
        <f>ESE!AC36</f>
        <v>0</v>
      </c>
      <c r="G35" s="133" t="str">
        <f>ESE!AD36</f>
        <v>0</v>
      </c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</row>
    <row r="36" ht="16.5" customHeight="1">
      <c r="A36" s="179" t="s">
        <v>175</v>
      </c>
      <c r="B36" s="49" t="s">
        <v>122</v>
      </c>
      <c r="C36" s="133" t="str">
        <f>ESE!Z37</f>
        <v>0</v>
      </c>
      <c r="D36" s="133" t="str">
        <f>ESE!AA37</f>
        <v>0</v>
      </c>
      <c r="E36" s="133" t="str">
        <f>ESE!AB37</f>
        <v>0</v>
      </c>
      <c r="F36" s="133" t="str">
        <f>ESE!AC37</f>
        <v>0</v>
      </c>
      <c r="G36" s="133" t="str">
        <f>ESE!AD37</f>
        <v>0</v>
      </c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</row>
    <row r="37" ht="16.5" customHeight="1">
      <c r="A37" s="179" t="s">
        <v>176</v>
      </c>
      <c r="B37" s="49" t="s">
        <v>122</v>
      </c>
      <c r="C37" s="133" t="str">
        <f>ESE!Z38</f>
        <v>0</v>
      </c>
      <c r="D37" s="133" t="str">
        <f>ESE!AA38</f>
        <v>0</v>
      </c>
      <c r="E37" s="133" t="str">
        <f>ESE!AB38</f>
        <v>0</v>
      </c>
      <c r="F37" s="133" t="str">
        <f>ESE!AC38</f>
        <v>0</v>
      </c>
      <c r="G37" s="133" t="str">
        <f>ESE!AD38</f>
        <v>0</v>
      </c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</row>
    <row r="38" ht="16.5" customHeight="1">
      <c r="A38" s="179" t="s">
        <v>177</v>
      </c>
      <c r="B38" s="49" t="s">
        <v>122</v>
      </c>
      <c r="C38" s="133" t="str">
        <f>ESE!Z39</f>
        <v>0</v>
      </c>
      <c r="D38" s="133" t="str">
        <f>ESE!AA39</f>
        <v>0</v>
      </c>
      <c r="E38" s="133" t="str">
        <f>ESE!AB39</f>
        <v>0</v>
      </c>
      <c r="F38" s="133" t="str">
        <f>ESE!AC39</f>
        <v>0</v>
      </c>
      <c r="G38" s="133" t="str">
        <f>ESE!AD39</f>
        <v>0</v>
      </c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</row>
    <row r="39" ht="16.5" customHeight="1">
      <c r="A39" s="179" t="s">
        <v>178</v>
      </c>
      <c r="B39" s="49" t="s">
        <v>122</v>
      </c>
      <c r="C39" s="133" t="str">
        <f>ESE!Z40</f>
        <v>0</v>
      </c>
      <c r="D39" s="133" t="str">
        <f>ESE!AA40</f>
        <v>0</v>
      </c>
      <c r="E39" s="133" t="str">
        <f>ESE!AB40</f>
        <v>0</v>
      </c>
      <c r="F39" s="133" t="str">
        <f>ESE!AC40</f>
        <v>0</v>
      </c>
      <c r="G39" s="133" t="str">
        <f>ESE!AD40</f>
        <v>0</v>
      </c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</row>
    <row r="40" ht="16.5" customHeight="1">
      <c r="A40" s="179" t="s">
        <v>179</v>
      </c>
      <c r="B40" s="49" t="s">
        <v>122</v>
      </c>
      <c r="C40" s="133" t="str">
        <f>ESE!Z41</f>
        <v>0</v>
      </c>
      <c r="D40" s="133" t="str">
        <f>ESE!AA41</f>
        <v>0</v>
      </c>
      <c r="E40" s="133" t="str">
        <f>ESE!AB41</f>
        <v>0</v>
      </c>
      <c r="F40" s="133" t="str">
        <f>ESE!AC41</f>
        <v>0</v>
      </c>
      <c r="G40" s="133" t="str">
        <f>ESE!AD41</f>
        <v>0</v>
      </c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</row>
    <row r="41" ht="16.5" customHeight="1">
      <c r="A41" s="179" t="s">
        <v>180</v>
      </c>
      <c r="B41" s="49" t="s">
        <v>122</v>
      </c>
      <c r="C41" s="133" t="str">
        <f>ESE!Z42</f>
        <v>0</v>
      </c>
      <c r="D41" s="133" t="str">
        <f>ESE!AA42</f>
        <v>0</v>
      </c>
      <c r="E41" s="133" t="str">
        <f>ESE!AB42</f>
        <v>0</v>
      </c>
      <c r="F41" s="133" t="str">
        <f>ESE!AC42</f>
        <v>0</v>
      </c>
      <c r="G41" s="133" t="str">
        <f>ESE!AD42</f>
        <v>0</v>
      </c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</row>
    <row r="42" ht="16.5" customHeight="1">
      <c r="A42" s="179" t="s">
        <v>181</v>
      </c>
      <c r="B42" s="49" t="s">
        <v>122</v>
      </c>
      <c r="C42" s="133" t="str">
        <f>ESE!Z43</f>
        <v>0</v>
      </c>
      <c r="D42" s="133" t="str">
        <f>ESE!AA43</f>
        <v>0</v>
      </c>
      <c r="E42" s="133" t="str">
        <f>ESE!AB43</f>
        <v>0</v>
      </c>
      <c r="F42" s="133" t="str">
        <f>ESE!AC43</f>
        <v>0</v>
      </c>
      <c r="G42" s="133" t="str">
        <f>ESE!AD43</f>
        <v>0</v>
      </c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</row>
    <row r="43" ht="16.5" customHeight="1">
      <c r="A43" s="179" t="s">
        <v>182</v>
      </c>
      <c r="B43" s="49" t="s">
        <v>122</v>
      </c>
      <c r="C43" s="133" t="str">
        <f>ESE!Z44</f>
        <v>0</v>
      </c>
      <c r="D43" s="133" t="str">
        <f>ESE!AA44</f>
        <v>0</v>
      </c>
      <c r="E43" s="133" t="str">
        <f>ESE!AB44</f>
        <v>0</v>
      </c>
      <c r="F43" s="133" t="str">
        <f>ESE!AC44</f>
        <v>0</v>
      </c>
      <c r="G43" s="133" t="str">
        <f>ESE!AD44</f>
        <v>0</v>
      </c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</row>
    <row r="44" ht="16.5" customHeight="1">
      <c r="A44" s="179" t="s">
        <v>183</v>
      </c>
      <c r="B44" s="49" t="s">
        <v>122</v>
      </c>
      <c r="C44" s="133" t="str">
        <f>ESE!Z45</f>
        <v>0</v>
      </c>
      <c r="D44" s="133" t="str">
        <f>ESE!AA45</f>
        <v>0</v>
      </c>
      <c r="E44" s="133" t="str">
        <f>ESE!AB45</f>
        <v>0</v>
      </c>
      <c r="F44" s="133" t="str">
        <f>ESE!AC45</f>
        <v>0</v>
      </c>
      <c r="G44" s="133" t="str">
        <f>ESE!AD45</f>
        <v>0</v>
      </c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</row>
    <row r="45" ht="16.5" customHeight="1">
      <c r="A45" s="179" t="s">
        <v>184</v>
      </c>
      <c r="B45" s="49" t="s">
        <v>122</v>
      </c>
      <c r="C45" s="133" t="str">
        <f>ESE!Z46</f>
        <v>0</v>
      </c>
      <c r="D45" s="133" t="str">
        <f>ESE!AA46</f>
        <v>0</v>
      </c>
      <c r="E45" s="133" t="str">
        <f>ESE!AB46</f>
        <v>0</v>
      </c>
      <c r="F45" s="133" t="str">
        <f>ESE!AC46</f>
        <v>0</v>
      </c>
      <c r="G45" s="133" t="str">
        <f>ESE!AD46</f>
        <v>0</v>
      </c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</row>
    <row r="46" ht="16.5" customHeight="1">
      <c r="A46" s="179" t="s">
        <v>185</v>
      </c>
      <c r="B46" s="49" t="s">
        <v>122</v>
      </c>
      <c r="C46" s="133" t="str">
        <f>ESE!Z47</f>
        <v>0</v>
      </c>
      <c r="D46" s="133" t="str">
        <f>ESE!AA47</f>
        <v>0</v>
      </c>
      <c r="E46" s="133" t="str">
        <f>ESE!AB47</f>
        <v>0</v>
      </c>
      <c r="F46" s="133" t="str">
        <f>ESE!AC47</f>
        <v>0</v>
      </c>
      <c r="G46" s="133" t="str">
        <f>ESE!AD47</f>
        <v>0</v>
      </c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</row>
    <row r="47" ht="16.5" customHeight="1">
      <c r="A47" s="179" t="s">
        <v>186</v>
      </c>
      <c r="B47" s="49" t="s">
        <v>122</v>
      </c>
      <c r="C47" s="133" t="str">
        <f>ESE!Z48</f>
        <v>0</v>
      </c>
      <c r="D47" s="133" t="str">
        <f>ESE!AA48</f>
        <v>0</v>
      </c>
      <c r="E47" s="133" t="str">
        <f>ESE!AB48</f>
        <v>0</v>
      </c>
      <c r="F47" s="133" t="str">
        <f>ESE!AC48</f>
        <v>0</v>
      </c>
      <c r="G47" s="133" t="str">
        <f>ESE!AD48</f>
        <v>0</v>
      </c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</row>
    <row r="48" ht="16.5" customHeight="1">
      <c r="A48" s="179" t="s">
        <v>187</v>
      </c>
      <c r="B48" s="49" t="s">
        <v>122</v>
      </c>
      <c r="C48" s="133" t="str">
        <f>ESE!Z49</f>
        <v>0</v>
      </c>
      <c r="D48" s="133" t="str">
        <f>ESE!AA49</f>
        <v>0</v>
      </c>
      <c r="E48" s="133" t="str">
        <f>ESE!AB49</f>
        <v>0</v>
      </c>
      <c r="F48" s="133" t="str">
        <f>ESE!AC49</f>
        <v>0</v>
      </c>
      <c r="G48" s="133" t="str">
        <f>ESE!AD49</f>
        <v>0</v>
      </c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</row>
    <row r="49" ht="16.5" customHeight="1">
      <c r="A49" s="179" t="s">
        <v>188</v>
      </c>
      <c r="B49" s="49" t="s">
        <v>122</v>
      </c>
      <c r="C49" s="133" t="str">
        <f>ESE!Z50</f>
        <v>0</v>
      </c>
      <c r="D49" s="133" t="str">
        <f>ESE!AA50</f>
        <v>0</v>
      </c>
      <c r="E49" s="133" t="str">
        <f>ESE!AB50</f>
        <v>0</v>
      </c>
      <c r="F49" s="133" t="str">
        <f>ESE!AC50</f>
        <v>0</v>
      </c>
      <c r="G49" s="133" t="str">
        <f>ESE!AD50</f>
        <v>0</v>
      </c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</row>
    <row r="50" ht="16.5" customHeight="1">
      <c r="A50" s="179" t="s">
        <v>189</v>
      </c>
      <c r="B50" s="49" t="s">
        <v>122</v>
      </c>
      <c r="C50" s="133" t="str">
        <f>ESE!Z51</f>
        <v>0</v>
      </c>
      <c r="D50" s="133" t="str">
        <f>ESE!AA51</f>
        <v>0</v>
      </c>
      <c r="E50" s="133" t="str">
        <f>ESE!AB51</f>
        <v>0</v>
      </c>
      <c r="F50" s="133" t="str">
        <f>ESE!AC51</f>
        <v>0</v>
      </c>
      <c r="G50" s="133" t="str">
        <f>ESE!AD51</f>
        <v>0</v>
      </c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</row>
    <row r="51" ht="16.5" customHeight="1">
      <c r="A51" s="179" t="s">
        <v>190</v>
      </c>
      <c r="B51" s="49" t="s">
        <v>122</v>
      </c>
      <c r="C51" s="133" t="str">
        <f>ESE!Z52</f>
        <v>0</v>
      </c>
      <c r="D51" s="133" t="str">
        <f>ESE!AA52</f>
        <v>0</v>
      </c>
      <c r="E51" s="133" t="str">
        <f>ESE!AB52</f>
        <v>0</v>
      </c>
      <c r="F51" s="133" t="str">
        <f>ESE!AC52</f>
        <v>0</v>
      </c>
      <c r="G51" s="133" t="str">
        <f>ESE!AD52</f>
        <v>0</v>
      </c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</row>
    <row r="52" ht="16.5" customHeight="1">
      <c r="A52" s="179" t="s">
        <v>191</v>
      </c>
      <c r="B52" s="49" t="s">
        <v>122</v>
      </c>
      <c r="C52" s="133" t="str">
        <f>ESE!Z53</f>
        <v>0</v>
      </c>
      <c r="D52" s="133" t="str">
        <f>ESE!AA53</f>
        <v>0</v>
      </c>
      <c r="E52" s="133" t="str">
        <f>ESE!AB53</f>
        <v>0</v>
      </c>
      <c r="F52" s="133" t="str">
        <f>ESE!AC53</f>
        <v>0</v>
      </c>
      <c r="G52" s="133" t="str">
        <f>ESE!AD53</f>
        <v>0</v>
      </c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</row>
    <row r="53" ht="16.5" customHeight="1">
      <c r="A53" s="179" t="s">
        <v>192</v>
      </c>
      <c r="B53" s="49" t="s">
        <v>122</v>
      </c>
      <c r="C53" s="133" t="str">
        <f>ESE!Z54</f>
        <v>0</v>
      </c>
      <c r="D53" s="133" t="str">
        <f>ESE!AA54</f>
        <v>0</v>
      </c>
      <c r="E53" s="133" t="str">
        <f>ESE!AB54</f>
        <v>0</v>
      </c>
      <c r="F53" s="133" t="str">
        <f>ESE!AC54</f>
        <v>0</v>
      </c>
      <c r="G53" s="133" t="str">
        <f>ESE!AD54</f>
        <v>0</v>
      </c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</row>
    <row r="54" ht="16.5" customHeight="1">
      <c r="A54" s="179" t="s">
        <v>193</v>
      </c>
      <c r="B54" s="49" t="s">
        <v>122</v>
      </c>
      <c r="C54" s="133" t="str">
        <f>ESE!Z55</f>
        <v>0</v>
      </c>
      <c r="D54" s="133" t="str">
        <f>ESE!AA55</f>
        <v>0</v>
      </c>
      <c r="E54" s="133" t="str">
        <f>ESE!AB55</f>
        <v>0</v>
      </c>
      <c r="F54" s="133" t="str">
        <f>ESE!AC55</f>
        <v>0</v>
      </c>
      <c r="G54" s="133" t="str">
        <f>ESE!AD55</f>
        <v>0</v>
      </c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</row>
    <row r="55" ht="16.5" customHeight="1">
      <c r="A55" s="179" t="s">
        <v>194</v>
      </c>
      <c r="B55" s="49" t="s">
        <v>122</v>
      </c>
      <c r="C55" s="133" t="str">
        <f>ESE!Z56</f>
        <v>0</v>
      </c>
      <c r="D55" s="133" t="str">
        <f>ESE!AA56</f>
        <v>0</v>
      </c>
      <c r="E55" s="133" t="str">
        <f>ESE!AB56</f>
        <v>0</v>
      </c>
      <c r="F55" s="133" t="str">
        <f>ESE!AC56</f>
        <v>0</v>
      </c>
      <c r="G55" s="133" t="str">
        <f>ESE!AD56</f>
        <v>0</v>
      </c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</row>
    <row r="56" ht="16.5" customHeight="1">
      <c r="A56" s="179" t="s">
        <v>195</v>
      </c>
      <c r="B56" s="49" t="s">
        <v>122</v>
      </c>
      <c r="C56" s="133" t="str">
        <f>ESE!Z57</f>
        <v>0</v>
      </c>
      <c r="D56" s="133" t="str">
        <f>ESE!AA57</f>
        <v>0</v>
      </c>
      <c r="E56" s="133" t="str">
        <f>ESE!AB57</f>
        <v>0</v>
      </c>
      <c r="F56" s="133" t="str">
        <f>ESE!AC57</f>
        <v>0</v>
      </c>
      <c r="G56" s="133" t="str">
        <f>ESE!AD57</f>
        <v>0</v>
      </c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</row>
    <row r="57" ht="16.5" customHeight="1">
      <c r="A57" s="179" t="s">
        <v>197</v>
      </c>
      <c r="B57" s="49" t="s">
        <v>122</v>
      </c>
      <c r="C57" s="133" t="str">
        <f>ESE!Z58</f>
        <v>0</v>
      </c>
      <c r="D57" s="133" t="str">
        <f>ESE!AA58</f>
        <v>0</v>
      </c>
      <c r="E57" s="133" t="str">
        <f>ESE!AB58</f>
        <v>0</v>
      </c>
      <c r="F57" s="133" t="str">
        <f>ESE!AC58</f>
        <v>0</v>
      </c>
      <c r="G57" s="133" t="str">
        <f>ESE!AD58</f>
        <v>0</v>
      </c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</row>
    <row r="58" ht="16.5" customHeight="1">
      <c r="A58" s="179" t="s">
        <v>198</v>
      </c>
      <c r="B58" s="49" t="s">
        <v>122</v>
      </c>
      <c r="C58" s="133" t="str">
        <f>ESE!Z59</f>
        <v>0</v>
      </c>
      <c r="D58" s="133" t="str">
        <f>ESE!AA59</f>
        <v>0</v>
      </c>
      <c r="E58" s="133" t="str">
        <f>ESE!AB59</f>
        <v>0</v>
      </c>
      <c r="F58" s="133" t="str">
        <f>ESE!AC59</f>
        <v>0</v>
      </c>
      <c r="G58" s="133" t="str">
        <f>ESE!AD59</f>
        <v>0</v>
      </c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</row>
    <row r="59" ht="16.5" customHeight="1">
      <c r="A59" s="179" t="s">
        <v>199</v>
      </c>
      <c r="B59" s="49" t="s">
        <v>122</v>
      </c>
      <c r="C59" s="133" t="str">
        <f>ESE!Z60</f>
        <v>0</v>
      </c>
      <c r="D59" s="133" t="str">
        <f>ESE!AA60</f>
        <v>0</v>
      </c>
      <c r="E59" s="133" t="str">
        <f>ESE!AB60</f>
        <v>0</v>
      </c>
      <c r="F59" s="133" t="str">
        <f>ESE!AC60</f>
        <v>0</v>
      </c>
      <c r="G59" s="133" t="str">
        <f>ESE!AD60</f>
        <v>0</v>
      </c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</row>
    <row r="60" ht="16.5" customHeight="1">
      <c r="A60" s="179" t="s">
        <v>200</v>
      </c>
      <c r="B60" s="49" t="s">
        <v>122</v>
      </c>
      <c r="C60" s="133" t="str">
        <f>ESE!Z61</f>
        <v>0</v>
      </c>
      <c r="D60" s="133" t="str">
        <f>ESE!AA61</f>
        <v>0</v>
      </c>
      <c r="E60" s="133" t="str">
        <f>ESE!AB61</f>
        <v>0</v>
      </c>
      <c r="F60" s="133" t="str">
        <f>ESE!AC61</f>
        <v>0</v>
      </c>
      <c r="G60" s="133" t="str">
        <f>ESE!AD61</f>
        <v>0</v>
      </c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</row>
    <row r="61" ht="16.5" customHeight="1">
      <c r="A61" s="179" t="s">
        <v>201</v>
      </c>
      <c r="B61" s="49" t="s">
        <v>122</v>
      </c>
      <c r="C61" s="133" t="str">
        <f>ESE!Z62</f>
        <v>0</v>
      </c>
      <c r="D61" s="133" t="str">
        <f>ESE!AA62</f>
        <v>0</v>
      </c>
      <c r="E61" s="133" t="str">
        <f>ESE!AB62</f>
        <v>0</v>
      </c>
      <c r="F61" s="133" t="str">
        <f>ESE!AC62</f>
        <v>0</v>
      </c>
      <c r="G61" s="133" t="str">
        <f>ESE!AD62</f>
        <v>0</v>
      </c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</row>
    <row r="62" ht="16.5" customHeight="1">
      <c r="A62" s="179" t="s">
        <v>202</v>
      </c>
      <c r="B62" s="49" t="s">
        <v>122</v>
      </c>
      <c r="C62" s="133" t="str">
        <f>ESE!Z63</f>
        <v>0</v>
      </c>
      <c r="D62" s="133" t="str">
        <f>ESE!AA63</f>
        <v>0</v>
      </c>
      <c r="E62" s="133" t="str">
        <f>ESE!AB63</f>
        <v>0</v>
      </c>
      <c r="F62" s="133" t="str">
        <f>ESE!AC63</f>
        <v>0</v>
      </c>
      <c r="G62" s="133" t="str">
        <f>ESE!AD63</f>
        <v>0</v>
      </c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</row>
    <row r="63" ht="16.5" customHeight="1">
      <c r="A63" s="179" t="s">
        <v>203</v>
      </c>
      <c r="B63" s="49" t="s">
        <v>122</v>
      </c>
      <c r="C63" s="133" t="str">
        <f>ESE!Z64</f>
        <v>0</v>
      </c>
      <c r="D63" s="133" t="str">
        <f>ESE!AA64</f>
        <v>0</v>
      </c>
      <c r="E63" s="133" t="str">
        <f>ESE!AB64</f>
        <v>0</v>
      </c>
      <c r="F63" s="133" t="str">
        <f>ESE!AC64</f>
        <v>0</v>
      </c>
      <c r="G63" s="133" t="str">
        <f>ESE!AD64</f>
        <v>0</v>
      </c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</row>
    <row r="64" ht="16.5" customHeight="1">
      <c r="A64" s="179" t="s">
        <v>204</v>
      </c>
      <c r="B64" s="49" t="s">
        <v>122</v>
      </c>
      <c r="C64" s="133" t="str">
        <f>ESE!Z65</f>
        <v>0</v>
      </c>
      <c r="D64" s="133" t="str">
        <f>ESE!AA65</f>
        <v>0</v>
      </c>
      <c r="E64" s="133" t="str">
        <f>ESE!AB65</f>
        <v>0</v>
      </c>
      <c r="F64" s="133" t="str">
        <f>ESE!AC65</f>
        <v>0</v>
      </c>
      <c r="G64" s="133" t="str">
        <f>ESE!AD65</f>
        <v>0</v>
      </c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</row>
    <row r="65" ht="16.5" customHeight="1">
      <c r="A65" s="179" t="s">
        <v>205</v>
      </c>
      <c r="B65" s="49" t="s">
        <v>122</v>
      </c>
      <c r="C65" s="133" t="str">
        <f>ESE!Z66</f>
        <v>0</v>
      </c>
      <c r="D65" s="133" t="str">
        <f>ESE!AA66</f>
        <v>0</v>
      </c>
      <c r="E65" s="133" t="str">
        <f>ESE!AB66</f>
        <v>0</v>
      </c>
      <c r="F65" s="133" t="str">
        <f>ESE!AC66</f>
        <v>0</v>
      </c>
      <c r="G65" s="133" t="str">
        <f>ESE!AD66</f>
        <v>0</v>
      </c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</row>
    <row r="66" ht="16.5" customHeight="1">
      <c r="A66" s="179" t="s">
        <v>206</v>
      </c>
      <c r="B66" s="49" t="s">
        <v>122</v>
      </c>
      <c r="C66" s="133" t="str">
        <f>ESE!Z67</f>
        <v>0</v>
      </c>
      <c r="D66" s="133" t="str">
        <f>ESE!AA67</f>
        <v>0</v>
      </c>
      <c r="E66" s="133" t="str">
        <f>ESE!AB67</f>
        <v>0</v>
      </c>
      <c r="F66" s="133" t="str">
        <f>ESE!AC67</f>
        <v>0</v>
      </c>
      <c r="G66" s="133" t="str">
        <f>ESE!AD67</f>
        <v>0</v>
      </c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</row>
    <row r="67" ht="16.5" customHeight="1">
      <c r="A67" s="179" t="s">
        <v>207</v>
      </c>
      <c r="B67" s="49" t="s">
        <v>122</v>
      </c>
      <c r="C67" s="133" t="str">
        <f>ESE!Z68</f>
        <v>0</v>
      </c>
      <c r="D67" s="133" t="str">
        <f>ESE!AA68</f>
        <v>0</v>
      </c>
      <c r="E67" s="133" t="str">
        <f>ESE!AB68</f>
        <v>0</v>
      </c>
      <c r="F67" s="133" t="str">
        <f>ESE!AC68</f>
        <v>0</v>
      </c>
      <c r="G67" s="133" t="str">
        <f>ESE!AD68</f>
        <v>0</v>
      </c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</row>
    <row r="68" ht="16.5" customHeight="1">
      <c r="A68" s="179" t="s">
        <v>208</v>
      </c>
      <c r="B68" s="49" t="s">
        <v>122</v>
      </c>
      <c r="C68" s="133" t="str">
        <f>ESE!Z69</f>
        <v>0</v>
      </c>
      <c r="D68" s="133" t="str">
        <f>ESE!AA69</f>
        <v>0</v>
      </c>
      <c r="E68" s="133" t="str">
        <f>ESE!AB69</f>
        <v>0</v>
      </c>
      <c r="F68" s="133" t="str">
        <f>ESE!AC69</f>
        <v>0</v>
      </c>
      <c r="G68" s="133" t="str">
        <f>ESE!AD69</f>
        <v>0</v>
      </c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</row>
    <row r="69" ht="16.5" customHeight="1">
      <c r="A69" s="179" t="s">
        <v>209</v>
      </c>
      <c r="B69" s="49" t="s">
        <v>122</v>
      </c>
      <c r="C69" s="133" t="str">
        <f>ESE!Z70</f>
        <v>0</v>
      </c>
      <c r="D69" s="133" t="str">
        <f>ESE!AA70</f>
        <v>0</v>
      </c>
      <c r="E69" s="133" t="str">
        <f>ESE!AB70</f>
        <v>0</v>
      </c>
      <c r="F69" s="133" t="str">
        <f>ESE!AC70</f>
        <v>0</v>
      </c>
      <c r="G69" s="133" t="str">
        <f>ESE!AD70</f>
        <v>0</v>
      </c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</row>
    <row r="70" ht="16.5" customHeight="1">
      <c r="A70" s="179" t="s">
        <v>210</v>
      </c>
      <c r="B70" s="49" t="s">
        <v>122</v>
      </c>
      <c r="C70" s="133" t="str">
        <f>ESE!Z71</f>
        <v>0</v>
      </c>
      <c r="D70" s="133" t="str">
        <f>ESE!AA71</f>
        <v>0</v>
      </c>
      <c r="E70" s="133" t="str">
        <f>ESE!AB71</f>
        <v>0</v>
      </c>
      <c r="F70" s="133" t="str">
        <f>ESE!AC71</f>
        <v>0</v>
      </c>
      <c r="G70" s="133" t="str">
        <f>ESE!AD71</f>
        <v>0</v>
      </c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</row>
    <row r="71" ht="16.5" customHeight="1">
      <c r="A71" s="179" t="s">
        <v>211</v>
      </c>
      <c r="B71" s="49" t="s">
        <v>122</v>
      </c>
      <c r="C71" s="133" t="str">
        <f>ESE!Z72</f>
        <v>0</v>
      </c>
      <c r="D71" s="133" t="str">
        <f>ESE!AA72</f>
        <v>0</v>
      </c>
      <c r="E71" s="133" t="str">
        <f>ESE!AB72</f>
        <v>0</v>
      </c>
      <c r="F71" s="133" t="str">
        <f>ESE!AC72</f>
        <v>0</v>
      </c>
      <c r="G71" s="133" t="str">
        <f>ESE!AD72</f>
        <v>0</v>
      </c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</row>
    <row r="72" ht="16.5" customHeight="1">
      <c r="A72" s="179" t="s">
        <v>212</v>
      </c>
      <c r="B72" s="49" t="s">
        <v>122</v>
      </c>
      <c r="C72" s="133" t="str">
        <f>ESE!Z73</f>
        <v>0</v>
      </c>
      <c r="D72" s="133" t="str">
        <f>ESE!AA73</f>
        <v>0</v>
      </c>
      <c r="E72" s="133" t="str">
        <f>ESE!AB73</f>
        <v>0</v>
      </c>
      <c r="F72" s="133" t="str">
        <f>ESE!AC73</f>
        <v>0</v>
      </c>
      <c r="G72" s="133" t="str">
        <f>ESE!AD73</f>
        <v>0</v>
      </c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</row>
    <row r="73" ht="16.5" customHeight="1">
      <c r="A73" s="179" t="s">
        <v>213</v>
      </c>
      <c r="B73" s="49" t="s">
        <v>122</v>
      </c>
      <c r="C73" s="133" t="str">
        <f>ESE!Z74</f>
        <v>0</v>
      </c>
      <c r="D73" s="133" t="str">
        <f>ESE!AA74</f>
        <v>0</v>
      </c>
      <c r="E73" s="133" t="str">
        <f>ESE!AB74</f>
        <v>0</v>
      </c>
      <c r="F73" s="133" t="str">
        <f>ESE!AC74</f>
        <v>0</v>
      </c>
      <c r="G73" s="133" t="str">
        <f>ESE!AD74</f>
        <v>0</v>
      </c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</row>
    <row r="74" ht="16.5" customHeight="1">
      <c r="A74" s="179" t="s">
        <v>214</v>
      </c>
      <c r="B74" s="49" t="s">
        <v>122</v>
      </c>
      <c r="C74" s="133" t="str">
        <f>ESE!Z75</f>
        <v>0</v>
      </c>
      <c r="D74" s="133" t="str">
        <f>ESE!AA75</f>
        <v>0</v>
      </c>
      <c r="E74" s="133" t="str">
        <f>ESE!AB75</f>
        <v>0</v>
      </c>
      <c r="F74" s="133" t="str">
        <f>ESE!AC75</f>
        <v>0</v>
      </c>
      <c r="G74" s="133" t="str">
        <f>ESE!AD75</f>
        <v>0</v>
      </c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</row>
    <row r="75" ht="16.5" customHeight="1">
      <c r="A75" s="179" t="s">
        <v>215</v>
      </c>
      <c r="B75" s="49" t="s">
        <v>122</v>
      </c>
      <c r="C75" s="133" t="str">
        <f>ESE!Z76</f>
        <v>0</v>
      </c>
      <c r="D75" s="133" t="str">
        <f>ESE!AA76</f>
        <v>0</v>
      </c>
      <c r="E75" s="133" t="str">
        <f>ESE!AB76</f>
        <v>0</v>
      </c>
      <c r="F75" s="133" t="str">
        <f>ESE!AC76</f>
        <v>0</v>
      </c>
      <c r="G75" s="133" t="str">
        <f>ESE!AD76</f>
        <v>0</v>
      </c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</row>
    <row r="76" ht="16.5" customHeight="1">
      <c r="A76" s="179" t="s">
        <v>216</v>
      </c>
      <c r="B76" s="49" t="s">
        <v>122</v>
      </c>
      <c r="C76" s="133" t="str">
        <f>ESE!Z77</f>
        <v>0</v>
      </c>
      <c r="D76" s="133" t="str">
        <f>ESE!AA77</f>
        <v>0</v>
      </c>
      <c r="E76" s="133" t="str">
        <f>ESE!AB77</f>
        <v>0</v>
      </c>
      <c r="F76" s="133" t="str">
        <f>ESE!AC77</f>
        <v>0</v>
      </c>
      <c r="G76" s="133" t="str">
        <f>ESE!AD77</f>
        <v>0</v>
      </c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</row>
    <row r="77" ht="16.5" customHeight="1">
      <c r="A77" s="179" t="s">
        <v>217</v>
      </c>
      <c r="B77" s="49" t="s">
        <v>122</v>
      </c>
      <c r="C77" s="133" t="str">
        <f>ESE!Z78</f>
        <v>0</v>
      </c>
      <c r="D77" s="133" t="str">
        <f>ESE!AA78</f>
        <v>0</v>
      </c>
      <c r="E77" s="133" t="str">
        <f>ESE!AB78</f>
        <v>0</v>
      </c>
      <c r="F77" s="133" t="str">
        <f>ESE!AC78</f>
        <v>0</v>
      </c>
      <c r="G77" s="133" t="str">
        <f>ESE!AD78</f>
        <v>0</v>
      </c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</row>
    <row r="78" ht="16.5" customHeight="1">
      <c r="A78" s="179" t="s">
        <v>218</v>
      </c>
      <c r="B78" s="49" t="s">
        <v>122</v>
      </c>
      <c r="C78" s="133" t="str">
        <f>ESE!Z79</f>
        <v>0</v>
      </c>
      <c r="D78" s="133" t="str">
        <f>ESE!AA79</f>
        <v>0</v>
      </c>
      <c r="E78" s="133" t="str">
        <f>ESE!AB79</f>
        <v>0</v>
      </c>
      <c r="F78" s="133" t="str">
        <f>ESE!AC79</f>
        <v>0</v>
      </c>
      <c r="G78" s="133" t="str">
        <f>ESE!AD79</f>
        <v>0</v>
      </c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</row>
    <row r="79" ht="16.5" customHeight="1">
      <c r="A79" s="179" t="s">
        <v>219</v>
      </c>
      <c r="B79" s="49" t="s">
        <v>122</v>
      </c>
      <c r="C79" s="133" t="str">
        <f>ESE!Z80</f>
        <v>0</v>
      </c>
      <c r="D79" s="133" t="str">
        <f>ESE!AA80</f>
        <v>0</v>
      </c>
      <c r="E79" s="133" t="str">
        <f>ESE!AB80</f>
        <v>0</v>
      </c>
      <c r="F79" s="133" t="str">
        <f>ESE!AC80</f>
        <v>0</v>
      </c>
      <c r="G79" s="133" t="str">
        <f>ESE!AD80</f>
        <v>0</v>
      </c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</row>
    <row r="80" ht="16.5" customHeight="1">
      <c r="A80" s="179" t="s">
        <v>220</v>
      </c>
      <c r="B80" s="49" t="s">
        <v>122</v>
      </c>
      <c r="C80" s="133" t="str">
        <f>ESE!Z81</f>
        <v>0</v>
      </c>
      <c r="D80" s="133" t="str">
        <f>ESE!AA81</f>
        <v>0</v>
      </c>
      <c r="E80" s="133" t="str">
        <f>ESE!AB81</f>
        <v>0</v>
      </c>
      <c r="F80" s="133" t="str">
        <f>ESE!AC81</f>
        <v>0</v>
      </c>
      <c r="G80" s="133" t="str">
        <f>ESE!AD81</f>
        <v>0</v>
      </c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</row>
    <row r="81" ht="16.5" customHeight="1">
      <c r="A81" s="179" t="s">
        <v>221</v>
      </c>
      <c r="B81" s="49" t="s">
        <v>122</v>
      </c>
      <c r="C81" s="133" t="str">
        <f>ESE!Z82</f>
        <v>0</v>
      </c>
      <c r="D81" s="133" t="str">
        <f>ESE!AA82</f>
        <v>0</v>
      </c>
      <c r="E81" s="133" t="str">
        <f>ESE!AB82</f>
        <v>0</v>
      </c>
      <c r="F81" s="133" t="str">
        <f>ESE!AC82</f>
        <v>0</v>
      </c>
      <c r="G81" s="133" t="str">
        <f>ESE!AD82</f>
        <v>0</v>
      </c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</row>
    <row r="82" ht="16.5" customHeight="1">
      <c r="A82" s="179" t="s">
        <v>222</v>
      </c>
      <c r="B82" s="49" t="s">
        <v>122</v>
      </c>
      <c r="C82" s="133" t="str">
        <f>ESE!Z83</f>
        <v>0</v>
      </c>
      <c r="D82" s="133" t="str">
        <f>ESE!AA83</f>
        <v>0</v>
      </c>
      <c r="E82" s="133" t="str">
        <f>ESE!AB83</f>
        <v>0</v>
      </c>
      <c r="F82" s="133" t="str">
        <f>ESE!AC83</f>
        <v>0</v>
      </c>
      <c r="G82" s="133" t="str">
        <f>ESE!AD83</f>
        <v>0</v>
      </c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</row>
    <row r="83" ht="16.5" customHeight="1">
      <c r="A83" s="179" t="s">
        <v>223</v>
      </c>
      <c r="B83" s="49" t="s">
        <v>122</v>
      </c>
      <c r="C83" s="133" t="str">
        <f>ESE!Z84</f>
        <v>0</v>
      </c>
      <c r="D83" s="133" t="str">
        <f>ESE!AA84</f>
        <v>0</v>
      </c>
      <c r="E83" s="133" t="str">
        <f>ESE!AB84</f>
        <v>0</v>
      </c>
      <c r="F83" s="133" t="str">
        <f>ESE!AC84</f>
        <v>0</v>
      </c>
      <c r="G83" s="133" t="str">
        <f>ESE!AD84</f>
        <v>0</v>
      </c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</row>
    <row r="84" ht="16.5" customHeight="1">
      <c r="A84" s="179" t="s">
        <v>224</v>
      </c>
      <c r="B84" s="49" t="s">
        <v>122</v>
      </c>
      <c r="C84" s="133" t="str">
        <f>ESE!Z85</f>
        <v>0</v>
      </c>
      <c r="D84" s="133" t="str">
        <f>ESE!AA85</f>
        <v>0</v>
      </c>
      <c r="E84" s="133" t="str">
        <f>ESE!AB85</f>
        <v>0</v>
      </c>
      <c r="F84" s="133" t="str">
        <f>ESE!AC85</f>
        <v>0</v>
      </c>
      <c r="G84" s="133" t="str">
        <f>ESE!AD85</f>
        <v>0</v>
      </c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</row>
    <row r="85" ht="16.5" customHeight="1">
      <c r="A85" s="179" t="s">
        <v>225</v>
      </c>
      <c r="B85" s="49" t="s">
        <v>122</v>
      </c>
      <c r="C85" s="133" t="str">
        <f>ESE!Z86</f>
        <v>0</v>
      </c>
      <c r="D85" s="133" t="str">
        <f>ESE!AA86</f>
        <v>0</v>
      </c>
      <c r="E85" s="133" t="str">
        <f>ESE!AB86</f>
        <v>0</v>
      </c>
      <c r="F85" s="133" t="str">
        <f>ESE!AC86</f>
        <v>0</v>
      </c>
      <c r="G85" s="133" t="str">
        <f>ESE!AD86</f>
        <v>0</v>
      </c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</row>
    <row r="86" ht="16.5" customHeight="1">
      <c r="A86" s="179" t="s">
        <v>226</v>
      </c>
      <c r="B86" s="49" t="s">
        <v>122</v>
      </c>
      <c r="C86" s="133" t="str">
        <f>ESE!Z87</f>
        <v>0</v>
      </c>
      <c r="D86" s="133" t="str">
        <f>ESE!AA87</f>
        <v>0</v>
      </c>
      <c r="E86" s="133" t="str">
        <f>ESE!AB87</f>
        <v>0</v>
      </c>
      <c r="F86" s="133" t="str">
        <f>ESE!AC87</f>
        <v>0</v>
      </c>
      <c r="G86" s="133" t="str">
        <f>ESE!AD87</f>
        <v>0</v>
      </c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</row>
    <row r="87" ht="16.5" customHeight="1">
      <c r="A87" s="179" t="s">
        <v>227</v>
      </c>
      <c r="B87" s="49" t="s">
        <v>122</v>
      </c>
      <c r="C87" s="133" t="str">
        <f>ESE!Z88</f>
        <v>0</v>
      </c>
      <c r="D87" s="133" t="str">
        <f>ESE!AA88</f>
        <v>0</v>
      </c>
      <c r="E87" s="133" t="str">
        <f>ESE!AB88</f>
        <v>0</v>
      </c>
      <c r="F87" s="133" t="str">
        <f>ESE!AC88</f>
        <v>0</v>
      </c>
      <c r="G87" s="133" t="str">
        <f>ESE!AD88</f>
        <v>0</v>
      </c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</row>
    <row r="88" ht="16.5" customHeight="1">
      <c r="A88" s="179" t="s">
        <v>228</v>
      </c>
      <c r="B88" s="49" t="s">
        <v>122</v>
      </c>
      <c r="C88" s="133" t="str">
        <f>ESE!Z89</f>
        <v>0</v>
      </c>
      <c r="D88" s="133" t="str">
        <f>ESE!AA89</f>
        <v>0</v>
      </c>
      <c r="E88" s="133" t="str">
        <f>ESE!AB89</f>
        <v>0</v>
      </c>
      <c r="F88" s="133" t="str">
        <f>ESE!AC89</f>
        <v>0</v>
      </c>
      <c r="G88" s="133" t="str">
        <f>ESE!AD89</f>
        <v>0</v>
      </c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</row>
    <row r="89" ht="16.5" customHeight="1">
      <c r="A89" s="179" t="s">
        <v>229</v>
      </c>
      <c r="B89" s="49" t="s">
        <v>122</v>
      </c>
      <c r="C89" s="133" t="str">
        <f>ESE!Z90</f>
        <v>0</v>
      </c>
      <c r="D89" s="133" t="str">
        <f>ESE!AA90</f>
        <v>0</v>
      </c>
      <c r="E89" s="133" t="str">
        <f>ESE!AB90</f>
        <v>0</v>
      </c>
      <c r="F89" s="133" t="str">
        <f>ESE!AC90</f>
        <v>0</v>
      </c>
      <c r="G89" s="133" t="str">
        <f>ESE!AD90</f>
        <v>0</v>
      </c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</row>
    <row r="90" ht="16.5" customHeight="1">
      <c r="A90" s="179" t="s">
        <v>230</v>
      </c>
      <c r="B90" s="49" t="s">
        <v>122</v>
      </c>
      <c r="C90" s="133" t="str">
        <f>ESE!Z91</f>
        <v>0</v>
      </c>
      <c r="D90" s="133" t="str">
        <f>ESE!AA91</f>
        <v>0</v>
      </c>
      <c r="E90" s="133" t="str">
        <f>ESE!AB91</f>
        <v>0</v>
      </c>
      <c r="F90" s="133" t="str">
        <f>ESE!AC91</f>
        <v>0</v>
      </c>
      <c r="G90" s="133" t="str">
        <f>ESE!AD91</f>
        <v>0</v>
      </c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</row>
    <row r="91" ht="16.5" customHeight="1">
      <c r="A91" s="179" t="s">
        <v>231</v>
      </c>
      <c r="B91" s="49" t="s">
        <v>122</v>
      </c>
      <c r="C91" s="133" t="str">
        <f>ESE!Z92</f>
        <v>0</v>
      </c>
      <c r="D91" s="133" t="str">
        <f>ESE!AA92</f>
        <v>0</v>
      </c>
      <c r="E91" s="133" t="str">
        <f>ESE!AB92</f>
        <v>0</v>
      </c>
      <c r="F91" s="133" t="str">
        <f>ESE!AC92</f>
        <v>0</v>
      </c>
      <c r="G91" s="133" t="str">
        <f>ESE!AD92</f>
        <v>0</v>
      </c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</row>
    <row r="92" ht="16.5" customHeight="1">
      <c r="A92" s="179" t="s">
        <v>232</v>
      </c>
      <c r="B92" s="49" t="s">
        <v>122</v>
      </c>
      <c r="C92" s="133" t="str">
        <f>ESE!Z93</f>
        <v>0</v>
      </c>
      <c r="D92" s="133" t="str">
        <f>ESE!AA93</f>
        <v>0</v>
      </c>
      <c r="E92" s="133" t="str">
        <f>ESE!AB93</f>
        <v>0</v>
      </c>
      <c r="F92" s="133" t="str">
        <f>ESE!AC93</f>
        <v>0</v>
      </c>
      <c r="G92" s="133" t="str">
        <f>ESE!AD93</f>
        <v>0</v>
      </c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</row>
    <row r="93" ht="16.5" customHeight="1">
      <c r="A93" s="179" t="s">
        <v>233</v>
      </c>
      <c r="B93" s="49" t="s">
        <v>122</v>
      </c>
      <c r="C93" s="133" t="str">
        <f>ESE!Z94</f>
        <v>0</v>
      </c>
      <c r="D93" s="133" t="str">
        <f>ESE!AA94</f>
        <v>0</v>
      </c>
      <c r="E93" s="133" t="str">
        <f>ESE!AB94</f>
        <v>0</v>
      </c>
      <c r="F93" s="133" t="str">
        <f>ESE!AC94</f>
        <v>0</v>
      </c>
      <c r="G93" s="133" t="str">
        <f>ESE!AD94</f>
        <v>0</v>
      </c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</row>
    <row r="94" ht="16.5" customHeight="1">
      <c r="A94" s="179" t="s">
        <v>234</v>
      </c>
      <c r="B94" s="49" t="s">
        <v>122</v>
      </c>
      <c r="C94" s="133" t="str">
        <f>ESE!Z95</f>
        <v>0</v>
      </c>
      <c r="D94" s="133" t="str">
        <f>ESE!AA95</f>
        <v>0</v>
      </c>
      <c r="E94" s="133" t="str">
        <f>ESE!AB95</f>
        <v>0</v>
      </c>
      <c r="F94" s="133" t="str">
        <f>ESE!AC95</f>
        <v>0</v>
      </c>
      <c r="G94" s="133" t="str">
        <f>ESE!AD95</f>
        <v>0</v>
      </c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</row>
    <row r="95" ht="16.5" customHeight="1">
      <c r="A95" s="179" t="s">
        <v>235</v>
      </c>
      <c r="B95" s="49" t="s">
        <v>122</v>
      </c>
      <c r="C95" s="133" t="str">
        <f>ESE!Z96</f>
        <v>0</v>
      </c>
      <c r="D95" s="133" t="str">
        <f>ESE!AA96</f>
        <v>0</v>
      </c>
      <c r="E95" s="133" t="str">
        <f>ESE!AB96</f>
        <v>0</v>
      </c>
      <c r="F95" s="133" t="str">
        <f>ESE!AC96</f>
        <v>0</v>
      </c>
      <c r="G95" s="133" t="str">
        <f>ESE!AD96</f>
        <v>0</v>
      </c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</row>
    <row r="96" ht="16.5" customHeight="1">
      <c r="A96" s="179" t="s">
        <v>236</v>
      </c>
      <c r="B96" s="49" t="s">
        <v>122</v>
      </c>
      <c r="C96" s="133" t="str">
        <f>ESE!Z97</f>
        <v>0</v>
      </c>
      <c r="D96" s="133" t="str">
        <f>ESE!AA97</f>
        <v>0</v>
      </c>
      <c r="E96" s="133" t="str">
        <f>ESE!AB97</f>
        <v>0</v>
      </c>
      <c r="F96" s="133" t="str">
        <f>ESE!AC97</f>
        <v>0</v>
      </c>
      <c r="G96" s="133" t="str">
        <f>ESE!AD97</f>
        <v>0</v>
      </c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</row>
    <row r="97" ht="16.5" customHeight="1">
      <c r="A97" s="179" t="s">
        <v>237</v>
      </c>
      <c r="B97" s="49" t="s">
        <v>122</v>
      </c>
      <c r="C97" s="133" t="str">
        <f>ESE!Z98</f>
        <v>0</v>
      </c>
      <c r="D97" s="133" t="str">
        <f>ESE!AA98</f>
        <v>0</v>
      </c>
      <c r="E97" s="133" t="str">
        <f>ESE!AB98</f>
        <v>0</v>
      </c>
      <c r="F97" s="133" t="str">
        <f>ESE!AC98</f>
        <v>0</v>
      </c>
      <c r="G97" s="133" t="str">
        <f>ESE!AD98</f>
        <v>0</v>
      </c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</row>
    <row r="98" ht="16.5" customHeight="1">
      <c r="A98" s="179" t="s">
        <v>238</v>
      </c>
      <c r="B98" s="49" t="s">
        <v>122</v>
      </c>
      <c r="C98" s="133" t="str">
        <f>ESE!Z99</f>
        <v>0</v>
      </c>
      <c r="D98" s="133" t="str">
        <f>ESE!AA99</f>
        <v>0</v>
      </c>
      <c r="E98" s="133" t="str">
        <f>ESE!AB99</f>
        <v>0</v>
      </c>
      <c r="F98" s="133" t="str">
        <f>ESE!AC99</f>
        <v>0</v>
      </c>
      <c r="G98" s="133" t="str">
        <f>ESE!AD99</f>
        <v>0</v>
      </c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</row>
    <row r="99" ht="16.5" customHeight="1">
      <c r="A99" s="179" t="s">
        <v>239</v>
      </c>
      <c r="B99" s="49" t="s">
        <v>122</v>
      </c>
      <c r="C99" s="133" t="str">
        <f>ESE!Z100</f>
        <v>0</v>
      </c>
      <c r="D99" s="133" t="str">
        <f>ESE!AA100</f>
        <v>0</v>
      </c>
      <c r="E99" s="133" t="str">
        <f>ESE!AB100</f>
        <v>0</v>
      </c>
      <c r="F99" s="133" t="str">
        <f>ESE!AC100</f>
        <v>0</v>
      </c>
      <c r="G99" s="133" t="str">
        <f>ESE!AD100</f>
        <v>0</v>
      </c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</row>
    <row r="100" ht="16.5" customHeight="1">
      <c r="A100" s="179" t="s">
        <v>240</v>
      </c>
      <c r="B100" s="49" t="s">
        <v>122</v>
      </c>
      <c r="C100" s="133" t="str">
        <f>ESE!Z101</f>
        <v>0</v>
      </c>
      <c r="D100" s="133" t="str">
        <f>ESE!AA101</f>
        <v>0</v>
      </c>
      <c r="E100" s="133" t="str">
        <f>ESE!AB101</f>
        <v>0</v>
      </c>
      <c r="F100" s="133" t="str">
        <f>ESE!AC101</f>
        <v>0</v>
      </c>
      <c r="G100" s="133" t="str">
        <f>ESE!AD101</f>
        <v>0</v>
      </c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</row>
    <row r="101" ht="16.5" customHeight="1">
      <c r="A101" s="179" t="s">
        <v>241</v>
      </c>
      <c r="B101" s="49" t="s">
        <v>122</v>
      </c>
      <c r="C101" s="133" t="str">
        <f>ESE!Z102</f>
        <v>0</v>
      </c>
      <c r="D101" s="133" t="str">
        <f>ESE!AA102</f>
        <v>0</v>
      </c>
      <c r="E101" s="133" t="str">
        <f>ESE!AB102</f>
        <v>0</v>
      </c>
      <c r="F101" s="133" t="str">
        <f>ESE!AC102</f>
        <v>0</v>
      </c>
      <c r="G101" s="133" t="str">
        <f>ESE!AD102</f>
        <v>0</v>
      </c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</row>
    <row r="102" ht="16.5" customHeight="1">
      <c r="A102" s="179" t="s">
        <v>242</v>
      </c>
      <c r="B102" s="49" t="s">
        <v>122</v>
      </c>
      <c r="C102" s="133" t="str">
        <f>ESE!Z103</f>
        <v>0</v>
      </c>
      <c r="D102" s="133" t="str">
        <f>ESE!AA103</f>
        <v>0</v>
      </c>
      <c r="E102" s="133" t="str">
        <f>ESE!AB103</f>
        <v>0</v>
      </c>
      <c r="F102" s="133" t="str">
        <f>ESE!AC103</f>
        <v>0</v>
      </c>
      <c r="G102" s="133" t="str">
        <f>ESE!AD103</f>
        <v>0</v>
      </c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</row>
    <row r="103" ht="16.5" customHeight="1">
      <c r="A103" s="179" t="s">
        <v>243</v>
      </c>
      <c r="B103" s="49" t="s">
        <v>122</v>
      </c>
      <c r="C103" s="133" t="str">
        <f>ESE!Z104</f>
        <v>0</v>
      </c>
      <c r="D103" s="133" t="str">
        <f>ESE!AA104</f>
        <v>0</v>
      </c>
      <c r="E103" s="133" t="str">
        <f>ESE!AB104</f>
        <v>0</v>
      </c>
      <c r="F103" s="133" t="str">
        <f>ESE!AC104</f>
        <v>0</v>
      </c>
      <c r="G103" s="133" t="str">
        <f>ESE!AD104</f>
        <v>0</v>
      </c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</row>
    <row r="104" ht="16.5" customHeight="1">
      <c r="A104" s="179" t="s">
        <v>244</v>
      </c>
      <c r="B104" s="49" t="s">
        <v>122</v>
      </c>
      <c r="C104" s="133" t="str">
        <f>ESE!Z105</f>
        <v>0</v>
      </c>
      <c r="D104" s="133" t="str">
        <f>ESE!AA105</f>
        <v>0</v>
      </c>
      <c r="E104" s="133" t="str">
        <f>ESE!AB105</f>
        <v>0</v>
      </c>
      <c r="F104" s="133" t="str">
        <f>ESE!AC105</f>
        <v>0</v>
      </c>
      <c r="G104" s="133" t="str">
        <f>ESE!AD105</f>
        <v>0</v>
      </c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</row>
    <row r="105" ht="16.5" customHeight="1">
      <c r="A105" s="179" t="s">
        <v>245</v>
      </c>
      <c r="B105" s="49" t="s">
        <v>122</v>
      </c>
      <c r="C105" s="133" t="str">
        <f>ESE!Z106</f>
        <v>0</v>
      </c>
      <c r="D105" s="133" t="str">
        <f>ESE!AA106</f>
        <v>0</v>
      </c>
      <c r="E105" s="133" t="str">
        <f>ESE!AB106</f>
        <v>0</v>
      </c>
      <c r="F105" s="133" t="str">
        <f>ESE!AC106</f>
        <v>0</v>
      </c>
      <c r="G105" s="133" t="str">
        <f>ESE!AD106</f>
        <v>0</v>
      </c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</row>
    <row r="106" ht="16.5" customHeight="1">
      <c r="A106" s="179" t="s">
        <v>246</v>
      </c>
      <c r="B106" s="49" t="s">
        <v>122</v>
      </c>
      <c r="C106" s="133" t="str">
        <f>ESE!Z107</f>
        <v>0</v>
      </c>
      <c r="D106" s="133" t="str">
        <f>ESE!AA107</f>
        <v>0</v>
      </c>
      <c r="E106" s="133" t="str">
        <f>ESE!AB107</f>
        <v>0</v>
      </c>
      <c r="F106" s="133" t="str">
        <f>ESE!AC107</f>
        <v>0</v>
      </c>
      <c r="G106" s="133" t="str">
        <f>ESE!AD107</f>
        <v>0</v>
      </c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</row>
    <row r="107" ht="16.5" customHeight="1">
      <c r="A107" s="179" t="s">
        <v>247</v>
      </c>
      <c r="B107" s="49" t="s">
        <v>122</v>
      </c>
      <c r="C107" s="133" t="str">
        <f>ESE!Z108</f>
        <v>0</v>
      </c>
      <c r="D107" s="133" t="str">
        <f>ESE!AA108</f>
        <v>0</v>
      </c>
      <c r="E107" s="133" t="str">
        <f>ESE!AB108</f>
        <v>0</v>
      </c>
      <c r="F107" s="133" t="str">
        <f>ESE!AC108</f>
        <v>0</v>
      </c>
      <c r="G107" s="133" t="str">
        <f>ESE!AD108</f>
        <v>0</v>
      </c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</row>
    <row r="108" ht="16.5" customHeight="1">
      <c r="A108" s="179" t="s">
        <v>248</v>
      </c>
      <c r="B108" s="49" t="s">
        <v>122</v>
      </c>
      <c r="C108" s="133" t="str">
        <f>ESE!Z109</f>
        <v>0</v>
      </c>
      <c r="D108" s="133" t="str">
        <f>ESE!AA109</f>
        <v>0</v>
      </c>
      <c r="E108" s="133" t="str">
        <f>ESE!AB109</f>
        <v>0</v>
      </c>
      <c r="F108" s="133" t="str">
        <f>ESE!AC109</f>
        <v>0</v>
      </c>
      <c r="G108" s="133" t="str">
        <f>ESE!AD109</f>
        <v>0</v>
      </c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</row>
    <row r="109" ht="16.5" customHeight="1">
      <c r="A109" s="179" t="s">
        <v>249</v>
      </c>
      <c r="B109" s="49" t="s">
        <v>122</v>
      </c>
      <c r="C109" s="133" t="str">
        <f>ESE!Z110</f>
        <v>0</v>
      </c>
      <c r="D109" s="133" t="str">
        <f>ESE!AA110</f>
        <v>0</v>
      </c>
      <c r="E109" s="133" t="str">
        <f>ESE!AB110</f>
        <v>0</v>
      </c>
      <c r="F109" s="133" t="str">
        <f>ESE!AC110</f>
        <v>0</v>
      </c>
      <c r="G109" s="133" t="str">
        <f>ESE!AD110</f>
        <v>0</v>
      </c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</row>
    <row r="110" ht="16.5" customHeight="1">
      <c r="A110" s="179" t="s">
        <v>250</v>
      </c>
      <c r="B110" s="49" t="s">
        <v>122</v>
      </c>
      <c r="C110" s="133" t="str">
        <f>ESE!Z111</f>
        <v>0</v>
      </c>
      <c r="D110" s="133" t="str">
        <f>ESE!AA111</f>
        <v>0</v>
      </c>
      <c r="E110" s="133" t="str">
        <f>ESE!AB111</f>
        <v>0</v>
      </c>
      <c r="F110" s="133" t="str">
        <f>ESE!AC111</f>
        <v>0</v>
      </c>
      <c r="G110" s="133" t="str">
        <f>ESE!AD111</f>
        <v>0</v>
      </c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</row>
    <row r="111" ht="16.5" customHeight="1">
      <c r="A111" s="179" t="s">
        <v>251</v>
      </c>
      <c r="B111" s="49" t="s">
        <v>122</v>
      </c>
      <c r="C111" s="133" t="str">
        <f>ESE!Z112</f>
        <v>0</v>
      </c>
      <c r="D111" s="133" t="str">
        <f>ESE!AA112</f>
        <v>0</v>
      </c>
      <c r="E111" s="133" t="str">
        <f>ESE!AB112</f>
        <v>0</v>
      </c>
      <c r="F111" s="133" t="str">
        <f>ESE!AC112</f>
        <v>0</v>
      </c>
      <c r="G111" s="133" t="str">
        <f>ESE!AD112</f>
        <v>0</v>
      </c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</row>
    <row r="112" ht="16.5" customHeight="1">
      <c r="A112" s="179" t="s">
        <v>252</v>
      </c>
      <c r="B112" s="49" t="s">
        <v>122</v>
      </c>
      <c r="C112" s="133" t="str">
        <f>ESE!Z113</f>
        <v>0</v>
      </c>
      <c r="D112" s="133" t="str">
        <f>ESE!AA113</f>
        <v>0</v>
      </c>
      <c r="E112" s="133" t="str">
        <f>ESE!AB113</f>
        <v>0</v>
      </c>
      <c r="F112" s="133" t="str">
        <f>ESE!AC113</f>
        <v>0</v>
      </c>
      <c r="G112" s="133" t="str">
        <f>ESE!AD113</f>
        <v>0</v>
      </c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</row>
    <row r="113" ht="16.5" customHeight="1">
      <c r="A113" s="179" t="s">
        <v>253</v>
      </c>
      <c r="B113" s="49" t="s">
        <v>122</v>
      </c>
      <c r="C113" s="133" t="str">
        <f>ESE!Z114</f>
        <v>0</v>
      </c>
      <c r="D113" s="133" t="str">
        <f>ESE!AA114</f>
        <v>0</v>
      </c>
      <c r="E113" s="133" t="str">
        <f>ESE!AB114</f>
        <v>0</v>
      </c>
      <c r="F113" s="133" t="str">
        <f>ESE!AC114</f>
        <v>0</v>
      </c>
      <c r="G113" s="133" t="str">
        <f>ESE!AD114</f>
        <v>0</v>
      </c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</row>
    <row r="114" ht="16.5" customHeight="1">
      <c r="A114" s="179" t="s">
        <v>254</v>
      </c>
      <c r="B114" s="49" t="s">
        <v>122</v>
      </c>
      <c r="C114" s="133" t="str">
        <f>ESE!Z115</f>
        <v>0</v>
      </c>
      <c r="D114" s="133" t="str">
        <f>ESE!AA115</f>
        <v>0</v>
      </c>
      <c r="E114" s="133" t="str">
        <f>ESE!AB115</f>
        <v>0</v>
      </c>
      <c r="F114" s="133" t="str">
        <f>ESE!AC115</f>
        <v>0</v>
      </c>
      <c r="G114" s="133" t="str">
        <f>ESE!AD115</f>
        <v>0</v>
      </c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</row>
    <row r="115" ht="16.5" customHeight="1">
      <c r="A115" s="179" t="s">
        <v>255</v>
      </c>
      <c r="B115" s="49" t="s">
        <v>122</v>
      </c>
      <c r="C115" s="133" t="str">
        <f>ESE!Z116</f>
        <v>0</v>
      </c>
      <c r="D115" s="133" t="str">
        <f>ESE!AA116</f>
        <v>0</v>
      </c>
      <c r="E115" s="133" t="str">
        <f>ESE!AB116</f>
        <v>0</v>
      </c>
      <c r="F115" s="133" t="str">
        <f>ESE!AC116</f>
        <v>0</v>
      </c>
      <c r="G115" s="133" t="str">
        <f>ESE!AD116</f>
        <v>0</v>
      </c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</row>
    <row r="116" ht="16.5" customHeight="1">
      <c r="A116" s="179" t="s">
        <v>256</v>
      </c>
      <c r="B116" s="49" t="s">
        <v>122</v>
      </c>
      <c r="C116" s="133" t="str">
        <f>ESE!Z117</f>
        <v>0</v>
      </c>
      <c r="D116" s="133" t="str">
        <f>ESE!AA117</f>
        <v>0</v>
      </c>
      <c r="E116" s="133" t="str">
        <f>ESE!AB117</f>
        <v>0</v>
      </c>
      <c r="F116" s="133" t="str">
        <f>ESE!AC117</f>
        <v>0</v>
      </c>
      <c r="G116" s="133" t="str">
        <f>ESE!AD117</f>
        <v>0</v>
      </c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</row>
    <row r="117" ht="16.5" customHeight="1">
      <c r="A117" s="179" t="s">
        <v>257</v>
      </c>
      <c r="B117" s="49" t="s">
        <v>122</v>
      </c>
      <c r="C117" s="133" t="str">
        <f>ESE!Z118</f>
        <v>0</v>
      </c>
      <c r="D117" s="133" t="str">
        <f>ESE!AA118</f>
        <v>0</v>
      </c>
      <c r="E117" s="133" t="str">
        <f>ESE!AB118</f>
        <v>0</v>
      </c>
      <c r="F117" s="133" t="str">
        <f>ESE!AC118</f>
        <v>0</v>
      </c>
      <c r="G117" s="133" t="str">
        <f>ESE!AD118</f>
        <v>0</v>
      </c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</row>
    <row r="118" ht="16.5" customHeight="1">
      <c r="A118" s="179" t="s">
        <v>258</v>
      </c>
      <c r="B118" s="49" t="s">
        <v>122</v>
      </c>
      <c r="C118" s="133" t="str">
        <f>ESE!Z119</f>
        <v>0</v>
      </c>
      <c r="D118" s="133" t="str">
        <f>ESE!AA119</f>
        <v>0</v>
      </c>
      <c r="E118" s="133" t="str">
        <f>ESE!AB119</f>
        <v>0</v>
      </c>
      <c r="F118" s="133" t="str">
        <f>ESE!AC119</f>
        <v>0</v>
      </c>
      <c r="G118" s="133" t="str">
        <f>ESE!AD119</f>
        <v>0</v>
      </c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</row>
    <row r="119" ht="16.5" customHeight="1">
      <c r="A119" s="179" t="s">
        <v>259</v>
      </c>
      <c r="B119" s="49" t="s">
        <v>122</v>
      </c>
      <c r="C119" s="133" t="str">
        <f>ESE!Z120</f>
        <v>0</v>
      </c>
      <c r="D119" s="133" t="str">
        <f>ESE!AA120</f>
        <v>0</v>
      </c>
      <c r="E119" s="133" t="str">
        <f>ESE!AB120</f>
        <v>0</v>
      </c>
      <c r="F119" s="133" t="str">
        <f>ESE!AC120</f>
        <v>0</v>
      </c>
      <c r="G119" s="133" t="str">
        <f>ESE!AD120</f>
        <v>0</v>
      </c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</row>
    <row r="120" ht="16.5" customHeight="1">
      <c r="A120" s="179" t="s">
        <v>260</v>
      </c>
      <c r="B120" s="49" t="s">
        <v>122</v>
      </c>
      <c r="C120" s="133" t="str">
        <f>ESE!Z121</f>
        <v>0</v>
      </c>
      <c r="D120" s="133" t="str">
        <f>ESE!AA121</f>
        <v>0</v>
      </c>
      <c r="E120" s="133" t="str">
        <f>ESE!AB121</f>
        <v>0</v>
      </c>
      <c r="F120" s="133" t="str">
        <f>ESE!AC121</f>
        <v>0</v>
      </c>
      <c r="G120" s="133" t="str">
        <f>ESE!AD121</f>
        <v>0</v>
      </c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</row>
    <row r="121" ht="16.5" customHeight="1">
      <c r="A121" s="179" t="s">
        <v>261</v>
      </c>
      <c r="B121" s="49" t="s">
        <v>122</v>
      </c>
      <c r="C121" s="133" t="str">
        <f>ESE!Z122</f>
        <v>0</v>
      </c>
      <c r="D121" s="133" t="str">
        <f>ESE!AA122</f>
        <v>0</v>
      </c>
      <c r="E121" s="133" t="str">
        <f>ESE!AB122</f>
        <v>0</v>
      </c>
      <c r="F121" s="133" t="str">
        <f>ESE!AC122</f>
        <v>0</v>
      </c>
      <c r="G121" s="133" t="str">
        <f>ESE!AD122</f>
        <v>0</v>
      </c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</row>
    <row r="122" ht="16.5" customHeight="1">
      <c r="A122" s="179" t="s">
        <v>262</v>
      </c>
      <c r="B122" s="49" t="s">
        <v>122</v>
      </c>
      <c r="C122" s="133" t="str">
        <f>ESE!Z123</f>
        <v>0</v>
      </c>
      <c r="D122" s="133" t="str">
        <f>ESE!AA123</f>
        <v>0</v>
      </c>
      <c r="E122" s="133" t="str">
        <f>ESE!AB123</f>
        <v>0</v>
      </c>
      <c r="F122" s="133" t="str">
        <f>ESE!AC123</f>
        <v>0</v>
      </c>
      <c r="G122" s="133" t="str">
        <f>ESE!AD123</f>
        <v>0</v>
      </c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</row>
    <row r="123" ht="16.5" customHeight="1">
      <c r="A123" s="179" t="s">
        <v>263</v>
      </c>
      <c r="B123" s="49" t="s">
        <v>122</v>
      </c>
      <c r="C123" s="133" t="str">
        <f>ESE!Z124</f>
        <v>0</v>
      </c>
      <c r="D123" s="133" t="str">
        <f>ESE!AA124</f>
        <v>0</v>
      </c>
      <c r="E123" s="133" t="str">
        <f>ESE!AB124</f>
        <v>0</v>
      </c>
      <c r="F123" s="133" t="str">
        <f>ESE!AC124</f>
        <v>0</v>
      </c>
      <c r="G123" s="133" t="str">
        <f>ESE!AD124</f>
        <v>0</v>
      </c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</row>
    <row r="124" ht="16.5" customHeight="1">
      <c r="A124" s="179" t="s">
        <v>264</v>
      </c>
      <c r="B124" s="49" t="s">
        <v>122</v>
      </c>
      <c r="C124" s="133" t="str">
        <f>ESE!Z125</f>
        <v>0</v>
      </c>
      <c r="D124" s="133" t="str">
        <f>ESE!AA125</f>
        <v>0</v>
      </c>
      <c r="E124" s="133" t="str">
        <f>ESE!AB125</f>
        <v>0</v>
      </c>
      <c r="F124" s="133" t="str">
        <f>ESE!AC125</f>
        <v>0</v>
      </c>
      <c r="G124" s="133" t="str">
        <f>ESE!AD125</f>
        <v>0</v>
      </c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</row>
    <row r="125" ht="16.5" customHeight="1">
      <c r="A125" s="179" t="s">
        <v>265</v>
      </c>
      <c r="B125" s="49" t="s">
        <v>122</v>
      </c>
      <c r="C125" s="133" t="str">
        <f>ESE!Z126</f>
        <v>0</v>
      </c>
      <c r="D125" s="133" t="str">
        <f>ESE!AA126</f>
        <v>0</v>
      </c>
      <c r="E125" s="133" t="str">
        <f>ESE!AB126</f>
        <v>0</v>
      </c>
      <c r="F125" s="133" t="str">
        <f>ESE!AC126</f>
        <v>0</v>
      </c>
      <c r="G125" s="133" t="str">
        <f>ESE!AD126</f>
        <v>0</v>
      </c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</row>
    <row r="126" ht="16.5" customHeight="1">
      <c r="A126" s="179" t="s">
        <v>266</v>
      </c>
      <c r="B126" s="49" t="s">
        <v>122</v>
      </c>
      <c r="C126" s="133" t="str">
        <f>ESE!Z127</f>
        <v>0</v>
      </c>
      <c r="D126" s="133" t="str">
        <f>ESE!AA127</f>
        <v>0</v>
      </c>
      <c r="E126" s="133" t="str">
        <f>ESE!AB127</f>
        <v>0</v>
      </c>
      <c r="F126" s="133" t="str">
        <f>ESE!AC127</f>
        <v>0</v>
      </c>
      <c r="G126" s="133" t="str">
        <f>ESE!AD127</f>
        <v>0</v>
      </c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</row>
    <row r="127" ht="16.5" customHeight="1">
      <c r="A127" s="179" t="s">
        <v>267</v>
      </c>
      <c r="B127" s="49" t="s">
        <v>122</v>
      </c>
      <c r="C127" s="133" t="str">
        <f>ESE!Z128</f>
        <v>0</v>
      </c>
      <c r="D127" s="133" t="str">
        <f>ESE!AA128</f>
        <v>0</v>
      </c>
      <c r="E127" s="133" t="str">
        <f>ESE!AB128</f>
        <v>0</v>
      </c>
      <c r="F127" s="133" t="str">
        <f>ESE!AC128</f>
        <v>0</v>
      </c>
      <c r="G127" s="133" t="str">
        <f>ESE!AD128</f>
        <v>0</v>
      </c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</row>
    <row r="128" ht="16.5" customHeight="1">
      <c r="A128" s="179" t="s">
        <v>268</v>
      </c>
      <c r="B128" s="49" t="s">
        <v>122</v>
      </c>
      <c r="C128" s="133" t="str">
        <f>ESE!Z129</f>
        <v>0</v>
      </c>
      <c r="D128" s="133" t="str">
        <f>ESE!AA129</f>
        <v>0</v>
      </c>
      <c r="E128" s="133" t="str">
        <f>ESE!AB129</f>
        <v>0</v>
      </c>
      <c r="F128" s="133" t="str">
        <f>ESE!AC129</f>
        <v>0</v>
      </c>
      <c r="G128" s="133" t="str">
        <f>ESE!AD129</f>
        <v>0</v>
      </c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</row>
    <row r="129" ht="16.5" customHeight="1">
      <c r="A129" s="179" t="s">
        <v>269</v>
      </c>
      <c r="B129" s="49" t="s">
        <v>122</v>
      </c>
      <c r="C129" s="133" t="str">
        <f>ESE!Z130</f>
        <v>0</v>
      </c>
      <c r="D129" s="133" t="str">
        <f>ESE!AA130</f>
        <v>0</v>
      </c>
      <c r="E129" s="133" t="str">
        <f>ESE!AB130</f>
        <v>0</v>
      </c>
      <c r="F129" s="133" t="str">
        <f>ESE!AC130</f>
        <v>0</v>
      </c>
      <c r="G129" s="133" t="str">
        <f>ESE!AD130</f>
        <v>0</v>
      </c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</row>
    <row r="130" ht="16.5" customHeight="1">
      <c r="A130" s="179" t="s">
        <v>270</v>
      </c>
      <c r="B130" s="49" t="s">
        <v>122</v>
      </c>
      <c r="C130" s="133" t="str">
        <f>ESE!Z131</f>
        <v>0</v>
      </c>
      <c r="D130" s="133" t="str">
        <f>ESE!AA131</f>
        <v>0</v>
      </c>
      <c r="E130" s="133" t="str">
        <f>ESE!AB131</f>
        <v>0</v>
      </c>
      <c r="F130" s="133" t="str">
        <f>ESE!AC131</f>
        <v>0</v>
      </c>
      <c r="G130" s="133" t="str">
        <f>ESE!AD131</f>
        <v>0</v>
      </c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</row>
    <row r="131" ht="16.5" customHeight="1">
      <c r="A131" s="179" t="s">
        <v>271</v>
      </c>
      <c r="B131" s="49" t="s">
        <v>122</v>
      </c>
      <c r="C131" s="133" t="str">
        <f>ESE!Z132</f>
        <v>0</v>
      </c>
      <c r="D131" s="133" t="str">
        <f>ESE!AA132</f>
        <v>0</v>
      </c>
      <c r="E131" s="133" t="str">
        <f>ESE!AB132</f>
        <v>0</v>
      </c>
      <c r="F131" s="133" t="str">
        <f>ESE!AC132</f>
        <v>0</v>
      </c>
      <c r="G131" s="133" t="str">
        <f>ESE!AD132</f>
        <v>0</v>
      </c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</row>
    <row r="132" ht="16.5" customHeight="1">
      <c r="A132" s="179" t="s">
        <v>272</v>
      </c>
      <c r="B132" s="49" t="s">
        <v>122</v>
      </c>
      <c r="C132" s="133" t="str">
        <f>ESE!Z133</f>
        <v>0</v>
      </c>
      <c r="D132" s="133" t="str">
        <f>ESE!AA133</f>
        <v>0</v>
      </c>
      <c r="E132" s="133" t="str">
        <f>ESE!AB133</f>
        <v>0</v>
      </c>
      <c r="F132" s="133" t="str">
        <f>ESE!AC133</f>
        <v>0</v>
      </c>
      <c r="G132" s="133" t="str">
        <f>ESE!AD133</f>
        <v>0</v>
      </c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</row>
    <row r="133" ht="16.5" customHeight="1">
      <c r="A133" s="179" t="s">
        <v>273</v>
      </c>
      <c r="B133" s="49" t="s">
        <v>122</v>
      </c>
      <c r="C133" s="133" t="str">
        <f>ESE!Z134</f>
        <v>0</v>
      </c>
      <c r="D133" s="133" t="str">
        <f>ESE!AA134</f>
        <v>0</v>
      </c>
      <c r="E133" s="133" t="str">
        <f>ESE!AB134</f>
        <v>0</v>
      </c>
      <c r="F133" s="133" t="str">
        <f>ESE!AC134</f>
        <v>0</v>
      </c>
      <c r="G133" s="133" t="str">
        <f>ESE!AD134</f>
        <v>0</v>
      </c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</row>
    <row r="134" ht="16.5" customHeight="1">
      <c r="A134" s="179" t="s">
        <v>274</v>
      </c>
      <c r="B134" s="49" t="s">
        <v>122</v>
      </c>
      <c r="C134" s="133" t="str">
        <f>ESE!Z135</f>
        <v>0</v>
      </c>
      <c r="D134" s="133" t="str">
        <f>ESE!AA135</f>
        <v>0</v>
      </c>
      <c r="E134" s="133" t="str">
        <f>ESE!AB135</f>
        <v>0</v>
      </c>
      <c r="F134" s="133" t="str">
        <f>ESE!AC135</f>
        <v>0</v>
      </c>
      <c r="G134" s="133" t="str">
        <f>ESE!AD135</f>
        <v>0</v>
      </c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</row>
    <row r="135" ht="16.5" customHeight="1">
      <c r="A135" s="179" t="s">
        <v>275</v>
      </c>
      <c r="B135" s="49" t="s">
        <v>122</v>
      </c>
      <c r="C135" s="133" t="str">
        <f>ESE!Z136</f>
        <v>0</v>
      </c>
      <c r="D135" s="133" t="str">
        <f>ESE!AA136</f>
        <v>0</v>
      </c>
      <c r="E135" s="133" t="str">
        <f>ESE!AB136</f>
        <v>0</v>
      </c>
      <c r="F135" s="133" t="str">
        <f>ESE!AC136</f>
        <v>0</v>
      </c>
      <c r="G135" s="133" t="str">
        <f>ESE!AD136</f>
        <v>0</v>
      </c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</row>
    <row r="136" ht="16.5" customHeight="1">
      <c r="A136" s="179" t="s">
        <v>276</v>
      </c>
      <c r="B136" s="49" t="s">
        <v>122</v>
      </c>
      <c r="C136" s="133" t="str">
        <f>ESE!Z137</f>
        <v>0</v>
      </c>
      <c r="D136" s="133" t="str">
        <f>ESE!AA137</f>
        <v>0</v>
      </c>
      <c r="E136" s="133" t="str">
        <f>ESE!AB137</f>
        <v>0</v>
      </c>
      <c r="F136" s="133" t="str">
        <f>ESE!AC137</f>
        <v>0</v>
      </c>
      <c r="G136" s="133" t="str">
        <f>ESE!AD137</f>
        <v>0</v>
      </c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</row>
    <row r="137" ht="16.5" customHeight="1">
      <c r="A137" s="179" t="s">
        <v>277</v>
      </c>
      <c r="B137" s="49" t="s">
        <v>122</v>
      </c>
      <c r="C137" s="133" t="str">
        <f>ESE!Z138</f>
        <v>0</v>
      </c>
      <c r="D137" s="133" t="str">
        <f>ESE!AA138</f>
        <v>0</v>
      </c>
      <c r="E137" s="133" t="str">
        <f>ESE!AB138</f>
        <v>0</v>
      </c>
      <c r="F137" s="133" t="str">
        <f>ESE!AC138</f>
        <v>0</v>
      </c>
      <c r="G137" s="133" t="str">
        <f>ESE!AD138</f>
        <v>0</v>
      </c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</row>
    <row r="138" ht="16.5" customHeight="1">
      <c r="A138" s="179" t="s">
        <v>278</v>
      </c>
      <c r="B138" s="49" t="s">
        <v>122</v>
      </c>
      <c r="C138" s="133" t="str">
        <f>ESE!Z139</f>
        <v>0</v>
      </c>
      <c r="D138" s="133" t="str">
        <f>ESE!AA139</f>
        <v>0</v>
      </c>
      <c r="E138" s="133" t="str">
        <f>ESE!AB139</f>
        <v>0</v>
      </c>
      <c r="F138" s="133" t="str">
        <f>ESE!AC139</f>
        <v>0</v>
      </c>
      <c r="G138" s="133" t="str">
        <f>ESE!AD139</f>
        <v>0</v>
      </c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</row>
    <row r="139" ht="16.5" customHeight="1">
      <c r="A139" s="179" t="s">
        <v>279</v>
      </c>
      <c r="B139" s="49" t="s">
        <v>122</v>
      </c>
      <c r="C139" s="133" t="str">
        <f>ESE!Z140</f>
        <v>0</v>
      </c>
      <c r="D139" s="133" t="str">
        <f>ESE!AA140</f>
        <v>0</v>
      </c>
      <c r="E139" s="133" t="str">
        <f>ESE!AB140</f>
        <v>0</v>
      </c>
      <c r="F139" s="133" t="str">
        <f>ESE!AC140</f>
        <v>0</v>
      </c>
      <c r="G139" s="133" t="str">
        <f>ESE!AD140</f>
        <v>0</v>
      </c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</row>
    <row r="140" ht="16.5" customHeight="1">
      <c r="A140" s="179" t="s">
        <v>280</v>
      </c>
      <c r="B140" s="49" t="s">
        <v>122</v>
      </c>
      <c r="C140" s="133" t="str">
        <f>ESE!Z141</f>
        <v>0</v>
      </c>
      <c r="D140" s="133" t="str">
        <f>ESE!AA141</f>
        <v>0</v>
      </c>
      <c r="E140" s="133" t="str">
        <f>ESE!AB141</f>
        <v>0</v>
      </c>
      <c r="F140" s="133" t="str">
        <f>ESE!AC141</f>
        <v>0</v>
      </c>
      <c r="G140" s="133" t="str">
        <f>ESE!AD141</f>
        <v>0</v>
      </c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</row>
    <row r="141" ht="16.5" customHeight="1">
      <c r="A141" s="179" t="s">
        <v>281</v>
      </c>
      <c r="B141" s="49" t="s">
        <v>122</v>
      </c>
      <c r="C141" s="133" t="str">
        <f>ESE!Z142</f>
        <v>0</v>
      </c>
      <c r="D141" s="133" t="str">
        <f>ESE!AA142</f>
        <v>0</v>
      </c>
      <c r="E141" s="133" t="str">
        <f>ESE!AB142</f>
        <v>0</v>
      </c>
      <c r="F141" s="133" t="str">
        <f>ESE!AC142</f>
        <v>0</v>
      </c>
      <c r="G141" s="133" t="str">
        <f>ESE!AD142</f>
        <v>0</v>
      </c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</row>
    <row r="142" ht="16.5" customHeight="1">
      <c r="A142" s="179" t="s">
        <v>282</v>
      </c>
      <c r="B142" s="49" t="s">
        <v>122</v>
      </c>
      <c r="C142" s="133" t="str">
        <f>ESE!Z143</f>
        <v>0</v>
      </c>
      <c r="D142" s="133" t="str">
        <f>ESE!AA143</f>
        <v>0</v>
      </c>
      <c r="E142" s="133" t="str">
        <f>ESE!AB143</f>
        <v>0</v>
      </c>
      <c r="F142" s="133" t="str">
        <f>ESE!AC143</f>
        <v>0</v>
      </c>
      <c r="G142" s="133" t="str">
        <f>ESE!AD143</f>
        <v>0</v>
      </c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</row>
    <row r="143" ht="16.5" customHeight="1">
      <c r="A143" s="179" t="s">
        <v>283</v>
      </c>
      <c r="B143" s="49" t="s">
        <v>122</v>
      </c>
      <c r="C143" s="133" t="str">
        <f>ESE!Z144</f>
        <v>0</v>
      </c>
      <c r="D143" s="133" t="str">
        <f>ESE!AA144</f>
        <v>0</v>
      </c>
      <c r="E143" s="133" t="str">
        <f>ESE!AB144</f>
        <v>0</v>
      </c>
      <c r="F143" s="133" t="str">
        <f>ESE!AC144</f>
        <v>0</v>
      </c>
      <c r="G143" s="133" t="str">
        <f>ESE!AD144</f>
        <v>0</v>
      </c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</row>
    <row r="144" ht="16.5" customHeight="1">
      <c r="A144" s="179" t="s">
        <v>284</v>
      </c>
      <c r="B144" s="49" t="s">
        <v>122</v>
      </c>
      <c r="C144" s="133" t="str">
        <f>ESE!Z145</f>
        <v>0</v>
      </c>
      <c r="D144" s="133" t="str">
        <f>ESE!AA145</f>
        <v>0</v>
      </c>
      <c r="E144" s="133" t="str">
        <f>ESE!AB145</f>
        <v>0</v>
      </c>
      <c r="F144" s="133" t="str">
        <f>ESE!AC145</f>
        <v>0</v>
      </c>
      <c r="G144" s="133" t="str">
        <f>ESE!AD145</f>
        <v>0</v>
      </c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</row>
    <row r="145" ht="16.5" customHeight="1">
      <c r="A145" s="179" t="s">
        <v>285</v>
      </c>
      <c r="B145" s="49" t="s">
        <v>122</v>
      </c>
      <c r="C145" s="133" t="str">
        <f>ESE!Z146</f>
        <v>0</v>
      </c>
      <c r="D145" s="133" t="str">
        <f>ESE!AA146</f>
        <v>0</v>
      </c>
      <c r="E145" s="133" t="str">
        <f>ESE!AB146</f>
        <v>0</v>
      </c>
      <c r="F145" s="133" t="str">
        <f>ESE!AC146</f>
        <v>0</v>
      </c>
      <c r="G145" s="133" t="str">
        <f>ESE!AD146</f>
        <v>0</v>
      </c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</row>
    <row r="146" ht="16.5" customHeight="1">
      <c r="A146" s="179" t="s">
        <v>286</v>
      </c>
      <c r="B146" s="49" t="s">
        <v>122</v>
      </c>
      <c r="C146" s="133" t="str">
        <f>ESE!Z147</f>
        <v>0</v>
      </c>
      <c r="D146" s="133" t="str">
        <f>ESE!AA147</f>
        <v>0</v>
      </c>
      <c r="E146" s="133" t="str">
        <f>ESE!AB147</f>
        <v>0</v>
      </c>
      <c r="F146" s="133" t="str">
        <f>ESE!AC147</f>
        <v>0</v>
      </c>
      <c r="G146" s="133" t="str">
        <f>ESE!AD147</f>
        <v>0</v>
      </c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</row>
    <row r="147" ht="16.5" customHeight="1">
      <c r="A147" s="179" t="s">
        <v>287</v>
      </c>
      <c r="B147" s="49" t="s">
        <v>122</v>
      </c>
      <c r="C147" s="133" t="str">
        <f>ESE!Z148</f>
        <v>0</v>
      </c>
      <c r="D147" s="133" t="str">
        <f>ESE!AA148</f>
        <v>0</v>
      </c>
      <c r="E147" s="133" t="str">
        <f>ESE!AB148</f>
        <v>0</v>
      </c>
      <c r="F147" s="133" t="str">
        <f>ESE!AC148</f>
        <v>0</v>
      </c>
      <c r="G147" s="133" t="str">
        <f>ESE!AD148</f>
        <v>0</v>
      </c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</row>
    <row r="148" ht="16.5" customHeight="1">
      <c r="A148" s="179" t="s">
        <v>288</v>
      </c>
      <c r="B148" s="49" t="s">
        <v>122</v>
      </c>
      <c r="C148" s="133" t="str">
        <f>ESE!Z149</f>
        <v>0</v>
      </c>
      <c r="D148" s="133" t="str">
        <f>ESE!AA149</f>
        <v>0</v>
      </c>
      <c r="E148" s="133" t="str">
        <f>ESE!AB149</f>
        <v>0</v>
      </c>
      <c r="F148" s="133" t="str">
        <f>ESE!AC149</f>
        <v>0</v>
      </c>
      <c r="G148" s="133" t="str">
        <f>ESE!AD149</f>
        <v>0</v>
      </c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</row>
    <row r="149" ht="16.5" customHeight="1">
      <c r="A149" s="179" t="s">
        <v>289</v>
      </c>
      <c r="B149" s="49" t="s">
        <v>122</v>
      </c>
      <c r="C149" s="133" t="str">
        <f>ESE!Z150</f>
        <v>0</v>
      </c>
      <c r="D149" s="133" t="str">
        <f>ESE!AA150</f>
        <v>0</v>
      </c>
      <c r="E149" s="133" t="str">
        <f>ESE!AB150</f>
        <v>0</v>
      </c>
      <c r="F149" s="133" t="str">
        <f>ESE!AC150</f>
        <v>0</v>
      </c>
      <c r="G149" s="133" t="str">
        <f>ESE!AD150</f>
        <v>0</v>
      </c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</row>
    <row r="150" ht="16.5" customHeight="1">
      <c r="A150" s="179" t="s">
        <v>290</v>
      </c>
      <c r="B150" s="49" t="s">
        <v>122</v>
      </c>
      <c r="C150" s="133" t="str">
        <f>ESE!Z151</f>
        <v>0</v>
      </c>
      <c r="D150" s="133" t="str">
        <f>ESE!AA151</f>
        <v>0</v>
      </c>
      <c r="E150" s="133" t="str">
        <f>ESE!AB151</f>
        <v>0</v>
      </c>
      <c r="F150" s="133" t="str">
        <f>ESE!AC151</f>
        <v>0</v>
      </c>
      <c r="G150" s="133" t="str">
        <f>ESE!AD151</f>
        <v>0</v>
      </c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</row>
    <row r="151" ht="16.5" customHeight="1">
      <c r="A151" s="179" t="s">
        <v>291</v>
      </c>
      <c r="B151" s="49" t="s">
        <v>122</v>
      </c>
      <c r="C151" s="133" t="str">
        <f>ESE!Z152</f>
        <v>0</v>
      </c>
      <c r="D151" s="133" t="str">
        <f>ESE!AA152</f>
        <v>0</v>
      </c>
      <c r="E151" s="133" t="str">
        <f>ESE!AB152</f>
        <v>0</v>
      </c>
      <c r="F151" s="133" t="str">
        <f>ESE!AC152</f>
        <v>0</v>
      </c>
      <c r="G151" s="133" t="str">
        <f>ESE!AD152</f>
        <v>0</v>
      </c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</row>
    <row r="152" ht="16.5" customHeight="1">
      <c r="A152" s="179" t="s">
        <v>292</v>
      </c>
      <c r="B152" s="49" t="s">
        <v>122</v>
      </c>
      <c r="C152" s="133" t="str">
        <f>ESE!Z153</f>
        <v>0</v>
      </c>
      <c r="D152" s="133" t="str">
        <f>ESE!AA153</f>
        <v>0</v>
      </c>
      <c r="E152" s="133" t="str">
        <f>ESE!AB153</f>
        <v>0</v>
      </c>
      <c r="F152" s="133" t="str">
        <f>ESE!AC153</f>
        <v>0</v>
      </c>
      <c r="G152" s="133" t="str">
        <f>ESE!AD153</f>
        <v>0</v>
      </c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</row>
    <row r="153" ht="16.5" customHeight="1">
      <c r="A153" s="179" t="s">
        <v>293</v>
      </c>
      <c r="B153" s="49" t="s">
        <v>122</v>
      </c>
      <c r="C153" s="133" t="str">
        <f>ESE!Z154</f>
        <v>0</v>
      </c>
      <c r="D153" s="133" t="str">
        <f>ESE!AA154</f>
        <v>0</v>
      </c>
      <c r="E153" s="133" t="str">
        <f>ESE!AB154</f>
        <v>0</v>
      </c>
      <c r="F153" s="133" t="str">
        <f>ESE!AC154</f>
        <v>0</v>
      </c>
      <c r="G153" s="133" t="str">
        <f>ESE!AD154</f>
        <v>0</v>
      </c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</row>
    <row r="154" ht="16.5" customHeight="1">
      <c r="A154" s="179" t="s">
        <v>294</v>
      </c>
      <c r="B154" s="49" t="s">
        <v>122</v>
      </c>
      <c r="C154" s="133" t="str">
        <f>ESE!Z155</f>
        <v>0</v>
      </c>
      <c r="D154" s="133" t="str">
        <f>ESE!AA155</f>
        <v>0</v>
      </c>
      <c r="E154" s="133" t="str">
        <f>ESE!AB155</f>
        <v>0</v>
      </c>
      <c r="F154" s="133" t="str">
        <f>ESE!AC155</f>
        <v>0</v>
      </c>
      <c r="G154" s="133" t="str">
        <f>ESE!AD155</f>
        <v>0</v>
      </c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</row>
    <row r="155" ht="16.5" customHeight="1">
      <c r="A155" s="179" t="s">
        <v>295</v>
      </c>
      <c r="B155" s="49" t="s">
        <v>122</v>
      </c>
      <c r="C155" s="133" t="str">
        <f>ESE!Z156</f>
        <v>0</v>
      </c>
      <c r="D155" s="133" t="str">
        <f>ESE!AA156</f>
        <v>0</v>
      </c>
      <c r="E155" s="133" t="str">
        <f>ESE!AB156</f>
        <v>0</v>
      </c>
      <c r="F155" s="133" t="str">
        <f>ESE!AC156</f>
        <v>0</v>
      </c>
      <c r="G155" s="133" t="str">
        <f>ESE!AD156</f>
        <v>0</v>
      </c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</row>
    <row r="156" ht="16.5" customHeight="1">
      <c r="A156" s="179" t="s">
        <v>296</v>
      </c>
      <c r="B156" s="49" t="s">
        <v>122</v>
      </c>
      <c r="C156" s="133" t="str">
        <f>ESE!Z157</f>
        <v>0</v>
      </c>
      <c r="D156" s="133" t="str">
        <f>ESE!AA157</f>
        <v>0</v>
      </c>
      <c r="E156" s="133" t="str">
        <f>ESE!AB157</f>
        <v>0</v>
      </c>
      <c r="F156" s="133" t="str">
        <f>ESE!AC157</f>
        <v>0</v>
      </c>
      <c r="G156" s="133" t="str">
        <f>ESE!AD157</f>
        <v>0</v>
      </c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</row>
    <row r="157" ht="16.5" customHeight="1">
      <c r="A157" s="179" t="s">
        <v>297</v>
      </c>
      <c r="B157" s="49" t="s">
        <v>122</v>
      </c>
      <c r="C157" s="133" t="str">
        <f>ESE!Z158</f>
        <v>0</v>
      </c>
      <c r="D157" s="133" t="str">
        <f>ESE!AA158</f>
        <v>0</v>
      </c>
      <c r="E157" s="133" t="str">
        <f>ESE!AB158</f>
        <v>0</v>
      </c>
      <c r="F157" s="133" t="str">
        <f>ESE!AC158</f>
        <v>0</v>
      </c>
      <c r="G157" s="133" t="str">
        <f>ESE!AD158</f>
        <v>0</v>
      </c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</row>
    <row r="158" ht="16.5" customHeight="1">
      <c r="A158" s="179" t="s">
        <v>298</v>
      </c>
      <c r="B158" s="49" t="s">
        <v>122</v>
      </c>
      <c r="C158" s="133" t="str">
        <f>ESE!Z159</f>
        <v>0</v>
      </c>
      <c r="D158" s="133" t="str">
        <f>ESE!AA159</f>
        <v>0</v>
      </c>
      <c r="E158" s="133" t="str">
        <f>ESE!AB159</f>
        <v>0</v>
      </c>
      <c r="F158" s="133" t="str">
        <f>ESE!AC159</f>
        <v>0</v>
      </c>
      <c r="G158" s="133" t="str">
        <f>ESE!AD159</f>
        <v>0</v>
      </c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</row>
    <row r="159" ht="16.5" customHeight="1">
      <c r="A159" s="179" t="s">
        <v>299</v>
      </c>
      <c r="B159" s="49" t="s">
        <v>122</v>
      </c>
      <c r="C159" s="133" t="str">
        <f>ESE!Z160</f>
        <v>0</v>
      </c>
      <c r="D159" s="133" t="str">
        <f>ESE!AA160</f>
        <v>0</v>
      </c>
      <c r="E159" s="133" t="str">
        <f>ESE!AB160</f>
        <v>0</v>
      </c>
      <c r="F159" s="133" t="str">
        <f>ESE!AC160</f>
        <v>0</v>
      </c>
      <c r="G159" s="133" t="str">
        <f>ESE!AD160</f>
        <v>0</v>
      </c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</row>
    <row r="160" ht="16.5" customHeight="1">
      <c r="A160" s="179" t="s">
        <v>300</v>
      </c>
      <c r="B160" s="49" t="s">
        <v>122</v>
      </c>
      <c r="C160" s="133" t="str">
        <f>ESE!Z161</f>
        <v>0</v>
      </c>
      <c r="D160" s="133" t="str">
        <f>ESE!AA161</f>
        <v>0</v>
      </c>
      <c r="E160" s="133" t="str">
        <f>ESE!AB161</f>
        <v>0</v>
      </c>
      <c r="F160" s="133" t="str">
        <f>ESE!AC161</f>
        <v>0</v>
      </c>
      <c r="G160" s="133" t="str">
        <f>ESE!AD161</f>
        <v>0</v>
      </c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</row>
    <row r="161" ht="16.5" customHeight="1">
      <c r="A161" s="179" t="s">
        <v>301</v>
      </c>
      <c r="B161" s="49" t="s">
        <v>122</v>
      </c>
      <c r="C161" s="133" t="str">
        <f>ESE!Z162</f>
        <v>0</v>
      </c>
      <c r="D161" s="133" t="str">
        <f>ESE!AA162</f>
        <v>0</v>
      </c>
      <c r="E161" s="133" t="str">
        <f>ESE!AB162</f>
        <v>0</v>
      </c>
      <c r="F161" s="133" t="str">
        <f>ESE!AC162</f>
        <v>0</v>
      </c>
      <c r="G161" s="133" t="str">
        <f>ESE!AD162</f>
        <v>0</v>
      </c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</row>
    <row r="162" ht="16.5" customHeight="1">
      <c r="A162" s="179" t="s">
        <v>302</v>
      </c>
      <c r="B162" s="49" t="s">
        <v>122</v>
      </c>
      <c r="C162" s="133" t="str">
        <f>ESE!Z163</f>
        <v>0</v>
      </c>
      <c r="D162" s="133" t="str">
        <f>ESE!AA163</f>
        <v>0</v>
      </c>
      <c r="E162" s="133" t="str">
        <f>ESE!AB163</f>
        <v>0</v>
      </c>
      <c r="F162" s="133" t="str">
        <f>ESE!AC163</f>
        <v>0</v>
      </c>
      <c r="G162" s="133" t="str">
        <f>ESE!AD163</f>
        <v>0</v>
      </c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</row>
    <row r="163" ht="16.5" customHeight="1">
      <c r="A163" s="179" t="s">
        <v>303</v>
      </c>
      <c r="B163" s="49" t="s">
        <v>122</v>
      </c>
      <c r="C163" s="133" t="str">
        <f>ESE!Z164</f>
        <v>0</v>
      </c>
      <c r="D163" s="133" t="str">
        <f>ESE!AA164</f>
        <v>0</v>
      </c>
      <c r="E163" s="133" t="str">
        <f>ESE!AB164</f>
        <v>0</v>
      </c>
      <c r="F163" s="133" t="str">
        <f>ESE!AC164</f>
        <v>0</v>
      </c>
      <c r="G163" s="133" t="str">
        <f>ESE!AD164</f>
        <v>0</v>
      </c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</row>
    <row r="164" ht="16.5" customHeight="1">
      <c r="A164" s="179" t="s">
        <v>304</v>
      </c>
      <c r="B164" s="49" t="s">
        <v>122</v>
      </c>
      <c r="C164" s="133" t="str">
        <f>ESE!Z165</f>
        <v>0</v>
      </c>
      <c r="D164" s="133" t="str">
        <f>ESE!AA165</f>
        <v>0</v>
      </c>
      <c r="E164" s="133" t="str">
        <f>ESE!AB165</f>
        <v>0</v>
      </c>
      <c r="F164" s="133" t="str">
        <f>ESE!AC165</f>
        <v>0</v>
      </c>
      <c r="G164" s="133" t="str">
        <f>ESE!AD165</f>
        <v>0</v>
      </c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</row>
    <row r="165" ht="16.5" customHeight="1">
      <c r="A165" s="179" t="s">
        <v>305</v>
      </c>
      <c r="B165" s="49" t="s">
        <v>122</v>
      </c>
      <c r="C165" s="133" t="str">
        <f>ESE!Z166</f>
        <v>0</v>
      </c>
      <c r="D165" s="133" t="str">
        <f>ESE!AA166</f>
        <v>0</v>
      </c>
      <c r="E165" s="133" t="str">
        <f>ESE!AB166</f>
        <v>0</v>
      </c>
      <c r="F165" s="133" t="str">
        <f>ESE!AC166</f>
        <v>0</v>
      </c>
      <c r="G165" s="133" t="str">
        <f>ESE!AD166</f>
        <v>0</v>
      </c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</row>
    <row r="166" ht="16.5" customHeight="1">
      <c r="A166" s="179" t="s">
        <v>306</v>
      </c>
      <c r="B166" s="49" t="s">
        <v>122</v>
      </c>
      <c r="C166" s="133" t="str">
        <f>ESE!Z167</f>
        <v>0</v>
      </c>
      <c r="D166" s="133" t="str">
        <f>ESE!AA167</f>
        <v>0</v>
      </c>
      <c r="E166" s="133" t="str">
        <f>ESE!AB167</f>
        <v>0</v>
      </c>
      <c r="F166" s="133" t="str">
        <f>ESE!AC167</f>
        <v>0</v>
      </c>
      <c r="G166" s="133" t="str">
        <f>ESE!AD167</f>
        <v>0</v>
      </c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</row>
    <row r="167" ht="16.5" customHeight="1">
      <c r="A167" s="179" t="s">
        <v>307</v>
      </c>
      <c r="B167" s="49" t="s">
        <v>122</v>
      </c>
      <c r="C167" s="133" t="str">
        <f>ESE!Z168</f>
        <v>0</v>
      </c>
      <c r="D167" s="133" t="str">
        <f>ESE!AA168</f>
        <v>0</v>
      </c>
      <c r="E167" s="133" t="str">
        <f>ESE!AB168</f>
        <v>0</v>
      </c>
      <c r="F167" s="133" t="str">
        <f>ESE!AC168</f>
        <v>0</v>
      </c>
      <c r="G167" s="133" t="str">
        <f>ESE!AD168</f>
        <v>0</v>
      </c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</row>
    <row r="168" ht="16.5" customHeight="1">
      <c r="A168" s="179" t="s">
        <v>308</v>
      </c>
      <c r="B168" s="49" t="s">
        <v>122</v>
      </c>
      <c r="C168" s="133" t="str">
        <f>ESE!Z169</f>
        <v>0</v>
      </c>
      <c r="D168" s="133" t="str">
        <f>ESE!AA169</f>
        <v>0</v>
      </c>
      <c r="E168" s="133" t="str">
        <f>ESE!AB169</f>
        <v>0</v>
      </c>
      <c r="F168" s="133" t="str">
        <f>ESE!AC169</f>
        <v>0</v>
      </c>
      <c r="G168" s="133" t="str">
        <f>ESE!AD169</f>
        <v>0</v>
      </c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</row>
    <row r="169" ht="16.5" customHeight="1">
      <c r="A169" s="179" t="s">
        <v>309</v>
      </c>
      <c r="B169" s="49" t="s">
        <v>122</v>
      </c>
      <c r="C169" s="133" t="str">
        <f>ESE!Z170</f>
        <v>0</v>
      </c>
      <c r="D169" s="133" t="str">
        <f>ESE!AA170</f>
        <v>0</v>
      </c>
      <c r="E169" s="133" t="str">
        <f>ESE!AB170</f>
        <v>0</v>
      </c>
      <c r="F169" s="133" t="str">
        <f>ESE!AC170</f>
        <v>0</v>
      </c>
      <c r="G169" s="133" t="str">
        <f>ESE!AD170</f>
        <v>0</v>
      </c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</row>
    <row r="170" ht="16.5" customHeight="1">
      <c r="A170" s="179" t="s">
        <v>310</v>
      </c>
      <c r="B170" s="49" t="s">
        <v>122</v>
      </c>
      <c r="C170" s="133" t="str">
        <f>ESE!Z171</f>
        <v>0</v>
      </c>
      <c r="D170" s="133" t="str">
        <f>ESE!AA171</f>
        <v>0</v>
      </c>
      <c r="E170" s="133" t="str">
        <f>ESE!AB171</f>
        <v>0</v>
      </c>
      <c r="F170" s="133" t="str">
        <f>ESE!AC171</f>
        <v>0</v>
      </c>
      <c r="G170" s="133" t="str">
        <f>ESE!AD171</f>
        <v>0</v>
      </c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</row>
    <row r="171" ht="16.5" customHeight="1">
      <c r="A171" s="179" t="s">
        <v>311</v>
      </c>
      <c r="B171" s="49" t="s">
        <v>122</v>
      </c>
      <c r="C171" s="133" t="str">
        <f>ESE!Z172</f>
        <v>0</v>
      </c>
      <c r="D171" s="133" t="str">
        <f>ESE!AA172</f>
        <v>0</v>
      </c>
      <c r="E171" s="133" t="str">
        <f>ESE!AB172</f>
        <v>0</v>
      </c>
      <c r="F171" s="133" t="str">
        <f>ESE!AC172</f>
        <v>0</v>
      </c>
      <c r="G171" s="133" t="str">
        <f>ESE!AD172</f>
        <v>0</v>
      </c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</row>
    <row r="172" ht="16.5" customHeight="1">
      <c r="A172" s="179" t="s">
        <v>312</v>
      </c>
      <c r="B172" s="49" t="s">
        <v>122</v>
      </c>
      <c r="C172" s="133" t="str">
        <f>ESE!Z173</f>
        <v>0</v>
      </c>
      <c r="D172" s="133" t="str">
        <f>ESE!AA173</f>
        <v>0</v>
      </c>
      <c r="E172" s="133" t="str">
        <f>ESE!AB173</f>
        <v>0</v>
      </c>
      <c r="F172" s="133" t="str">
        <f>ESE!AC173</f>
        <v>0</v>
      </c>
      <c r="G172" s="133" t="str">
        <f>ESE!AD173</f>
        <v>0</v>
      </c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</row>
    <row r="173" ht="16.5" customHeight="1">
      <c r="A173" s="179" t="s">
        <v>313</v>
      </c>
      <c r="B173" s="49" t="s">
        <v>122</v>
      </c>
      <c r="C173" s="133" t="str">
        <f>ESE!Z174</f>
        <v>0</v>
      </c>
      <c r="D173" s="133" t="str">
        <f>ESE!AA174</f>
        <v>0</v>
      </c>
      <c r="E173" s="133" t="str">
        <f>ESE!AB174</f>
        <v>0</v>
      </c>
      <c r="F173" s="133" t="str">
        <f>ESE!AC174</f>
        <v>0</v>
      </c>
      <c r="G173" s="133" t="str">
        <f>ESE!AD174</f>
        <v>0</v>
      </c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</row>
    <row r="174" ht="16.5" customHeight="1">
      <c r="A174" s="179" t="s">
        <v>314</v>
      </c>
      <c r="B174" s="49" t="s">
        <v>122</v>
      </c>
      <c r="C174" s="133" t="str">
        <f>ESE!Z175</f>
        <v>0</v>
      </c>
      <c r="D174" s="133" t="str">
        <f>ESE!AA175</f>
        <v>0</v>
      </c>
      <c r="E174" s="133" t="str">
        <f>ESE!AB175</f>
        <v>0</v>
      </c>
      <c r="F174" s="133" t="str">
        <f>ESE!AC175</f>
        <v>0</v>
      </c>
      <c r="G174" s="133" t="str">
        <f>ESE!AD175</f>
        <v>0</v>
      </c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</row>
    <row r="175" ht="16.5" customHeight="1">
      <c r="A175" s="179" t="s">
        <v>315</v>
      </c>
      <c r="B175" s="49" t="s">
        <v>122</v>
      </c>
      <c r="C175" s="133" t="str">
        <f>ESE!Z176</f>
        <v>0</v>
      </c>
      <c r="D175" s="133" t="str">
        <f>ESE!AA176</f>
        <v>0</v>
      </c>
      <c r="E175" s="133" t="str">
        <f>ESE!AB176</f>
        <v>0</v>
      </c>
      <c r="F175" s="133" t="str">
        <f>ESE!AC176</f>
        <v>0</v>
      </c>
      <c r="G175" s="133" t="str">
        <f>ESE!AD176</f>
        <v>0</v>
      </c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</row>
    <row r="176" ht="16.5" customHeight="1">
      <c r="A176" s="179" t="s">
        <v>316</v>
      </c>
      <c r="B176" s="49" t="s">
        <v>122</v>
      </c>
      <c r="C176" s="133" t="str">
        <f>ESE!Z177</f>
        <v>0</v>
      </c>
      <c r="D176" s="133" t="str">
        <f>ESE!AA177</f>
        <v>0</v>
      </c>
      <c r="E176" s="133" t="str">
        <f>ESE!AB177</f>
        <v>0</v>
      </c>
      <c r="F176" s="133" t="str">
        <f>ESE!AC177</f>
        <v>0</v>
      </c>
      <c r="G176" s="133" t="str">
        <f>ESE!AD177</f>
        <v>0</v>
      </c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</row>
    <row r="177" ht="16.5" customHeight="1">
      <c r="A177" s="179" t="s">
        <v>317</v>
      </c>
      <c r="B177" s="49" t="s">
        <v>122</v>
      </c>
      <c r="C177" s="133" t="str">
        <f>ESE!Z178</f>
        <v>0</v>
      </c>
      <c r="D177" s="133" t="str">
        <f>ESE!AA178</f>
        <v>0</v>
      </c>
      <c r="E177" s="133" t="str">
        <f>ESE!AB178</f>
        <v>0</v>
      </c>
      <c r="F177" s="133" t="str">
        <f>ESE!AC178</f>
        <v>0</v>
      </c>
      <c r="G177" s="133" t="str">
        <f>ESE!AD178</f>
        <v>0</v>
      </c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</row>
    <row r="178" ht="16.5" customHeight="1">
      <c r="A178" s="179" t="s">
        <v>318</v>
      </c>
      <c r="B178" s="49" t="s">
        <v>122</v>
      </c>
      <c r="C178" s="133" t="str">
        <f>ESE!Z179</f>
        <v>0</v>
      </c>
      <c r="D178" s="133" t="str">
        <f>ESE!AA179</f>
        <v>0</v>
      </c>
      <c r="E178" s="133" t="str">
        <f>ESE!AB179</f>
        <v>0</v>
      </c>
      <c r="F178" s="133" t="str">
        <f>ESE!AC179</f>
        <v>0</v>
      </c>
      <c r="G178" s="133" t="str">
        <f>ESE!AD179</f>
        <v>0</v>
      </c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</row>
    <row r="179" ht="16.5" customHeight="1">
      <c r="A179" s="179" t="s">
        <v>319</v>
      </c>
      <c r="B179" s="49" t="s">
        <v>122</v>
      </c>
      <c r="C179" s="133" t="str">
        <f>ESE!Z180</f>
        <v>0</v>
      </c>
      <c r="D179" s="133" t="str">
        <f>ESE!AA180</f>
        <v>0</v>
      </c>
      <c r="E179" s="133" t="str">
        <f>ESE!AB180</f>
        <v>0</v>
      </c>
      <c r="F179" s="133" t="str">
        <f>ESE!AC180</f>
        <v>0</v>
      </c>
      <c r="G179" s="133" t="str">
        <f>ESE!AD180</f>
        <v>0</v>
      </c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</row>
    <row r="180" ht="16.5" customHeight="1">
      <c r="A180" s="179" t="s">
        <v>320</v>
      </c>
      <c r="B180" s="49" t="s">
        <v>122</v>
      </c>
      <c r="C180" s="133" t="str">
        <f>ESE!Z181</f>
        <v>0</v>
      </c>
      <c r="D180" s="133" t="str">
        <f>ESE!AA181</f>
        <v>0</v>
      </c>
      <c r="E180" s="133" t="str">
        <f>ESE!AB181</f>
        <v>0</v>
      </c>
      <c r="F180" s="133" t="str">
        <f>ESE!AC181</f>
        <v>0</v>
      </c>
      <c r="G180" s="133" t="str">
        <f>ESE!AD181</f>
        <v>0</v>
      </c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</row>
    <row r="181" ht="16.5" customHeight="1">
      <c r="A181" s="179" t="s">
        <v>321</v>
      </c>
      <c r="B181" s="49" t="s">
        <v>122</v>
      </c>
      <c r="C181" s="133" t="str">
        <f>ESE!Z182</f>
        <v>0</v>
      </c>
      <c r="D181" s="133" t="str">
        <f>ESE!AA182</f>
        <v>0</v>
      </c>
      <c r="E181" s="133" t="str">
        <f>ESE!AB182</f>
        <v>0</v>
      </c>
      <c r="F181" s="133" t="str">
        <f>ESE!AC182</f>
        <v>0</v>
      </c>
      <c r="G181" s="133" t="str">
        <f>ESE!AD182</f>
        <v>0</v>
      </c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</row>
    <row r="182" ht="16.5" customHeight="1">
      <c r="A182" s="179" t="s">
        <v>322</v>
      </c>
      <c r="B182" s="49" t="s">
        <v>122</v>
      </c>
      <c r="C182" s="133" t="str">
        <f>ESE!Z183</f>
        <v>0</v>
      </c>
      <c r="D182" s="133" t="str">
        <f>ESE!AA183</f>
        <v>0</v>
      </c>
      <c r="E182" s="133" t="str">
        <f>ESE!AB183</f>
        <v>0</v>
      </c>
      <c r="F182" s="133" t="str">
        <f>ESE!AC183</f>
        <v>0</v>
      </c>
      <c r="G182" s="133" t="str">
        <f>ESE!AD183</f>
        <v>0</v>
      </c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</row>
    <row r="183" ht="16.5" customHeight="1">
      <c r="A183" s="179" t="s">
        <v>323</v>
      </c>
      <c r="B183" s="49" t="s">
        <v>122</v>
      </c>
      <c r="C183" s="133" t="str">
        <f>ESE!Z184</f>
        <v>0</v>
      </c>
      <c r="D183" s="133" t="str">
        <f>ESE!AA184</f>
        <v>0</v>
      </c>
      <c r="E183" s="133" t="str">
        <f>ESE!AB184</f>
        <v>0</v>
      </c>
      <c r="F183" s="133" t="str">
        <f>ESE!AC184</f>
        <v>0</v>
      </c>
      <c r="G183" s="133" t="str">
        <f>ESE!AD184</f>
        <v>0</v>
      </c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</row>
    <row r="184" ht="16.5" customHeight="1">
      <c r="A184" s="179" t="s">
        <v>324</v>
      </c>
      <c r="B184" s="49" t="s">
        <v>122</v>
      </c>
      <c r="C184" s="133" t="str">
        <f>ESE!Z185</f>
        <v>0</v>
      </c>
      <c r="D184" s="133" t="str">
        <f>ESE!AA185</f>
        <v>0</v>
      </c>
      <c r="E184" s="133" t="str">
        <f>ESE!AB185</f>
        <v>0</v>
      </c>
      <c r="F184" s="133" t="str">
        <f>ESE!AC185</f>
        <v>0</v>
      </c>
      <c r="G184" s="133" t="str">
        <f>ESE!AD185</f>
        <v>0</v>
      </c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</row>
    <row r="185" ht="16.5" customHeight="1">
      <c r="A185" s="179" t="s">
        <v>325</v>
      </c>
      <c r="B185" s="49" t="s">
        <v>122</v>
      </c>
      <c r="C185" s="133" t="str">
        <f>ESE!Z186</f>
        <v>0</v>
      </c>
      <c r="D185" s="133" t="str">
        <f>ESE!AA186</f>
        <v>0</v>
      </c>
      <c r="E185" s="133" t="str">
        <f>ESE!AB186</f>
        <v>0</v>
      </c>
      <c r="F185" s="133" t="str">
        <f>ESE!AC186</f>
        <v>0</v>
      </c>
      <c r="G185" s="133" t="str">
        <f>ESE!AD186</f>
        <v>0</v>
      </c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</row>
    <row r="186" ht="16.5" customHeight="1">
      <c r="A186" s="179" t="s">
        <v>326</v>
      </c>
      <c r="B186" s="49" t="s">
        <v>122</v>
      </c>
      <c r="C186" s="133" t="str">
        <f>ESE!Z187</f>
        <v>0</v>
      </c>
      <c r="D186" s="133" t="str">
        <f>ESE!AA187</f>
        <v>0</v>
      </c>
      <c r="E186" s="133" t="str">
        <f>ESE!AB187</f>
        <v>0</v>
      </c>
      <c r="F186" s="133" t="str">
        <f>ESE!AC187</f>
        <v>0</v>
      </c>
      <c r="G186" s="133" t="str">
        <f>ESE!AD187</f>
        <v>0</v>
      </c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</row>
    <row r="187" ht="16.5" customHeight="1">
      <c r="A187" s="179" t="s">
        <v>327</v>
      </c>
      <c r="B187" s="49" t="s">
        <v>122</v>
      </c>
      <c r="C187" s="133" t="str">
        <f>ESE!Z188</f>
        <v>0</v>
      </c>
      <c r="D187" s="133" t="str">
        <f>ESE!AA188</f>
        <v>0</v>
      </c>
      <c r="E187" s="133" t="str">
        <f>ESE!AB188</f>
        <v>0</v>
      </c>
      <c r="F187" s="133" t="str">
        <f>ESE!AC188</f>
        <v>0</v>
      </c>
      <c r="G187" s="133" t="str">
        <f>ESE!AD188</f>
        <v>0</v>
      </c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</row>
    <row r="188" ht="16.5" customHeight="1">
      <c r="A188" s="179" t="s">
        <v>328</v>
      </c>
      <c r="B188" s="49" t="s">
        <v>122</v>
      </c>
      <c r="C188" s="133" t="str">
        <f>ESE!Z189</f>
        <v>0</v>
      </c>
      <c r="D188" s="133" t="str">
        <f>ESE!AA189</f>
        <v>0</v>
      </c>
      <c r="E188" s="133" t="str">
        <f>ESE!AB189</f>
        <v>0</v>
      </c>
      <c r="F188" s="133" t="str">
        <f>ESE!AC189</f>
        <v>0</v>
      </c>
      <c r="G188" s="133" t="str">
        <f>ESE!AD189</f>
        <v>0</v>
      </c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</row>
    <row r="189" ht="16.5" customHeight="1">
      <c r="A189" s="179" t="s">
        <v>329</v>
      </c>
      <c r="B189" s="49" t="s">
        <v>122</v>
      </c>
      <c r="C189" s="133" t="str">
        <f>ESE!Z190</f>
        <v>0</v>
      </c>
      <c r="D189" s="133" t="str">
        <f>ESE!AA190</f>
        <v>0</v>
      </c>
      <c r="E189" s="133" t="str">
        <f>ESE!AB190</f>
        <v>0</v>
      </c>
      <c r="F189" s="133" t="str">
        <f>ESE!AC190</f>
        <v>0</v>
      </c>
      <c r="G189" s="133" t="str">
        <f>ESE!AD190</f>
        <v>0</v>
      </c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</row>
    <row r="190" ht="16.5" customHeight="1">
      <c r="A190" s="179" t="s">
        <v>330</v>
      </c>
      <c r="B190" s="49" t="s">
        <v>122</v>
      </c>
      <c r="C190" s="133" t="str">
        <f>ESE!Z191</f>
        <v>0</v>
      </c>
      <c r="D190" s="133" t="str">
        <f>ESE!AA191</f>
        <v>0</v>
      </c>
      <c r="E190" s="133" t="str">
        <f>ESE!AB191</f>
        <v>0</v>
      </c>
      <c r="F190" s="133" t="str">
        <f>ESE!AC191</f>
        <v>0</v>
      </c>
      <c r="G190" s="133" t="str">
        <f>ESE!AD191</f>
        <v>0</v>
      </c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</row>
    <row r="191" ht="16.5" customHeight="1">
      <c r="A191" s="179" t="s">
        <v>331</v>
      </c>
      <c r="B191" s="49" t="s">
        <v>122</v>
      </c>
      <c r="C191" s="133" t="str">
        <f>ESE!Z192</f>
        <v>0</v>
      </c>
      <c r="D191" s="133" t="str">
        <f>ESE!AA192</f>
        <v>0</v>
      </c>
      <c r="E191" s="133" t="str">
        <f>ESE!AB192</f>
        <v>0</v>
      </c>
      <c r="F191" s="133" t="str">
        <f>ESE!AC192</f>
        <v>0</v>
      </c>
      <c r="G191" s="133" t="str">
        <f>ESE!AD192</f>
        <v>0</v>
      </c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</row>
    <row r="192" ht="16.5" customHeight="1">
      <c r="A192" s="179" t="s">
        <v>332</v>
      </c>
      <c r="B192" s="49" t="s">
        <v>122</v>
      </c>
      <c r="C192" s="133" t="str">
        <f>ESE!Z193</f>
        <v>0</v>
      </c>
      <c r="D192" s="133" t="str">
        <f>ESE!AA193</f>
        <v>0</v>
      </c>
      <c r="E192" s="133" t="str">
        <f>ESE!AB193</f>
        <v>0</v>
      </c>
      <c r="F192" s="133" t="str">
        <f>ESE!AC193</f>
        <v>0</v>
      </c>
      <c r="G192" s="133" t="str">
        <f>ESE!AD193</f>
        <v>0</v>
      </c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</row>
    <row r="193" ht="16.5" customHeight="1">
      <c r="A193" s="179" t="s">
        <v>333</v>
      </c>
      <c r="B193" s="49" t="s">
        <v>122</v>
      </c>
      <c r="C193" s="133" t="str">
        <f>ESE!Z194</f>
        <v>0</v>
      </c>
      <c r="D193" s="133" t="str">
        <f>ESE!AA194</f>
        <v>0</v>
      </c>
      <c r="E193" s="133" t="str">
        <f>ESE!AB194</f>
        <v>0</v>
      </c>
      <c r="F193" s="133" t="str">
        <f>ESE!AC194</f>
        <v>0</v>
      </c>
      <c r="G193" s="133" t="str">
        <f>ESE!AD194</f>
        <v>0</v>
      </c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</row>
    <row r="194" ht="16.5" customHeight="1">
      <c r="A194" s="179" t="s">
        <v>334</v>
      </c>
      <c r="B194" s="49" t="s">
        <v>122</v>
      </c>
      <c r="C194" s="133" t="str">
        <f>ESE!Z195</f>
        <v>0</v>
      </c>
      <c r="D194" s="133" t="str">
        <f>ESE!AA195</f>
        <v>0</v>
      </c>
      <c r="E194" s="133" t="str">
        <f>ESE!AB195</f>
        <v>0</v>
      </c>
      <c r="F194" s="133" t="str">
        <f>ESE!AC195</f>
        <v>0</v>
      </c>
      <c r="G194" s="133" t="str">
        <f>ESE!AD195</f>
        <v>0</v>
      </c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</row>
    <row r="195" ht="16.5" customHeight="1">
      <c r="A195" s="179" t="s">
        <v>335</v>
      </c>
      <c r="B195" s="49" t="s">
        <v>122</v>
      </c>
      <c r="C195" s="133" t="str">
        <f>ESE!Z196</f>
        <v>0</v>
      </c>
      <c r="D195" s="133" t="str">
        <f>ESE!AA196</f>
        <v>0</v>
      </c>
      <c r="E195" s="133" t="str">
        <f>ESE!AB196</f>
        <v>0</v>
      </c>
      <c r="F195" s="133" t="str">
        <f>ESE!AC196</f>
        <v>0</v>
      </c>
      <c r="G195" s="133" t="str">
        <f>ESE!AD196</f>
        <v>0</v>
      </c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</row>
    <row r="196" ht="16.5" customHeight="1">
      <c r="A196" s="179" t="s">
        <v>336</v>
      </c>
      <c r="B196" s="49" t="s">
        <v>122</v>
      </c>
      <c r="C196" s="133" t="str">
        <f>ESE!Z197</f>
        <v>0</v>
      </c>
      <c r="D196" s="133" t="str">
        <f>ESE!AA197</f>
        <v>0</v>
      </c>
      <c r="E196" s="133" t="str">
        <f>ESE!AB197</f>
        <v>0</v>
      </c>
      <c r="F196" s="133" t="str">
        <f>ESE!AC197</f>
        <v>0</v>
      </c>
      <c r="G196" s="133" t="str">
        <f>ESE!AD197</f>
        <v>0</v>
      </c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</row>
    <row r="197" ht="16.5" customHeight="1">
      <c r="A197" s="179" t="s">
        <v>337</v>
      </c>
      <c r="B197" s="49" t="s">
        <v>122</v>
      </c>
      <c r="C197" s="133" t="str">
        <f>ESE!Z198</f>
        <v>0</v>
      </c>
      <c r="D197" s="133" t="str">
        <f>ESE!AA198</f>
        <v>0</v>
      </c>
      <c r="E197" s="133" t="str">
        <f>ESE!AB198</f>
        <v>0</v>
      </c>
      <c r="F197" s="133" t="str">
        <f>ESE!AC198</f>
        <v>0</v>
      </c>
      <c r="G197" s="133" t="str">
        <f>ESE!AD198</f>
        <v>0</v>
      </c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</row>
    <row r="198" ht="16.5" customHeight="1">
      <c r="A198" s="179" t="s">
        <v>338</v>
      </c>
      <c r="B198" s="49" t="s">
        <v>122</v>
      </c>
      <c r="C198" s="133" t="str">
        <f>ESE!Z199</f>
        <v>0</v>
      </c>
      <c r="D198" s="133" t="str">
        <f>ESE!AA199</f>
        <v>0</v>
      </c>
      <c r="E198" s="133" t="str">
        <f>ESE!AB199</f>
        <v>0</v>
      </c>
      <c r="F198" s="133" t="str">
        <f>ESE!AC199</f>
        <v>0</v>
      </c>
      <c r="G198" s="133" t="str">
        <f>ESE!AD199</f>
        <v>0</v>
      </c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</row>
    <row r="199" ht="16.5" customHeight="1">
      <c r="A199" s="179" t="s">
        <v>339</v>
      </c>
      <c r="B199" s="49" t="s">
        <v>122</v>
      </c>
      <c r="C199" s="133" t="str">
        <f>ESE!Z200</f>
        <v>0</v>
      </c>
      <c r="D199" s="133" t="str">
        <f>ESE!AA200</f>
        <v>0</v>
      </c>
      <c r="E199" s="133" t="str">
        <f>ESE!AB200</f>
        <v>0</v>
      </c>
      <c r="F199" s="133" t="str">
        <f>ESE!AC200</f>
        <v>0</v>
      </c>
      <c r="G199" s="133" t="str">
        <f>ESE!AD200</f>
        <v>0</v>
      </c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</row>
    <row r="200" ht="16.5" customHeight="1">
      <c r="A200" s="179" t="s">
        <v>340</v>
      </c>
      <c r="B200" s="49" t="s">
        <v>122</v>
      </c>
      <c r="C200" s="133" t="str">
        <f>ESE!Z201</f>
        <v>0</v>
      </c>
      <c r="D200" s="133" t="str">
        <f>ESE!AA201</f>
        <v>0</v>
      </c>
      <c r="E200" s="133" t="str">
        <f>ESE!AB201</f>
        <v>0</v>
      </c>
      <c r="F200" s="133" t="str">
        <f>ESE!AC201</f>
        <v>0</v>
      </c>
      <c r="G200" s="133" t="str">
        <f>ESE!AD201</f>
        <v>0</v>
      </c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</row>
    <row r="201" ht="16.5" customHeight="1">
      <c r="A201" s="179" t="s">
        <v>341</v>
      </c>
      <c r="B201" s="49" t="s">
        <v>122</v>
      </c>
      <c r="C201" s="133" t="str">
        <f>ESE!Z202</f>
        <v>0</v>
      </c>
      <c r="D201" s="133" t="str">
        <f>ESE!AA202</f>
        <v>0</v>
      </c>
      <c r="E201" s="133" t="str">
        <f>ESE!AB202</f>
        <v>0</v>
      </c>
      <c r="F201" s="133" t="str">
        <f>ESE!AC202</f>
        <v>0</v>
      </c>
      <c r="G201" s="133" t="str">
        <f>ESE!AD202</f>
        <v>0</v>
      </c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</row>
    <row r="202" ht="16.5" customHeight="1">
      <c r="A202" s="179" t="s">
        <v>342</v>
      </c>
      <c r="B202" s="49" t="s">
        <v>122</v>
      </c>
      <c r="C202" s="133" t="str">
        <f>ESE!Z203</f>
        <v>0</v>
      </c>
      <c r="D202" s="133" t="str">
        <f>ESE!AA203</f>
        <v>0</v>
      </c>
      <c r="E202" s="133" t="str">
        <f>ESE!AB203</f>
        <v>0</v>
      </c>
      <c r="F202" s="133" t="str">
        <f>ESE!AC203</f>
        <v>0</v>
      </c>
      <c r="G202" s="133" t="str">
        <f>ESE!AD203</f>
        <v>0</v>
      </c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</row>
    <row r="203" ht="16.5" customHeight="1">
      <c r="A203" s="179" t="s">
        <v>343</v>
      </c>
      <c r="B203" s="49" t="s">
        <v>122</v>
      </c>
      <c r="C203" s="133" t="str">
        <f>ESE!Z204</f>
        <v>0</v>
      </c>
      <c r="D203" s="133" t="str">
        <f>ESE!AA204</f>
        <v>0</v>
      </c>
      <c r="E203" s="133" t="str">
        <f>ESE!AB204</f>
        <v>0</v>
      </c>
      <c r="F203" s="133" t="str">
        <f>ESE!AC204</f>
        <v>0</v>
      </c>
      <c r="G203" s="133" t="str">
        <f>ESE!AD204</f>
        <v>0</v>
      </c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</row>
    <row r="204" ht="16.5" customHeight="1">
      <c r="A204" s="179" t="s">
        <v>344</v>
      </c>
      <c r="B204" s="49" t="s">
        <v>122</v>
      </c>
      <c r="C204" s="133" t="str">
        <f>ESE!Z205</f>
        <v>0</v>
      </c>
      <c r="D204" s="133" t="str">
        <f>ESE!AA205</f>
        <v>0</v>
      </c>
      <c r="E204" s="133" t="str">
        <f>ESE!AB205</f>
        <v>0</v>
      </c>
      <c r="F204" s="133" t="str">
        <f>ESE!AC205</f>
        <v>0</v>
      </c>
      <c r="G204" s="133" t="str">
        <f>ESE!AD205</f>
        <v>0</v>
      </c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</row>
    <row r="205" ht="16.5" customHeight="1">
      <c r="A205" s="179" t="s">
        <v>345</v>
      </c>
      <c r="B205" s="49" t="s">
        <v>122</v>
      </c>
      <c r="C205" s="133" t="str">
        <f>ESE!Z206</f>
        <v>0</v>
      </c>
      <c r="D205" s="133" t="str">
        <f>ESE!AA206</f>
        <v>0</v>
      </c>
      <c r="E205" s="133" t="str">
        <f>ESE!AB206</f>
        <v>0</v>
      </c>
      <c r="F205" s="133" t="str">
        <f>ESE!AC206</f>
        <v>0</v>
      </c>
      <c r="G205" s="133" t="str">
        <f>ESE!AD206</f>
        <v>0</v>
      </c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</row>
    <row r="206" ht="16.5" customHeight="1">
      <c r="A206" s="179" t="s">
        <v>346</v>
      </c>
      <c r="B206" s="49" t="s">
        <v>122</v>
      </c>
      <c r="C206" s="133" t="str">
        <f>ESE!Z207</f>
        <v>0</v>
      </c>
      <c r="D206" s="133" t="str">
        <f>ESE!AA207</f>
        <v>0</v>
      </c>
      <c r="E206" s="133" t="str">
        <f>ESE!AB207</f>
        <v>0</v>
      </c>
      <c r="F206" s="133" t="str">
        <f>ESE!AC207</f>
        <v>0</v>
      </c>
      <c r="G206" s="133" t="str">
        <f>ESE!AD207</f>
        <v>0</v>
      </c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</row>
    <row r="207" ht="16.5" customHeight="1">
      <c r="A207" s="179" t="s">
        <v>347</v>
      </c>
      <c r="B207" s="49" t="s">
        <v>122</v>
      </c>
      <c r="C207" s="133" t="str">
        <f>ESE!Z208</f>
        <v>0</v>
      </c>
      <c r="D207" s="133" t="str">
        <f>ESE!AA208</f>
        <v>0</v>
      </c>
      <c r="E207" s="133" t="str">
        <f>ESE!AB208</f>
        <v>0</v>
      </c>
      <c r="F207" s="133" t="str">
        <f>ESE!AC208</f>
        <v>0</v>
      </c>
      <c r="G207" s="133" t="str">
        <f>ESE!AD208</f>
        <v>0</v>
      </c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</row>
    <row r="208" ht="16.5" customHeight="1">
      <c r="A208" s="179" t="s">
        <v>348</v>
      </c>
      <c r="B208" s="49" t="s">
        <v>122</v>
      </c>
      <c r="C208" s="133" t="str">
        <f>ESE!Z209</f>
        <v>0</v>
      </c>
      <c r="D208" s="133" t="str">
        <f>ESE!AA209</f>
        <v>0</v>
      </c>
      <c r="E208" s="133" t="str">
        <f>ESE!AB209</f>
        <v>0</v>
      </c>
      <c r="F208" s="133" t="str">
        <f>ESE!AC209</f>
        <v>0</v>
      </c>
      <c r="G208" s="133" t="str">
        <f>ESE!AD209</f>
        <v>0</v>
      </c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</row>
    <row r="209" ht="16.5" customHeight="1">
      <c r="A209" s="179" t="s">
        <v>349</v>
      </c>
      <c r="B209" s="49" t="s">
        <v>122</v>
      </c>
      <c r="C209" s="133" t="str">
        <f>ESE!Z210</f>
        <v>0</v>
      </c>
      <c r="D209" s="133" t="str">
        <f>ESE!AA210</f>
        <v>0</v>
      </c>
      <c r="E209" s="133" t="str">
        <f>ESE!AB210</f>
        <v>0</v>
      </c>
      <c r="F209" s="133" t="str">
        <f>ESE!AC210</f>
        <v>0</v>
      </c>
      <c r="G209" s="133" t="str">
        <f>ESE!AD210</f>
        <v>0</v>
      </c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</row>
    <row r="210" ht="16.5" customHeight="1">
      <c r="A210" s="179" t="s">
        <v>350</v>
      </c>
      <c r="B210" s="49" t="s">
        <v>122</v>
      </c>
      <c r="C210" s="133" t="str">
        <f>ESE!Z211</f>
        <v>0</v>
      </c>
      <c r="D210" s="133" t="str">
        <f>ESE!AA211</f>
        <v>0</v>
      </c>
      <c r="E210" s="133" t="str">
        <f>ESE!AB211</f>
        <v>0</v>
      </c>
      <c r="F210" s="133" t="str">
        <f>ESE!AC211</f>
        <v>0</v>
      </c>
      <c r="G210" s="133" t="str">
        <f>ESE!AD211</f>
        <v>0</v>
      </c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</row>
    <row r="211" ht="16.5" customHeight="1">
      <c r="A211" s="179" t="s">
        <v>351</v>
      </c>
      <c r="B211" s="49" t="s">
        <v>122</v>
      </c>
      <c r="C211" s="133" t="str">
        <f>ESE!Z212</f>
        <v>0</v>
      </c>
      <c r="D211" s="133" t="str">
        <f>ESE!AA212</f>
        <v>0</v>
      </c>
      <c r="E211" s="133" t="str">
        <f>ESE!AB212</f>
        <v>0</v>
      </c>
      <c r="F211" s="133" t="str">
        <f>ESE!AC212</f>
        <v>0</v>
      </c>
      <c r="G211" s="133" t="str">
        <f>ESE!AD212</f>
        <v>0</v>
      </c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</row>
    <row r="212" ht="16.5" customHeight="1">
      <c r="A212" s="179" t="s">
        <v>352</v>
      </c>
      <c r="B212" s="49" t="s">
        <v>122</v>
      </c>
      <c r="C212" s="133" t="str">
        <f>ESE!Z213</f>
        <v>0</v>
      </c>
      <c r="D212" s="133" t="str">
        <f>ESE!AA213</f>
        <v>0</v>
      </c>
      <c r="E212" s="133" t="str">
        <f>ESE!AB213</f>
        <v>0</v>
      </c>
      <c r="F212" s="133" t="str">
        <f>ESE!AC213</f>
        <v>0</v>
      </c>
      <c r="G212" s="133" t="str">
        <f>ESE!AD213</f>
        <v>0</v>
      </c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</row>
    <row r="213" ht="16.5" customHeight="1">
      <c r="A213" s="179" t="s">
        <v>353</v>
      </c>
      <c r="B213" s="49" t="s">
        <v>122</v>
      </c>
      <c r="C213" s="133" t="str">
        <f>ESE!Z214</f>
        <v>0</v>
      </c>
      <c r="D213" s="133" t="str">
        <f>ESE!AA214</f>
        <v>0</v>
      </c>
      <c r="E213" s="133" t="str">
        <f>ESE!AB214</f>
        <v>0</v>
      </c>
      <c r="F213" s="133" t="str">
        <f>ESE!AC214</f>
        <v>0</v>
      </c>
      <c r="G213" s="133" t="str">
        <f>ESE!AD214</f>
        <v>0</v>
      </c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</row>
    <row r="214" ht="16.5" customHeight="1">
      <c r="A214" s="179" t="s">
        <v>354</v>
      </c>
      <c r="B214" s="49" t="s">
        <v>122</v>
      </c>
      <c r="C214" s="133" t="str">
        <f>ESE!Z215</f>
        <v>0</v>
      </c>
      <c r="D214" s="133" t="str">
        <f>ESE!AA215</f>
        <v>0</v>
      </c>
      <c r="E214" s="133" t="str">
        <f>ESE!AB215</f>
        <v>0</v>
      </c>
      <c r="F214" s="133" t="str">
        <f>ESE!AC215</f>
        <v>0</v>
      </c>
      <c r="G214" s="133" t="str">
        <f>ESE!AD215</f>
        <v>0</v>
      </c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</row>
    <row r="215" ht="16.5" customHeight="1">
      <c r="A215" s="179" t="s">
        <v>355</v>
      </c>
      <c r="B215" s="49" t="s">
        <v>122</v>
      </c>
      <c r="C215" s="133" t="str">
        <f>ESE!Z216</f>
        <v>0</v>
      </c>
      <c r="D215" s="133" t="str">
        <f>ESE!AA216</f>
        <v>0</v>
      </c>
      <c r="E215" s="133" t="str">
        <f>ESE!AB216</f>
        <v>0</v>
      </c>
      <c r="F215" s="133" t="str">
        <f>ESE!AC216</f>
        <v>0</v>
      </c>
      <c r="G215" s="133" t="str">
        <f>ESE!AD216</f>
        <v>0</v>
      </c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</row>
    <row r="216" ht="16.5" customHeight="1">
      <c r="A216" s="179" t="s">
        <v>356</v>
      </c>
      <c r="B216" s="49" t="s">
        <v>122</v>
      </c>
      <c r="C216" s="133" t="str">
        <f>ESE!Z217</f>
        <v>0</v>
      </c>
      <c r="D216" s="133" t="str">
        <f>ESE!AA217</f>
        <v>0</v>
      </c>
      <c r="E216" s="133" t="str">
        <f>ESE!AB217</f>
        <v>0</v>
      </c>
      <c r="F216" s="133" t="str">
        <f>ESE!AC217</f>
        <v>0</v>
      </c>
      <c r="G216" s="133" t="str">
        <f>ESE!AD217</f>
        <v>0</v>
      </c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</row>
    <row r="217" ht="16.5" customHeight="1">
      <c r="A217" s="179" t="s">
        <v>357</v>
      </c>
      <c r="B217" s="49" t="s">
        <v>122</v>
      </c>
      <c r="C217" s="133" t="str">
        <f>ESE!Z218</f>
        <v>0</v>
      </c>
      <c r="D217" s="133" t="str">
        <f>ESE!AA218</f>
        <v>0</v>
      </c>
      <c r="E217" s="133" t="str">
        <f>ESE!AB218</f>
        <v>0</v>
      </c>
      <c r="F217" s="133" t="str">
        <f>ESE!AC218</f>
        <v>0</v>
      </c>
      <c r="G217" s="133" t="str">
        <f>ESE!AD218</f>
        <v>0</v>
      </c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</row>
    <row r="218" ht="16.5" customHeight="1">
      <c r="A218" s="179" t="s">
        <v>358</v>
      </c>
      <c r="B218" s="49" t="s">
        <v>122</v>
      </c>
      <c r="C218" s="133" t="str">
        <f>ESE!Z219</f>
        <v>0</v>
      </c>
      <c r="D218" s="133" t="str">
        <f>ESE!AA219</f>
        <v>0</v>
      </c>
      <c r="E218" s="133" t="str">
        <f>ESE!AB219</f>
        <v>0</v>
      </c>
      <c r="F218" s="133" t="str">
        <f>ESE!AC219</f>
        <v>0</v>
      </c>
      <c r="G218" s="133" t="str">
        <f>ESE!AD219</f>
        <v>0</v>
      </c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</row>
    <row r="219" ht="16.5" customHeight="1">
      <c r="A219" s="179" t="s">
        <v>359</v>
      </c>
      <c r="B219" s="49" t="s">
        <v>122</v>
      </c>
      <c r="C219" s="133" t="str">
        <f>ESE!Z220</f>
        <v>0</v>
      </c>
      <c r="D219" s="133" t="str">
        <f>ESE!AA220</f>
        <v>0</v>
      </c>
      <c r="E219" s="133" t="str">
        <f>ESE!AB220</f>
        <v>0</v>
      </c>
      <c r="F219" s="133" t="str">
        <f>ESE!AC220</f>
        <v>0</v>
      </c>
      <c r="G219" s="133" t="str">
        <f>ESE!AD220</f>
        <v>0</v>
      </c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</row>
    <row r="220" ht="16.5" customHeight="1">
      <c r="A220" s="179" t="s">
        <v>360</v>
      </c>
      <c r="B220" s="49" t="s">
        <v>122</v>
      </c>
      <c r="C220" s="133" t="str">
        <f>ESE!Z221</f>
        <v>0</v>
      </c>
      <c r="D220" s="133" t="str">
        <f>ESE!AA221</f>
        <v>0</v>
      </c>
      <c r="E220" s="133" t="str">
        <f>ESE!AB221</f>
        <v>0</v>
      </c>
      <c r="F220" s="133" t="str">
        <f>ESE!AC221</f>
        <v>0</v>
      </c>
      <c r="G220" s="133" t="str">
        <f>ESE!AD221</f>
        <v>0</v>
      </c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</row>
    <row r="221" ht="16.5" customHeight="1">
      <c r="A221" s="179" t="s">
        <v>361</v>
      </c>
      <c r="B221" s="49" t="s">
        <v>122</v>
      </c>
      <c r="C221" s="133" t="str">
        <f>ESE!Z222</f>
        <v>0</v>
      </c>
      <c r="D221" s="133" t="str">
        <f>ESE!AA222</f>
        <v>0</v>
      </c>
      <c r="E221" s="133" t="str">
        <f>ESE!AB222</f>
        <v>0</v>
      </c>
      <c r="F221" s="133" t="str">
        <f>ESE!AC222</f>
        <v>0</v>
      </c>
      <c r="G221" s="133" t="str">
        <f>ESE!AD222</f>
        <v>0</v>
      </c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</row>
    <row r="222" ht="16.5" customHeight="1">
      <c r="A222" s="179" t="s">
        <v>362</v>
      </c>
      <c r="B222" s="49" t="s">
        <v>122</v>
      </c>
      <c r="C222" s="133" t="str">
        <f>ESE!Z223</f>
        <v>0</v>
      </c>
      <c r="D222" s="133" t="str">
        <f>ESE!AA223</f>
        <v>0</v>
      </c>
      <c r="E222" s="133" t="str">
        <f>ESE!AB223</f>
        <v>0</v>
      </c>
      <c r="F222" s="133" t="str">
        <f>ESE!AC223</f>
        <v>0</v>
      </c>
      <c r="G222" s="133" t="str">
        <f>ESE!AD223</f>
        <v>0</v>
      </c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</row>
    <row r="223" ht="16.5" customHeight="1">
      <c r="A223" s="179" t="s">
        <v>363</v>
      </c>
      <c r="B223" s="49" t="s">
        <v>122</v>
      </c>
      <c r="C223" s="133" t="str">
        <f>ESE!Z224</f>
        <v>0</v>
      </c>
      <c r="D223" s="133" t="str">
        <f>ESE!AA224</f>
        <v>0</v>
      </c>
      <c r="E223" s="133" t="str">
        <f>ESE!AB224</f>
        <v>0</v>
      </c>
      <c r="F223" s="133" t="str">
        <f>ESE!AC224</f>
        <v>0</v>
      </c>
      <c r="G223" s="133" t="str">
        <f>ESE!AD224</f>
        <v>0</v>
      </c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</row>
    <row r="224" ht="16.5" customHeight="1">
      <c r="A224" s="179" t="s">
        <v>364</v>
      </c>
      <c r="B224" s="49" t="s">
        <v>122</v>
      </c>
      <c r="C224" s="133" t="str">
        <f>ESE!Z225</f>
        <v>0</v>
      </c>
      <c r="D224" s="133" t="str">
        <f>ESE!AA225</f>
        <v>0</v>
      </c>
      <c r="E224" s="133" t="str">
        <f>ESE!AB225</f>
        <v>0</v>
      </c>
      <c r="F224" s="133" t="str">
        <f>ESE!AC225</f>
        <v>0</v>
      </c>
      <c r="G224" s="133" t="str">
        <f>ESE!AD225</f>
        <v>0</v>
      </c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</row>
    <row r="225" ht="16.5" customHeight="1">
      <c r="A225" s="179" t="s">
        <v>365</v>
      </c>
      <c r="B225" s="49" t="s">
        <v>122</v>
      </c>
      <c r="C225" s="133" t="str">
        <f>ESE!Z226</f>
        <v>0</v>
      </c>
      <c r="D225" s="133" t="str">
        <f>ESE!AA226</f>
        <v>0</v>
      </c>
      <c r="E225" s="133" t="str">
        <f>ESE!AB226</f>
        <v>0</v>
      </c>
      <c r="F225" s="133" t="str">
        <f>ESE!AC226</f>
        <v>0</v>
      </c>
      <c r="G225" s="133" t="str">
        <f>ESE!AD226</f>
        <v>0</v>
      </c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</row>
    <row r="226" ht="16.5" customHeight="1">
      <c r="A226" s="179" t="s">
        <v>366</v>
      </c>
      <c r="B226" s="49" t="s">
        <v>122</v>
      </c>
      <c r="C226" s="133" t="str">
        <f>ESE!Z227</f>
        <v>0</v>
      </c>
      <c r="D226" s="133" t="str">
        <f>ESE!AA227</f>
        <v>0</v>
      </c>
      <c r="E226" s="133" t="str">
        <f>ESE!AB227</f>
        <v>0</v>
      </c>
      <c r="F226" s="133" t="str">
        <f>ESE!AC227</f>
        <v>0</v>
      </c>
      <c r="G226" s="133" t="str">
        <f>ESE!AD227</f>
        <v>0</v>
      </c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</row>
    <row r="227" ht="16.5" customHeight="1">
      <c r="A227" s="179" t="s">
        <v>367</v>
      </c>
      <c r="B227" s="49" t="s">
        <v>122</v>
      </c>
      <c r="C227" s="133" t="str">
        <f>ESE!Z228</f>
        <v>0</v>
      </c>
      <c r="D227" s="133" t="str">
        <f>ESE!AA228</f>
        <v>0</v>
      </c>
      <c r="E227" s="133" t="str">
        <f>ESE!AB228</f>
        <v>0</v>
      </c>
      <c r="F227" s="133" t="str">
        <f>ESE!AC228</f>
        <v>0</v>
      </c>
      <c r="G227" s="133" t="str">
        <f>ESE!AD228</f>
        <v>0</v>
      </c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</row>
    <row r="228" ht="16.5" customHeight="1">
      <c r="A228" s="179" t="s">
        <v>368</v>
      </c>
      <c r="B228" s="49" t="s">
        <v>122</v>
      </c>
      <c r="C228" s="133" t="str">
        <f>ESE!Z229</f>
        <v>0</v>
      </c>
      <c r="D228" s="133" t="str">
        <f>ESE!AA229</f>
        <v>0</v>
      </c>
      <c r="E228" s="133" t="str">
        <f>ESE!AB229</f>
        <v>0</v>
      </c>
      <c r="F228" s="133" t="str">
        <f>ESE!AC229</f>
        <v>0</v>
      </c>
      <c r="G228" s="133" t="str">
        <f>ESE!AD229</f>
        <v>0</v>
      </c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</row>
    <row r="229" ht="16.5" customHeight="1">
      <c r="A229" s="179" t="s">
        <v>369</v>
      </c>
      <c r="B229" s="49" t="s">
        <v>122</v>
      </c>
      <c r="C229" s="133" t="str">
        <f>ESE!Z230</f>
        <v>0</v>
      </c>
      <c r="D229" s="133" t="str">
        <f>ESE!AA230</f>
        <v>0</v>
      </c>
      <c r="E229" s="133" t="str">
        <f>ESE!AB230</f>
        <v>0</v>
      </c>
      <c r="F229" s="133" t="str">
        <f>ESE!AC230</f>
        <v>0</v>
      </c>
      <c r="G229" s="133" t="str">
        <f>ESE!AD230</f>
        <v>0</v>
      </c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</row>
    <row r="230" ht="16.5" customHeight="1">
      <c r="A230" s="179" t="s">
        <v>370</v>
      </c>
      <c r="B230" s="49" t="s">
        <v>122</v>
      </c>
      <c r="C230" s="133" t="str">
        <f>ESE!Z231</f>
        <v>0</v>
      </c>
      <c r="D230" s="133" t="str">
        <f>ESE!AA231</f>
        <v>0</v>
      </c>
      <c r="E230" s="133" t="str">
        <f>ESE!AB231</f>
        <v>0</v>
      </c>
      <c r="F230" s="133" t="str">
        <f>ESE!AC231</f>
        <v>0</v>
      </c>
      <c r="G230" s="133" t="str">
        <f>ESE!AD231</f>
        <v>0</v>
      </c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</row>
    <row r="231" ht="16.5" customHeight="1">
      <c r="A231" s="179" t="s">
        <v>371</v>
      </c>
      <c r="B231" s="49" t="s">
        <v>122</v>
      </c>
      <c r="C231" s="133" t="str">
        <f>ESE!Z232</f>
        <v>0</v>
      </c>
      <c r="D231" s="133" t="str">
        <f>ESE!AA232</f>
        <v>0</v>
      </c>
      <c r="E231" s="133" t="str">
        <f>ESE!AB232</f>
        <v>0</v>
      </c>
      <c r="F231" s="133" t="str">
        <f>ESE!AC232</f>
        <v>0</v>
      </c>
      <c r="G231" s="133" t="str">
        <f>ESE!AD232</f>
        <v>0</v>
      </c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</row>
    <row r="232" ht="16.5" customHeight="1">
      <c r="A232" s="179" t="s">
        <v>372</v>
      </c>
      <c r="B232" s="49" t="s">
        <v>122</v>
      </c>
      <c r="C232" s="133" t="str">
        <f>ESE!Z233</f>
        <v>0</v>
      </c>
      <c r="D232" s="133" t="str">
        <f>ESE!AA233</f>
        <v>0</v>
      </c>
      <c r="E232" s="133" t="str">
        <f>ESE!AB233</f>
        <v>0</v>
      </c>
      <c r="F232" s="133" t="str">
        <f>ESE!AC233</f>
        <v>0</v>
      </c>
      <c r="G232" s="133" t="str">
        <f>ESE!AD233</f>
        <v>0</v>
      </c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</row>
    <row r="233" ht="16.5" customHeight="1">
      <c r="A233" s="179" t="s">
        <v>373</v>
      </c>
      <c r="B233" s="49" t="s">
        <v>122</v>
      </c>
      <c r="C233" s="133" t="str">
        <f>ESE!Z234</f>
        <v>0</v>
      </c>
      <c r="D233" s="133" t="str">
        <f>ESE!AA234</f>
        <v>0</v>
      </c>
      <c r="E233" s="133" t="str">
        <f>ESE!AB234</f>
        <v>0</v>
      </c>
      <c r="F233" s="133" t="str">
        <f>ESE!AC234</f>
        <v>0</v>
      </c>
      <c r="G233" s="133" t="str">
        <f>ESE!AD234</f>
        <v>0</v>
      </c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</row>
    <row r="234" ht="16.5" customHeight="1">
      <c r="A234" s="179" t="s">
        <v>374</v>
      </c>
      <c r="B234" s="49" t="s">
        <v>122</v>
      </c>
      <c r="C234" s="133" t="str">
        <f>ESE!Z235</f>
        <v>0</v>
      </c>
      <c r="D234" s="133" t="str">
        <f>ESE!AA235</f>
        <v>0</v>
      </c>
      <c r="E234" s="133" t="str">
        <f>ESE!AB235</f>
        <v>0</v>
      </c>
      <c r="F234" s="133" t="str">
        <f>ESE!AC235</f>
        <v>0</v>
      </c>
      <c r="G234" s="133" t="str">
        <f>ESE!AD235</f>
        <v>0</v>
      </c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</row>
    <row r="235" ht="16.5" customHeight="1">
      <c r="A235" s="179" t="s">
        <v>375</v>
      </c>
      <c r="B235" s="49" t="s">
        <v>122</v>
      </c>
      <c r="C235" s="133" t="str">
        <f>ESE!Z236</f>
        <v>0</v>
      </c>
      <c r="D235" s="133" t="str">
        <f>ESE!AA236</f>
        <v>0</v>
      </c>
      <c r="E235" s="133" t="str">
        <f>ESE!AB236</f>
        <v>0</v>
      </c>
      <c r="F235" s="133" t="str">
        <f>ESE!AC236</f>
        <v>0</v>
      </c>
      <c r="G235" s="133" t="str">
        <f>ESE!AD236</f>
        <v>0</v>
      </c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</row>
    <row r="236" ht="16.5" customHeight="1">
      <c r="A236" s="179" t="s">
        <v>376</v>
      </c>
      <c r="B236" s="49" t="s">
        <v>122</v>
      </c>
      <c r="C236" s="133" t="str">
        <f>ESE!Z237</f>
        <v>0</v>
      </c>
      <c r="D236" s="133" t="str">
        <f>ESE!AA237</f>
        <v>0</v>
      </c>
      <c r="E236" s="133" t="str">
        <f>ESE!AB237</f>
        <v>0</v>
      </c>
      <c r="F236" s="133" t="str">
        <f>ESE!AC237</f>
        <v>0</v>
      </c>
      <c r="G236" s="133" t="str">
        <f>ESE!AD237</f>
        <v>0</v>
      </c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</row>
    <row r="237" ht="16.5" customHeight="1">
      <c r="A237" s="179" t="s">
        <v>377</v>
      </c>
      <c r="B237" s="49" t="s">
        <v>122</v>
      </c>
      <c r="C237" s="133" t="str">
        <f>ESE!Z238</f>
        <v>0</v>
      </c>
      <c r="D237" s="133" t="str">
        <f>ESE!AA238</f>
        <v>0</v>
      </c>
      <c r="E237" s="133" t="str">
        <f>ESE!AB238</f>
        <v>0</v>
      </c>
      <c r="F237" s="133" t="str">
        <f>ESE!AC238</f>
        <v>0</v>
      </c>
      <c r="G237" s="133" t="str">
        <f>ESE!AD238</f>
        <v>0</v>
      </c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</row>
    <row r="238" ht="16.5" customHeight="1">
      <c r="A238" s="179" t="s">
        <v>378</v>
      </c>
      <c r="B238" s="49" t="s">
        <v>122</v>
      </c>
      <c r="C238" s="133" t="str">
        <f>ESE!Z239</f>
        <v>0</v>
      </c>
      <c r="D238" s="133" t="str">
        <f>ESE!AA239</f>
        <v>0</v>
      </c>
      <c r="E238" s="133" t="str">
        <f>ESE!AB239</f>
        <v>0</v>
      </c>
      <c r="F238" s="133" t="str">
        <f>ESE!AC239</f>
        <v>0</v>
      </c>
      <c r="G238" s="133" t="str">
        <f>ESE!AD239</f>
        <v>0</v>
      </c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</row>
    <row r="239" ht="16.5" customHeight="1">
      <c r="A239" s="179" t="s">
        <v>379</v>
      </c>
      <c r="B239" s="49" t="s">
        <v>122</v>
      </c>
      <c r="C239" s="133" t="str">
        <f>ESE!Z240</f>
        <v>0</v>
      </c>
      <c r="D239" s="133" t="str">
        <f>ESE!AA240</f>
        <v>0</v>
      </c>
      <c r="E239" s="133" t="str">
        <f>ESE!AB240</f>
        <v>0</v>
      </c>
      <c r="F239" s="133" t="str">
        <f>ESE!AC240</f>
        <v>0</v>
      </c>
      <c r="G239" s="133" t="str">
        <f>ESE!AD240</f>
        <v>0</v>
      </c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</row>
    <row r="240" ht="16.5" customHeight="1">
      <c r="A240" s="179" t="s">
        <v>380</v>
      </c>
      <c r="B240" s="49" t="s">
        <v>122</v>
      </c>
      <c r="C240" s="133" t="str">
        <f>ESE!Z241</f>
        <v>0</v>
      </c>
      <c r="D240" s="133" t="str">
        <f>ESE!AA241</f>
        <v>0</v>
      </c>
      <c r="E240" s="133" t="str">
        <f>ESE!AB241</f>
        <v>0</v>
      </c>
      <c r="F240" s="133" t="str">
        <f>ESE!AC241</f>
        <v>0</v>
      </c>
      <c r="G240" s="133" t="str">
        <f>ESE!AD241</f>
        <v>0</v>
      </c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</row>
    <row r="241" ht="16.5" customHeight="1">
      <c r="A241" s="179" t="s">
        <v>381</v>
      </c>
      <c r="B241" s="49" t="s">
        <v>122</v>
      </c>
      <c r="C241" s="133" t="str">
        <f>ESE!Z242</f>
        <v>0</v>
      </c>
      <c r="D241" s="133" t="str">
        <f>ESE!AA242</f>
        <v>0</v>
      </c>
      <c r="E241" s="133" t="str">
        <f>ESE!AB242</f>
        <v>0</v>
      </c>
      <c r="F241" s="133" t="str">
        <f>ESE!AC242</f>
        <v>0</v>
      </c>
      <c r="G241" s="133" t="str">
        <f>ESE!AD242</f>
        <v>0</v>
      </c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</row>
    <row r="242" ht="16.5" customHeight="1">
      <c r="A242" s="179" t="s">
        <v>382</v>
      </c>
      <c r="B242" s="49" t="s">
        <v>122</v>
      </c>
      <c r="C242" s="133" t="str">
        <f>ESE!Z243</f>
        <v>0</v>
      </c>
      <c r="D242" s="133" t="str">
        <f>ESE!AA243</f>
        <v>0</v>
      </c>
      <c r="E242" s="133" t="str">
        <f>ESE!AB243</f>
        <v>0</v>
      </c>
      <c r="F242" s="133" t="str">
        <f>ESE!AC243</f>
        <v>0</v>
      </c>
      <c r="G242" s="133" t="str">
        <f>ESE!AD243</f>
        <v>0</v>
      </c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</row>
    <row r="243" ht="16.5" customHeight="1">
      <c r="A243" s="179" t="s">
        <v>383</v>
      </c>
      <c r="B243" s="49" t="s">
        <v>122</v>
      </c>
      <c r="C243" s="133" t="str">
        <f>ESE!Z244</f>
        <v>0</v>
      </c>
      <c r="D243" s="133" t="str">
        <f>ESE!AA244</f>
        <v>0</v>
      </c>
      <c r="E243" s="133" t="str">
        <f>ESE!AB244</f>
        <v>0</v>
      </c>
      <c r="F243" s="133" t="str">
        <f>ESE!AC244</f>
        <v>0</v>
      </c>
      <c r="G243" s="133" t="str">
        <f>ESE!AD244</f>
        <v>0</v>
      </c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</row>
    <row r="244" ht="16.5" customHeight="1">
      <c r="A244" s="179" t="s">
        <v>384</v>
      </c>
      <c r="B244" s="49" t="s">
        <v>122</v>
      </c>
      <c r="C244" s="133" t="str">
        <f>ESE!Z245</f>
        <v>0</v>
      </c>
      <c r="D244" s="133" t="str">
        <f>ESE!AA245</f>
        <v>0</v>
      </c>
      <c r="E244" s="133" t="str">
        <f>ESE!AB245</f>
        <v>0</v>
      </c>
      <c r="F244" s="133" t="str">
        <f>ESE!AC245</f>
        <v>0</v>
      </c>
      <c r="G244" s="133" t="str">
        <f>ESE!AD245</f>
        <v>0</v>
      </c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</row>
    <row r="245" ht="16.5" customHeight="1">
      <c r="A245" s="179" t="s">
        <v>385</v>
      </c>
      <c r="B245" s="49" t="s">
        <v>122</v>
      </c>
      <c r="C245" s="133" t="str">
        <f>ESE!Z246</f>
        <v>0</v>
      </c>
      <c r="D245" s="133" t="str">
        <f>ESE!AA246</f>
        <v>0</v>
      </c>
      <c r="E245" s="133" t="str">
        <f>ESE!AB246</f>
        <v>0</v>
      </c>
      <c r="F245" s="133" t="str">
        <f>ESE!AC246</f>
        <v>0</v>
      </c>
      <c r="G245" s="133" t="str">
        <f>ESE!AD246</f>
        <v>0</v>
      </c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</row>
    <row r="246" ht="16.5" customHeight="1">
      <c r="A246" s="179" t="s">
        <v>386</v>
      </c>
      <c r="B246" s="49" t="s">
        <v>122</v>
      </c>
      <c r="C246" s="133" t="str">
        <f>ESE!Z247</f>
        <v>0</v>
      </c>
      <c r="D246" s="133" t="str">
        <f>ESE!AA247</f>
        <v>0</v>
      </c>
      <c r="E246" s="133" t="str">
        <f>ESE!AB247</f>
        <v>0</v>
      </c>
      <c r="F246" s="133" t="str">
        <f>ESE!AC247</f>
        <v>0</v>
      </c>
      <c r="G246" s="133" t="str">
        <f>ESE!AD247</f>
        <v>0</v>
      </c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</row>
    <row r="247" ht="16.5" customHeight="1">
      <c r="A247" s="179" t="s">
        <v>387</v>
      </c>
      <c r="B247" s="49" t="s">
        <v>122</v>
      </c>
      <c r="C247" s="133" t="str">
        <f>ESE!Z248</f>
        <v>0</v>
      </c>
      <c r="D247" s="133" t="str">
        <f>ESE!AA248</f>
        <v>0</v>
      </c>
      <c r="E247" s="133" t="str">
        <f>ESE!AB248</f>
        <v>0</v>
      </c>
      <c r="F247" s="133" t="str">
        <f>ESE!AC248</f>
        <v>0</v>
      </c>
      <c r="G247" s="133" t="str">
        <f>ESE!AD248</f>
        <v>0</v>
      </c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</row>
    <row r="248" ht="16.5" customHeight="1">
      <c r="A248" s="179" t="s">
        <v>388</v>
      </c>
      <c r="B248" s="49" t="s">
        <v>122</v>
      </c>
      <c r="C248" s="133" t="str">
        <f>ESE!Z249</f>
        <v>0</v>
      </c>
      <c r="D248" s="133" t="str">
        <f>ESE!AA249</f>
        <v>0</v>
      </c>
      <c r="E248" s="133" t="str">
        <f>ESE!AB249</f>
        <v>0</v>
      </c>
      <c r="F248" s="133" t="str">
        <f>ESE!AC249</f>
        <v>0</v>
      </c>
      <c r="G248" s="133" t="str">
        <f>ESE!AD249</f>
        <v>0</v>
      </c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</row>
    <row r="249" ht="16.5" customHeight="1">
      <c r="A249" s="179" t="s">
        <v>389</v>
      </c>
      <c r="B249" s="49" t="s">
        <v>122</v>
      </c>
      <c r="C249" s="133" t="str">
        <f>ESE!Z250</f>
        <v>0</v>
      </c>
      <c r="D249" s="133" t="str">
        <f>ESE!AA250</f>
        <v>0</v>
      </c>
      <c r="E249" s="133" t="str">
        <f>ESE!AB250</f>
        <v>0</v>
      </c>
      <c r="F249" s="133" t="str">
        <f>ESE!AC250</f>
        <v>0</v>
      </c>
      <c r="G249" s="133" t="str">
        <f>ESE!AD250</f>
        <v>0</v>
      </c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</row>
    <row r="250" ht="16.5" customHeight="1">
      <c r="A250" s="179" t="s">
        <v>390</v>
      </c>
      <c r="B250" s="49" t="s">
        <v>122</v>
      </c>
      <c r="C250" s="133" t="str">
        <f>ESE!Z251</f>
        <v>0</v>
      </c>
      <c r="D250" s="133" t="str">
        <f>ESE!AA251</f>
        <v>0</v>
      </c>
      <c r="E250" s="133" t="str">
        <f>ESE!AB251</f>
        <v>0</v>
      </c>
      <c r="F250" s="133" t="str">
        <f>ESE!AC251</f>
        <v>0</v>
      </c>
      <c r="G250" s="133" t="str">
        <f>ESE!AD251</f>
        <v>0</v>
      </c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</row>
    <row r="251" ht="16.5" customHeight="1">
      <c r="A251" s="179" t="s">
        <v>391</v>
      </c>
      <c r="B251" s="49" t="s">
        <v>122</v>
      </c>
      <c r="C251" s="133" t="str">
        <f>ESE!Z252</f>
        <v>0</v>
      </c>
      <c r="D251" s="133" t="str">
        <f>ESE!AA252</f>
        <v>0</v>
      </c>
      <c r="E251" s="133" t="str">
        <f>ESE!AB252</f>
        <v>0</v>
      </c>
      <c r="F251" s="133" t="str">
        <f>ESE!AC252</f>
        <v>0</v>
      </c>
      <c r="G251" s="133" t="str">
        <f>ESE!AD252</f>
        <v>0</v>
      </c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</row>
    <row r="252" ht="16.5" customHeight="1">
      <c r="A252" s="179" t="s">
        <v>392</v>
      </c>
      <c r="B252" s="49" t="s">
        <v>122</v>
      </c>
      <c r="C252" s="133" t="str">
        <f>ESE!Z253</f>
        <v>0</v>
      </c>
      <c r="D252" s="133" t="str">
        <f>ESE!AA253</f>
        <v>0</v>
      </c>
      <c r="E252" s="133" t="str">
        <f>ESE!AB253</f>
        <v>0</v>
      </c>
      <c r="F252" s="133" t="str">
        <f>ESE!AC253</f>
        <v>0</v>
      </c>
      <c r="G252" s="133" t="str">
        <f>ESE!AD253</f>
        <v>0</v>
      </c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</row>
    <row r="253" ht="16.5" customHeight="1">
      <c r="A253" s="179" t="s">
        <v>393</v>
      </c>
      <c r="B253" s="49" t="s">
        <v>122</v>
      </c>
      <c r="C253" s="133" t="str">
        <f>ESE!Z254</f>
        <v>0</v>
      </c>
      <c r="D253" s="133" t="str">
        <f>ESE!AA254</f>
        <v>0</v>
      </c>
      <c r="E253" s="133" t="str">
        <f>ESE!AB254</f>
        <v>0</v>
      </c>
      <c r="F253" s="133" t="str">
        <f>ESE!AC254</f>
        <v>0</v>
      </c>
      <c r="G253" s="133" t="str">
        <f>ESE!AD254</f>
        <v>0</v>
      </c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</row>
    <row r="254" ht="16.5" customHeight="1">
      <c r="A254" s="179" t="s">
        <v>394</v>
      </c>
      <c r="B254" s="49" t="s">
        <v>122</v>
      </c>
      <c r="C254" s="133" t="str">
        <f>ESE!Z255</f>
        <v>0</v>
      </c>
      <c r="D254" s="133" t="str">
        <f>ESE!AA255</f>
        <v>0</v>
      </c>
      <c r="E254" s="133" t="str">
        <f>ESE!AB255</f>
        <v>0</v>
      </c>
      <c r="F254" s="133" t="str">
        <f>ESE!AC255</f>
        <v>0</v>
      </c>
      <c r="G254" s="133" t="str">
        <f>ESE!AD255</f>
        <v>0</v>
      </c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</row>
    <row r="255" ht="16.5" customHeight="1">
      <c r="A255" s="179" t="s">
        <v>395</v>
      </c>
      <c r="B255" s="49" t="s">
        <v>122</v>
      </c>
      <c r="C255" s="133" t="str">
        <f>ESE!Z256</f>
        <v>0</v>
      </c>
      <c r="D255" s="133" t="str">
        <f>ESE!AA256</f>
        <v>0</v>
      </c>
      <c r="E255" s="133" t="str">
        <f>ESE!AB256</f>
        <v>0</v>
      </c>
      <c r="F255" s="133" t="str">
        <f>ESE!AC256</f>
        <v>0</v>
      </c>
      <c r="G255" s="133" t="str">
        <f>ESE!AD256</f>
        <v>0</v>
      </c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</row>
    <row r="256" ht="16.5" customHeight="1">
      <c r="A256" s="179" t="s">
        <v>396</v>
      </c>
      <c r="B256" s="49" t="s">
        <v>122</v>
      </c>
      <c r="C256" s="133" t="str">
        <f>ESE!Z257</f>
        <v>0</v>
      </c>
      <c r="D256" s="133" t="str">
        <f>ESE!AA257</f>
        <v>0</v>
      </c>
      <c r="E256" s="133" t="str">
        <f>ESE!AB257</f>
        <v>0</v>
      </c>
      <c r="F256" s="133" t="str">
        <f>ESE!AC257</f>
        <v>0</v>
      </c>
      <c r="G256" s="133" t="str">
        <f>ESE!AD257</f>
        <v>0</v>
      </c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</row>
    <row r="257" ht="16.5" customHeight="1">
      <c r="A257" s="179" t="s">
        <v>397</v>
      </c>
      <c r="B257" s="49" t="s">
        <v>122</v>
      </c>
      <c r="C257" s="133" t="str">
        <f>ESE!Z258</f>
        <v>0</v>
      </c>
      <c r="D257" s="133" t="str">
        <f>ESE!AA258</f>
        <v>0</v>
      </c>
      <c r="E257" s="133" t="str">
        <f>ESE!AB258</f>
        <v>0</v>
      </c>
      <c r="F257" s="133" t="str">
        <f>ESE!AC258</f>
        <v>0</v>
      </c>
      <c r="G257" s="133" t="str">
        <f>ESE!AD258</f>
        <v>0</v>
      </c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</row>
    <row r="258" ht="16.5" customHeight="1">
      <c r="A258" s="179" t="s">
        <v>398</v>
      </c>
      <c r="B258" s="49" t="s">
        <v>122</v>
      </c>
      <c r="C258" s="133" t="str">
        <f>ESE!Z259</f>
        <v>0</v>
      </c>
      <c r="D258" s="133" t="str">
        <f>ESE!AA259</f>
        <v>0</v>
      </c>
      <c r="E258" s="133" t="str">
        <f>ESE!AB259</f>
        <v>0</v>
      </c>
      <c r="F258" s="133" t="str">
        <f>ESE!AC259</f>
        <v>0</v>
      </c>
      <c r="G258" s="133" t="str">
        <f>ESE!AD259</f>
        <v>0</v>
      </c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</row>
    <row r="259" ht="16.5" customHeight="1">
      <c r="A259" s="179" t="s">
        <v>399</v>
      </c>
      <c r="B259" s="49" t="s">
        <v>122</v>
      </c>
      <c r="C259" s="133" t="str">
        <f>ESE!Z260</f>
        <v>0</v>
      </c>
      <c r="D259" s="133" t="str">
        <f>ESE!AA260</f>
        <v>0</v>
      </c>
      <c r="E259" s="133" t="str">
        <f>ESE!AB260</f>
        <v>0</v>
      </c>
      <c r="F259" s="133" t="str">
        <f>ESE!AC260</f>
        <v>0</v>
      </c>
      <c r="G259" s="133" t="str">
        <f>ESE!AD260</f>
        <v>0</v>
      </c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</row>
    <row r="260" ht="16.5" customHeight="1">
      <c r="A260" s="179" t="s">
        <v>400</v>
      </c>
      <c r="B260" s="49" t="s">
        <v>122</v>
      </c>
      <c r="C260" s="133" t="str">
        <f>ESE!Z261</f>
        <v>0</v>
      </c>
      <c r="D260" s="133" t="str">
        <f>ESE!AA261</f>
        <v>0</v>
      </c>
      <c r="E260" s="133" t="str">
        <f>ESE!AB261</f>
        <v>0</v>
      </c>
      <c r="F260" s="133" t="str">
        <f>ESE!AC261</f>
        <v>0</v>
      </c>
      <c r="G260" s="133" t="str">
        <f>ESE!AD261</f>
        <v>0</v>
      </c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</row>
    <row r="261" ht="16.5" customHeight="1">
      <c r="A261" s="179" t="s">
        <v>401</v>
      </c>
      <c r="B261" s="49" t="s">
        <v>122</v>
      </c>
      <c r="C261" s="133" t="str">
        <f>ESE!Z262</f>
        <v>0</v>
      </c>
      <c r="D261" s="133" t="str">
        <f>ESE!AA262</f>
        <v>0</v>
      </c>
      <c r="E261" s="133" t="str">
        <f>ESE!AB262</f>
        <v>0</v>
      </c>
      <c r="F261" s="133" t="str">
        <f>ESE!AC262</f>
        <v>0</v>
      </c>
      <c r="G261" s="133" t="str">
        <f>ESE!AD262</f>
        <v>0</v>
      </c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</row>
    <row r="262" ht="16.5" customHeight="1">
      <c r="A262" s="179" t="s">
        <v>402</v>
      </c>
      <c r="B262" s="49" t="s">
        <v>122</v>
      </c>
      <c r="C262" s="133" t="str">
        <f>ESE!Z263</f>
        <v>0</v>
      </c>
      <c r="D262" s="133" t="str">
        <f>ESE!AA263</f>
        <v>0</v>
      </c>
      <c r="E262" s="133" t="str">
        <f>ESE!AB263</f>
        <v>0</v>
      </c>
      <c r="F262" s="133" t="str">
        <f>ESE!AC263</f>
        <v>0</v>
      </c>
      <c r="G262" s="133" t="str">
        <f>ESE!AD263</f>
        <v>0</v>
      </c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</row>
    <row r="263" ht="16.5" customHeight="1">
      <c r="A263" s="179" t="s">
        <v>403</v>
      </c>
      <c r="B263" s="49" t="s">
        <v>122</v>
      </c>
      <c r="C263" s="133" t="str">
        <f>ESE!Z264</f>
        <v>0</v>
      </c>
      <c r="D263" s="133" t="str">
        <f>ESE!AA264</f>
        <v>0</v>
      </c>
      <c r="E263" s="133" t="str">
        <f>ESE!AB264</f>
        <v>0</v>
      </c>
      <c r="F263" s="133" t="str">
        <f>ESE!AC264</f>
        <v>0</v>
      </c>
      <c r="G263" s="133" t="str">
        <f>ESE!AD264</f>
        <v>0</v>
      </c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</row>
    <row r="264" ht="16.5" customHeight="1">
      <c r="A264" s="179" t="s">
        <v>404</v>
      </c>
      <c r="B264" s="49" t="s">
        <v>122</v>
      </c>
      <c r="C264" s="133" t="str">
        <f>ESE!Z265</f>
        <v>0</v>
      </c>
      <c r="D264" s="133" t="str">
        <f>ESE!AA265</f>
        <v>0</v>
      </c>
      <c r="E264" s="133" t="str">
        <f>ESE!AB265</f>
        <v>0</v>
      </c>
      <c r="F264" s="133" t="str">
        <f>ESE!AC265</f>
        <v>0</v>
      </c>
      <c r="G264" s="133" t="str">
        <f>ESE!AD265</f>
        <v>0</v>
      </c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</row>
    <row r="265" ht="16.5" customHeight="1">
      <c r="A265" s="179" t="s">
        <v>405</v>
      </c>
      <c r="B265" s="49" t="s">
        <v>122</v>
      </c>
      <c r="C265" s="133" t="str">
        <f>ESE!Z266</f>
        <v>0</v>
      </c>
      <c r="D265" s="133" t="str">
        <f>ESE!AA266</f>
        <v>0</v>
      </c>
      <c r="E265" s="133" t="str">
        <f>ESE!AB266</f>
        <v>0</v>
      </c>
      <c r="F265" s="133" t="str">
        <f>ESE!AC266</f>
        <v>0</v>
      </c>
      <c r="G265" s="133" t="str">
        <f>ESE!AD266</f>
        <v>0</v>
      </c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</row>
    <row r="266" ht="16.5" customHeight="1">
      <c r="A266" s="179" t="s">
        <v>406</v>
      </c>
      <c r="B266" s="49" t="s">
        <v>122</v>
      </c>
      <c r="C266" s="133" t="str">
        <f>ESE!Z267</f>
        <v>0</v>
      </c>
      <c r="D266" s="133" t="str">
        <f>ESE!AA267</f>
        <v>0</v>
      </c>
      <c r="E266" s="133" t="str">
        <f>ESE!AB267</f>
        <v>0</v>
      </c>
      <c r="F266" s="133" t="str">
        <f>ESE!AC267</f>
        <v>0</v>
      </c>
      <c r="G266" s="133" t="str">
        <f>ESE!AD267</f>
        <v>0</v>
      </c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</row>
    <row r="267" ht="16.5" customHeight="1">
      <c r="A267" s="179" t="s">
        <v>407</v>
      </c>
      <c r="B267" s="49" t="s">
        <v>122</v>
      </c>
      <c r="C267" s="133" t="str">
        <f>ESE!Z268</f>
        <v>0</v>
      </c>
      <c r="D267" s="133" t="str">
        <f>ESE!AA268</f>
        <v>0</v>
      </c>
      <c r="E267" s="133" t="str">
        <f>ESE!AB268</f>
        <v>0</v>
      </c>
      <c r="F267" s="133" t="str">
        <f>ESE!AC268</f>
        <v>0</v>
      </c>
      <c r="G267" s="133" t="str">
        <f>ESE!AD268</f>
        <v>0</v>
      </c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</row>
    <row r="268" ht="16.5" customHeight="1">
      <c r="A268" s="179" t="s">
        <v>408</v>
      </c>
      <c r="B268" s="49" t="s">
        <v>122</v>
      </c>
      <c r="C268" s="133" t="str">
        <f>ESE!Z269</f>
        <v>0</v>
      </c>
      <c r="D268" s="133" t="str">
        <f>ESE!AA269</f>
        <v>0</v>
      </c>
      <c r="E268" s="133" t="str">
        <f>ESE!AB269</f>
        <v>0</v>
      </c>
      <c r="F268" s="133" t="str">
        <f>ESE!AC269</f>
        <v>0</v>
      </c>
      <c r="G268" s="133" t="str">
        <f>ESE!AD269</f>
        <v>0</v>
      </c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</row>
    <row r="269" ht="16.5" customHeight="1">
      <c r="A269" s="179" t="s">
        <v>409</v>
      </c>
      <c r="B269" s="49" t="s">
        <v>122</v>
      </c>
      <c r="C269" s="133" t="str">
        <f>ESE!Z270</f>
        <v>0</v>
      </c>
      <c r="D269" s="133" t="str">
        <f>ESE!AA270</f>
        <v>0</v>
      </c>
      <c r="E269" s="133" t="str">
        <f>ESE!AB270</f>
        <v>0</v>
      </c>
      <c r="F269" s="133" t="str">
        <f>ESE!AC270</f>
        <v>0</v>
      </c>
      <c r="G269" s="133" t="str">
        <f>ESE!AD270</f>
        <v>0</v>
      </c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</row>
    <row r="270" ht="16.5" customHeight="1">
      <c r="A270" s="179" t="s">
        <v>410</v>
      </c>
      <c r="B270" s="49" t="s">
        <v>122</v>
      </c>
      <c r="C270" s="133" t="str">
        <f>ESE!Z271</f>
        <v>0</v>
      </c>
      <c r="D270" s="133" t="str">
        <f>ESE!AA271</f>
        <v>0</v>
      </c>
      <c r="E270" s="133" t="str">
        <f>ESE!AB271</f>
        <v>0</v>
      </c>
      <c r="F270" s="133" t="str">
        <f>ESE!AC271</f>
        <v>0</v>
      </c>
      <c r="G270" s="133" t="str">
        <f>ESE!AD271</f>
        <v>0</v>
      </c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</row>
    <row r="271" ht="16.5" customHeight="1">
      <c r="A271" s="179" t="s">
        <v>411</v>
      </c>
      <c r="B271" s="49" t="s">
        <v>122</v>
      </c>
      <c r="C271" s="133" t="str">
        <f>ESE!Z272</f>
        <v>0</v>
      </c>
      <c r="D271" s="133" t="str">
        <f>ESE!AA272</f>
        <v>0</v>
      </c>
      <c r="E271" s="133" t="str">
        <f>ESE!AB272</f>
        <v>0</v>
      </c>
      <c r="F271" s="133" t="str">
        <f>ESE!AC272</f>
        <v>0</v>
      </c>
      <c r="G271" s="133" t="str">
        <f>ESE!AD272</f>
        <v>0</v>
      </c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</row>
    <row r="272" ht="16.5" customHeight="1">
      <c r="A272" s="179" t="s">
        <v>412</v>
      </c>
      <c r="B272" s="49" t="s">
        <v>122</v>
      </c>
      <c r="C272" s="133" t="str">
        <f>ESE!Z273</f>
        <v>0</v>
      </c>
      <c r="D272" s="133" t="str">
        <f>ESE!AA273</f>
        <v>0</v>
      </c>
      <c r="E272" s="133" t="str">
        <f>ESE!AB273</f>
        <v>0</v>
      </c>
      <c r="F272" s="133" t="str">
        <f>ESE!AC273</f>
        <v>0</v>
      </c>
      <c r="G272" s="133" t="str">
        <f>ESE!AD273</f>
        <v>0</v>
      </c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</row>
    <row r="273" ht="16.5" customHeight="1">
      <c r="A273" s="179" t="s">
        <v>413</v>
      </c>
      <c r="B273" s="49" t="s">
        <v>122</v>
      </c>
      <c r="C273" s="133" t="str">
        <f>ESE!Z274</f>
        <v>0</v>
      </c>
      <c r="D273" s="133" t="str">
        <f>ESE!AA274</f>
        <v>0</v>
      </c>
      <c r="E273" s="133" t="str">
        <f>ESE!AB274</f>
        <v>0</v>
      </c>
      <c r="F273" s="133" t="str">
        <f>ESE!AC274</f>
        <v>0</v>
      </c>
      <c r="G273" s="133" t="str">
        <f>ESE!AD274</f>
        <v>0</v>
      </c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</row>
    <row r="274" ht="16.5" customHeight="1">
      <c r="A274" s="179" t="s">
        <v>414</v>
      </c>
      <c r="B274" s="49" t="s">
        <v>122</v>
      </c>
      <c r="C274" s="133" t="str">
        <f>ESE!Z275</f>
        <v>0</v>
      </c>
      <c r="D274" s="133" t="str">
        <f>ESE!AA275</f>
        <v>0</v>
      </c>
      <c r="E274" s="133" t="str">
        <f>ESE!AB275</f>
        <v>0</v>
      </c>
      <c r="F274" s="133" t="str">
        <f>ESE!AC275</f>
        <v>0</v>
      </c>
      <c r="G274" s="133" t="str">
        <f>ESE!AD275</f>
        <v>0</v>
      </c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</row>
    <row r="275" ht="16.5" customHeight="1">
      <c r="A275" s="179" t="s">
        <v>415</v>
      </c>
      <c r="B275" s="49" t="s">
        <v>122</v>
      </c>
      <c r="C275" s="133" t="str">
        <f>ESE!Z276</f>
        <v>0</v>
      </c>
      <c r="D275" s="133" t="str">
        <f>ESE!AA276</f>
        <v>0</v>
      </c>
      <c r="E275" s="133" t="str">
        <f>ESE!AB276</f>
        <v>0</v>
      </c>
      <c r="F275" s="133" t="str">
        <f>ESE!AC276</f>
        <v>0</v>
      </c>
      <c r="G275" s="133" t="str">
        <f>ESE!AD276</f>
        <v>0</v>
      </c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</row>
    <row r="276" ht="16.5" customHeight="1">
      <c r="A276" s="179" t="s">
        <v>416</v>
      </c>
      <c r="B276" s="49" t="s">
        <v>122</v>
      </c>
      <c r="C276" s="133" t="str">
        <f>ESE!Z277</f>
        <v>0</v>
      </c>
      <c r="D276" s="133" t="str">
        <f>ESE!AA277</f>
        <v>0</v>
      </c>
      <c r="E276" s="133" t="str">
        <f>ESE!AB277</f>
        <v>0</v>
      </c>
      <c r="F276" s="133" t="str">
        <f>ESE!AC277</f>
        <v>0</v>
      </c>
      <c r="G276" s="133" t="str">
        <f>ESE!AD277</f>
        <v>0</v>
      </c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</row>
    <row r="277" ht="16.5" customHeight="1">
      <c r="A277" s="179" t="s">
        <v>417</v>
      </c>
      <c r="B277" s="49" t="s">
        <v>122</v>
      </c>
      <c r="C277" s="133" t="str">
        <f>ESE!Z278</f>
        <v>0</v>
      </c>
      <c r="D277" s="133" t="str">
        <f>ESE!AA278</f>
        <v>0</v>
      </c>
      <c r="E277" s="133" t="str">
        <f>ESE!AB278</f>
        <v>0</v>
      </c>
      <c r="F277" s="133" t="str">
        <f>ESE!AC278</f>
        <v>0</v>
      </c>
      <c r="G277" s="133" t="str">
        <f>ESE!AD278</f>
        <v>0</v>
      </c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</row>
    <row r="278" ht="16.5" customHeight="1">
      <c r="A278" s="179" t="s">
        <v>418</v>
      </c>
      <c r="B278" s="49" t="s">
        <v>122</v>
      </c>
      <c r="C278" s="133" t="str">
        <f>ESE!Z279</f>
        <v>0</v>
      </c>
      <c r="D278" s="133" t="str">
        <f>ESE!AA279</f>
        <v>0</v>
      </c>
      <c r="E278" s="133" t="str">
        <f>ESE!AB279</f>
        <v>0</v>
      </c>
      <c r="F278" s="133" t="str">
        <f>ESE!AC279</f>
        <v>0</v>
      </c>
      <c r="G278" s="133" t="str">
        <f>ESE!AD279</f>
        <v>0</v>
      </c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</row>
    <row r="279" ht="16.5" customHeight="1">
      <c r="A279" s="179" t="s">
        <v>419</v>
      </c>
      <c r="B279" s="49" t="s">
        <v>122</v>
      </c>
      <c r="C279" s="133" t="str">
        <f>ESE!Z280</f>
        <v>0</v>
      </c>
      <c r="D279" s="133" t="str">
        <f>ESE!AA280</f>
        <v>0</v>
      </c>
      <c r="E279" s="133" t="str">
        <f>ESE!AB280</f>
        <v>0</v>
      </c>
      <c r="F279" s="133" t="str">
        <f>ESE!AC280</f>
        <v>0</v>
      </c>
      <c r="G279" s="133" t="str">
        <f>ESE!AD280</f>
        <v>0</v>
      </c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</row>
    <row r="280" ht="16.5" customHeight="1">
      <c r="A280" s="179" t="s">
        <v>420</v>
      </c>
      <c r="B280" s="49" t="s">
        <v>122</v>
      </c>
      <c r="C280" s="133" t="str">
        <f>ESE!Z281</f>
        <v>0</v>
      </c>
      <c r="D280" s="133" t="str">
        <f>ESE!AA281</f>
        <v>0</v>
      </c>
      <c r="E280" s="133" t="str">
        <f>ESE!AB281</f>
        <v>0</v>
      </c>
      <c r="F280" s="133" t="str">
        <f>ESE!AC281</f>
        <v>0</v>
      </c>
      <c r="G280" s="133" t="str">
        <f>ESE!AD281</f>
        <v>0</v>
      </c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</row>
    <row r="281" ht="16.5" customHeight="1">
      <c r="A281" s="179" t="s">
        <v>421</v>
      </c>
      <c r="B281" s="49" t="s">
        <v>122</v>
      </c>
      <c r="C281" s="133" t="str">
        <f>ESE!Z282</f>
        <v>0</v>
      </c>
      <c r="D281" s="133" t="str">
        <f>ESE!AA282</f>
        <v>0</v>
      </c>
      <c r="E281" s="133" t="str">
        <f>ESE!AB282</f>
        <v>0</v>
      </c>
      <c r="F281" s="133" t="str">
        <f>ESE!AC282</f>
        <v>0</v>
      </c>
      <c r="G281" s="133" t="str">
        <f>ESE!AD282</f>
        <v>0</v>
      </c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</row>
    <row r="282" ht="16.5" customHeight="1">
      <c r="A282" s="179" t="s">
        <v>422</v>
      </c>
      <c r="B282" s="49" t="s">
        <v>122</v>
      </c>
      <c r="C282" s="133" t="str">
        <f>ESE!Z283</f>
        <v>0</v>
      </c>
      <c r="D282" s="133" t="str">
        <f>ESE!AA283</f>
        <v>0</v>
      </c>
      <c r="E282" s="133" t="str">
        <f>ESE!AB283</f>
        <v>0</v>
      </c>
      <c r="F282" s="133" t="str">
        <f>ESE!AC283</f>
        <v>0</v>
      </c>
      <c r="G282" s="133" t="str">
        <f>ESE!AD283</f>
        <v>0</v>
      </c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</row>
    <row r="283" ht="16.5" customHeight="1">
      <c r="A283" s="179" t="s">
        <v>423</v>
      </c>
      <c r="B283" s="49" t="s">
        <v>122</v>
      </c>
      <c r="C283" s="133" t="str">
        <f>ESE!Z284</f>
        <v>0</v>
      </c>
      <c r="D283" s="133" t="str">
        <f>ESE!AA284</f>
        <v>0</v>
      </c>
      <c r="E283" s="133" t="str">
        <f>ESE!AB284</f>
        <v>0</v>
      </c>
      <c r="F283" s="133" t="str">
        <f>ESE!AC284</f>
        <v>0</v>
      </c>
      <c r="G283" s="133" t="str">
        <f>ESE!AD284</f>
        <v>0</v>
      </c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</row>
    <row r="284" ht="16.5" customHeight="1">
      <c r="A284" s="179" t="s">
        <v>424</v>
      </c>
      <c r="B284" s="49" t="s">
        <v>122</v>
      </c>
      <c r="C284" s="133" t="str">
        <f>ESE!Z285</f>
        <v>0</v>
      </c>
      <c r="D284" s="133" t="str">
        <f>ESE!AA285</f>
        <v>0</v>
      </c>
      <c r="E284" s="133" t="str">
        <f>ESE!AB285</f>
        <v>0</v>
      </c>
      <c r="F284" s="133" t="str">
        <f>ESE!AC285</f>
        <v>0</v>
      </c>
      <c r="G284" s="133" t="str">
        <f>ESE!AD285</f>
        <v>0</v>
      </c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</row>
    <row r="285" ht="16.5" customHeight="1">
      <c r="A285" s="179" t="s">
        <v>425</v>
      </c>
      <c r="B285" s="49" t="s">
        <v>122</v>
      </c>
      <c r="C285" s="133" t="str">
        <f>ESE!Z286</f>
        <v>0</v>
      </c>
      <c r="D285" s="133" t="str">
        <f>ESE!AA286</f>
        <v>0</v>
      </c>
      <c r="E285" s="133" t="str">
        <f>ESE!AB286</f>
        <v>0</v>
      </c>
      <c r="F285" s="133" t="str">
        <f>ESE!AC286</f>
        <v>0</v>
      </c>
      <c r="G285" s="133" t="str">
        <f>ESE!AD286</f>
        <v>0</v>
      </c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</row>
    <row r="286" ht="16.5" customHeight="1">
      <c r="A286" s="179" t="s">
        <v>426</v>
      </c>
      <c r="B286" s="49" t="s">
        <v>122</v>
      </c>
      <c r="C286" s="133" t="str">
        <f>ESE!Z287</f>
        <v>0</v>
      </c>
      <c r="D286" s="133" t="str">
        <f>ESE!AA287</f>
        <v>0</v>
      </c>
      <c r="E286" s="133" t="str">
        <f>ESE!AB287</f>
        <v>0</v>
      </c>
      <c r="F286" s="133" t="str">
        <f>ESE!AC287</f>
        <v>0</v>
      </c>
      <c r="G286" s="133" t="str">
        <f>ESE!AD287</f>
        <v>0</v>
      </c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</row>
    <row r="287" ht="16.5" customHeight="1">
      <c r="A287" s="179" t="s">
        <v>427</v>
      </c>
      <c r="B287" s="49" t="s">
        <v>122</v>
      </c>
      <c r="C287" s="133" t="str">
        <f>ESE!Z288</f>
        <v>0</v>
      </c>
      <c r="D287" s="133" t="str">
        <f>ESE!AA288</f>
        <v>0</v>
      </c>
      <c r="E287" s="133" t="str">
        <f>ESE!AB288</f>
        <v>0</v>
      </c>
      <c r="F287" s="133" t="str">
        <f>ESE!AC288</f>
        <v>0</v>
      </c>
      <c r="G287" s="133" t="str">
        <f>ESE!AD288</f>
        <v>0</v>
      </c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</row>
    <row r="288" ht="16.5" customHeight="1">
      <c r="A288" s="179" t="s">
        <v>428</v>
      </c>
      <c r="B288" s="49" t="s">
        <v>122</v>
      </c>
      <c r="C288" s="133" t="str">
        <f>ESE!Z289</f>
        <v>0</v>
      </c>
      <c r="D288" s="133" t="str">
        <f>ESE!AA289</f>
        <v>0</v>
      </c>
      <c r="E288" s="133" t="str">
        <f>ESE!AB289</f>
        <v>0</v>
      </c>
      <c r="F288" s="133" t="str">
        <f>ESE!AC289</f>
        <v>0</v>
      </c>
      <c r="G288" s="133" t="str">
        <f>ESE!AD289</f>
        <v>0</v>
      </c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</row>
    <row r="289" ht="16.5" customHeight="1">
      <c r="A289" s="179" t="s">
        <v>429</v>
      </c>
      <c r="B289" s="49" t="s">
        <v>122</v>
      </c>
      <c r="C289" s="133" t="str">
        <f>ESE!Z290</f>
        <v>0</v>
      </c>
      <c r="D289" s="133" t="str">
        <f>ESE!AA290</f>
        <v>0</v>
      </c>
      <c r="E289" s="133" t="str">
        <f>ESE!AB290</f>
        <v>0</v>
      </c>
      <c r="F289" s="133" t="str">
        <f>ESE!AC290</f>
        <v>0</v>
      </c>
      <c r="G289" s="133" t="str">
        <f>ESE!AD290</f>
        <v>0</v>
      </c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</row>
    <row r="290" ht="16.5" customHeight="1">
      <c r="A290" s="179" t="s">
        <v>430</v>
      </c>
      <c r="B290" s="49" t="s">
        <v>122</v>
      </c>
      <c r="C290" s="133" t="str">
        <f>ESE!Z291</f>
        <v>0</v>
      </c>
      <c r="D290" s="133" t="str">
        <f>ESE!AA291</f>
        <v>0</v>
      </c>
      <c r="E290" s="133" t="str">
        <f>ESE!AB291</f>
        <v>0</v>
      </c>
      <c r="F290" s="133" t="str">
        <f>ESE!AC291</f>
        <v>0</v>
      </c>
      <c r="G290" s="133" t="str">
        <f>ESE!AD291</f>
        <v>0</v>
      </c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</row>
    <row r="291" ht="16.5" customHeight="1">
      <c r="A291" s="179" t="s">
        <v>431</v>
      </c>
      <c r="B291" s="49" t="s">
        <v>122</v>
      </c>
      <c r="C291" s="133" t="str">
        <f>ESE!Z292</f>
        <v>0</v>
      </c>
      <c r="D291" s="133" t="str">
        <f>ESE!AA292</f>
        <v>0</v>
      </c>
      <c r="E291" s="133" t="str">
        <f>ESE!AB292</f>
        <v>0</v>
      </c>
      <c r="F291" s="133" t="str">
        <f>ESE!AC292</f>
        <v>0</v>
      </c>
      <c r="G291" s="133" t="str">
        <f>ESE!AD292</f>
        <v>0</v>
      </c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</row>
    <row r="292" ht="16.5" customHeight="1">
      <c r="A292" s="179" t="s">
        <v>432</v>
      </c>
      <c r="B292" s="49" t="s">
        <v>122</v>
      </c>
      <c r="C292" s="133" t="str">
        <f>ESE!Z293</f>
        <v>0</v>
      </c>
      <c r="D292" s="133" t="str">
        <f>ESE!AA293</f>
        <v>0</v>
      </c>
      <c r="E292" s="133" t="str">
        <f>ESE!AB293</f>
        <v>0</v>
      </c>
      <c r="F292" s="133" t="str">
        <f>ESE!AC293</f>
        <v>0</v>
      </c>
      <c r="G292" s="133" t="str">
        <f>ESE!AD293</f>
        <v>0</v>
      </c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</row>
    <row r="293" ht="16.5" customHeight="1">
      <c r="A293" s="179" t="s">
        <v>433</v>
      </c>
      <c r="B293" s="49" t="s">
        <v>122</v>
      </c>
      <c r="C293" s="133" t="str">
        <f>ESE!Z294</f>
        <v>0</v>
      </c>
      <c r="D293" s="133" t="str">
        <f>ESE!AA294</f>
        <v>0</v>
      </c>
      <c r="E293" s="133" t="str">
        <f>ESE!AB294</f>
        <v>0</v>
      </c>
      <c r="F293" s="133" t="str">
        <f>ESE!AC294</f>
        <v>0</v>
      </c>
      <c r="G293" s="133" t="str">
        <f>ESE!AD294</f>
        <v>0</v>
      </c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</row>
    <row r="294" ht="16.5" customHeight="1">
      <c r="A294" s="179" t="s">
        <v>434</v>
      </c>
      <c r="B294" s="49" t="s">
        <v>122</v>
      </c>
      <c r="C294" s="133" t="str">
        <f>ESE!Z295</f>
        <v>0</v>
      </c>
      <c r="D294" s="133" t="str">
        <f>ESE!AA295</f>
        <v>0</v>
      </c>
      <c r="E294" s="133" t="str">
        <f>ESE!AB295</f>
        <v>0</v>
      </c>
      <c r="F294" s="133" t="str">
        <f>ESE!AC295</f>
        <v>0</v>
      </c>
      <c r="G294" s="133" t="str">
        <f>ESE!AD295</f>
        <v>0</v>
      </c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</row>
    <row r="295" ht="16.5" customHeight="1">
      <c r="A295" s="179" t="s">
        <v>435</v>
      </c>
      <c r="B295" s="49" t="s">
        <v>122</v>
      </c>
      <c r="C295" s="133" t="str">
        <f>ESE!Z296</f>
        <v>0</v>
      </c>
      <c r="D295" s="133" t="str">
        <f>ESE!AA296</f>
        <v>0</v>
      </c>
      <c r="E295" s="133" t="str">
        <f>ESE!AB296</f>
        <v>0</v>
      </c>
      <c r="F295" s="133" t="str">
        <f>ESE!AC296</f>
        <v>0</v>
      </c>
      <c r="G295" s="133" t="str">
        <f>ESE!AD296</f>
        <v>0</v>
      </c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</row>
    <row r="296" ht="16.5" customHeight="1">
      <c r="A296" s="179" t="s">
        <v>436</v>
      </c>
      <c r="B296" s="49" t="s">
        <v>122</v>
      </c>
      <c r="C296" s="133" t="str">
        <f>ESE!Z297</f>
        <v>0</v>
      </c>
      <c r="D296" s="133" t="str">
        <f>ESE!AA297</f>
        <v>0</v>
      </c>
      <c r="E296" s="133" t="str">
        <f>ESE!AB297</f>
        <v>0</v>
      </c>
      <c r="F296" s="133" t="str">
        <f>ESE!AC297</f>
        <v>0</v>
      </c>
      <c r="G296" s="133" t="str">
        <f>ESE!AD297</f>
        <v>0</v>
      </c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</row>
    <row r="297" ht="16.5" customHeight="1">
      <c r="A297" s="179" t="s">
        <v>437</v>
      </c>
      <c r="B297" s="49" t="s">
        <v>122</v>
      </c>
      <c r="C297" s="133" t="str">
        <f>ESE!Z298</f>
        <v>0</v>
      </c>
      <c r="D297" s="133" t="str">
        <f>ESE!AA298</f>
        <v>0</v>
      </c>
      <c r="E297" s="133" t="str">
        <f>ESE!AB298</f>
        <v>0</v>
      </c>
      <c r="F297" s="133" t="str">
        <f>ESE!AC298</f>
        <v>0</v>
      </c>
      <c r="G297" s="133" t="str">
        <f>ESE!AD298</f>
        <v>0</v>
      </c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</row>
    <row r="298" ht="16.5" customHeight="1">
      <c r="A298" s="179" t="s">
        <v>438</v>
      </c>
      <c r="B298" s="49" t="s">
        <v>122</v>
      </c>
      <c r="C298" s="133" t="str">
        <f>ESE!Z299</f>
        <v>0</v>
      </c>
      <c r="D298" s="133" t="str">
        <f>ESE!AA299</f>
        <v>0</v>
      </c>
      <c r="E298" s="133" t="str">
        <f>ESE!AB299</f>
        <v>0</v>
      </c>
      <c r="F298" s="133" t="str">
        <f>ESE!AC299</f>
        <v>0</v>
      </c>
      <c r="G298" s="133" t="str">
        <f>ESE!AD299</f>
        <v>0</v>
      </c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</row>
    <row r="299" ht="16.5" customHeight="1">
      <c r="A299" s="179" t="s">
        <v>439</v>
      </c>
      <c r="B299" s="49" t="s">
        <v>122</v>
      </c>
      <c r="C299" s="133" t="str">
        <f>ESE!Z300</f>
        <v>0</v>
      </c>
      <c r="D299" s="133" t="str">
        <f>ESE!AA300</f>
        <v>0</v>
      </c>
      <c r="E299" s="133" t="str">
        <f>ESE!AB300</f>
        <v>0</v>
      </c>
      <c r="F299" s="133" t="str">
        <f>ESE!AC300</f>
        <v>0</v>
      </c>
      <c r="G299" s="133" t="str">
        <f>ESE!AD300</f>
        <v>0</v>
      </c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</row>
    <row r="300" ht="16.5" customHeight="1">
      <c r="A300" s="179" t="s">
        <v>440</v>
      </c>
      <c r="B300" s="49" t="s">
        <v>122</v>
      </c>
      <c r="C300" s="133" t="str">
        <f>ESE!Z301</f>
        <v>0</v>
      </c>
      <c r="D300" s="133" t="str">
        <f>ESE!AA301</f>
        <v>0</v>
      </c>
      <c r="E300" s="133" t="str">
        <f>ESE!AB301</f>
        <v>0</v>
      </c>
      <c r="F300" s="133" t="str">
        <f>ESE!AC301</f>
        <v>0</v>
      </c>
      <c r="G300" s="133" t="str">
        <f>ESE!AD301</f>
        <v>0</v>
      </c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</row>
    <row r="301" ht="16.5" customHeight="1">
      <c r="A301" s="179" t="s">
        <v>441</v>
      </c>
      <c r="B301" s="49" t="s">
        <v>122</v>
      </c>
      <c r="C301" s="133" t="str">
        <f>ESE!Z302</f>
        <v>0</v>
      </c>
      <c r="D301" s="133" t="str">
        <f>ESE!AA302</f>
        <v>0</v>
      </c>
      <c r="E301" s="133" t="str">
        <f>ESE!AB302</f>
        <v>0</v>
      </c>
      <c r="F301" s="133" t="str">
        <f>ESE!AC302</f>
        <v>0</v>
      </c>
      <c r="G301" s="133" t="str">
        <f>ESE!AD302</f>
        <v>0</v>
      </c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</row>
    <row r="302" ht="16.5" customHeight="1">
      <c r="A302" s="179" t="s">
        <v>442</v>
      </c>
      <c r="B302" s="49" t="s">
        <v>122</v>
      </c>
      <c r="C302" s="133" t="str">
        <f>ESE!Z303</f>
        <v>0</v>
      </c>
      <c r="D302" s="133" t="str">
        <f>ESE!AA303</f>
        <v>0</v>
      </c>
      <c r="E302" s="133" t="str">
        <f>ESE!AB303</f>
        <v>0</v>
      </c>
      <c r="F302" s="133" t="str">
        <f>ESE!AC303</f>
        <v>0</v>
      </c>
      <c r="G302" s="133" t="str">
        <f>ESE!AD303</f>
        <v>0</v>
      </c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</row>
    <row r="303" ht="16.5" customHeight="1">
      <c r="A303" s="179" t="s">
        <v>443</v>
      </c>
      <c r="B303" s="49" t="s">
        <v>122</v>
      </c>
      <c r="C303" s="133" t="str">
        <f>ESE!Z304</f>
        <v>0</v>
      </c>
      <c r="D303" s="133" t="str">
        <f>ESE!AA304</f>
        <v>0</v>
      </c>
      <c r="E303" s="133" t="str">
        <f>ESE!AB304</f>
        <v>0</v>
      </c>
      <c r="F303" s="133" t="str">
        <f>ESE!AC304</f>
        <v>0</v>
      </c>
      <c r="G303" s="133" t="str">
        <f>ESE!AD304</f>
        <v>0</v>
      </c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</row>
    <row r="304" ht="16.5" customHeight="1">
      <c r="A304" s="179" t="s">
        <v>444</v>
      </c>
      <c r="B304" s="49" t="s">
        <v>122</v>
      </c>
      <c r="C304" s="133" t="str">
        <f>ESE!Z305</f>
        <v>0</v>
      </c>
      <c r="D304" s="133" t="str">
        <f>ESE!AA305</f>
        <v>0</v>
      </c>
      <c r="E304" s="133" t="str">
        <f>ESE!AB305</f>
        <v>0</v>
      </c>
      <c r="F304" s="133" t="str">
        <f>ESE!AC305</f>
        <v>0</v>
      </c>
      <c r="G304" s="133" t="str">
        <f>ESE!AD305</f>
        <v>0</v>
      </c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</row>
    <row r="305" ht="16.5" customHeight="1">
      <c r="A305" s="179" t="s">
        <v>445</v>
      </c>
      <c r="B305" s="49" t="s">
        <v>122</v>
      </c>
      <c r="C305" s="133" t="str">
        <f>ESE!Z306</f>
        <v>0</v>
      </c>
      <c r="D305" s="133" t="str">
        <f>ESE!AA306</f>
        <v>0</v>
      </c>
      <c r="E305" s="133" t="str">
        <f>ESE!AB306</f>
        <v>0</v>
      </c>
      <c r="F305" s="133" t="str">
        <f>ESE!AC306</f>
        <v>0</v>
      </c>
      <c r="G305" s="133" t="str">
        <f>ESE!AD306</f>
        <v>0</v>
      </c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</row>
    <row r="306" ht="16.5" customHeight="1">
      <c r="A306" s="179" t="s">
        <v>446</v>
      </c>
      <c r="B306" s="49" t="s">
        <v>122</v>
      </c>
      <c r="C306" s="133" t="str">
        <f>ESE!Z307</f>
        <v>0</v>
      </c>
      <c r="D306" s="133" t="str">
        <f>ESE!AA307</f>
        <v>0</v>
      </c>
      <c r="E306" s="133" t="str">
        <f>ESE!AB307</f>
        <v>0</v>
      </c>
      <c r="F306" s="133" t="str">
        <f>ESE!AC307</f>
        <v>0</v>
      </c>
      <c r="G306" s="133" t="str">
        <f>ESE!AD307</f>
        <v>0</v>
      </c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</row>
    <row r="307" ht="16.5" customHeight="1">
      <c r="A307" s="179" t="s">
        <v>447</v>
      </c>
      <c r="B307" s="49" t="s">
        <v>122</v>
      </c>
      <c r="C307" s="133" t="str">
        <f>ESE!Z308</f>
        <v>0</v>
      </c>
      <c r="D307" s="133" t="str">
        <f>ESE!AA308</f>
        <v>0</v>
      </c>
      <c r="E307" s="133" t="str">
        <f>ESE!AB308</f>
        <v>0</v>
      </c>
      <c r="F307" s="133" t="str">
        <f>ESE!AC308</f>
        <v>0</v>
      </c>
      <c r="G307" s="133" t="str">
        <f>ESE!AD308</f>
        <v>0</v>
      </c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</row>
    <row r="308" ht="16.5" customHeight="1">
      <c r="A308" s="179" t="s">
        <v>448</v>
      </c>
      <c r="B308" s="49" t="s">
        <v>122</v>
      </c>
      <c r="C308" s="133" t="str">
        <f>ESE!Z309</f>
        <v>0</v>
      </c>
      <c r="D308" s="133" t="str">
        <f>ESE!AA309</f>
        <v>0</v>
      </c>
      <c r="E308" s="133" t="str">
        <f>ESE!AB309</f>
        <v>0</v>
      </c>
      <c r="F308" s="133" t="str">
        <f>ESE!AC309</f>
        <v>0</v>
      </c>
      <c r="G308" s="133" t="str">
        <f>ESE!AD309</f>
        <v>0</v>
      </c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</row>
    <row r="309" ht="16.5" customHeight="1">
      <c r="A309" s="179" t="s">
        <v>449</v>
      </c>
      <c r="B309" s="49" t="s">
        <v>122</v>
      </c>
      <c r="C309" s="133" t="str">
        <f>ESE!Z310</f>
        <v>0</v>
      </c>
      <c r="D309" s="133" t="str">
        <f>ESE!AA310</f>
        <v>0</v>
      </c>
      <c r="E309" s="133" t="str">
        <f>ESE!AB310</f>
        <v>0</v>
      </c>
      <c r="F309" s="133" t="str">
        <f>ESE!AC310</f>
        <v>0</v>
      </c>
      <c r="G309" s="133" t="str">
        <f>ESE!AD310</f>
        <v>0</v>
      </c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</row>
    <row r="310" ht="16.5" customHeight="1">
      <c r="A310" s="179" t="s">
        <v>450</v>
      </c>
      <c r="B310" s="49" t="s">
        <v>122</v>
      </c>
      <c r="C310" s="133" t="str">
        <f>ESE!Z311</f>
        <v>0</v>
      </c>
      <c r="D310" s="133" t="str">
        <f>ESE!AA311</f>
        <v>0</v>
      </c>
      <c r="E310" s="133" t="str">
        <f>ESE!AB311</f>
        <v>0</v>
      </c>
      <c r="F310" s="133" t="str">
        <f>ESE!AC311</f>
        <v>0</v>
      </c>
      <c r="G310" s="133" t="str">
        <f>ESE!AD311</f>
        <v>0</v>
      </c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</row>
    <row r="311" ht="16.5" customHeight="1">
      <c r="A311" s="179" t="s">
        <v>451</v>
      </c>
      <c r="B311" s="49" t="s">
        <v>122</v>
      </c>
      <c r="C311" s="133" t="str">
        <f>ESE!Z312</f>
        <v>0</v>
      </c>
      <c r="D311" s="133" t="str">
        <f>ESE!AA312</f>
        <v>0</v>
      </c>
      <c r="E311" s="133" t="str">
        <f>ESE!AB312</f>
        <v>0</v>
      </c>
      <c r="F311" s="133" t="str">
        <f>ESE!AC312</f>
        <v>0</v>
      </c>
      <c r="G311" s="133" t="str">
        <f>ESE!AD312</f>
        <v>0</v>
      </c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</row>
    <row r="312" ht="16.5" customHeight="1">
      <c r="A312" s="179" t="s">
        <v>452</v>
      </c>
      <c r="B312" s="49" t="s">
        <v>122</v>
      </c>
      <c r="C312" s="133" t="str">
        <f>ESE!Z313</f>
        <v>0</v>
      </c>
      <c r="D312" s="133" t="str">
        <f>ESE!AA313</f>
        <v>0</v>
      </c>
      <c r="E312" s="133" t="str">
        <f>ESE!AB313</f>
        <v>0</v>
      </c>
      <c r="F312" s="133" t="str">
        <f>ESE!AC313</f>
        <v>0</v>
      </c>
      <c r="G312" s="133" t="str">
        <f>ESE!AD313</f>
        <v>0</v>
      </c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</row>
    <row r="313" ht="16.5" customHeight="1">
      <c r="A313" s="179" t="s">
        <v>453</v>
      </c>
      <c r="B313" s="49" t="s">
        <v>122</v>
      </c>
      <c r="C313" s="133" t="str">
        <f>ESE!Z314</f>
        <v>0</v>
      </c>
      <c r="D313" s="133" t="str">
        <f>ESE!AA314</f>
        <v>0</v>
      </c>
      <c r="E313" s="133" t="str">
        <f>ESE!AB314</f>
        <v>0</v>
      </c>
      <c r="F313" s="133" t="str">
        <f>ESE!AC314</f>
        <v>0</v>
      </c>
      <c r="G313" s="133" t="str">
        <f>ESE!AD314</f>
        <v>0</v>
      </c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</row>
    <row r="314" ht="16.5" customHeight="1">
      <c r="A314" s="179" t="s">
        <v>454</v>
      </c>
      <c r="B314" s="49" t="s">
        <v>122</v>
      </c>
      <c r="C314" s="133" t="str">
        <f>ESE!Z315</f>
        <v>0</v>
      </c>
      <c r="D314" s="133" t="str">
        <f>ESE!AA315</f>
        <v>0</v>
      </c>
      <c r="E314" s="133" t="str">
        <f>ESE!AB315</f>
        <v>0</v>
      </c>
      <c r="F314" s="133" t="str">
        <f>ESE!AC315</f>
        <v>0</v>
      </c>
      <c r="G314" s="133" t="str">
        <f>ESE!AD315</f>
        <v>0</v>
      </c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</row>
    <row r="315" ht="16.5" customHeight="1">
      <c r="A315" s="179" t="s">
        <v>455</v>
      </c>
      <c r="B315" s="49" t="s">
        <v>122</v>
      </c>
      <c r="C315" s="133" t="str">
        <f>ESE!Z316</f>
        <v>0</v>
      </c>
      <c r="D315" s="133" t="str">
        <f>ESE!AA316</f>
        <v>0</v>
      </c>
      <c r="E315" s="133" t="str">
        <f>ESE!AB316</f>
        <v>0</v>
      </c>
      <c r="F315" s="133" t="str">
        <f>ESE!AC316</f>
        <v>0</v>
      </c>
      <c r="G315" s="133" t="str">
        <f>ESE!AD316</f>
        <v>0</v>
      </c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</row>
    <row r="316" ht="16.5" customHeight="1">
      <c r="A316" s="179" t="s">
        <v>456</v>
      </c>
      <c r="B316" s="49" t="s">
        <v>122</v>
      </c>
      <c r="C316" s="133" t="str">
        <f>ESE!Z317</f>
        <v>0</v>
      </c>
      <c r="D316" s="133" t="str">
        <f>ESE!AA317</f>
        <v>0</v>
      </c>
      <c r="E316" s="133" t="str">
        <f>ESE!AB317</f>
        <v>0</v>
      </c>
      <c r="F316" s="133" t="str">
        <f>ESE!AC317</f>
        <v>0</v>
      </c>
      <c r="G316" s="133" t="str">
        <f>ESE!AD317</f>
        <v>0</v>
      </c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</row>
    <row r="317" ht="16.5" customHeight="1">
      <c r="A317" s="179" t="s">
        <v>457</v>
      </c>
      <c r="B317" s="49" t="s">
        <v>122</v>
      </c>
      <c r="C317" s="133" t="str">
        <f>ESE!Z318</f>
        <v>0</v>
      </c>
      <c r="D317" s="133" t="str">
        <f>ESE!AA318</f>
        <v>0</v>
      </c>
      <c r="E317" s="133" t="str">
        <f>ESE!AB318</f>
        <v>0</v>
      </c>
      <c r="F317" s="133" t="str">
        <f>ESE!AC318</f>
        <v>0</v>
      </c>
      <c r="G317" s="133" t="str">
        <f>ESE!AD318</f>
        <v>0</v>
      </c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</row>
    <row r="318" ht="16.5" customHeight="1">
      <c r="A318" s="179" t="s">
        <v>458</v>
      </c>
      <c r="B318" s="49" t="s">
        <v>122</v>
      </c>
      <c r="C318" s="133" t="str">
        <f>ESE!Z319</f>
        <v>0</v>
      </c>
      <c r="D318" s="133" t="str">
        <f>ESE!AA319</f>
        <v>0</v>
      </c>
      <c r="E318" s="133" t="str">
        <f>ESE!AB319</f>
        <v>0</v>
      </c>
      <c r="F318" s="133" t="str">
        <f>ESE!AC319</f>
        <v>0</v>
      </c>
      <c r="G318" s="133" t="str">
        <f>ESE!AD319</f>
        <v>0</v>
      </c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</row>
    <row r="319" ht="16.5" customHeight="1">
      <c r="A319" s="179" t="s">
        <v>459</v>
      </c>
      <c r="B319" s="49" t="s">
        <v>122</v>
      </c>
      <c r="C319" s="133" t="str">
        <f>ESE!Z320</f>
        <v>0</v>
      </c>
      <c r="D319" s="133" t="str">
        <f>ESE!AA320</f>
        <v>0</v>
      </c>
      <c r="E319" s="133" t="str">
        <f>ESE!AB320</f>
        <v>0</v>
      </c>
      <c r="F319" s="133" t="str">
        <f>ESE!AC320</f>
        <v>0</v>
      </c>
      <c r="G319" s="133" t="str">
        <f>ESE!AD320</f>
        <v>0</v>
      </c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</row>
    <row r="320" ht="16.5" customHeight="1">
      <c r="A320" s="179" t="s">
        <v>460</v>
      </c>
      <c r="B320" s="49" t="s">
        <v>122</v>
      </c>
      <c r="C320" s="133" t="str">
        <f>ESE!Z321</f>
        <v>0</v>
      </c>
      <c r="D320" s="133" t="str">
        <f>ESE!AA321</f>
        <v>0</v>
      </c>
      <c r="E320" s="133" t="str">
        <f>ESE!AB321</f>
        <v>0</v>
      </c>
      <c r="F320" s="133" t="str">
        <f>ESE!AC321</f>
        <v>0</v>
      </c>
      <c r="G320" s="133" t="str">
        <f>ESE!AD321</f>
        <v>0</v>
      </c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</row>
    <row r="321" ht="16.5" customHeight="1">
      <c r="A321" s="179" t="s">
        <v>461</v>
      </c>
      <c r="B321" s="49" t="s">
        <v>122</v>
      </c>
      <c r="C321" s="133" t="str">
        <f>ESE!Z322</f>
        <v>0</v>
      </c>
      <c r="D321" s="133" t="str">
        <f>ESE!AA322</f>
        <v>0</v>
      </c>
      <c r="E321" s="133" t="str">
        <f>ESE!AB322</f>
        <v>0</v>
      </c>
      <c r="F321" s="133" t="str">
        <f>ESE!AC322</f>
        <v>0</v>
      </c>
      <c r="G321" s="133" t="str">
        <f>ESE!AD322</f>
        <v>0</v>
      </c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</row>
    <row r="322" ht="16.5" customHeight="1">
      <c r="A322" s="179" t="s">
        <v>462</v>
      </c>
      <c r="B322" s="49" t="s">
        <v>122</v>
      </c>
      <c r="C322" s="133" t="str">
        <f>ESE!Z323</f>
        <v>0</v>
      </c>
      <c r="D322" s="133" t="str">
        <f>ESE!AA323</f>
        <v>0</v>
      </c>
      <c r="E322" s="133" t="str">
        <f>ESE!AB323</f>
        <v>0</v>
      </c>
      <c r="F322" s="133" t="str">
        <f>ESE!AC323</f>
        <v>0</v>
      </c>
      <c r="G322" s="133" t="str">
        <f>ESE!AD323</f>
        <v>0</v>
      </c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</row>
    <row r="323" ht="16.5" customHeight="1">
      <c r="A323" s="179" t="s">
        <v>463</v>
      </c>
      <c r="B323" s="49" t="s">
        <v>122</v>
      </c>
      <c r="C323" s="133" t="str">
        <f>ESE!Z324</f>
        <v>0</v>
      </c>
      <c r="D323" s="133" t="str">
        <f>ESE!AA324</f>
        <v>0</v>
      </c>
      <c r="E323" s="133" t="str">
        <f>ESE!AB324</f>
        <v>0</v>
      </c>
      <c r="F323" s="133" t="str">
        <f>ESE!AC324</f>
        <v>0</v>
      </c>
      <c r="G323" s="133" t="str">
        <f>ESE!AD324</f>
        <v>0</v>
      </c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</row>
    <row r="324" ht="16.5" customHeight="1">
      <c r="A324" s="179" t="s">
        <v>464</v>
      </c>
      <c r="B324" s="49" t="s">
        <v>122</v>
      </c>
      <c r="C324" s="133" t="str">
        <f>ESE!Z325</f>
        <v>0</v>
      </c>
      <c r="D324" s="133" t="str">
        <f>ESE!AA325</f>
        <v>0</v>
      </c>
      <c r="E324" s="133" t="str">
        <f>ESE!AB325</f>
        <v>0</v>
      </c>
      <c r="F324" s="133" t="str">
        <f>ESE!AC325</f>
        <v>0</v>
      </c>
      <c r="G324" s="133" t="str">
        <f>ESE!AD325</f>
        <v>0</v>
      </c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</row>
    <row r="325" ht="16.5" customHeight="1">
      <c r="A325" s="179" t="s">
        <v>465</v>
      </c>
      <c r="B325" s="49" t="s">
        <v>122</v>
      </c>
      <c r="C325" s="133" t="str">
        <f>ESE!Z326</f>
        <v>0</v>
      </c>
      <c r="D325" s="133" t="str">
        <f>ESE!AA326</f>
        <v>0</v>
      </c>
      <c r="E325" s="133" t="str">
        <f>ESE!AB326</f>
        <v>0</v>
      </c>
      <c r="F325" s="133" t="str">
        <f>ESE!AC326</f>
        <v>0</v>
      </c>
      <c r="G325" s="133" t="str">
        <f>ESE!AD326</f>
        <v>0</v>
      </c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</row>
    <row r="326" ht="16.5" customHeight="1">
      <c r="A326" s="179" t="s">
        <v>466</v>
      </c>
      <c r="B326" s="49" t="s">
        <v>122</v>
      </c>
      <c r="C326" s="133" t="str">
        <f>ESE!Z327</f>
        <v>0</v>
      </c>
      <c r="D326" s="133" t="str">
        <f>ESE!AA327</f>
        <v>0</v>
      </c>
      <c r="E326" s="133" t="str">
        <f>ESE!AB327</f>
        <v>0</v>
      </c>
      <c r="F326" s="133" t="str">
        <f>ESE!AC327</f>
        <v>0</v>
      </c>
      <c r="G326" s="133" t="str">
        <f>ESE!AD327</f>
        <v>0</v>
      </c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</row>
    <row r="327" ht="16.5" customHeight="1">
      <c r="A327" s="179" t="s">
        <v>467</v>
      </c>
      <c r="B327" s="49" t="s">
        <v>122</v>
      </c>
      <c r="C327" s="133" t="str">
        <f>ESE!Z328</f>
        <v>0</v>
      </c>
      <c r="D327" s="133" t="str">
        <f>ESE!AA328</f>
        <v>0</v>
      </c>
      <c r="E327" s="133" t="str">
        <f>ESE!AB328</f>
        <v>0</v>
      </c>
      <c r="F327" s="133" t="str">
        <f>ESE!AC328</f>
        <v>0</v>
      </c>
      <c r="G327" s="133" t="str">
        <f>ESE!AD328</f>
        <v>0</v>
      </c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</row>
    <row r="328" ht="16.5" customHeight="1">
      <c r="A328" s="179" t="s">
        <v>468</v>
      </c>
      <c r="B328" s="49" t="s">
        <v>122</v>
      </c>
      <c r="C328" s="133" t="str">
        <f>ESE!Z329</f>
        <v>0</v>
      </c>
      <c r="D328" s="133" t="str">
        <f>ESE!AA329</f>
        <v>0</v>
      </c>
      <c r="E328" s="133" t="str">
        <f>ESE!AB329</f>
        <v>0</v>
      </c>
      <c r="F328" s="133" t="str">
        <f>ESE!AC329</f>
        <v>0</v>
      </c>
      <c r="G328" s="133" t="str">
        <f>ESE!AD329</f>
        <v>0</v>
      </c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</row>
    <row r="329" ht="16.5" customHeight="1">
      <c r="A329" s="179" t="s">
        <v>469</v>
      </c>
      <c r="B329" s="49" t="s">
        <v>122</v>
      </c>
      <c r="C329" s="133" t="str">
        <f>ESE!Z330</f>
        <v>0</v>
      </c>
      <c r="D329" s="133" t="str">
        <f>ESE!AA330</f>
        <v>0</v>
      </c>
      <c r="E329" s="133" t="str">
        <f>ESE!AB330</f>
        <v>0</v>
      </c>
      <c r="F329" s="133" t="str">
        <f>ESE!AC330</f>
        <v>0</v>
      </c>
      <c r="G329" s="133" t="str">
        <f>ESE!AD330</f>
        <v>0</v>
      </c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</row>
    <row r="330" ht="16.5" customHeight="1">
      <c r="A330" s="179" t="s">
        <v>470</v>
      </c>
      <c r="B330" s="49" t="s">
        <v>122</v>
      </c>
      <c r="C330" s="133" t="str">
        <f>ESE!Z331</f>
        <v>0</v>
      </c>
      <c r="D330" s="133" t="str">
        <f>ESE!AA331</f>
        <v>0</v>
      </c>
      <c r="E330" s="133" t="str">
        <f>ESE!AB331</f>
        <v>0</v>
      </c>
      <c r="F330" s="133" t="str">
        <f>ESE!AC331</f>
        <v>0</v>
      </c>
      <c r="G330" s="133" t="str">
        <f>ESE!AD331</f>
        <v>0</v>
      </c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</row>
    <row r="331" ht="16.5" customHeight="1">
      <c r="A331" s="179" t="s">
        <v>471</v>
      </c>
      <c r="B331" s="49" t="s">
        <v>122</v>
      </c>
      <c r="C331" s="133" t="str">
        <f>ESE!Z332</f>
        <v>0</v>
      </c>
      <c r="D331" s="133" t="str">
        <f>ESE!AA332</f>
        <v>0</v>
      </c>
      <c r="E331" s="133" t="str">
        <f>ESE!AB332</f>
        <v>0</v>
      </c>
      <c r="F331" s="133" t="str">
        <f>ESE!AC332</f>
        <v>0</v>
      </c>
      <c r="G331" s="133" t="str">
        <f>ESE!AD332</f>
        <v>0</v>
      </c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</row>
    <row r="332" ht="16.5" customHeight="1">
      <c r="A332" s="179" t="s">
        <v>472</v>
      </c>
      <c r="B332" s="49" t="s">
        <v>122</v>
      </c>
      <c r="C332" s="133" t="str">
        <f>ESE!Z333</f>
        <v>0</v>
      </c>
      <c r="D332" s="133" t="str">
        <f>ESE!AA333</f>
        <v>0</v>
      </c>
      <c r="E332" s="133" t="str">
        <f>ESE!AB333</f>
        <v>0</v>
      </c>
      <c r="F332" s="133" t="str">
        <f>ESE!AC333</f>
        <v>0</v>
      </c>
      <c r="G332" s="133" t="str">
        <f>ESE!AD333</f>
        <v>0</v>
      </c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</row>
    <row r="333" ht="16.5" customHeight="1">
      <c r="A333" s="179" t="s">
        <v>473</v>
      </c>
      <c r="B333" s="49" t="s">
        <v>122</v>
      </c>
      <c r="C333" s="133" t="str">
        <f>ESE!Z334</f>
        <v>0</v>
      </c>
      <c r="D333" s="133" t="str">
        <f>ESE!AA334</f>
        <v>0</v>
      </c>
      <c r="E333" s="133" t="str">
        <f>ESE!AB334</f>
        <v>0</v>
      </c>
      <c r="F333" s="133" t="str">
        <f>ESE!AC334</f>
        <v>0</v>
      </c>
      <c r="G333" s="133" t="str">
        <f>ESE!AD334</f>
        <v>0</v>
      </c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</row>
    <row r="334" ht="16.5" customHeight="1">
      <c r="A334" s="179" t="s">
        <v>474</v>
      </c>
      <c r="B334" s="49" t="s">
        <v>122</v>
      </c>
      <c r="C334" s="133" t="str">
        <f>ESE!Z335</f>
        <v>0</v>
      </c>
      <c r="D334" s="133" t="str">
        <f>ESE!AA335</f>
        <v>0</v>
      </c>
      <c r="E334" s="133" t="str">
        <f>ESE!AB335</f>
        <v>0</v>
      </c>
      <c r="F334" s="133" t="str">
        <f>ESE!AC335</f>
        <v>0</v>
      </c>
      <c r="G334" s="133" t="str">
        <f>ESE!AD335</f>
        <v>0</v>
      </c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</row>
    <row r="335" ht="16.5" customHeight="1">
      <c r="A335" s="179" t="s">
        <v>475</v>
      </c>
      <c r="B335" s="49" t="s">
        <v>122</v>
      </c>
      <c r="C335" s="133" t="str">
        <f>ESE!Z336</f>
        <v>0</v>
      </c>
      <c r="D335" s="133" t="str">
        <f>ESE!AA336</f>
        <v>0</v>
      </c>
      <c r="E335" s="133" t="str">
        <f>ESE!AB336</f>
        <v>0</v>
      </c>
      <c r="F335" s="133" t="str">
        <f>ESE!AC336</f>
        <v>0</v>
      </c>
      <c r="G335" s="133" t="str">
        <f>ESE!AD336</f>
        <v>0</v>
      </c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</row>
    <row r="336" ht="16.5" customHeight="1">
      <c r="A336" s="179" t="s">
        <v>476</v>
      </c>
      <c r="B336" s="49" t="s">
        <v>122</v>
      </c>
      <c r="C336" s="133" t="str">
        <f>ESE!Z337</f>
        <v>0</v>
      </c>
      <c r="D336" s="133" t="str">
        <f>ESE!AA337</f>
        <v>0</v>
      </c>
      <c r="E336" s="133" t="str">
        <f>ESE!AB337</f>
        <v>0</v>
      </c>
      <c r="F336" s="133" t="str">
        <f>ESE!AC337</f>
        <v>0</v>
      </c>
      <c r="G336" s="133" t="str">
        <f>ESE!AD337</f>
        <v>0</v>
      </c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</row>
    <row r="337" ht="16.5" customHeight="1">
      <c r="A337" s="179" t="s">
        <v>477</v>
      </c>
      <c r="B337" s="49" t="s">
        <v>122</v>
      </c>
      <c r="C337" s="133" t="str">
        <f>ESE!Z338</f>
        <v>0</v>
      </c>
      <c r="D337" s="133" t="str">
        <f>ESE!AA338</f>
        <v>0</v>
      </c>
      <c r="E337" s="133" t="str">
        <f>ESE!AB338</f>
        <v>0</v>
      </c>
      <c r="F337" s="133" t="str">
        <f>ESE!AC338</f>
        <v>0</v>
      </c>
      <c r="G337" s="133" t="str">
        <f>ESE!AD338</f>
        <v>0</v>
      </c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</row>
    <row r="338" ht="16.5" customHeight="1">
      <c r="A338" s="179" t="s">
        <v>478</v>
      </c>
      <c r="B338" s="49" t="s">
        <v>122</v>
      </c>
      <c r="C338" s="133" t="str">
        <f>ESE!Z339</f>
        <v>0</v>
      </c>
      <c r="D338" s="133" t="str">
        <f>ESE!AA339</f>
        <v>0</v>
      </c>
      <c r="E338" s="133" t="str">
        <f>ESE!AB339</f>
        <v>0</v>
      </c>
      <c r="F338" s="133" t="str">
        <f>ESE!AC339</f>
        <v>0</v>
      </c>
      <c r="G338" s="133" t="str">
        <f>ESE!AD339</f>
        <v>0</v>
      </c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</row>
    <row r="339" ht="16.5" customHeight="1">
      <c r="A339" s="179" t="s">
        <v>479</v>
      </c>
      <c r="B339" s="49" t="s">
        <v>122</v>
      </c>
      <c r="C339" s="133" t="str">
        <f>ESE!Z340</f>
        <v>0</v>
      </c>
      <c r="D339" s="133" t="str">
        <f>ESE!AA340</f>
        <v>0</v>
      </c>
      <c r="E339" s="133" t="str">
        <f>ESE!AB340</f>
        <v>0</v>
      </c>
      <c r="F339" s="133" t="str">
        <f>ESE!AC340</f>
        <v>0</v>
      </c>
      <c r="G339" s="133" t="str">
        <f>ESE!AD340</f>
        <v>0</v>
      </c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</row>
    <row r="340" ht="16.5" customHeight="1">
      <c r="A340" s="179" t="s">
        <v>480</v>
      </c>
      <c r="B340" s="49" t="s">
        <v>122</v>
      </c>
      <c r="C340" s="133" t="str">
        <f>ESE!Z341</f>
        <v>0</v>
      </c>
      <c r="D340" s="133" t="str">
        <f>ESE!AA341</f>
        <v>0</v>
      </c>
      <c r="E340" s="133" t="str">
        <f>ESE!AB341</f>
        <v>0</v>
      </c>
      <c r="F340" s="133" t="str">
        <f>ESE!AC341</f>
        <v>0</v>
      </c>
      <c r="G340" s="133" t="str">
        <f>ESE!AD341</f>
        <v>0</v>
      </c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</row>
    <row r="341" ht="16.5" customHeight="1">
      <c r="A341" s="179" t="s">
        <v>481</v>
      </c>
      <c r="B341" s="49" t="s">
        <v>122</v>
      </c>
      <c r="C341" s="133" t="str">
        <f>ESE!Z342</f>
        <v>0</v>
      </c>
      <c r="D341" s="133" t="str">
        <f>ESE!AA342</f>
        <v>0</v>
      </c>
      <c r="E341" s="133" t="str">
        <f>ESE!AB342</f>
        <v>0</v>
      </c>
      <c r="F341" s="133" t="str">
        <f>ESE!AC342</f>
        <v>0</v>
      </c>
      <c r="G341" s="133" t="str">
        <f>ESE!AD342</f>
        <v>0</v>
      </c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</row>
    <row r="342" ht="16.5" customHeight="1">
      <c r="A342" s="179" t="s">
        <v>482</v>
      </c>
      <c r="B342" s="49" t="s">
        <v>122</v>
      </c>
      <c r="C342" s="133" t="str">
        <f>ESE!Z343</f>
        <v>0</v>
      </c>
      <c r="D342" s="133" t="str">
        <f>ESE!AA343</f>
        <v>0</v>
      </c>
      <c r="E342" s="133" t="str">
        <f>ESE!AB343</f>
        <v>0</v>
      </c>
      <c r="F342" s="133" t="str">
        <f>ESE!AC343</f>
        <v>0</v>
      </c>
      <c r="G342" s="133" t="str">
        <f>ESE!AD343</f>
        <v>0</v>
      </c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</row>
    <row r="343" ht="16.5" customHeight="1">
      <c r="A343" s="179" t="s">
        <v>483</v>
      </c>
      <c r="B343" s="49" t="s">
        <v>122</v>
      </c>
      <c r="C343" s="133" t="str">
        <f>ESE!Z344</f>
        <v>0</v>
      </c>
      <c r="D343" s="133" t="str">
        <f>ESE!AA344</f>
        <v>0</v>
      </c>
      <c r="E343" s="133" t="str">
        <f>ESE!AB344</f>
        <v>0</v>
      </c>
      <c r="F343" s="133" t="str">
        <f>ESE!AC344</f>
        <v>0</v>
      </c>
      <c r="G343" s="133" t="str">
        <f>ESE!AD344</f>
        <v>0</v>
      </c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</row>
    <row r="344" ht="16.5" customHeight="1">
      <c r="A344" s="179" t="s">
        <v>484</v>
      </c>
      <c r="B344" s="49" t="s">
        <v>122</v>
      </c>
      <c r="C344" s="133" t="str">
        <f>ESE!Z345</f>
        <v>0</v>
      </c>
      <c r="D344" s="133" t="str">
        <f>ESE!AA345</f>
        <v>0</v>
      </c>
      <c r="E344" s="133" t="str">
        <f>ESE!AB345</f>
        <v>0</v>
      </c>
      <c r="F344" s="133" t="str">
        <f>ESE!AC345</f>
        <v>0</v>
      </c>
      <c r="G344" s="133" t="str">
        <f>ESE!AD345</f>
        <v>0</v>
      </c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</row>
    <row r="345" ht="16.5" customHeight="1">
      <c r="A345" s="179" t="s">
        <v>485</v>
      </c>
      <c r="B345" s="49" t="s">
        <v>122</v>
      </c>
      <c r="C345" s="133" t="str">
        <f>ESE!Z346</f>
        <v>0</v>
      </c>
      <c r="D345" s="133" t="str">
        <f>ESE!AA346</f>
        <v>0</v>
      </c>
      <c r="E345" s="133" t="str">
        <f>ESE!AB346</f>
        <v>0</v>
      </c>
      <c r="F345" s="133" t="str">
        <f>ESE!AC346</f>
        <v>0</v>
      </c>
      <c r="G345" s="133" t="str">
        <f>ESE!AD346</f>
        <v>0</v>
      </c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</row>
    <row r="346" ht="16.5" customHeight="1">
      <c r="A346" s="179" t="s">
        <v>486</v>
      </c>
      <c r="B346" s="49" t="s">
        <v>122</v>
      </c>
      <c r="C346" s="133" t="str">
        <f>ESE!Z347</f>
        <v>0</v>
      </c>
      <c r="D346" s="133" t="str">
        <f>ESE!AA347</f>
        <v>0</v>
      </c>
      <c r="E346" s="133" t="str">
        <f>ESE!AB347</f>
        <v>0</v>
      </c>
      <c r="F346" s="133" t="str">
        <f>ESE!AC347</f>
        <v>0</v>
      </c>
      <c r="G346" s="133" t="str">
        <f>ESE!AD347</f>
        <v>0</v>
      </c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</row>
    <row r="347" ht="16.5" customHeight="1">
      <c r="A347" s="179" t="s">
        <v>487</v>
      </c>
      <c r="B347" s="49" t="s">
        <v>122</v>
      </c>
      <c r="C347" s="133" t="str">
        <f>ESE!Z348</f>
        <v>0</v>
      </c>
      <c r="D347" s="133" t="str">
        <f>ESE!AA348</f>
        <v>0</v>
      </c>
      <c r="E347" s="133" t="str">
        <f>ESE!AB348</f>
        <v>0</v>
      </c>
      <c r="F347" s="133" t="str">
        <f>ESE!AC348</f>
        <v>0</v>
      </c>
      <c r="G347" s="133" t="str">
        <f>ESE!AD348</f>
        <v>0</v>
      </c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</row>
    <row r="348" ht="16.5" customHeight="1">
      <c r="A348" s="179" t="s">
        <v>488</v>
      </c>
      <c r="B348" s="49" t="s">
        <v>122</v>
      </c>
      <c r="C348" s="133" t="str">
        <f>ESE!Z349</f>
        <v>0</v>
      </c>
      <c r="D348" s="133" t="str">
        <f>ESE!AA349</f>
        <v>0</v>
      </c>
      <c r="E348" s="133" t="str">
        <f>ESE!AB349</f>
        <v>0</v>
      </c>
      <c r="F348" s="133" t="str">
        <f>ESE!AC349</f>
        <v>0</v>
      </c>
      <c r="G348" s="133" t="str">
        <f>ESE!AD349</f>
        <v>0</v>
      </c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</row>
    <row r="349" ht="16.5" customHeight="1">
      <c r="A349" s="179" t="s">
        <v>489</v>
      </c>
      <c r="B349" s="49" t="s">
        <v>122</v>
      </c>
      <c r="C349" s="133" t="str">
        <f>ESE!Z350</f>
        <v>0</v>
      </c>
      <c r="D349" s="133" t="str">
        <f>ESE!AA350</f>
        <v>0</v>
      </c>
      <c r="E349" s="133" t="str">
        <f>ESE!AB350</f>
        <v>0</v>
      </c>
      <c r="F349" s="133" t="str">
        <f>ESE!AC350</f>
        <v>0</v>
      </c>
      <c r="G349" s="133" t="str">
        <f>ESE!AD350</f>
        <v>0</v>
      </c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</row>
    <row r="350" ht="16.5" customHeight="1">
      <c r="A350" s="179" t="s">
        <v>490</v>
      </c>
      <c r="B350" s="49" t="s">
        <v>122</v>
      </c>
      <c r="C350" s="133" t="str">
        <f>ESE!Z351</f>
        <v>0</v>
      </c>
      <c r="D350" s="133" t="str">
        <f>ESE!AA351</f>
        <v>0</v>
      </c>
      <c r="E350" s="133" t="str">
        <f>ESE!AB351</f>
        <v>0</v>
      </c>
      <c r="F350" s="133" t="str">
        <f>ESE!AC351</f>
        <v>0</v>
      </c>
      <c r="G350" s="133" t="str">
        <f>ESE!AD351</f>
        <v>0</v>
      </c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</row>
    <row r="351" ht="16.5" customHeight="1">
      <c r="A351" s="179" t="s">
        <v>491</v>
      </c>
      <c r="B351" s="49" t="s">
        <v>122</v>
      </c>
      <c r="C351" s="133" t="str">
        <f>ESE!Z352</f>
        <v>0</v>
      </c>
      <c r="D351" s="133" t="str">
        <f>ESE!AA352</f>
        <v>0</v>
      </c>
      <c r="E351" s="133" t="str">
        <f>ESE!AB352</f>
        <v>0</v>
      </c>
      <c r="F351" s="133" t="str">
        <f>ESE!AC352</f>
        <v>0</v>
      </c>
      <c r="G351" s="133" t="str">
        <f>ESE!AD352</f>
        <v>0</v>
      </c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</row>
    <row r="352" ht="16.5" customHeight="1">
      <c r="A352" s="179" t="s">
        <v>492</v>
      </c>
      <c r="B352" s="49" t="s">
        <v>122</v>
      </c>
      <c r="C352" s="133" t="str">
        <f>ESE!Z353</f>
        <v>0</v>
      </c>
      <c r="D352" s="133" t="str">
        <f>ESE!AA353</f>
        <v>0</v>
      </c>
      <c r="E352" s="133" t="str">
        <f>ESE!AB353</f>
        <v>0</v>
      </c>
      <c r="F352" s="133" t="str">
        <f>ESE!AC353</f>
        <v>0</v>
      </c>
      <c r="G352" s="133" t="str">
        <f>ESE!AD353</f>
        <v>0</v>
      </c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</row>
    <row r="353" ht="16.5" customHeight="1">
      <c r="A353" s="179" t="s">
        <v>493</v>
      </c>
      <c r="B353" s="49" t="s">
        <v>122</v>
      </c>
      <c r="C353" s="133" t="str">
        <f>ESE!Z354</f>
        <v>0</v>
      </c>
      <c r="D353" s="133" t="str">
        <f>ESE!AA354</f>
        <v>0</v>
      </c>
      <c r="E353" s="133" t="str">
        <f>ESE!AB354</f>
        <v>0</v>
      </c>
      <c r="F353" s="133" t="str">
        <f>ESE!AC354</f>
        <v>0</v>
      </c>
      <c r="G353" s="133" t="str">
        <f>ESE!AD354</f>
        <v>0</v>
      </c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</row>
    <row r="354" ht="16.5" customHeight="1">
      <c r="A354" s="179" t="s">
        <v>494</v>
      </c>
      <c r="B354" s="49" t="s">
        <v>122</v>
      </c>
      <c r="C354" s="133" t="str">
        <f>ESE!Z355</f>
        <v>0</v>
      </c>
      <c r="D354" s="133" t="str">
        <f>ESE!AA355</f>
        <v>0</v>
      </c>
      <c r="E354" s="133" t="str">
        <f>ESE!AB355</f>
        <v>0</v>
      </c>
      <c r="F354" s="133" t="str">
        <f>ESE!AC355</f>
        <v>0</v>
      </c>
      <c r="G354" s="133" t="str">
        <f>ESE!AD355</f>
        <v>0</v>
      </c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</row>
    <row r="355" ht="16.5" customHeight="1">
      <c r="A355" s="179" t="s">
        <v>495</v>
      </c>
      <c r="B355" s="49" t="s">
        <v>122</v>
      </c>
      <c r="C355" s="133" t="str">
        <f>ESE!Z356</f>
        <v>0</v>
      </c>
      <c r="D355" s="133" t="str">
        <f>ESE!AA356</f>
        <v>0</v>
      </c>
      <c r="E355" s="133" t="str">
        <f>ESE!AB356</f>
        <v>0</v>
      </c>
      <c r="F355" s="133" t="str">
        <f>ESE!AC356</f>
        <v>0</v>
      </c>
      <c r="G355" s="133" t="str">
        <f>ESE!AD356</f>
        <v>0</v>
      </c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</row>
    <row r="356" ht="16.5" customHeight="1">
      <c r="A356" s="179" t="s">
        <v>496</v>
      </c>
      <c r="B356" s="49" t="s">
        <v>122</v>
      </c>
      <c r="C356" s="133" t="str">
        <f>ESE!Z357</f>
        <v>0</v>
      </c>
      <c r="D356" s="133" t="str">
        <f>ESE!AA357</f>
        <v>0</v>
      </c>
      <c r="E356" s="133" t="str">
        <f>ESE!AB357</f>
        <v>0</v>
      </c>
      <c r="F356" s="133" t="str">
        <f>ESE!AC357</f>
        <v>0</v>
      </c>
      <c r="G356" s="133" t="str">
        <f>ESE!AD357</f>
        <v>0</v>
      </c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</row>
    <row r="357" ht="16.5" customHeight="1">
      <c r="A357" s="179" t="s">
        <v>497</v>
      </c>
      <c r="B357" s="49" t="s">
        <v>122</v>
      </c>
      <c r="C357" s="133" t="str">
        <f>ESE!Z358</f>
        <v>0</v>
      </c>
      <c r="D357" s="133" t="str">
        <f>ESE!AA358</f>
        <v>0</v>
      </c>
      <c r="E357" s="133" t="str">
        <f>ESE!AB358</f>
        <v>0</v>
      </c>
      <c r="F357" s="133" t="str">
        <f>ESE!AC358</f>
        <v>0</v>
      </c>
      <c r="G357" s="133" t="str">
        <f>ESE!AD358</f>
        <v>0</v>
      </c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</row>
    <row r="358" ht="16.5" customHeight="1">
      <c r="A358" s="179" t="s">
        <v>498</v>
      </c>
      <c r="B358" s="49" t="s">
        <v>122</v>
      </c>
      <c r="C358" s="133" t="str">
        <f>ESE!Z359</f>
        <v>0</v>
      </c>
      <c r="D358" s="133" t="str">
        <f>ESE!AA359</f>
        <v>0</v>
      </c>
      <c r="E358" s="133" t="str">
        <f>ESE!AB359</f>
        <v>0</v>
      </c>
      <c r="F358" s="133" t="str">
        <f>ESE!AC359</f>
        <v>0</v>
      </c>
      <c r="G358" s="133" t="str">
        <f>ESE!AD359</f>
        <v>0</v>
      </c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</row>
    <row r="359" ht="16.5" customHeight="1">
      <c r="A359" s="179" t="s">
        <v>499</v>
      </c>
      <c r="B359" s="49" t="s">
        <v>122</v>
      </c>
      <c r="C359" s="133" t="str">
        <f>ESE!Z360</f>
        <v>0</v>
      </c>
      <c r="D359" s="133" t="str">
        <f>ESE!AA360</f>
        <v>0</v>
      </c>
      <c r="E359" s="133" t="str">
        <f>ESE!AB360</f>
        <v>0</v>
      </c>
      <c r="F359" s="133" t="str">
        <f>ESE!AC360</f>
        <v>0</v>
      </c>
      <c r="G359" s="133" t="str">
        <f>ESE!AD360</f>
        <v>0</v>
      </c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</row>
    <row r="360" ht="16.5" customHeight="1">
      <c r="A360" s="179" t="s">
        <v>500</v>
      </c>
      <c r="B360" s="49" t="s">
        <v>122</v>
      </c>
      <c r="C360" s="133" t="str">
        <f>ESE!Z361</f>
        <v>0</v>
      </c>
      <c r="D360" s="133" t="str">
        <f>ESE!AA361</f>
        <v>0</v>
      </c>
      <c r="E360" s="133" t="str">
        <f>ESE!AB361</f>
        <v>0</v>
      </c>
      <c r="F360" s="133" t="str">
        <f>ESE!AC361</f>
        <v>0</v>
      </c>
      <c r="G360" s="133" t="str">
        <f>ESE!AD361</f>
        <v>0</v>
      </c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</row>
    <row r="361" ht="16.5" customHeight="1">
      <c r="A361" s="179" t="s">
        <v>501</v>
      </c>
      <c r="B361" s="49" t="s">
        <v>122</v>
      </c>
      <c r="C361" s="133" t="str">
        <f>ESE!Z362</f>
        <v>0</v>
      </c>
      <c r="D361" s="133" t="str">
        <f>ESE!AA362</f>
        <v>0</v>
      </c>
      <c r="E361" s="133" t="str">
        <f>ESE!AB362</f>
        <v>0</v>
      </c>
      <c r="F361" s="133" t="str">
        <f>ESE!AC362</f>
        <v>0</v>
      </c>
      <c r="G361" s="133" t="str">
        <f>ESE!AD362</f>
        <v>0</v>
      </c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</row>
    <row r="362" ht="16.5" customHeight="1">
      <c r="A362" s="179" t="s">
        <v>502</v>
      </c>
      <c r="B362" s="49" t="s">
        <v>122</v>
      </c>
      <c r="C362" s="133" t="str">
        <f>ESE!Z363</f>
        <v>0</v>
      </c>
      <c r="D362" s="133" t="str">
        <f>ESE!AA363</f>
        <v>0</v>
      </c>
      <c r="E362" s="133" t="str">
        <f>ESE!AB363</f>
        <v>0</v>
      </c>
      <c r="F362" s="133" t="str">
        <f>ESE!AC363</f>
        <v>0</v>
      </c>
      <c r="G362" s="133" t="str">
        <f>ESE!AD363</f>
        <v>0</v>
      </c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</row>
    <row r="363" ht="16.5" customHeight="1">
      <c r="A363" s="179" t="s">
        <v>503</v>
      </c>
      <c r="B363" s="49" t="s">
        <v>122</v>
      </c>
      <c r="C363" s="133" t="str">
        <f>ESE!Z364</f>
        <v>0</v>
      </c>
      <c r="D363" s="133" t="str">
        <f>ESE!AA364</f>
        <v>0</v>
      </c>
      <c r="E363" s="133" t="str">
        <f>ESE!AB364</f>
        <v>0</v>
      </c>
      <c r="F363" s="133" t="str">
        <f>ESE!AC364</f>
        <v>0</v>
      </c>
      <c r="G363" s="133" t="str">
        <f>ESE!AD364</f>
        <v>0</v>
      </c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</row>
    <row r="364" ht="16.5" customHeight="1">
      <c r="A364" s="179" t="s">
        <v>504</v>
      </c>
      <c r="B364" s="49" t="s">
        <v>122</v>
      </c>
      <c r="C364" s="133" t="str">
        <f>ESE!Z365</f>
        <v>0</v>
      </c>
      <c r="D364" s="133" t="str">
        <f>ESE!AA365</f>
        <v>0</v>
      </c>
      <c r="E364" s="133" t="str">
        <f>ESE!AB365</f>
        <v>0</v>
      </c>
      <c r="F364" s="133" t="str">
        <f>ESE!AC365</f>
        <v>0</v>
      </c>
      <c r="G364" s="133" t="str">
        <f>ESE!AD365</f>
        <v>0</v>
      </c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</row>
    <row r="365" ht="16.5" customHeight="1">
      <c r="A365" s="179" t="s">
        <v>505</v>
      </c>
      <c r="B365" s="49" t="s">
        <v>122</v>
      </c>
      <c r="C365" s="133" t="str">
        <f>ESE!Z366</f>
        <v>0</v>
      </c>
      <c r="D365" s="133" t="str">
        <f>ESE!AA366</f>
        <v>0</v>
      </c>
      <c r="E365" s="133" t="str">
        <f>ESE!AB366</f>
        <v>0</v>
      </c>
      <c r="F365" s="133" t="str">
        <f>ESE!AC366</f>
        <v>0</v>
      </c>
      <c r="G365" s="133" t="str">
        <f>ESE!AD366</f>
        <v>0</v>
      </c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</row>
    <row r="366" ht="16.5" customHeight="1">
      <c r="A366" s="179" t="s">
        <v>506</v>
      </c>
      <c r="B366" s="49" t="s">
        <v>122</v>
      </c>
      <c r="C366" s="133" t="str">
        <f>ESE!Z367</f>
        <v>0</v>
      </c>
      <c r="D366" s="133" t="str">
        <f>ESE!AA367</f>
        <v>0</v>
      </c>
      <c r="E366" s="133" t="str">
        <f>ESE!AB367</f>
        <v>0</v>
      </c>
      <c r="F366" s="133" t="str">
        <f>ESE!AC367</f>
        <v>0</v>
      </c>
      <c r="G366" s="133" t="str">
        <f>ESE!AD367</f>
        <v>0</v>
      </c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</row>
    <row r="367" ht="16.5" customHeight="1">
      <c r="A367" s="179" t="s">
        <v>507</v>
      </c>
      <c r="B367" s="49" t="s">
        <v>122</v>
      </c>
      <c r="C367" s="133" t="str">
        <f>ESE!Z368</f>
        <v>0</v>
      </c>
      <c r="D367" s="133" t="str">
        <f>ESE!AA368</f>
        <v>0</v>
      </c>
      <c r="E367" s="133" t="str">
        <f>ESE!AB368</f>
        <v>0</v>
      </c>
      <c r="F367" s="133" t="str">
        <f>ESE!AC368</f>
        <v>0</v>
      </c>
      <c r="G367" s="133" t="str">
        <f>ESE!AD368</f>
        <v>0</v>
      </c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</row>
    <row r="368" ht="16.5" customHeight="1">
      <c r="A368" s="179" t="s">
        <v>508</v>
      </c>
      <c r="B368" s="49" t="s">
        <v>122</v>
      </c>
      <c r="C368" s="133" t="str">
        <f>ESE!Z369</f>
        <v>0</v>
      </c>
      <c r="D368" s="133" t="str">
        <f>ESE!AA369</f>
        <v>0</v>
      </c>
      <c r="E368" s="133" t="str">
        <f>ESE!AB369</f>
        <v>0</v>
      </c>
      <c r="F368" s="133" t="str">
        <f>ESE!AC369</f>
        <v>0</v>
      </c>
      <c r="G368" s="133" t="str">
        <f>ESE!AD369</f>
        <v>0</v>
      </c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</row>
    <row r="369" ht="16.5" customHeight="1">
      <c r="A369" s="179" t="s">
        <v>509</v>
      </c>
      <c r="B369" s="49" t="s">
        <v>122</v>
      </c>
      <c r="C369" s="133" t="str">
        <f>ESE!Z370</f>
        <v>0</v>
      </c>
      <c r="D369" s="133" t="str">
        <f>ESE!AA370</f>
        <v>0</v>
      </c>
      <c r="E369" s="133" t="str">
        <f>ESE!AB370</f>
        <v>0</v>
      </c>
      <c r="F369" s="133" t="str">
        <f>ESE!AC370</f>
        <v>0</v>
      </c>
      <c r="G369" s="133" t="str">
        <f>ESE!AD370</f>
        <v>0</v>
      </c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</row>
    <row r="370" ht="16.5" customHeight="1">
      <c r="A370" s="179" t="s">
        <v>510</v>
      </c>
      <c r="B370" s="49" t="s">
        <v>122</v>
      </c>
      <c r="C370" s="133" t="str">
        <f>ESE!Z371</f>
        <v>0</v>
      </c>
      <c r="D370" s="133" t="str">
        <f>ESE!AA371</f>
        <v>0</v>
      </c>
      <c r="E370" s="133" t="str">
        <f>ESE!AB371</f>
        <v>0</v>
      </c>
      <c r="F370" s="133" t="str">
        <f>ESE!AC371</f>
        <v>0</v>
      </c>
      <c r="G370" s="133" t="str">
        <f>ESE!AD371</f>
        <v>0</v>
      </c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</row>
    <row r="371" ht="16.5" customHeight="1">
      <c r="A371" s="179" t="s">
        <v>511</v>
      </c>
      <c r="B371" s="49" t="s">
        <v>122</v>
      </c>
      <c r="C371" s="133" t="str">
        <f>ESE!Z372</f>
        <v>0</v>
      </c>
      <c r="D371" s="133" t="str">
        <f>ESE!AA372</f>
        <v>0</v>
      </c>
      <c r="E371" s="133" t="str">
        <f>ESE!AB372</f>
        <v>0</v>
      </c>
      <c r="F371" s="133" t="str">
        <f>ESE!AC372</f>
        <v>0</v>
      </c>
      <c r="G371" s="133" t="str">
        <f>ESE!AD372</f>
        <v>0</v>
      </c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</row>
    <row r="372" ht="16.5" customHeight="1">
      <c r="A372" s="179" t="s">
        <v>512</v>
      </c>
      <c r="B372" s="49" t="s">
        <v>122</v>
      </c>
      <c r="C372" s="133" t="str">
        <f>ESE!Z373</f>
        <v>0</v>
      </c>
      <c r="D372" s="133" t="str">
        <f>ESE!AA373</f>
        <v>0</v>
      </c>
      <c r="E372" s="133" t="str">
        <f>ESE!AB373</f>
        <v>0</v>
      </c>
      <c r="F372" s="133" t="str">
        <f>ESE!AC373</f>
        <v>0</v>
      </c>
      <c r="G372" s="133" t="str">
        <f>ESE!AD373</f>
        <v>0</v>
      </c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</row>
    <row r="373" ht="16.5" customHeight="1">
      <c r="A373" s="179" t="s">
        <v>513</v>
      </c>
      <c r="B373" s="49" t="s">
        <v>122</v>
      </c>
      <c r="C373" s="133" t="str">
        <f>ESE!Z374</f>
        <v>0</v>
      </c>
      <c r="D373" s="133" t="str">
        <f>ESE!AA374</f>
        <v>0</v>
      </c>
      <c r="E373" s="133" t="str">
        <f>ESE!AB374</f>
        <v>0</v>
      </c>
      <c r="F373" s="133" t="str">
        <f>ESE!AC374</f>
        <v>0</v>
      </c>
      <c r="G373" s="133" t="str">
        <f>ESE!AD374</f>
        <v>0</v>
      </c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</row>
    <row r="374" ht="16.5" customHeight="1">
      <c r="A374" s="179" t="s">
        <v>514</v>
      </c>
      <c r="B374" s="49" t="s">
        <v>122</v>
      </c>
      <c r="C374" s="133" t="str">
        <f>ESE!Z375</f>
        <v>0</v>
      </c>
      <c r="D374" s="133" t="str">
        <f>ESE!AA375</f>
        <v>0</v>
      </c>
      <c r="E374" s="133" t="str">
        <f>ESE!AB375</f>
        <v>0</v>
      </c>
      <c r="F374" s="133" t="str">
        <f>ESE!AC375</f>
        <v>0</v>
      </c>
      <c r="G374" s="133" t="str">
        <f>ESE!AD375</f>
        <v>0</v>
      </c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</row>
    <row r="375" ht="16.5" customHeight="1">
      <c r="A375" s="179" t="s">
        <v>515</v>
      </c>
      <c r="B375" s="49" t="s">
        <v>122</v>
      </c>
      <c r="C375" s="133" t="str">
        <f>ESE!Z376</f>
        <v>0</v>
      </c>
      <c r="D375" s="133" t="str">
        <f>ESE!AA376</f>
        <v>0</v>
      </c>
      <c r="E375" s="133" t="str">
        <f>ESE!AB376</f>
        <v>0</v>
      </c>
      <c r="F375" s="133" t="str">
        <f>ESE!AC376</f>
        <v>0</v>
      </c>
      <c r="G375" s="133" t="str">
        <f>ESE!AD376</f>
        <v>0</v>
      </c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</row>
    <row r="376" ht="16.5" customHeight="1">
      <c r="A376" s="179" t="s">
        <v>516</v>
      </c>
      <c r="B376" s="49" t="s">
        <v>122</v>
      </c>
      <c r="C376" s="133" t="str">
        <f>ESE!Z377</f>
        <v>0</v>
      </c>
      <c r="D376" s="133" t="str">
        <f>ESE!AA377</f>
        <v>0</v>
      </c>
      <c r="E376" s="133" t="str">
        <f>ESE!AB377</f>
        <v>0</v>
      </c>
      <c r="F376" s="133" t="str">
        <f>ESE!AC377</f>
        <v>0</v>
      </c>
      <c r="G376" s="133" t="str">
        <f>ESE!AD377</f>
        <v>0</v>
      </c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</row>
    <row r="377" ht="16.5" customHeight="1">
      <c r="A377" s="179" t="s">
        <v>517</v>
      </c>
      <c r="B377" s="49" t="s">
        <v>122</v>
      </c>
      <c r="C377" s="133" t="str">
        <f>ESE!Z378</f>
        <v>0</v>
      </c>
      <c r="D377" s="133" t="str">
        <f>ESE!AA378</f>
        <v>0</v>
      </c>
      <c r="E377" s="133" t="str">
        <f>ESE!AB378</f>
        <v>0</v>
      </c>
      <c r="F377" s="133" t="str">
        <f>ESE!AC378</f>
        <v>0</v>
      </c>
      <c r="G377" s="133" t="str">
        <f>ESE!AD378</f>
        <v>0</v>
      </c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</row>
    <row r="378" ht="16.5" customHeight="1">
      <c r="A378" s="179" t="s">
        <v>518</v>
      </c>
      <c r="B378" s="49" t="s">
        <v>122</v>
      </c>
      <c r="C378" s="133" t="str">
        <f>ESE!Z379</f>
        <v>0</v>
      </c>
      <c r="D378" s="133" t="str">
        <f>ESE!AA379</f>
        <v>0</v>
      </c>
      <c r="E378" s="133" t="str">
        <f>ESE!AB379</f>
        <v>0</v>
      </c>
      <c r="F378" s="133" t="str">
        <f>ESE!AC379</f>
        <v>0</v>
      </c>
      <c r="G378" s="133" t="str">
        <f>ESE!AD379</f>
        <v>0</v>
      </c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</row>
    <row r="379" ht="16.5" customHeight="1">
      <c r="A379" s="179" t="s">
        <v>519</v>
      </c>
      <c r="B379" s="49" t="s">
        <v>122</v>
      </c>
      <c r="C379" s="133" t="str">
        <f>ESE!Z380</f>
        <v>0</v>
      </c>
      <c r="D379" s="133" t="str">
        <f>ESE!AA380</f>
        <v>0</v>
      </c>
      <c r="E379" s="133" t="str">
        <f>ESE!AB380</f>
        <v>0</v>
      </c>
      <c r="F379" s="133" t="str">
        <f>ESE!AC380</f>
        <v>0</v>
      </c>
      <c r="G379" s="133" t="str">
        <f>ESE!AD380</f>
        <v>0</v>
      </c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</row>
    <row r="380" ht="16.5" customHeight="1">
      <c r="A380" s="179" t="s">
        <v>520</v>
      </c>
      <c r="B380" s="49" t="s">
        <v>122</v>
      </c>
      <c r="C380" s="133" t="str">
        <f>ESE!Z381</f>
        <v>0</v>
      </c>
      <c r="D380" s="133" t="str">
        <f>ESE!AA381</f>
        <v>0</v>
      </c>
      <c r="E380" s="133" t="str">
        <f>ESE!AB381</f>
        <v>0</v>
      </c>
      <c r="F380" s="133" t="str">
        <f>ESE!AC381</f>
        <v>0</v>
      </c>
      <c r="G380" s="133" t="str">
        <f>ESE!AD381</f>
        <v>0</v>
      </c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</row>
    <row r="381" ht="16.5" customHeight="1">
      <c r="A381" s="179" t="s">
        <v>521</v>
      </c>
      <c r="B381" s="49" t="s">
        <v>122</v>
      </c>
      <c r="C381" s="133" t="str">
        <f>ESE!Z382</f>
        <v>0</v>
      </c>
      <c r="D381" s="133" t="str">
        <f>ESE!AA382</f>
        <v>0</v>
      </c>
      <c r="E381" s="133" t="str">
        <f>ESE!AB382</f>
        <v>0</v>
      </c>
      <c r="F381" s="133" t="str">
        <f>ESE!AC382</f>
        <v>0</v>
      </c>
      <c r="G381" s="133" t="str">
        <f>ESE!AD382</f>
        <v>0</v>
      </c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</row>
    <row r="382" ht="16.5" customHeight="1">
      <c r="A382" s="179" t="s">
        <v>522</v>
      </c>
      <c r="B382" s="49" t="s">
        <v>122</v>
      </c>
      <c r="C382" s="133" t="str">
        <f>ESE!Z383</f>
        <v>0</v>
      </c>
      <c r="D382" s="133" t="str">
        <f>ESE!AA383</f>
        <v>0</v>
      </c>
      <c r="E382" s="133" t="str">
        <f>ESE!AB383</f>
        <v>0</v>
      </c>
      <c r="F382" s="133" t="str">
        <f>ESE!AC383</f>
        <v>0</v>
      </c>
      <c r="G382" s="133" t="str">
        <f>ESE!AD383</f>
        <v>0</v>
      </c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</row>
    <row r="383" ht="16.5" customHeight="1">
      <c r="A383" s="179" t="s">
        <v>523</v>
      </c>
      <c r="B383" s="49" t="s">
        <v>122</v>
      </c>
      <c r="C383" s="133" t="str">
        <f>ESE!Z384</f>
        <v>0</v>
      </c>
      <c r="D383" s="133" t="str">
        <f>ESE!AA384</f>
        <v>0</v>
      </c>
      <c r="E383" s="133" t="str">
        <f>ESE!AB384</f>
        <v>0</v>
      </c>
      <c r="F383" s="133" t="str">
        <f>ESE!AC384</f>
        <v>0</v>
      </c>
      <c r="G383" s="133" t="str">
        <f>ESE!AD384</f>
        <v>0</v>
      </c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</row>
    <row r="384" ht="16.5" customHeight="1">
      <c r="A384" s="179" t="s">
        <v>524</v>
      </c>
      <c r="B384" s="49" t="s">
        <v>122</v>
      </c>
      <c r="C384" s="133" t="str">
        <f>ESE!Z385</f>
        <v>0</v>
      </c>
      <c r="D384" s="133" t="str">
        <f>ESE!AA385</f>
        <v>0</v>
      </c>
      <c r="E384" s="133" t="str">
        <f>ESE!AB385</f>
        <v>0</v>
      </c>
      <c r="F384" s="133" t="str">
        <f>ESE!AC385</f>
        <v>0</v>
      </c>
      <c r="G384" s="133" t="str">
        <f>ESE!AD385</f>
        <v>0</v>
      </c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</row>
    <row r="385" ht="16.5" customHeight="1">
      <c r="A385" s="179" t="s">
        <v>525</v>
      </c>
      <c r="B385" s="49" t="s">
        <v>122</v>
      </c>
      <c r="C385" s="133" t="str">
        <f>ESE!Z386</f>
        <v>0</v>
      </c>
      <c r="D385" s="133" t="str">
        <f>ESE!AA386</f>
        <v>0</v>
      </c>
      <c r="E385" s="133" t="str">
        <f>ESE!AB386</f>
        <v>0</v>
      </c>
      <c r="F385" s="133" t="str">
        <f>ESE!AC386</f>
        <v>0</v>
      </c>
      <c r="G385" s="133" t="str">
        <f>ESE!AD386</f>
        <v>0</v>
      </c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</row>
    <row r="386" ht="16.5" customHeight="1">
      <c r="A386" s="179" t="s">
        <v>526</v>
      </c>
      <c r="B386" s="49" t="s">
        <v>122</v>
      </c>
      <c r="C386" s="133" t="str">
        <f>ESE!Z387</f>
        <v>0</v>
      </c>
      <c r="D386" s="133" t="str">
        <f>ESE!AA387</f>
        <v>0</v>
      </c>
      <c r="E386" s="133" t="str">
        <f>ESE!AB387</f>
        <v>0</v>
      </c>
      <c r="F386" s="133" t="str">
        <f>ESE!AC387</f>
        <v>0</v>
      </c>
      <c r="G386" s="133" t="str">
        <f>ESE!AD387</f>
        <v>0</v>
      </c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</row>
    <row r="387" ht="16.5" customHeight="1">
      <c r="A387" s="179" t="s">
        <v>527</v>
      </c>
      <c r="B387" s="49" t="s">
        <v>122</v>
      </c>
      <c r="C387" s="133" t="str">
        <f>ESE!Z388</f>
        <v>0</v>
      </c>
      <c r="D387" s="133" t="str">
        <f>ESE!AA388</f>
        <v>0</v>
      </c>
      <c r="E387" s="133" t="str">
        <f>ESE!AB388</f>
        <v>0</v>
      </c>
      <c r="F387" s="133" t="str">
        <f>ESE!AC388</f>
        <v>0</v>
      </c>
      <c r="G387" s="133" t="str">
        <f>ESE!AD388</f>
        <v>0</v>
      </c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</row>
    <row r="388" ht="16.5" customHeight="1">
      <c r="A388" s="179" t="s">
        <v>528</v>
      </c>
      <c r="B388" s="49" t="s">
        <v>122</v>
      </c>
      <c r="C388" s="133" t="str">
        <f>ESE!Z389</f>
        <v>0</v>
      </c>
      <c r="D388" s="133" t="str">
        <f>ESE!AA389</f>
        <v>0</v>
      </c>
      <c r="E388" s="133" t="str">
        <f>ESE!AB389</f>
        <v>0</v>
      </c>
      <c r="F388" s="133" t="str">
        <f>ESE!AC389</f>
        <v>0</v>
      </c>
      <c r="G388" s="133" t="str">
        <f>ESE!AD389</f>
        <v>0</v>
      </c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</row>
    <row r="389" ht="16.5" customHeight="1">
      <c r="A389" s="179" t="s">
        <v>529</v>
      </c>
      <c r="B389" s="49" t="s">
        <v>122</v>
      </c>
      <c r="C389" s="133" t="str">
        <f>ESE!Z390</f>
        <v>0</v>
      </c>
      <c r="D389" s="133" t="str">
        <f>ESE!AA390</f>
        <v>0</v>
      </c>
      <c r="E389" s="133" t="str">
        <f>ESE!AB390</f>
        <v>0</v>
      </c>
      <c r="F389" s="133" t="str">
        <f>ESE!AC390</f>
        <v>0</v>
      </c>
      <c r="G389" s="133" t="str">
        <f>ESE!AD390</f>
        <v>0</v>
      </c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</row>
    <row r="390" ht="16.5" customHeight="1">
      <c r="A390" s="179" t="s">
        <v>530</v>
      </c>
      <c r="B390" s="49" t="s">
        <v>122</v>
      </c>
      <c r="C390" s="133" t="str">
        <f>ESE!Z391</f>
        <v>0</v>
      </c>
      <c r="D390" s="133" t="str">
        <f>ESE!AA391</f>
        <v>0</v>
      </c>
      <c r="E390" s="133" t="str">
        <f>ESE!AB391</f>
        <v>0</v>
      </c>
      <c r="F390" s="133" t="str">
        <f>ESE!AC391</f>
        <v>0</v>
      </c>
      <c r="G390" s="133" t="str">
        <f>ESE!AD391</f>
        <v>0</v>
      </c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</row>
    <row r="391" ht="16.5" customHeight="1">
      <c r="A391" s="179" t="s">
        <v>531</v>
      </c>
      <c r="B391" s="49" t="s">
        <v>122</v>
      </c>
      <c r="C391" s="133" t="str">
        <f>ESE!Z392</f>
        <v>0</v>
      </c>
      <c r="D391" s="133" t="str">
        <f>ESE!AA392</f>
        <v>0</v>
      </c>
      <c r="E391" s="133" t="str">
        <f>ESE!AB392</f>
        <v>0</v>
      </c>
      <c r="F391" s="133" t="str">
        <f>ESE!AC392</f>
        <v>0</v>
      </c>
      <c r="G391" s="133" t="str">
        <f>ESE!AD392</f>
        <v>0</v>
      </c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</row>
    <row r="392" ht="16.5" customHeight="1">
      <c r="A392" s="179" t="s">
        <v>532</v>
      </c>
      <c r="B392" s="49" t="s">
        <v>122</v>
      </c>
      <c r="C392" s="133" t="str">
        <f>ESE!Z393</f>
        <v>0</v>
      </c>
      <c r="D392" s="133" t="str">
        <f>ESE!AA393</f>
        <v>0</v>
      </c>
      <c r="E392" s="133" t="str">
        <f>ESE!AB393</f>
        <v>0</v>
      </c>
      <c r="F392" s="133" t="str">
        <f>ESE!AC393</f>
        <v>0</v>
      </c>
      <c r="G392" s="133" t="str">
        <f>ESE!AD393</f>
        <v>0</v>
      </c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</row>
    <row r="393" ht="16.5" customHeight="1">
      <c r="A393" s="179" t="s">
        <v>533</v>
      </c>
      <c r="B393" s="49" t="s">
        <v>122</v>
      </c>
      <c r="C393" s="133" t="str">
        <f>ESE!Z394</f>
        <v>0</v>
      </c>
      <c r="D393" s="133" t="str">
        <f>ESE!AA394</f>
        <v>0</v>
      </c>
      <c r="E393" s="133" t="str">
        <f>ESE!AB394</f>
        <v>0</v>
      </c>
      <c r="F393" s="133" t="str">
        <f>ESE!AC394</f>
        <v>0</v>
      </c>
      <c r="G393" s="133" t="str">
        <f>ESE!AD394</f>
        <v>0</v>
      </c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</row>
    <row r="394" ht="16.5" customHeight="1">
      <c r="A394" s="179" t="s">
        <v>534</v>
      </c>
      <c r="B394" s="49" t="s">
        <v>122</v>
      </c>
      <c r="C394" s="133" t="str">
        <f>ESE!Z395</f>
        <v>0</v>
      </c>
      <c r="D394" s="133" t="str">
        <f>ESE!AA395</f>
        <v>0</v>
      </c>
      <c r="E394" s="133" t="str">
        <f>ESE!AB395</f>
        <v>0</v>
      </c>
      <c r="F394" s="133" t="str">
        <f>ESE!AC395</f>
        <v>0</v>
      </c>
      <c r="G394" s="133" t="str">
        <f>ESE!AD395</f>
        <v>0</v>
      </c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</row>
    <row r="395" ht="16.5" customHeight="1">
      <c r="A395" s="179" t="s">
        <v>535</v>
      </c>
      <c r="B395" s="49" t="s">
        <v>122</v>
      </c>
      <c r="C395" s="133" t="str">
        <f>ESE!Z396</f>
        <v>0</v>
      </c>
      <c r="D395" s="133" t="str">
        <f>ESE!AA396</f>
        <v>0</v>
      </c>
      <c r="E395" s="133" t="str">
        <f>ESE!AB396</f>
        <v>0</v>
      </c>
      <c r="F395" s="133" t="str">
        <f>ESE!AC396</f>
        <v>0</v>
      </c>
      <c r="G395" s="133" t="str">
        <f>ESE!AD396</f>
        <v>0</v>
      </c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</row>
    <row r="396" ht="16.5" customHeight="1">
      <c r="A396" s="179" t="s">
        <v>536</v>
      </c>
      <c r="B396" s="49" t="s">
        <v>122</v>
      </c>
      <c r="C396" s="133" t="str">
        <f>ESE!Z397</f>
        <v>0</v>
      </c>
      <c r="D396" s="133" t="str">
        <f>ESE!AA397</f>
        <v>0</v>
      </c>
      <c r="E396" s="133" t="str">
        <f>ESE!AB397</f>
        <v>0</v>
      </c>
      <c r="F396" s="133" t="str">
        <f>ESE!AC397</f>
        <v>0</v>
      </c>
      <c r="G396" s="133" t="str">
        <f>ESE!AD397</f>
        <v>0</v>
      </c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</row>
    <row r="397" ht="16.5" customHeight="1">
      <c r="A397" s="179" t="s">
        <v>537</v>
      </c>
      <c r="B397" s="49" t="s">
        <v>122</v>
      </c>
      <c r="C397" s="133" t="str">
        <f>ESE!Z398</f>
        <v>0</v>
      </c>
      <c r="D397" s="133" t="str">
        <f>ESE!AA398</f>
        <v>0</v>
      </c>
      <c r="E397" s="133" t="str">
        <f>ESE!AB398</f>
        <v>0</v>
      </c>
      <c r="F397" s="133" t="str">
        <f>ESE!AC398</f>
        <v>0</v>
      </c>
      <c r="G397" s="133" t="str">
        <f>ESE!AD398</f>
        <v>0</v>
      </c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</row>
    <row r="398" ht="16.5" customHeight="1">
      <c r="A398" s="179" t="s">
        <v>538</v>
      </c>
      <c r="B398" s="49" t="s">
        <v>122</v>
      </c>
      <c r="C398" s="133" t="str">
        <f>ESE!Z399</f>
        <v>0</v>
      </c>
      <c r="D398" s="133" t="str">
        <f>ESE!AA399</f>
        <v>0</v>
      </c>
      <c r="E398" s="133" t="str">
        <f>ESE!AB399</f>
        <v>0</v>
      </c>
      <c r="F398" s="133" t="str">
        <f>ESE!AC399</f>
        <v>0</v>
      </c>
      <c r="G398" s="133" t="str">
        <f>ESE!AD399</f>
        <v>0</v>
      </c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</row>
    <row r="399" ht="16.5" customHeight="1">
      <c r="A399" s="179" t="s">
        <v>539</v>
      </c>
      <c r="B399" s="49" t="s">
        <v>122</v>
      </c>
      <c r="C399" s="133" t="str">
        <f>ESE!Z400</f>
        <v>0</v>
      </c>
      <c r="D399" s="133" t="str">
        <f>ESE!AA400</f>
        <v>0</v>
      </c>
      <c r="E399" s="133" t="str">
        <f>ESE!AB400</f>
        <v>0</v>
      </c>
      <c r="F399" s="133" t="str">
        <f>ESE!AC400</f>
        <v>0</v>
      </c>
      <c r="G399" s="133" t="str">
        <f>ESE!AD400</f>
        <v>0</v>
      </c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</row>
    <row r="400" ht="16.5" customHeight="1">
      <c r="A400" s="179" t="s">
        <v>540</v>
      </c>
      <c r="B400" s="49" t="s">
        <v>122</v>
      </c>
      <c r="C400" s="133" t="str">
        <f>ESE!Z401</f>
        <v>0</v>
      </c>
      <c r="D400" s="133" t="str">
        <f>ESE!AA401</f>
        <v>0</v>
      </c>
      <c r="E400" s="133" t="str">
        <f>ESE!AB401</f>
        <v>0</v>
      </c>
      <c r="F400" s="133" t="str">
        <f>ESE!AC401</f>
        <v>0</v>
      </c>
      <c r="G400" s="133" t="str">
        <f>ESE!AD401</f>
        <v>0</v>
      </c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</row>
    <row r="401" ht="16.5" customHeight="1">
      <c r="A401" s="179" t="s">
        <v>541</v>
      </c>
      <c r="B401" s="49" t="s">
        <v>122</v>
      </c>
      <c r="C401" s="133" t="str">
        <f>ESE!Z402</f>
        <v>0</v>
      </c>
      <c r="D401" s="133" t="str">
        <f>ESE!AA402</f>
        <v>0</v>
      </c>
      <c r="E401" s="133" t="str">
        <f>ESE!AB402</f>
        <v>0</v>
      </c>
      <c r="F401" s="133" t="str">
        <f>ESE!AC402</f>
        <v>0</v>
      </c>
      <c r="G401" s="133" t="str">
        <f>ESE!AD402</f>
        <v>0</v>
      </c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</row>
    <row r="402" ht="16.5" customHeight="1">
      <c r="A402" s="179" t="s">
        <v>542</v>
      </c>
      <c r="B402" s="49" t="s">
        <v>122</v>
      </c>
      <c r="C402" s="133" t="str">
        <f>ESE!Z403</f>
        <v>0</v>
      </c>
      <c r="D402" s="133" t="str">
        <f>ESE!AA403</f>
        <v>0</v>
      </c>
      <c r="E402" s="133" t="str">
        <f>ESE!AB403</f>
        <v>0</v>
      </c>
      <c r="F402" s="133" t="str">
        <f>ESE!AC403</f>
        <v>0</v>
      </c>
      <c r="G402" s="133" t="str">
        <f>ESE!AD403</f>
        <v>0</v>
      </c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</row>
    <row r="403" ht="16.5" customHeight="1">
      <c r="A403" s="179" t="s">
        <v>543</v>
      </c>
      <c r="B403" s="49" t="s">
        <v>122</v>
      </c>
      <c r="C403" s="133" t="str">
        <f>ESE!Z404</f>
        <v>0</v>
      </c>
      <c r="D403" s="133" t="str">
        <f>ESE!AA404</f>
        <v>0</v>
      </c>
      <c r="E403" s="133" t="str">
        <f>ESE!AB404</f>
        <v>0</v>
      </c>
      <c r="F403" s="133" t="str">
        <f>ESE!AC404</f>
        <v>0</v>
      </c>
      <c r="G403" s="133" t="str">
        <f>ESE!AD404</f>
        <v>0</v>
      </c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</row>
    <row r="404" ht="16.5" customHeight="1">
      <c r="A404" s="179" t="s">
        <v>544</v>
      </c>
      <c r="B404" s="49" t="s">
        <v>122</v>
      </c>
      <c r="C404" s="133" t="str">
        <f>ESE!Z405</f>
        <v>0</v>
      </c>
      <c r="D404" s="133" t="str">
        <f>ESE!AA405</f>
        <v>0</v>
      </c>
      <c r="E404" s="133" t="str">
        <f>ESE!AB405</f>
        <v>0</v>
      </c>
      <c r="F404" s="133" t="str">
        <f>ESE!AC405</f>
        <v>0</v>
      </c>
      <c r="G404" s="133" t="str">
        <f>ESE!AD405</f>
        <v>0</v>
      </c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</row>
    <row r="405" ht="16.5" customHeight="1">
      <c r="A405" s="179" t="s">
        <v>545</v>
      </c>
      <c r="B405" s="49" t="s">
        <v>122</v>
      </c>
      <c r="C405" s="133" t="str">
        <f>ESE!Z406</f>
        <v>0</v>
      </c>
      <c r="D405" s="133" t="str">
        <f>ESE!AA406</f>
        <v>0</v>
      </c>
      <c r="E405" s="133" t="str">
        <f>ESE!AB406</f>
        <v>0</v>
      </c>
      <c r="F405" s="133" t="str">
        <f>ESE!AC406</f>
        <v>0</v>
      </c>
      <c r="G405" s="133" t="str">
        <f>ESE!AD406</f>
        <v>0</v>
      </c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</row>
    <row r="406" ht="16.5" customHeight="1">
      <c r="A406" s="179" t="s">
        <v>546</v>
      </c>
      <c r="B406" s="49" t="s">
        <v>122</v>
      </c>
      <c r="C406" s="133" t="str">
        <f>ESE!Z407</f>
        <v>0</v>
      </c>
      <c r="D406" s="133" t="str">
        <f>ESE!AA407</f>
        <v>0</v>
      </c>
      <c r="E406" s="133" t="str">
        <f>ESE!AB407</f>
        <v>0</v>
      </c>
      <c r="F406" s="133" t="str">
        <f>ESE!AC407</f>
        <v>0</v>
      </c>
      <c r="G406" s="133" t="str">
        <f>ESE!AD407</f>
        <v>0</v>
      </c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</row>
    <row r="407" ht="16.5" customHeight="1">
      <c r="A407" s="179" t="s">
        <v>547</v>
      </c>
      <c r="B407" s="49" t="s">
        <v>122</v>
      </c>
      <c r="C407" s="133" t="str">
        <f>ESE!Z408</f>
        <v>0</v>
      </c>
      <c r="D407" s="133" t="str">
        <f>ESE!AA408</f>
        <v>0</v>
      </c>
      <c r="E407" s="133" t="str">
        <f>ESE!AB408</f>
        <v>0</v>
      </c>
      <c r="F407" s="133" t="str">
        <f>ESE!AC408</f>
        <v>0</v>
      </c>
      <c r="G407" s="133" t="str">
        <f>ESE!AD408</f>
        <v>0</v>
      </c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</row>
    <row r="408" ht="16.5" customHeight="1">
      <c r="A408" s="179" t="s">
        <v>548</v>
      </c>
      <c r="B408" s="49" t="s">
        <v>122</v>
      </c>
      <c r="C408" s="133" t="str">
        <f>ESE!Z409</f>
        <v>0</v>
      </c>
      <c r="D408" s="133" t="str">
        <f>ESE!AA409</f>
        <v>0</v>
      </c>
      <c r="E408" s="133" t="str">
        <f>ESE!AB409</f>
        <v>0</v>
      </c>
      <c r="F408" s="133" t="str">
        <f>ESE!AC409</f>
        <v>0</v>
      </c>
      <c r="G408" s="133" t="str">
        <f>ESE!AD409</f>
        <v>0</v>
      </c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</row>
    <row r="409" ht="16.5" customHeight="1">
      <c r="A409" s="179" t="s">
        <v>549</v>
      </c>
      <c r="B409" s="49" t="s">
        <v>122</v>
      </c>
      <c r="C409" s="133" t="str">
        <f>ESE!Z410</f>
        <v>0</v>
      </c>
      <c r="D409" s="133" t="str">
        <f>ESE!AA410</f>
        <v>0</v>
      </c>
      <c r="E409" s="133" t="str">
        <f>ESE!AB410</f>
        <v>0</v>
      </c>
      <c r="F409" s="133" t="str">
        <f>ESE!AC410</f>
        <v>0</v>
      </c>
      <c r="G409" s="133" t="str">
        <f>ESE!AD410</f>
        <v>0</v>
      </c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</row>
    <row r="410" ht="16.5" customHeight="1">
      <c r="A410" s="179" t="s">
        <v>550</v>
      </c>
      <c r="B410" s="49" t="s">
        <v>122</v>
      </c>
      <c r="C410" s="133" t="str">
        <f>ESE!Z411</f>
        <v>0</v>
      </c>
      <c r="D410" s="133" t="str">
        <f>ESE!AA411</f>
        <v>0</v>
      </c>
      <c r="E410" s="133" t="str">
        <f>ESE!AB411</f>
        <v>0</v>
      </c>
      <c r="F410" s="133" t="str">
        <f>ESE!AC411</f>
        <v>0</v>
      </c>
      <c r="G410" s="133" t="str">
        <f>ESE!AD411</f>
        <v>0</v>
      </c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</row>
    <row r="411" ht="16.5" customHeight="1">
      <c r="A411" s="179" t="s">
        <v>551</v>
      </c>
      <c r="B411" s="49" t="s">
        <v>122</v>
      </c>
      <c r="C411" s="133" t="str">
        <f>ESE!Z412</f>
        <v>0</v>
      </c>
      <c r="D411" s="133" t="str">
        <f>ESE!AA412</f>
        <v>0</v>
      </c>
      <c r="E411" s="133" t="str">
        <f>ESE!AB412</f>
        <v>0</v>
      </c>
      <c r="F411" s="133" t="str">
        <f>ESE!AC412</f>
        <v>0</v>
      </c>
      <c r="G411" s="133" t="str">
        <f>ESE!AD412</f>
        <v>0</v>
      </c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</row>
    <row r="412" ht="16.5" customHeight="1">
      <c r="A412" s="179" t="s">
        <v>552</v>
      </c>
      <c r="B412" s="49" t="s">
        <v>122</v>
      </c>
      <c r="C412" s="133" t="str">
        <f>ESE!Z413</f>
        <v>0</v>
      </c>
      <c r="D412" s="133" t="str">
        <f>ESE!AA413</f>
        <v>0</v>
      </c>
      <c r="E412" s="133" t="str">
        <f>ESE!AB413</f>
        <v>0</v>
      </c>
      <c r="F412" s="133" t="str">
        <f>ESE!AC413</f>
        <v>0</v>
      </c>
      <c r="G412" s="133" t="str">
        <f>ESE!AD413</f>
        <v>0</v>
      </c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</row>
    <row r="413" ht="16.5" customHeight="1">
      <c r="A413" s="179" t="s">
        <v>553</v>
      </c>
      <c r="B413" s="49" t="s">
        <v>122</v>
      </c>
      <c r="C413" s="133" t="str">
        <f>ESE!Z414</f>
        <v>0</v>
      </c>
      <c r="D413" s="133" t="str">
        <f>ESE!AA414</f>
        <v>0</v>
      </c>
      <c r="E413" s="133" t="str">
        <f>ESE!AB414</f>
        <v>0</v>
      </c>
      <c r="F413" s="133" t="str">
        <f>ESE!AC414</f>
        <v>0</v>
      </c>
      <c r="G413" s="133" t="str">
        <f>ESE!AD414</f>
        <v>0</v>
      </c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</row>
    <row r="414" ht="16.5" customHeight="1">
      <c r="A414" s="179" t="s">
        <v>554</v>
      </c>
      <c r="B414" s="49" t="s">
        <v>122</v>
      </c>
      <c r="C414" s="133" t="str">
        <f>ESE!Z415</f>
        <v>0</v>
      </c>
      <c r="D414" s="133" t="str">
        <f>ESE!AA415</f>
        <v>0</v>
      </c>
      <c r="E414" s="133" t="str">
        <f>ESE!AB415</f>
        <v>0</v>
      </c>
      <c r="F414" s="133" t="str">
        <f>ESE!AC415</f>
        <v>0</v>
      </c>
      <c r="G414" s="133" t="str">
        <f>ESE!AD415</f>
        <v>0</v>
      </c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</row>
    <row r="415" ht="16.5" customHeight="1">
      <c r="A415" s="179" t="s">
        <v>555</v>
      </c>
      <c r="B415" s="49" t="s">
        <v>122</v>
      </c>
      <c r="C415" s="133" t="str">
        <f>ESE!Z416</f>
        <v>0</v>
      </c>
      <c r="D415" s="133" t="str">
        <f>ESE!AA416</f>
        <v>0</v>
      </c>
      <c r="E415" s="133" t="str">
        <f>ESE!AB416</f>
        <v>0</v>
      </c>
      <c r="F415" s="133" t="str">
        <f>ESE!AC416</f>
        <v>0</v>
      </c>
      <c r="G415" s="133" t="str">
        <f>ESE!AD416</f>
        <v>0</v>
      </c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</row>
    <row r="416" ht="16.5" customHeight="1">
      <c r="A416" s="179" t="s">
        <v>556</v>
      </c>
      <c r="B416" s="49" t="s">
        <v>122</v>
      </c>
      <c r="C416" s="133" t="str">
        <f>ESE!Z417</f>
        <v>0</v>
      </c>
      <c r="D416" s="133" t="str">
        <f>ESE!AA417</f>
        <v>0</v>
      </c>
      <c r="E416" s="133" t="str">
        <f>ESE!AB417</f>
        <v>0</v>
      </c>
      <c r="F416" s="133" t="str">
        <f>ESE!AC417</f>
        <v>0</v>
      </c>
      <c r="G416" s="133" t="str">
        <f>ESE!AD417</f>
        <v>0</v>
      </c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</row>
    <row r="417" ht="16.5" customHeight="1">
      <c r="A417" s="179" t="s">
        <v>557</v>
      </c>
      <c r="B417" s="49" t="s">
        <v>122</v>
      </c>
      <c r="C417" s="133" t="str">
        <f>ESE!Z418</f>
        <v>0</v>
      </c>
      <c r="D417" s="133" t="str">
        <f>ESE!AA418</f>
        <v>0</v>
      </c>
      <c r="E417" s="133" t="str">
        <f>ESE!AB418</f>
        <v>0</v>
      </c>
      <c r="F417" s="133" t="str">
        <f>ESE!AC418</f>
        <v>0</v>
      </c>
      <c r="G417" s="133" t="str">
        <f>ESE!AD418</f>
        <v>0</v>
      </c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</row>
    <row r="418" ht="16.5" customHeight="1">
      <c r="A418" s="179" t="s">
        <v>558</v>
      </c>
      <c r="B418" s="49" t="s">
        <v>122</v>
      </c>
      <c r="C418" s="133" t="str">
        <f>ESE!Z419</f>
        <v>0</v>
      </c>
      <c r="D418" s="133" t="str">
        <f>ESE!AA419</f>
        <v>0</v>
      </c>
      <c r="E418" s="133" t="str">
        <f>ESE!AB419</f>
        <v>0</v>
      </c>
      <c r="F418" s="133" t="str">
        <f>ESE!AC419</f>
        <v>0</v>
      </c>
      <c r="G418" s="133" t="str">
        <f>ESE!AD419</f>
        <v>0</v>
      </c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</row>
    <row r="419" ht="16.5" customHeight="1">
      <c r="A419" s="179" t="s">
        <v>559</v>
      </c>
      <c r="B419" s="49" t="s">
        <v>122</v>
      </c>
      <c r="C419" s="133" t="str">
        <f>ESE!Z420</f>
        <v>0</v>
      </c>
      <c r="D419" s="133" t="str">
        <f>ESE!AA420</f>
        <v>0</v>
      </c>
      <c r="E419" s="133" t="str">
        <f>ESE!AB420</f>
        <v>0</v>
      </c>
      <c r="F419" s="133" t="str">
        <f>ESE!AC420</f>
        <v>0</v>
      </c>
      <c r="G419" s="133" t="str">
        <f>ESE!AD420</f>
        <v>0</v>
      </c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</row>
    <row r="420" ht="16.5" customHeight="1">
      <c r="A420" s="179" t="s">
        <v>560</v>
      </c>
      <c r="B420" s="49" t="s">
        <v>122</v>
      </c>
      <c r="C420" s="133" t="str">
        <f>ESE!Z421</f>
        <v>0</v>
      </c>
      <c r="D420" s="133" t="str">
        <f>ESE!AA421</f>
        <v>0</v>
      </c>
      <c r="E420" s="133" t="str">
        <f>ESE!AB421</f>
        <v>0</v>
      </c>
      <c r="F420" s="133" t="str">
        <f>ESE!AC421</f>
        <v>0</v>
      </c>
      <c r="G420" s="133" t="str">
        <f>ESE!AD421</f>
        <v>0</v>
      </c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</row>
    <row r="421" ht="16.5" customHeight="1">
      <c r="A421" s="179" t="s">
        <v>561</v>
      </c>
      <c r="B421" s="49" t="s">
        <v>122</v>
      </c>
      <c r="C421" s="133" t="str">
        <f>ESE!Z422</f>
        <v>0</v>
      </c>
      <c r="D421" s="133" t="str">
        <f>ESE!AA422</f>
        <v>0</v>
      </c>
      <c r="E421" s="133" t="str">
        <f>ESE!AB422</f>
        <v>0</v>
      </c>
      <c r="F421" s="133" t="str">
        <f>ESE!AC422</f>
        <v>0</v>
      </c>
      <c r="G421" s="133" t="str">
        <f>ESE!AD422</f>
        <v>0</v>
      </c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</row>
    <row r="422" ht="16.5" customHeight="1">
      <c r="A422" s="179" t="s">
        <v>562</v>
      </c>
      <c r="B422" s="49" t="s">
        <v>122</v>
      </c>
      <c r="C422" s="133" t="str">
        <f>ESE!Z423</f>
        <v>0</v>
      </c>
      <c r="D422" s="133" t="str">
        <f>ESE!AA423</f>
        <v>0</v>
      </c>
      <c r="E422" s="133" t="str">
        <f>ESE!AB423</f>
        <v>0</v>
      </c>
      <c r="F422" s="133" t="str">
        <f>ESE!AC423</f>
        <v>0</v>
      </c>
      <c r="G422" s="133" t="str">
        <f>ESE!AD423</f>
        <v>0</v>
      </c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</row>
    <row r="423" ht="16.5" customHeight="1">
      <c r="A423" s="179" t="s">
        <v>563</v>
      </c>
      <c r="B423" s="49" t="s">
        <v>122</v>
      </c>
      <c r="C423" s="133" t="str">
        <f>ESE!Z424</f>
        <v>0</v>
      </c>
      <c r="D423" s="133" t="str">
        <f>ESE!AA424</f>
        <v>0</v>
      </c>
      <c r="E423" s="133" t="str">
        <f>ESE!AB424</f>
        <v>0</v>
      </c>
      <c r="F423" s="133" t="str">
        <f>ESE!AC424</f>
        <v>0</v>
      </c>
      <c r="G423" s="133" t="str">
        <f>ESE!AD424</f>
        <v>0</v>
      </c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</row>
    <row r="424" ht="16.5" customHeight="1">
      <c r="A424" s="179" t="s">
        <v>564</v>
      </c>
      <c r="B424" s="49" t="s">
        <v>122</v>
      </c>
      <c r="C424" s="133" t="str">
        <f>ESE!Z425</f>
        <v>0</v>
      </c>
      <c r="D424" s="133" t="str">
        <f>ESE!AA425</f>
        <v>0</v>
      </c>
      <c r="E424" s="133" t="str">
        <f>ESE!AB425</f>
        <v>0</v>
      </c>
      <c r="F424" s="133" t="str">
        <f>ESE!AC425</f>
        <v>0</v>
      </c>
      <c r="G424" s="133" t="str">
        <f>ESE!AD425</f>
        <v>0</v>
      </c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</row>
    <row r="425" ht="16.5" customHeight="1">
      <c r="A425" s="179" t="s">
        <v>565</v>
      </c>
      <c r="B425" s="49" t="s">
        <v>122</v>
      </c>
      <c r="C425" s="133" t="str">
        <f>ESE!Z426</f>
        <v>0</v>
      </c>
      <c r="D425" s="133" t="str">
        <f>ESE!AA426</f>
        <v>0</v>
      </c>
      <c r="E425" s="133" t="str">
        <f>ESE!AB426</f>
        <v>0</v>
      </c>
      <c r="F425" s="133" t="str">
        <f>ESE!AC426</f>
        <v>0</v>
      </c>
      <c r="G425" s="133" t="str">
        <f>ESE!AD426</f>
        <v>0</v>
      </c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</row>
    <row r="426" ht="16.5" customHeight="1">
      <c r="A426" s="179" t="s">
        <v>566</v>
      </c>
      <c r="B426" s="49" t="s">
        <v>122</v>
      </c>
      <c r="C426" s="133" t="str">
        <f>ESE!Z427</f>
        <v>0</v>
      </c>
      <c r="D426" s="133" t="str">
        <f>ESE!AA427</f>
        <v>0</v>
      </c>
      <c r="E426" s="133" t="str">
        <f>ESE!AB427</f>
        <v>0</v>
      </c>
      <c r="F426" s="133" t="str">
        <f>ESE!AC427</f>
        <v>0</v>
      </c>
      <c r="G426" s="133" t="str">
        <f>ESE!AD427</f>
        <v>0</v>
      </c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</row>
    <row r="427" ht="16.5" customHeight="1">
      <c r="A427" s="179" t="s">
        <v>567</v>
      </c>
      <c r="B427" s="49" t="s">
        <v>122</v>
      </c>
      <c r="C427" s="133" t="str">
        <f>ESE!Z428</f>
        <v>0</v>
      </c>
      <c r="D427" s="133" t="str">
        <f>ESE!AA428</f>
        <v>0</v>
      </c>
      <c r="E427" s="133" t="str">
        <f>ESE!AB428</f>
        <v>0</v>
      </c>
      <c r="F427" s="133" t="str">
        <f>ESE!AC428</f>
        <v>0</v>
      </c>
      <c r="G427" s="133" t="str">
        <f>ESE!AD428</f>
        <v>0</v>
      </c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</row>
    <row r="428" ht="16.5" customHeight="1">
      <c r="A428" s="179" t="s">
        <v>568</v>
      </c>
      <c r="B428" s="49" t="s">
        <v>122</v>
      </c>
      <c r="C428" s="133" t="str">
        <f>ESE!Z429</f>
        <v>0</v>
      </c>
      <c r="D428" s="133" t="str">
        <f>ESE!AA429</f>
        <v>0</v>
      </c>
      <c r="E428" s="133" t="str">
        <f>ESE!AB429</f>
        <v>0</v>
      </c>
      <c r="F428" s="133" t="str">
        <f>ESE!AC429</f>
        <v>0</v>
      </c>
      <c r="G428" s="133" t="str">
        <f>ESE!AD429</f>
        <v>0</v>
      </c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</row>
    <row r="429" ht="16.5" customHeight="1">
      <c r="A429" s="179" t="s">
        <v>569</v>
      </c>
      <c r="B429" s="49" t="s">
        <v>122</v>
      </c>
      <c r="C429" s="133" t="str">
        <f>ESE!Z430</f>
        <v>0</v>
      </c>
      <c r="D429" s="133" t="str">
        <f>ESE!AA430</f>
        <v>0</v>
      </c>
      <c r="E429" s="133" t="str">
        <f>ESE!AB430</f>
        <v>0</v>
      </c>
      <c r="F429" s="133" t="str">
        <f>ESE!AC430</f>
        <v>0</v>
      </c>
      <c r="G429" s="133" t="str">
        <f>ESE!AD430</f>
        <v>0</v>
      </c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</row>
    <row r="430" ht="16.5" customHeight="1">
      <c r="A430" s="179" t="s">
        <v>570</v>
      </c>
      <c r="B430" s="49" t="s">
        <v>122</v>
      </c>
      <c r="C430" s="133" t="str">
        <f>ESE!Z431</f>
        <v>0</v>
      </c>
      <c r="D430" s="133" t="str">
        <f>ESE!AA431</f>
        <v>0</v>
      </c>
      <c r="E430" s="133" t="str">
        <f>ESE!AB431</f>
        <v>0</v>
      </c>
      <c r="F430" s="133" t="str">
        <f>ESE!AC431</f>
        <v>0</v>
      </c>
      <c r="G430" s="133" t="str">
        <f>ESE!AD431</f>
        <v>0</v>
      </c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</row>
    <row r="431" ht="16.5" customHeight="1">
      <c r="A431" s="179" t="s">
        <v>571</v>
      </c>
      <c r="B431" s="49" t="s">
        <v>122</v>
      </c>
      <c r="C431" s="133" t="str">
        <f>ESE!Z432</f>
        <v>0</v>
      </c>
      <c r="D431" s="133" t="str">
        <f>ESE!AA432</f>
        <v>0</v>
      </c>
      <c r="E431" s="133" t="str">
        <f>ESE!AB432</f>
        <v>0</v>
      </c>
      <c r="F431" s="133" t="str">
        <f>ESE!AC432</f>
        <v>0</v>
      </c>
      <c r="G431" s="133" t="str">
        <f>ESE!AD432</f>
        <v>0</v>
      </c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</row>
    <row r="432" ht="16.5" customHeight="1">
      <c r="A432" s="179" t="s">
        <v>572</v>
      </c>
      <c r="B432" s="49" t="s">
        <v>122</v>
      </c>
      <c r="C432" s="133" t="str">
        <f>ESE!Z433</f>
        <v>0</v>
      </c>
      <c r="D432" s="133" t="str">
        <f>ESE!AA433</f>
        <v>0</v>
      </c>
      <c r="E432" s="133" t="str">
        <f>ESE!AB433</f>
        <v>0</v>
      </c>
      <c r="F432" s="133" t="str">
        <f>ESE!AC433</f>
        <v>0</v>
      </c>
      <c r="G432" s="133" t="str">
        <f>ESE!AD433</f>
        <v>0</v>
      </c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</row>
    <row r="433" ht="16.5" customHeight="1">
      <c r="A433" s="179" t="s">
        <v>573</v>
      </c>
      <c r="B433" s="49" t="s">
        <v>122</v>
      </c>
      <c r="C433" s="133" t="str">
        <f>ESE!Z434</f>
        <v>0</v>
      </c>
      <c r="D433" s="133" t="str">
        <f>ESE!AA434</f>
        <v>0</v>
      </c>
      <c r="E433" s="133" t="str">
        <f>ESE!AB434</f>
        <v>0</v>
      </c>
      <c r="F433" s="133" t="str">
        <f>ESE!AC434</f>
        <v>0</v>
      </c>
      <c r="G433" s="133" t="str">
        <f>ESE!AD434</f>
        <v>0</v>
      </c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</row>
    <row r="434" ht="16.5" customHeight="1">
      <c r="A434" s="179" t="s">
        <v>574</v>
      </c>
      <c r="B434" s="49" t="s">
        <v>122</v>
      </c>
      <c r="C434" s="133" t="str">
        <f>ESE!Z435</f>
        <v>0</v>
      </c>
      <c r="D434" s="133" t="str">
        <f>ESE!AA435</f>
        <v>0</v>
      </c>
      <c r="E434" s="133" t="str">
        <f>ESE!AB435</f>
        <v>0</v>
      </c>
      <c r="F434" s="133" t="str">
        <f>ESE!AC435</f>
        <v>0</v>
      </c>
      <c r="G434" s="133" t="str">
        <f>ESE!AD435</f>
        <v>0</v>
      </c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</row>
    <row r="435" ht="16.5" customHeight="1">
      <c r="A435" s="179" t="s">
        <v>575</v>
      </c>
      <c r="B435" s="49" t="s">
        <v>122</v>
      </c>
      <c r="C435" s="133" t="str">
        <f>ESE!Z436</f>
        <v>0</v>
      </c>
      <c r="D435" s="133" t="str">
        <f>ESE!AA436</f>
        <v>0</v>
      </c>
      <c r="E435" s="133" t="str">
        <f>ESE!AB436</f>
        <v>0</v>
      </c>
      <c r="F435" s="133" t="str">
        <f>ESE!AC436</f>
        <v>0</v>
      </c>
      <c r="G435" s="133" t="str">
        <f>ESE!AD436</f>
        <v>0</v>
      </c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</row>
    <row r="436" ht="16.5" customHeight="1">
      <c r="A436" s="179" t="s">
        <v>576</v>
      </c>
      <c r="B436" s="49" t="s">
        <v>122</v>
      </c>
      <c r="C436" s="133" t="str">
        <f>ESE!Z437</f>
        <v>0</v>
      </c>
      <c r="D436" s="133" t="str">
        <f>ESE!AA437</f>
        <v>0</v>
      </c>
      <c r="E436" s="133" t="str">
        <f>ESE!AB437</f>
        <v>0</v>
      </c>
      <c r="F436" s="133" t="str">
        <f>ESE!AC437</f>
        <v>0</v>
      </c>
      <c r="G436" s="133" t="str">
        <f>ESE!AD437</f>
        <v>0</v>
      </c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</row>
    <row r="437" ht="16.5" customHeight="1">
      <c r="A437" s="179" t="s">
        <v>577</v>
      </c>
      <c r="B437" s="49" t="s">
        <v>122</v>
      </c>
      <c r="C437" s="133" t="str">
        <f>ESE!Z438</f>
        <v>0</v>
      </c>
      <c r="D437" s="133" t="str">
        <f>ESE!AA438</f>
        <v>0</v>
      </c>
      <c r="E437" s="133" t="str">
        <f>ESE!AB438</f>
        <v>0</v>
      </c>
      <c r="F437" s="133" t="str">
        <f>ESE!AC438</f>
        <v>0</v>
      </c>
      <c r="G437" s="133" t="str">
        <f>ESE!AD438</f>
        <v>0</v>
      </c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</row>
    <row r="438" ht="16.5" customHeight="1">
      <c r="A438" s="179" t="s">
        <v>578</v>
      </c>
      <c r="B438" s="49" t="s">
        <v>122</v>
      </c>
      <c r="C438" s="133" t="str">
        <f>ESE!Z439</f>
        <v>0</v>
      </c>
      <c r="D438" s="133" t="str">
        <f>ESE!AA439</f>
        <v>0</v>
      </c>
      <c r="E438" s="133" t="str">
        <f>ESE!AB439</f>
        <v>0</v>
      </c>
      <c r="F438" s="133" t="str">
        <f>ESE!AC439</f>
        <v>0</v>
      </c>
      <c r="G438" s="133" t="str">
        <f>ESE!AD439</f>
        <v>0</v>
      </c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</row>
    <row r="439" ht="16.5" customHeight="1">
      <c r="A439" s="179" t="s">
        <v>579</v>
      </c>
      <c r="B439" s="49" t="s">
        <v>122</v>
      </c>
      <c r="C439" s="133" t="str">
        <f>ESE!Z440</f>
        <v>0</v>
      </c>
      <c r="D439" s="133" t="str">
        <f>ESE!AA440</f>
        <v>0</v>
      </c>
      <c r="E439" s="133" t="str">
        <f>ESE!AB440</f>
        <v>0</v>
      </c>
      <c r="F439" s="133" t="str">
        <f>ESE!AC440</f>
        <v>0</v>
      </c>
      <c r="G439" s="133" t="str">
        <f>ESE!AD440</f>
        <v>0</v>
      </c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</row>
    <row r="440" ht="16.5" customHeight="1">
      <c r="A440" s="179" t="s">
        <v>580</v>
      </c>
      <c r="B440" s="49" t="s">
        <v>122</v>
      </c>
      <c r="C440" s="133" t="str">
        <f>ESE!Z441</f>
        <v>0</v>
      </c>
      <c r="D440" s="133" t="str">
        <f>ESE!AA441</f>
        <v>0</v>
      </c>
      <c r="E440" s="133" t="str">
        <f>ESE!AB441</f>
        <v>0</v>
      </c>
      <c r="F440" s="133" t="str">
        <f>ESE!AC441</f>
        <v>0</v>
      </c>
      <c r="G440" s="133" t="str">
        <f>ESE!AD441</f>
        <v>0</v>
      </c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</row>
    <row r="441" ht="16.5" customHeight="1">
      <c r="A441" s="179" t="s">
        <v>581</v>
      </c>
      <c r="B441" s="49" t="s">
        <v>122</v>
      </c>
      <c r="C441" s="133" t="str">
        <f>ESE!Z442</f>
        <v>0</v>
      </c>
      <c r="D441" s="133" t="str">
        <f>ESE!AA442</f>
        <v>0</v>
      </c>
      <c r="E441" s="133" t="str">
        <f>ESE!AB442</f>
        <v>0</v>
      </c>
      <c r="F441" s="133" t="str">
        <f>ESE!AC442</f>
        <v>0</v>
      </c>
      <c r="G441" s="133" t="str">
        <f>ESE!AD442</f>
        <v>0</v>
      </c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</row>
    <row r="442" ht="16.5" customHeight="1">
      <c r="A442" s="179" t="s">
        <v>582</v>
      </c>
      <c r="B442" s="49" t="s">
        <v>122</v>
      </c>
      <c r="C442" s="133" t="str">
        <f>ESE!Z443</f>
        <v>0</v>
      </c>
      <c r="D442" s="133" t="str">
        <f>ESE!AA443</f>
        <v>0</v>
      </c>
      <c r="E442" s="133" t="str">
        <f>ESE!AB443</f>
        <v>0</v>
      </c>
      <c r="F442" s="133" t="str">
        <f>ESE!AC443</f>
        <v>0</v>
      </c>
      <c r="G442" s="133" t="str">
        <f>ESE!AD443</f>
        <v>0</v>
      </c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</row>
    <row r="443" ht="16.5" customHeight="1">
      <c r="A443" s="179" t="s">
        <v>583</v>
      </c>
      <c r="B443" s="49" t="s">
        <v>122</v>
      </c>
      <c r="C443" s="133" t="str">
        <f>ESE!Z444</f>
        <v>0</v>
      </c>
      <c r="D443" s="133" t="str">
        <f>ESE!AA444</f>
        <v>0</v>
      </c>
      <c r="E443" s="133" t="str">
        <f>ESE!AB444</f>
        <v>0</v>
      </c>
      <c r="F443" s="133" t="str">
        <f>ESE!AC444</f>
        <v>0</v>
      </c>
      <c r="G443" s="133" t="str">
        <f>ESE!AD444</f>
        <v>0</v>
      </c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</row>
    <row r="444" ht="16.5" customHeight="1">
      <c r="A444" s="179" t="s">
        <v>584</v>
      </c>
      <c r="B444" s="49" t="s">
        <v>122</v>
      </c>
      <c r="C444" s="133" t="str">
        <f>ESE!Z445</f>
        <v>0</v>
      </c>
      <c r="D444" s="133" t="str">
        <f>ESE!AA445</f>
        <v>0</v>
      </c>
      <c r="E444" s="133" t="str">
        <f>ESE!AB445</f>
        <v>0</v>
      </c>
      <c r="F444" s="133" t="str">
        <f>ESE!AC445</f>
        <v>0</v>
      </c>
      <c r="G444" s="133" t="str">
        <f>ESE!AD445</f>
        <v>0</v>
      </c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</row>
    <row r="445" ht="16.5" customHeight="1">
      <c r="A445" s="179" t="s">
        <v>585</v>
      </c>
      <c r="B445" s="49" t="s">
        <v>122</v>
      </c>
      <c r="C445" s="133" t="str">
        <f>ESE!Z446</f>
        <v>0</v>
      </c>
      <c r="D445" s="133" t="str">
        <f>ESE!AA446</f>
        <v>0</v>
      </c>
      <c r="E445" s="133" t="str">
        <f>ESE!AB446</f>
        <v>0</v>
      </c>
      <c r="F445" s="133" t="str">
        <f>ESE!AC446</f>
        <v>0</v>
      </c>
      <c r="G445" s="133" t="str">
        <f>ESE!AD446</f>
        <v>0</v>
      </c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</row>
    <row r="446" ht="16.5" customHeight="1">
      <c r="A446" s="179" t="s">
        <v>586</v>
      </c>
      <c r="B446" s="49" t="s">
        <v>122</v>
      </c>
      <c r="C446" s="133" t="str">
        <f>ESE!Z447</f>
        <v>0</v>
      </c>
      <c r="D446" s="133" t="str">
        <f>ESE!AA447</f>
        <v>0</v>
      </c>
      <c r="E446" s="133" t="str">
        <f>ESE!AB447</f>
        <v>0</v>
      </c>
      <c r="F446" s="133" t="str">
        <f>ESE!AC447</f>
        <v>0</v>
      </c>
      <c r="G446" s="133" t="str">
        <f>ESE!AD447</f>
        <v>0</v>
      </c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</row>
    <row r="447" ht="16.5" customHeight="1">
      <c r="A447" s="179" t="s">
        <v>587</v>
      </c>
      <c r="B447" s="49" t="s">
        <v>122</v>
      </c>
      <c r="C447" s="133" t="str">
        <f>ESE!Z448</f>
        <v>0</v>
      </c>
      <c r="D447" s="133" t="str">
        <f>ESE!AA448</f>
        <v>0</v>
      </c>
      <c r="E447" s="133" t="str">
        <f>ESE!AB448</f>
        <v>0</v>
      </c>
      <c r="F447" s="133" t="str">
        <f>ESE!AC448</f>
        <v>0</v>
      </c>
      <c r="G447" s="133" t="str">
        <f>ESE!AD448</f>
        <v>0</v>
      </c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</row>
    <row r="448" ht="16.5" customHeight="1">
      <c r="A448" s="179" t="s">
        <v>588</v>
      </c>
      <c r="B448" s="49" t="s">
        <v>122</v>
      </c>
      <c r="C448" s="133" t="str">
        <f>ESE!Z449</f>
        <v>0</v>
      </c>
      <c r="D448" s="133" t="str">
        <f>ESE!AA449</f>
        <v>0</v>
      </c>
      <c r="E448" s="133" t="str">
        <f>ESE!AB449</f>
        <v>0</v>
      </c>
      <c r="F448" s="133" t="str">
        <f>ESE!AC449</f>
        <v>0</v>
      </c>
      <c r="G448" s="133" t="str">
        <f>ESE!AD449</f>
        <v>0</v>
      </c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</row>
    <row r="449" ht="16.5" customHeight="1">
      <c r="A449" s="179" t="s">
        <v>589</v>
      </c>
      <c r="B449" s="49" t="s">
        <v>122</v>
      </c>
      <c r="C449" s="133" t="str">
        <f>ESE!Z450</f>
        <v>0</v>
      </c>
      <c r="D449" s="133" t="str">
        <f>ESE!AA450</f>
        <v>0</v>
      </c>
      <c r="E449" s="133" t="str">
        <f>ESE!AB450</f>
        <v>0</v>
      </c>
      <c r="F449" s="133" t="str">
        <f>ESE!AC450</f>
        <v>0</v>
      </c>
      <c r="G449" s="133" t="str">
        <f>ESE!AD450</f>
        <v>0</v>
      </c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</row>
    <row r="450" ht="16.5" customHeight="1">
      <c r="A450" s="179" t="s">
        <v>590</v>
      </c>
      <c r="B450" s="49" t="s">
        <v>122</v>
      </c>
      <c r="C450" s="133" t="str">
        <f>ESE!Z451</f>
        <v>0</v>
      </c>
      <c r="D450" s="133" t="str">
        <f>ESE!AA451</f>
        <v>0</v>
      </c>
      <c r="E450" s="133" t="str">
        <f>ESE!AB451</f>
        <v>0</v>
      </c>
      <c r="F450" s="133" t="str">
        <f>ESE!AC451</f>
        <v>0</v>
      </c>
      <c r="G450" s="133" t="str">
        <f>ESE!AD451</f>
        <v>0</v>
      </c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</row>
    <row r="451" ht="16.5" customHeight="1">
      <c r="A451" s="179" t="s">
        <v>591</v>
      </c>
      <c r="B451" s="49" t="s">
        <v>122</v>
      </c>
      <c r="C451" s="133" t="str">
        <f>ESE!Z452</f>
        <v>0</v>
      </c>
      <c r="D451" s="133" t="str">
        <f>ESE!AA452</f>
        <v>0</v>
      </c>
      <c r="E451" s="133" t="str">
        <f>ESE!AB452</f>
        <v>0</v>
      </c>
      <c r="F451" s="133" t="str">
        <f>ESE!AC452</f>
        <v>0</v>
      </c>
      <c r="G451" s="133" t="str">
        <f>ESE!AD452</f>
        <v>0</v>
      </c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</row>
    <row r="452" ht="16.5" customHeight="1">
      <c r="A452" s="179" t="s">
        <v>592</v>
      </c>
      <c r="B452" s="49" t="s">
        <v>122</v>
      </c>
      <c r="C452" s="133" t="str">
        <f>ESE!Z453</f>
        <v>0</v>
      </c>
      <c r="D452" s="133" t="str">
        <f>ESE!AA453</f>
        <v>0</v>
      </c>
      <c r="E452" s="133" t="str">
        <f>ESE!AB453</f>
        <v>0</v>
      </c>
      <c r="F452" s="133" t="str">
        <f>ESE!AC453</f>
        <v>0</v>
      </c>
      <c r="G452" s="133" t="str">
        <f>ESE!AD453</f>
        <v>0</v>
      </c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</row>
    <row r="453" ht="16.5" customHeight="1">
      <c r="A453" s="179" t="s">
        <v>593</v>
      </c>
      <c r="B453" s="49" t="s">
        <v>122</v>
      </c>
      <c r="C453" s="133" t="str">
        <f>ESE!Z454</f>
        <v>0</v>
      </c>
      <c r="D453" s="133" t="str">
        <f>ESE!AA454</f>
        <v>0</v>
      </c>
      <c r="E453" s="133" t="str">
        <f>ESE!AB454</f>
        <v>0</v>
      </c>
      <c r="F453" s="133" t="str">
        <f>ESE!AC454</f>
        <v>0</v>
      </c>
      <c r="G453" s="133" t="str">
        <f>ESE!AD454</f>
        <v>0</v>
      </c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</row>
    <row r="454" ht="16.5" customHeight="1">
      <c r="A454" s="179" t="s">
        <v>594</v>
      </c>
      <c r="B454" s="49" t="s">
        <v>122</v>
      </c>
      <c r="C454" s="133" t="str">
        <f>ESE!Z455</f>
        <v>0</v>
      </c>
      <c r="D454" s="133" t="str">
        <f>ESE!AA455</f>
        <v>0</v>
      </c>
      <c r="E454" s="133" t="str">
        <f>ESE!AB455</f>
        <v>0</v>
      </c>
      <c r="F454" s="133" t="str">
        <f>ESE!AC455</f>
        <v>0</v>
      </c>
      <c r="G454" s="133" t="str">
        <f>ESE!AD455</f>
        <v>0</v>
      </c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</row>
    <row r="455" ht="16.5" customHeight="1">
      <c r="A455" s="179" t="s">
        <v>595</v>
      </c>
      <c r="B455" s="49" t="s">
        <v>122</v>
      </c>
      <c r="C455" s="133" t="str">
        <f>ESE!Z456</f>
        <v>0</v>
      </c>
      <c r="D455" s="133" t="str">
        <f>ESE!AA456</f>
        <v>0</v>
      </c>
      <c r="E455" s="133" t="str">
        <f>ESE!AB456</f>
        <v>0</v>
      </c>
      <c r="F455" s="133" t="str">
        <f>ESE!AC456</f>
        <v>0</v>
      </c>
      <c r="G455" s="133" t="str">
        <f>ESE!AD456</f>
        <v>0</v>
      </c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</row>
    <row r="456" ht="16.5" customHeight="1">
      <c r="A456" s="179" t="s">
        <v>596</v>
      </c>
      <c r="B456" s="49" t="s">
        <v>122</v>
      </c>
      <c r="C456" s="133" t="str">
        <f>ESE!Z457</f>
        <v>0</v>
      </c>
      <c r="D456" s="133" t="str">
        <f>ESE!AA457</f>
        <v>0</v>
      </c>
      <c r="E456" s="133" t="str">
        <f>ESE!AB457</f>
        <v>0</v>
      </c>
      <c r="F456" s="133" t="str">
        <f>ESE!AC457</f>
        <v>0</v>
      </c>
      <c r="G456" s="133" t="str">
        <f>ESE!AD457</f>
        <v>0</v>
      </c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</row>
    <row r="457" ht="16.5" customHeight="1">
      <c r="A457" s="179" t="s">
        <v>597</v>
      </c>
      <c r="B457" s="49" t="s">
        <v>122</v>
      </c>
      <c r="C457" s="133" t="str">
        <f>ESE!Z458</f>
        <v>0</v>
      </c>
      <c r="D457" s="133" t="str">
        <f>ESE!AA458</f>
        <v>0</v>
      </c>
      <c r="E457" s="133" t="str">
        <f>ESE!AB458</f>
        <v>0</v>
      </c>
      <c r="F457" s="133" t="str">
        <f>ESE!AC458</f>
        <v>0</v>
      </c>
      <c r="G457" s="133" t="str">
        <f>ESE!AD458</f>
        <v>0</v>
      </c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</row>
    <row r="458" ht="16.5" customHeight="1">
      <c r="A458" s="179" t="s">
        <v>598</v>
      </c>
      <c r="B458" s="49" t="s">
        <v>122</v>
      </c>
      <c r="C458" s="133" t="str">
        <f>ESE!Z459</f>
        <v>0</v>
      </c>
      <c r="D458" s="133" t="str">
        <f>ESE!AA459</f>
        <v>0</v>
      </c>
      <c r="E458" s="133" t="str">
        <f>ESE!AB459</f>
        <v>0</v>
      </c>
      <c r="F458" s="133" t="str">
        <f>ESE!AC459</f>
        <v>0</v>
      </c>
      <c r="G458" s="133" t="str">
        <f>ESE!AD459</f>
        <v>0</v>
      </c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</row>
    <row r="459" ht="16.5" customHeight="1">
      <c r="A459" s="179" t="s">
        <v>599</v>
      </c>
      <c r="B459" s="49" t="s">
        <v>122</v>
      </c>
      <c r="C459" s="133" t="str">
        <f>ESE!Z460</f>
        <v>0</v>
      </c>
      <c r="D459" s="133" t="str">
        <f>ESE!AA460</f>
        <v>0</v>
      </c>
      <c r="E459" s="133" t="str">
        <f>ESE!AB460</f>
        <v>0</v>
      </c>
      <c r="F459" s="133" t="str">
        <f>ESE!AC460</f>
        <v>0</v>
      </c>
      <c r="G459" s="133" t="str">
        <f>ESE!AD460</f>
        <v>0</v>
      </c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</row>
    <row r="460" ht="16.5" customHeight="1">
      <c r="A460" s="179" t="s">
        <v>600</v>
      </c>
      <c r="B460" s="49" t="s">
        <v>122</v>
      </c>
      <c r="C460" s="133" t="str">
        <f>ESE!Z461</f>
        <v>0</v>
      </c>
      <c r="D460" s="133" t="str">
        <f>ESE!AA461</f>
        <v>0</v>
      </c>
      <c r="E460" s="133" t="str">
        <f>ESE!AB461</f>
        <v>0</v>
      </c>
      <c r="F460" s="133" t="str">
        <f>ESE!AC461</f>
        <v>0</v>
      </c>
      <c r="G460" s="133" t="str">
        <f>ESE!AD461</f>
        <v>0</v>
      </c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</row>
    <row r="461" ht="15.75" customHeight="1">
      <c r="A461" s="148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</row>
    <row r="462" ht="24.75" customHeight="1">
      <c r="A462" s="138" t="s">
        <v>142</v>
      </c>
      <c r="B462" s="3"/>
      <c r="C462" s="95" t="str">
        <f t="shared" ref="C462:G462" si="1">IFERROR(AVERAGEIF(C11:C460,"&lt;&gt;0"),"")</f>
        <v/>
      </c>
      <c r="D462" s="95" t="str">
        <f t="shared" si="1"/>
        <v/>
      </c>
      <c r="E462" s="95" t="str">
        <f t="shared" si="1"/>
        <v/>
      </c>
      <c r="F462" s="95" t="str">
        <f t="shared" si="1"/>
        <v/>
      </c>
      <c r="G462" s="95" t="str">
        <f t="shared" si="1"/>
        <v/>
      </c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</row>
    <row r="463" ht="36.75" customHeight="1">
      <c r="A463" s="187" t="s">
        <v>143</v>
      </c>
      <c r="B463" s="3"/>
      <c r="C463" s="133" t="str">
        <f t="shared" ref="C463:G463" si="2">COUNTIF(C11:C460,"&gt;="&amp;C462)</f>
        <v>0</v>
      </c>
      <c r="D463" s="133" t="str">
        <f t="shared" si="2"/>
        <v>0</v>
      </c>
      <c r="E463" s="133" t="str">
        <f t="shared" si="2"/>
        <v>0</v>
      </c>
      <c r="F463" s="133" t="str">
        <f t="shared" si="2"/>
        <v>0</v>
      </c>
      <c r="G463" s="133" t="str">
        <f t="shared" si="2"/>
        <v>0</v>
      </c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</row>
    <row r="464" ht="40.5" customHeight="1">
      <c r="A464" s="137" t="s">
        <v>144</v>
      </c>
      <c r="B464" s="3"/>
      <c r="C464" s="95" t="str">
        <f t="shared" ref="C464:G464" si="3">IFERROR(MIN((C463/$G$7)*100,100),"")</f>
        <v>0.0</v>
      </c>
      <c r="D464" s="95" t="str">
        <f t="shared" si="3"/>
        <v>0.0</v>
      </c>
      <c r="E464" s="95" t="str">
        <f t="shared" si="3"/>
        <v>0.0</v>
      </c>
      <c r="F464" s="95" t="str">
        <f t="shared" si="3"/>
        <v>0.0</v>
      </c>
      <c r="G464" s="95" t="str">
        <f t="shared" si="3"/>
        <v>0.0</v>
      </c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</row>
    <row r="465" ht="17.25" customHeight="1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</row>
    <row r="466" ht="17.25" customHeight="1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</row>
    <row r="467" ht="17.25" customHeight="1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</row>
    <row r="468" ht="17.25" customHeight="1">
      <c r="A468" s="89"/>
      <c r="B468" s="152"/>
      <c r="C468" s="152"/>
      <c r="D468" s="152"/>
      <c r="E468" s="152"/>
      <c r="F468" s="152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</row>
    <row r="469" ht="17.25" customHeight="1">
      <c r="A469" s="89"/>
      <c r="B469" s="152"/>
      <c r="C469" s="152"/>
      <c r="D469" s="152"/>
      <c r="E469" s="152"/>
      <c r="F469" s="152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</row>
    <row r="470" ht="17.25" customHeight="1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</row>
    <row r="471" ht="17.25" customHeight="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</row>
    <row r="472" ht="17.25" customHeight="1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</row>
    <row r="473" ht="17.25" customHeight="1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</row>
    <row r="474" ht="17.25" customHeight="1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</row>
    <row r="475" ht="17.25" customHeight="1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</row>
    <row r="476" ht="17.25" customHeight="1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</row>
    <row r="477" ht="17.25" customHeight="1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</row>
    <row r="478" ht="17.25" customHeight="1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</row>
    <row r="479" ht="17.25" customHeight="1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</row>
    <row r="480" ht="17.25" customHeight="1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</row>
    <row r="481" ht="17.25" customHeight="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</row>
    <row r="482" ht="17.25" customHeight="1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</row>
    <row r="483" ht="17.25" customHeight="1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</row>
    <row r="484" ht="17.25" customHeight="1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</row>
    <row r="485" ht="17.25" customHeight="1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</row>
    <row r="486" ht="17.25" customHeight="1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</row>
    <row r="487" ht="17.25" customHeight="1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</row>
    <row r="488" ht="17.25" customHeight="1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</row>
    <row r="489" ht="17.25" customHeight="1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</row>
    <row r="490" ht="17.25" customHeight="1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</row>
    <row r="491" ht="17.25" customHeight="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</row>
    <row r="492" ht="17.25" customHeight="1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</row>
    <row r="493" ht="17.25" customHeight="1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</row>
    <row r="494" ht="17.25" customHeight="1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</row>
    <row r="495" ht="17.25" customHeight="1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</row>
    <row r="496" ht="17.25" customHeight="1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</row>
    <row r="497" ht="17.25" customHeight="1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</row>
    <row r="498" ht="17.25" customHeight="1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</row>
    <row r="499" ht="17.25" customHeight="1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</row>
    <row r="500" ht="17.25" customHeight="1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</row>
    <row r="501" ht="17.25" customHeight="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</row>
    <row r="502" ht="17.25" customHeight="1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</row>
    <row r="503" ht="17.25" customHeight="1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</row>
    <row r="504" ht="17.25" customHeight="1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</row>
    <row r="505" ht="17.25" customHeight="1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</row>
    <row r="506" ht="17.25" customHeight="1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</row>
    <row r="507" ht="17.25" customHeight="1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</row>
    <row r="508" ht="17.25" customHeight="1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</row>
    <row r="509" ht="17.25" customHeight="1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</row>
    <row r="510" ht="17.25" customHeight="1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</row>
    <row r="511" ht="17.25" customHeight="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</row>
    <row r="512" ht="17.25" customHeight="1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</row>
    <row r="513" ht="17.25" customHeight="1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</row>
    <row r="514" ht="17.25" customHeight="1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</row>
    <row r="515" ht="17.25" customHeight="1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</row>
    <row r="516" ht="17.25" customHeight="1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</row>
    <row r="517" ht="17.25" customHeight="1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</row>
    <row r="518" ht="17.25" customHeight="1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</row>
    <row r="519" ht="17.25" customHeight="1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</row>
    <row r="520" ht="17.25" customHeight="1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</row>
    <row r="521" ht="17.25" customHeight="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</row>
    <row r="522" ht="17.25" customHeight="1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</row>
    <row r="523" ht="17.25" customHeight="1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</row>
    <row r="524" ht="17.25" customHeight="1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</row>
    <row r="525" ht="17.25" customHeight="1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</row>
    <row r="526" ht="17.25" customHeight="1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</row>
    <row r="527" ht="17.25" customHeight="1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</row>
    <row r="528" ht="17.25" customHeight="1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</row>
    <row r="529" ht="17.25" customHeight="1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</row>
    <row r="530" ht="17.25" customHeight="1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</row>
    <row r="531" ht="17.25" customHeight="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</row>
    <row r="532" ht="17.25" customHeight="1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</row>
    <row r="533" ht="17.25" customHeight="1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</row>
    <row r="534" ht="17.25" customHeight="1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</row>
    <row r="535" ht="17.25" customHeight="1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</row>
    <row r="536" ht="17.25" customHeight="1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</row>
    <row r="537" ht="17.25" customHeight="1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</row>
    <row r="538" ht="17.25" customHeight="1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</row>
    <row r="539" ht="17.25" customHeight="1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</row>
    <row r="540" ht="17.25" customHeight="1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</row>
    <row r="541" ht="17.25" customHeight="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</row>
    <row r="542" ht="17.25" customHeight="1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</row>
    <row r="543" ht="17.25" customHeight="1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</row>
    <row r="544" ht="17.25" customHeight="1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</row>
    <row r="545" ht="17.25" customHeight="1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</row>
    <row r="546" ht="17.25" customHeight="1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</row>
    <row r="547" ht="17.25" customHeight="1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</row>
    <row r="548" ht="17.25" customHeight="1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</row>
    <row r="549" ht="17.25" customHeight="1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</row>
    <row r="550" ht="17.25" customHeight="1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</row>
    <row r="551" ht="17.25" customHeight="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</row>
    <row r="552" ht="17.25" customHeight="1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</row>
    <row r="553" ht="17.25" customHeight="1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</row>
    <row r="554" ht="17.25" customHeight="1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</row>
    <row r="555" ht="17.25" customHeight="1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</row>
    <row r="556" ht="17.25" customHeight="1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</row>
    <row r="557" ht="17.25" customHeight="1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</row>
    <row r="558" ht="17.25" customHeight="1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</row>
    <row r="559" ht="17.25" customHeight="1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</row>
    <row r="560" ht="17.25" customHeight="1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</row>
    <row r="561" ht="17.25" customHeight="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</row>
    <row r="562" ht="17.25" customHeight="1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</row>
    <row r="563" ht="17.25" customHeight="1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</row>
    <row r="564" ht="17.25" customHeight="1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</row>
    <row r="565" ht="17.25" customHeight="1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</row>
    <row r="566" ht="17.25" customHeight="1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</row>
    <row r="567" ht="17.25" customHeight="1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</row>
    <row r="568" ht="17.25" customHeight="1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</row>
    <row r="569" ht="17.25" customHeight="1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</row>
    <row r="570" ht="17.25" customHeight="1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</row>
    <row r="571" ht="17.25" customHeight="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</row>
    <row r="572" ht="17.25" customHeight="1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</row>
    <row r="573" ht="17.25" customHeight="1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</row>
    <row r="574" ht="17.25" customHeight="1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</row>
    <row r="575" ht="17.25" customHeight="1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</row>
    <row r="576" ht="17.25" customHeight="1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</row>
    <row r="577" ht="17.25" customHeight="1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</row>
    <row r="578" ht="17.25" customHeight="1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</row>
    <row r="579" ht="17.25" customHeight="1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</row>
    <row r="580" ht="17.25" customHeight="1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</row>
    <row r="581" ht="17.25" customHeight="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</row>
    <row r="582" ht="17.25" customHeight="1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</row>
    <row r="583" ht="17.25" customHeight="1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</row>
    <row r="584" ht="17.25" customHeight="1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</row>
    <row r="585" ht="17.25" customHeight="1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</row>
    <row r="586" ht="17.25" customHeight="1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</row>
    <row r="587" ht="17.25" customHeight="1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</row>
    <row r="588" ht="17.25" customHeight="1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</row>
    <row r="589" ht="17.25" customHeight="1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</row>
    <row r="590" ht="17.25" customHeight="1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</row>
    <row r="591" ht="17.25" customHeight="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</row>
    <row r="592" ht="17.25" customHeight="1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</row>
    <row r="593" ht="17.25" customHeight="1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</row>
    <row r="594" ht="17.25" customHeight="1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</row>
    <row r="595" ht="17.25" customHeight="1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</row>
    <row r="596" ht="17.25" customHeight="1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</row>
    <row r="597" ht="17.25" customHeight="1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</row>
    <row r="598" ht="17.25" customHeight="1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</row>
    <row r="599" ht="17.25" customHeight="1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</row>
    <row r="600" ht="17.25" customHeight="1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</row>
    <row r="601" ht="17.25" customHeight="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</row>
    <row r="602" ht="17.25" customHeight="1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</row>
    <row r="603" ht="17.25" customHeight="1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</row>
    <row r="604" ht="17.25" customHeight="1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</row>
    <row r="605" ht="17.25" customHeight="1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</row>
    <row r="606" ht="17.25" customHeight="1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</row>
    <row r="607" ht="17.25" customHeight="1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</row>
    <row r="608" ht="17.25" customHeight="1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</row>
    <row r="609" ht="17.25" customHeight="1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</row>
    <row r="610" ht="17.25" customHeight="1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</row>
    <row r="611" ht="17.25" customHeight="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</row>
    <row r="612" ht="17.25" customHeight="1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</row>
    <row r="613" ht="17.25" customHeight="1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</row>
    <row r="614" ht="17.25" customHeight="1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</row>
    <row r="615" ht="17.25" customHeight="1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</row>
    <row r="616" ht="17.25" customHeight="1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</row>
    <row r="617" ht="17.25" customHeight="1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</row>
    <row r="618" ht="17.25" customHeight="1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</row>
    <row r="619" ht="17.25" customHeight="1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</row>
    <row r="620" ht="17.25" customHeight="1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</row>
    <row r="621" ht="17.25" customHeight="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</row>
    <row r="622" ht="17.25" customHeight="1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</row>
    <row r="623" ht="17.25" customHeight="1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</row>
    <row r="624" ht="17.25" customHeight="1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</row>
    <row r="625" ht="17.25" customHeight="1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</row>
    <row r="626" ht="17.25" customHeight="1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</row>
    <row r="627" ht="17.25" customHeight="1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</row>
    <row r="628" ht="17.25" customHeight="1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</row>
    <row r="629" ht="17.25" customHeight="1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</row>
    <row r="630" ht="17.25" customHeight="1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</row>
    <row r="631" ht="17.25" customHeight="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</row>
    <row r="632" ht="17.25" customHeight="1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</row>
    <row r="633" ht="17.25" customHeight="1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</row>
    <row r="634" ht="17.25" customHeight="1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</row>
    <row r="635" ht="17.25" customHeight="1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</row>
    <row r="636" ht="17.25" customHeight="1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</row>
    <row r="637" ht="17.25" customHeight="1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</row>
    <row r="638" ht="17.25" customHeight="1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</row>
    <row r="639" ht="17.25" customHeight="1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</row>
    <row r="640" ht="17.25" customHeight="1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</row>
    <row r="641" ht="17.25" customHeight="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</row>
    <row r="642" ht="17.25" customHeight="1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</row>
    <row r="643" ht="17.25" customHeight="1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</row>
    <row r="644" ht="17.25" customHeight="1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</row>
    <row r="645" ht="17.25" customHeight="1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</row>
    <row r="646" ht="17.25" customHeight="1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</row>
    <row r="647" ht="17.25" customHeight="1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</row>
    <row r="648" ht="17.25" customHeight="1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</row>
    <row r="649" ht="17.25" customHeight="1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</row>
    <row r="650" ht="17.25" customHeight="1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</row>
    <row r="651" ht="17.25" customHeight="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</row>
    <row r="652" ht="17.25" customHeight="1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</row>
    <row r="653" ht="17.25" customHeight="1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</row>
    <row r="654" ht="17.25" customHeight="1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</row>
    <row r="655" ht="17.25" customHeight="1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</row>
    <row r="656" ht="17.25" customHeight="1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</row>
    <row r="657" ht="17.25" customHeight="1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</row>
    <row r="658" ht="17.25" customHeight="1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</row>
    <row r="659" ht="17.25" customHeight="1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</row>
    <row r="660" ht="17.25" customHeight="1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</row>
    <row r="661" ht="17.25" customHeight="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</row>
    <row r="662" ht="17.25" customHeight="1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</row>
    <row r="663" ht="17.25" customHeight="1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</row>
    <row r="664" ht="17.25" customHeight="1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</row>
  </sheetData>
  <mergeCells count="15">
    <mergeCell ref="E4:G4"/>
    <mergeCell ref="H4:J4"/>
    <mergeCell ref="C4:D4"/>
    <mergeCell ref="C5:D5"/>
    <mergeCell ref="E5:M5"/>
    <mergeCell ref="C6:E6"/>
    <mergeCell ref="C7:F7"/>
    <mergeCell ref="C10:G10"/>
    <mergeCell ref="A462:B462"/>
    <mergeCell ref="A463:B463"/>
    <mergeCell ref="A464:B464"/>
    <mergeCell ref="A1:M1"/>
    <mergeCell ref="A2:M2"/>
    <mergeCell ref="A3:M3"/>
    <mergeCell ref="K4:M4"/>
  </mergeCells>
  <printOptions horizontalCentered="1"/>
  <pageMargins bottom="0.5" footer="0.0" header="0.0" left="0.45" right="0.2" top="0.5"/>
  <pageSetup orientation="portrait"/>
  <rowBreaks count="2" manualBreakCount="2">
    <brk id="42" man="1"/>
    <brk id="74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7.11"/>
    <col customWidth="1" min="2" max="2" width="9.0"/>
    <col customWidth="1" min="3" max="3" width="10.56"/>
    <col customWidth="1" min="4" max="4" width="11.22"/>
    <col customWidth="1" min="5" max="5" width="6.0"/>
    <col customWidth="1" min="6" max="6" width="7.89"/>
    <col customWidth="1" min="7" max="8" width="6.0"/>
    <col customWidth="1" min="9" max="9" width="8.0"/>
    <col customWidth="1" min="10" max="11" width="6.0"/>
    <col customWidth="1" min="12" max="12" width="6.33"/>
    <col customWidth="1" min="13" max="14" width="6.0"/>
    <col customWidth="1" min="15" max="15" width="7.89"/>
    <col customWidth="1" min="16" max="26" width="7.11"/>
  </cols>
  <sheetData>
    <row r="1" ht="15.0" customHeight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ht="15.0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5.0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5.0" customHeight="1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30.0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30.0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21.0" customHeight="1">
      <c r="A7" s="127" t="str">
        <f>BASE!A7</f>
        <v/>
      </c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21.0" customHeight="1">
      <c r="A8" s="127" t="str">
        <f>BASE!A8</f>
        <v/>
      </c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21.0" customHeight="1">
      <c r="A9" s="127" t="str">
        <f>BASE!A9</f>
        <v>LABORATORY COURSE OUTCOME ANALYSIS</v>
      </c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7.25" customHeight="1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ht="31.5" customHeight="1">
      <c r="A11" s="137" t="str">
        <f>BASE!A11</f>
        <v>Name of Faculty(s)</v>
      </c>
      <c r="B11" s="2"/>
      <c r="C11" s="3"/>
      <c r="D11" s="137" t="str">
        <f>BASE!D11</f>
        <v>a</v>
      </c>
      <c r="E11" s="2"/>
      <c r="F11" s="3"/>
      <c r="G11" s="137" t="str">
        <f>BASE!G11</f>
        <v>b</v>
      </c>
      <c r="H11" s="2"/>
      <c r="I11" s="3"/>
      <c r="J11" s="137" t="str">
        <f>BASE!J11</f>
        <v>c</v>
      </c>
      <c r="K11" s="2"/>
      <c r="L11" s="3"/>
      <c r="M11" s="137" t="str">
        <f>BASE!M11</f>
        <v>d</v>
      </c>
      <c r="N11" s="2"/>
      <c r="O11" s="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ht="31.5" customHeight="1">
      <c r="A12" s="137" t="str">
        <f>BASE!A12</f>
        <v>Course Code and Name</v>
      </c>
      <c r="B12" s="2"/>
      <c r="C12" s="3"/>
      <c r="D12" s="1" t="str">
        <f>BASE!D12</f>
        <v/>
      </c>
      <c r="E12" s="2"/>
      <c r="F12" s="3"/>
      <c r="G12" s="1" t="str">
        <f>BASE!G12</f>
        <v>XXXXXXXX XXXXX XXXXXXXX</v>
      </c>
      <c r="H12" s="2"/>
      <c r="I12" s="2"/>
      <c r="J12" s="2"/>
      <c r="K12" s="2"/>
      <c r="L12" s="2"/>
      <c r="M12" s="2"/>
      <c r="N12" s="2"/>
      <c r="O12" s="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ht="31.5" customHeight="1">
      <c r="A13" s="137" t="str">
        <f>BASE!A13</f>
        <v>Branch / Year / Semester</v>
      </c>
      <c r="B13" s="2"/>
      <c r="C13" s="3"/>
      <c r="D13" s="1" t="str">
        <f>BASE!D13</f>
        <v>abcd</v>
      </c>
      <c r="E13" s="2"/>
      <c r="F13" s="2"/>
      <c r="G13" s="3"/>
      <c r="H13" s="1" t="str">
        <f>BASE!H13</f>
        <v>II</v>
      </c>
      <c r="I13" s="2"/>
      <c r="J13" s="2"/>
      <c r="K13" s="3"/>
      <c r="L13" s="1" t="str">
        <f>BASE!L13</f>
        <v>IV</v>
      </c>
      <c r="M13" s="2"/>
      <c r="N13" s="2"/>
      <c r="O13" s="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ht="17.25" customHeight="1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ht="17.25" customHeight="1">
      <c r="A15" s="188" t="s">
        <v>601</v>
      </c>
      <c r="B15" s="189"/>
      <c r="C15" s="189"/>
      <c r="D15" s="190"/>
      <c r="E15" s="191"/>
      <c r="F15" s="189"/>
      <c r="G15" s="189"/>
      <c r="H15" s="189"/>
      <c r="I15" s="189"/>
      <c r="J15" s="189"/>
      <c r="K15" s="189"/>
      <c r="L15" s="189"/>
      <c r="M15" s="189"/>
      <c r="N15" s="189"/>
      <c r="O15" s="190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ht="31.5" customHeight="1">
      <c r="A16" s="192"/>
      <c r="D16" s="193"/>
      <c r="E16" s="192"/>
      <c r="O16" s="19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ht="38.25" customHeight="1">
      <c r="A17" s="192"/>
      <c r="D17" s="193"/>
      <c r="E17" s="192"/>
      <c r="O17" s="19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ht="38.25" customHeight="1">
      <c r="A18" s="192"/>
      <c r="D18" s="193"/>
      <c r="E18" s="192"/>
      <c r="O18" s="19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ht="39.0" customHeight="1">
      <c r="A19" s="194"/>
      <c r="B19" s="195"/>
      <c r="C19" s="195"/>
      <c r="D19" s="196"/>
      <c r="E19" s="194"/>
      <c r="F19" s="195"/>
      <c r="G19" s="195"/>
      <c r="H19" s="195"/>
      <c r="I19" s="195"/>
      <c r="J19" s="195"/>
      <c r="K19" s="195"/>
      <c r="L19" s="195"/>
      <c r="M19" s="195"/>
      <c r="N19" s="195"/>
      <c r="O19" s="196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ht="31.5" customHeight="1">
      <c r="A20" s="197" t="s">
        <v>602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4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ht="25.5" customHeight="1">
      <c r="A21" s="198" t="s">
        <v>603</v>
      </c>
      <c r="B21" s="199" t="s">
        <v>604</v>
      </c>
      <c r="C21" s="199" t="s">
        <v>605</v>
      </c>
      <c r="D21" s="76" t="s">
        <v>606</v>
      </c>
      <c r="E21" s="200" t="s">
        <v>607</v>
      </c>
      <c r="F21" s="189"/>
      <c r="G21" s="190"/>
      <c r="H21" s="200" t="s">
        <v>608</v>
      </c>
      <c r="I21" s="189"/>
      <c r="J21" s="189"/>
      <c r="K21" s="189"/>
      <c r="L21" s="189"/>
      <c r="M21" s="189"/>
      <c r="N21" s="189"/>
      <c r="O21" s="190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ht="27.0" customHeight="1">
      <c r="A22" s="201"/>
      <c r="B22" s="202"/>
      <c r="C22" s="202"/>
      <c r="D22" s="201"/>
      <c r="E22" s="203"/>
      <c r="F22" s="204"/>
      <c r="G22" s="205"/>
      <c r="H22" s="203"/>
      <c r="I22" s="204"/>
      <c r="J22" s="204"/>
      <c r="K22" s="204"/>
      <c r="L22" s="204"/>
      <c r="M22" s="204"/>
      <c r="N22" s="204"/>
      <c r="O22" s="205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ht="30.0" customHeight="1">
      <c r="A23" s="206" t="s">
        <v>63</v>
      </c>
      <c r="B23" s="207" t="str">
        <f>BASE!F34</f>
        <v>-</v>
      </c>
      <c r="C23" s="207" t="str">
        <f>BASE!F49</f>
        <v>-</v>
      </c>
      <c r="D23" s="208" t="str">
        <f t="shared" ref="D23:D36" si="1">IF(C23="-","-",(C23/B23))</f>
        <v>-</v>
      </c>
      <c r="E23" s="209"/>
      <c r="F23" s="2"/>
      <c r="G23" s="3"/>
      <c r="H23" s="209"/>
      <c r="I23" s="2"/>
      <c r="J23" s="2"/>
      <c r="K23" s="2"/>
      <c r="L23" s="2"/>
      <c r="M23" s="2"/>
      <c r="N23" s="2"/>
      <c r="O23" s="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ht="30.0" customHeight="1">
      <c r="A24" s="206" t="s">
        <v>64</v>
      </c>
      <c r="B24" s="207" t="str">
        <f>BASE!G34</f>
        <v>-</v>
      </c>
      <c r="C24" s="207" t="str">
        <f>BASE!G49</f>
        <v>-</v>
      </c>
      <c r="D24" s="208" t="str">
        <f t="shared" si="1"/>
        <v>-</v>
      </c>
      <c r="E24" s="209"/>
      <c r="F24" s="2"/>
      <c r="G24" s="3"/>
      <c r="H24" s="209"/>
      <c r="I24" s="2"/>
      <c r="J24" s="2"/>
      <c r="K24" s="2"/>
      <c r="L24" s="2"/>
      <c r="M24" s="2"/>
      <c r="N24" s="2"/>
      <c r="O24" s="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ht="30.0" customHeight="1">
      <c r="A25" s="206" t="s">
        <v>65</v>
      </c>
      <c r="B25" s="207" t="str">
        <f>BASE!H34</f>
        <v>-</v>
      </c>
      <c r="C25" s="207" t="str">
        <f>BASE!H49</f>
        <v>-</v>
      </c>
      <c r="D25" s="208" t="str">
        <f t="shared" si="1"/>
        <v>-</v>
      </c>
      <c r="E25" s="209"/>
      <c r="F25" s="2"/>
      <c r="G25" s="3"/>
      <c r="H25" s="209"/>
      <c r="I25" s="2"/>
      <c r="J25" s="2"/>
      <c r="K25" s="2"/>
      <c r="L25" s="2"/>
      <c r="M25" s="2"/>
      <c r="N25" s="2"/>
      <c r="O25" s="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ht="30.0" customHeight="1">
      <c r="A26" s="206" t="s">
        <v>66</v>
      </c>
      <c r="B26" s="207" t="str">
        <f>BASE!I34</f>
        <v>-</v>
      </c>
      <c r="C26" s="207" t="str">
        <f>BASE!I49</f>
        <v>-</v>
      </c>
      <c r="D26" s="208" t="str">
        <f t="shared" si="1"/>
        <v>-</v>
      </c>
      <c r="E26" s="209"/>
      <c r="F26" s="2"/>
      <c r="G26" s="3"/>
      <c r="H26" s="209"/>
      <c r="I26" s="2"/>
      <c r="J26" s="2"/>
      <c r="K26" s="2"/>
      <c r="L26" s="2"/>
      <c r="M26" s="2"/>
      <c r="N26" s="2"/>
      <c r="O26" s="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ht="30.0" customHeight="1">
      <c r="A27" s="206" t="s">
        <v>67</v>
      </c>
      <c r="B27" s="207" t="str">
        <f>BASE!J34</f>
        <v>-</v>
      </c>
      <c r="C27" s="207" t="str">
        <f>BASE!J49</f>
        <v>-</v>
      </c>
      <c r="D27" s="208" t="str">
        <f t="shared" si="1"/>
        <v>-</v>
      </c>
      <c r="E27" s="209"/>
      <c r="F27" s="2"/>
      <c r="G27" s="3"/>
      <c r="H27" s="209"/>
      <c r="I27" s="2"/>
      <c r="J27" s="2"/>
      <c r="K27" s="2"/>
      <c r="L27" s="2"/>
      <c r="M27" s="2"/>
      <c r="N27" s="2"/>
      <c r="O27" s="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ht="30.0" customHeight="1">
      <c r="A28" s="206" t="s">
        <v>68</v>
      </c>
      <c r="B28" s="207" t="str">
        <f>BASE!K34</f>
        <v>-</v>
      </c>
      <c r="C28" s="207" t="str">
        <f>BASE!K49</f>
        <v>-</v>
      </c>
      <c r="D28" s="208" t="str">
        <f t="shared" si="1"/>
        <v>-</v>
      </c>
      <c r="E28" s="209"/>
      <c r="F28" s="2"/>
      <c r="G28" s="3"/>
      <c r="H28" s="209"/>
      <c r="I28" s="2"/>
      <c r="J28" s="2"/>
      <c r="K28" s="2"/>
      <c r="L28" s="2"/>
      <c r="M28" s="2"/>
      <c r="N28" s="2"/>
      <c r="O28" s="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ht="30.0" customHeight="1">
      <c r="A29" s="206" t="s">
        <v>69</v>
      </c>
      <c r="B29" s="207" t="str">
        <f>BASE!L34</f>
        <v>-</v>
      </c>
      <c r="C29" s="207" t="str">
        <f>BASE!L49</f>
        <v>-</v>
      </c>
      <c r="D29" s="208" t="str">
        <f t="shared" si="1"/>
        <v>-</v>
      </c>
      <c r="E29" s="209"/>
      <c r="F29" s="2"/>
      <c r="G29" s="3"/>
      <c r="H29" s="209"/>
      <c r="I29" s="2"/>
      <c r="J29" s="2"/>
      <c r="K29" s="2"/>
      <c r="L29" s="2"/>
      <c r="M29" s="2"/>
      <c r="N29" s="2"/>
      <c r="O29" s="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ht="30.0" customHeight="1">
      <c r="A30" s="206" t="s">
        <v>70</v>
      </c>
      <c r="B30" s="207" t="str">
        <f>BASE!M34</f>
        <v>-</v>
      </c>
      <c r="C30" s="207" t="str">
        <f>BASE!M49</f>
        <v>-</v>
      </c>
      <c r="D30" s="208" t="str">
        <f t="shared" si="1"/>
        <v>-</v>
      </c>
      <c r="E30" s="209"/>
      <c r="F30" s="2"/>
      <c r="G30" s="3"/>
      <c r="H30" s="209"/>
      <c r="I30" s="2"/>
      <c r="J30" s="2"/>
      <c r="K30" s="2"/>
      <c r="L30" s="2"/>
      <c r="M30" s="2"/>
      <c r="N30" s="2"/>
      <c r="O30" s="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ht="30.0" customHeight="1">
      <c r="A31" s="206" t="s">
        <v>71</v>
      </c>
      <c r="B31" s="207" t="str">
        <f>BASE!N34</f>
        <v>-</v>
      </c>
      <c r="C31" s="207" t="str">
        <f>BASE!N49</f>
        <v>-</v>
      </c>
      <c r="D31" s="208" t="str">
        <f t="shared" si="1"/>
        <v>-</v>
      </c>
      <c r="E31" s="209"/>
      <c r="F31" s="2"/>
      <c r="G31" s="3"/>
      <c r="H31" s="209"/>
      <c r="I31" s="2"/>
      <c r="J31" s="2"/>
      <c r="K31" s="2"/>
      <c r="L31" s="2"/>
      <c r="M31" s="2"/>
      <c r="N31" s="2"/>
      <c r="O31" s="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ht="30.0" customHeight="1">
      <c r="A32" s="206" t="s">
        <v>72</v>
      </c>
      <c r="B32" s="207" t="str">
        <f>BASE!O34</f>
        <v>-</v>
      </c>
      <c r="C32" s="207" t="str">
        <f>BASE!O49</f>
        <v>-</v>
      </c>
      <c r="D32" s="208" t="str">
        <f t="shared" si="1"/>
        <v>-</v>
      </c>
      <c r="E32" s="209"/>
      <c r="F32" s="2"/>
      <c r="G32" s="3"/>
      <c r="H32" s="209"/>
      <c r="I32" s="2"/>
      <c r="J32" s="2"/>
      <c r="K32" s="2"/>
      <c r="L32" s="2"/>
      <c r="M32" s="2"/>
      <c r="N32" s="2"/>
      <c r="O32" s="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ht="30.0" customHeight="1">
      <c r="A33" s="206" t="s">
        <v>73</v>
      </c>
      <c r="B33" s="207" t="str">
        <f>BASE!P34</f>
        <v>-</v>
      </c>
      <c r="C33" s="207" t="str">
        <f>BASE!P49</f>
        <v>-</v>
      </c>
      <c r="D33" s="208" t="str">
        <f t="shared" si="1"/>
        <v>-</v>
      </c>
      <c r="E33" s="209"/>
      <c r="F33" s="2"/>
      <c r="G33" s="3"/>
      <c r="H33" s="209"/>
      <c r="I33" s="2"/>
      <c r="J33" s="2"/>
      <c r="K33" s="2"/>
      <c r="L33" s="2"/>
      <c r="M33" s="2"/>
      <c r="N33" s="2"/>
      <c r="O33" s="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ht="30.0" customHeight="1">
      <c r="A34" s="206" t="s">
        <v>74</v>
      </c>
      <c r="B34" s="207" t="str">
        <f>BASE!Q34</f>
        <v>-</v>
      </c>
      <c r="C34" s="207" t="str">
        <f>BASE!Q49</f>
        <v>-</v>
      </c>
      <c r="D34" s="208" t="str">
        <f t="shared" si="1"/>
        <v>-</v>
      </c>
      <c r="E34" s="209"/>
      <c r="F34" s="2"/>
      <c r="G34" s="3"/>
      <c r="H34" s="209"/>
      <c r="I34" s="2"/>
      <c r="J34" s="2"/>
      <c r="K34" s="2"/>
      <c r="L34" s="2"/>
      <c r="M34" s="2"/>
      <c r="N34" s="2"/>
      <c r="O34" s="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ht="30.0" customHeight="1">
      <c r="A35" s="206" t="s">
        <v>75</v>
      </c>
      <c r="B35" s="207" t="str">
        <f>BASE!R34</f>
        <v>-</v>
      </c>
      <c r="C35" s="207" t="str">
        <f>BASE!R49</f>
        <v>-</v>
      </c>
      <c r="D35" s="208" t="str">
        <f t="shared" si="1"/>
        <v>-</v>
      </c>
      <c r="E35" s="209"/>
      <c r="F35" s="2"/>
      <c r="G35" s="3"/>
      <c r="H35" s="209"/>
      <c r="I35" s="2"/>
      <c r="J35" s="2"/>
      <c r="K35" s="2"/>
      <c r="L35" s="2"/>
      <c r="M35" s="2"/>
      <c r="N35" s="2"/>
      <c r="O35" s="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ht="30.0" customHeight="1">
      <c r="A36" s="206" t="s">
        <v>76</v>
      </c>
      <c r="B36" s="207" t="str">
        <f>BASE!S34</f>
        <v>-</v>
      </c>
      <c r="C36" s="207" t="str">
        <f>BASE!S49</f>
        <v>-</v>
      </c>
      <c r="D36" s="208" t="str">
        <f t="shared" si="1"/>
        <v>-</v>
      </c>
      <c r="E36" s="209"/>
      <c r="F36" s="2"/>
      <c r="G36" s="3"/>
      <c r="H36" s="209"/>
      <c r="I36" s="2"/>
      <c r="J36" s="2"/>
      <c r="K36" s="2"/>
      <c r="L36" s="2"/>
      <c r="M36" s="2"/>
      <c r="N36" s="2"/>
      <c r="O36" s="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ht="17.25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ht="17.25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ht="17.25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ht="17.2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ht="17.25" customHeight="1">
      <c r="A41" s="113"/>
      <c r="B41" s="210" t="s">
        <v>609</v>
      </c>
      <c r="C41" s="113"/>
      <c r="D41" s="113"/>
      <c r="E41" s="113" t="s">
        <v>610</v>
      </c>
      <c r="F41" s="113"/>
      <c r="G41" s="113"/>
      <c r="H41" s="113"/>
      <c r="I41" s="113" t="s">
        <v>611</v>
      </c>
      <c r="J41" s="113"/>
      <c r="K41" s="113"/>
      <c r="L41" s="113"/>
      <c r="M41" s="113" t="s">
        <v>612</v>
      </c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ht="17.25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ht="17.25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ht="17.25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ht="17.25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ht="17.2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ht="17.2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ht="17.2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ht="17.2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ht="17.25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ht="17.2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ht="17.25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ht="17.25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ht="17.25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ht="17.25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ht="17.2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ht="17.25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ht="17.2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ht="17.25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ht="17.25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ht="17.2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ht="17.2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ht="17.2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ht="17.2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ht="17.2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ht="17.2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ht="17.2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ht="17.2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ht="17.2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ht="17.2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ht="17.2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ht="17.2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ht="17.2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ht="17.2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ht="17.2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ht="17.2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ht="17.2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ht="17.2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ht="17.2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ht="17.2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ht="17.2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ht="17.2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ht="17.2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ht="17.2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ht="17.2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ht="17.2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ht="17.2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ht="17.2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ht="17.2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ht="17.2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ht="17.2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ht="17.2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ht="17.2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ht="17.2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ht="17.2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ht="17.2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ht="17.2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ht="17.2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ht="17.2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ht="17.2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ht="17.2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ht="17.2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ht="17.2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ht="17.2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ht="17.2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ht="17.2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ht="17.2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ht="17.2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ht="17.2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ht="17.2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ht="17.2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ht="17.2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ht="17.2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ht="17.2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ht="17.2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ht="17.2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ht="17.2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ht="17.2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ht="17.2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ht="17.2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ht="17.2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ht="17.2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ht="17.2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ht="17.2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ht="17.2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ht="17.2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ht="17.2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ht="17.2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ht="17.2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ht="17.2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ht="17.2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ht="17.2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ht="17.2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ht="17.2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ht="17.2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ht="17.2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ht="17.2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ht="17.2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ht="17.2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ht="17.2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ht="17.2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ht="17.2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ht="17.2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ht="17.2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ht="17.2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ht="17.2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ht="17.2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ht="17.2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ht="17.2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ht="17.2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ht="17.2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ht="17.2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ht="17.2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ht="17.2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ht="17.2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ht="17.2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ht="17.2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ht="17.2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ht="17.2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ht="17.2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ht="17.2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ht="17.2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ht="17.2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ht="17.2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ht="17.2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ht="17.2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ht="17.2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ht="17.2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ht="17.2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ht="17.2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ht="17.2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ht="17.2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ht="17.2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ht="17.2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ht="17.2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ht="17.2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ht="17.2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ht="17.2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ht="17.2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ht="17.2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ht="17.2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ht="17.2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ht="17.2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ht="17.2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ht="17.2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ht="17.2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ht="17.2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ht="17.2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ht="17.2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ht="17.2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ht="17.2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ht="17.2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ht="17.2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ht="17.2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ht="17.2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ht="17.2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ht="17.2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ht="17.2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ht="17.2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ht="17.2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ht="17.2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ht="17.2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ht="17.2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ht="17.2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ht="17.2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ht="17.2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ht="17.2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ht="17.2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ht="17.2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ht="17.2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ht="17.2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ht="17.2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ht="17.2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ht="17.2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ht="17.2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ht="17.2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ht="17.2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ht="17.2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ht="17.2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ht="17.2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ht="17.25" customHeight="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ht="17.25" customHeight="1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ht="17.25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ht="17.25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ht="17.25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ht="17.25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ht="17.25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ht="17.25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ht="17.25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ht="17.25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ht="17.25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ht="17.25" customHeight="1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ht="17.25" customHeight="1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ht="17.25" customHeight="1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ht="17.25" customHeight="1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</sheetData>
  <mergeCells count="52">
    <mergeCell ref="A15:D19"/>
    <mergeCell ref="E15:O19"/>
    <mergeCell ref="A13:C13"/>
    <mergeCell ref="A21:A22"/>
    <mergeCell ref="B21:B22"/>
    <mergeCell ref="C21:C22"/>
    <mergeCell ref="D21:D22"/>
    <mergeCell ref="E21:G22"/>
    <mergeCell ref="H24:O24"/>
    <mergeCell ref="E23:G23"/>
    <mergeCell ref="E24:G24"/>
    <mergeCell ref="H23:O23"/>
    <mergeCell ref="G12:O12"/>
    <mergeCell ref="A11:C11"/>
    <mergeCell ref="A12:C12"/>
    <mergeCell ref="D12:F12"/>
    <mergeCell ref="D13:G13"/>
    <mergeCell ref="A20:O20"/>
    <mergeCell ref="H21:O22"/>
    <mergeCell ref="H32:O32"/>
    <mergeCell ref="H33:O33"/>
    <mergeCell ref="E29:G29"/>
    <mergeCell ref="E30:G30"/>
    <mergeCell ref="E25:G25"/>
    <mergeCell ref="E26:G26"/>
    <mergeCell ref="E27:G27"/>
    <mergeCell ref="E28:G28"/>
    <mergeCell ref="E32:G32"/>
    <mergeCell ref="E33:G33"/>
    <mergeCell ref="H25:O25"/>
    <mergeCell ref="H26:O26"/>
    <mergeCell ref="H27:O27"/>
    <mergeCell ref="E34:G34"/>
    <mergeCell ref="E35:G35"/>
    <mergeCell ref="E36:G36"/>
    <mergeCell ref="H36:O36"/>
    <mergeCell ref="H28:O28"/>
    <mergeCell ref="H29:O29"/>
    <mergeCell ref="H30:O30"/>
    <mergeCell ref="H34:O34"/>
    <mergeCell ref="H35:O35"/>
    <mergeCell ref="H13:K13"/>
    <mergeCell ref="L13:O13"/>
    <mergeCell ref="A7:O7"/>
    <mergeCell ref="A8:O8"/>
    <mergeCell ref="A9:O9"/>
    <mergeCell ref="D11:F11"/>
    <mergeCell ref="G11:I11"/>
    <mergeCell ref="J11:L11"/>
    <mergeCell ref="M11:O11"/>
    <mergeCell ref="E31:G31"/>
    <mergeCell ref="H31:O31"/>
  </mergeCells>
  <printOptions horizontalCentered="1"/>
  <pageMargins bottom="0.5" footer="0.0" header="0.0" left="0.45" right="0.45" top="0.5"/>
  <pageSetup scale="68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4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baseType="lpstr" size="8">
      <vt:lpstr>Target</vt:lpstr>
      <vt:lpstr>BASE</vt:lpstr>
      <vt:lpstr>exp marks</vt:lpstr>
      <vt:lpstr>Internal CO</vt:lpstr>
      <vt:lpstr>ESE</vt:lpstr>
      <vt:lpstr>ESE CO</vt:lpstr>
      <vt:lpstr>Course Ass report</vt:lpstr>
      <vt:lpstr>'Course Ass report'!Z_56799CC1_F484_4137_8B81_ABA0C19A048B_.wvu.PrintArea</vt:lpstr>
    </vt:vector>
  </TitlesOfParts>
  <LinksUpToDate>false</LinksUpToDate>
  <SharedDoc>false</SharedDoc>
  <HyperlinksChanged>false</HyperlinksChanged>
  <Application>Microsoft Excel</Application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2018-03-07T04:31:46Z</dcterms:created>
  <dc:creator>Admin</dc:creator>
  <cp:lastModifiedBy>IQAC</cp:lastModifiedBy>
  <cp:lastPrinted>2024-09-30T10:11:15Z</cp:lastPrinted>
  <dcterms:modified xsi:type="dcterms:W3CDTF">2026-02-16T10:19:21Z</dcterms:modified>
</cp:coreProperties>
</file>