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0730" windowHeight="9615"/>
  </bookViews>
  <sheets>
    <sheet name="Class &amp; Section" sheetId="2" r:id="rId1"/>
  </sheets>
  <definedNames>
    <definedName name="_xlnm.Print_Area" localSheetId="0">'Class &amp; Section'!$A$1:$AB$112</definedName>
  </definedNames>
  <calcPr calcId="125725"/>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V86" i="2"/>
  <c r="W86"/>
  <c r="X86"/>
  <c r="Y86"/>
  <c r="V87"/>
  <c r="W87"/>
  <c r="X87"/>
  <c r="Y87"/>
  <c r="V75"/>
  <c r="W75"/>
  <c r="X75"/>
  <c r="Y75"/>
  <c r="V76"/>
  <c r="W76"/>
  <c r="X76"/>
  <c r="Y76"/>
  <c r="V77"/>
  <c r="W77"/>
  <c r="X77"/>
  <c r="Y77"/>
  <c r="V78"/>
  <c r="W78"/>
  <c r="X78"/>
  <c r="Y78"/>
  <c r="V79"/>
  <c r="W79"/>
  <c r="X79"/>
  <c r="Y79"/>
  <c r="V80"/>
  <c r="W80"/>
  <c r="X80"/>
  <c r="Y80"/>
  <c r="V81"/>
  <c r="W81"/>
  <c r="X81"/>
  <c r="Y81"/>
  <c r="V82"/>
  <c r="W82"/>
  <c r="X82"/>
  <c r="Y82"/>
  <c r="V83"/>
  <c r="W83"/>
  <c r="X83"/>
  <c r="Y83"/>
  <c r="V84"/>
  <c r="W84"/>
  <c r="X84"/>
  <c r="Y84"/>
  <c r="V85"/>
  <c r="W85"/>
  <c r="X85"/>
  <c r="Y85"/>
  <c r="V70"/>
  <c r="W70"/>
  <c r="X70"/>
  <c r="Y70"/>
  <c r="V71"/>
  <c r="W71"/>
  <c r="X71"/>
  <c r="Y71"/>
  <c r="V72"/>
  <c r="W72"/>
  <c r="X72"/>
  <c r="Y72"/>
  <c r="V73"/>
  <c r="W73"/>
  <c r="X73"/>
  <c r="Y73"/>
  <c r="V74"/>
  <c r="W74"/>
  <c r="X74"/>
  <c r="Y74"/>
  <c r="AB76"/>
  <c r="O89"/>
  <c r="Q89"/>
  <c r="R89"/>
  <c r="S89"/>
  <c r="AB80" l="1"/>
  <c r="AB81"/>
  <c r="AB71"/>
  <c r="AB83"/>
  <c r="AB79"/>
  <c r="AB75"/>
  <c r="AB70"/>
  <c r="AB82"/>
  <c r="AB78"/>
  <c r="AB87"/>
  <c r="AB86"/>
  <c r="AB77"/>
  <c r="AB74"/>
  <c r="AB73"/>
  <c r="AB72"/>
  <c r="AB85"/>
  <c r="AB84"/>
  <c r="U111"/>
  <c r="U112" s="1"/>
  <c r="T111"/>
  <c r="T112" s="1"/>
  <c r="S111"/>
  <c r="S112" s="1"/>
  <c r="R111"/>
  <c r="R112" s="1"/>
  <c r="Q111"/>
  <c r="P111"/>
  <c r="O111"/>
  <c r="N111"/>
  <c r="M111"/>
  <c r="L111"/>
  <c r="K111"/>
  <c r="J111"/>
  <c r="I111"/>
  <c r="H111"/>
  <c r="G111"/>
  <c r="F111"/>
  <c r="E111"/>
  <c r="U103"/>
  <c r="AB94"/>
  <c r="T90"/>
  <c r="T109" s="1"/>
  <c r="S90"/>
  <c r="S104" s="1"/>
  <c r="R90"/>
  <c r="R107" s="1"/>
  <c r="Q90"/>
  <c r="Q108" s="1"/>
  <c r="P90"/>
  <c r="P105" s="1"/>
  <c r="P106" s="1"/>
  <c r="O90"/>
  <c r="N90"/>
  <c r="N105" s="1"/>
  <c r="N106" s="1"/>
  <c r="M90"/>
  <c r="M105" s="1"/>
  <c r="M106" s="1"/>
  <c r="L90"/>
  <c r="L105" s="1"/>
  <c r="L106" s="1"/>
  <c r="K90"/>
  <c r="K105" s="1"/>
  <c r="K106" s="1"/>
  <c r="J90"/>
  <c r="J105" s="1"/>
  <c r="J106" s="1"/>
  <c r="I90"/>
  <c r="H90"/>
  <c r="H105" s="1"/>
  <c r="H106" s="1"/>
  <c r="G90"/>
  <c r="G105" s="1"/>
  <c r="G106" s="1"/>
  <c r="F90"/>
  <c r="F105" s="1"/>
  <c r="F106" s="1"/>
  <c r="E90"/>
  <c r="E105" s="1"/>
  <c r="E106" s="1"/>
  <c r="D90"/>
  <c r="T89"/>
  <c r="N89"/>
  <c r="M89"/>
  <c r="L89"/>
  <c r="K89"/>
  <c r="J89"/>
  <c r="I89"/>
  <c r="H89"/>
  <c r="G89"/>
  <c r="F89"/>
  <c r="E89"/>
  <c r="D89"/>
  <c r="AG87"/>
  <c r="AF87"/>
  <c r="AG86"/>
  <c r="AF86"/>
  <c r="AG85"/>
  <c r="AF85"/>
  <c r="AE79"/>
  <c r="AG79"/>
  <c r="AF79"/>
  <c r="AE78"/>
  <c r="AG78"/>
  <c r="AF78"/>
  <c r="AG72"/>
  <c r="AF72"/>
  <c r="Y69"/>
  <c r="AG69" s="1"/>
  <c r="X69"/>
  <c r="AF69" s="1"/>
  <c r="W69"/>
  <c r="V69"/>
  <c r="Y68"/>
  <c r="AG68" s="1"/>
  <c r="X68"/>
  <c r="AF68" s="1"/>
  <c r="W68"/>
  <c r="V68"/>
  <c r="Y67"/>
  <c r="AG67" s="1"/>
  <c r="X67"/>
  <c r="AF67" s="1"/>
  <c r="W67"/>
  <c r="V67"/>
  <c r="Y66"/>
  <c r="AG66" s="1"/>
  <c r="X66"/>
  <c r="AF66" s="1"/>
  <c r="W66"/>
  <c r="V66"/>
  <c r="Y65"/>
  <c r="AG65" s="1"/>
  <c r="X65"/>
  <c r="AF65" s="1"/>
  <c r="W65"/>
  <c r="V65"/>
  <c r="Y64"/>
  <c r="AG64" s="1"/>
  <c r="X64"/>
  <c r="AF64" s="1"/>
  <c r="W64"/>
  <c r="V64"/>
  <c r="Y63"/>
  <c r="AG63" s="1"/>
  <c r="X63"/>
  <c r="AF63" s="1"/>
  <c r="W63"/>
  <c r="V63"/>
  <c r="Y62"/>
  <c r="AG62" s="1"/>
  <c r="X62"/>
  <c r="AF62" s="1"/>
  <c r="W62"/>
  <c r="V62"/>
  <c r="Y61"/>
  <c r="AG61" s="1"/>
  <c r="X61"/>
  <c r="AF61" s="1"/>
  <c r="W61"/>
  <c r="V61"/>
  <c r="Y60"/>
  <c r="AG60" s="1"/>
  <c r="X60"/>
  <c r="AF60" s="1"/>
  <c r="W60"/>
  <c r="V60"/>
  <c r="Y59"/>
  <c r="AG59" s="1"/>
  <c r="X59"/>
  <c r="AF59" s="1"/>
  <c r="W59"/>
  <c r="V59"/>
  <c r="Y58"/>
  <c r="AG58" s="1"/>
  <c r="X58"/>
  <c r="AF58" s="1"/>
  <c r="W58"/>
  <c r="V58"/>
  <c r="Y57"/>
  <c r="AG57" s="1"/>
  <c r="X57"/>
  <c r="AF57" s="1"/>
  <c r="W57"/>
  <c r="V57"/>
  <c r="Y56"/>
  <c r="AG56" s="1"/>
  <c r="X56"/>
  <c r="AF56" s="1"/>
  <c r="W56"/>
  <c r="V56"/>
  <c r="Y55"/>
  <c r="AG55" s="1"/>
  <c r="X55"/>
  <c r="AF55" s="1"/>
  <c r="W55"/>
  <c r="V55"/>
  <c r="Y54"/>
  <c r="AG54" s="1"/>
  <c r="X54"/>
  <c r="AF54" s="1"/>
  <c r="W54"/>
  <c r="V54"/>
  <c r="Y53"/>
  <c r="AG53" s="1"/>
  <c r="X53"/>
  <c r="AF53" s="1"/>
  <c r="W53"/>
  <c r="V53"/>
  <c r="Y52"/>
  <c r="AG52" s="1"/>
  <c r="X52"/>
  <c r="AF52" s="1"/>
  <c r="W52"/>
  <c r="V52"/>
  <c r="Y51"/>
  <c r="AG51" s="1"/>
  <c r="X51"/>
  <c r="AF51" s="1"/>
  <c r="W51"/>
  <c r="V51"/>
  <c r="Y50"/>
  <c r="AG50" s="1"/>
  <c r="X50"/>
  <c r="AF50" s="1"/>
  <c r="W50"/>
  <c r="V50"/>
  <c r="Y49"/>
  <c r="AG49" s="1"/>
  <c r="X49"/>
  <c r="AF49" s="1"/>
  <c r="W49"/>
  <c r="V49"/>
  <c r="Y48"/>
  <c r="AG48" s="1"/>
  <c r="X48"/>
  <c r="AF48" s="1"/>
  <c r="W48"/>
  <c r="V48"/>
  <c r="Y47"/>
  <c r="AG47" s="1"/>
  <c r="X47"/>
  <c r="AF47" s="1"/>
  <c r="W47"/>
  <c r="V47"/>
  <c r="Y46"/>
  <c r="AG46" s="1"/>
  <c r="X46"/>
  <c r="AF46" s="1"/>
  <c r="W46"/>
  <c r="V46"/>
  <c r="Y45"/>
  <c r="AG45" s="1"/>
  <c r="X45"/>
  <c r="AF45" s="1"/>
  <c r="W45"/>
  <c r="V45"/>
  <c r="Y44"/>
  <c r="AG44" s="1"/>
  <c r="X44"/>
  <c r="AF44" s="1"/>
  <c r="W44"/>
  <c r="V44"/>
  <c r="Y43"/>
  <c r="AG43" s="1"/>
  <c r="X43"/>
  <c r="AF43" s="1"/>
  <c r="W43"/>
  <c r="V43"/>
  <c r="Y42"/>
  <c r="AG42" s="1"/>
  <c r="X42"/>
  <c r="AF42" s="1"/>
  <c r="W42"/>
  <c r="V42"/>
  <c r="Y41"/>
  <c r="AG41" s="1"/>
  <c r="X41"/>
  <c r="AF41" s="1"/>
  <c r="W41"/>
  <c r="V41"/>
  <c r="Y40"/>
  <c r="AG40" s="1"/>
  <c r="X40"/>
  <c r="AF40" s="1"/>
  <c r="W40"/>
  <c r="V40"/>
  <c r="Y39"/>
  <c r="AG39" s="1"/>
  <c r="X39"/>
  <c r="AF39" s="1"/>
  <c r="W39"/>
  <c r="V39"/>
  <c r="Y38"/>
  <c r="AG38" s="1"/>
  <c r="X38"/>
  <c r="AF38" s="1"/>
  <c r="W38"/>
  <c r="V38"/>
  <c r="Y37"/>
  <c r="AG37" s="1"/>
  <c r="X37"/>
  <c r="AF37" s="1"/>
  <c r="W37"/>
  <c r="V37"/>
  <c r="Y36"/>
  <c r="AG36" s="1"/>
  <c r="X36"/>
  <c r="AF36" s="1"/>
  <c r="W36"/>
  <c r="V36"/>
  <c r="AE36" s="1"/>
  <c r="Y35"/>
  <c r="AG35" s="1"/>
  <c r="X35"/>
  <c r="AF35" s="1"/>
  <c r="W35"/>
  <c r="V35"/>
  <c r="Y34"/>
  <c r="AG34" s="1"/>
  <c r="X34"/>
  <c r="AF34" s="1"/>
  <c r="W34"/>
  <c r="V34"/>
  <c r="Y33"/>
  <c r="AG33" s="1"/>
  <c r="X33"/>
  <c r="AF33" s="1"/>
  <c r="W33"/>
  <c r="V33"/>
  <c r="Y32"/>
  <c r="AG32" s="1"/>
  <c r="X32"/>
  <c r="AF32" s="1"/>
  <c r="W32"/>
  <c r="V32"/>
  <c r="Y31"/>
  <c r="AG31" s="1"/>
  <c r="X31"/>
  <c r="AF31" s="1"/>
  <c r="W31"/>
  <c r="V31"/>
  <c r="Y30"/>
  <c r="AG30" s="1"/>
  <c r="X30"/>
  <c r="AF30" s="1"/>
  <c r="W30"/>
  <c r="V30"/>
  <c r="Y29"/>
  <c r="AG29" s="1"/>
  <c r="X29"/>
  <c r="AF29" s="1"/>
  <c r="W29"/>
  <c r="V29"/>
  <c r="Y28"/>
  <c r="AG28" s="1"/>
  <c r="X28"/>
  <c r="AF28" s="1"/>
  <c r="W28"/>
  <c r="V28"/>
  <c r="AE28" s="1"/>
  <c r="O101" l="1"/>
  <c r="O105"/>
  <c r="O106" s="1"/>
  <c r="I101"/>
  <c r="I102" s="1"/>
  <c r="I105"/>
  <c r="I106" s="1"/>
  <c r="AB29"/>
  <c r="AB33"/>
  <c r="G101"/>
  <c r="G102" s="1"/>
  <c r="K101"/>
  <c r="Q112"/>
  <c r="F107"/>
  <c r="F101"/>
  <c r="F102" s="1"/>
  <c r="J107"/>
  <c r="J101"/>
  <c r="N101"/>
  <c r="AB42"/>
  <c r="AB46"/>
  <c r="AB50"/>
  <c r="E108"/>
  <c r="E101"/>
  <c r="E102" s="1"/>
  <c r="M108"/>
  <c r="M101"/>
  <c r="AB37"/>
  <c r="AE37"/>
  <c r="D109"/>
  <c r="H109"/>
  <c r="H101"/>
  <c r="L109"/>
  <c r="L101"/>
  <c r="P109"/>
  <c r="P101"/>
  <c r="N107"/>
  <c r="I108"/>
  <c r="Q91"/>
  <c r="Q92" s="1"/>
  <c r="R99"/>
  <c r="R100" s="1"/>
  <c r="Q97"/>
  <c r="Q98" s="1"/>
  <c r="S91"/>
  <c r="S92" s="1"/>
  <c r="S103"/>
  <c r="AE42"/>
  <c r="AE50"/>
  <c r="AB49"/>
  <c r="AE49"/>
  <c r="AB53"/>
  <c r="AB54"/>
  <c r="AB55"/>
  <c r="AB56"/>
  <c r="AB57"/>
  <c r="AB58"/>
  <c r="AB59"/>
  <c r="AB60"/>
  <c r="AB61"/>
  <c r="AB62"/>
  <c r="AB63"/>
  <c r="AB64"/>
  <c r="AB65"/>
  <c r="AB66"/>
  <c r="AB67"/>
  <c r="AB68"/>
  <c r="AB69"/>
  <c r="AE29"/>
  <c r="AE33"/>
  <c r="AE46"/>
  <c r="AB32"/>
  <c r="AE32"/>
  <c r="AB41"/>
  <c r="AE41"/>
  <c r="AB45"/>
  <c r="AE45"/>
  <c r="AB31"/>
  <c r="AE31"/>
  <c r="AB35"/>
  <c r="AE35"/>
  <c r="AB39"/>
  <c r="AE39"/>
  <c r="AB44"/>
  <c r="AE44"/>
  <c r="AB48"/>
  <c r="AE48"/>
  <c r="AB52"/>
  <c r="AE52"/>
  <c r="O91"/>
  <c r="AB36"/>
  <c r="AB30"/>
  <c r="AE30"/>
  <c r="AB34"/>
  <c r="AE34"/>
  <c r="AB38"/>
  <c r="AE38"/>
  <c r="AB43"/>
  <c r="AE43"/>
  <c r="AB47"/>
  <c r="AE47"/>
  <c r="AB51"/>
  <c r="AE51"/>
  <c r="AG88"/>
  <c r="AB111"/>
  <c r="E112"/>
  <c r="I112"/>
  <c r="M112"/>
  <c r="H112"/>
  <c r="L112"/>
  <c r="P112"/>
  <c r="AB40"/>
  <c r="AE40"/>
  <c r="G112"/>
  <c r="K112"/>
  <c r="O112"/>
  <c r="F112"/>
  <c r="J112"/>
  <c r="N112"/>
  <c r="AF88"/>
  <c r="AE53"/>
  <c r="AE54"/>
  <c r="AE55"/>
  <c r="AE56"/>
  <c r="AE57"/>
  <c r="AE58"/>
  <c r="AE59"/>
  <c r="AE60"/>
  <c r="AE61"/>
  <c r="AE62"/>
  <c r="AE63"/>
  <c r="AE64"/>
  <c r="AE65"/>
  <c r="AE66"/>
  <c r="AE67"/>
  <c r="AE68"/>
  <c r="AE69"/>
  <c r="AE85"/>
  <c r="AE86"/>
  <c r="AE87"/>
  <c r="D91"/>
  <c r="H91"/>
  <c r="H92" s="1"/>
  <c r="L91"/>
  <c r="L92" s="1"/>
  <c r="P91"/>
  <c r="T91"/>
  <c r="T92" s="1"/>
  <c r="E93"/>
  <c r="E94" s="1"/>
  <c r="I93"/>
  <c r="I94" s="1"/>
  <c r="M93"/>
  <c r="M94" s="1"/>
  <c r="Q93"/>
  <c r="Q94" s="1"/>
  <c r="E95"/>
  <c r="E96" s="1"/>
  <c r="I95"/>
  <c r="I96" s="1"/>
  <c r="M95"/>
  <c r="M96" s="1"/>
  <c r="Q95"/>
  <c r="Q96" s="1"/>
  <c r="F97"/>
  <c r="F98" s="1"/>
  <c r="J97"/>
  <c r="J98" s="1"/>
  <c r="N97"/>
  <c r="N98" s="1"/>
  <c r="R97"/>
  <c r="R98" s="1"/>
  <c r="G99"/>
  <c r="G100" s="1"/>
  <c r="K99"/>
  <c r="K100" s="1"/>
  <c r="O99"/>
  <c r="O100" s="1"/>
  <c r="S99"/>
  <c r="S100" s="1"/>
  <c r="K102"/>
  <c r="T103"/>
  <c r="R104"/>
  <c r="D105"/>
  <c r="T105"/>
  <c r="T106" s="1"/>
  <c r="E107"/>
  <c r="I107"/>
  <c r="M107"/>
  <c r="Q107"/>
  <c r="D108"/>
  <c r="H108"/>
  <c r="L108"/>
  <c r="P108"/>
  <c r="T108"/>
  <c r="G109"/>
  <c r="K109"/>
  <c r="O109"/>
  <c r="S109"/>
  <c r="AB28"/>
  <c r="G91"/>
  <c r="G92" s="1"/>
  <c r="K91"/>
  <c r="K92" s="1"/>
  <c r="D93"/>
  <c r="H93"/>
  <c r="H94" s="1"/>
  <c r="L93"/>
  <c r="L94" s="1"/>
  <c r="P93"/>
  <c r="P94" s="1"/>
  <c r="T93"/>
  <c r="T94" s="1"/>
  <c r="D95"/>
  <c r="H95"/>
  <c r="H96" s="1"/>
  <c r="L95"/>
  <c r="L96" s="1"/>
  <c r="P95"/>
  <c r="P96" s="1"/>
  <c r="T95"/>
  <c r="T96" s="1"/>
  <c r="E97"/>
  <c r="E98" s="1"/>
  <c r="I97"/>
  <c r="I98" s="1"/>
  <c r="M97"/>
  <c r="M98" s="1"/>
  <c r="F99"/>
  <c r="F100" s="1"/>
  <c r="J99"/>
  <c r="J100" s="1"/>
  <c r="N99"/>
  <c r="N100" s="1"/>
  <c r="J102"/>
  <c r="S105"/>
  <c r="S106" s="1"/>
  <c r="D107"/>
  <c r="H107"/>
  <c r="L107"/>
  <c r="P107"/>
  <c r="T107"/>
  <c r="G108"/>
  <c r="K108"/>
  <c r="O108"/>
  <c r="S108"/>
  <c r="F109"/>
  <c r="J109"/>
  <c r="N109"/>
  <c r="R109"/>
  <c r="AE72"/>
  <c r="F91"/>
  <c r="F92" s="1"/>
  <c r="J91"/>
  <c r="J92" s="1"/>
  <c r="N91"/>
  <c r="N92" s="1"/>
  <c r="R91"/>
  <c r="R92" s="1"/>
  <c r="G93"/>
  <c r="G94" s="1"/>
  <c r="K93"/>
  <c r="K94" s="1"/>
  <c r="O93"/>
  <c r="O94" s="1"/>
  <c r="S93"/>
  <c r="S94" s="1"/>
  <c r="G95"/>
  <c r="G96" s="1"/>
  <c r="K95"/>
  <c r="K96" s="1"/>
  <c r="O95"/>
  <c r="O96" s="1"/>
  <c r="S95"/>
  <c r="S96" s="1"/>
  <c r="D97"/>
  <c r="H97"/>
  <c r="H98" s="1"/>
  <c r="L97"/>
  <c r="L98" s="1"/>
  <c r="P97"/>
  <c r="P98" s="1"/>
  <c r="T97"/>
  <c r="T98" s="1"/>
  <c r="E99"/>
  <c r="E100" s="1"/>
  <c r="I99"/>
  <c r="I100" s="1"/>
  <c r="M99"/>
  <c r="M100" s="1"/>
  <c r="Q99"/>
  <c r="Q100" s="1"/>
  <c r="R103"/>
  <c r="T104"/>
  <c r="R105"/>
  <c r="R106" s="1"/>
  <c r="G107"/>
  <c r="K107"/>
  <c r="O107"/>
  <c r="S107"/>
  <c r="F108"/>
  <c r="J108"/>
  <c r="N108"/>
  <c r="R108"/>
  <c r="E109"/>
  <c r="I109"/>
  <c r="M109"/>
  <c r="Q109"/>
  <c r="E91"/>
  <c r="E92" s="1"/>
  <c r="I91"/>
  <c r="I92" s="1"/>
  <c r="M91"/>
  <c r="M92" s="1"/>
  <c r="F93"/>
  <c r="F94" s="1"/>
  <c r="J93"/>
  <c r="J94" s="1"/>
  <c r="N93"/>
  <c r="N94" s="1"/>
  <c r="R93"/>
  <c r="R94" s="1"/>
  <c r="F95"/>
  <c r="F96" s="1"/>
  <c r="J95"/>
  <c r="J96" s="1"/>
  <c r="N95"/>
  <c r="N96" s="1"/>
  <c r="R95"/>
  <c r="R96" s="1"/>
  <c r="G97"/>
  <c r="G98" s="1"/>
  <c r="K97"/>
  <c r="K98" s="1"/>
  <c r="O97"/>
  <c r="O98" s="1"/>
  <c r="S97"/>
  <c r="S98" s="1"/>
  <c r="D99"/>
  <c r="H99"/>
  <c r="H100" s="1"/>
  <c r="L99"/>
  <c r="L100" s="1"/>
  <c r="L102" s="1"/>
  <c r="P99"/>
  <c r="P100" s="1"/>
  <c r="T99"/>
  <c r="T100" s="1"/>
  <c r="D101"/>
  <c r="H102"/>
  <c r="Q103"/>
  <c r="Q104" s="1"/>
  <c r="Q105"/>
  <c r="Q106" s="1"/>
  <c r="O102" l="1"/>
  <c r="M102"/>
  <c r="P102"/>
  <c r="N102"/>
  <c r="D103"/>
  <c r="E103"/>
  <c r="E104" s="1"/>
  <c r="F103"/>
  <c r="F104" s="1"/>
  <c r="G103"/>
  <c r="G104" s="1"/>
  <c r="N103"/>
  <c r="N104" s="1"/>
  <c r="L103"/>
  <c r="L104" s="1"/>
  <c r="H103"/>
  <c r="H104" s="1"/>
  <c r="M103"/>
  <c r="M104" s="1"/>
  <c r="K103"/>
  <c r="K104" s="1"/>
  <c r="J103"/>
  <c r="J104" s="1"/>
  <c r="P92"/>
  <c r="P103"/>
  <c r="P104" s="1"/>
  <c r="O92"/>
  <c r="O103"/>
  <c r="O104" s="1"/>
  <c r="I103"/>
  <c r="I104" s="1"/>
  <c r="AE88"/>
  <c r="AB99" s="1"/>
  <c r="AA104" s="1"/>
  <c r="D106"/>
  <c r="U106"/>
  <c r="D92"/>
  <c r="U92"/>
  <c r="D100"/>
  <c r="U100"/>
  <c r="U94"/>
  <c r="D94"/>
  <c r="D102"/>
  <c r="U102"/>
  <c r="D98"/>
  <c r="U98"/>
  <c r="U96"/>
  <c r="D96"/>
  <c r="D104"/>
</calcChain>
</file>

<file path=xl/sharedStrings.xml><?xml version="1.0" encoding="utf-8"?>
<sst xmlns="http://schemas.openxmlformats.org/spreadsheetml/2006/main" count="107" uniqueCount="89">
  <si>
    <t>BATCH PASSING OUT YEAR</t>
  </si>
  <si>
    <t>B.E. Mechanical Engineering</t>
  </si>
  <si>
    <t>SEMESTER NO.</t>
  </si>
  <si>
    <t>SECTION:</t>
  </si>
  <si>
    <t>MONTH &amp; YEAR OF EXAM</t>
  </si>
  <si>
    <t>B.E. Electronics and Communication Engineering</t>
  </si>
  <si>
    <t>.S.No</t>
  </si>
  <si>
    <t xml:space="preserve">COURSE CODE </t>
  </si>
  <si>
    <t>COURSE NAME</t>
  </si>
  <si>
    <t>CREDITS</t>
  </si>
  <si>
    <t>NAME(S) OF THE COURSE TEACHER</t>
  </si>
  <si>
    <t xml:space="preserve">B.E. Computer Science and Engineering </t>
  </si>
  <si>
    <t xml:space="preserve">B.Tech. Chemical Engineering </t>
  </si>
  <si>
    <t>B.E. Electrical and Electronics Engineering</t>
  </si>
  <si>
    <t>B.E. Electronics and Instrumentation Engineering</t>
  </si>
  <si>
    <t>B.Tech. Information Technology</t>
  </si>
  <si>
    <t xml:space="preserve">B.E. Mechatronics Engineering </t>
  </si>
  <si>
    <t>B.Tech. Food Technology</t>
  </si>
  <si>
    <t>M.E. Engineering Design</t>
  </si>
  <si>
    <t>M.E. Computer Science and Engineering</t>
  </si>
  <si>
    <t xml:space="preserve">M.E. Applied Electronics </t>
  </si>
  <si>
    <t>M.E. Construction Engineering &amp; Management</t>
  </si>
  <si>
    <t>M.Tech. Chemical Engineering</t>
  </si>
  <si>
    <t>M.E. VLSI Design</t>
  </si>
  <si>
    <t>CONSOLIDATED GRADE SHEET</t>
  </si>
  <si>
    <t>M.E. Mechatronics</t>
  </si>
  <si>
    <t>Sl. No.</t>
  </si>
  <si>
    <t>Reg. No.</t>
  </si>
  <si>
    <t>Grade Obtained</t>
  </si>
  <si>
    <t>GPA</t>
  </si>
  <si>
    <t>Courses Absent (AB)</t>
  </si>
  <si>
    <t>Courses to reappear (RA)</t>
  </si>
  <si>
    <t>Courses withdrawn (W)</t>
  </si>
  <si>
    <t>Courses Withheld (WH)</t>
  </si>
  <si>
    <t>Arrears</t>
  </si>
  <si>
    <t>No. of ourses to be passed in the next exam</t>
  </si>
  <si>
    <t>M.E. Computer and Communication Engg.</t>
  </si>
  <si>
    <t>Course</t>
  </si>
  <si>
    <t>M.E. Control and Instrumentation Engg.</t>
  </si>
  <si>
    <t>Previous</t>
  </si>
  <si>
    <t>Cleared now</t>
  </si>
  <si>
    <t>ALL AB</t>
  </si>
  <si>
    <t>ALL W</t>
  </si>
  <si>
    <t>ALL WH</t>
  </si>
  <si>
    <t>M.E. Communication systems</t>
  </si>
  <si>
    <t>M.E. Power Electronics</t>
  </si>
  <si>
    <t>M.E. Embedded systems</t>
  </si>
  <si>
    <t>M.E. Structural Engg.</t>
  </si>
  <si>
    <t>M.Tech. IT ( Information &amp; Cyber warfare)</t>
  </si>
  <si>
    <t>M.Tech Food Tech.</t>
  </si>
  <si>
    <t>MBA</t>
  </si>
  <si>
    <t>MCA</t>
  </si>
  <si>
    <t>B.Sc. CT</t>
  </si>
  <si>
    <t>B.Sc. IT</t>
  </si>
  <si>
    <t>B.Sc. Computer systems &amp; Design</t>
  </si>
  <si>
    <t>B.Sc. Information Systems</t>
  </si>
  <si>
    <t>B.Sc. Software Systems</t>
  </si>
  <si>
    <t>B.Sc. Software Engineering</t>
  </si>
  <si>
    <t xml:space="preserve">M.Sc. Computer Technology </t>
  </si>
  <si>
    <t xml:space="preserve">M.Sc. Information Technology </t>
  </si>
  <si>
    <t>M.Sc. Software Engineering</t>
  </si>
  <si>
    <t>M.Sc. Software Engineering (Integrated)</t>
  </si>
  <si>
    <t>M.Sc. Software Systems</t>
  </si>
  <si>
    <t>COURSEWISE PERFORMANCE</t>
  </si>
  <si>
    <t>Grade wise %</t>
  </si>
  <si>
    <t xml:space="preserve"> No. of students appeared for the exam</t>
  </si>
  <si>
    <t>No. of students</t>
  </si>
  <si>
    <t>Percentage</t>
  </si>
  <si>
    <t>NO. OF STUDENTS CLEARED ALL COURSES</t>
  </si>
  <si>
    <t>NO. OF STUDENTS APPEARED  FOR EXAMS</t>
  </si>
  <si>
    <t xml:space="preserve"> % OF STUDENTS CLEARED ALL COURSES IN THIS SEMESTER</t>
  </si>
  <si>
    <t xml:space="preserve"> Absent (AB)</t>
  </si>
  <si>
    <t xml:space="preserve"> Withheld (WH)</t>
  </si>
  <si>
    <t xml:space="preserve"> Withdrawn (W)</t>
  </si>
  <si>
    <t>ABSENTEEISM IN EXAM</t>
  </si>
  <si>
    <t>No. of courses to Reappear</t>
  </si>
  <si>
    <t>Students Absent for atleast one exam</t>
  </si>
  <si>
    <t>O Grade-10 Points</t>
  </si>
  <si>
    <t>A+ Grade- 9 Points</t>
  </si>
  <si>
    <t>A Grade - 8 Points</t>
  </si>
  <si>
    <t>B+ Grade - 7 Points</t>
  </si>
  <si>
    <t>B Grade - 6 Points</t>
  </si>
  <si>
    <t>C Grade - 5 Points</t>
  </si>
  <si>
    <t xml:space="preserve">0-49 marks Reappear (U) </t>
  </si>
  <si>
    <t>FAILURE (U)ANALYSIS FOR THIS SEMESTER EXAMS(Excluding AB , WH,W)</t>
  </si>
  <si>
    <t>Name  of  the Student</t>
  </si>
  <si>
    <t>PASS IN EACH COURSE 
( O to C Grade   put together)</t>
  </si>
  <si>
    <t>ACADEMIC 
YEAR:</t>
  </si>
  <si>
    <t>PROGRAMME &amp; 
BRANCH</t>
  </si>
</sst>
</file>

<file path=xl/styles.xml><?xml version="1.0" encoding="utf-8"?>
<styleSheet xmlns="http://schemas.openxmlformats.org/spreadsheetml/2006/main">
  <fonts count="21">
    <font>
      <sz val="11"/>
      <color theme="1"/>
      <name val="Calibri"/>
      <family val="2"/>
      <scheme val="minor"/>
    </font>
    <font>
      <sz val="11"/>
      <color theme="1"/>
      <name val="Calibri"/>
      <family val="2"/>
      <scheme val="minor"/>
    </font>
    <font>
      <sz val="11"/>
      <color theme="1"/>
      <name val="Times New Roman"/>
      <family val="1"/>
    </font>
    <font>
      <sz val="10"/>
      <color indexed="8"/>
      <name val="Times New Roman"/>
      <family val="1"/>
    </font>
    <font>
      <b/>
      <sz val="10"/>
      <color indexed="8"/>
      <name val="Times New Roman"/>
      <family val="1"/>
    </font>
    <font>
      <sz val="10"/>
      <name val="Times New Roman"/>
      <family val="1"/>
    </font>
    <font>
      <sz val="10"/>
      <color theme="1"/>
      <name val="Times New Roman"/>
      <family val="1"/>
    </font>
    <font>
      <b/>
      <sz val="14"/>
      <color theme="1"/>
      <name val="Times New Roman"/>
      <family val="1"/>
    </font>
    <font>
      <b/>
      <sz val="10"/>
      <color rgb="FF000000"/>
      <name val="Times New Roman"/>
      <family val="1"/>
    </font>
    <font>
      <b/>
      <sz val="10"/>
      <color theme="1"/>
      <name val="Times New Roman"/>
      <family val="1"/>
    </font>
    <font>
      <b/>
      <sz val="8"/>
      <color theme="1"/>
      <name val="Times New Roman"/>
      <family val="1"/>
    </font>
    <font>
      <b/>
      <sz val="9"/>
      <color indexed="8"/>
      <name val="Times New Roman"/>
      <family val="1"/>
    </font>
    <font>
      <sz val="14"/>
      <color theme="1"/>
      <name val="Times New Roman"/>
      <family val="1"/>
    </font>
    <font>
      <b/>
      <sz val="12"/>
      <color indexed="8"/>
      <name val="Times New Roman"/>
      <family val="1"/>
    </font>
    <font>
      <b/>
      <sz val="14"/>
      <color indexed="8"/>
      <name val="Times New Roman"/>
      <family val="1"/>
    </font>
    <font>
      <b/>
      <sz val="11"/>
      <color indexed="8"/>
      <name val="Times New Roman"/>
      <family val="1"/>
    </font>
    <font>
      <b/>
      <sz val="11"/>
      <name val="Times New Roman"/>
      <family val="1"/>
    </font>
    <font>
      <b/>
      <sz val="10"/>
      <name val="Times New Roman"/>
      <family val="1"/>
    </font>
    <font>
      <sz val="11"/>
      <name val="Times New Roman"/>
      <family val="1"/>
    </font>
    <font>
      <sz val="9"/>
      <color rgb="FF000000"/>
      <name val="Times New Roman"/>
      <family val="1"/>
    </font>
    <font>
      <sz val="11"/>
      <color indexed="8"/>
      <name val="Times New Roman"/>
      <family val="1"/>
    </font>
  </fonts>
  <fills count="2">
    <fill>
      <patternFill patternType="none"/>
    </fill>
    <fill>
      <patternFill patternType="gray125"/>
    </fill>
  </fills>
  <borders count="8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dashed">
        <color indexed="64"/>
      </right>
      <top/>
      <bottom style="thin">
        <color indexed="64"/>
      </bottom>
      <diagonal/>
    </border>
    <border>
      <left style="dashed">
        <color indexed="64"/>
      </left>
      <right style="dashed">
        <color indexed="64"/>
      </right>
      <top/>
      <bottom style="thin">
        <color indexed="64"/>
      </bottom>
      <diagonal/>
    </border>
    <border>
      <left style="dashed">
        <color indexed="64"/>
      </left>
      <right/>
      <top style="thin">
        <color indexed="64"/>
      </top>
      <bottom style="thin">
        <color indexed="64"/>
      </bottom>
      <diagonal/>
    </border>
    <border>
      <left/>
      <right style="dashed">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style="thin">
        <color indexed="64"/>
      </left>
      <right/>
      <top/>
      <bottom style="dashed">
        <color indexed="64"/>
      </bottom>
      <diagonal/>
    </border>
    <border>
      <left/>
      <right style="thin">
        <color indexed="64"/>
      </right>
      <top/>
      <bottom style="dashed">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dashed">
        <color indexed="64"/>
      </bottom>
      <diagonal/>
    </border>
    <border>
      <left style="thin">
        <color indexed="8"/>
      </left>
      <right style="thin">
        <color indexed="8"/>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style="dashed">
        <color indexed="64"/>
      </top>
      <bottom style="dash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thin">
        <color indexed="64"/>
      </right>
      <top/>
      <bottom style="dashed">
        <color indexed="64"/>
      </bottom>
      <diagonal/>
    </border>
    <border>
      <left style="thin">
        <color indexed="64"/>
      </left>
      <right style="medium">
        <color indexed="64"/>
      </right>
      <top/>
      <bottom style="dashed">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dashed">
        <color indexed="64"/>
      </top>
      <bottom style="thin">
        <color indexed="64"/>
      </bottom>
      <diagonal/>
    </border>
    <border>
      <left style="thin">
        <color indexed="64"/>
      </left>
      <right style="medium">
        <color indexed="64"/>
      </right>
      <top style="dashed">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style="medium">
        <color indexed="64"/>
      </right>
      <top style="thin">
        <color indexed="64"/>
      </top>
      <bottom style="dashed">
        <color indexed="64"/>
      </bottom>
      <diagonal/>
    </border>
    <border>
      <left style="thin">
        <color indexed="64"/>
      </left>
      <right/>
      <top style="dashed">
        <color indexed="64"/>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style="dashed">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ashed">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9" fontId="1" fillId="0" borderId="0" applyFont="0" applyFill="0" applyBorder="0" applyAlignment="0" applyProtection="0"/>
  </cellStyleXfs>
  <cellXfs count="208">
    <xf numFmtId="0" fontId="0" fillId="0" borderId="0" xfId="0"/>
    <xf numFmtId="0" fontId="2" fillId="0" borderId="0" xfId="0" applyFont="1"/>
    <xf numFmtId="0" fontId="4" fillId="0" borderId="8" xfId="0" applyFont="1" applyBorder="1" applyAlignment="1" applyProtection="1">
      <alignment vertical="center"/>
      <protection locked="0"/>
    </xf>
    <xf numFmtId="0" fontId="4" fillId="0" borderId="10" xfId="0" applyFont="1" applyBorder="1" applyAlignment="1" applyProtection="1">
      <alignment horizontal="left" vertical="center"/>
      <protection locked="0"/>
    </xf>
    <xf numFmtId="0" fontId="4" fillId="0" borderId="12" xfId="0" applyFont="1" applyBorder="1" applyAlignment="1" applyProtection="1">
      <alignment horizontal="center" vertical="center" readingOrder="2"/>
    </xf>
    <xf numFmtId="0" fontId="3" fillId="0" borderId="9" xfId="0" applyFont="1" applyBorder="1" applyAlignment="1" applyProtection="1">
      <alignment horizontal="center"/>
      <protection locked="0"/>
    </xf>
    <xf numFmtId="0" fontId="6" fillId="0" borderId="0" xfId="0" applyFont="1" applyProtection="1"/>
    <xf numFmtId="0" fontId="2" fillId="0" borderId="0" xfId="0" applyFont="1" applyProtection="1"/>
    <xf numFmtId="0" fontId="8" fillId="0" borderId="41" xfId="0" applyFont="1" applyBorder="1" applyAlignment="1" applyProtection="1">
      <alignment horizontal="center" textRotation="90" wrapText="1"/>
    </xf>
    <xf numFmtId="0" fontId="5" fillId="0" borderId="44" xfId="0" applyFont="1" applyBorder="1" applyAlignment="1" applyProtection="1">
      <alignment horizontal="center" vertical="center" wrapText="1"/>
      <protection locked="0"/>
    </xf>
    <xf numFmtId="0" fontId="3" fillId="0" borderId="46" xfId="0" applyFont="1" applyBorder="1" applyAlignment="1" applyProtection="1">
      <alignment horizontal="center" vertical="center" wrapText="1"/>
    </xf>
    <xf numFmtId="0" fontId="2" fillId="0" borderId="47" xfId="0" applyFont="1" applyBorder="1" applyAlignment="1" applyProtection="1">
      <alignment horizontal="center" vertical="center"/>
    </xf>
    <xf numFmtId="0" fontId="5" fillId="0" borderId="48" xfId="0" applyFont="1" applyBorder="1" applyAlignment="1" applyProtection="1">
      <alignment horizontal="center" vertical="center" wrapText="1"/>
      <protection locked="0"/>
    </xf>
    <xf numFmtId="0" fontId="3" fillId="0" borderId="49" xfId="0" applyFont="1" applyBorder="1" applyAlignment="1" applyProtection="1">
      <alignment horizontal="center" vertical="center" wrapText="1"/>
    </xf>
    <xf numFmtId="0" fontId="2" fillId="0" borderId="50" xfId="0" applyFont="1" applyBorder="1" applyAlignment="1" applyProtection="1">
      <alignment horizontal="center" vertical="center"/>
    </xf>
    <xf numFmtId="0" fontId="3" fillId="0" borderId="51" xfId="0" applyFont="1" applyBorder="1" applyAlignment="1" applyProtection="1">
      <alignment horizontal="center" vertical="center" wrapText="1"/>
    </xf>
    <xf numFmtId="0" fontId="6" fillId="0" borderId="33" xfId="0" applyFont="1" applyBorder="1" applyAlignment="1" applyProtection="1">
      <alignment horizontal="center" vertical="center"/>
      <protection locked="0"/>
    </xf>
    <xf numFmtId="0" fontId="3" fillId="0" borderId="33" xfId="0" applyFont="1" applyBorder="1" applyAlignment="1" applyProtection="1">
      <alignment horizontal="center" vertical="center" wrapText="1"/>
    </xf>
    <xf numFmtId="0" fontId="3" fillId="0" borderId="54" xfId="0" applyFont="1" applyBorder="1" applyAlignment="1" applyProtection="1">
      <alignment horizontal="center" vertical="center" wrapText="1"/>
    </xf>
    <xf numFmtId="0" fontId="2" fillId="0" borderId="54" xfId="0" applyFont="1" applyBorder="1" applyAlignment="1" applyProtection="1">
      <alignment horizontal="center" vertical="center"/>
    </xf>
    <xf numFmtId="0" fontId="2" fillId="0" borderId="55" xfId="0" applyFont="1" applyBorder="1" applyAlignment="1" applyProtection="1">
      <alignment horizontal="center" vertical="center"/>
    </xf>
    <xf numFmtId="1" fontId="10" fillId="0" borderId="40" xfId="0" applyNumberFormat="1" applyFont="1" applyBorder="1" applyAlignment="1" applyProtection="1">
      <alignment horizontal="center" vertical="center" wrapText="1"/>
    </xf>
    <xf numFmtId="0" fontId="3" fillId="0" borderId="0" xfId="0" applyFont="1" applyBorder="1" applyAlignment="1" applyProtection="1">
      <alignment horizontal="center" vertical="center" wrapText="1"/>
    </xf>
    <xf numFmtId="0" fontId="2" fillId="0" borderId="0" xfId="0" applyFont="1" applyBorder="1" applyAlignment="1" applyProtection="1">
      <alignment horizontal="center" vertical="center"/>
    </xf>
    <xf numFmtId="0" fontId="2" fillId="0" borderId="20" xfId="0" applyFont="1" applyBorder="1" applyAlignment="1" applyProtection="1">
      <alignment horizontal="center" vertical="center"/>
    </xf>
    <xf numFmtId="1" fontId="5" fillId="0" borderId="59" xfId="0" applyNumberFormat="1" applyFont="1" applyFill="1" applyBorder="1" applyAlignment="1" applyProtection="1">
      <alignment horizontal="center" vertical="center"/>
    </xf>
    <xf numFmtId="0" fontId="6" fillId="0" borderId="51" xfId="0" applyFont="1" applyBorder="1" applyAlignment="1" applyProtection="1">
      <alignment horizontal="left" vertical="center" wrapText="1"/>
    </xf>
    <xf numFmtId="0" fontId="3" fillId="0" borderId="51" xfId="0" applyFont="1" applyBorder="1" applyAlignment="1" applyProtection="1">
      <alignment horizontal="center" vertical="center" shrinkToFit="1"/>
    </xf>
    <xf numFmtId="0" fontId="2" fillId="0" borderId="52" xfId="0" applyFont="1" applyBorder="1" applyAlignment="1" applyProtection="1">
      <alignment horizontal="center"/>
    </xf>
    <xf numFmtId="0" fontId="2" fillId="0" borderId="0" xfId="0" applyFont="1" applyBorder="1" applyProtection="1"/>
    <xf numFmtId="0" fontId="2" fillId="0" borderId="20" xfId="0" applyFont="1" applyBorder="1" applyProtection="1"/>
    <xf numFmtId="0" fontId="6" fillId="0" borderId="63" xfId="0" applyFont="1" applyBorder="1" applyAlignment="1" applyProtection="1">
      <alignment horizontal="left" vertical="center" wrapText="1"/>
    </xf>
    <xf numFmtId="1" fontId="3" fillId="0" borderId="63" xfId="0" applyNumberFormat="1" applyFont="1" applyBorder="1" applyAlignment="1" applyProtection="1">
      <alignment horizontal="center" vertical="center" shrinkToFit="1"/>
    </xf>
    <xf numFmtId="1" fontId="9" fillId="0" borderId="64" xfId="1" applyNumberFormat="1" applyFont="1" applyBorder="1" applyAlignment="1" applyProtection="1">
      <alignment horizontal="center" vertical="center"/>
    </xf>
    <xf numFmtId="0" fontId="6" fillId="0" borderId="33" xfId="0" applyFont="1" applyBorder="1" applyAlignment="1" applyProtection="1">
      <alignment horizontal="left" vertical="center" wrapText="1"/>
    </xf>
    <xf numFmtId="0" fontId="2" fillId="0" borderId="67" xfId="0" applyFont="1" applyBorder="1" applyAlignment="1" applyProtection="1">
      <alignment horizontal="center"/>
    </xf>
    <xf numFmtId="1" fontId="9" fillId="0" borderId="68" xfId="1" applyNumberFormat="1" applyFont="1" applyBorder="1" applyAlignment="1" applyProtection="1">
      <alignment horizontal="center" vertical="center"/>
    </xf>
    <xf numFmtId="0" fontId="2" fillId="0" borderId="70" xfId="0" applyFont="1" applyBorder="1" applyAlignment="1" applyProtection="1">
      <alignment horizontal="center"/>
    </xf>
    <xf numFmtId="0" fontId="2" fillId="0" borderId="0" xfId="0" applyFont="1" applyBorder="1" applyAlignment="1" applyProtection="1">
      <alignment vertical="center" wrapText="1"/>
    </xf>
    <xf numFmtId="0" fontId="12" fillId="0" borderId="0" xfId="0" applyFont="1" applyBorder="1" applyAlignment="1" applyProtection="1">
      <alignment vertical="center"/>
    </xf>
    <xf numFmtId="0" fontId="12" fillId="0" borderId="20" xfId="0" applyFont="1" applyBorder="1" applyAlignment="1" applyProtection="1">
      <alignment vertical="center"/>
    </xf>
    <xf numFmtId="0" fontId="12" fillId="0" borderId="57" xfId="0" applyFont="1" applyBorder="1" applyAlignment="1" applyProtection="1">
      <alignment horizontal="center" vertical="center"/>
    </xf>
    <xf numFmtId="0" fontId="12" fillId="0" borderId="71" xfId="0" applyFont="1" applyBorder="1" applyAlignment="1" applyProtection="1">
      <alignment horizontal="center" vertical="center"/>
    </xf>
    <xf numFmtId="1" fontId="4" fillId="0" borderId="63" xfId="0" applyNumberFormat="1" applyFont="1" applyBorder="1" applyAlignment="1" applyProtection="1">
      <alignment horizontal="center" vertical="center" shrinkToFit="1"/>
    </xf>
    <xf numFmtId="1" fontId="9" fillId="0" borderId="21" xfId="1" applyNumberFormat="1" applyFont="1" applyBorder="1" applyAlignment="1" applyProtection="1">
      <alignment horizontal="center" vertical="center"/>
    </xf>
    <xf numFmtId="10" fontId="14" fillId="0" borderId="0" xfId="1" applyNumberFormat="1" applyFont="1" applyBorder="1" applyAlignment="1" applyProtection="1">
      <alignment horizontal="center" vertical="center"/>
    </xf>
    <xf numFmtId="0" fontId="2" fillId="0" borderId="65" xfId="0" applyFont="1" applyBorder="1" applyAlignment="1" applyProtection="1">
      <alignment horizontal="center"/>
    </xf>
    <xf numFmtId="0" fontId="16" fillId="0" borderId="9" xfId="0" applyFont="1" applyBorder="1" applyAlignment="1" applyProtection="1">
      <alignment vertical="center" shrinkToFit="1"/>
    </xf>
    <xf numFmtId="0" fontId="16" fillId="0" borderId="5" xfId="0" applyFont="1" applyBorder="1" applyAlignment="1" applyProtection="1">
      <alignment vertical="center" shrinkToFit="1"/>
    </xf>
    <xf numFmtId="0" fontId="17" fillId="0" borderId="7" xfId="0" applyFont="1" applyBorder="1" applyAlignment="1" applyProtection="1">
      <alignment horizontal="center" vertical="center" shrinkToFit="1"/>
    </xf>
    <xf numFmtId="0" fontId="2" fillId="0" borderId="56" xfId="0" applyFont="1" applyBorder="1" applyAlignment="1" applyProtection="1">
      <alignment horizontal="center"/>
    </xf>
    <xf numFmtId="0" fontId="2" fillId="0" borderId="57" xfId="0" applyFont="1" applyBorder="1" applyProtection="1"/>
    <xf numFmtId="0" fontId="18" fillId="0" borderId="76" xfId="0" applyFont="1" applyBorder="1" applyAlignment="1" applyProtection="1">
      <alignment vertical="center" shrinkToFit="1"/>
    </xf>
    <xf numFmtId="0" fontId="18" fillId="0" borderId="77" xfId="0" applyFont="1" applyBorder="1" applyAlignment="1" applyProtection="1">
      <alignment vertical="center" shrinkToFit="1"/>
    </xf>
    <xf numFmtId="0" fontId="5" fillId="0" borderId="78" xfId="0" applyFont="1" applyBorder="1" applyAlignment="1" applyProtection="1">
      <alignment horizontal="center" vertical="center" shrinkToFit="1"/>
    </xf>
    <xf numFmtId="0" fontId="2" fillId="0" borderId="0" xfId="0" applyFont="1" applyBorder="1"/>
    <xf numFmtId="0" fontId="6" fillId="0" borderId="81" xfId="0" applyFont="1" applyBorder="1" applyAlignment="1" applyProtection="1">
      <alignment horizontal="left" vertical="center" wrapText="1"/>
    </xf>
    <xf numFmtId="0" fontId="6" fillId="0" borderId="81" xfId="0" applyFont="1" applyBorder="1" applyAlignment="1" applyProtection="1">
      <alignment horizontal="center" vertical="center" wrapText="1"/>
    </xf>
    <xf numFmtId="1" fontId="9" fillId="0" borderId="81" xfId="0" applyNumberFormat="1" applyFont="1" applyBorder="1" applyAlignment="1" applyProtection="1">
      <alignment horizontal="center" vertical="center" wrapText="1"/>
    </xf>
    <xf numFmtId="0" fontId="2" fillId="0" borderId="0" xfId="0" applyFont="1" applyAlignment="1">
      <alignment vertical="top" wrapText="1"/>
    </xf>
    <xf numFmtId="0" fontId="2" fillId="0" borderId="0" xfId="0" applyFont="1" applyAlignment="1">
      <alignment vertical="top"/>
    </xf>
    <xf numFmtId="0" fontId="4" fillId="0" borderId="13" xfId="0" applyFont="1" applyBorder="1" applyAlignment="1" applyProtection="1">
      <alignment horizontal="center" vertical="center" wrapText="1"/>
    </xf>
    <xf numFmtId="0" fontId="4" fillId="0" borderId="41" xfId="0" applyFont="1" applyBorder="1" applyAlignment="1" applyProtection="1">
      <alignment horizontal="center" vertical="center" wrapText="1"/>
    </xf>
    <xf numFmtId="0" fontId="2" fillId="0" borderId="57" xfId="0" applyFont="1" applyBorder="1" applyAlignment="1" applyProtection="1">
      <alignment horizontal="left" vertical="center" wrapText="1"/>
    </xf>
    <xf numFmtId="0" fontId="2" fillId="0" borderId="0" xfId="0" applyFont="1" applyBorder="1" applyAlignment="1">
      <alignment horizontal="center" vertical="center"/>
    </xf>
    <xf numFmtId="10" fontId="14" fillId="0" borderId="20" xfId="1" applyNumberFormat="1" applyFont="1" applyBorder="1" applyAlignment="1" applyProtection="1">
      <alignment horizontal="center" vertical="center"/>
    </xf>
    <xf numFmtId="0" fontId="2" fillId="0" borderId="0" xfId="0" applyFont="1" applyAlignment="1">
      <alignment horizontal="center"/>
    </xf>
    <xf numFmtId="0" fontId="2" fillId="0" borderId="7" xfId="0" applyFont="1" applyBorder="1" applyAlignment="1">
      <alignment horizontal="center"/>
    </xf>
    <xf numFmtId="0" fontId="19" fillId="0" borderId="7" xfId="0" applyFont="1" applyBorder="1" applyAlignment="1">
      <alignment horizontal="center" vertical="top" wrapText="1"/>
    </xf>
    <xf numFmtId="0" fontId="19" fillId="0" borderId="7" xfId="0" applyFont="1" applyBorder="1" applyAlignment="1">
      <alignment horizontal="center" wrapText="1"/>
    </xf>
    <xf numFmtId="0" fontId="2" fillId="0" borderId="82" xfId="0" applyFont="1" applyBorder="1" applyAlignment="1">
      <alignment horizontal="center"/>
    </xf>
    <xf numFmtId="0" fontId="2" fillId="0" borderId="83" xfId="0" applyFont="1" applyBorder="1" applyAlignment="1">
      <alignment horizontal="center"/>
    </xf>
    <xf numFmtId="0" fontId="2" fillId="0" borderId="7" xfId="0" applyFont="1" applyBorder="1" applyAlignment="1"/>
    <xf numFmtId="0" fontId="20" fillId="0" borderId="45" xfId="0" applyFont="1" applyFill="1" applyBorder="1" applyAlignment="1">
      <alignment horizontal="center" vertical="center" wrapText="1"/>
    </xf>
    <xf numFmtId="0" fontId="4" fillId="0" borderId="81" xfId="0" applyFont="1" applyBorder="1" applyAlignment="1" applyProtection="1">
      <alignment horizontal="center" vertical="center" wrapText="1"/>
    </xf>
    <xf numFmtId="0" fontId="6" fillId="0" borderId="25" xfId="0" applyFont="1" applyBorder="1" applyAlignment="1" applyProtection="1">
      <alignment horizontal="center" vertical="center"/>
      <protection locked="0"/>
    </xf>
    <xf numFmtId="0" fontId="2" fillId="0" borderId="0" xfId="0" applyFont="1" applyAlignment="1">
      <alignment vertical="center"/>
    </xf>
    <xf numFmtId="0" fontId="15" fillId="0" borderId="41" xfId="0" applyFont="1" applyBorder="1" applyAlignment="1" applyProtection="1">
      <alignment horizontal="center" vertical="center" wrapText="1"/>
    </xf>
    <xf numFmtId="0" fontId="20" fillId="0" borderId="51" xfId="0" applyFont="1" applyBorder="1" applyAlignment="1" applyProtection="1">
      <alignment horizontal="center" vertical="center" shrinkToFit="1"/>
    </xf>
    <xf numFmtId="1" fontId="20" fillId="0" borderId="63" xfId="0" applyNumberFormat="1" applyFont="1" applyBorder="1" applyAlignment="1" applyProtection="1">
      <alignment horizontal="center" vertical="center" shrinkToFit="1"/>
    </xf>
    <xf numFmtId="0" fontId="16" fillId="0" borderId="7" xfId="0" applyFont="1" applyBorder="1" applyAlignment="1" applyProtection="1">
      <alignment horizontal="center" vertical="center" shrinkToFit="1"/>
    </xf>
    <xf numFmtId="0" fontId="18" fillId="0" borderId="78" xfId="0" applyFont="1" applyBorder="1" applyAlignment="1" applyProtection="1">
      <alignment horizontal="center" vertical="center" shrinkToFit="1"/>
    </xf>
    <xf numFmtId="0" fontId="2" fillId="0" borderId="7" xfId="0" applyFont="1" applyBorder="1"/>
    <xf numFmtId="0" fontId="2" fillId="0" borderId="7" xfId="0" applyFont="1" applyBorder="1" applyAlignment="1">
      <alignment horizontal="center" vertical="center"/>
    </xf>
    <xf numFmtId="0" fontId="3" fillId="0" borderId="4" xfId="0" applyFont="1" applyBorder="1" applyAlignment="1" applyProtection="1">
      <alignment horizontal="center" vertical="center" wrapText="1"/>
    </xf>
    <xf numFmtId="0" fontId="3" fillId="0" borderId="5" xfId="0" applyFont="1" applyBorder="1" applyAlignment="1" applyProtection="1">
      <alignment horizontal="center" vertical="center"/>
    </xf>
    <xf numFmtId="0" fontId="4" fillId="0" borderId="4"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5" xfId="0" applyFont="1" applyBorder="1" applyAlignment="1" applyProtection="1">
      <alignment horizontal="left" vertical="center"/>
      <protection locked="0"/>
    </xf>
    <xf numFmtId="0" fontId="3" fillId="0" borderId="4" xfId="0" applyFont="1" applyBorder="1" applyAlignment="1" applyProtection="1">
      <alignment horizontal="left" vertical="center" wrapText="1"/>
    </xf>
    <xf numFmtId="0" fontId="3" fillId="0" borderId="6" xfId="0" applyFont="1" applyBorder="1" applyAlignment="1" applyProtection="1">
      <alignment horizontal="left" vertical="center" wrapText="1"/>
    </xf>
    <xf numFmtId="0" fontId="3" fillId="0" borderId="5" xfId="0" applyFont="1" applyBorder="1" applyAlignment="1" applyProtection="1">
      <alignment horizontal="left" vertical="center" wrapText="1"/>
    </xf>
    <xf numFmtId="0" fontId="4" fillId="0" borderId="7" xfId="0" applyFont="1" applyBorder="1" applyAlignment="1" applyProtection="1">
      <alignment horizontal="center" vertical="center"/>
      <protection locked="0"/>
    </xf>
    <xf numFmtId="0" fontId="3" fillId="0" borderId="6" xfId="0" applyFont="1" applyBorder="1" applyAlignment="1" applyProtection="1">
      <alignment horizontal="center" vertical="center" wrapText="1"/>
    </xf>
    <xf numFmtId="0" fontId="3" fillId="0" borderId="5" xfId="0" applyFont="1" applyBorder="1" applyAlignment="1" applyProtection="1">
      <alignment horizontal="center" vertical="center" wrapText="1"/>
    </xf>
    <xf numFmtId="0" fontId="2" fillId="0" borderId="0" xfId="0" applyFont="1" applyAlignment="1">
      <alignment horizontal="center" vertical="center" wrapText="1"/>
    </xf>
    <xf numFmtId="0" fontId="2" fillId="0" borderId="0" xfId="0" applyFont="1" applyBorder="1" applyAlignment="1">
      <alignment horizontal="center" vertical="center"/>
    </xf>
    <xf numFmtId="0" fontId="2" fillId="0" borderId="0" xfId="0" applyFont="1" applyAlignment="1">
      <alignment horizontal="center" vertical="top"/>
    </xf>
    <xf numFmtId="0" fontId="3" fillId="0" borderId="9" xfId="0" applyFont="1" applyBorder="1" applyAlignment="1" applyProtection="1">
      <alignment horizontal="center" vertical="center"/>
    </xf>
    <xf numFmtId="0" fontId="3" fillId="0" borderId="10" xfId="0" applyFont="1" applyBorder="1" applyAlignment="1" applyProtection="1">
      <alignment horizontal="center" vertical="center"/>
    </xf>
    <xf numFmtId="0" fontId="4" fillId="0" borderId="10" xfId="0" applyFont="1" applyBorder="1" applyAlignment="1" applyProtection="1">
      <alignment horizontal="center" vertical="center"/>
      <protection locked="0"/>
    </xf>
    <xf numFmtId="0" fontId="3" fillId="0" borderId="10" xfId="0" applyFont="1" applyBorder="1" applyAlignment="1" applyProtection="1">
      <alignment horizontal="left" vertical="center" wrapText="1"/>
    </xf>
    <xf numFmtId="0" fontId="4" fillId="0" borderId="4" xfId="0" applyFont="1" applyBorder="1" applyAlignment="1" applyProtection="1">
      <alignment horizontal="center"/>
      <protection locked="0"/>
    </xf>
    <xf numFmtId="0" fontId="4" fillId="0" borderId="6" xfId="0" applyFont="1" applyBorder="1" applyAlignment="1" applyProtection="1">
      <alignment horizontal="center"/>
      <protection locked="0"/>
    </xf>
    <xf numFmtId="0" fontId="4" fillId="0" borderId="11" xfId="0" applyFont="1" applyBorder="1" applyAlignment="1" applyProtection="1">
      <alignment horizontal="center"/>
      <protection locked="0"/>
    </xf>
    <xf numFmtId="0" fontId="4" fillId="0" borderId="13" xfId="0" applyFont="1" applyBorder="1" applyAlignment="1" applyProtection="1">
      <alignment horizontal="center" vertical="center" wrapText="1"/>
    </xf>
    <xf numFmtId="0" fontId="4" fillId="0" borderId="14"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15" xfId="0" applyFont="1" applyBorder="1" applyAlignment="1" applyProtection="1">
      <alignment horizontal="center" vertical="center" wrapText="1"/>
    </xf>
    <xf numFmtId="0" fontId="4" fillId="0" borderId="11" xfId="0" applyFont="1" applyBorder="1" applyAlignment="1" applyProtection="1">
      <alignment horizontal="center" vertical="center" wrapText="1"/>
    </xf>
    <xf numFmtId="0" fontId="5" fillId="0" borderId="6" xfId="0" applyFont="1" applyBorder="1" applyAlignment="1" applyProtection="1">
      <alignment horizontal="left" vertical="center"/>
      <protection locked="0"/>
    </xf>
    <xf numFmtId="0" fontId="5" fillId="0" borderId="5" xfId="0" applyFont="1" applyBorder="1" applyAlignment="1" applyProtection="1">
      <alignment horizontal="left" vertical="center"/>
      <protection locked="0"/>
    </xf>
    <xf numFmtId="0" fontId="5" fillId="0" borderId="7" xfId="0" applyFont="1" applyBorder="1" applyAlignment="1" applyProtection="1">
      <alignment horizontal="center" vertical="center"/>
      <protection locked="0"/>
    </xf>
    <xf numFmtId="0" fontId="6" fillId="0" borderId="7" xfId="0" applyFont="1" applyBorder="1" applyAlignment="1" applyProtection="1">
      <alignment horizontal="center"/>
      <protection locked="0"/>
    </xf>
    <xf numFmtId="0" fontId="5" fillId="0" borderId="18" xfId="0" applyFont="1" applyBorder="1" applyAlignment="1" applyProtection="1">
      <alignment horizontal="left" vertical="center" wrapText="1"/>
      <protection locked="0"/>
    </xf>
    <xf numFmtId="0" fontId="5" fillId="0" borderId="16" xfId="0" applyFont="1" applyBorder="1" applyAlignment="1" applyProtection="1">
      <alignment horizontal="left" vertical="center" wrapText="1"/>
      <protection locked="0"/>
    </xf>
    <xf numFmtId="0" fontId="5" fillId="0" borderId="17" xfId="0" applyFont="1" applyBorder="1" applyAlignment="1" applyProtection="1">
      <alignment horizontal="left" vertical="center" wrapText="1"/>
      <protection locked="0"/>
    </xf>
    <xf numFmtId="0" fontId="4" fillId="0" borderId="4" xfId="0" applyFont="1" applyBorder="1" applyAlignment="1" applyProtection="1">
      <alignment horizontal="center" vertical="center"/>
      <protection locked="0"/>
    </xf>
    <xf numFmtId="0" fontId="4" fillId="0" borderId="5" xfId="0" applyFont="1" applyBorder="1" applyAlignment="1" applyProtection="1">
      <alignment horizontal="center" vertical="center"/>
      <protection locked="0"/>
    </xf>
    <xf numFmtId="0" fontId="7" fillId="0" borderId="22" xfId="0" applyFont="1" applyBorder="1" applyAlignment="1" applyProtection="1">
      <alignment horizontal="center"/>
    </xf>
    <xf numFmtId="0" fontId="7" fillId="0" borderId="16" xfId="0" applyFont="1" applyBorder="1" applyAlignment="1" applyProtection="1">
      <alignment horizontal="center"/>
    </xf>
    <xf numFmtId="0" fontId="7" fillId="0" borderId="17" xfId="0" applyFont="1" applyBorder="1" applyAlignment="1" applyProtection="1">
      <alignment horizontal="center"/>
    </xf>
    <xf numFmtId="0" fontId="4" fillId="0" borderId="23" xfId="0" applyFont="1" applyBorder="1" applyAlignment="1" applyProtection="1">
      <alignment horizontal="center" vertical="center" wrapText="1"/>
    </xf>
    <xf numFmtId="0" fontId="4" fillId="0" borderId="31" xfId="0" applyFont="1" applyBorder="1" applyAlignment="1" applyProtection="1">
      <alignment horizontal="center" vertical="center" wrapText="1"/>
    </xf>
    <xf numFmtId="0" fontId="4" fillId="0" borderId="39" xfId="0" applyFont="1" applyBorder="1" applyAlignment="1" applyProtection="1">
      <alignment horizontal="center" vertical="center" wrapText="1"/>
    </xf>
    <xf numFmtId="0" fontId="4" fillId="0" borderId="24" xfId="0" applyFont="1" applyBorder="1" applyAlignment="1" applyProtection="1">
      <alignment horizontal="center" vertical="center" wrapText="1"/>
    </xf>
    <xf numFmtId="0" fontId="4" fillId="0" borderId="32" xfId="0" applyFont="1" applyBorder="1" applyAlignment="1" applyProtection="1">
      <alignment horizontal="center" vertical="center" wrapText="1"/>
    </xf>
    <xf numFmtId="0" fontId="4" fillId="0" borderId="40" xfId="0" applyFont="1" applyBorder="1" applyAlignment="1" applyProtection="1">
      <alignment horizontal="center" vertical="center" wrapText="1"/>
    </xf>
    <xf numFmtId="0" fontId="4" fillId="0" borderId="25" xfId="0" applyFont="1" applyBorder="1" applyAlignment="1" applyProtection="1">
      <alignment horizontal="center" vertical="center" wrapText="1"/>
    </xf>
    <xf numFmtId="0" fontId="4" fillId="0" borderId="33" xfId="0" applyFont="1" applyBorder="1" applyAlignment="1" applyProtection="1">
      <alignment horizontal="center" vertical="center" wrapText="1"/>
    </xf>
    <xf numFmtId="0" fontId="4" fillId="0" borderId="41" xfId="0" applyFont="1" applyBorder="1" applyAlignment="1" applyProtection="1">
      <alignment horizontal="center" vertical="center" wrapText="1"/>
    </xf>
    <xf numFmtId="0" fontId="4" fillId="0" borderId="26" xfId="0" applyFont="1" applyBorder="1" applyAlignment="1" applyProtection="1">
      <alignment horizontal="center" vertical="center" wrapText="1"/>
    </xf>
    <xf numFmtId="0" fontId="4" fillId="0" borderId="27" xfId="0" applyFont="1" applyBorder="1" applyAlignment="1" applyProtection="1">
      <alignment horizontal="center" vertical="center" wrapText="1"/>
    </xf>
    <xf numFmtId="0" fontId="4" fillId="0" borderId="28" xfId="0" applyFont="1" applyBorder="1" applyAlignment="1" applyProtection="1">
      <alignment horizontal="center" vertical="center" textRotation="255" wrapText="1" readingOrder="2"/>
    </xf>
    <xf numFmtId="0" fontId="4" fillId="0" borderId="19" xfId="0" applyFont="1" applyBorder="1" applyAlignment="1" applyProtection="1">
      <alignment horizontal="center" vertical="center" textRotation="255" wrapText="1" readingOrder="2"/>
    </xf>
    <xf numFmtId="0" fontId="4" fillId="0" borderId="42" xfId="0" applyFont="1" applyBorder="1" applyAlignment="1" applyProtection="1">
      <alignment horizontal="center" vertical="center" textRotation="255" wrapText="1" readingOrder="2"/>
    </xf>
    <xf numFmtId="0" fontId="4" fillId="0" borderId="24" xfId="0" applyFont="1" applyBorder="1" applyAlignment="1" applyProtection="1">
      <alignment horizontal="center" textRotation="90" wrapText="1"/>
    </xf>
    <xf numFmtId="0" fontId="4" fillId="0" borderId="32" xfId="0" applyFont="1" applyBorder="1" applyAlignment="1" applyProtection="1">
      <alignment horizontal="center" textRotation="90" wrapText="1"/>
    </xf>
    <xf numFmtId="0" fontId="4" fillId="0" borderId="40" xfId="0" applyFont="1" applyBorder="1" applyAlignment="1" applyProtection="1">
      <alignment horizontal="center" textRotation="90" wrapText="1"/>
    </xf>
    <xf numFmtId="0" fontId="4" fillId="0" borderId="24" xfId="0" applyFont="1" applyBorder="1" applyAlignment="1" applyProtection="1">
      <alignment horizontal="center" textRotation="90"/>
    </xf>
    <xf numFmtId="0" fontId="4" fillId="0" borderId="32" xfId="0" applyFont="1" applyBorder="1" applyAlignment="1" applyProtection="1">
      <alignment horizontal="center" textRotation="90"/>
    </xf>
    <xf numFmtId="0" fontId="4" fillId="0" borderId="40" xfId="0" applyFont="1" applyBorder="1" applyAlignment="1" applyProtection="1">
      <alignment horizontal="center" textRotation="90"/>
    </xf>
    <xf numFmtId="0" fontId="5" fillId="0" borderId="4" xfId="0" applyFont="1" applyBorder="1" applyAlignment="1" applyProtection="1">
      <alignment horizontal="left" vertical="center" wrapText="1"/>
      <protection locked="0"/>
    </xf>
    <xf numFmtId="0" fontId="5" fillId="0" borderId="6" xfId="0" applyFont="1" applyBorder="1" applyAlignment="1" applyProtection="1">
      <alignment horizontal="left" vertical="center" wrapText="1"/>
      <protection locked="0"/>
    </xf>
    <xf numFmtId="0" fontId="5" fillId="0" borderId="11" xfId="0" applyFont="1" applyBorder="1" applyAlignment="1" applyProtection="1">
      <alignment horizontal="left" vertical="center" wrapText="1"/>
      <protection locked="0"/>
    </xf>
    <xf numFmtId="0" fontId="6" fillId="0" borderId="65" xfId="0" applyFont="1" applyBorder="1" applyAlignment="1" applyProtection="1">
      <alignment horizontal="center" vertical="center" wrapText="1"/>
    </xf>
    <xf numFmtId="0" fontId="6" fillId="0" borderId="66" xfId="0" applyFont="1" applyBorder="1" applyAlignment="1" applyProtection="1">
      <alignment horizontal="center" vertical="center" wrapText="1"/>
    </xf>
    <xf numFmtId="0" fontId="6" fillId="0" borderId="61" xfId="0" applyFont="1" applyBorder="1" applyAlignment="1" applyProtection="1">
      <alignment horizontal="center" vertical="center" wrapText="1"/>
    </xf>
    <xf numFmtId="0" fontId="6" fillId="0" borderId="62" xfId="0" applyFont="1" applyBorder="1" applyAlignment="1" applyProtection="1">
      <alignment horizontal="center" vertical="center" wrapText="1"/>
    </xf>
    <xf numFmtId="0" fontId="8" fillId="0" borderId="28" xfId="0" applyFont="1" applyBorder="1" applyAlignment="1" applyProtection="1">
      <alignment horizontal="center" vertical="center" wrapText="1"/>
    </xf>
    <xf numFmtId="0" fontId="8" fillId="0" borderId="29" xfId="0" applyFont="1" applyBorder="1" applyAlignment="1" applyProtection="1">
      <alignment horizontal="center" vertical="center" wrapText="1"/>
    </xf>
    <xf numFmtId="0" fontId="8" fillId="0" borderId="36" xfId="0" applyFont="1" applyBorder="1" applyAlignment="1" applyProtection="1">
      <alignment horizontal="center" vertical="center" wrapText="1"/>
    </xf>
    <xf numFmtId="0" fontId="8" fillId="0" borderId="37" xfId="0" applyFont="1" applyBorder="1" applyAlignment="1" applyProtection="1">
      <alignment horizontal="center" vertical="center" wrapText="1"/>
    </xf>
    <xf numFmtId="0" fontId="8" fillId="0" borderId="30" xfId="0" applyFont="1" applyBorder="1" applyAlignment="1" applyProtection="1">
      <alignment horizontal="center" vertical="center" textRotation="90" wrapText="1"/>
    </xf>
    <xf numFmtId="0" fontId="8" fillId="0" borderId="38" xfId="0" applyFont="1" applyBorder="1" applyAlignment="1" applyProtection="1">
      <alignment horizontal="center" vertical="center" textRotation="90" wrapText="1"/>
    </xf>
    <xf numFmtId="0" fontId="8" fillId="0" borderId="43" xfId="0" applyFont="1" applyBorder="1" applyAlignment="1" applyProtection="1">
      <alignment horizontal="center" vertical="center" textRotation="90" wrapText="1"/>
    </xf>
    <xf numFmtId="0" fontId="4" fillId="0" borderId="34" xfId="0" applyFont="1" applyBorder="1" applyAlignment="1" applyProtection="1">
      <alignment horizontal="center" vertical="center" wrapText="1"/>
    </xf>
    <xf numFmtId="0" fontId="4" fillId="0" borderId="35" xfId="0" applyFont="1" applyBorder="1" applyAlignment="1" applyProtection="1">
      <alignment horizontal="center" vertical="center" wrapText="1"/>
    </xf>
    <xf numFmtId="0" fontId="9" fillId="0" borderId="53" xfId="0" applyFont="1" applyBorder="1" applyAlignment="1" applyProtection="1">
      <alignment horizontal="center" vertical="center" textRotation="255" wrapText="1"/>
    </xf>
    <xf numFmtId="0" fontId="9" fillId="0" borderId="54" xfId="0" applyFont="1" applyBorder="1" applyAlignment="1" applyProtection="1">
      <alignment horizontal="center" vertical="center" textRotation="255" wrapText="1"/>
    </xf>
    <xf numFmtId="0" fontId="9" fillId="0" borderId="57" xfId="0" applyFont="1" applyBorder="1" applyAlignment="1" applyProtection="1">
      <alignment horizontal="center" vertical="center" textRotation="255" wrapText="1"/>
    </xf>
    <xf numFmtId="0" fontId="9" fillId="0" borderId="56" xfId="0" applyFont="1" applyBorder="1" applyAlignment="1" applyProtection="1">
      <alignment horizontal="center" vertical="center" textRotation="255" wrapText="1"/>
    </xf>
    <xf numFmtId="0" fontId="11" fillId="0" borderId="43" xfId="0" applyFont="1" applyBorder="1" applyAlignment="1" applyProtection="1">
      <alignment horizontal="center" vertical="center" wrapText="1"/>
    </xf>
    <xf numFmtId="0" fontId="11" fillId="0" borderId="60" xfId="0" applyFont="1" applyBorder="1" applyAlignment="1" applyProtection="1">
      <alignment horizontal="center" vertical="center" wrapText="1"/>
    </xf>
    <xf numFmtId="0" fontId="6" fillId="0" borderId="53" xfId="0" applyFont="1" applyBorder="1" applyAlignment="1" applyProtection="1">
      <alignment horizontal="center" vertical="center" wrapText="1"/>
    </xf>
    <xf numFmtId="0" fontId="6" fillId="0" borderId="54" xfId="0" applyFont="1" applyBorder="1" applyAlignment="1" applyProtection="1">
      <alignment horizontal="center" vertical="center" wrapText="1"/>
    </xf>
    <xf numFmtId="0" fontId="6" fillId="0" borderId="58" xfId="0" applyFont="1" applyBorder="1" applyAlignment="1" applyProtection="1">
      <alignment horizontal="center" vertical="center" wrapText="1"/>
    </xf>
    <xf numFmtId="0" fontId="6" fillId="0" borderId="1" xfId="0" applyFont="1" applyBorder="1" applyAlignment="1" applyProtection="1">
      <alignment horizontal="center" vertical="center" wrapText="1"/>
    </xf>
    <xf numFmtId="0" fontId="6" fillId="0" borderId="29" xfId="0" applyFont="1" applyBorder="1" applyAlignment="1" applyProtection="1">
      <alignment horizontal="center" vertical="center" wrapText="1"/>
    </xf>
    <xf numFmtId="0" fontId="2" fillId="0" borderId="1" xfId="0" applyFont="1" applyBorder="1" applyAlignment="1" applyProtection="1">
      <alignment horizontal="left" vertical="center" wrapText="1"/>
    </xf>
    <xf numFmtId="0" fontId="2" fillId="0" borderId="2" xfId="0" applyFont="1" applyBorder="1" applyAlignment="1" applyProtection="1">
      <alignment horizontal="left" vertical="center" wrapText="1"/>
    </xf>
    <xf numFmtId="0" fontId="2" fillId="0" borderId="3" xfId="0" applyFont="1" applyBorder="1" applyAlignment="1" applyProtection="1">
      <alignment horizontal="left" vertical="center" wrapText="1"/>
    </xf>
    <xf numFmtId="0" fontId="2" fillId="0" borderId="56" xfId="0" applyFont="1" applyBorder="1" applyAlignment="1" applyProtection="1">
      <alignment horizontal="left" vertical="center" wrapText="1"/>
    </xf>
    <xf numFmtId="0" fontId="2" fillId="0" borderId="57" xfId="0" applyFont="1" applyBorder="1" applyAlignment="1" applyProtection="1">
      <alignment horizontal="left" vertical="center" wrapText="1"/>
    </xf>
    <xf numFmtId="0" fontId="2" fillId="0" borderId="71" xfId="0" applyFont="1" applyBorder="1" applyAlignment="1" applyProtection="1">
      <alignment horizontal="left" vertical="center" wrapText="1"/>
    </xf>
    <xf numFmtId="0" fontId="12" fillId="0" borderId="69" xfId="0" applyFont="1" applyBorder="1" applyAlignment="1" applyProtection="1">
      <alignment horizontal="center" vertical="center"/>
    </xf>
    <xf numFmtId="0" fontId="12" fillId="0" borderId="72" xfId="0" applyFont="1" applyBorder="1" applyAlignment="1" applyProtection="1">
      <alignment horizontal="center" vertical="center"/>
    </xf>
    <xf numFmtId="0" fontId="6" fillId="0" borderId="22" xfId="0" applyFont="1" applyBorder="1" applyAlignment="1" applyProtection="1">
      <alignment horizontal="center" vertical="center" wrapText="1"/>
    </xf>
    <xf numFmtId="0" fontId="6" fillId="0" borderId="73" xfId="0" applyFont="1" applyBorder="1" applyAlignment="1" applyProtection="1">
      <alignment horizontal="center" vertical="center" wrapText="1"/>
    </xf>
    <xf numFmtId="0" fontId="6" fillId="0" borderId="2" xfId="0" applyFont="1" applyBorder="1" applyAlignment="1" applyProtection="1">
      <alignment horizontal="center" vertical="center" wrapText="1"/>
    </xf>
    <xf numFmtId="0" fontId="6" fillId="0" borderId="56" xfId="0" applyFont="1" applyBorder="1" applyAlignment="1" applyProtection="1">
      <alignment horizontal="center" vertical="center" wrapText="1"/>
    </xf>
    <xf numFmtId="0" fontId="6" fillId="0" borderId="57" xfId="0" applyFont="1" applyBorder="1" applyAlignment="1" applyProtection="1">
      <alignment horizontal="center" vertical="center" wrapText="1"/>
    </xf>
    <xf numFmtId="0" fontId="6" fillId="0" borderId="74" xfId="0" applyFont="1" applyBorder="1" applyAlignment="1" applyProtection="1">
      <alignment horizontal="center" vertical="center" wrapText="1"/>
    </xf>
    <xf numFmtId="1" fontId="12" fillId="0" borderId="30" xfId="0" applyNumberFormat="1" applyFont="1" applyBorder="1" applyAlignment="1" applyProtection="1">
      <alignment horizontal="center" vertical="center"/>
    </xf>
    <xf numFmtId="0" fontId="12" fillId="0" borderId="43" xfId="0" applyFont="1" applyBorder="1" applyAlignment="1" applyProtection="1">
      <alignment horizontal="center" vertical="center"/>
    </xf>
    <xf numFmtId="0" fontId="13" fillId="0" borderId="1" xfId="0" applyFont="1" applyBorder="1" applyAlignment="1" applyProtection="1">
      <alignment horizontal="center" vertical="center" wrapText="1"/>
    </xf>
    <xf numFmtId="0" fontId="13" fillId="0" borderId="2" xfId="0" applyFont="1" applyBorder="1" applyAlignment="1" applyProtection="1">
      <alignment horizontal="center" vertical="center" wrapText="1"/>
    </xf>
    <xf numFmtId="0" fontId="13" fillId="0" borderId="65" xfId="0" applyFont="1" applyBorder="1" applyAlignment="1" applyProtection="1">
      <alignment horizontal="center" vertical="center" wrapText="1"/>
    </xf>
    <xf numFmtId="0" fontId="13" fillId="0" borderId="0" xfId="0" applyFont="1" applyBorder="1" applyAlignment="1" applyProtection="1">
      <alignment horizontal="center" vertical="center" wrapText="1"/>
    </xf>
    <xf numFmtId="0" fontId="13" fillId="0" borderId="56" xfId="0" applyFont="1" applyBorder="1" applyAlignment="1" applyProtection="1">
      <alignment horizontal="center" vertical="center" wrapText="1"/>
    </xf>
    <xf numFmtId="0" fontId="13" fillId="0" borderId="57" xfId="0" applyFont="1" applyBorder="1" applyAlignment="1" applyProtection="1">
      <alignment horizontal="center" vertical="center" wrapText="1"/>
    </xf>
    <xf numFmtId="10" fontId="14" fillId="0" borderId="28" xfId="1" applyNumberFormat="1" applyFont="1" applyBorder="1" applyAlignment="1" applyProtection="1">
      <alignment horizontal="center" vertical="center"/>
    </xf>
    <xf numFmtId="10" fontId="14" fillId="0" borderId="3" xfId="1" applyNumberFormat="1" applyFont="1" applyBorder="1" applyAlignment="1" applyProtection="1">
      <alignment horizontal="center" vertical="center"/>
    </xf>
    <xf numFmtId="10" fontId="14" fillId="0" borderId="19" xfId="1" applyNumberFormat="1" applyFont="1" applyBorder="1" applyAlignment="1" applyProtection="1">
      <alignment horizontal="center" vertical="center"/>
    </xf>
    <xf numFmtId="10" fontId="14" fillId="0" borderId="20" xfId="1" applyNumberFormat="1" applyFont="1" applyBorder="1" applyAlignment="1" applyProtection="1">
      <alignment horizontal="center" vertical="center"/>
    </xf>
    <xf numFmtId="10" fontId="14" fillId="0" borderId="42" xfId="1" applyNumberFormat="1" applyFont="1" applyBorder="1" applyAlignment="1" applyProtection="1">
      <alignment horizontal="center" vertical="center"/>
    </xf>
    <xf numFmtId="10" fontId="14" fillId="0" borderId="71" xfId="1" applyNumberFormat="1" applyFont="1" applyBorder="1" applyAlignment="1" applyProtection="1">
      <alignment horizontal="center" vertical="center"/>
    </xf>
    <xf numFmtId="0" fontId="6" fillId="0" borderId="9" xfId="0" applyFont="1" applyBorder="1" applyAlignment="1" applyProtection="1">
      <alignment horizontal="center" vertical="center" wrapText="1"/>
    </xf>
    <xf numFmtId="0" fontId="6" fillId="0" borderId="5" xfId="0" applyFont="1" applyBorder="1" applyAlignment="1" applyProtection="1">
      <alignment horizontal="center" vertical="center" wrapText="1"/>
    </xf>
    <xf numFmtId="0" fontId="15" fillId="0" borderId="9" xfId="0" applyFont="1" applyBorder="1" applyAlignment="1" applyProtection="1">
      <alignment horizontal="center" vertical="center" shrinkToFit="1"/>
    </xf>
    <xf numFmtId="0" fontId="15" fillId="0" borderId="6" xfId="0" applyFont="1" applyBorder="1" applyAlignment="1" applyProtection="1">
      <alignment horizontal="center" vertical="center" shrinkToFit="1"/>
    </xf>
    <xf numFmtId="0" fontId="15" fillId="0" borderId="11" xfId="0" applyFont="1" applyBorder="1" applyAlignment="1" applyProtection="1">
      <alignment horizontal="center" vertical="center" shrinkToFit="1"/>
    </xf>
    <xf numFmtId="0" fontId="16" fillId="0" borderId="75" xfId="0" applyFont="1" applyBorder="1" applyAlignment="1" applyProtection="1">
      <alignment horizontal="center" vertical="center" wrapText="1" shrinkToFit="1"/>
    </xf>
    <xf numFmtId="0" fontId="16" fillId="0" borderId="7" xfId="0" applyFont="1" applyBorder="1" applyAlignment="1" applyProtection="1">
      <alignment horizontal="center" vertical="center" wrapText="1" shrinkToFit="1"/>
    </xf>
    <xf numFmtId="0" fontId="16" fillId="0" borderId="79" xfId="0" applyFont="1" applyBorder="1" applyAlignment="1" applyProtection="1">
      <alignment horizontal="center" vertical="center" wrapText="1" shrinkToFit="1"/>
    </xf>
    <xf numFmtId="0" fontId="16" fillId="0" borderId="78" xfId="0" applyFont="1" applyBorder="1" applyAlignment="1" applyProtection="1">
      <alignment horizontal="center" vertical="center" wrapText="1" shrinkToFit="1"/>
    </xf>
    <xf numFmtId="0" fontId="2" fillId="0" borderId="8" xfId="0" applyFont="1" applyBorder="1" applyAlignment="1" applyProtection="1">
      <alignment horizontal="center" vertical="center"/>
    </xf>
    <xf numFmtId="0" fontId="2" fillId="0" borderId="80" xfId="0" applyFont="1" applyBorder="1" applyAlignment="1" applyProtection="1">
      <alignment horizontal="center" vertical="center"/>
    </xf>
  </cellXfs>
  <cellStyles count="2">
    <cellStyle name="Normal" xfId="0" builtinId="0"/>
    <cellStyle name="Percent" xfId="1" builtinId="5"/>
  </cellStyles>
  <dxfs count="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i val="0"/>
      </font>
    </dxf>
    <dxf>
      <font>
        <b/>
        <i val="0"/>
      </font>
    </dxf>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23</xdr:col>
      <xdr:colOff>142875</xdr:colOff>
      <xdr:row>7</xdr:row>
      <xdr:rowOff>47625</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1419225" y="0"/>
          <a:ext cx="7620000" cy="13430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W113"/>
  <sheetViews>
    <sheetView tabSelected="1" view="pageBreakPreview" zoomScaleNormal="100" zoomScaleSheetLayoutView="100" workbookViewId="0">
      <selection activeCell="AO16" sqref="AO16"/>
    </sheetView>
  </sheetViews>
  <sheetFormatPr defaultRowHeight="15"/>
  <cols>
    <col min="1" max="1" width="4.5703125" style="1" customWidth="1"/>
    <col min="2" max="2" width="15.28515625" style="1" customWidth="1"/>
    <col min="3" max="3" width="26.5703125" style="1" customWidth="1"/>
    <col min="4" max="7" width="3.7109375" style="1" customWidth="1"/>
    <col min="8" max="8" width="3.42578125" style="1" customWidth="1"/>
    <col min="9" max="20" width="3.7109375" style="1" customWidth="1"/>
    <col min="21" max="21" width="5.5703125" style="1" customWidth="1"/>
    <col min="22" max="22" width="4.85546875" style="1" customWidth="1"/>
    <col min="23" max="23" width="4.5703125" style="1" customWidth="1"/>
    <col min="24" max="24" width="4" style="1" customWidth="1"/>
    <col min="25" max="25" width="4.42578125" style="1" customWidth="1"/>
    <col min="26" max="26" width="3.28515625" style="1" customWidth="1"/>
    <col min="27" max="27" width="4.28515625" style="1" customWidth="1"/>
    <col min="28" max="28" width="7.7109375" style="1" customWidth="1"/>
    <col min="29" max="29" width="9.140625" style="1" customWidth="1"/>
    <col min="30" max="38" width="9.140625" style="1" hidden="1" customWidth="1"/>
    <col min="39" max="46" width="9.140625" style="1" customWidth="1"/>
    <col min="47" max="256" width="9.140625" style="1"/>
    <col min="257" max="257" width="4.5703125" style="1" customWidth="1"/>
    <col min="258" max="258" width="15.28515625" style="1" customWidth="1"/>
    <col min="259" max="259" width="26.5703125" style="1" customWidth="1"/>
    <col min="260" max="263" width="3.7109375" style="1" customWidth="1"/>
    <col min="264" max="264" width="3.42578125" style="1" customWidth="1"/>
    <col min="265" max="276" width="3.7109375" style="1" customWidth="1"/>
    <col min="277" max="277" width="5.5703125" style="1" customWidth="1"/>
    <col min="278" max="278" width="4.85546875" style="1" customWidth="1"/>
    <col min="279" max="279" width="4.5703125" style="1" customWidth="1"/>
    <col min="280" max="280" width="4" style="1" customWidth="1"/>
    <col min="281" max="281" width="4.42578125" style="1" customWidth="1"/>
    <col min="282" max="282" width="3.28515625" style="1" customWidth="1"/>
    <col min="283" max="283" width="4.28515625" style="1" customWidth="1"/>
    <col min="284" max="284" width="7.7109375" style="1" customWidth="1"/>
    <col min="285" max="302" width="9.140625" style="1" customWidth="1"/>
    <col min="303" max="512" width="9.140625" style="1"/>
    <col min="513" max="513" width="4.5703125" style="1" customWidth="1"/>
    <col min="514" max="514" width="15.28515625" style="1" customWidth="1"/>
    <col min="515" max="515" width="26.5703125" style="1" customWidth="1"/>
    <col min="516" max="519" width="3.7109375" style="1" customWidth="1"/>
    <col min="520" max="520" width="3.42578125" style="1" customWidth="1"/>
    <col min="521" max="532" width="3.7109375" style="1" customWidth="1"/>
    <col min="533" max="533" width="5.5703125" style="1" customWidth="1"/>
    <col min="534" max="534" width="4.85546875" style="1" customWidth="1"/>
    <col min="535" max="535" width="4.5703125" style="1" customWidth="1"/>
    <col min="536" max="536" width="4" style="1" customWidth="1"/>
    <col min="537" max="537" width="4.42578125" style="1" customWidth="1"/>
    <col min="538" max="538" width="3.28515625" style="1" customWidth="1"/>
    <col min="539" max="539" width="4.28515625" style="1" customWidth="1"/>
    <col min="540" max="540" width="7.7109375" style="1" customWidth="1"/>
    <col min="541" max="558" width="9.140625" style="1" customWidth="1"/>
    <col min="559" max="768" width="9.140625" style="1"/>
    <col min="769" max="769" width="4.5703125" style="1" customWidth="1"/>
    <col min="770" max="770" width="15.28515625" style="1" customWidth="1"/>
    <col min="771" max="771" width="26.5703125" style="1" customWidth="1"/>
    <col min="772" max="775" width="3.7109375" style="1" customWidth="1"/>
    <col min="776" max="776" width="3.42578125" style="1" customWidth="1"/>
    <col min="777" max="788" width="3.7109375" style="1" customWidth="1"/>
    <col min="789" max="789" width="5.5703125" style="1" customWidth="1"/>
    <col min="790" max="790" width="4.85546875" style="1" customWidth="1"/>
    <col min="791" max="791" width="4.5703125" style="1" customWidth="1"/>
    <col min="792" max="792" width="4" style="1" customWidth="1"/>
    <col min="793" max="793" width="4.42578125" style="1" customWidth="1"/>
    <col min="794" max="794" width="3.28515625" style="1" customWidth="1"/>
    <col min="795" max="795" width="4.28515625" style="1" customWidth="1"/>
    <col min="796" max="796" width="7.7109375" style="1" customWidth="1"/>
    <col min="797" max="814" width="9.140625" style="1" customWidth="1"/>
    <col min="815" max="1024" width="9.140625" style="1"/>
    <col min="1025" max="1025" width="4.5703125" style="1" customWidth="1"/>
    <col min="1026" max="1026" width="15.28515625" style="1" customWidth="1"/>
    <col min="1027" max="1027" width="26.5703125" style="1" customWidth="1"/>
    <col min="1028" max="1031" width="3.7109375" style="1" customWidth="1"/>
    <col min="1032" max="1032" width="3.42578125" style="1" customWidth="1"/>
    <col min="1033" max="1044" width="3.7109375" style="1" customWidth="1"/>
    <col min="1045" max="1045" width="5.5703125" style="1" customWidth="1"/>
    <col min="1046" max="1046" width="4.85546875" style="1" customWidth="1"/>
    <col min="1047" max="1047" width="4.5703125" style="1" customWidth="1"/>
    <col min="1048" max="1048" width="4" style="1" customWidth="1"/>
    <col min="1049" max="1049" width="4.42578125" style="1" customWidth="1"/>
    <col min="1050" max="1050" width="3.28515625" style="1" customWidth="1"/>
    <col min="1051" max="1051" width="4.28515625" style="1" customWidth="1"/>
    <col min="1052" max="1052" width="7.7109375" style="1" customWidth="1"/>
    <col min="1053" max="1070" width="9.140625" style="1" customWidth="1"/>
    <col min="1071" max="1280" width="9.140625" style="1"/>
    <col min="1281" max="1281" width="4.5703125" style="1" customWidth="1"/>
    <col min="1282" max="1282" width="15.28515625" style="1" customWidth="1"/>
    <col min="1283" max="1283" width="26.5703125" style="1" customWidth="1"/>
    <col min="1284" max="1287" width="3.7109375" style="1" customWidth="1"/>
    <col min="1288" max="1288" width="3.42578125" style="1" customWidth="1"/>
    <col min="1289" max="1300" width="3.7109375" style="1" customWidth="1"/>
    <col min="1301" max="1301" width="5.5703125" style="1" customWidth="1"/>
    <col min="1302" max="1302" width="4.85546875" style="1" customWidth="1"/>
    <col min="1303" max="1303" width="4.5703125" style="1" customWidth="1"/>
    <col min="1304" max="1304" width="4" style="1" customWidth="1"/>
    <col min="1305" max="1305" width="4.42578125" style="1" customWidth="1"/>
    <col min="1306" max="1306" width="3.28515625" style="1" customWidth="1"/>
    <col min="1307" max="1307" width="4.28515625" style="1" customWidth="1"/>
    <col min="1308" max="1308" width="7.7109375" style="1" customWidth="1"/>
    <col min="1309" max="1326" width="9.140625" style="1" customWidth="1"/>
    <col min="1327" max="1536" width="9.140625" style="1"/>
    <col min="1537" max="1537" width="4.5703125" style="1" customWidth="1"/>
    <col min="1538" max="1538" width="15.28515625" style="1" customWidth="1"/>
    <col min="1539" max="1539" width="26.5703125" style="1" customWidth="1"/>
    <col min="1540" max="1543" width="3.7109375" style="1" customWidth="1"/>
    <col min="1544" max="1544" width="3.42578125" style="1" customWidth="1"/>
    <col min="1545" max="1556" width="3.7109375" style="1" customWidth="1"/>
    <col min="1557" max="1557" width="5.5703125" style="1" customWidth="1"/>
    <col min="1558" max="1558" width="4.85546875" style="1" customWidth="1"/>
    <col min="1559" max="1559" width="4.5703125" style="1" customWidth="1"/>
    <col min="1560" max="1560" width="4" style="1" customWidth="1"/>
    <col min="1561" max="1561" width="4.42578125" style="1" customWidth="1"/>
    <col min="1562" max="1562" width="3.28515625" style="1" customWidth="1"/>
    <col min="1563" max="1563" width="4.28515625" style="1" customWidth="1"/>
    <col min="1564" max="1564" width="7.7109375" style="1" customWidth="1"/>
    <col min="1565" max="1582" width="9.140625" style="1" customWidth="1"/>
    <col min="1583" max="1792" width="9.140625" style="1"/>
    <col min="1793" max="1793" width="4.5703125" style="1" customWidth="1"/>
    <col min="1794" max="1794" width="15.28515625" style="1" customWidth="1"/>
    <col min="1795" max="1795" width="26.5703125" style="1" customWidth="1"/>
    <col min="1796" max="1799" width="3.7109375" style="1" customWidth="1"/>
    <col min="1800" max="1800" width="3.42578125" style="1" customWidth="1"/>
    <col min="1801" max="1812" width="3.7109375" style="1" customWidth="1"/>
    <col min="1813" max="1813" width="5.5703125" style="1" customWidth="1"/>
    <col min="1814" max="1814" width="4.85546875" style="1" customWidth="1"/>
    <col min="1815" max="1815" width="4.5703125" style="1" customWidth="1"/>
    <col min="1816" max="1816" width="4" style="1" customWidth="1"/>
    <col min="1817" max="1817" width="4.42578125" style="1" customWidth="1"/>
    <col min="1818" max="1818" width="3.28515625" style="1" customWidth="1"/>
    <col min="1819" max="1819" width="4.28515625" style="1" customWidth="1"/>
    <col min="1820" max="1820" width="7.7109375" style="1" customWidth="1"/>
    <col min="1821" max="1838" width="9.140625" style="1" customWidth="1"/>
    <col min="1839" max="2048" width="9.140625" style="1"/>
    <col min="2049" max="2049" width="4.5703125" style="1" customWidth="1"/>
    <col min="2050" max="2050" width="15.28515625" style="1" customWidth="1"/>
    <col min="2051" max="2051" width="26.5703125" style="1" customWidth="1"/>
    <col min="2052" max="2055" width="3.7109375" style="1" customWidth="1"/>
    <col min="2056" max="2056" width="3.42578125" style="1" customWidth="1"/>
    <col min="2057" max="2068" width="3.7109375" style="1" customWidth="1"/>
    <col min="2069" max="2069" width="5.5703125" style="1" customWidth="1"/>
    <col min="2070" max="2070" width="4.85546875" style="1" customWidth="1"/>
    <col min="2071" max="2071" width="4.5703125" style="1" customWidth="1"/>
    <col min="2072" max="2072" width="4" style="1" customWidth="1"/>
    <col min="2073" max="2073" width="4.42578125" style="1" customWidth="1"/>
    <col min="2074" max="2074" width="3.28515625" style="1" customWidth="1"/>
    <col min="2075" max="2075" width="4.28515625" style="1" customWidth="1"/>
    <col min="2076" max="2076" width="7.7109375" style="1" customWidth="1"/>
    <col min="2077" max="2094" width="9.140625" style="1" customWidth="1"/>
    <col min="2095" max="2304" width="9.140625" style="1"/>
    <col min="2305" max="2305" width="4.5703125" style="1" customWidth="1"/>
    <col min="2306" max="2306" width="15.28515625" style="1" customWidth="1"/>
    <col min="2307" max="2307" width="26.5703125" style="1" customWidth="1"/>
    <col min="2308" max="2311" width="3.7109375" style="1" customWidth="1"/>
    <col min="2312" max="2312" width="3.42578125" style="1" customWidth="1"/>
    <col min="2313" max="2324" width="3.7109375" style="1" customWidth="1"/>
    <col min="2325" max="2325" width="5.5703125" style="1" customWidth="1"/>
    <col min="2326" max="2326" width="4.85546875" style="1" customWidth="1"/>
    <col min="2327" max="2327" width="4.5703125" style="1" customWidth="1"/>
    <col min="2328" max="2328" width="4" style="1" customWidth="1"/>
    <col min="2329" max="2329" width="4.42578125" style="1" customWidth="1"/>
    <col min="2330" max="2330" width="3.28515625" style="1" customWidth="1"/>
    <col min="2331" max="2331" width="4.28515625" style="1" customWidth="1"/>
    <col min="2332" max="2332" width="7.7109375" style="1" customWidth="1"/>
    <col min="2333" max="2350" width="9.140625" style="1" customWidth="1"/>
    <col min="2351" max="2560" width="9.140625" style="1"/>
    <col min="2561" max="2561" width="4.5703125" style="1" customWidth="1"/>
    <col min="2562" max="2562" width="15.28515625" style="1" customWidth="1"/>
    <col min="2563" max="2563" width="26.5703125" style="1" customWidth="1"/>
    <col min="2564" max="2567" width="3.7109375" style="1" customWidth="1"/>
    <col min="2568" max="2568" width="3.42578125" style="1" customWidth="1"/>
    <col min="2569" max="2580" width="3.7109375" style="1" customWidth="1"/>
    <col min="2581" max="2581" width="5.5703125" style="1" customWidth="1"/>
    <col min="2582" max="2582" width="4.85546875" style="1" customWidth="1"/>
    <col min="2583" max="2583" width="4.5703125" style="1" customWidth="1"/>
    <col min="2584" max="2584" width="4" style="1" customWidth="1"/>
    <col min="2585" max="2585" width="4.42578125" style="1" customWidth="1"/>
    <col min="2586" max="2586" width="3.28515625" style="1" customWidth="1"/>
    <col min="2587" max="2587" width="4.28515625" style="1" customWidth="1"/>
    <col min="2588" max="2588" width="7.7109375" style="1" customWidth="1"/>
    <col min="2589" max="2606" width="9.140625" style="1" customWidth="1"/>
    <col min="2607" max="2816" width="9.140625" style="1"/>
    <col min="2817" max="2817" width="4.5703125" style="1" customWidth="1"/>
    <col min="2818" max="2818" width="15.28515625" style="1" customWidth="1"/>
    <col min="2819" max="2819" width="26.5703125" style="1" customWidth="1"/>
    <col min="2820" max="2823" width="3.7109375" style="1" customWidth="1"/>
    <col min="2824" max="2824" width="3.42578125" style="1" customWidth="1"/>
    <col min="2825" max="2836" width="3.7109375" style="1" customWidth="1"/>
    <col min="2837" max="2837" width="5.5703125" style="1" customWidth="1"/>
    <col min="2838" max="2838" width="4.85546875" style="1" customWidth="1"/>
    <col min="2839" max="2839" width="4.5703125" style="1" customWidth="1"/>
    <col min="2840" max="2840" width="4" style="1" customWidth="1"/>
    <col min="2841" max="2841" width="4.42578125" style="1" customWidth="1"/>
    <col min="2842" max="2842" width="3.28515625" style="1" customWidth="1"/>
    <col min="2843" max="2843" width="4.28515625" style="1" customWidth="1"/>
    <col min="2844" max="2844" width="7.7109375" style="1" customWidth="1"/>
    <col min="2845" max="2862" width="9.140625" style="1" customWidth="1"/>
    <col min="2863" max="3072" width="9.140625" style="1"/>
    <col min="3073" max="3073" width="4.5703125" style="1" customWidth="1"/>
    <col min="3074" max="3074" width="15.28515625" style="1" customWidth="1"/>
    <col min="3075" max="3075" width="26.5703125" style="1" customWidth="1"/>
    <col min="3076" max="3079" width="3.7109375" style="1" customWidth="1"/>
    <col min="3080" max="3080" width="3.42578125" style="1" customWidth="1"/>
    <col min="3081" max="3092" width="3.7109375" style="1" customWidth="1"/>
    <col min="3093" max="3093" width="5.5703125" style="1" customWidth="1"/>
    <col min="3094" max="3094" width="4.85546875" style="1" customWidth="1"/>
    <col min="3095" max="3095" width="4.5703125" style="1" customWidth="1"/>
    <col min="3096" max="3096" width="4" style="1" customWidth="1"/>
    <col min="3097" max="3097" width="4.42578125" style="1" customWidth="1"/>
    <col min="3098" max="3098" width="3.28515625" style="1" customWidth="1"/>
    <col min="3099" max="3099" width="4.28515625" style="1" customWidth="1"/>
    <col min="3100" max="3100" width="7.7109375" style="1" customWidth="1"/>
    <col min="3101" max="3118" width="9.140625" style="1" customWidth="1"/>
    <col min="3119" max="3328" width="9.140625" style="1"/>
    <col min="3329" max="3329" width="4.5703125" style="1" customWidth="1"/>
    <col min="3330" max="3330" width="15.28515625" style="1" customWidth="1"/>
    <col min="3331" max="3331" width="26.5703125" style="1" customWidth="1"/>
    <col min="3332" max="3335" width="3.7109375" style="1" customWidth="1"/>
    <col min="3336" max="3336" width="3.42578125" style="1" customWidth="1"/>
    <col min="3337" max="3348" width="3.7109375" style="1" customWidth="1"/>
    <col min="3349" max="3349" width="5.5703125" style="1" customWidth="1"/>
    <col min="3350" max="3350" width="4.85546875" style="1" customWidth="1"/>
    <col min="3351" max="3351" width="4.5703125" style="1" customWidth="1"/>
    <col min="3352" max="3352" width="4" style="1" customWidth="1"/>
    <col min="3353" max="3353" width="4.42578125" style="1" customWidth="1"/>
    <col min="3354" max="3354" width="3.28515625" style="1" customWidth="1"/>
    <col min="3355" max="3355" width="4.28515625" style="1" customWidth="1"/>
    <col min="3356" max="3356" width="7.7109375" style="1" customWidth="1"/>
    <col min="3357" max="3374" width="9.140625" style="1" customWidth="1"/>
    <col min="3375" max="3584" width="9.140625" style="1"/>
    <col min="3585" max="3585" width="4.5703125" style="1" customWidth="1"/>
    <col min="3586" max="3586" width="15.28515625" style="1" customWidth="1"/>
    <col min="3587" max="3587" width="26.5703125" style="1" customWidth="1"/>
    <col min="3588" max="3591" width="3.7109375" style="1" customWidth="1"/>
    <col min="3592" max="3592" width="3.42578125" style="1" customWidth="1"/>
    <col min="3593" max="3604" width="3.7109375" style="1" customWidth="1"/>
    <col min="3605" max="3605" width="5.5703125" style="1" customWidth="1"/>
    <col min="3606" max="3606" width="4.85546875" style="1" customWidth="1"/>
    <col min="3607" max="3607" width="4.5703125" style="1" customWidth="1"/>
    <col min="3608" max="3608" width="4" style="1" customWidth="1"/>
    <col min="3609" max="3609" width="4.42578125" style="1" customWidth="1"/>
    <col min="3610" max="3610" width="3.28515625" style="1" customWidth="1"/>
    <col min="3611" max="3611" width="4.28515625" style="1" customWidth="1"/>
    <col min="3612" max="3612" width="7.7109375" style="1" customWidth="1"/>
    <col min="3613" max="3630" width="9.140625" style="1" customWidth="1"/>
    <col min="3631" max="3840" width="9.140625" style="1"/>
    <col min="3841" max="3841" width="4.5703125" style="1" customWidth="1"/>
    <col min="3842" max="3842" width="15.28515625" style="1" customWidth="1"/>
    <col min="3843" max="3843" width="26.5703125" style="1" customWidth="1"/>
    <col min="3844" max="3847" width="3.7109375" style="1" customWidth="1"/>
    <col min="3848" max="3848" width="3.42578125" style="1" customWidth="1"/>
    <col min="3849" max="3860" width="3.7109375" style="1" customWidth="1"/>
    <col min="3861" max="3861" width="5.5703125" style="1" customWidth="1"/>
    <col min="3862" max="3862" width="4.85546875" style="1" customWidth="1"/>
    <col min="3863" max="3863" width="4.5703125" style="1" customWidth="1"/>
    <col min="3864" max="3864" width="4" style="1" customWidth="1"/>
    <col min="3865" max="3865" width="4.42578125" style="1" customWidth="1"/>
    <col min="3866" max="3866" width="3.28515625" style="1" customWidth="1"/>
    <col min="3867" max="3867" width="4.28515625" style="1" customWidth="1"/>
    <col min="3868" max="3868" width="7.7109375" style="1" customWidth="1"/>
    <col min="3869" max="3886" width="9.140625" style="1" customWidth="1"/>
    <col min="3887" max="4096" width="9.140625" style="1"/>
    <col min="4097" max="4097" width="4.5703125" style="1" customWidth="1"/>
    <col min="4098" max="4098" width="15.28515625" style="1" customWidth="1"/>
    <col min="4099" max="4099" width="26.5703125" style="1" customWidth="1"/>
    <col min="4100" max="4103" width="3.7109375" style="1" customWidth="1"/>
    <col min="4104" max="4104" width="3.42578125" style="1" customWidth="1"/>
    <col min="4105" max="4116" width="3.7109375" style="1" customWidth="1"/>
    <col min="4117" max="4117" width="5.5703125" style="1" customWidth="1"/>
    <col min="4118" max="4118" width="4.85546875" style="1" customWidth="1"/>
    <col min="4119" max="4119" width="4.5703125" style="1" customWidth="1"/>
    <col min="4120" max="4120" width="4" style="1" customWidth="1"/>
    <col min="4121" max="4121" width="4.42578125" style="1" customWidth="1"/>
    <col min="4122" max="4122" width="3.28515625" style="1" customWidth="1"/>
    <col min="4123" max="4123" width="4.28515625" style="1" customWidth="1"/>
    <col min="4124" max="4124" width="7.7109375" style="1" customWidth="1"/>
    <col min="4125" max="4142" width="9.140625" style="1" customWidth="1"/>
    <col min="4143" max="4352" width="9.140625" style="1"/>
    <col min="4353" max="4353" width="4.5703125" style="1" customWidth="1"/>
    <col min="4354" max="4354" width="15.28515625" style="1" customWidth="1"/>
    <col min="4355" max="4355" width="26.5703125" style="1" customWidth="1"/>
    <col min="4356" max="4359" width="3.7109375" style="1" customWidth="1"/>
    <col min="4360" max="4360" width="3.42578125" style="1" customWidth="1"/>
    <col min="4361" max="4372" width="3.7109375" style="1" customWidth="1"/>
    <col min="4373" max="4373" width="5.5703125" style="1" customWidth="1"/>
    <col min="4374" max="4374" width="4.85546875" style="1" customWidth="1"/>
    <col min="4375" max="4375" width="4.5703125" style="1" customWidth="1"/>
    <col min="4376" max="4376" width="4" style="1" customWidth="1"/>
    <col min="4377" max="4377" width="4.42578125" style="1" customWidth="1"/>
    <col min="4378" max="4378" width="3.28515625" style="1" customWidth="1"/>
    <col min="4379" max="4379" width="4.28515625" style="1" customWidth="1"/>
    <col min="4380" max="4380" width="7.7109375" style="1" customWidth="1"/>
    <col min="4381" max="4398" width="9.140625" style="1" customWidth="1"/>
    <col min="4399" max="4608" width="9.140625" style="1"/>
    <col min="4609" max="4609" width="4.5703125" style="1" customWidth="1"/>
    <col min="4610" max="4610" width="15.28515625" style="1" customWidth="1"/>
    <col min="4611" max="4611" width="26.5703125" style="1" customWidth="1"/>
    <col min="4612" max="4615" width="3.7109375" style="1" customWidth="1"/>
    <col min="4616" max="4616" width="3.42578125" style="1" customWidth="1"/>
    <col min="4617" max="4628" width="3.7109375" style="1" customWidth="1"/>
    <col min="4629" max="4629" width="5.5703125" style="1" customWidth="1"/>
    <col min="4630" max="4630" width="4.85546875" style="1" customWidth="1"/>
    <col min="4631" max="4631" width="4.5703125" style="1" customWidth="1"/>
    <col min="4632" max="4632" width="4" style="1" customWidth="1"/>
    <col min="4633" max="4633" width="4.42578125" style="1" customWidth="1"/>
    <col min="4634" max="4634" width="3.28515625" style="1" customWidth="1"/>
    <col min="4635" max="4635" width="4.28515625" style="1" customWidth="1"/>
    <col min="4636" max="4636" width="7.7109375" style="1" customWidth="1"/>
    <col min="4637" max="4654" width="9.140625" style="1" customWidth="1"/>
    <col min="4655" max="4864" width="9.140625" style="1"/>
    <col min="4865" max="4865" width="4.5703125" style="1" customWidth="1"/>
    <col min="4866" max="4866" width="15.28515625" style="1" customWidth="1"/>
    <col min="4867" max="4867" width="26.5703125" style="1" customWidth="1"/>
    <col min="4868" max="4871" width="3.7109375" style="1" customWidth="1"/>
    <col min="4872" max="4872" width="3.42578125" style="1" customWidth="1"/>
    <col min="4873" max="4884" width="3.7109375" style="1" customWidth="1"/>
    <col min="4885" max="4885" width="5.5703125" style="1" customWidth="1"/>
    <col min="4886" max="4886" width="4.85546875" style="1" customWidth="1"/>
    <col min="4887" max="4887" width="4.5703125" style="1" customWidth="1"/>
    <col min="4888" max="4888" width="4" style="1" customWidth="1"/>
    <col min="4889" max="4889" width="4.42578125" style="1" customWidth="1"/>
    <col min="4890" max="4890" width="3.28515625" style="1" customWidth="1"/>
    <col min="4891" max="4891" width="4.28515625" style="1" customWidth="1"/>
    <col min="4892" max="4892" width="7.7109375" style="1" customWidth="1"/>
    <col min="4893" max="4910" width="9.140625" style="1" customWidth="1"/>
    <col min="4911" max="5120" width="9.140625" style="1"/>
    <col min="5121" max="5121" width="4.5703125" style="1" customWidth="1"/>
    <col min="5122" max="5122" width="15.28515625" style="1" customWidth="1"/>
    <col min="5123" max="5123" width="26.5703125" style="1" customWidth="1"/>
    <col min="5124" max="5127" width="3.7109375" style="1" customWidth="1"/>
    <col min="5128" max="5128" width="3.42578125" style="1" customWidth="1"/>
    <col min="5129" max="5140" width="3.7109375" style="1" customWidth="1"/>
    <col min="5141" max="5141" width="5.5703125" style="1" customWidth="1"/>
    <col min="5142" max="5142" width="4.85546875" style="1" customWidth="1"/>
    <col min="5143" max="5143" width="4.5703125" style="1" customWidth="1"/>
    <col min="5144" max="5144" width="4" style="1" customWidth="1"/>
    <col min="5145" max="5145" width="4.42578125" style="1" customWidth="1"/>
    <col min="5146" max="5146" width="3.28515625" style="1" customWidth="1"/>
    <col min="5147" max="5147" width="4.28515625" style="1" customWidth="1"/>
    <col min="5148" max="5148" width="7.7109375" style="1" customWidth="1"/>
    <col min="5149" max="5166" width="9.140625" style="1" customWidth="1"/>
    <col min="5167" max="5376" width="9.140625" style="1"/>
    <col min="5377" max="5377" width="4.5703125" style="1" customWidth="1"/>
    <col min="5378" max="5378" width="15.28515625" style="1" customWidth="1"/>
    <col min="5379" max="5379" width="26.5703125" style="1" customWidth="1"/>
    <col min="5380" max="5383" width="3.7109375" style="1" customWidth="1"/>
    <col min="5384" max="5384" width="3.42578125" style="1" customWidth="1"/>
    <col min="5385" max="5396" width="3.7109375" style="1" customWidth="1"/>
    <col min="5397" max="5397" width="5.5703125" style="1" customWidth="1"/>
    <col min="5398" max="5398" width="4.85546875" style="1" customWidth="1"/>
    <col min="5399" max="5399" width="4.5703125" style="1" customWidth="1"/>
    <col min="5400" max="5400" width="4" style="1" customWidth="1"/>
    <col min="5401" max="5401" width="4.42578125" style="1" customWidth="1"/>
    <col min="5402" max="5402" width="3.28515625" style="1" customWidth="1"/>
    <col min="5403" max="5403" width="4.28515625" style="1" customWidth="1"/>
    <col min="5404" max="5404" width="7.7109375" style="1" customWidth="1"/>
    <col min="5405" max="5422" width="9.140625" style="1" customWidth="1"/>
    <col min="5423" max="5632" width="9.140625" style="1"/>
    <col min="5633" max="5633" width="4.5703125" style="1" customWidth="1"/>
    <col min="5634" max="5634" width="15.28515625" style="1" customWidth="1"/>
    <col min="5635" max="5635" width="26.5703125" style="1" customWidth="1"/>
    <col min="5636" max="5639" width="3.7109375" style="1" customWidth="1"/>
    <col min="5640" max="5640" width="3.42578125" style="1" customWidth="1"/>
    <col min="5641" max="5652" width="3.7109375" style="1" customWidth="1"/>
    <col min="5653" max="5653" width="5.5703125" style="1" customWidth="1"/>
    <col min="5654" max="5654" width="4.85546875" style="1" customWidth="1"/>
    <col min="5655" max="5655" width="4.5703125" style="1" customWidth="1"/>
    <col min="5656" max="5656" width="4" style="1" customWidth="1"/>
    <col min="5657" max="5657" width="4.42578125" style="1" customWidth="1"/>
    <col min="5658" max="5658" width="3.28515625" style="1" customWidth="1"/>
    <col min="5659" max="5659" width="4.28515625" style="1" customWidth="1"/>
    <col min="5660" max="5660" width="7.7109375" style="1" customWidth="1"/>
    <col min="5661" max="5678" width="9.140625" style="1" customWidth="1"/>
    <col min="5679" max="5888" width="9.140625" style="1"/>
    <col min="5889" max="5889" width="4.5703125" style="1" customWidth="1"/>
    <col min="5890" max="5890" width="15.28515625" style="1" customWidth="1"/>
    <col min="5891" max="5891" width="26.5703125" style="1" customWidth="1"/>
    <col min="5892" max="5895" width="3.7109375" style="1" customWidth="1"/>
    <col min="5896" max="5896" width="3.42578125" style="1" customWidth="1"/>
    <col min="5897" max="5908" width="3.7109375" style="1" customWidth="1"/>
    <col min="5909" max="5909" width="5.5703125" style="1" customWidth="1"/>
    <col min="5910" max="5910" width="4.85546875" style="1" customWidth="1"/>
    <col min="5911" max="5911" width="4.5703125" style="1" customWidth="1"/>
    <col min="5912" max="5912" width="4" style="1" customWidth="1"/>
    <col min="5913" max="5913" width="4.42578125" style="1" customWidth="1"/>
    <col min="5914" max="5914" width="3.28515625" style="1" customWidth="1"/>
    <col min="5915" max="5915" width="4.28515625" style="1" customWidth="1"/>
    <col min="5916" max="5916" width="7.7109375" style="1" customWidth="1"/>
    <col min="5917" max="5934" width="9.140625" style="1" customWidth="1"/>
    <col min="5935" max="6144" width="9.140625" style="1"/>
    <col min="6145" max="6145" width="4.5703125" style="1" customWidth="1"/>
    <col min="6146" max="6146" width="15.28515625" style="1" customWidth="1"/>
    <col min="6147" max="6147" width="26.5703125" style="1" customWidth="1"/>
    <col min="6148" max="6151" width="3.7109375" style="1" customWidth="1"/>
    <col min="6152" max="6152" width="3.42578125" style="1" customWidth="1"/>
    <col min="6153" max="6164" width="3.7109375" style="1" customWidth="1"/>
    <col min="6165" max="6165" width="5.5703125" style="1" customWidth="1"/>
    <col min="6166" max="6166" width="4.85546875" style="1" customWidth="1"/>
    <col min="6167" max="6167" width="4.5703125" style="1" customWidth="1"/>
    <col min="6168" max="6168" width="4" style="1" customWidth="1"/>
    <col min="6169" max="6169" width="4.42578125" style="1" customWidth="1"/>
    <col min="6170" max="6170" width="3.28515625" style="1" customWidth="1"/>
    <col min="6171" max="6171" width="4.28515625" style="1" customWidth="1"/>
    <col min="6172" max="6172" width="7.7109375" style="1" customWidth="1"/>
    <col min="6173" max="6190" width="9.140625" style="1" customWidth="1"/>
    <col min="6191" max="6400" width="9.140625" style="1"/>
    <col min="6401" max="6401" width="4.5703125" style="1" customWidth="1"/>
    <col min="6402" max="6402" width="15.28515625" style="1" customWidth="1"/>
    <col min="6403" max="6403" width="26.5703125" style="1" customWidth="1"/>
    <col min="6404" max="6407" width="3.7109375" style="1" customWidth="1"/>
    <col min="6408" max="6408" width="3.42578125" style="1" customWidth="1"/>
    <col min="6409" max="6420" width="3.7109375" style="1" customWidth="1"/>
    <col min="6421" max="6421" width="5.5703125" style="1" customWidth="1"/>
    <col min="6422" max="6422" width="4.85546875" style="1" customWidth="1"/>
    <col min="6423" max="6423" width="4.5703125" style="1" customWidth="1"/>
    <col min="6424" max="6424" width="4" style="1" customWidth="1"/>
    <col min="6425" max="6425" width="4.42578125" style="1" customWidth="1"/>
    <col min="6426" max="6426" width="3.28515625" style="1" customWidth="1"/>
    <col min="6427" max="6427" width="4.28515625" style="1" customWidth="1"/>
    <col min="6428" max="6428" width="7.7109375" style="1" customWidth="1"/>
    <col min="6429" max="6446" width="9.140625" style="1" customWidth="1"/>
    <col min="6447" max="6656" width="9.140625" style="1"/>
    <col min="6657" max="6657" width="4.5703125" style="1" customWidth="1"/>
    <col min="6658" max="6658" width="15.28515625" style="1" customWidth="1"/>
    <col min="6659" max="6659" width="26.5703125" style="1" customWidth="1"/>
    <col min="6660" max="6663" width="3.7109375" style="1" customWidth="1"/>
    <col min="6664" max="6664" width="3.42578125" style="1" customWidth="1"/>
    <col min="6665" max="6676" width="3.7109375" style="1" customWidth="1"/>
    <col min="6677" max="6677" width="5.5703125" style="1" customWidth="1"/>
    <col min="6678" max="6678" width="4.85546875" style="1" customWidth="1"/>
    <col min="6679" max="6679" width="4.5703125" style="1" customWidth="1"/>
    <col min="6680" max="6680" width="4" style="1" customWidth="1"/>
    <col min="6681" max="6681" width="4.42578125" style="1" customWidth="1"/>
    <col min="6682" max="6682" width="3.28515625" style="1" customWidth="1"/>
    <col min="6683" max="6683" width="4.28515625" style="1" customWidth="1"/>
    <col min="6684" max="6684" width="7.7109375" style="1" customWidth="1"/>
    <col min="6685" max="6702" width="9.140625" style="1" customWidth="1"/>
    <col min="6703" max="6912" width="9.140625" style="1"/>
    <col min="6913" max="6913" width="4.5703125" style="1" customWidth="1"/>
    <col min="6914" max="6914" width="15.28515625" style="1" customWidth="1"/>
    <col min="6915" max="6915" width="26.5703125" style="1" customWidth="1"/>
    <col min="6916" max="6919" width="3.7109375" style="1" customWidth="1"/>
    <col min="6920" max="6920" width="3.42578125" style="1" customWidth="1"/>
    <col min="6921" max="6932" width="3.7109375" style="1" customWidth="1"/>
    <col min="6933" max="6933" width="5.5703125" style="1" customWidth="1"/>
    <col min="6934" max="6934" width="4.85546875" style="1" customWidth="1"/>
    <col min="6935" max="6935" width="4.5703125" style="1" customWidth="1"/>
    <col min="6936" max="6936" width="4" style="1" customWidth="1"/>
    <col min="6937" max="6937" width="4.42578125" style="1" customWidth="1"/>
    <col min="6938" max="6938" width="3.28515625" style="1" customWidth="1"/>
    <col min="6939" max="6939" width="4.28515625" style="1" customWidth="1"/>
    <col min="6940" max="6940" width="7.7109375" style="1" customWidth="1"/>
    <col min="6941" max="6958" width="9.140625" style="1" customWidth="1"/>
    <col min="6959" max="7168" width="9.140625" style="1"/>
    <col min="7169" max="7169" width="4.5703125" style="1" customWidth="1"/>
    <col min="7170" max="7170" width="15.28515625" style="1" customWidth="1"/>
    <col min="7171" max="7171" width="26.5703125" style="1" customWidth="1"/>
    <col min="7172" max="7175" width="3.7109375" style="1" customWidth="1"/>
    <col min="7176" max="7176" width="3.42578125" style="1" customWidth="1"/>
    <col min="7177" max="7188" width="3.7109375" style="1" customWidth="1"/>
    <col min="7189" max="7189" width="5.5703125" style="1" customWidth="1"/>
    <col min="7190" max="7190" width="4.85546875" style="1" customWidth="1"/>
    <col min="7191" max="7191" width="4.5703125" style="1" customWidth="1"/>
    <col min="7192" max="7192" width="4" style="1" customWidth="1"/>
    <col min="7193" max="7193" width="4.42578125" style="1" customWidth="1"/>
    <col min="7194" max="7194" width="3.28515625" style="1" customWidth="1"/>
    <col min="7195" max="7195" width="4.28515625" style="1" customWidth="1"/>
    <col min="7196" max="7196" width="7.7109375" style="1" customWidth="1"/>
    <col min="7197" max="7214" width="9.140625" style="1" customWidth="1"/>
    <col min="7215" max="7424" width="9.140625" style="1"/>
    <col min="7425" max="7425" width="4.5703125" style="1" customWidth="1"/>
    <col min="7426" max="7426" width="15.28515625" style="1" customWidth="1"/>
    <col min="7427" max="7427" width="26.5703125" style="1" customWidth="1"/>
    <col min="7428" max="7431" width="3.7109375" style="1" customWidth="1"/>
    <col min="7432" max="7432" width="3.42578125" style="1" customWidth="1"/>
    <col min="7433" max="7444" width="3.7109375" style="1" customWidth="1"/>
    <col min="7445" max="7445" width="5.5703125" style="1" customWidth="1"/>
    <col min="7446" max="7446" width="4.85546875" style="1" customWidth="1"/>
    <col min="7447" max="7447" width="4.5703125" style="1" customWidth="1"/>
    <col min="7448" max="7448" width="4" style="1" customWidth="1"/>
    <col min="7449" max="7449" width="4.42578125" style="1" customWidth="1"/>
    <col min="7450" max="7450" width="3.28515625" style="1" customWidth="1"/>
    <col min="7451" max="7451" width="4.28515625" style="1" customWidth="1"/>
    <col min="7452" max="7452" width="7.7109375" style="1" customWidth="1"/>
    <col min="7453" max="7470" width="9.140625" style="1" customWidth="1"/>
    <col min="7471" max="7680" width="9.140625" style="1"/>
    <col min="7681" max="7681" width="4.5703125" style="1" customWidth="1"/>
    <col min="7682" max="7682" width="15.28515625" style="1" customWidth="1"/>
    <col min="7683" max="7683" width="26.5703125" style="1" customWidth="1"/>
    <col min="7684" max="7687" width="3.7109375" style="1" customWidth="1"/>
    <col min="7688" max="7688" width="3.42578125" style="1" customWidth="1"/>
    <col min="7689" max="7700" width="3.7109375" style="1" customWidth="1"/>
    <col min="7701" max="7701" width="5.5703125" style="1" customWidth="1"/>
    <col min="7702" max="7702" width="4.85546875" style="1" customWidth="1"/>
    <col min="7703" max="7703" width="4.5703125" style="1" customWidth="1"/>
    <col min="7704" max="7704" width="4" style="1" customWidth="1"/>
    <col min="7705" max="7705" width="4.42578125" style="1" customWidth="1"/>
    <col min="7706" max="7706" width="3.28515625" style="1" customWidth="1"/>
    <col min="7707" max="7707" width="4.28515625" style="1" customWidth="1"/>
    <col min="7708" max="7708" width="7.7109375" style="1" customWidth="1"/>
    <col min="7709" max="7726" width="9.140625" style="1" customWidth="1"/>
    <col min="7727" max="7936" width="9.140625" style="1"/>
    <col min="7937" max="7937" width="4.5703125" style="1" customWidth="1"/>
    <col min="7938" max="7938" width="15.28515625" style="1" customWidth="1"/>
    <col min="7939" max="7939" width="26.5703125" style="1" customWidth="1"/>
    <col min="7940" max="7943" width="3.7109375" style="1" customWidth="1"/>
    <col min="7944" max="7944" width="3.42578125" style="1" customWidth="1"/>
    <col min="7945" max="7956" width="3.7109375" style="1" customWidth="1"/>
    <col min="7957" max="7957" width="5.5703125" style="1" customWidth="1"/>
    <col min="7958" max="7958" width="4.85546875" style="1" customWidth="1"/>
    <col min="7959" max="7959" width="4.5703125" style="1" customWidth="1"/>
    <col min="7960" max="7960" width="4" style="1" customWidth="1"/>
    <col min="7961" max="7961" width="4.42578125" style="1" customWidth="1"/>
    <col min="7962" max="7962" width="3.28515625" style="1" customWidth="1"/>
    <col min="7963" max="7963" width="4.28515625" style="1" customWidth="1"/>
    <col min="7964" max="7964" width="7.7109375" style="1" customWidth="1"/>
    <col min="7965" max="7982" width="9.140625" style="1" customWidth="1"/>
    <col min="7983" max="8192" width="9.140625" style="1"/>
    <col min="8193" max="8193" width="4.5703125" style="1" customWidth="1"/>
    <col min="8194" max="8194" width="15.28515625" style="1" customWidth="1"/>
    <col min="8195" max="8195" width="26.5703125" style="1" customWidth="1"/>
    <col min="8196" max="8199" width="3.7109375" style="1" customWidth="1"/>
    <col min="8200" max="8200" width="3.42578125" style="1" customWidth="1"/>
    <col min="8201" max="8212" width="3.7109375" style="1" customWidth="1"/>
    <col min="8213" max="8213" width="5.5703125" style="1" customWidth="1"/>
    <col min="8214" max="8214" width="4.85546875" style="1" customWidth="1"/>
    <col min="8215" max="8215" width="4.5703125" style="1" customWidth="1"/>
    <col min="8216" max="8216" width="4" style="1" customWidth="1"/>
    <col min="8217" max="8217" width="4.42578125" style="1" customWidth="1"/>
    <col min="8218" max="8218" width="3.28515625" style="1" customWidth="1"/>
    <col min="8219" max="8219" width="4.28515625" style="1" customWidth="1"/>
    <col min="8220" max="8220" width="7.7109375" style="1" customWidth="1"/>
    <col min="8221" max="8238" width="9.140625" style="1" customWidth="1"/>
    <col min="8239" max="8448" width="9.140625" style="1"/>
    <col min="8449" max="8449" width="4.5703125" style="1" customWidth="1"/>
    <col min="8450" max="8450" width="15.28515625" style="1" customWidth="1"/>
    <col min="8451" max="8451" width="26.5703125" style="1" customWidth="1"/>
    <col min="8452" max="8455" width="3.7109375" style="1" customWidth="1"/>
    <col min="8456" max="8456" width="3.42578125" style="1" customWidth="1"/>
    <col min="8457" max="8468" width="3.7109375" style="1" customWidth="1"/>
    <col min="8469" max="8469" width="5.5703125" style="1" customWidth="1"/>
    <col min="8470" max="8470" width="4.85546875" style="1" customWidth="1"/>
    <col min="8471" max="8471" width="4.5703125" style="1" customWidth="1"/>
    <col min="8472" max="8472" width="4" style="1" customWidth="1"/>
    <col min="8473" max="8473" width="4.42578125" style="1" customWidth="1"/>
    <col min="8474" max="8474" width="3.28515625" style="1" customWidth="1"/>
    <col min="8475" max="8475" width="4.28515625" style="1" customWidth="1"/>
    <col min="8476" max="8476" width="7.7109375" style="1" customWidth="1"/>
    <col min="8477" max="8494" width="9.140625" style="1" customWidth="1"/>
    <col min="8495" max="8704" width="9.140625" style="1"/>
    <col min="8705" max="8705" width="4.5703125" style="1" customWidth="1"/>
    <col min="8706" max="8706" width="15.28515625" style="1" customWidth="1"/>
    <col min="8707" max="8707" width="26.5703125" style="1" customWidth="1"/>
    <col min="8708" max="8711" width="3.7109375" style="1" customWidth="1"/>
    <col min="8712" max="8712" width="3.42578125" style="1" customWidth="1"/>
    <col min="8713" max="8724" width="3.7109375" style="1" customWidth="1"/>
    <col min="8725" max="8725" width="5.5703125" style="1" customWidth="1"/>
    <col min="8726" max="8726" width="4.85546875" style="1" customWidth="1"/>
    <col min="8727" max="8727" width="4.5703125" style="1" customWidth="1"/>
    <col min="8728" max="8728" width="4" style="1" customWidth="1"/>
    <col min="8729" max="8729" width="4.42578125" style="1" customWidth="1"/>
    <col min="8730" max="8730" width="3.28515625" style="1" customWidth="1"/>
    <col min="8731" max="8731" width="4.28515625" style="1" customWidth="1"/>
    <col min="8732" max="8732" width="7.7109375" style="1" customWidth="1"/>
    <col min="8733" max="8750" width="9.140625" style="1" customWidth="1"/>
    <col min="8751" max="8960" width="9.140625" style="1"/>
    <col min="8961" max="8961" width="4.5703125" style="1" customWidth="1"/>
    <col min="8962" max="8962" width="15.28515625" style="1" customWidth="1"/>
    <col min="8963" max="8963" width="26.5703125" style="1" customWidth="1"/>
    <col min="8964" max="8967" width="3.7109375" style="1" customWidth="1"/>
    <col min="8968" max="8968" width="3.42578125" style="1" customWidth="1"/>
    <col min="8969" max="8980" width="3.7109375" style="1" customWidth="1"/>
    <col min="8981" max="8981" width="5.5703125" style="1" customWidth="1"/>
    <col min="8982" max="8982" width="4.85546875" style="1" customWidth="1"/>
    <col min="8983" max="8983" width="4.5703125" style="1" customWidth="1"/>
    <col min="8984" max="8984" width="4" style="1" customWidth="1"/>
    <col min="8985" max="8985" width="4.42578125" style="1" customWidth="1"/>
    <col min="8986" max="8986" width="3.28515625" style="1" customWidth="1"/>
    <col min="8987" max="8987" width="4.28515625" style="1" customWidth="1"/>
    <col min="8988" max="8988" width="7.7109375" style="1" customWidth="1"/>
    <col min="8989" max="9006" width="9.140625" style="1" customWidth="1"/>
    <col min="9007" max="9216" width="9.140625" style="1"/>
    <col min="9217" max="9217" width="4.5703125" style="1" customWidth="1"/>
    <col min="9218" max="9218" width="15.28515625" style="1" customWidth="1"/>
    <col min="9219" max="9219" width="26.5703125" style="1" customWidth="1"/>
    <col min="9220" max="9223" width="3.7109375" style="1" customWidth="1"/>
    <col min="9224" max="9224" width="3.42578125" style="1" customWidth="1"/>
    <col min="9225" max="9236" width="3.7109375" style="1" customWidth="1"/>
    <col min="9237" max="9237" width="5.5703125" style="1" customWidth="1"/>
    <col min="9238" max="9238" width="4.85546875" style="1" customWidth="1"/>
    <col min="9239" max="9239" width="4.5703125" style="1" customWidth="1"/>
    <col min="9240" max="9240" width="4" style="1" customWidth="1"/>
    <col min="9241" max="9241" width="4.42578125" style="1" customWidth="1"/>
    <col min="9242" max="9242" width="3.28515625" style="1" customWidth="1"/>
    <col min="9243" max="9243" width="4.28515625" style="1" customWidth="1"/>
    <col min="9244" max="9244" width="7.7109375" style="1" customWidth="1"/>
    <col min="9245" max="9262" width="9.140625" style="1" customWidth="1"/>
    <col min="9263" max="9472" width="9.140625" style="1"/>
    <col min="9473" max="9473" width="4.5703125" style="1" customWidth="1"/>
    <col min="9474" max="9474" width="15.28515625" style="1" customWidth="1"/>
    <col min="9475" max="9475" width="26.5703125" style="1" customWidth="1"/>
    <col min="9476" max="9479" width="3.7109375" style="1" customWidth="1"/>
    <col min="9480" max="9480" width="3.42578125" style="1" customWidth="1"/>
    <col min="9481" max="9492" width="3.7109375" style="1" customWidth="1"/>
    <col min="9493" max="9493" width="5.5703125" style="1" customWidth="1"/>
    <col min="9494" max="9494" width="4.85546875" style="1" customWidth="1"/>
    <col min="9495" max="9495" width="4.5703125" style="1" customWidth="1"/>
    <col min="9496" max="9496" width="4" style="1" customWidth="1"/>
    <col min="9497" max="9497" width="4.42578125" style="1" customWidth="1"/>
    <col min="9498" max="9498" width="3.28515625" style="1" customWidth="1"/>
    <col min="9499" max="9499" width="4.28515625" style="1" customWidth="1"/>
    <col min="9500" max="9500" width="7.7109375" style="1" customWidth="1"/>
    <col min="9501" max="9518" width="9.140625" style="1" customWidth="1"/>
    <col min="9519" max="9728" width="9.140625" style="1"/>
    <col min="9729" max="9729" width="4.5703125" style="1" customWidth="1"/>
    <col min="9730" max="9730" width="15.28515625" style="1" customWidth="1"/>
    <col min="9731" max="9731" width="26.5703125" style="1" customWidth="1"/>
    <col min="9732" max="9735" width="3.7109375" style="1" customWidth="1"/>
    <col min="9736" max="9736" width="3.42578125" style="1" customWidth="1"/>
    <col min="9737" max="9748" width="3.7109375" style="1" customWidth="1"/>
    <col min="9749" max="9749" width="5.5703125" style="1" customWidth="1"/>
    <col min="9750" max="9750" width="4.85546875" style="1" customWidth="1"/>
    <col min="9751" max="9751" width="4.5703125" style="1" customWidth="1"/>
    <col min="9752" max="9752" width="4" style="1" customWidth="1"/>
    <col min="9753" max="9753" width="4.42578125" style="1" customWidth="1"/>
    <col min="9754" max="9754" width="3.28515625" style="1" customWidth="1"/>
    <col min="9755" max="9755" width="4.28515625" style="1" customWidth="1"/>
    <col min="9756" max="9756" width="7.7109375" style="1" customWidth="1"/>
    <col min="9757" max="9774" width="9.140625" style="1" customWidth="1"/>
    <col min="9775" max="9984" width="9.140625" style="1"/>
    <col min="9985" max="9985" width="4.5703125" style="1" customWidth="1"/>
    <col min="9986" max="9986" width="15.28515625" style="1" customWidth="1"/>
    <col min="9987" max="9987" width="26.5703125" style="1" customWidth="1"/>
    <col min="9988" max="9991" width="3.7109375" style="1" customWidth="1"/>
    <col min="9992" max="9992" width="3.42578125" style="1" customWidth="1"/>
    <col min="9993" max="10004" width="3.7109375" style="1" customWidth="1"/>
    <col min="10005" max="10005" width="5.5703125" style="1" customWidth="1"/>
    <col min="10006" max="10006" width="4.85546875" style="1" customWidth="1"/>
    <col min="10007" max="10007" width="4.5703125" style="1" customWidth="1"/>
    <col min="10008" max="10008" width="4" style="1" customWidth="1"/>
    <col min="10009" max="10009" width="4.42578125" style="1" customWidth="1"/>
    <col min="10010" max="10010" width="3.28515625" style="1" customWidth="1"/>
    <col min="10011" max="10011" width="4.28515625" style="1" customWidth="1"/>
    <col min="10012" max="10012" width="7.7109375" style="1" customWidth="1"/>
    <col min="10013" max="10030" width="9.140625" style="1" customWidth="1"/>
    <col min="10031" max="10240" width="9.140625" style="1"/>
    <col min="10241" max="10241" width="4.5703125" style="1" customWidth="1"/>
    <col min="10242" max="10242" width="15.28515625" style="1" customWidth="1"/>
    <col min="10243" max="10243" width="26.5703125" style="1" customWidth="1"/>
    <col min="10244" max="10247" width="3.7109375" style="1" customWidth="1"/>
    <col min="10248" max="10248" width="3.42578125" style="1" customWidth="1"/>
    <col min="10249" max="10260" width="3.7109375" style="1" customWidth="1"/>
    <col min="10261" max="10261" width="5.5703125" style="1" customWidth="1"/>
    <col min="10262" max="10262" width="4.85546875" style="1" customWidth="1"/>
    <col min="10263" max="10263" width="4.5703125" style="1" customWidth="1"/>
    <col min="10264" max="10264" width="4" style="1" customWidth="1"/>
    <col min="10265" max="10265" width="4.42578125" style="1" customWidth="1"/>
    <col min="10266" max="10266" width="3.28515625" style="1" customWidth="1"/>
    <col min="10267" max="10267" width="4.28515625" style="1" customWidth="1"/>
    <col min="10268" max="10268" width="7.7109375" style="1" customWidth="1"/>
    <col min="10269" max="10286" width="9.140625" style="1" customWidth="1"/>
    <col min="10287" max="10496" width="9.140625" style="1"/>
    <col min="10497" max="10497" width="4.5703125" style="1" customWidth="1"/>
    <col min="10498" max="10498" width="15.28515625" style="1" customWidth="1"/>
    <col min="10499" max="10499" width="26.5703125" style="1" customWidth="1"/>
    <col min="10500" max="10503" width="3.7109375" style="1" customWidth="1"/>
    <col min="10504" max="10504" width="3.42578125" style="1" customWidth="1"/>
    <col min="10505" max="10516" width="3.7109375" style="1" customWidth="1"/>
    <col min="10517" max="10517" width="5.5703125" style="1" customWidth="1"/>
    <col min="10518" max="10518" width="4.85546875" style="1" customWidth="1"/>
    <col min="10519" max="10519" width="4.5703125" style="1" customWidth="1"/>
    <col min="10520" max="10520" width="4" style="1" customWidth="1"/>
    <col min="10521" max="10521" width="4.42578125" style="1" customWidth="1"/>
    <col min="10522" max="10522" width="3.28515625" style="1" customWidth="1"/>
    <col min="10523" max="10523" width="4.28515625" style="1" customWidth="1"/>
    <col min="10524" max="10524" width="7.7109375" style="1" customWidth="1"/>
    <col min="10525" max="10542" width="9.140625" style="1" customWidth="1"/>
    <col min="10543" max="10752" width="9.140625" style="1"/>
    <col min="10753" max="10753" width="4.5703125" style="1" customWidth="1"/>
    <col min="10754" max="10754" width="15.28515625" style="1" customWidth="1"/>
    <col min="10755" max="10755" width="26.5703125" style="1" customWidth="1"/>
    <col min="10756" max="10759" width="3.7109375" style="1" customWidth="1"/>
    <col min="10760" max="10760" width="3.42578125" style="1" customWidth="1"/>
    <col min="10761" max="10772" width="3.7109375" style="1" customWidth="1"/>
    <col min="10773" max="10773" width="5.5703125" style="1" customWidth="1"/>
    <col min="10774" max="10774" width="4.85546875" style="1" customWidth="1"/>
    <col min="10775" max="10775" width="4.5703125" style="1" customWidth="1"/>
    <col min="10776" max="10776" width="4" style="1" customWidth="1"/>
    <col min="10777" max="10777" width="4.42578125" style="1" customWidth="1"/>
    <col min="10778" max="10778" width="3.28515625" style="1" customWidth="1"/>
    <col min="10779" max="10779" width="4.28515625" style="1" customWidth="1"/>
    <col min="10780" max="10780" width="7.7109375" style="1" customWidth="1"/>
    <col min="10781" max="10798" width="9.140625" style="1" customWidth="1"/>
    <col min="10799" max="11008" width="9.140625" style="1"/>
    <col min="11009" max="11009" width="4.5703125" style="1" customWidth="1"/>
    <col min="11010" max="11010" width="15.28515625" style="1" customWidth="1"/>
    <col min="11011" max="11011" width="26.5703125" style="1" customWidth="1"/>
    <col min="11012" max="11015" width="3.7109375" style="1" customWidth="1"/>
    <col min="11016" max="11016" width="3.42578125" style="1" customWidth="1"/>
    <col min="11017" max="11028" width="3.7109375" style="1" customWidth="1"/>
    <col min="11029" max="11029" width="5.5703125" style="1" customWidth="1"/>
    <col min="11030" max="11030" width="4.85546875" style="1" customWidth="1"/>
    <col min="11031" max="11031" width="4.5703125" style="1" customWidth="1"/>
    <col min="11032" max="11032" width="4" style="1" customWidth="1"/>
    <col min="11033" max="11033" width="4.42578125" style="1" customWidth="1"/>
    <col min="11034" max="11034" width="3.28515625" style="1" customWidth="1"/>
    <col min="11035" max="11035" width="4.28515625" style="1" customWidth="1"/>
    <col min="11036" max="11036" width="7.7109375" style="1" customWidth="1"/>
    <col min="11037" max="11054" width="9.140625" style="1" customWidth="1"/>
    <col min="11055" max="11264" width="9.140625" style="1"/>
    <col min="11265" max="11265" width="4.5703125" style="1" customWidth="1"/>
    <col min="11266" max="11266" width="15.28515625" style="1" customWidth="1"/>
    <col min="11267" max="11267" width="26.5703125" style="1" customWidth="1"/>
    <col min="11268" max="11271" width="3.7109375" style="1" customWidth="1"/>
    <col min="11272" max="11272" width="3.42578125" style="1" customWidth="1"/>
    <col min="11273" max="11284" width="3.7109375" style="1" customWidth="1"/>
    <col min="11285" max="11285" width="5.5703125" style="1" customWidth="1"/>
    <col min="11286" max="11286" width="4.85546875" style="1" customWidth="1"/>
    <col min="11287" max="11287" width="4.5703125" style="1" customWidth="1"/>
    <col min="11288" max="11288" width="4" style="1" customWidth="1"/>
    <col min="11289" max="11289" width="4.42578125" style="1" customWidth="1"/>
    <col min="11290" max="11290" width="3.28515625" style="1" customWidth="1"/>
    <col min="11291" max="11291" width="4.28515625" style="1" customWidth="1"/>
    <col min="11292" max="11292" width="7.7109375" style="1" customWidth="1"/>
    <col min="11293" max="11310" width="9.140625" style="1" customWidth="1"/>
    <col min="11311" max="11520" width="9.140625" style="1"/>
    <col min="11521" max="11521" width="4.5703125" style="1" customWidth="1"/>
    <col min="11522" max="11522" width="15.28515625" style="1" customWidth="1"/>
    <col min="11523" max="11523" width="26.5703125" style="1" customWidth="1"/>
    <col min="11524" max="11527" width="3.7109375" style="1" customWidth="1"/>
    <col min="11528" max="11528" width="3.42578125" style="1" customWidth="1"/>
    <col min="11529" max="11540" width="3.7109375" style="1" customWidth="1"/>
    <col min="11541" max="11541" width="5.5703125" style="1" customWidth="1"/>
    <col min="11542" max="11542" width="4.85546875" style="1" customWidth="1"/>
    <col min="11543" max="11543" width="4.5703125" style="1" customWidth="1"/>
    <col min="11544" max="11544" width="4" style="1" customWidth="1"/>
    <col min="11545" max="11545" width="4.42578125" style="1" customWidth="1"/>
    <col min="11546" max="11546" width="3.28515625" style="1" customWidth="1"/>
    <col min="11547" max="11547" width="4.28515625" style="1" customWidth="1"/>
    <col min="11548" max="11548" width="7.7109375" style="1" customWidth="1"/>
    <col min="11549" max="11566" width="9.140625" style="1" customWidth="1"/>
    <col min="11567" max="11776" width="9.140625" style="1"/>
    <col min="11777" max="11777" width="4.5703125" style="1" customWidth="1"/>
    <col min="11778" max="11778" width="15.28515625" style="1" customWidth="1"/>
    <col min="11779" max="11779" width="26.5703125" style="1" customWidth="1"/>
    <col min="11780" max="11783" width="3.7109375" style="1" customWidth="1"/>
    <col min="11784" max="11784" width="3.42578125" style="1" customWidth="1"/>
    <col min="11785" max="11796" width="3.7109375" style="1" customWidth="1"/>
    <col min="11797" max="11797" width="5.5703125" style="1" customWidth="1"/>
    <col min="11798" max="11798" width="4.85546875" style="1" customWidth="1"/>
    <col min="11799" max="11799" width="4.5703125" style="1" customWidth="1"/>
    <col min="11800" max="11800" width="4" style="1" customWidth="1"/>
    <col min="11801" max="11801" width="4.42578125" style="1" customWidth="1"/>
    <col min="11802" max="11802" width="3.28515625" style="1" customWidth="1"/>
    <col min="11803" max="11803" width="4.28515625" style="1" customWidth="1"/>
    <col min="11804" max="11804" width="7.7109375" style="1" customWidth="1"/>
    <col min="11805" max="11822" width="9.140625" style="1" customWidth="1"/>
    <col min="11823" max="12032" width="9.140625" style="1"/>
    <col min="12033" max="12033" width="4.5703125" style="1" customWidth="1"/>
    <col min="12034" max="12034" width="15.28515625" style="1" customWidth="1"/>
    <col min="12035" max="12035" width="26.5703125" style="1" customWidth="1"/>
    <col min="12036" max="12039" width="3.7109375" style="1" customWidth="1"/>
    <col min="12040" max="12040" width="3.42578125" style="1" customWidth="1"/>
    <col min="12041" max="12052" width="3.7109375" style="1" customWidth="1"/>
    <col min="12053" max="12053" width="5.5703125" style="1" customWidth="1"/>
    <col min="12054" max="12054" width="4.85546875" style="1" customWidth="1"/>
    <col min="12055" max="12055" width="4.5703125" style="1" customWidth="1"/>
    <col min="12056" max="12056" width="4" style="1" customWidth="1"/>
    <col min="12057" max="12057" width="4.42578125" style="1" customWidth="1"/>
    <col min="12058" max="12058" width="3.28515625" style="1" customWidth="1"/>
    <col min="12059" max="12059" width="4.28515625" style="1" customWidth="1"/>
    <col min="12060" max="12060" width="7.7109375" style="1" customWidth="1"/>
    <col min="12061" max="12078" width="9.140625" style="1" customWidth="1"/>
    <col min="12079" max="12288" width="9.140625" style="1"/>
    <col min="12289" max="12289" width="4.5703125" style="1" customWidth="1"/>
    <col min="12290" max="12290" width="15.28515625" style="1" customWidth="1"/>
    <col min="12291" max="12291" width="26.5703125" style="1" customWidth="1"/>
    <col min="12292" max="12295" width="3.7109375" style="1" customWidth="1"/>
    <col min="12296" max="12296" width="3.42578125" style="1" customWidth="1"/>
    <col min="12297" max="12308" width="3.7109375" style="1" customWidth="1"/>
    <col min="12309" max="12309" width="5.5703125" style="1" customWidth="1"/>
    <col min="12310" max="12310" width="4.85546875" style="1" customWidth="1"/>
    <col min="12311" max="12311" width="4.5703125" style="1" customWidth="1"/>
    <col min="12312" max="12312" width="4" style="1" customWidth="1"/>
    <col min="12313" max="12313" width="4.42578125" style="1" customWidth="1"/>
    <col min="12314" max="12314" width="3.28515625" style="1" customWidth="1"/>
    <col min="12315" max="12315" width="4.28515625" style="1" customWidth="1"/>
    <col min="12316" max="12316" width="7.7109375" style="1" customWidth="1"/>
    <col min="12317" max="12334" width="9.140625" style="1" customWidth="1"/>
    <col min="12335" max="12544" width="9.140625" style="1"/>
    <col min="12545" max="12545" width="4.5703125" style="1" customWidth="1"/>
    <col min="12546" max="12546" width="15.28515625" style="1" customWidth="1"/>
    <col min="12547" max="12547" width="26.5703125" style="1" customWidth="1"/>
    <col min="12548" max="12551" width="3.7109375" style="1" customWidth="1"/>
    <col min="12552" max="12552" width="3.42578125" style="1" customWidth="1"/>
    <col min="12553" max="12564" width="3.7109375" style="1" customWidth="1"/>
    <col min="12565" max="12565" width="5.5703125" style="1" customWidth="1"/>
    <col min="12566" max="12566" width="4.85546875" style="1" customWidth="1"/>
    <col min="12567" max="12567" width="4.5703125" style="1" customWidth="1"/>
    <col min="12568" max="12568" width="4" style="1" customWidth="1"/>
    <col min="12569" max="12569" width="4.42578125" style="1" customWidth="1"/>
    <col min="12570" max="12570" width="3.28515625" style="1" customWidth="1"/>
    <col min="12571" max="12571" width="4.28515625" style="1" customWidth="1"/>
    <col min="12572" max="12572" width="7.7109375" style="1" customWidth="1"/>
    <col min="12573" max="12590" width="9.140625" style="1" customWidth="1"/>
    <col min="12591" max="12800" width="9.140625" style="1"/>
    <col min="12801" max="12801" width="4.5703125" style="1" customWidth="1"/>
    <col min="12802" max="12802" width="15.28515625" style="1" customWidth="1"/>
    <col min="12803" max="12803" width="26.5703125" style="1" customWidth="1"/>
    <col min="12804" max="12807" width="3.7109375" style="1" customWidth="1"/>
    <col min="12808" max="12808" width="3.42578125" style="1" customWidth="1"/>
    <col min="12809" max="12820" width="3.7109375" style="1" customWidth="1"/>
    <col min="12821" max="12821" width="5.5703125" style="1" customWidth="1"/>
    <col min="12822" max="12822" width="4.85546875" style="1" customWidth="1"/>
    <col min="12823" max="12823" width="4.5703125" style="1" customWidth="1"/>
    <col min="12824" max="12824" width="4" style="1" customWidth="1"/>
    <col min="12825" max="12825" width="4.42578125" style="1" customWidth="1"/>
    <col min="12826" max="12826" width="3.28515625" style="1" customWidth="1"/>
    <col min="12827" max="12827" width="4.28515625" style="1" customWidth="1"/>
    <col min="12828" max="12828" width="7.7109375" style="1" customWidth="1"/>
    <col min="12829" max="12846" width="9.140625" style="1" customWidth="1"/>
    <col min="12847" max="13056" width="9.140625" style="1"/>
    <col min="13057" max="13057" width="4.5703125" style="1" customWidth="1"/>
    <col min="13058" max="13058" width="15.28515625" style="1" customWidth="1"/>
    <col min="13059" max="13059" width="26.5703125" style="1" customWidth="1"/>
    <col min="13060" max="13063" width="3.7109375" style="1" customWidth="1"/>
    <col min="13064" max="13064" width="3.42578125" style="1" customWidth="1"/>
    <col min="13065" max="13076" width="3.7109375" style="1" customWidth="1"/>
    <col min="13077" max="13077" width="5.5703125" style="1" customWidth="1"/>
    <col min="13078" max="13078" width="4.85546875" style="1" customWidth="1"/>
    <col min="13079" max="13079" width="4.5703125" style="1" customWidth="1"/>
    <col min="13080" max="13080" width="4" style="1" customWidth="1"/>
    <col min="13081" max="13081" width="4.42578125" style="1" customWidth="1"/>
    <col min="13082" max="13082" width="3.28515625" style="1" customWidth="1"/>
    <col min="13083" max="13083" width="4.28515625" style="1" customWidth="1"/>
    <col min="13084" max="13084" width="7.7109375" style="1" customWidth="1"/>
    <col min="13085" max="13102" width="9.140625" style="1" customWidth="1"/>
    <col min="13103" max="13312" width="9.140625" style="1"/>
    <col min="13313" max="13313" width="4.5703125" style="1" customWidth="1"/>
    <col min="13314" max="13314" width="15.28515625" style="1" customWidth="1"/>
    <col min="13315" max="13315" width="26.5703125" style="1" customWidth="1"/>
    <col min="13316" max="13319" width="3.7109375" style="1" customWidth="1"/>
    <col min="13320" max="13320" width="3.42578125" style="1" customWidth="1"/>
    <col min="13321" max="13332" width="3.7109375" style="1" customWidth="1"/>
    <col min="13333" max="13333" width="5.5703125" style="1" customWidth="1"/>
    <col min="13334" max="13334" width="4.85546875" style="1" customWidth="1"/>
    <col min="13335" max="13335" width="4.5703125" style="1" customWidth="1"/>
    <col min="13336" max="13336" width="4" style="1" customWidth="1"/>
    <col min="13337" max="13337" width="4.42578125" style="1" customWidth="1"/>
    <col min="13338" max="13338" width="3.28515625" style="1" customWidth="1"/>
    <col min="13339" max="13339" width="4.28515625" style="1" customWidth="1"/>
    <col min="13340" max="13340" width="7.7109375" style="1" customWidth="1"/>
    <col min="13341" max="13358" width="9.140625" style="1" customWidth="1"/>
    <col min="13359" max="13568" width="9.140625" style="1"/>
    <col min="13569" max="13569" width="4.5703125" style="1" customWidth="1"/>
    <col min="13570" max="13570" width="15.28515625" style="1" customWidth="1"/>
    <col min="13571" max="13571" width="26.5703125" style="1" customWidth="1"/>
    <col min="13572" max="13575" width="3.7109375" style="1" customWidth="1"/>
    <col min="13576" max="13576" width="3.42578125" style="1" customWidth="1"/>
    <col min="13577" max="13588" width="3.7109375" style="1" customWidth="1"/>
    <col min="13589" max="13589" width="5.5703125" style="1" customWidth="1"/>
    <col min="13590" max="13590" width="4.85546875" style="1" customWidth="1"/>
    <col min="13591" max="13591" width="4.5703125" style="1" customWidth="1"/>
    <col min="13592" max="13592" width="4" style="1" customWidth="1"/>
    <col min="13593" max="13593" width="4.42578125" style="1" customWidth="1"/>
    <col min="13594" max="13594" width="3.28515625" style="1" customWidth="1"/>
    <col min="13595" max="13595" width="4.28515625" style="1" customWidth="1"/>
    <col min="13596" max="13596" width="7.7109375" style="1" customWidth="1"/>
    <col min="13597" max="13614" width="9.140625" style="1" customWidth="1"/>
    <col min="13615" max="13824" width="9.140625" style="1"/>
    <col min="13825" max="13825" width="4.5703125" style="1" customWidth="1"/>
    <col min="13826" max="13826" width="15.28515625" style="1" customWidth="1"/>
    <col min="13827" max="13827" width="26.5703125" style="1" customWidth="1"/>
    <col min="13828" max="13831" width="3.7109375" style="1" customWidth="1"/>
    <col min="13832" max="13832" width="3.42578125" style="1" customWidth="1"/>
    <col min="13833" max="13844" width="3.7109375" style="1" customWidth="1"/>
    <col min="13845" max="13845" width="5.5703125" style="1" customWidth="1"/>
    <col min="13846" max="13846" width="4.85546875" style="1" customWidth="1"/>
    <col min="13847" max="13847" width="4.5703125" style="1" customWidth="1"/>
    <col min="13848" max="13848" width="4" style="1" customWidth="1"/>
    <col min="13849" max="13849" width="4.42578125" style="1" customWidth="1"/>
    <col min="13850" max="13850" width="3.28515625" style="1" customWidth="1"/>
    <col min="13851" max="13851" width="4.28515625" style="1" customWidth="1"/>
    <col min="13852" max="13852" width="7.7109375" style="1" customWidth="1"/>
    <col min="13853" max="13870" width="9.140625" style="1" customWidth="1"/>
    <col min="13871" max="14080" width="9.140625" style="1"/>
    <col min="14081" max="14081" width="4.5703125" style="1" customWidth="1"/>
    <col min="14082" max="14082" width="15.28515625" style="1" customWidth="1"/>
    <col min="14083" max="14083" width="26.5703125" style="1" customWidth="1"/>
    <col min="14084" max="14087" width="3.7109375" style="1" customWidth="1"/>
    <col min="14088" max="14088" width="3.42578125" style="1" customWidth="1"/>
    <col min="14089" max="14100" width="3.7109375" style="1" customWidth="1"/>
    <col min="14101" max="14101" width="5.5703125" style="1" customWidth="1"/>
    <col min="14102" max="14102" width="4.85546875" style="1" customWidth="1"/>
    <col min="14103" max="14103" width="4.5703125" style="1" customWidth="1"/>
    <col min="14104" max="14104" width="4" style="1" customWidth="1"/>
    <col min="14105" max="14105" width="4.42578125" style="1" customWidth="1"/>
    <col min="14106" max="14106" width="3.28515625" style="1" customWidth="1"/>
    <col min="14107" max="14107" width="4.28515625" style="1" customWidth="1"/>
    <col min="14108" max="14108" width="7.7109375" style="1" customWidth="1"/>
    <col min="14109" max="14126" width="9.140625" style="1" customWidth="1"/>
    <col min="14127" max="14336" width="9.140625" style="1"/>
    <col min="14337" max="14337" width="4.5703125" style="1" customWidth="1"/>
    <col min="14338" max="14338" width="15.28515625" style="1" customWidth="1"/>
    <col min="14339" max="14339" width="26.5703125" style="1" customWidth="1"/>
    <col min="14340" max="14343" width="3.7109375" style="1" customWidth="1"/>
    <col min="14344" max="14344" width="3.42578125" style="1" customWidth="1"/>
    <col min="14345" max="14356" width="3.7109375" style="1" customWidth="1"/>
    <col min="14357" max="14357" width="5.5703125" style="1" customWidth="1"/>
    <col min="14358" max="14358" width="4.85546875" style="1" customWidth="1"/>
    <col min="14359" max="14359" width="4.5703125" style="1" customWidth="1"/>
    <col min="14360" max="14360" width="4" style="1" customWidth="1"/>
    <col min="14361" max="14361" width="4.42578125" style="1" customWidth="1"/>
    <col min="14362" max="14362" width="3.28515625" style="1" customWidth="1"/>
    <col min="14363" max="14363" width="4.28515625" style="1" customWidth="1"/>
    <col min="14364" max="14364" width="7.7109375" style="1" customWidth="1"/>
    <col min="14365" max="14382" width="9.140625" style="1" customWidth="1"/>
    <col min="14383" max="14592" width="9.140625" style="1"/>
    <col min="14593" max="14593" width="4.5703125" style="1" customWidth="1"/>
    <col min="14594" max="14594" width="15.28515625" style="1" customWidth="1"/>
    <col min="14595" max="14595" width="26.5703125" style="1" customWidth="1"/>
    <col min="14596" max="14599" width="3.7109375" style="1" customWidth="1"/>
    <col min="14600" max="14600" width="3.42578125" style="1" customWidth="1"/>
    <col min="14601" max="14612" width="3.7109375" style="1" customWidth="1"/>
    <col min="14613" max="14613" width="5.5703125" style="1" customWidth="1"/>
    <col min="14614" max="14614" width="4.85546875" style="1" customWidth="1"/>
    <col min="14615" max="14615" width="4.5703125" style="1" customWidth="1"/>
    <col min="14616" max="14616" width="4" style="1" customWidth="1"/>
    <col min="14617" max="14617" width="4.42578125" style="1" customWidth="1"/>
    <col min="14618" max="14618" width="3.28515625" style="1" customWidth="1"/>
    <col min="14619" max="14619" width="4.28515625" style="1" customWidth="1"/>
    <col min="14620" max="14620" width="7.7109375" style="1" customWidth="1"/>
    <col min="14621" max="14638" width="9.140625" style="1" customWidth="1"/>
    <col min="14639" max="14848" width="9.140625" style="1"/>
    <col min="14849" max="14849" width="4.5703125" style="1" customWidth="1"/>
    <col min="14850" max="14850" width="15.28515625" style="1" customWidth="1"/>
    <col min="14851" max="14851" width="26.5703125" style="1" customWidth="1"/>
    <col min="14852" max="14855" width="3.7109375" style="1" customWidth="1"/>
    <col min="14856" max="14856" width="3.42578125" style="1" customWidth="1"/>
    <col min="14857" max="14868" width="3.7109375" style="1" customWidth="1"/>
    <col min="14869" max="14869" width="5.5703125" style="1" customWidth="1"/>
    <col min="14870" max="14870" width="4.85546875" style="1" customWidth="1"/>
    <col min="14871" max="14871" width="4.5703125" style="1" customWidth="1"/>
    <col min="14872" max="14872" width="4" style="1" customWidth="1"/>
    <col min="14873" max="14873" width="4.42578125" style="1" customWidth="1"/>
    <col min="14874" max="14874" width="3.28515625" style="1" customWidth="1"/>
    <col min="14875" max="14875" width="4.28515625" style="1" customWidth="1"/>
    <col min="14876" max="14876" width="7.7109375" style="1" customWidth="1"/>
    <col min="14877" max="14894" width="9.140625" style="1" customWidth="1"/>
    <col min="14895" max="15104" width="9.140625" style="1"/>
    <col min="15105" max="15105" width="4.5703125" style="1" customWidth="1"/>
    <col min="15106" max="15106" width="15.28515625" style="1" customWidth="1"/>
    <col min="15107" max="15107" width="26.5703125" style="1" customWidth="1"/>
    <col min="15108" max="15111" width="3.7109375" style="1" customWidth="1"/>
    <col min="15112" max="15112" width="3.42578125" style="1" customWidth="1"/>
    <col min="15113" max="15124" width="3.7109375" style="1" customWidth="1"/>
    <col min="15125" max="15125" width="5.5703125" style="1" customWidth="1"/>
    <col min="15126" max="15126" width="4.85546875" style="1" customWidth="1"/>
    <col min="15127" max="15127" width="4.5703125" style="1" customWidth="1"/>
    <col min="15128" max="15128" width="4" style="1" customWidth="1"/>
    <col min="15129" max="15129" width="4.42578125" style="1" customWidth="1"/>
    <col min="15130" max="15130" width="3.28515625" style="1" customWidth="1"/>
    <col min="15131" max="15131" width="4.28515625" style="1" customWidth="1"/>
    <col min="15132" max="15132" width="7.7109375" style="1" customWidth="1"/>
    <col min="15133" max="15150" width="9.140625" style="1" customWidth="1"/>
    <col min="15151" max="15360" width="9.140625" style="1"/>
    <col min="15361" max="15361" width="4.5703125" style="1" customWidth="1"/>
    <col min="15362" max="15362" width="15.28515625" style="1" customWidth="1"/>
    <col min="15363" max="15363" width="26.5703125" style="1" customWidth="1"/>
    <col min="15364" max="15367" width="3.7109375" style="1" customWidth="1"/>
    <col min="15368" max="15368" width="3.42578125" style="1" customWidth="1"/>
    <col min="15369" max="15380" width="3.7109375" style="1" customWidth="1"/>
    <col min="15381" max="15381" width="5.5703125" style="1" customWidth="1"/>
    <col min="15382" max="15382" width="4.85546875" style="1" customWidth="1"/>
    <col min="15383" max="15383" width="4.5703125" style="1" customWidth="1"/>
    <col min="15384" max="15384" width="4" style="1" customWidth="1"/>
    <col min="15385" max="15385" width="4.42578125" style="1" customWidth="1"/>
    <col min="15386" max="15386" width="3.28515625" style="1" customWidth="1"/>
    <col min="15387" max="15387" width="4.28515625" style="1" customWidth="1"/>
    <col min="15388" max="15388" width="7.7109375" style="1" customWidth="1"/>
    <col min="15389" max="15406" width="9.140625" style="1" customWidth="1"/>
    <col min="15407" max="15616" width="9.140625" style="1"/>
    <col min="15617" max="15617" width="4.5703125" style="1" customWidth="1"/>
    <col min="15618" max="15618" width="15.28515625" style="1" customWidth="1"/>
    <col min="15619" max="15619" width="26.5703125" style="1" customWidth="1"/>
    <col min="15620" max="15623" width="3.7109375" style="1" customWidth="1"/>
    <col min="15624" max="15624" width="3.42578125" style="1" customWidth="1"/>
    <col min="15625" max="15636" width="3.7109375" style="1" customWidth="1"/>
    <col min="15637" max="15637" width="5.5703125" style="1" customWidth="1"/>
    <col min="15638" max="15638" width="4.85546875" style="1" customWidth="1"/>
    <col min="15639" max="15639" width="4.5703125" style="1" customWidth="1"/>
    <col min="15640" max="15640" width="4" style="1" customWidth="1"/>
    <col min="15641" max="15641" width="4.42578125" style="1" customWidth="1"/>
    <col min="15642" max="15642" width="3.28515625" style="1" customWidth="1"/>
    <col min="15643" max="15643" width="4.28515625" style="1" customWidth="1"/>
    <col min="15644" max="15644" width="7.7109375" style="1" customWidth="1"/>
    <col min="15645" max="15662" width="9.140625" style="1" customWidth="1"/>
    <col min="15663" max="15872" width="9.140625" style="1"/>
    <col min="15873" max="15873" width="4.5703125" style="1" customWidth="1"/>
    <col min="15874" max="15874" width="15.28515625" style="1" customWidth="1"/>
    <col min="15875" max="15875" width="26.5703125" style="1" customWidth="1"/>
    <col min="15876" max="15879" width="3.7109375" style="1" customWidth="1"/>
    <col min="15880" max="15880" width="3.42578125" style="1" customWidth="1"/>
    <col min="15881" max="15892" width="3.7109375" style="1" customWidth="1"/>
    <col min="15893" max="15893" width="5.5703125" style="1" customWidth="1"/>
    <col min="15894" max="15894" width="4.85546875" style="1" customWidth="1"/>
    <col min="15895" max="15895" width="4.5703125" style="1" customWidth="1"/>
    <col min="15896" max="15896" width="4" style="1" customWidth="1"/>
    <col min="15897" max="15897" width="4.42578125" style="1" customWidth="1"/>
    <col min="15898" max="15898" width="3.28515625" style="1" customWidth="1"/>
    <col min="15899" max="15899" width="4.28515625" style="1" customWidth="1"/>
    <col min="15900" max="15900" width="7.7109375" style="1" customWidth="1"/>
    <col min="15901" max="15918" width="9.140625" style="1" customWidth="1"/>
    <col min="15919" max="16128" width="9.140625" style="1"/>
    <col min="16129" max="16129" width="4.5703125" style="1" customWidth="1"/>
    <col min="16130" max="16130" width="15.28515625" style="1" customWidth="1"/>
    <col min="16131" max="16131" width="26.5703125" style="1" customWidth="1"/>
    <col min="16132" max="16135" width="3.7109375" style="1" customWidth="1"/>
    <col min="16136" max="16136" width="3.42578125" style="1" customWidth="1"/>
    <col min="16137" max="16148" width="3.7109375" style="1" customWidth="1"/>
    <col min="16149" max="16149" width="5.5703125" style="1" customWidth="1"/>
    <col min="16150" max="16150" width="4.85546875" style="1" customWidth="1"/>
    <col min="16151" max="16151" width="4.5703125" style="1" customWidth="1"/>
    <col min="16152" max="16152" width="4" style="1" customWidth="1"/>
    <col min="16153" max="16153" width="4.42578125" style="1" customWidth="1"/>
    <col min="16154" max="16154" width="3.28515625" style="1" customWidth="1"/>
    <col min="16155" max="16155" width="4.28515625" style="1" customWidth="1"/>
    <col min="16156" max="16156" width="7.7109375" style="1" customWidth="1"/>
    <col min="16157" max="16174" width="9.140625" style="1" customWidth="1"/>
    <col min="16175" max="16384" width="9.140625" style="1"/>
  </cols>
  <sheetData>
    <row r="1" spans="1:36" ht="15" customHeight="1">
      <c r="C1" s="95"/>
      <c r="D1" s="95"/>
      <c r="E1" s="95"/>
      <c r="F1" s="95"/>
      <c r="G1" s="95"/>
      <c r="H1" s="95"/>
      <c r="I1" s="95"/>
      <c r="J1" s="95"/>
      <c r="K1" s="95"/>
      <c r="L1" s="95"/>
      <c r="M1" s="95"/>
      <c r="N1" s="95"/>
      <c r="O1" s="95"/>
      <c r="P1" s="95"/>
      <c r="Q1" s="95"/>
      <c r="R1" s="95"/>
      <c r="S1" s="95"/>
      <c r="T1" s="95"/>
      <c r="U1" s="95"/>
      <c r="V1" s="95"/>
      <c r="W1" s="95"/>
      <c r="X1" s="95"/>
      <c r="Y1" s="95"/>
      <c r="Z1" s="96"/>
      <c r="AA1" s="96"/>
      <c r="AB1" s="96"/>
    </row>
    <row r="2" spans="1:36" ht="15" customHeight="1">
      <c r="A2" s="59"/>
      <c r="B2" s="97"/>
      <c r="C2" s="95"/>
      <c r="D2" s="95"/>
      <c r="E2" s="95"/>
      <c r="F2" s="95"/>
      <c r="G2" s="95"/>
      <c r="H2" s="95"/>
      <c r="I2" s="95"/>
      <c r="J2" s="95"/>
      <c r="K2" s="95"/>
      <c r="L2" s="95"/>
      <c r="M2" s="95"/>
      <c r="N2" s="95"/>
      <c r="O2" s="95"/>
      <c r="P2" s="95"/>
      <c r="Q2" s="95"/>
      <c r="R2" s="95"/>
      <c r="S2" s="95"/>
      <c r="T2" s="95"/>
      <c r="U2" s="95"/>
      <c r="V2" s="95"/>
      <c r="W2" s="95"/>
      <c r="X2" s="95"/>
      <c r="Y2" s="95"/>
      <c r="Z2" s="96"/>
      <c r="AA2" s="96"/>
      <c r="AB2" s="96"/>
    </row>
    <row r="3" spans="1:36">
      <c r="A3" s="60"/>
      <c r="B3" s="97"/>
      <c r="C3" s="95"/>
      <c r="D3" s="95"/>
      <c r="E3" s="95"/>
      <c r="F3" s="95"/>
      <c r="G3" s="95"/>
      <c r="H3" s="95"/>
      <c r="I3" s="95"/>
      <c r="J3" s="95"/>
      <c r="K3" s="95"/>
      <c r="L3" s="95"/>
      <c r="M3" s="95"/>
      <c r="N3" s="95"/>
      <c r="O3" s="95"/>
      <c r="P3" s="95"/>
      <c r="Q3" s="95"/>
      <c r="R3" s="95"/>
      <c r="S3" s="95"/>
      <c r="T3" s="95"/>
      <c r="U3" s="95"/>
      <c r="V3" s="95"/>
      <c r="W3" s="95"/>
      <c r="X3" s="95"/>
      <c r="Y3" s="95"/>
      <c r="Z3" s="96"/>
      <c r="AA3" s="96"/>
      <c r="AB3" s="96"/>
    </row>
    <row r="4" spans="1:36">
      <c r="A4" s="60"/>
      <c r="B4" s="97"/>
      <c r="C4" s="95"/>
      <c r="D4" s="95"/>
      <c r="E4" s="95"/>
      <c r="F4" s="95"/>
      <c r="G4" s="95"/>
      <c r="H4" s="95"/>
      <c r="I4" s="95"/>
      <c r="J4" s="95"/>
      <c r="K4" s="95"/>
      <c r="L4" s="95"/>
      <c r="M4" s="95"/>
      <c r="N4" s="95"/>
      <c r="O4" s="95"/>
      <c r="P4" s="95"/>
      <c r="Q4" s="95"/>
      <c r="R4" s="95"/>
      <c r="S4" s="95"/>
      <c r="T4" s="95"/>
      <c r="U4" s="95"/>
      <c r="V4" s="95"/>
      <c r="W4" s="95"/>
      <c r="X4" s="95"/>
      <c r="Y4" s="95"/>
      <c r="Z4" s="96"/>
      <c r="AA4" s="96"/>
      <c r="AB4" s="96"/>
    </row>
    <row r="5" spans="1:36">
      <c r="A5" s="60"/>
      <c r="B5" s="97"/>
      <c r="C5" s="95"/>
      <c r="D5" s="95"/>
      <c r="E5" s="95"/>
      <c r="F5" s="95"/>
      <c r="G5" s="95"/>
      <c r="H5" s="95"/>
      <c r="I5" s="95"/>
      <c r="J5" s="95"/>
      <c r="K5" s="95"/>
      <c r="L5" s="95"/>
      <c r="M5" s="95"/>
      <c r="N5" s="95"/>
      <c r="O5" s="95"/>
      <c r="P5" s="95"/>
      <c r="Q5" s="95"/>
      <c r="R5" s="95"/>
      <c r="S5" s="95"/>
      <c r="T5" s="95"/>
      <c r="U5" s="95"/>
      <c r="V5" s="95"/>
      <c r="W5" s="95"/>
      <c r="X5" s="95"/>
      <c r="Y5" s="95"/>
      <c r="Z5" s="96"/>
      <c r="AA5" s="96"/>
      <c r="AB5" s="96"/>
    </row>
    <row r="6" spans="1:36">
      <c r="A6" s="60"/>
      <c r="B6" s="97"/>
      <c r="C6" s="95"/>
      <c r="D6" s="95"/>
      <c r="E6" s="95"/>
      <c r="F6" s="95"/>
      <c r="G6" s="95"/>
      <c r="H6" s="95"/>
      <c r="I6" s="95"/>
      <c r="J6" s="95"/>
      <c r="K6" s="95"/>
      <c r="L6" s="95"/>
      <c r="M6" s="95"/>
      <c r="N6" s="95"/>
      <c r="O6" s="95"/>
      <c r="P6" s="95"/>
      <c r="Q6" s="95"/>
      <c r="R6" s="95"/>
      <c r="S6" s="95"/>
      <c r="T6" s="95"/>
      <c r="U6" s="95"/>
      <c r="V6" s="95"/>
      <c r="W6" s="95"/>
      <c r="X6" s="95"/>
      <c r="Y6" s="95"/>
      <c r="Z6" s="96"/>
      <c r="AA6" s="96"/>
      <c r="AB6" s="96"/>
    </row>
    <row r="7" spans="1:36" ht="12" customHeight="1">
      <c r="V7" s="64"/>
      <c r="W7" s="64"/>
      <c r="X7" s="64"/>
      <c r="Y7" s="64"/>
      <c r="Z7" s="64"/>
      <c r="AA7" s="64"/>
      <c r="AB7" s="64"/>
    </row>
    <row r="8" spans="1:36" ht="36.75" customHeight="1">
      <c r="A8" s="84" t="s">
        <v>88</v>
      </c>
      <c r="B8" s="85"/>
      <c r="C8" s="86"/>
      <c r="D8" s="87"/>
      <c r="E8" s="87"/>
      <c r="F8" s="87"/>
      <c r="G8" s="87"/>
      <c r="H8" s="87"/>
      <c r="I8" s="87"/>
      <c r="J8" s="88"/>
      <c r="K8" s="89" t="s">
        <v>87</v>
      </c>
      <c r="L8" s="90"/>
      <c r="M8" s="90"/>
      <c r="N8" s="90"/>
      <c r="O8" s="91"/>
      <c r="P8" s="92"/>
      <c r="Q8" s="92"/>
      <c r="R8" s="92"/>
      <c r="S8" s="92"/>
      <c r="T8" s="92"/>
      <c r="U8" s="92"/>
      <c r="V8" s="84" t="s">
        <v>0</v>
      </c>
      <c r="W8" s="93"/>
      <c r="X8" s="93"/>
      <c r="Y8" s="93"/>
      <c r="Z8" s="93"/>
      <c r="AA8" s="94"/>
      <c r="AB8" s="2"/>
      <c r="AI8" t="s">
        <v>1</v>
      </c>
      <c r="AJ8"/>
    </row>
    <row r="9" spans="1:36">
      <c r="A9" s="98" t="s">
        <v>2</v>
      </c>
      <c r="B9" s="85"/>
      <c r="C9" s="3"/>
      <c r="D9" s="99" t="s">
        <v>3</v>
      </c>
      <c r="E9" s="99"/>
      <c r="F9" s="99"/>
      <c r="G9" s="100"/>
      <c r="H9" s="100"/>
      <c r="I9" s="100"/>
      <c r="J9" s="100"/>
      <c r="K9" s="101" t="s">
        <v>4</v>
      </c>
      <c r="L9" s="101"/>
      <c r="M9" s="101"/>
      <c r="N9" s="101"/>
      <c r="O9" s="101"/>
      <c r="P9" s="100"/>
      <c r="Q9" s="100"/>
      <c r="R9" s="100"/>
      <c r="S9" s="100"/>
      <c r="T9" s="100"/>
      <c r="U9" s="117"/>
      <c r="V9" s="118"/>
      <c r="W9" s="102"/>
      <c r="X9" s="103"/>
      <c r="Y9" s="103"/>
      <c r="Z9" s="103"/>
      <c r="AA9" s="103"/>
      <c r="AB9" s="104"/>
      <c r="AI9" t="s">
        <v>5</v>
      </c>
      <c r="AJ9"/>
    </row>
    <row r="10" spans="1:36" ht="15" customHeight="1">
      <c r="A10" s="4" t="s">
        <v>6</v>
      </c>
      <c r="B10" s="61" t="s">
        <v>7</v>
      </c>
      <c r="C10" s="105" t="s">
        <v>8</v>
      </c>
      <c r="D10" s="105"/>
      <c r="E10" s="105"/>
      <c r="F10" s="105"/>
      <c r="G10" s="105"/>
      <c r="H10" s="106" t="s">
        <v>9</v>
      </c>
      <c r="I10" s="107"/>
      <c r="J10" s="108"/>
      <c r="K10" s="106" t="s">
        <v>10</v>
      </c>
      <c r="L10" s="107"/>
      <c r="M10" s="107"/>
      <c r="N10" s="107"/>
      <c r="O10" s="107"/>
      <c r="P10" s="107"/>
      <c r="Q10" s="107"/>
      <c r="R10" s="107"/>
      <c r="S10" s="107"/>
      <c r="T10" s="107"/>
      <c r="U10" s="107"/>
      <c r="V10" s="107"/>
      <c r="W10" s="107"/>
      <c r="X10" s="107"/>
      <c r="Y10" s="107"/>
      <c r="Z10" s="107"/>
      <c r="AA10" s="107"/>
      <c r="AB10" s="109"/>
      <c r="AI10" t="s">
        <v>11</v>
      </c>
      <c r="AJ10"/>
    </row>
    <row r="11" spans="1:36" ht="15" customHeight="1">
      <c r="A11" s="5">
        <v>1</v>
      </c>
      <c r="B11" s="68"/>
      <c r="C11" s="110"/>
      <c r="D11" s="110"/>
      <c r="E11" s="110"/>
      <c r="F11" s="110"/>
      <c r="G11" s="111"/>
      <c r="H11" s="112"/>
      <c r="I11" s="113"/>
      <c r="J11" s="113"/>
      <c r="K11" s="114"/>
      <c r="L11" s="115"/>
      <c r="M11" s="115"/>
      <c r="N11" s="115"/>
      <c r="O11" s="115"/>
      <c r="P11" s="115"/>
      <c r="Q11" s="115"/>
      <c r="R11" s="115"/>
      <c r="S11" s="115"/>
      <c r="T11" s="115"/>
      <c r="U11" s="115"/>
      <c r="V11" s="115"/>
      <c r="W11" s="115"/>
      <c r="X11" s="115"/>
      <c r="Y11" s="115"/>
      <c r="Z11" s="115"/>
      <c r="AA11" s="115"/>
      <c r="AB11" s="116"/>
      <c r="AI11" t="s">
        <v>12</v>
      </c>
      <c r="AJ11"/>
    </row>
    <row r="12" spans="1:36" ht="15" customHeight="1">
      <c r="A12" s="5">
        <v>2</v>
      </c>
      <c r="B12" s="68"/>
      <c r="C12" s="110"/>
      <c r="D12" s="110"/>
      <c r="E12" s="110"/>
      <c r="F12" s="110"/>
      <c r="G12" s="111"/>
      <c r="H12" s="112"/>
      <c r="I12" s="113"/>
      <c r="J12" s="113"/>
      <c r="K12" s="114"/>
      <c r="L12" s="115"/>
      <c r="M12" s="115"/>
      <c r="N12" s="115"/>
      <c r="O12" s="115"/>
      <c r="P12" s="115"/>
      <c r="Q12" s="115"/>
      <c r="R12" s="115"/>
      <c r="S12" s="115"/>
      <c r="T12" s="115"/>
      <c r="U12" s="115"/>
      <c r="V12" s="115"/>
      <c r="W12" s="115"/>
      <c r="X12" s="115"/>
      <c r="Y12" s="115"/>
      <c r="Z12" s="115"/>
      <c r="AA12" s="115"/>
      <c r="AB12" s="116"/>
      <c r="AI12" t="s">
        <v>13</v>
      </c>
      <c r="AJ12"/>
    </row>
    <row r="13" spans="1:36">
      <c r="A13" s="5">
        <v>3</v>
      </c>
      <c r="B13" s="68"/>
      <c r="C13" s="110"/>
      <c r="D13" s="110"/>
      <c r="E13" s="110"/>
      <c r="F13" s="110"/>
      <c r="G13" s="111"/>
      <c r="H13" s="112"/>
      <c r="I13" s="112"/>
      <c r="J13" s="112"/>
      <c r="K13" s="114"/>
      <c r="L13" s="115"/>
      <c r="M13" s="115"/>
      <c r="N13" s="115"/>
      <c r="O13" s="115"/>
      <c r="P13" s="115"/>
      <c r="Q13" s="115"/>
      <c r="R13" s="115"/>
      <c r="S13" s="115"/>
      <c r="T13" s="115"/>
      <c r="U13" s="115"/>
      <c r="V13" s="115"/>
      <c r="W13" s="115"/>
      <c r="X13" s="115"/>
      <c r="Y13" s="115"/>
      <c r="Z13" s="115"/>
      <c r="AA13" s="115"/>
      <c r="AB13" s="116"/>
      <c r="AI13" t="s">
        <v>14</v>
      </c>
      <c r="AJ13"/>
    </row>
    <row r="14" spans="1:36">
      <c r="A14" s="5">
        <v>4</v>
      </c>
      <c r="B14" s="68"/>
      <c r="C14" s="110"/>
      <c r="D14" s="110"/>
      <c r="E14" s="110"/>
      <c r="F14" s="110"/>
      <c r="G14" s="111"/>
      <c r="H14" s="112"/>
      <c r="I14" s="112"/>
      <c r="J14" s="112"/>
      <c r="K14" s="114"/>
      <c r="L14" s="115"/>
      <c r="M14" s="115"/>
      <c r="N14" s="115"/>
      <c r="O14" s="115"/>
      <c r="P14" s="115"/>
      <c r="Q14" s="115"/>
      <c r="R14" s="115"/>
      <c r="S14" s="115"/>
      <c r="T14" s="115"/>
      <c r="U14" s="115"/>
      <c r="V14" s="115"/>
      <c r="W14" s="115"/>
      <c r="X14" s="115"/>
      <c r="Y14" s="115"/>
      <c r="Z14" s="115"/>
      <c r="AA14" s="115"/>
      <c r="AB14" s="116"/>
      <c r="AI14" t="s">
        <v>15</v>
      </c>
      <c r="AJ14"/>
    </row>
    <row r="15" spans="1:36" ht="15" customHeight="1">
      <c r="A15" s="5">
        <v>5</v>
      </c>
      <c r="B15" s="68"/>
      <c r="C15" s="110"/>
      <c r="D15" s="110"/>
      <c r="E15" s="110"/>
      <c r="F15" s="110"/>
      <c r="G15" s="111"/>
      <c r="H15" s="112"/>
      <c r="I15" s="113"/>
      <c r="J15" s="113"/>
      <c r="K15" s="114"/>
      <c r="L15" s="115"/>
      <c r="M15" s="115"/>
      <c r="N15" s="115"/>
      <c r="O15" s="115"/>
      <c r="P15" s="115"/>
      <c r="Q15" s="115"/>
      <c r="R15" s="115"/>
      <c r="S15" s="115"/>
      <c r="T15" s="115"/>
      <c r="U15" s="115"/>
      <c r="V15" s="115"/>
      <c r="W15" s="115"/>
      <c r="X15" s="115"/>
      <c r="Y15" s="115"/>
      <c r="Z15" s="115"/>
      <c r="AA15" s="115"/>
      <c r="AB15" s="116"/>
      <c r="AI15" t="s">
        <v>16</v>
      </c>
      <c r="AJ15"/>
    </row>
    <row r="16" spans="1:36" ht="15" customHeight="1">
      <c r="A16" s="5">
        <v>6</v>
      </c>
      <c r="B16" s="69"/>
      <c r="C16" s="110"/>
      <c r="D16" s="110"/>
      <c r="E16" s="110"/>
      <c r="F16" s="110"/>
      <c r="G16" s="111"/>
      <c r="H16" s="113"/>
      <c r="I16" s="113"/>
      <c r="J16" s="113"/>
      <c r="K16" s="114"/>
      <c r="L16" s="115"/>
      <c r="M16" s="115"/>
      <c r="N16" s="115"/>
      <c r="O16" s="115"/>
      <c r="P16" s="115"/>
      <c r="Q16" s="115"/>
      <c r="R16" s="115"/>
      <c r="S16" s="115"/>
      <c r="T16" s="115"/>
      <c r="U16" s="115"/>
      <c r="V16" s="115"/>
      <c r="W16" s="115"/>
      <c r="X16" s="115"/>
      <c r="Y16" s="115"/>
      <c r="Z16" s="115"/>
      <c r="AA16" s="115"/>
      <c r="AB16" s="116"/>
      <c r="AI16" t="s">
        <v>17</v>
      </c>
      <c r="AJ16"/>
    </row>
    <row r="17" spans="1:49" ht="15" customHeight="1">
      <c r="A17" s="5">
        <v>7</v>
      </c>
      <c r="B17" s="68"/>
      <c r="C17" s="110"/>
      <c r="D17" s="110"/>
      <c r="E17" s="110"/>
      <c r="F17" s="110"/>
      <c r="G17" s="111"/>
      <c r="H17" s="113"/>
      <c r="I17" s="113"/>
      <c r="J17" s="113"/>
      <c r="K17" s="114"/>
      <c r="L17" s="115"/>
      <c r="M17" s="115"/>
      <c r="N17" s="115"/>
      <c r="O17" s="115"/>
      <c r="P17" s="115"/>
      <c r="Q17" s="115"/>
      <c r="R17" s="115"/>
      <c r="S17" s="115"/>
      <c r="T17" s="115"/>
      <c r="U17" s="115"/>
      <c r="V17" s="115"/>
      <c r="W17" s="115"/>
      <c r="X17" s="115"/>
      <c r="Y17" s="115"/>
      <c r="Z17" s="115"/>
      <c r="AA17" s="115"/>
      <c r="AB17" s="116"/>
      <c r="AI17"/>
      <c r="AJ17"/>
    </row>
    <row r="18" spans="1:49" ht="15" customHeight="1">
      <c r="A18" s="5">
        <v>8</v>
      </c>
      <c r="B18" s="68"/>
      <c r="C18" s="110"/>
      <c r="D18" s="110"/>
      <c r="E18" s="110"/>
      <c r="F18" s="110"/>
      <c r="G18" s="111"/>
      <c r="H18" s="113"/>
      <c r="I18" s="113"/>
      <c r="J18" s="113"/>
      <c r="K18" s="114"/>
      <c r="L18" s="115"/>
      <c r="M18" s="115"/>
      <c r="N18" s="115"/>
      <c r="O18" s="115"/>
      <c r="P18" s="115"/>
      <c r="Q18" s="115"/>
      <c r="R18" s="115"/>
      <c r="S18" s="115"/>
      <c r="T18" s="115"/>
      <c r="U18" s="115"/>
      <c r="V18" s="115"/>
      <c r="W18" s="115"/>
      <c r="X18" s="115"/>
      <c r="Y18" s="115"/>
      <c r="Z18" s="115"/>
      <c r="AA18" s="115"/>
      <c r="AB18" s="116"/>
      <c r="AI18" t="s">
        <v>18</v>
      </c>
      <c r="AJ18"/>
    </row>
    <row r="19" spans="1:49" ht="15" customHeight="1">
      <c r="A19" s="5">
        <v>9</v>
      </c>
      <c r="B19" s="68"/>
      <c r="C19" s="110"/>
      <c r="D19" s="110"/>
      <c r="E19" s="110"/>
      <c r="F19" s="110"/>
      <c r="G19" s="111"/>
      <c r="H19" s="113"/>
      <c r="I19" s="113"/>
      <c r="J19" s="113"/>
      <c r="K19" s="114"/>
      <c r="L19" s="115"/>
      <c r="M19" s="115"/>
      <c r="N19" s="115"/>
      <c r="O19" s="115"/>
      <c r="P19" s="115"/>
      <c r="Q19" s="115"/>
      <c r="R19" s="115"/>
      <c r="S19" s="115"/>
      <c r="T19" s="115"/>
      <c r="U19" s="115"/>
      <c r="V19" s="115"/>
      <c r="W19" s="115"/>
      <c r="X19" s="115"/>
      <c r="Y19" s="115"/>
      <c r="Z19" s="115"/>
      <c r="AA19" s="115"/>
      <c r="AB19" s="116"/>
      <c r="AI19" t="s">
        <v>19</v>
      </c>
      <c r="AJ19"/>
    </row>
    <row r="20" spans="1:49" ht="15" customHeight="1">
      <c r="A20" s="5">
        <v>10</v>
      </c>
      <c r="B20" s="68"/>
      <c r="C20" s="110"/>
      <c r="D20" s="110"/>
      <c r="E20" s="110"/>
      <c r="F20" s="110"/>
      <c r="G20" s="111"/>
      <c r="H20" s="113"/>
      <c r="I20" s="113"/>
      <c r="J20" s="113"/>
      <c r="K20" s="114"/>
      <c r="L20" s="115"/>
      <c r="M20" s="115"/>
      <c r="N20" s="115"/>
      <c r="O20" s="115"/>
      <c r="P20" s="115"/>
      <c r="Q20" s="115"/>
      <c r="R20" s="115"/>
      <c r="S20" s="115"/>
      <c r="T20" s="115"/>
      <c r="U20" s="115"/>
      <c r="V20" s="115"/>
      <c r="W20" s="115"/>
      <c r="X20" s="115"/>
      <c r="Y20" s="115"/>
      <c r="Z20" s="115"/>
      <c r="AA20" s="115"/>
      <c r="AB20" s="116"/>
      <c r="AI20" t="s">
        <v>20</v>
      </c>
      <c r="AJ20"/>
    </row>
    <row r="21" spans="1:49">
      <c r="A21" s="5">
        <v>11</v>
      </c>
      <c r="B21" s="68"/>
      <c r="C21" s="110"/>
      <c r="D21" s="110"/>
      <c r="E21" s="110"/>
      <c r="F21" s="110"/>
      <c r="G21" s="111"/>
      <c r="H21" s="112"/>
      <c r="I21" s="112"/>
      <c r="J21" s="112"/>
      <c r="K21" s="114"/>
      <c r="L21" s="115"/>
      <c r="M21" s="115"/>
      <c r="N21" s="115"/>
      <c r="O21" s="115"/>
      <c r="P21" s="115"/>
      <c r="Q21" s="115"/>
      <c r="R21" s="115"/>
      <c r="S21" s="115"/>
      <c r="T21" s="115"/>
      <c r="U21" s="115"/>
      <c r="V21" s="115"/>
      <c r="W21" s="115"/>
      <c r="X21" s="115"/>
      <c r="Y21" s="115"/>
      <c r="Z21" s="115"/>
      <c r="AA21" s="115"/>
      <c r="AB21" s="116"/>
      <c r="AI21" t="s">
        <v>21</v>
      </c>
      <c r="AJ21"/>
    </row>
    <row r="22" spans="1:49">
      <c r="A22" s="5">
        <v>12</v>
      </c>
      <c r="B22" s="68"/>
      <c r="C22" s="110"/>
      <c r="D22" s="110"/>
      <c r="E22" s="110"/>
      <c r="F22" s="110"/>
      <c r="G22" s="111"/>
      <c r="H22" s="112"/>
      <c r="I22" s="112"/>
      <c r="J22" s="112"/>
      <c r="K22" s="114"/>
      <c r="L22" s="115"/>
      <c r="M22" s="115"/>
      <c r="N22" s="115"/>
      <c r="O22" s="115"/>
      <c r="P22" s="115"/>
      <c r="Q22" s="115"/>
      <c r="R22" s="115"/>
      <c r="S22" s="115"/>
      <c r="T22" s="115"/>
      <c r="U22" s="115"/>
      <c r="V22" s="115"/>
      <c r="W22" s="115"/>
      <c r="X22" s="115"/>
      <c r="Y22" s="115"/>
      <c r="Z22" s="115"/>
      <c r="AA22" s="115"/>
      <c r="AB22" s="116"/>
      <c r="AI22" t="s">
        <v>22</v>
      </c>
      <c r="AJ22"/>
    </row>
    <row r="23" spans="1:49">
      <c r="A23" s="5">
        <v>13</v>
      </c>
      <c r="B23" s="68"/>
      <c r="C23" s="110"/>
      <c r="D23" s="110"/>
      <c r="E23" s="110"/>
      <c r="F23" s="110"/>
      <c r="G23" s="111"/>
      <c r="H23" s="112"/>
      <c r="I23" s="112"/>
      <c r="J23" s="112"/>
      <c r="K23" s="142"/>
      <c r="L23" s="143"/>
      <c r="M23" s="143"/>
      <c r="N23" s="143"/>
      <c r="O23" s="143"/>
      <c r="P23" s="143"/>
      <c r="Q23" s="143"/>
      <c r="R23" s="143"/>
      <c r="S23" s="143"/>
      <c r="T23" s="143"/>
      <c r="U23" s="143"/>
      <c r="V23" s="143"/>
      <c r="W23" s="143"/>
      <c r="X23" s="143"/>
      <c r="Y23" s="143"/>
      <c r="Z23" s="143"/>
      <c r="AA23" s="143"/>
      <c r="AB23" s="144"/>
      <c r="AI23" t="s">
        <v>23</v>
      </c>
      <c r="AJ23"/>
    </row>
    <row r="24" spans="1:49" s="6" customFormat="1" ht="19.5" thickBot="1">
      <c r="A24" s="119" t="s">
        <v>24</v>
      </c>
      <c r="B24" s="120"/>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1"/>
      <c r="AI24" t="s">
        <v>25</v>
      </c>
      <c r="AJ24"/>
      <c r="AV24" s="7"/>
      <c r="AW24" s="7"/>
    </row>
    <row r="25" spans="1:49">
      <c r="A25" s="122" t="s">
        <v>26</v>
      </c>
      <c r="B25" s="125" t="s">
        <v>27</v>
      </c>
      <c r="C25" s="128" t="s">
        <v>85</v>
      </c>
      <c r="D25" s="131" t="s">
        <v>28</v>
      </c>
      <c r="E25" s="132"/>
      <c r="F25" s="132"/>
      <c r="G25" s="132"/>
      <c r="H25" s="132"/>
      <c r="I25" s="132"/>
      <c r="J25" s="132"/>
      <c r="K25" s="132"/>
      <c r="L25" s="132"/>
      <c r="M25" s="132"/>
      <c r="N25" s="132"/>
      <c r="O25" s="132"/>
      <c r="P25" s="132"/>
      <c r="Q25" s="132"/>
      <c r="R25" s="132"/>
      <c r="S25" s="132"/>
      <c r="T25" s="132"/>
      <c r="U25" s="133" t="s">
        <v>29</v>
      </c>
      <c r="V25" s="136" t="s">
        <v>30</v>
      </c>
      <c r="W25" s="139" t="s">
        <v>31</v>
      </c>
      <c r="X25" s="139" t="s">
        <v>32</v>
      </c>
      <c r="Y25" s="139" t="s">
        <v>33</v>
      </c>
      <c r="Z25" s="149" t="s">
        <v>34</v>
      </c>
      <c r="AA25" s="150"/>
      <c r="AB25" s="153" t="s">
        <v>35</v>
      </c>
      <c r="AI25" t="s">
        <v>36</v>
      </c>
      <c r="AJ25"/>
    </row>
    <row r="26" spans="1:49">
      <c r="A26" s="123"/>
      <c r="B26" s="126"/>
      <c r="C26" s="129"/>
      <c r="D26" s="156" t="s">
        <v>37</v>
      </c>
      <c r="E26" s="157"/>
      <c r="F26" s="157"/>
      <c r="G26" s="157"/>
      <c r="H26" s="157"/>
      <c r="I26" s="157"/>
      <c r="J26" s="157"/>
      <c r="K26" s="157"/>
      <c r="L26" s="157"/>
      <c r="M26" s="157"/>
      <c r="N26" s="157"/>
      <c r="O26" s="157"/>
      <c r="P26" s="157"/>
      <c r="Q26" s="157"/>
      <c r="R26" s="157"/>
      <c r="S26" s="157"/>
      <c r="T26" s="157"/>
      <c r="U26" s="134"/>
      <c r="V26" s="137"/>
      <c r="W26" s="140"/>
      <c r="X26" s="140"/>
      <c r="Y26" s="140"/>
      <c r="Z26" s="151"/>
      <c r="AA26" s="152"/>
      <c r="AB26" s="154"/>
      <c r="AI26" t="s">
        <v>38</v>
      </c>
      <c r="AJ26"/>
    </row>
    <row r="27" spans="1:49" ht="84.75" customHeight="1" thickBot="1">
      <c r="A27" s="124"/>
      <c r="B27" s="127"/>
      <c r="C27" s="130"/>
      <c r="D27" s="62">
        <v>1</v>
      </c>
      <c r="E27" s="62">
        <v>2</v>
      </c>
      <c r="F27" s="62">
        <v>3</v>
      </c>
      <c r="G27" s="62">
        <v>4</v>
      </c>
      <c r="H27" s="62">
        <v>5</v>
      </c>
      <c r="I27" s="62">
        <v>6</v>
      </c>
      <c r="J27" s="62">
        <v>7</v>
      </c>
      <c r="K27" s="62">
        <v>8</v>
      </c>
      <c r="L27" s="62">
        <v>9</v>
      </c>
      <c r="M27" s="62">
        <v>10</v>
      </c>
      <c r="N27" s="74">
        <v>11</v>
      </c>
      <c r="O27" s="77">
        <v>12</v>
      </c>
      <c r="P27" s="77">
        <v>13</v>
      </c>
      <c r="Q27" s="62">
        <v>14</v>
      </c>
      <c r="R27" s="62">
        <v>15</v>
      </c>
      <c r="S27" s="62">
        <v>16</v>
      </c>
      <c r="T27" s="62">
        <v>17</v>
      </c>
      <c r="U27" s="135"/>
      <c r="V27" s="138"/>
      <c r="W27" s="141"/>
      <c r="X27" s="141"/>
      <c r="Y27" s="141"/>
      <c r="Z27" s="8" t="s">
        <v>39</v>
      </c>
      <c r="AA27" s="8" t="s">
        <v>40</v>
      </c>
      <c r="AB27" s="155"/>
      <c r="AE27" s="1" t="s">
        <v>41</v>
      </c>
      <c r="AF27" s="1" t="s">
        <v>42</v>
      </c>
      <c r="AG27" s="1" t="s">
        <v>43</v>
      </c>
      <c r="AI27" t="s">
        <v>44</v>
      </c>
      <c r="AJ27"/>
    </row>
    <row r="28" spans="1:49" ht="15.75" thickBot="1">
      <c r="A28" s="9">
        <v>1</v>
      </c>
      <c r="B28" s="66"/>
      <c r="C28" s="72"/>
      <c r="D28" s="67"/>
      <c r="E28" s="67"/>
      <c r="F28" s="67"/>
      <c r="G28" s="67"/>
      <c r="H28" s="67"/>
      <c r="I28" s="66"/>
      <c r="J28" s="67"/>
      <c r="K28" s="67"/>
      <c r="L28" s="67"/>
      <c r="M28" s="67"/>
      <c r="N28" s="83"/>
      <c r="O28" s="83"/>
      <c r="P28" s="83"/>
      <c r="Q28" s="83"/>
      <c r="R28" s="73"/>
      <c r="S28" s="73"/>
      <c r="T28" s="73"/>
      <c r="U28" s="67"/>
      <c r="V28" s="10">
        <f>IF(A28&lt;&gt;"",COUNTIF(D28:T28,"AB"),"")</f>
        <v>0</v>
      </c>
      <c r="W28" s="10">
        <f>IF(A28&lt;&gt;"",(COUNTIF(D28:T28,"U")),"")</f>
        <v>0</v>
      </c>
      <c r="X28" s="10">
        <f>IF(A28&lt;&gt;"",(COUNTIF(D28:T28,"W")),"")</f>
        <v>0</v>
      </c>
      <c r="Y28" s="10">
        <f>IF(A28&lt;&gt;"",(COUNTIF(D28:T28,"WH")),"")</f>
        <v>0</v>
      </c>
      <c r="Z28" s="75"/>
      <c r="AA28" s="75"/>
      <c r="AB28" s="11">
        <f>IF($A28&lt;&gt;"",V28+W28+Y28+Z28-AA28+X28,"")</f>
        <v>0</v>
      </c>
      <c r="AE28" s="1">
        <f t="shared" ref="AE28:AE87" si="0">IF($A28&lt;&gt;"",(IF(COUNTA($D28:$T28)=V28,1,0)),"")</f>
        <v>1</v>
      </c>
      <c r="AF28" s="1">
        <f>IF($A28&lt;&gt;"",(IF(COUNTA($D28:$T28)=X28,1,0)),"")</f>
        <v>1</v>
      </c>
      <c r="AG28" s="1">
        <f>IF($A28&lt;&gt;"",(IF(COUNTA($D28:$T28)=Y28,1,0)),"")</f>
        <v>1</v>
      </c>
      <c r="AI28" t="s">
        <v>45</v>
      </c>
      <c r="AJ28"/>
    </row>
    <row r="29" spans="1:49" ht="15.75" thickBot="1">
      <c r="A29" s="12">
        <v>2</v>
      </c>
      <c r="B29" s="70"/>
      <c r="C29" s="72"/>
      <c r="D29" s="67"/>
      <c r="E29" s="67"/>
      <c r="F29" s="67"/>
      <c r="G29" s="67"/>
      <c r="H29" s="67"/>
      <c r="I29" s="67"/>
      <c r="J29" s="67"/>
      <c r="K29" s="67"/>
      <c r="L29" s="67"/>
      <c r="M29" s="67"/>
      <c r="N29" s="83"/>
      <c r="O29" s="83"/>
      <c r="P29" s="83"/>
      <c r="Q29" s="83"/>
      <c r="R29" s="73"/>
      <c r="S29" s="73"/>
      <c r="T29" s="73"/>
      <c r="U29" s="67"/>
      <c r="V29" s="13">
        <f>IF(A29&lt;&gt;"",COUNTIF(D29:T29,"AB"),"")</f>
        <v>0</v>
      </c>
      <c r="W29" s="10">
        <f t="shared" ref="W29:W69" si="1">IF(A29&lt;&gt;"",(COUNTIF(D29:T29,"U")),"")</f>
        <v>0</v>
      </c>
      <c r="X29" s="13">
        <f>IF(A29&lt;&gt;"",(COUNTIF(D29:T29,"W")),"")</f>
        <v>0</v>
      </c>
      <c r="Y29" s="13">
        <f>IF(A29&lt;&gt;"",(COUNTIF(D29:T29,"WH")),"")</f>
        <v>0</v>
      </c>
      <c r="Z29" s="16"/>
      <c r="AA29" s="16"/>
      <c r="AB29" s="14">
        <f t="shared" ref="AB29:AB87" si="2">IF($A29&lt;&gt;"",V29+W29+Y29+Z29-AA29+X29,"")</f>
        <v>0</v>
      </c>
      <c r="AE29" s="1">
        <f t="shared" si="0"/>
        <v>1</v>
      </c>
      <c r="AF29" s="1">
        <f t="shared" ref="AF29:AG87" si="3">IF($A29&lt;&gt;"",(IF(COUNTA($D29:$T29)=X29,1,0)),"")</f>
        <v>1</v>
      </c>
      <c r="AG29" s="1">
        <f t="shared" si="3"/>
        <v>1</v>
      </c>
      <c r="AI29" t="s">
        <v>46</v>
      </c>
      <c r="AJ29"/>
    </row>
    <row r="30" spans="1:49" ht="15.75" thickBot="1">
      <c r="A30" s="9">
        <v>3</v>
      </c>
      <c r="B30" s="71"/>
      <c r="C30" s="72"/>
      <c r="D30" s="67"/>
      <c r="E30" s="67"/>
      <c r="F30" s="67"/>
      <c r="G30" s="67"/>
      <c r="H30" s="67"/>
      <c r="I30" s="67"/>
      <c r="J30" s="67"/>
      <c r="K30" s="67"/>
      <c r="L30" s="67"/>
      <c r="M30" s="67"/>
      <c r="N30" s="83"/>
      <c r="O30" s="83"/>
      <c r="P30" s="83"/>
      <c r="Q30" s="83"/>
      <c r="R30" s="73"/>
      <c r="S30" s="73"/>
      <c r="T30" s="73"/>
      <c r="U30" s="67"/>
      <c r="V30" s="13">
        <f t="shared" ref="V30:V69" si="4">IF(A30&lt;&gt;"",COUNTIF(D30:T30,"AB"),"")</f>
        <v>0</v>
      </c>
      <c r="W30" s="10">
        <f t="shared" si="1"/>
        <v>0</v>
      </c>
      <c r="X30" s="13">
        <f t="shared" ref="X30:X69" si="5">IF(A30&lt;&gt;"",(COUNTIF(D30:T30,"W")),"")</f>
        <v>0</v>
      </c>
      <c r="Y30" s="13">
        <f t="shared" ref="Y30:Y69" si="6">IF(A30&lt;&gt;"",(COUNTIF(D30:T30,"WH")),"")</f>
        <v>0</v>
      </c>
      <c r="Z30" s="16"/>
      <c r="AA30" s="16"/>
      <c r="AB30" s="14">
        <f t="shared" si="2"/>
        <v>0</v>
      </c>
      <c r="AE30" s="1">
        <f t="shared" si="0"/>
        <v>1</v>
      </c>
      <c r="AF30" s="1">
        <f t="shared" si="3"/>
        <v>1</v>
      </c>
      <c r="AG30" s="1">
        <f t="shared" si="3"/>
        <v>1</v>
      </c>
      <c r="AI30" t="s">
        <v>47</v>
      </c>
      <c r="AJ30"/>
    </row>
    <row r="31" spans="1:49" ht="15.75" thickBot="1">
      <c r="A31" s="12">
        <v>4</v>
      </c>
      <c r="B31" s="71"/>
      <c r="C31" s="72"/>
      <c r="D31" s="67"/>
      <c r="E31" s="67"/>
      <c r="F31" s="67"/>
      <c r="G31" s="67"/>
      <c r="H31" s="67"/>
      <c r="I31" s="67"/>
      <c r="J31" s="67"/>
      <c r="K31" s="67"/>
      <c r="L31" s="67"/>
      <c r="M31" s="67"/>
      <c r="N31" s="83"/>
      <c r="O31" s="83"/>
      <c r="P31" s="83"/>
      <c r="Q31" s="83"/>
      <c r="R31" s="73"/>
      <c r="S31" s="73"/>
      <c r="T31" s="73"/>
      <c r="U31" s="67"/>
      <c r="V31" s="13">
        <f t="shared" si="4"/>
        <v>0</v>
      </c>
      <c r="W31" s="10">
        <f t="shared" si="1"/>
        <v>0</v>
      </c>
      <c r="X31" s="13">
        <f t="shared" si="5"/>
        <v>0</v>
      </c>
      <c r="Y31" s="13">
        <f t="shared" si="6"/>
        <v>0</v>
      </c>
      <c r="Z31" s="16"/>
      <c r="AA31" s="16"/>
      <c r="AB31" s="14">
        <f t="shared" si="2"/>
        <v>0</v>
      </c>
      <c r="AE31" s="1">
        <f t="shared" si="0"/>
        <v>1</v>
      </c>
      <c r="AF31" s="1">
        <f t="shared" si="3"/>
        <v>1</v>
      </c>
      <c r="AG31" s="1">
        <f t="shared" si="3"/>
        <v>1</v>
      </c>
      <c r="AI31" t="s">
        <v>48</v>
      </c>
      <c r="AJ31"/>
    </row>
    <row r="32" spans="1:49" ht="15.75" thickBot="1">
      <c r="A32" s="9">
        <v>5</v>
      </c>
      <c r="B32" s="71"/>
      <c r="C32" s="72"/>
      <c r="D32" s="67"/>
      <c r="E32" s="67"/>
      <c r="F32" s="67"/>
      <c r="G32" s="67"/>
      <c r="H32" s="67"/>
      <c r="I32" s="67"/>
      <c r="J32" s="67"/>
      <c r="K32" s="67"/>
      <c r="L32" s="67"/>
      <c r="M32" s="67"/>
      <c r="N32" s="83"/>
      <c r="O32" s="83"/>
      <c r="P32" s="83"/>
      <c r="Q32" s="83"/>
      <c r="R32" s="73"/>
      <c r="S32" s="73"/>
      <c r="T32" s="73"/>
      <c r="U32" s="67"/>
      <c r="V32" s="13">
        <f t="shared" si="4"/>
        <v>0</v>
      </c>
      <c r="W32" s="10">
        <f t="shared" si="1"/>
        <v>0</v>
      </c>
      <c r="X32" s="13">
        <f t="shared" si="5"/>
        <v>0</v>
      </c>
      <c r="Y32" s="13">
        <f t="shared" si="6"/>
        <v>0</v>
      </c>
      <c r="Z32" s="16"/>
      <c r="AA32" s="16"/>
      <c r="AB32" s="14">
        <f t="shared" si="2"/>
        <v>0</v>
      </c>
      <c r="AE32" s="1">
        <f t="shared" si="0"/>
        <v>1</v>
      </c>
      <c r="AF32" s="1">
        <f t="shared" si="3"/>
        <v>1</v>
      </c>
      <c r="AG32" s="1">
        <f t="shared" si="3"/>
        <v>1</v>
      </c>
      <c r="AI32" t="s">
        <v>49</v>
      </c>
      <c r="AJ32"/>
    </row>
    <row r="33" spans="1:36" ht="15.75" thickBot="1">
      <c r="A33" s="12">
        <v>6</v>
      </c>
      <c r="B33" s="71"/>
      <c r="C33" s="72"/>
      <c r="D33" s="67"/>
      <c r="E33" s="67"/>
      <c r="F33" s="67"/>
      <c r="G33" s="67"/>
      <c r="H33" s="67"/>
      <c r="I33" s="67"/>
      <c r="J33" s="67"/>
      <c r="K33" s="67"/>
      <c r="L33" s="67"/>
      <c r="M33" s="67"/>
      <c r="N33" s="83"/>
      <c r="O33" s="83"/>
      <c r="P33" s="83"/>
      <c r="Q33" s="83"/>
      <c r="R33" s="73"/>
      <c r="S33" s="73"/>
      <c r="T33" s="73"/>
      <c r="U33" s="67"/>
      <c r="V33" s="13">
        <f t="shared" si="4"/>
        <v>0</v>
      </c>
      <c r="W33" s="10">
        <f t="shared" si="1"/>
        <v>0</v>
      </c>
      <c r="X33" s="13">
        <f t="shared" si="5"/>
        <v>0</v>
      </c>
      <c r="Y33" s="13">
        <f t="shared" si="6"/>
        <v>0</v>
      </c>
      <c r="Z33" s="16"/>
      <c r="AA33" s="16"/>
      <c r="AB33" s="14">
        <f t="shared" si="2"/>
        <v>0</v>
      </c>
      <c r="AE33" s="1">
        <f t="shared" si="0"/>
        <v>1</v>
      </c>
      <c r="AF33" s="1">
        <f t="shared" si="3"/>
        <v>1</v>
      </c>
      <c r="AG33" s="1">
        <f t="shared" si="3"/>
        <v>1</v>
      </c>
      <c r="AI33" t="s">
        <v>50</v>
      </c>
      <c r="AJ33"/>
    </row>
    <row r="34" spans="1:36" ht="15.75" thickBot="1">
      <c r="A34" s="9">
        <v>7</v>
      </c>
      <c r="B34" s="71"/>
      <c r="C34" s="72"/>
      <c r="D34" s="67"/>
      <c r="E34" s="67"/>
      <c r="F34" s="67"/>
      <c r="G34" s="67"/>
      <c r="H34" s="67"/>
      <c r="I34" s="67"/>
      <c r="J34" s="67"/>
      <c r="K34" s="67"/>
      <c r="L34" s="67"/>
      <c r="M34" s="67"/>
      <c r="N34" s="83"/>
      <c r="O34" s="83"/>
      <c r="P34" s="83"/>
      <c r="Q34" s="83"/>
      <c r="R34" s="73"/>
      <c r="S34" s="73"/>
      <c r="T34" s="73"/>
      <c r="U34" s="67"/>
      <c r="V34" s="13">
        <f t="shared" si="4"/>
        <v>0</v>
      </c>
      <c r="W34" s="10">
        <f t="shared" si="1"/>
        <v>0</v>
      </c>
      <c r="X34" s="13">
        <f t="shared" si="5"/>
        <v>0</v>
      </c>
      <c r="Y34" s="13">
        <f t="shared" si="6"/>
        <v>0</v>
      </c>
      <c r="Z34" s="16"/>
      <c r="AA34" s="16"/>
      <c r="AB34" s="14">
        <f t="shared" si="2"/>
        <v>0</v>
      </c>
      <c r="AE34" s="1">
        <f t="shared" si="0"/>
        <v>1</v>
      </c>
      <c r="AF34" s="1">
        <f t="shared" si="3"/>
        <v>1</v>
      </c>
      <c r="AG34" s="1">
        <f t="shared" si="3"/>
        <v>1</v>
      </c>
      <c r="AI34" t="s">
        <v>51</v>
      </c>
      <c r="AJ34"/>
    </row>
    <row r="35" spans="1:36" ht="15.75" thickBot="1">
      <c r="A35" s="12">
        <v>8</v>
      </c>
      <c r="B35" s="71"/>
      <c r="C35" s="72"/>
      <c r="D35" s="67"/>
      <c r="E35" s="67"/>
      <c r="F35" s="67"/>
      <c r="G35" s="67"/>
      <c r="H35" s="67"/>
      <c r="I35" s="67"/>
      <c r="J35" s="67"/>
      <c r="K35" s="67"/>
      <c r="L35" s="67"/>
      <c r="M35" s="67"/>
      <c r="N35" s="83"/>
      <c r="O35" s="83"/>
      <c r="P35" s="83"/>
      <c r="Q35" s="83"/>
      <c r="R35" s="73"/>
      <c r="S35" s="73"/>
      <c r="T35" s="73"/>
      <c r="U35" s="67"/>
      <c r="V35" s="13">
        <f t="shared" si="4"/>
        <v>0</v>
      </c>
      <c r="W35" s="10">
        <f t="shared" si="1"/>
        <v>0</v>
      </c>
      <c r="X35" s="13">
        <f t="shared" si="5"/>
        <v>0</v>
      </c>
      <c r="Y35" s="13">
        <f t="shared" si="6"/>
        <v>0</v>
      </c>
      <c r="Z35" s="16"/>
      <c r="AA35" s="16"/>
      <c r="AB35" s="14">
        <f t="shared" si="2"/>
        <v>0</v>
      </c>
      <c r="AE35" s="1">
        <f t="shared" si="0"/>
        <v>1</v>
      </c>
      <c r="AF35" s="1">
        <f t="shared" si="3"/>
        <v>1</v>
      </c>
      <c r="AG35" s="1">
        <f t="shared" si="3"/>
        <v>1</v>
      </c>
      <c r="AI35" s="1" t="s">
        <v>52</v>
      </c>
      <c r="AJ35"/>
    </row>
    <row r="36" spans="1:36" ht="15.75" thickBot="1">
      <c r="A36" s="9">
        <v>9</v>
      </c>
      <c r="B36" s="71"/>
      <c r="C36" s="72"/>
      <c r="D36" s="67"/>
      <c r="E36" s="67"/>
      <c r="F36" s="67"/>
      <c r="G36" s="67"/>
      <c r="H36" s="67"/>
      <c r="I36" s="67"/>
      <c r="J36" s="67"/>
      <c r="K36" s="67"/>
      <c r="L36" s="67"/>
      <c r="M36" s="67"/>
      <c r="N36" s="83"/>
      <c r="O36" s="83"/>
      <c r="P36" s="83"/>
      <c r="Q36" s="83"/>
      <c r="R36" s="73"/>
      <c r="S36" s="73"/>
      <c r="T36" s="73"/>
      <c r="U36" s="67"/>
      <c r="V36" s="13">
        <f t="shared" si="4"/>
        <v>0</v>
      </c>
      <c r="W36" s="10">
        <f t="shared" si="1"/>
        <v>0</v>
      </c>
      <c r="X36" s="13">
        <f t="shared" si="5"/>
        <v>0</v>
      </c>
      <c r="Y36" s="13">
        <f t="shared" si="6"/>
        <v>0</v>
      </c>
      <c r="Z36" s="16"/>
      <c r="AA36" s="16"/>
      <c r="AB36" s="14">
        <f t="shared" si="2"/>
        <v>0</v>
      </c>
      <c r="AE36" s="1">
        <f t="shared" si="0"/>
        <v>1</v>
      </c>
      <c r="AF36" s="1">
        <f t="shared" si="3"/>
        <v>1</v>
      </c>
      <c r="AG36" s="1">
        <f t="shared" si="3"/>
        <v>1</v>
      </c>
      <c r="AI36" t="s">
        <v>53</v>
      </c>
      <c r="AJ36"/>
    </row>
    <row r="37" spans="1:36" ht="15.75" thickBot="1">
      <c r="A37" s="12">
        <v>10</v>
      </c>
      <c r="B37" s="71"/>
      <c r="C37" s="72"/>
      <c r="D37" s="67"/>
      <c r="E37" s="67"/>
      <c r="F37" s="67"/>
      <c r="G37" s="67"/>
      <c r="H37" s="67"/>
      <c r="I37" s="67"/>
      <c r="J37" s="67"/>
      <c r="K37" s="67"/>
      <c r="L37" s="67"/>
      <c r="M37" s="67"/>
      <c r="N37" s="83"/>
      <c r="O37" s="83"/>
      <c r="P37" s="83"/>
      <c r="Q37" s="83"/>
      <c r="R37" s="73"/>
      <c r="S37" s="73"/>
      <c r="T37" s="73"/>
      <c r="U37" s="67"/>
      <c r="V37" s="13">
        <f t="shared" si="4"/>
        <v>0</v>
      </c>
      <c r="W37" s="10">
        <f t="shared" si="1"/>
        <v>0</v>
      </c>
      <c r="X37" s="13">
        <f t="shared" si="5"/>
        <v>0</v>
      </c>
      <c r="Y37" s="13">
        <f t="shared" si="6"/>
        <v>0</v>
      </c>
      <c r="Z37" s="16"/>
      <c r="AA37" s="16"/>
      <c r="AB37" s="14">
        <f t="shared" si="2"/>
        <v>0</v>
      </c>
      <c r="AE37" s="1">
        <f t="shared" si="0"/>
        <v>1</v>
      </c>
      <c r="AF37" s="1">
        <f t="shared" si="3"/>
        <v>1</v>
      </c>
      <c r="AG37" s="1">
        <f t="shared" si="3"/>
        <v>1</v>
      </c>
      <c r="AI37" t="s">
        <v>54</v>
      </c>
      <c r="AJ37"/>
    </row>
    <row r="38" spans="1:36" ht="15.75" thickBot="1">
      <c r="A38" s="9">
        <v>11</v>
      </c>
      <c r="B38" s="71"/>
      <c r="C38" s="72"/>
      <c r="D38" s="67"/>
      <c r="E38" s="67"/>
      <c r="F38" s="67"/>
      <c r="G38" s="67"/>
      <c r="H38" s="67"/>
      <c r="I38" s="67"/>
      <c r="J38" s="67"/>
      <c r="K38" s="67"/>
      <c r="L38" s="67"/>
      <c r="M38" s="67"/>
      <c r="N38" s="83"/>
      <c r="O38" s="83"/>
      <c r="P38" s="83"/>
      <c r="Q38" s="83"/>
      <c r="R38" s="73"/>
      <c r="S38" s="73"/>
      <c r="T38" s="73"/>
      <c r="U38" s="67"/>
      <c r="V38" s="13">
        <f t="shared" si="4"/>
        <v>0</v>
      </c>
      <c r="W38" s="10">
        <f t="shared" si="1"/>
        <v>0</v>
      </c>
      <c r="X38" s="13">
        <f t="shared" si="5"/>
        <v>0</v>
      </c>
      <c r="Y38" s="13">
        <f t="shared" si="6"/>
        <v>0</v>
      </c>
      <c r="Z38" s="16"/>
      <c r="AA38" s="16"/>
      <c r="AB38" s="14">
        <f t="shared" si="2"/>
        <v>0</v>
      </c>
      <c r="AE38" s="1">
        <f t="shared" si="0"/>
        <v>1</v>
      </c>
      <c r="AF38" s="1">
        <f t="shared" si="3"/>
        <v>1</v>
      </c>
      <c r="AG38" s="1">
        <f t="shared" si="3"/>
        <v>1</v>
      </c>
      <c r="AI38" t="s">
        <v>55</v>
      </c>
      <c r="AJ38"/>
    </row>
    <row r="39" spans="1:36" ht="15.75" thickBot="1">
      <c r="A39" s="12">
        <v>12</v>
      </c>
      <c r="B39" s="71"/>
      <c r="C39" s="72"/>
      <c r="D39" s="67"/>
      <c r="E39" s="67"/>
      <c r="F39" s="67"/>
      <c r="G39" s="67"/>
      <c r="H39" s="67"/>
      <c r="I39" s="67"/>
      <c r="J39" s="67"/>
      <c r="K39" s="67"/>
      <c r="L39" s="67"/>
      <c r="M39" s="67"/>
      <c r="N39" s="83"/>
      <c r="O39" s="83"/>
      <c r="P39" s="83"/>
      <c r="Q39" s="83"/>
      <c r="R39" s="73"/>
      <c r="S39" s="73"/>
      <c r="T39" s="73"/>
      <c r="U39" s="67"/>
      <c r="V39" s="13">
        <f t="shared" si="4"/>
        <v>0</v>
      </c>
      <c r="W39" s="10">
        <f t="shared" si="1"/>
        <v>0</v>
      </c>
      <c r="X39" s="13">
        <f t="shared" si="5"/>
        <v>0</v>
      </c>
      <c r="Y39" s="13">
        <f t="shared" si="6"/>
        <v>0</v>
      </c>
      <c r="Z39" s="16"/>
      <c r="AA39" s="16"/>
      <c r="AB39" s="14">
        <f t="shared" si="2"/>
        <v>0</v>
      </c>
      <c r="AE39" s="1">
        <f t="shared" si="0"/>
        <v>1</v>
      </c>
      <c r="AF39" s="1">
        <f t="shared" si="3"/>
        <v>1</v>
      </c>
      <c r="AG39" s="1">
        <f t="shared" si="3"/>
        <v>1</v>
      </c>
      <c r="AI39" t="s">
        <v>56</v>
      </c>
      <c r="AJ39"/>
    </row>
    <row r="40" spans="1:36" ht="15.75" thickBot="1">
      <c r="A40" s="9">
        <v>13</v>
      </c>
      <c r="B40" s="71"/>
      <c r="C40" s="72"/>
      <c r="D40" s="67"/>
      <c r="E40" s="67"/>
      <c r="F40" s="67"/>
      <c r="G40" s="67"/>
      <c r="H40" s="67"/>
      <c r="I40" s="67"/>
      <c r="J40" s="67"/>
      <c r="K40" s="67"/>
      <c r="L40" s="67"/>
      <c r="M40" s="67"/>
      <c r="N40" s="83"/>
      <c r="O40" s="83"/>
      <c r="P40" s="83"/>
      <c r="Q40" s="83"/>
      <c r="R40" s="73"/>
      <c r="S40" s="73"/>
      <c r="T40" s="73"/>
      <c r="U40" s="67"/>
      <c r="V40" s="13">
        <f t="shared" si="4"/>
        <v>0</v>
      </c>
      <c r="W40" s="10">
        <f t="shared" si="1"/>
        <v>0</v>
      </c>
      <c r="X40" s="13">
        <f t="shared" si="5"/>
        <v>0</v>
      </c>
      <c r="Y40" s="13">
        <f t="shared" si="6"/>
        <v>0</v>
      </c>
      <c r="Z40" s="16"/>
      <c r="AA40" s="16"/>
      <c r="AB40" s="14">
        <f t="shared" si="2"/>
        <v>0</v>
      </c>
      <c r="AE40" s="1">
        <f t="shared" si="0"/>
        <v>1</v>
      </c>
      <c r="AF40" s="1">
        <f t="shared" si="3"/>
        <v>1</v>
      </c>
      <c r="AG40" s="1">
        <f t="shared" si="3"/>
        <v>1</v>
      </c>
      <c r="AI40" t="s">
        <v>57</v>
      </c>
      <c r="AJ40"/>
    </row>
    <row r="41" spans="1:36" ht="15.75" thickBot="1">
      <c r="A41" s="12">
        <v>14</v>
      </c>
      <c r="B41" s="71"/>
      <c r="C41" s="72"/>
      <c r="D41" s="67"/>
      <c r="E41" s="67"/>
      <c r="F41" s="67"/>
      <c r="G41" s="67"/>
      <c r="H41" s="67"/>
      <c r="I41" s="67"/>
      <c r="J41" s="67"/>
      <c r="K41" s="67"/>
      <c r="L41" s="67"/>
      <c r="M41" s="67"/>
      <c r="N41" s="83"/>
      <c r="O41" s="83"/>
      <c r="P41" s="83"/>
      <c r="Q41" s="83"/>
      <c r="R41" s="73"/>
      <c r="S41" s="73"/>
      <c r="T41" s="73"/>
      <c r="U41" s="67"/>
      <c r="V41" s="13">
        <f t="shared" si="4"/>
        <v>0</v>
      </c>
      <c r="W41" s="10">
        <f t="shared" si="1"/>
        <v>0</v>
      </c>
      <c r="X41" s="13">
        <f t="shared" si="5"/>
        <v>0</v>
      </c>
      <c r="Y41" s="13">
        <f t="shared" si="6"/>
        <v>0</v>
      </c>
      <c r="Z41" s="16"/>
      <c r="AA41" s="16"/>
      <c r="AB41" s="14">
        <f t="shared" si="2"/>
        <v>0</v>
      </c>
      <c r="AE41" s="1">
        <f t="shared" si="0"/>
        <v>1</v>
      </c>
      <c r="AF41" s="1">
        <f t="shared" si="3"/>
        <v>1</v>
      </c>
      <c r="AG41" s="1">
        <f t="shared" si="3"/>
        <v>1</v>
      </c>
      <c r="AI41" t="s">
        <v>58</v>
      </c>
      <c r="AJ41"/>
    </row>
    <row r="42" spans="1:36" ht="15.75" thickBot="1">
      <c r="A42" s="9">
        <v>15</v>
      </c>
      <c r="B42" s="71"/>
      <c r="C42" s="72"/>
      <c r="D42" s="67"/>
      <c r="E42" s="67"/>
      <c r="F42" s="67"/>
      <c r="G42" s="67"/>
      <c r="H42" s="67"/>
      <c r="I42" s="67"/>
      <c r="J42" s="67"/>
      <c r="K42" s="67"/>
      <c r="L42" s="67"/>
      <c r="M42" s="67"/>
      <c r="N42" s="83"/>
      <c r="O42" s="83"/>
      <c r="P42" s="83"/>
      <c r="Q42" s="83"/>
      <c r="R42" s="73"/>
      <c r="S42" s="73"/>
      <c r="T42" s="73"/>
      <c r="U42" s="67"/>
      <c r="V42" s="13">
        <f t="shared" si="4"/>
        <v>0</v>
      </c>
      <c r="W42" s="10">
        <f t="shared" si="1"/>
        <v>0</v>
      </c>
      <c r="X42" s="13">
        <f t="shared" si="5"/>
        <v>0</v>
      </c>
      <c r="Y42" s="13">
        <f t="shared" si="6"/>
        <v>0</v>
      </c>
      <c r="Z42" s="16"/>
      <c r="AA42" s="16"/>
      <c r="AB42" s="14">
        <f t="shared" si="2"/>
        <v>0</v>
      </c>
      <c r="AE42" s="1">
        <f t="shared" si="0"/>
        <v>1</v>
      </c>
      <c r="AF42" s="1">
        <f t="shared" si="3"/>
        <v>1</v>
      </c>
      <c r="AG42" s="1">
        <f t="shared" si="3"/>
        <v>1</v>
      </c>
      <c r="AI42" t="s">
        <v>59</v>
      </c>
      <c r="AJ42"/>
    </row>
    <row r="43" spans="1:36" ht="15.75" thickBot="1">
      <c r="A43" s="12">
        <v>16</v>
      </c>
      <c r="B43" s="71"/>
      <c r="C43" s="72"/>
      <c r="D43" s="67"/>
      <c r="E43" s="67"/>
      <c r="F43" s="67"/>
      <c r="G43" s="67"/>
      <c r="H43" s="67"/>
      <c r="I43" s="67"/>
      <c r="J43" s="67"/>
      <c r="K43" s="67"/>
      <c r="L43" s="67"/>
      <c r="M43" s="67"/>
      <c r="N43" s="83"/>
      <c r="O43" s="83"/>
      <c r="P43" s="83"/>
      <c r="Q43" s="83"/>
      <c r="R43" s="73"/>
      <c r="S43" s="73"/>
      <c r="T43" s="73"/>
      <c r="U43" s="67"/>
      <c r="V43" s="13">
        <f t="shared" si="4"/>
        <v>0</v>
      </c>
      <c r="W43" s="10">
        <f t="shared" si="1"/>
        <v>0</v>
      </c>
      <c r="X43" s="13">
        <f t="shared" si="5"/>
        <v>0</v>
      </c>
      <c r="Y43" s="13">
        <f t="shared" si="6"/>
        <v>0</v>
      </c>
      <c r="Z43" s="16"/>
      <c r="AA43" s="16"/>
      <c r="AB43" s="14">
        <f t="shared" si="2"/>
        <v>0</v>
      </c>
      <c r="AE43" s="1">
        <f t="shared" si="0"/>
        <v>1</v>
      </c>
      <c r="AF43" s="1">
        <f t="shared" si="3"/>
        <v>1</v>
      </c>
      <c r="AG43" s="1">
        <f t="shared" si="3"/>
        <v>1</v>
      </c>
      <c r="AI43" t="s">
        <v>60</v>
      </c>
      <c r="AJ43"/>
    </row>
    <row r="44" spans="1:36" ht="15.75" thickBot="1">
      <c r="A44" s="9">
        <v>17</v>
      </c>
      <c r="B44" s="71"/>
      <c r="C44" s="72"/>
      <c r="D44" s="67"/>
      <c r="E44" s="67"/>
      <c r="F44" s="67"/>
      <c r="G44" s="67"/>
      <c r="H44" s="67"/>
      <c r="I44" s="67"/>
      <c r="J44" s="67"/>
      <c r="K44" s="67"/>
      <c r="L44" s="67"/>
      <c r="M44" s="67"/>
      <c r="N44" s="83"/>
      <c r="O44" s="83"/>
      <c r="P44" s="83"/>
      <c r="Q44" s="83"/>
      <c r="R44" s="73"/>
      <c r="S44" s="73"/>
      <c r="T44" s="73"/>
      <c r="U44" s="67"/>
      <c r="V44" s="13">
        <f t="shared" si="4"/>
        <v>0</v>
      </c>
      <c r="W44" s="10">
        <f t="shared" si="1"/>
        <v>0</v>
      </c>
      <c r="X44" s="13">
        <f t="shared" si="5"/>
        <v>0</v>
      </c>
      <c r="Y44" s="13">
        <f t="shared" si="6"/>
        <v>0</v>
      </c>
      <c r="Z44" s="16"/>
      <c r="AA44" s="16"/>
      <c r="AB44" s="14">
        <f t="shared" si="2"/>
        <v>0</v>
      </c>
      <c r="AE44" s="1">
        <f t="shared" si="0"/>
        <v>1</v>
      </c>
      <c r="AF44" s="1">
        <f t="shared" si="3"/>
        <v>1</v>
      </c>
      <c r="AG44" s="1">
        <f t="shared" si="3"/>
        <v>1</v>
      </c>
      <c r="AI44" t="s">
        <v>61</v>
      </c>
    </row>
    <row r="45" spans="1:36" ht="15.75" thickBot="1">
      <c r="A45" s="12">
        <v>18</v>
      </c>
      <c r="B45" s="71"/>
      <c r="C45" s="72"/>
      <c r="D45" s="67"/>
      <c r="E45" s="67"/>
      <c r="F45" s="67"/>
      <c r="G45" s="67"/>
      <c r="H45" s="67"/>
      <c r="I45" s="67"/>
      <c r="J45" s="67"/>
      <c r="K45" s="67"/>
      <c r="L45" s="67"/>
      <c r="M45" s="67"/>
      <c r="N45" s="83"/>
      <c r="O45" s="83"/>
      <c r="P45" s="83"/>
      <c r="Q45" s="83"/>
      <c r="R45" s="73"/>
      <c r="S45" s="73"/>
      <c r="T45" s="73"/>
      <c r="U45" s="67"/>
      <c r="V45" s="13">
        <f t="shared" si="4"/>
        <v>0</v>
      </c>
      <c r="W45" s="10">
        <f t="shared" si="1"/>
        <v>0</v>
      </c>
      <c r="X45" s="13">
        <f t="shared" si="5"/>
        <v>0</v>
      </c>
      <c r="Y45" s="13">
        <f t="shared" si="6"/>
        <v>0</v>
      </c>
      <c r="Z45" s="16"/>
      <c r="AA45" s="16"/>
      <c r="AB45" s="14">
        <f t="shared" si="2"/>
        <v>0</v>
      </c>
      <c r="AE45" s="1">
        <f t="shared" si="0"/>
        <v>1</v>
      </c>
      <c r="AF45" s="1">
        <f t="shared" si="3"/>
        <v>1</v>
      </c>
      <c r="AG45" s="1">
        <f t="shared" si="3"/>
        <v>1</v>
      </c>
      <c r="AI45" t="s">
        <v>62</v>
      </c>
    </row>
    <row r="46" spans="1:36" ht="15.75" thickBot="1">
      <c r="A46" s="9">
        <v>19</v>
      </c>
      <c r="B46" s="71"/>
      <c r="C46" s="72"/>
      <c r="D46" s="67"/>
      <c r="E46" s="67"/>
      <c r="F46" s="67"/>
      <c r="G46" s="67"/>
      <c r="H46" s="67"/>
      <c r="I46" s="67"/>
      <c r="J46" s="67"/>
      <c r="K46" s="67"/>
      <c r="L46" s="67"/>
      <c r="M46" s="67"/>
      <c r="N46" s="83"/>
      <c r="O46" s="83"/>
      <c r="P46" s="83"/>
      <c r="Q46" s="83"/>
      <c r="R46" s="73"/>
      <c r="S46" s="73"/>
      <c r="T46" s="73"/>
      <c r="U46" s="67"/>
      <c r="V46" s="13">
        <f t="shared" si="4"/>
        <v>0</v>
      </c>
      <c r="W46" s="10">
        <f t="shared" si="1"/>
        <v>0</v>
      </c>
      <c r="X46" s="13">
        <f t="shared" si="5"/>
        <v>0</v>
      </c>
      <c r="Y46" s="13">
        <f t="shared" si="6"/>
        <v>0</v>
      </c>
      <c r="Z46" s="16"/>
      <c r="AA46" s="16"/>
      <c r="AB46" s="14">
        <f t="shared" si="2"/>
        <v>0</v>
      </c>
      <c r="AE46" s="1">
        <f t="shared" si="0"/>
        <v>1</v>
      </c>
      <c r="AF46" s="1">
        <f t="shared" si="3"/>
        <v>1</v>
      </c>
      <c r="AG46" s="1">
        <f t="shared" si="3"/>
        <v>1</v>
      </c>
    </row>
    <row r="47" spans="1:36" ht="15.75" thickBot="1">
      <c r="A47" s="12">
        <v>20</v>
      </c>
      <c r="B47" s="71"/>
      <c r="C47" s="72"/>
      <c r="D47" s="67"/>
      <c r="E47" s="67"/>
      <c r="F47" s="67"/>
      <c r="G47" s="67"/>
      <c r="H47" s="67"/>
      <c r="I47" s="66"/>
      <c r="J47" s="67"/>
      <c r="K47" s="67"/>
      <c r="L47" s="67"/>
      <c r="M47" s="67"/>
      <c r="N47" s="83"/>
      <c r="O47" s="83"/>
      <c r="P47" s="83"/>
      <c r="Q47" s="83"/>
      <c r="R47" s="73"/>
      <c r="S47" s="73"/>
      <c r="T47" s="73"/>
      <c r="U47" s="67"/>
      <c r="V47" s="13">
        <f t="shared" si="4"/>
        <v>0</v>
      </c>
      <c r="W47" s="10">
        <f t="shared" si="1"/>
        <v>0</v>
      </c>
      <c r="X47" s="13">
        <f t="shared" si="5"/>
        <v>0</v>
      </c>
      <c r="Y47" s="13">
        <f t="shared" si="6"/>
        <v>0</v>
      </c>
      <c r="Z47" s="16"/>
      <c r="AA47" s="16"/>
      <c r="AB47" s="14">
        <f t="shared" si="2"/>
        <v>0</v>
      </c>
      <c r="AE47" s="1">
        <f t="shared" si="0"/>
        <v>1</v>
      </c>
      <c r="AF47" s="1">
        <f t="shared" si="3"/>
        <v>1</v>
      </c>
      <c r="AG47" s="1">
        <f t="shared" si="3"/>
        <v>1</v>
      </c>
    </row>
    <row r="48" spans="1:36" ht="15.75" thickBot="1">
      <c r="A48" s="9">
        <v>21</v>
      </c>
      <c r="B48" s="71"/>
      <c r="C48" s="72"/>
      <c r="D48" s="67"/>
      <c r="E48" s="67"/>
      <c r="F48" s="67"/>
      <c r="G48" s="67"/>
      <c r="H48" s="67"/>
      <c r="I48" s="67"/>
      <c r="J48" s="67"/>
      <c r="K48" s="67"/>
      <c r="L48" s="67"/>
      <c r="M48" s="67"/>
      <c r="N48" s="83"/>
      <c r="O48" s="83"/>
      <c r="P48" s="83"/>
      <c r="Q48" s="83"/>
      <c r="R48" s="73"/>
      <c r="S48" s="73"/>
      <c r="T48" s="73"/>
      <c r="U48" s="67"/>
      <c r="V48" s="13">
        <f t="shared" si="4"/>
        <v>0</v>
      </c>
      <c r="W48" s="10">
        <f t="shared" si="1"/>
        <v>0</v>
      </c>
      <c r="X48" s="13">
        <f t="shared" si="5"/>
        <v>0</v>
      </c>
      <c r="Y48" s="13">
        <f t="shared" si="6"/>
        <v>0</v>
      </c>
      <c r="Z48" s="16"/>
      <c r="AA48" s="16"/>
      <c r="AB48" s="14">
        <f t="shared" si="2"/>
        <v>0</v>
      </c>
      <c r="AE48" s="1">
        <f t="shared" si="0"/>
        <v>1</v>
      </c>
      <c r="AF48" s="1">
        <f t="shared" si="3"/>
        <v>1</v>
      </c>
      <c r="AG48" s="1">
        <f t="shared" si="3"/>
        <v>1</v>
      </c>
    </row>
    <row r="49" spans="1:33" ht="15.75" thickBot="1">
      <c r="A49" s="12">
        <v>22</v>
      </c>
      <c r="B49" s="71"/>
      <c r="C49" s="72"/>
      <c r="D49" s="67"/>
      <c r="E49" s="67"/>
      <c r="F49" s="67"/>
      <c r="G49" s="67"/>
      <c r="H49" s="67"/>
      <c r="I49" s="66"/>
      <c r="J49" s="67"/>
      <c r="K49" s="67"/>
      <c r="L49" s="67"/>
      <c r="M49" s="67"/>
      <c r="N49" s="83"/>
      <c r="O49" s="83"/>
      <c r="P49" s="83"/>
      <c r="Q49" s="83"/>
      <c r="R49" s="73"/>
      <c r="S49" s="73"/>
      <c r="T49" s="73"/>
      <c r="U49" s="67"/>
      <c r="V49" s="13">
        <f t="shared" si="4"/>
        <v>0</v>
      </c>
      <c r="W49" s="10">
        <f t="shared" si="1"/>
        <v>0</v>
      </c>
      <c r="X49" s="13">
        <f t="shared" si="5"/>
        <v>0</v>
      </c>
      <c r="Y49" s="13">
        <f t="shared" si="6"/>
        <v>0</v>
      </c>
      <c r="Z49" s="16"/>
      <c r="AA49" s="16"/>
      <c r="AB49" s="14">
        <f t="shared" si="2"/>
        <v>0</v>
      </c>
      <c r="AE49" s="1">
        <f t="shared" si="0"/>
        <v>1</v>
      </c>
      <c r="AF49" s="1">
        <f t="shared" si="3"/>
        <v>1</v>
      </c>
      <c r="AG49" s="1">
        <f t="shared" si="3"/>
        <v>1</v>
      </c>
    </row>
    <row r="50" spans="1:33" ht="15.75" thickBot="1">
      <c r="A50" s="9">
        <v>23</v>
      </c>
      <c r="B50" s="71"/>
      <c r="C50" s="72"/>
      <c r="D50" s="67"/>
      <c r="E50" s="67"/>
      <c r="F50" s="67"/>
      <c r="G50" s="67"/>
      <c r="H50" s="67"/>
      <c r="I50" s="67"/>
      <c r="J50" s="67"/>
      <c r="K50" s="67"/>
      <c r="L50" s="67"/>
      <c r="M50" s="67"/>
      <c r="N50" s="83"/>
      <c r="O50" s="83"/>
      <c r="P50" s="83"/>
      <c r="Q50" s="83"/>
      <c r="R50" s="73"/>
      <c r="S50" s="73"/>
      <c r="T50" s="73"/>
      <c r="U50" s="67"/>
      <c r="V50" s="13">
        <f t="shared" si="4"/>
        <v>0</v>
      </c>
      <c r="W50" s="10">
        <f t="shared" si="1"/>
        <v>0</v>
      </c>
      <c r="X50" s="13">
        <f t="shared" si="5"/>
        <v>0</v>
      </c>
      <c r="Y50" s="13">
        <f t="shared" si="6"/>
        <v>0</v>
      </c>
      <c r="Z50" s="16"/>
      <c r="AA50" s="16"/>
      <c r="AB50" s="14">
        <f t="shared" si="2"/>
        <v>0</v>
      </c>
      <c r="AE50" s="1">
        <f t="shared" si="0"/>
        <v>1</v>
      </c>
      <c r="AF50" s="1">
        <f t="shared" si="3"/>
        <v>1</v>
      </c>
      <c r="AG50" s="1">
        <f t="shared" si="3"/>
        <v>1</v>
      </c>
    </row>
    <row r="51" spans="1:33" ht="15.75" thickBot="1">
      <c r="A51" s="12">
        <v>24</v>
      </c>
      <c r="B51" s="71"/>
      <c r="C51" s="72"/>
      <c r="D51" s="67"/>
      <c r="E51" s="67"/>
      <c r="F51" s="67"/>
      <c r="G51" s="67"/>
      <c r="H51" s="67"/>
      <c r="I51" s="67"/>
      <c r="J51" s="67"/>
      <c r="K51" s="67"/>
      <c r="L51" s="67"/>
      <c r="M51" s="67"/>
      <c r="N51" s="83"/>
      <c r="O51" s="83"/>
      <c r="P51" s="83"/>
      <c r="Q51" s="83"/>
      <c r="R51" s="73"/>
      <c r="S51" s="73"/>
      <c r="T51" s="73"/>
      <c r="U51" s="67"/>
      <c r="V51" s="13">
        <f t="shared" si="4"/>
        <v>0</v>
      </c>
      <c r="W51" s="10">
        <f t="shared" si="1"/>
        <v>0</v>
      </c>
      <c r="X51" s="13">
        <f t="shared" si="5"/>
        <v>0</v>
      </c>
      <c r="Y51" s="13">
        <f t="shared" si="6"/>
        <v>0</v>
      </c>
      <c r="Z51" s="16"/>
      <c r="AA51" s="16"/>
      <c r="AB51" s="14">
        <f t="shared" si="2"/>
        <v>0</v>
      </c>
      <c r="AE51" s="1">
        <f t="shared" si="0"/>
        <v>1</v>
      </c>
      <c r="AF51" s="1">
        <f t="shared" si="3"/>
        <v>1</v>
      </c>
      <c r="AG51" s="1">
        <f t="shared" si="3"/>
        <v>1</v>
      </c>
    </row>
    <row r="52" spans="1:33" ht="15.75" thickBot="1">
      <c r="A52" s="9">
        <v>25</v>
      </c>
      <c r="B52" s="71"/>
      <c r="C52" s="72"/>
      <c r="D52" s="67"/>
      <c r="E52" s="67"/>
      <c r="F52" s="67"/>
      <c r="G52" s="67"/>
      <c r="H52" s="67"/>
      <c r="I52" s="67"/>
      <c r="J52" s="67"/>
      <c r="K52" s="67"/>
      <c r="L52" s="67"/>
      <c r="M52" s="67"/>
      <c r="N52" s="83"/>
      <c r="O52" s="83"/>
      <c r="P52" s="83"/>
      <c r="Q52" s="83"/>
      <c r="R52" s="73"/>
      <c r="S52" s="73"/>
      <c r="T52" s="73"/>
      <c r="U52" s="67"/>
      <c r="V52" s="13">
        <f t="shared" si="4"/>
        <v>0</v>
      </c>
      <c r="W52" s="10">
        <f t="shared" si="1"/>
        <v>0</v>
      </c>
      <c r="X52" s="13">
        <f t="shared" si="5"/>
        <v>0</v>
      </c>
      <c r="Y52" s="13">
        <f t="shared" si="6"/>
        <v>0</v>
      </c>
      <c r="Z52" s="16"/>
      <c r="AA52" s="16"/>
      <c r="AB52" s="14">
        <f t="shared" si="2"/>
        <v>0</v>
      </c>
      <c r="AE52" s="1">
        <f t="shared" si="0"/>
        <v>1</v>
      </c>
      <c r="AF52" s="1">
        <f t="shared" si="3"/>
        <v>1</v>
      </c>
      <c r="AG52" s="1">
        <f t="shared" si="3"/>
        <v>1</v>
      </c>
    </row>
    <row r="53" spans="1:33" ht="15.75" thickBot="1">
      <c r="A53" s="12">
        <v>26</v>
      </c>
      <c r="B53" s="71"/>
      <c r="C53" s="72"/>
      <c r="D53" s="67"/>
      <c r="E53" s="67"/>
      <c r="F53" s="67"/>
      <c r="G53" s="67"/>
      <c r="H53" s="67"/>
      <c r="I53" s="67"/>
      <c r="J53" s="67"/>
      <c r="K53" s="67"/>
      <c r="L53" s="67"/>
      <c r="M53" s="67"/>
      <c r="N53" s="83"/>
      <c r="O53" s="83"/>
      <c r="P53" s="83"/>
      <c r="Q53" s="83"/>
      <c r="R53" s="73"/>
      <c r="S53" s="73"/>
      <c r="T53" s="73"/>
      <c r="U53" s="67"/>
      <c r="V53" s="13">
        <f t="shared" si="4"/>
        <v>0</v>
      </c>
      <c r="W53" s="10">
        <f t="shared" si="1"/>
        <v>0</v>
      </c>
      <c r="X53" s="13">
        <f t="shared" si="5"/>
        <v>0</v>
      </c>
      <c r="Y53" s="13">
        <f t="shared" si="6"/>
        <v>0</v>
      </c>
      <c r="Z53" s="16"/>
      <c r="AA53" s="16"/>
      <c r="AB53" s="14">
        <f t="shared" si="2"/>
        <v>0</v>
      </c>
      <c r="AE53" s="1">
        <f t="shared" si="0"/>
        <v>1</v>
      </c>
      <c r="AF53" s="1">
        <f t="shared" si="3"/>
        <v>1</v>
      </c>
      <c r="AG53" s="1">
        <f t="shared" si="3"/>
        <v>1</v>
      </c>
    </row>
    <row r="54" spans="1:33" ht="15.75" thickBot="1">
      <c r="A54" s="9">
        <v>27</v>
      </c>
      <c r="B54" s="71"/>
      <c r="C54" s="72"/>
      <c r="D54" s="67"/>
      <c r="E54" s="67"/>
      <c r="F54" s="67"/>
      <c r="G54" s="67"/>
      <c r="H54" s="67"/>
      <c r="I54" s="67"/>
      <c r="J54" s="67"/>
      <c r="K54" s="67"/>
      <c r="L54" s="67"/>
      <c r="M54" s="67"/>
      <c r="N54" s="83"/>
      <c r="O54" s="83"/>
      <c r="P54" s="83"/>
      <c r="Q54" s="83"/>
      <c r="R54" s="73"/>
      <c r="S54" s="73"/>
      <c r="T54" s="73"/>
      <c r="U54" s="67"/>
      <c r="V54" s="13">
        <f t="shared" si="4"/>
        <v>0</v>
      </c>
      <c r="W54" s="10">
        <f t="shared" si="1"/>
        <v>0</v>
      </c>
      <c r="X54" s="13">
        <f t="shared" si="5"/>
        <v>0</v>
      </c>
      <c r="Y54" s="13">
        <f t="shared" si="6"/>
        <v>0</v>
      </c>
      <c r="Z54" s="16"/>
      <c r="AA54" s="16"/>
      <c r="AB54" s="14">
        <f t="shared" si="2"/>
        <v>0</v>
      </c>
      <c r="AE54" s="1">
        <f t="shared" si="0"/>
        <v>1</v>
      </c>
      <c r="AF54" s="1">
        <f t="shared" si="3"/>
        <v>1</v>
      </c>
      <c r="AG54" s="1">
        <f t="shared" si="3"/>
        <v>1</v>
      </c>
    </row>
    <row r="55" spans="1:33" ht="15.75" thickBot="1">
      <c r="A55" s="12">
        <v>28</v>
      </c>
      <c r="B55" s="71"/>
      <c r="C55" s="72"/>
      <c r="D55" s="67"/>
      <c r="E55" s="67"/>
      <c r="F55" s="67"/>
      <c r="G55" s="67"/>
      <c r="H55" s="67"/>
      <c r="I55" s="67"/>
      <c r="J55" s="67"/>
      <c r="K55" s="67"/>
      <c r="L55" s="67"/>
      <c r="M55" s="67"/>
      <c r="N55" s="83"/>
      <c r="O55" s="83"/>
      <c r="P55" s="83"/>
      <c r="Q55" s="83"/>
      <c r="R55" s="73"/>
      <c r="S55" s="73"/>
      <c r="T55" s="73"/>
      <c r="U55" s="67"/>
      <c r="V55" s="13">
        <f t="shared" si="4"/>
        <v>0</v>
      </c>
      <c r="W55" s="10">
        <f t="shared" si="1"/>
        <v>0</v>
      </c>
      <c r="X55" s="13">
        <f t="shared" si="5"/>
        <v>0</v>
      </c>
      <c r="Y55" s="13">
        <f t="shared" si="6"/>
        <v>0</v>
      </c>
      <c r="Z55" s="16"/>
      <c r="AA55" s="16"/>
      <c r="AB55" s="14">
        <f t="shared" si="2"/>
        <v>0</v>
      </c>
      <c r="AE55" s="1">
        <f t="shared" si="0"/>
        <v>1</v>
      </c>
      <c r="AF55" s="1">
        <f t="shared" si="3"/>
        <v>1</v>
      </c>
      <c r="AG55" s="1">
        <f t="shared" si="3"/>
        <v>1</v>
      </c>
    </row>
    <row r="56" spans="1:33" ht="15.75" thickBot="1">
      <c r="A56" s="9">
        <v>29</v>
      </c>
      <c r="B56" s="71"/>
      <c r="C56" s="72"/>
      <c r="D56" s="67"/>
      <c r="E56" s="67"/>
      <c r="F56" s="67"/>
      <c r="G56" s="67"/>
      <c r="H56" s="67"/>
      <c r="I56" s="67"/>
      <c r="J56" s="67"/>
      <c r="K56" s="67"/>
      <c r="L56" s="67"/>
      <c r="M56" s="67"/>
      <c r="N56" s="83"/>
      <c r="O56" s="83"/>
      <c r="P56" s="83"/>
      <c r="Q56" s="83"/>
      <c r="R56" s="73"/>
      <c r="S56" s="73"/>
      <c r="T56" s="73"/>
      <c r="U56" s="67"/>
      <c r="V56" s="13">
        <f t="shared" si="4"/>
        <v>0</v>
      </c>
      <c r="W56" s="10">
        <f t="shared" si="1"/>
        <v>0</v>
      </c>
      <c r="X56" s="13">
        <f t="shared" si="5"/>
        <v>0</v>
      </c>
      <c r="Y56" s="13">
        <f t="shared" si="6"/>
        <v>0</v>
      </c>
      <c r="Z56" s="16"/>
      <c r="AA56" s="16"/>
      <c r="AB56" s="14">
        <f t="shared" si="2"/>
        <v>0</v>
      </c>
      <c r="AE56" s="1">
        <f t="shared" si="0"/>
        <v>1</v>
      </c>
      <c r="AF56" s="1">
        <f t="shared" si="3"/>
        <v>1</v>
      </c>
      <c r="AG56" s="1">
        <f t="shared" si="3"/>
        <v>1</v>
      </c>
    </row>
    <row r="57" spans="1:33" ht="15.75" thickBot="1">
      <c r="A57" s="12">
        <v>30</v>
      </c>
      <c r="B57" s="71"/>
      <c r="C57" s="72"/>
      <c r="D57" s="67"/>
      <c r="E57" s="67"/>
      <c r="F57" s="67"/>
      <c r="G57" s="67"/>
      <c r="H57" s="67"/>
      <c r="I57" s="67"/>
      <c r="J57" s="67"/>
      <c r="K57" s="67"/>
      <c r="L57" s="67"/>
      <c r="M57" s="67"/>
      <c r="N57" s="83"/>
      <c r="O57" s="83"/>
      <c r="P57" s="83"/>
      <c r="Q57" s="83"/>
      <c r="R57" s="73"/>
      <c r="S57" s="73"/>
      <c r="T57" s="73"/>
      <c r="U57" s="67"/>
      <c r="V57" s="13">
        <f t="shared" si="4"/>
        <v>0</v>
      </c>
      <c r="W57" s="10">
        <f t="shared" si="1"/>
        <v>0</v>
      </c>
      <c r="X57" s="13">
        <f t="shared" si="5"/>
        <v>0</v>
      </c>
      <c r="Y57" s="13">
        <f t="shared" si="6"/>
        <v>0</v>
      </c>
      <c r="Z57" s="16"/>
      <c r="AA57" s="16"/>
      <c r="AB57" s="14">
        <f t="shared" si="2"/>
        <v>0</v>
      </c>
      <c r="AE57" s="1">
        <f t="shared" si="0"/>
        <v>1</v>
      </c>
      <c r="AF57" s="1">
        <f t="shared" si="3"/>
        <v>1</v>
      </c>
      <c r="AG57" s="1">
        <f t="shared" si="3"/>
        <v>1</v>
      </c>
    </row>
    <row r="58" spans="1:33" ht="15.75" thickBot="1">
      <c r="A58" s="9">
        <v>31</v>
      </c>
      <c r="B58" s="71"/>
      <c r="C58" s="72"/>
      <c r="D58" s="67"/>
      <c r="E58" s="67"/>
      <c r="F58" s="67"/>
      <c r="G58" s="67"/>
      <c r="H58" s="67"/>
      <c r="I58" s="67"/>
      <c r="J58" s="67"/>
      <c r="K58" s="67"/>
      <c r="L58" s="67"/>
      <c r="M58" s="67"/>
      <c r="N58" s="83"/>
      <c r="O58" s="83"/>
      <c r="P58" s="83"/>
      <c r="Q58" s="83"/>
      <c r="R58" s="73"/>
      <c r="S58" s="73"/>
      <c r="T58" s="73"/>
      <c r="U58" s="67"/>
      <c r="V58" s="13">
        <f t="shared" si="4"/>
        <v>0</v>
      </c>
      <c r="W58" s="10">
        <f t="shared" si="1"/>
        <v>0</v>
      </c>
      <c r="X58" s="13">
        <f t="shared" si="5"/>
        <v>0</v>
      </c>
      <c r="Y58" s="13">
        <f t="shared" si="6"/>
        <v>0</v>
      </c>
      <c r="Z58" s="16"/>
      <c r="AA58" s="16"/>
      <c r="AB58" s="14">
        <f t="shared" si="2"/>
        <v>0</v>
      </c>
      <c r="AE58" s="1">
        <f t="shared" si="0"/>
        <v>1</v>
      </c>
      <c r="AF58" s="1">
        <f t="shared" si="3"/>
        <v>1</v>
      </c>
      <c r="AG58" s="1">
        <f t="shared" si="3"/>
        <v>1</v>
      </c>
    </row>
    <row r="59" spans="1:33" ht="15.75" thickBot="1">
      <c r="A59" s="12">
        <v>32</v>
      </c>
      <c r="B59" s="71"/>
      <c r="C59" s="72"/>
      <c r="D59" s="67"/>
      <c r="E59" s="67"/>
      <c r="F59" s="67"/>
      <c r="G59" s="67"/>
      <c r="H59" s="67"/>
      <c r="I59" s="67"/>
      <c r="J59" s="67"/>
      <c r="K59" s="67"/>
      <c r="L59" s="67"/>
      <c r="M59" s="67"/>
      <c r="N59" s="83"/>
      <c r="O59" s="83"/>
      <c r="P59" s="83"/>
      <c r="Q59" s="83"/>
      <c r="R59" s="73"/>
      <c r="S59" s="73"/>
      <c r="T59" s="73"/>
      <c r="U59" s="67"/>
      <c r="V59" s="13">
        <f t="shared" si="4"/>
        <v>0</v>
      </c>
      <c r="W59" s="10">
        <f t="shared" si="1"/>
        <v>0</v>
      </c>
      <c r="X59" s="13">
        <f t="shared" si="5"/>
        <v>0</v>
      </c>
      <c r="Y59" s="13">
        <f t="shared" si="6"/>
        <v>0</v>
      </c>
      <c r="Z59" s="16"/>
      <c r="AA59" s="16"/>
      <c r="AB59" s="14">
        <f t="shared" si="2"/>
        <v>0</v>
      </c>
      <c r="AE59" s="1">
        <f t="shared" si="0"/>
        <v>1</v>
      </c>
      <c r="AF59" s="1">
        <f t="shared" si="3"/>
        <v>1</v>
      </c>
      <c r="AG59" s="1">
        <f t="shared" si="3"/>
        <v>1</v>
      </c>
    </row>
    <row r="60" spans="1:33" ht="15.75" thickBot="1">
      <c r="A60" s="9">
        <v>33</v>
      </c>
      <c r="B60" s="71"/>
      <c r="C60" s="72"/>
      <c r="D60" s="67"/>
      <c r="E60" s="67"/>
      <c r="F60" s="67"/>
      <c r="G60" s="67"/>
      <c r="H60" s="67"/>
      <c r="I60" s="66"/>
      <c r="J60" s="67"/>
      <c r="K60" s="67"/>
      <c r="L60" s="67"/>
      <c r="M60" s="67"/>
      <c r="N60" s="83"/>
      <c r="O60" s="83"/>
      <c r="P60" s="83"/>
      <c r="Q60" s="83"/>
      <c r="R60" s="73"/>
      <c r="S60" s="73"/>
      <c r="T60" s="73"/>
      <c r="U60" s="67"/>
      <c r="V60" s="13">
        <f t="shared" si="4"/>
        <v>0</v>
      </c>
      <c r="W60" s="10">
        <f t="shared" si="1"/>
        <v>0</v>
      </c>
      <c r="X60" s="13">
        <f t="shared" si="5"/>
        <v>0</v>
      </c>
      <c r="Y60" s="13">
        <f t="shared" si="6"/>
        <v>0</v>
      </c>
      <c r="Z60" s="16"/>
      <c r="AA60" s="16"/>
      <c r="AB60" s="14">
        <f t="shared" si="2"/>
        <v>0</v>
      </c>
      <c r="AE60" s="1">
        <f t="shared" si="0"/>
        <v>1</v>
      </c>
      <c r="AF60" s="1">
        <f t="shared" si="3"/>
        <v>1</v>
      </c>
      <c r="AG60" s="1">
        <f t="shared" si="3"/>
        <v>1</v>
      </c>
    </row>
    <row r="61" spans="1:33" ht="15.75" thickBot="1">
      <c r="A61" s="12">
        <v>34</v>
      </c>
      <c r="B61" s="71"/>
      <c r="C61" s="72"/>
      <c r="D61" s="67"/>
      <c r="E61" s="67"/>
      <c r="F61" s="67"/>
      <c r="G61" s="67"/>
      <c r="H61" s="67"/>
      <c r="I61" s="67"/>
      <c r="J61" s="67"/>
      <c r="K61" s="67"/>
      <c r="L61" s="67"/>
      <c r="M61" s="67"/>
      <c r="N61" s="83"/>
      <c r="O61" s="83"/>
      <c r="P61" s="83"/>
      <c r="Q61" s="83"/>
      <c r="R61" s="73"/>
      <c r="S61" s="73"/>
      <c r="T61" s="73"/>
      <c r="U61" s="67"/>
      <c r="V61" s="13">
        <f t="shared" si="4"/>
        <v>0</v>
      </c>
      <c r="W61" s="10">
        <f t="shared" si="1"/>
        <v>0</v>
      </c>
      <c r="X61" s="13">
        <f t="shared" si="5"/>
        <v>0</v>
      </c>
      <c r="Y61" s="13">
        <f t="shared" si="6"/>
        <v>0</v>
      </c>
      <c r="Z61" s="16"/>
      <c r="AA61" s="16"/>
      <c r="AB61" s="14">
        <f t="shared" si="2"/>
        <v>0</v>
      </c>
      <c r="AE61" s="1">
        <f t="shared" si="0"/>
        <v>1</v>
      </c>
      <c r="AF61" s="1">
        <f t="shared" si="3"/>
        <v>1</v>
      </c>
      <c r="AG61" s="1">
        <f t="shared" si="3"/>
        <v>1</v>
      </c>
    </row>
    <row r="62" spans="1:33" ht="15.75" thickBot="1">
      <c r="A62" s="9">
        <v>35</v>
      </c>
      <c r="B62" s="71"/>
      <c r="C62" s="72"/>
      <c r="D62" s="67"/>
      <c r="E62" s="67"/>
      <c r="F62" s="67"/>
      <c r="G62" s="67"/>
      <c r="H62" s="67"/>
      <c r="I62" s="66"/>
      <c r="J62" s="67"/>
      <c r="K62" s="67"/>
      <c r="L62" s="67"/>
      <c r="M62" s="67"/>
      <c r="N62" s="83"/>
      <c r="O62" s="83"/>
      <c r="P62" s="83"/>
      <c r="Q62" s="83"/>
      <c r="R62" s="73"/>
      <c r="S62" s="73"/>
      <c r="T62" s="73"/>
      <c r="U62" s="67"/>
      <c r="V62" s="13">
        <f t="shared" si="4"/>
        <v>0</v>
      </c>
      <c r="W62" s="10">
        <f t="shared" si="1"/>
        <v>0</v>
      </c>
      <c r="X62" s="13">
        <f t="shared" si="5"/>
        <v>0</v>
      </c>
      <c r="Y62" s="13">
        <f t="shared" si="6"/>
        <v>0</v>
      </c>
      <c r="Z62" s="16"/>
      <c r="AA62" s="16"/>
      <c r="AB62" s="14">
        <f t="shared" si="2"/>
        <v>0</v>
      </c>
      <c r="AE62" s="1">
        <f t="shared" si="0"/>
        <v>1</v>
      </c>
      <c r="AF62" s="1">
        <f t="shared" si="3"/>
        <v>1</v>
      </c>
      <c r="AG62" s="1">
        <f t="shared" si="3"/>
        <v>1</v>
      </c>
    </row>
    <row r="63" spans="1:33" ht="15.75" thickBot="1">
      <c r="A63" s="12">
        <v>36</v>
      </c>
      <c r="B63" s="71"/>
      <c r="C63" s="72"/>
      <c r="D63" s="67"/>
      <c r="E63" s="67"/>
      <c r="F63" s="67"/>
      <c r="G63" s="67"/>
      <c r="H63" s="67"/>
      <c r="I63" s="66"/>
      <c r="J63" s="67"/>
      <c r="K63" s="67"/>
      <c r="L63" s="67"/>
      <c r="M63" s="67"/>
      <c r="N63" s="83"/>
      <c r="O63" s="83"/>
      <c r="P63" s="83"/>
      <c r="Q63" s="83"/>
      <c r="R63" s="73"/>
      <c r="S63" s="73"/>
      <c r="T63" s="73"/>
      <c r="U63" s="67"/>
      <c r="V63" s="13">
        <f t="shared" si="4"/>
        <v>0</v>
      </c>
      <c r="W63" s="10">
        <f t="shared" si="1"/>
        <v>0</v>
      </c>
      <c r="X63" s="13">
        <f t="shared" si="5"/>
        <v>0</v>
      </c>
      <c r="Y63" s="13">
        <f t="shared" si="6"/>
        <v>0</v>
      </c>
      <c r="Z63" s="16"/>
      <c r="AA63" s="16"/>
      <c r="AB63" s="14">
        <f t="shared" si="2"/>
        <v>0</v>
      </c>
      <c r="AE63" s="1">
        <f t="shared" si="0"/>
        <v>1</v>
      </c>
      <c r="AF63" s="1">
        <f t="shared" si="3"/>
        <v>1</v>
      </c>
      <c r="AG63" s="1">
        <f t="shared" si="3"/>
        <v>1</v>
      </c>
    </row>
    <row r="64" spans="1:33" ht="15.75" thickBot="1">
      <c r="A64" s="9">
        <v>37</v>
      </c>
      <c r="B64" s="71"/>
      <c r="C64" s="72"/>
      <c r="D64" s="67"/>
      <c r="E64" s="67"/>
      <c r="F64" s="67"/>
      <c r="G64" s="67"/>
      <c r="H64" s="67"/>
      <c r="I64" s="66"/>
      <c r="J64" s="67"/>
      <c r="K64" s="67"/>
      <c r="L64" s="67"/>
      <c r="M64" s="67"/>
      <c r="N64" s="83"/>
      <c r="O64" s="83"/>
      <c r="P64" s="83"/>
      <c r="Q64" s="83"/>
      <c r="R64" s="73"/>
      <c r="S64" s="73"/>
      <c r="T64" s="73"/>
      <c r="U64" s="67"/>
      <c r="V64" s="13">
        <f t="shared" si="4"/>
        <v>0</v>
      </c>
      <c r="W64" s="10">
        <f t="shared" si="1"/>
        <v>0</v>
      </c>
      <c r="X64" s="13">
        <f t="shared" si="5"/>
        <v>0</v>
      </c>
      <c r="Y64" s="13">
        <f t="shared" si="6"/>
        <v>0</v>
      </c>
      <c r="Z64" s="16"/>
      <c r="AA64" s="16"/>
      <c r="AB64" s="14">
        <f t="shared" si="2"/>
        <v>0</v>
      </c>
      <c r="AE64" s="1">
        <f t="shared" si="0"/>
        <v>1</v>
      </c>
      <c r="AF64" s="1">
        <f t="shared" si="3"/>
        <v>1</v>
      </c>
      <c r="AG64" s="1">
        <f t="shared" si="3"/>
        <v>1</v>
      </c>
    </row>
    <row r="65" spans="1:33" ht="15.75" thickBot="1">
      <c r="A65" s="12">
        <v>38</v>
      </c>
      <c r="B65" s="71"/>
      <c r="C65" s="72"/>
      <c r="D65" s="67"/>
      <c r="E65" s="67"/>
      <c r="F65" s="67"/>
      <c r="G65" s="67"/>
      <c r="H65" s="67"/>
      <c r="I65" s="67"/>
      <c r="J65" s="67"/>
      <c r="K65" s="67"/>
      <c r="L65" s="67"/>
      <c r="M65" s="67"/>
      <c r="N65" s="83"/>
      <c r="O65" s="83"/>
      <c r="P65" s="83"/>
      <c r="Q65" s="83"/>
      <c r="R65" s="73"/>
      <c r="S65" s="73"/>
      <c r="T65" s="73"/>
      <c r="U65" s="67"/>
      <c r="V65" s="13">
        <f t="shared" si="4"/>
        <v>0</v>
      </c>
      <c r="W65" s="10">
        <f t="shared" si="1"/>
        <v>0</v>
      </c>
      <c r="X65" s="13">
        <f t="shared" si="5"/>
        <v>0</v>
      </c>
      <c r="Y65" s="13">
        <f t="shared" si="6"/>
        <v>0</v>
      </c>
      <c r="Z65" s="16"/>
      <c r="AA65" s="16"/>
      <c r="AB65" s="14">
        <f t="shared" si="2"/>
        <v>0</v>
      </c>
      <c r="AE65" s="1">
        <f t="shared" si="0"/>
        <v>1</v>
      </c>
      <c r="AF65" s="1">
        <f t="shared" si="3"/>
        <v>1</v>
      </c>
      <c r="AG65" s="1">
        <f t="shared" si="3"/>
        <v>1</v>
      </c>
    </row>
    <row r="66" spans="1:33" ht="15.75" thickBot="1">
      <c r="A66" s="9">
        <v>39</v>
      </c>
      <c r="B66" s="71"/>
      <c r="C66" s="72"/>
      <c r="D66" s="67"/>
      <c r="E66" s="67"/>
      <c r="F66" s="67"/>
      <c r="G66" s="67"/>
      <c r="H66" s="67"/>
      <c r="I66" s="67"/>
      <c r="J66" s="67"/>
      <c r="K66" s="67"/>
      <c r="L66" s="67"/>
      <c r="M66" s="67"/>
      <c r="N66" s="83"/>
      <c r="O66" s="83"/>
      <c r="P66" s="83"/>
      <c r="Q66" s="83"/>
      <c r="R66" s="73"/>
      <c r="S66" s="73"/>
      <c r="T66" s="73"/>
      <c r="U66" s="67"/>
      <c r="V66" s="13">
        <f t="shared" si="4"/>
        <v>0</v>
      </c>
      <c r="W66" s="10">
        <f t="shared" si="1"/>
        <v>0</v>
      </c>
      <c r="X66" s="13">
        <f t="shared" si="5"/>
        <v>0</v>
      </c>
      <c r="Y66" s="13">
        <f t="shared" si="6"/>
        <v>0</v>
      </c>
      <c r="Z66" s="16"/>
      <c r="AA66" s="16"/>
      <c r="AB66" s="14">
        <f t="shared" si="2"/>
        <v>0</v>
      </c>
      <c r="AE66" s="1">
        <f t="shared" si="0"/>
        <v>1</v>
      </c>
      <c r="AF66" s="1">
        <f t="shared" si="3"/>
        <v>1</v>
      </c>
      <c r="AG66" s="1">
        <f t="shared" si="3"/>
        <v>1</v>
      </c>
    </row>
    <row r="67" spans="1:33" ht="15.75" thickBot="1">
      <c r="A67" s="12">
        <v>40</v>
      </c>
      <c r="B67" s="71"/>
      <c r="C67" s="72"/>
      <c r="D67" s="67"/>
      <c r="E67" s="67"/>
      <c r="F67" s="67"/>
      <c r="G67" s="67"/>
      <c r="H67" s="67"/>
      <c r="I67" s="67"/>
      <c r="J67" s="67"/>
      <c r="K67" s="67"/>
      <c r="L67" s="67"/>
      <c r="M67" s="67"/>
      <c r="N67" s="83"/>
      <c r="O67" s="83"/>
      <c r="P67" s="83"/>
      <c r="Q67" s="83"/>
      <c r="R67" s="73"/>
      <c r="S67" s="73"/>
      <c r="T67" s="73"/>
      <c r="U67" s="67"/>
      <c r="V67" s="15">
        <f t="shared" si="4"/>
        <v>0</v>
      </c>
      <c r="W67" s="10">
        <f t="shared" si="1"/>
        <v>0</v>
      </c>
      <c r="X67" s="15">
        <f t="shared" si="5"/>
        <v>0</v>
      </c>
      <c r="Y67" s="15">
        <f t="shared" si="6"/>
        <v>0</v>
      </c>
      <c r="Z67" s="16"/>
      <c r="AA67" s="16"/>
      <c r="AB67" s="14">
        <f t="shared" si="2"/>
        <v>0</v>
      </c>
      <c r="AE67" s="1">
        <f t="shared" si="0"/>
        <v>1</v>
      </c>
      <c r="AF67" s="1">
        <f t="shared" si="3"/>
        <v>1</v>
      </c>
      <c r="AG67" s="1">
        <f t="shared" si="3"/>
        <v>1</v>
      </c>
    </row>
    <row r="68" spans="1:33" ht="15.75" thickBot="1">
      <c r="A68" s="9">
        <v>41</v>
      </c>
      <c r="B68" s="71"/>
      <c r="C68" s="72"/>
      <c r="D68" s="67"/>
      <c r="E68" s="67"/>
      <c r="F68" s="67"/>
      <c r="G68" s="67"/>
      <c r="H68" s="67"/>
      <c r="I68" s="67"/>
      <c r="J68" s="67"/>
      <c r="K68" s="67"/>
      <c r="L68" s="67"/>
      <c r="M68" s="67"/>
      <c r="N68" s="83"/>
      <c r="O68" s="83"/>
      <c r="P68" s="83"/>
      <c r="Q68" s="83"/>
      <c r="R68" s="73"/>
      <c r="S68" s="73"/>
      <c r="T68" s="73"/>
      <c r="U68" s="67"/>
      <c r="V68" s="17">
        <f t="shared" si="4"/>
        <v>0</v>
      </c>
      <c r="W68" s="10">
        <f t="shared" si="1"/>
        <v>0</v>
      </c>
      <c r="X68" s="17">
        <f t="shared" si="5"/>
        <v>0</v>
      </c>
      <c r="Y68" s="17">
        <f t="shared" si="6"/>
        <v>0</v>
      </c>
      <c r="Z68" s="16"/>
      <c r="AA68" s="16"/>
      <c r="AB68" s="14">
        <f t="shared" si="2"/>
        <v>0</v>
      </c>
      <c r="AE68" s="1">
        <f t="shared" si="0"/>
        <v>1</v>
      </c>
      <c r="AF68" s="1">
        <f t="shared" si="3"/>
        <v>1</v>
      </c>
      <c r="AG68" s="1">
        <f t="shared" si="3"/>
        <v>1</v>
      </c>
    </row>
    <row r="69" spans="1:33" ht="15.75" thickBot="1">
      <c r="A69" s="12">
        <v>42</v>
      </c>
      <c r="B69" s="71"/>
      <c r="C69" s="72"/>
      <c r="D69" s="67"/>
      <c r="E69" s="67"/>
      <c r="F69" s="67"/>
      <c r="G69" s="67"/>
      <c r="H69" s="67"/>
      <c r="I69" s="67"/>
      <c r="J69" s="67"/>
      <c r="K69" s="67"/>
      <c r="L69" s="67"/>
      <c r="M69" s="67"/>
      <c r="N69" s="83"/>
      <c r="O69" s="83"/>
      <c r="P69" s="83"/>
      <c r="Q69" s="83"/>
      <c r="R69" s="73"/>
      <c r="S69" s="73"/>
      <c r="T69" s="73"/>
      <c r="U69" s="67"/>
      <c r="V69" s="17">
        <f t="shared" si="4"/>
        <v>0</v>
      </c>
      <c r="W69" s="10">
        <f t="shared" si="1"/>
        <v>0</v>
      </c>
      <c r="X69" s="17">
        <f t="shared" si="5"/>
        <v>0</v>
      </c>
      <c r="Y69" s="17">
        <f t="shared" si="6"/>
        <v>0</v>
      </c>
      <c r="Z69" s="16"/>
      <c r="AA69" s="16"/>
      <c r="AB69" s="14">
        <f t="shared" si="2"/>
        <v>0</v>
      </c>
      <c r="AE69" s="1">
        <f t="shared" si="0"/>
        <v>1</v>
      </c>
      <c r="AF69" s="1">
        <f t="shared" si="3"/>
        <v>1</v>
      </c>
      <c r="AG69" s="1">
        <f t="shared" si="3"/>
        <v>1</v>
      </c>
    </row>
    <row r="70" spans="1:33" ht="15.75" thickBot="1">
      <c r="A70" s="9">
        <v>43</v>
      </c>
      <c r="B70" s="71"/>
      <c r="C70" s="72"/>
      <c r="D70" s="67"/>
      <c r="E70" s="67"/>
      <c r="F70" s="67"/>
      <c r="G70" s="67"/>
      <c r="H70" s="67"/>
      <c r="I70" s="67"/>
      <c r="J70" s="67"/>
      <c r="K70" s="67"/>
      <c r="L70" s="67"/>
      <c r="M70" s="67"/>
      <c r="N70" s="83"/>
      <c r="O70" s="83"/>
      <c r="P70" s="83"/>
      <c r="Q70" s="83"/>
      <c r="R70" s="73"/>
      <c r="S70" s="73"/>
      <c r="T70" s="73"/>
      <c r="U70" s="67"/>
      <c r="V70" s="17">
        <f t="shared" ref="V70:V75" si="7">IF(A70&lt;&gt;"",COUNTIF(D70:T70,"AB"),"")</f>
        <v>0</v>
      </c>
      <c r="W70" s="10">
        <f t="shared" ref="W70:W75" si="8">IF(A70&lt;&gt;"",(COUNTIF(D70:T70,"U")),"")</f>
        <v>0</v>
      </c>
      <c r="X70" s="17">
        <f t="shared" ref="X70:X75" si="9">IF(A70&lt;&gt;"",(COUNTIF(D70:T70,"W")),"")</f>
        <v>0</v>
      </c>
      <c r="Y70" s="17">
        <f t="shared" ref="Y70:Y75" si="10">IF(A70&lt;&gt;"",(COUNTIF(D70:T70,"WH")),"")</f>
        <v>0</v>
      </c>
      <c r="Z70" s="16"/>
      <c r="AA70" s="16"/>
      <c r="AB70" s="14">
        <f t="shared" si="2"/>
        <v>0</v>
      </c>
    </row>
    <row r="71" spans="1:33" ht="15.75" thickBot="1">
      <c r="A71" s="12">
        <v>44</v>
      </c>
      <c r="B71" s="71"/>
      <c r="C71" s="72"/>
      <c r="D71" s="67"/>
      <c r="E71" s="67"/>
      <c r="F71" s="67"/>
      <c r="G71" s="67"/>
      <c r="H71" s="67"/>
      <c r="I71" s="67"/>
      <c r="J71" s="67"/>
      <c r="K71" s="67"/>
      <c r="L71" s="67"/>
      <c r="M71" s="67"/>
      <c r="N71" s="83"/>
      <c r="O71" s="83"/>
      <c r="P71" s="83"/>
      <c r="Q71" s="83"/>
      <c r="R71" s="73"/>
      <c r="S71" s="73"/>
      <c r="T71" s="73"/>
      <c r="U71" s="67"/>
      <c r="V71" s="17">
        <f t="shared" si="7"/>
        <v>0</v>
      </c>
      <c r="W71" s="10">
        <f t="shared" si="8"/>
        <v>0</v>
      </c>
      <c r="X71" s="17">
        <f t="shared" si="9"/>
        <v>0</v>
      </c>
      <c r="Y71" s="17">
        <f t="shared" si="10"/>
        <v>0</v>
      </c>
      <c r="Z71" s="16"/>
      <c r="AA71" s="16"/>
      <c r="AB71" s="14">
        <f t="shared" si="2"/>
        <v>0</v>
      </c>
    </row>
    <row r="72" spans="1:33" ht="15.75" thickBot="1">
      <c r="A72" s="9">
        <v>45</v>
      </c>
      <c r="B72" s="71"/>
      <c r="C72" s="72"/>
      <c r="D72" s="67"/>
      <c r="E72" s="67"/>
      <c r="F72" s="67"/>
      <c r="G72" s="67"/>
      <c r="H72" s="67"/>
      <c r="I72" s="67"/>
      <c r="J72" s="67"/>
      <c r="K72" s="67"/>
      <c r="L72" s="67"/>
      <c r="M72" s="67"/>
      <c r="N72" s="83"/>
      <c r="O72" s="83"/>
      <c r="P72" s="83"/>
      <c r="Q72" s="83"/>
      <c r="R72" s="73"/>
      <c r="S72" s="73"/>
      <c r="T72" s="73"/>
      <c r="U72" s="67"/>
      <c r="V72" s="17">
        <f t="shared" si="7"/>
        <v>0</v>
      </c>
      <c r="W72" s="10">
        <f t="shared" si="8"/>
        <v>0</v>
      </c>
      <c r="X72" s="17">
        <f t="shared" si="9"/>
        <v>0</v>
      </c>
      <c r="Y72" s="17">
        <f t="shared" si="10"/>
        <v>0</v>
      </c>
      <c r="Z72" s="16"/>
      <c r="AA72" s="16"/>
      <c r="AB72" s="14">
        <f t="shared" si="2"/>
        <v>0</v>
      </c>
      <c r="AE72" s="1">
        <f t="shared" si="0"/>
        <v>1</v>
      </c>
      <c r="AF72" s="1">
        <f t="shared" si="3"/>
        <v>1</v>
      </c>
      <c r="AG72" s="1">
        <f t="shared" si="3"/>
        <v>1</v>
      </c>
    </row>
    <row r="73" spans="1:33" ht="15.75" thickBot="1">
      <c r="A73" s="12">
        <v>46</v>
      </c>
      <c r="B73" s="71"/>
      <c r="C73" s="72"/>
      <c r="D73" s="67"/>
      <c r="E73" s="67"/>
      <c r="F73" s="67"/>
      <c r="G73" s="67"/>
      <c r="H73" s="67"/>
      <c r="I73" s="67"/>
      <c r="J73" s="67"/>
      <c r="K73" s="67"/>
      <c r="L73" s="67"/>
      <c r="M73" s="67"/>
      <c r="N73" s="83"/>
      <c r="O73" s="83"/>
      <c r="P73" s="83"/>
      <c r="Q73" s="83"/>
      <c r="R73" s="73"/>
      <c r="S73" s="73"/>
      <c r="T73" s="73"/>
      <c r="U73" s="67"/>
      <c r="V73" s="17">
        <f t="shared" si="7"/>
        <v>0</v>
      </c>
      <c r="W73" s="10">
        <f t="shared" si="8"/>
        <v>0</v>
      </c>
      <c r="X73" s="17">
        <f t="shared" si="9"/>
        <v>0</v>
      </c>
      <c r="Y73" s="17">
        <f t="shared" si="10"/>
        <v>0</v>
      </c>
      <c r="Z73" s="16"/>
      <c r="AA73" s="16"/>
      <c r="AB73" s="14">
        <f t="shared" si="2"/>
        <v>0</v>
      </c>
    </row>
    <row r="74" spans="1:33" ht="15.75" thickBot="1">
      <c r="A74" s="9">
        <v>47</v>
      </c>
      <c r="B74" s="71"/>
      <c r="C74" s="72"/>
      <c r="D74" s="67"/>
      <c r="E74" s="67"/>
      <c r="F74" s="67"/>
      <c r="G74" s="67"/>
      <c r="H74" s="67"/>
      <c r="I74" s="67"/>
      <c r="J74" s="67"/>
      <c r="K74" s="67"/>
      <c r="L74" s="67"/>
      <c r="M74" s="67"/>
      <c r="N74" s="83"/>
      <c r="O74" s="83"/>
      <c r="P74" s="83"/>
      <c r="Q74" s="83"/>
      <c r="R74" s="73"/>
      <c r="S74" s="73"/>
      <c r="T74" s="73"/>
      <c r="U74" s="67"/>
      <c r="V74" s="17">
        <f t="shared" si="7"/>
        <v>0</v>
      </c>
      <c r="W74" s="10">
        <f t="shared" si="8"/>
        <v>0</v>
      </c>
      <c r="X74" s="17">
        <f t="shared" si="9"/>
        <v>0</v>
      </c>
      <c r="Y74" s="17">
        <f t="shared" si="10"/>
        <v>0</v>
      </c>
      <c r="Z74" s="16"/>
      <c r="AA74" s="16"/>
      <c r="AB74" s="14">
        <f t="shared" si="2"/>
        <v>0</v>
      </c>
    </row>
    <row r="75" spans="1:33" ht="15.75" thickBot="1">
      <c r="A75" s="12">
        <v>48</v>
      </c>
      <c r="B75" s="71"/>
      <c r="C75" s="72"/>
      <c r="D75" s="67"/>
      <c r="E75" s="67"/>
      <c r="F75" s="67"/>
      <c r="G75" s="67"/>
      <c r="H75" s="67"/>
      <c r="I75" s="67"/>
      <c r="J75" s="67"/>
      <c r="K75" s="67"/>
      <c r="L75" s="67"/>
      <c r="M75" s="67"/>
      <c r="N75" s="83"/>
      <c r="O75" s="83"/>
      <c r="P75" s="83"/>
      <c r="Q75" s="83"/>
      <c r="R75" s="73"/>
      <c r="S75" s="73"/>
      <c r="T75" s="73"/>
      <c r="U75" s="67"/>
      <c r="V75" s="17">
        <f t="shared" si="7"/>
        <v>0</v>
      </c>
      <c r="W75" s="10">
        <f t="shared" si="8"/>
        <v>0</v>
      </c>
      <c r="X75" s="17">
        <f t="shared" si="9"/>
        <v>0</v>
      </c>
      <c r="Y75" s="17">
        <f t="shared" si="10"/>
        <v>0</v>
      </c>
      <c r="Z75" s="16"/>
      <c r="AA75" s="16"/>
      <c r="AB75" s="14">
        <f t="shared" si="2"/>
        <v>0</v>
      </c>
    </row>
    <row r="76" spans="1:33" ht="15.75" thickBot="1">
      <c r="A76" s="9">
        <v>49</v>
      </c>
      <c r="B76" s="71"/>
      <c r="C76" s="72"/>
      <c r="D76" s="67"/>
      <c r="E76" s="67"/>
      <c r="F76" s="67"/>
      <c r="G76" s="67"/>
      <c r="H76" s="67"/>
      <c r="I76" s="67"/>
      <c r="J76" s="67"/>
      <c r="K76" s="67"/>
      <c r="L76" s="67"/>
      <c r="M76" s="67"/>
      <c r="N76" s="83"/>
      <c r="O76" s="83"/>
      <c r="P76" s="83"/>
      <c r="Q76" s="83"/>
      <c r="R76" s="73"/>
      <c r="S76" s="73"/>
      <c r="T76" s="73"/>
      <c r="U76" s="67"/>
      <c r="V76" s="17">
        <f t="shared" ref="V76:V87" si="11">IF(A76&lt;&gt;"",COUNTIF(D76:T76,"AB"),"")</f>
        <v>0</v>
      </c>
      <c r="W76" s="10">
        <f t="shared" ref="W76:W87" si="12">IF(A76&lt;&gt;"",(COUNTIF(D76:T76,"U")),"")</f>
        <v>0</v>
      </c>
      <c r="X76" s="17">
        <f t="shared" ref="X76:X87" si="13">IF(A76&lt;&gt;"",(COUNTIF(D76:T76,"W")),"")</f>
        <v>0</v>
      </c>
      <c r="Y76" s="17">
        <f t="shared" ref="Y76:Y87" si="14">IF(A76&lt;&gt;"",(COUNTIF(D76:T76,"WH")),"")</f>
        <v>0</v>
      </c>
      <c r="Z76" s="16"/>
      <c r="AA76" s="16"/>
      <c r="AB76" s="14">
        <f t="shared" si="2"/>
        <v>0</v>
      </c>
    </row>
    <row r="77" spans="1:33" ht="15.75" thickBot="1">
      <c r="A77" s="12">
        <v>50</v>
      </c>
      <c r="B77" s="71"/>
      <c r="C77" s="72"/>
      <c r="D77" s="67"/>
      <c r="E77" s="67"/>
      <c r="F77" s="67"/>
      <c r="G77" s="67"/>
      <c r="H77" s="67"/>
      <c r="I77" s="67"/>
      <c r="J77" s="67"/>
      <c r="K77" s="67"/>
      <c r="L77" s="67"/>
      <c r="M77" s="67"/>
      <c r="N77" s="83"/>
      <c r="O77" s="83"/>
      <c r="P77" s="83"/>
      <c r="Q77" s="83"/>
      <c r="R77" s="73"/>
      <c r="S77" s="73"/>
      <c r="T77" s="73"/>
      <c r="U77" s="67"/>
      <c r="V77" s="17">
        <f t="shared" si="11"/>
        <v>0</v>
      </c>
      <c r="W77" s="10">
        <f t="shared" si="12"/>
        <v>0</v>
      </c>
      <c r="X77" s="17">
        <f t="shared" si="13"/>
        <v>0</v>
      </c>
      <c r="Y77" s="17">
        <f t="shared" si="14"/>
        <v>0</v>
      </c>
      <c r="Z77" s="16"/>
      <c r="AA77" s="16"/>
      <c r="AB77" s="14">
        <f t="shared" si="2"/>
        <v>0</v>
      </c>
    </row>
    <row r="78" spans="1:33" ht="15.75" thickBot="1">
      <c r="A78" s="9">
        <v>51</v>
      </c>
      <c r="B78" s="71"/>
      <c r="C78" s="72"/>
      <c r="D78" s="67"/>
      <c r="E78" s="67"/>
      <c r="F78" s="67"/>
      <c r="G78" s="67"/>
      <c r="H78" s="67"/>
      <c r="I78" s="67"/>
      <c r="J78" s="67"/>
      <c r="K78" s="67"/>
      <c r="L78" s="67"/>
      <c r="M78" s="67"/>
      <c r="N78" s="83"/>
      <c r="O78" s="83"/>
      <c r="P78" s="83"/>
      <c r="Q78" s="83"/>
      <c r="R78" s="73"/>
      <c r="S78" s="73"/>
      <c r="T78" s="73"/>
      <c r="U78" s="67"/>
      <c r="V78" s="17">
        <f t="shared" si="11"/>
        <v>0</v>
      </c>
      <c r="W78" s="10">
        <f t="shared" si="12"/>
        <v>0</v>
      </c>
      <c r="X78" s="17">
        <f t="shared" si="13"/>
        <v>0</v>
      </c>
      <c r="Y78" s="17">
        <f t="shared" si="14"/>
        <v>0</v>
      </c>
      <c r="Z78" s="16"/>
      <c r="AA78" s="16"/>
      <c r="AB78" s="14">
        <f t="shared" si="2"/>
        <v>0</v>
      </c>
      <c r="AE78" s="1">
        <f t="shared" si="0"/>
        <v>1</v>
      </c>
      <c r="AF78" s="1">
        <f t="shared" si="3"/>
        <v>1</v>
      </c>
      <c r="AG78" s="1">
        <f t="shared" si="3"/>
        <v>1</v>
      </c>
    </row>
    <row r="79" spans="1:33" ht="15.75" thickBot="1">
      <c r="A79" s="12">
        <v>52</v>
      </c>
      <c r="B79" s="71"/>
      <c r="C79" s="72"/>
      <c r="D79" s="67"/>
      <c r="E79" s="67"/>
      <c r="F79" s="67"/>
      <c r="G79" s="67"/>
      <c r="H79" s="67"/>
      <c r="I79" s="67"/>
      <c r="J79" s="67"/>
      <c r="K79" s="67"/>
      <c r="L79" s="67"/>
      <c r="M79" s="67"/>
      <c r="N79" s="83"/>
      <c r="O79" s="83"/>
      <c r="P79" s="83"/>
      <c r="Q79" s="83"/>
      <c r="R79" s="73"/>
      <c r="S79" s="73"/>
      <c r="T79" s="73"/>
      <c r="U79" s="67"/>
      <c r="V79" s="17">
        <f t="shared" si="11"/>
        <v>0</v>
      </c>
      <c r="W79" s="10">
        <f t="shared" si="12"/>
        <v>0</v>
      </c>
      <c r="X79" s="17">
        <f t="shared" si="13"/>
        <v>0</v>
      </c>
      <c r="Y79" s="17">
        <f t="shared" si="14"/>
        <v>0</v>
      </c>
      <c r="Z79" s="16"/>
      <c r="AA79" s="16"/>
      <c r="AB79" s="14">
        <f t="shared" si="2"/>
        <v>0</v>
      </c>
      <c r="AE79" s="1">
        <f t="shared" si="0"/>
        <v>1</v>
      </c>
      <c r="AF79" s="1">
        <f t="shared" si="3"/>
        <v>1</v>
      </c>
      <c r="AG79" s="1">
        <f t="shared" si="3"/>
        <v>1</v>
      </c>
    </row>
    <row r="80" spans="1:33" ht="15.75" thickBot="1">
      <c r="A80" s="9">
        <v>53</v>
      </c>
      <c r="B80" s="71"/>
      <c r="C80" s="72"/>
      <c r="D80" s="67"/>
      <c r="E80" s="67"/>
      <c r="F80" s="67"/>
      <c r="G80" s="67"/>
      <c r="H80" s="67"/>
      <c r="I80" s="67"/>
      <c r="J80" s="67"/>
      <c r="K80" s="67"/>
      <c r="L80" s="67"/>
      <c r="M80" s="67"/>
      <c r="N80" s="83"/>
      <c r="O80" s="83"/>
      <c r="P80" s="67"/>
      <c r="Q80" s="67"/>
      <c r="R80" s="73"/>
      <c r="S80" s="73"/>
      <c r="T80" s="73"/>
      <c r="U80" s="67"/>
      <c r="V80" s="17">
        <f t="shared" si="11"/>
        <v>0</v>
      </c>
      <c r="W80" s="10">
        <f t="shared" si="12"/>
        <v>0</v>
      </c>
      <c r="X80" s="17">
        <f t="shared" si="13"/>
        <v>0</v>
      </c>
      <c r="Y80" s="17">
        <f t="shared" si="14"/>
        <v>0</v>
      </c>
      <c r="Z80" s="16"/>
      <c r="AA80" s="16"/>
      <c r="AB80" s="14">
        <f t="shared" si="2"/>
        <v>0</v>
      </c>
    </row>
    <row r="81" spans="1:33" ht="15.75" thickBot="1">
      <c r="A81" s="12">
        <v>54</v>
      </c>
      <c r="B81" s="71"/>
      <c r="C81" s="72"/>
      <c r="D81" s="67"/>
      <c r="E81" s="67"/>
      <c r="F81" s="67"/>
      <c r="G81" s="67"/>
      <c r="H81" s="67"/>
      <c r="J81" s="67"/>
      <c r="K81" s="67"/>
      <c r="L81" s="67"/>
      <c r="M81" s="67"/>
      <c r="N81" s="83"/>
      <c r="O81" s="83"/>
      <c r="P81" s="83"/>
      <c r="Q81" s="83"/>
      <c r="R81" s="73"/>
      <c r="S81" s="73"/>
      <c r="T81" s="73"/>
      <c r="U81" s="67"/>
      <c r="V81" s="17">
        <f t="shared" si="11"/>
        <v>0</v>
      </c>
      <c r="W81" s="10">
        <f t="shared" si="12"/>
        <v>0</v>
      </c>
      <c r="X81" s="17">
        <f t="shared" si="13"/>
        <v>0</v>
      </c>
      <c r="Y81" s="17">
        <f t="shared" si="14"/>
        <v>0</v>
      </c>
      <c r="Z81" s="16"/>
      <c r="AA81" s="16"/>
      <c r="AB81" s="14">
        <f t="shared" si="2"/>
        <v>0</v>
      </c>
    </row>
    <row r="82" spans="1:33" ht="15.75" thickBot="1">
      <c r="A82" s="9">
        <v>55</v>
      </c>
      <c r="B82" s="71"/>
      <c r="C82" s="72"/>
      <c r="D82" s="67"/>
      <c r="E82" s="67"/>
      <c r="F82" s="67"/>
      <c r="G82" s="67"/>
      <c r="H82" s="67"/>
      <c r="I82" s="67"/>
      <c r="J82" s="67"/>
      <c r="K82" s="67"/>
      <c r="L82" s="67"/>
      <c r="M82" s="67"/>
      <c r="N82" s="83"/>
      <c r="O82" s="83"/>
      <c r="P82" s="83"/>
      <c r="Q82" s="83"/>
      <c r="R82" s="73"/>
      <c r="S82" s="73"/>
      <c r="T82" s="73"/>
      <c r="U82" s="67"/>
      <c r="V82" s="17">
        <f t="shared" si="11"/>
        <v>0</v>
      </c>
      <c r="W82" s="10">
        <f t="shared" si="12"/>
        <v>0</v>
      </c>
      <c r="X82" s="17">
        <f t="shared" si="13"/>
        <v>0</v>
      </c>
      <c r="Y82" s="17">
        <f t="shared" si="14"/>
        <v>0</v>
      </c>
      <c r="Z82" s="16"/>
      <c r="AA82" s="16"/>
      <c r="AB82" s="14">
        <f t="shared" si="2"/>
        <v>0</v>
      </c>
    </row>
    <row r="83" spans="1:33" ht="15.75" thickBot="1">
      <c r="A83" s="12">
        <v>56</v>
      </c>
      <c r="B83" s="71"/>
      <c r="C83" s="72"/>
      <c r="D83" s="67"/>
      <c r="E83" s="67"/>
      <c r="F83" s="67"/>
      <c r="G83" s="67"/>
      <c r="H83" s="67"/>
      <c r="I83" s="82"/>
      <c r="J83" s="67"/>
      <c r="K83" s="67"/>
      <c r="L83" s="67"/>
      <c r="M83" s="67"/>
      <c r="N83" s="83"/>
      <c r="O83" s="83"/>
      <c r="P83" s="83"/>
      <c r="Q83" s="83"/>
      <c r="R83" s="73"/>
      <c r="S83" s="73"/>
      <c r="T83" s="73"/>
      <c r="U83" s="67"/>
      <c r="V83" s="17">
        <f t="shared" si="11"/>
        <v>0</v>
      </c>
      <c r="W83" s="10">
        <f t="shared" si="12"/>
        <v>0</v>
      </c>
      <c r="X83" s="17">
        <f t="shared" si="13"/>
        <v>0</v>
      </c>
      <c r="Y83" s="17">
        <f t="shared" si="14"/>
        <v>0</v>
      </c>
      <c r="Z83" s="16"/>
      <c r="AA83" s="16"/>
      <c r="AB83" s="14">
        <f t="shared" si="2"/>
        <v>0</v>
      </c>
    </row>
    <row r="84" spans="1:33" ht="15.75" thickBot="1">
      <c r="A84" s="9">
        <v>57</v>
      </c>
      <c r="B84" s="71"/>
      <c r="C84" s="72"/>
      <c r="D84" s="67"/>
      <c r="E84" s="67"/>
      <c r="F84" s="67"/>
      <c r="G84" s="67"/>
      <c r="H84" s="67"/>
      <c r="I84" s="82"/>
      <c r="J84" s="67"/>
      <c r="K84" s="67"/>
      <c r="L84" s="67"/>
      <c r="M84" s="67"/>
      <c r="N84" s="83"/>
      <c r="O84" s="83"/>
      <c r="P84" s="83"/>
      <c r="Q84" s="83"/>
      <c r="R84" s="73"/>
      <c r="S84" s="73"/>
      <c r="T84" s="73"/>
      <c r="U84" s="67"/>
      <c r="V84" s="17">
        <f t="shared" si="11"/>
        <v>0</v>
      </c>
      <c r="W84" s="10">
        <f t="shared" si="12"/>
        <v>0</v>
      </c>
      <c r="X84" s="17">
        <f t="shared" si="13"/>
        <v>0</v>
      </c>
      <c r="Y84" s="17">
        <f t="shared" si="14"/>
        <v>0</v>
      </c>
      <c r="Z84" s="16"/>
      <c r="AA84" s="16"/>
      <c r="AB84" s="14">
        <f t="shared" si="2"/>
        <v>0</v>
      </c>
    </row>
    <row r="85" spans="1:33" ht="15.75" thickBot="1">
      <c r="A85" s="12">
        <v>58</v>
      </c>
      <c r="B85" s="71"/>
      <c r="C85" s="72"/>
      <c r="D85" s="67"/>
      <c r="E85" s="67"/>
      <c r="F85" s="67"/>
      <c r="G85" s="67"/>
      <c r="H85" s="67"/>
      <c r="I85" s="67"/>
      <c r="J85" s="67"/>
      <c r="K85" s="67"/>
      <c r="L85" s="67"/>
      <c r="M85" s="67"/>
      <c r="N85" s="83"/>
      <c r="O85" s="83"/>
      <c r="P85" s="83"/>
      <c r="Q85" s="83"/>
      <c r="R85" s="73"/>
      <c r="S85" s="73"/>
      <c r="T85" s="73"/>
      <c r="U85" s="67"/>
      <c r="V85" s="17">
        <f t="shared" si="11"/>
        <v>0</v>
      </c>
      <c r="W85" s="10">
        <f t="shared" si="12"/>
        <v>0</v>
      </c>
      <c r="X85" s="17">
        <f t="shared" si="13"/>
        <v>0</v>
      </c>
      <c r="Y85" s="17">
        <f t="shared" si="14"/>
        <v>0</v>
      </c>
      <c r="Z85" s="16"/>
      <c r="AA85" s="16"/>
      <c r="AB85" s="14">
        <f t="shared" si="2"/>
        <v>0</v>
      </c>
      <c r="AE85" s="1">
        <f t="shared" si="0"/>
        <v>1</v>
      </c>
      <c r="AF85" s="1">
        <f t="shared" si="3"/>
        <v>1</v>
      </c>
      <c r="AG85" s="1">
        <f t="shared" si="3"/>
        <v>1</v>
      </c>
    </row>
    <row r="86" spans="1:33" ht="15.75" thickBot="1">
      <c r="A86" s="9">
        <v>59</v>
      </c>
      <c r="B86" s="71"/>
      <c r="C86" s="72"/>
      <c r="D86" s="67"/>
      <c r="E86" s="67"/>
      <c r="F86" s="67"/>
      <c r="G86" s="67"/>
      <c r="H86" s="67"/>
      <c r="I86" s="82"/>
      <c r="J86" s="67"/>
      <c r="K86" s="67"/>
      <c r="L86" s="67"/>
      <c r="M86" s="67"/>
      <c r="N86" s="83"/>
      <c r="O86" s="83"/>
      <c r="P86" s="83"/>
      <c r="Q86" s="83"/>
      <c r="R86" s="73"/>
      <c r="S86" s="73"/>
      <c r="T86" s="73"/>
      <c r="U86" s="67"/>
      <c r="V86" s="17">
        <f t="shared" si="11"/>
        <v>0</v>
      </c>
      <c r="W86" s="10">
        <f t="shared" si="12"/>
        <v>0</v>
      </c>
      <c r="X86" s="17">
        <f t="shared" si="13"/>
        <v>0</v>
      </c>
      <c r="Y86" s="17">
        <f t="shared" si="14"/>
        <v>0</v>
      </c>
      <c r="Z86" s="16"/>
      <c r="AA86" s="16"/>
      <c r="AB86" s="14">
        <f t="shared" si="2"/>
        <v>0</v>
      </c>
      <c r="AE86" s="1">
        <f t="shared" si="0"/>
        <v>1</v>
      </c>
      <c r="AF86" s="1">
        <f t="shared" si="3"/>
        <v>1</v>
      </c>
      <c r="AG86" s="1">
        <f t="shared" si="3"/>
        <v>1</v>
      </c>
    </row>
    <row r="87" spans="1:33" ht="15.75" thickBot="1">
      <c r="A87" s="12">
        <v>60</v>
      </c>
      <c r="B87" s="71"/>
      <c r="C87" s="72"/>
      <c r="D87" s="67"/>
      <c r="E87" s="67"/>
      <c r="F87" s="67"/>
      <c r="G87" s="67"/>
      <c r="H87" s="67"/>
      <c r="I87" s="82"/>
      <c r="J87" s="67"/>
      <c r="K87" s="67"/>
      <c r="L87" s="67"/>
      <c r="M87" s="67"/>
      <c r="N87" s="83"/>
      <c r="O87" s="83"/>
      <c r="P87" s="83"/>
      <c r="Q87" s="83"/>
      <c r="R87" s="73"/>
      <c r="S87" s="73"/>
      <c r="T87" s="73"/>
      <c r="U87" s="67"/>
      <c r="V87" s="17">
        <f t="shared" si="11"/>
        <v>0</v>
      </c>
      <c r="W87" s="10">
        <f t="shared" si="12"/>
        <v>0</v>
      </c>
      <c r="X87" s="17">
        <f t="shared" si="13"/>
        <v>0</v>
      </c>
      <c r="Y87" s="17">
        <f t="shared" si="14"/>
        <v>0</v>
      </c>
      <c r="Z87" s="16"/>
      <c r="AA87" s="16"/>
      <c r="AB87" s="14">
        <f t="shared" si="2"/>
        <v>0</v>
      </c>
      <c r="AE87" s="1">
        <f t="shared" si="0"/>
        <v>1</v>
      </c>
      <c r="AF87" s="1">
        <f t="shared" si="3"/>
        <v>1</v>
      </c>
      <c r="AG87" s="1">
        <f t="shared" si="3"/>
        <v>1</v>
      </c>
    </row>
    <row r="88" spans="1:33" ht="15.75" thickBot="1">
      <c r="A88" s="158" t="s">
        <v>63</v>
      </c>
      <c r="B88" s="159"/>
      <c r="C88" s="159"/>
      <c r="D88" s="159"/>
      <c r="E88" s="159"/>
      <c r="F88" s="159"/>
      <c r="G88" s="159"/>
      <c r="H88" s="159"/>
      <c r="I88" s="160"/>
      <c r="J88" s="159"/>
      <c r="K88" s="159"/>
      <c r="L88" s="159"/>
      <c r="M88" s="159"/>
      <c r="N88" s="160"/>
      <c r="O88" s="159"/>
      <c r="P88" s="159"/>
      <c r="Q88" s="159"/>
      <c r="R88" s="159"/>
      <c r="S88" s="159"/>
      <c r="T88" s="159"/>
      <c r="U88" s="159"/>
      <c r="V88" s="18"/>
      <c r="W88" s="18"/>
      <c r="X88" s="18"/>
      <c r="Y88" s="18"/>
      <c r="Z88" s="19"/>
      <c r="AA88" s="19"/>
      <c r="AB88" s="20"/>
      <c r="AE88" s="1">
        <f>COUNTIF(AE28:AE87,1)</f>
        <v>48</v>
      </c>
      <c r="AF88" s="1">
        <f>COUNTIF(AF28:AF87,1)</f>
        <v>48</v>
      </c>
      <c r="AG88" s="1">
        <f>COUNTIF(AG28:AG87,1)</f>
        <v>48</v>
      </c>
    </row>
    <row r="89" spans="1:33" ht="15.75" thickBot="1">
      <c r="A89" s="161"/>
      <c r="B89" s="160"/>
      <c r="C89" s="160"/>
      <c r="D89" s="21">
        <f>IF($A11&lt;&gt;"",$A11,"")</f>
        <v>1</v>
      </c>
      <c r="E89" s="21">
        <f>IF($A12&lt;&gt;"",$A12,"")</f>
        <v>2</v>
      </c>
      <c r="F89" s="21">
        <f>IF($A13&lt;&gt;"",$A13,"")</f>
        <v>3</v>
      </c>
      <c r="G89" s="21">
        <f>IF($A14&lt;&gt;"",$A14,"")</f>
        <v>4</v>
      </c>
      <c r="H89" s="21">
        <f>IF($A15&lt;&gt;"",$A15,"")</f>
        <v>5</v>
      </c>
      <c r="I89" s="21">
        <f>IF($A16&lt;&gt;"",$A16,"")</f>
        <v>6</v>
      </c>
      <c r="J89" s="21">
        <f>IF($A17&lt;&gt;"",$A17,"")</f>
        <v>7</v>
      </c>
      <c r="K89" s="21">
        <f>IF($A18&lt;&gt;"",$A18,"")</f>
        <v>8</v>
      </c>
      <c r="L89" s="21">
        <f>IF($A19&lt;&gt;"",$A19,"")</f>
        <v>9</v>
      </c>
      <c r="M89" s="21">
        <f>IF($A20&lt;&gt;"",$A20,"")</f>
        <v>10</v>
      </c>
      <c r="N89" s="21">
        <f>IF($A21&lt;&gt;"",$A21,"")</f>
        <v>11</v>
      </c>
      <c r="O89" s="21">
        <f>IF($A22&lt;&gt;"",$A22,"")</f>
        <v>12</v>
      </c>
      <c r="P89" s="21">
        <v>13</v>
      </c>
      <c r="Q89" s="21" t="e">
        <f>IF(#REF!&lt;&gt;"",#REF!,"")</f>
        <v>#REF!</v>
      </c>
      <c r="R89" s="21" t="e">
        <f>IF(#REF!&lt;&gt;"",#REF!,"")</f>
        <v>#REF!</v>
      </c>
      <c r="S89" s="21" t="e">
        <f>IF(#REF!&lt;&gt;"",#REF!,"")</f>
        <v>#REF!</v>
      </c>
      <c r="T89" s="21">
        <f>IF($A23&lt;&gt;"",$A23,"")</f>
        <v>13</v>
      </c>
      <c r="U89" s="162" t="s">
        <v>64</v>
      </c>
      <c r="V89" s="22"/>
      <c r="W89" s="22"/>
      <c r="X89" s="22"/>
      <c r="Y89" s="22"/>
      <c r="Z89" s="23"/>
      <c r="AA89" s="23"/>
      <c r="AB89" s="24"/>
    </row>
    <row r="90" spans="1:33" ht="15.75" thickBot="1">
      <c r="A90" s="164" t="s">
        <v>65</v>
      </c>
      <c r="B90" s="165"/>
      <c r="C90" s="166"/>
      <c r="D90" s="25" t="str">
        <f t="shared" ref="D90:T90" si="15">IF(COUNTA(D28:D87)&gt;=1,COUNTA(D28:D87)-COUNTIF(D28:D87,"w")-COUNTIF(D28:D87,"AB"),"")</f>
        <v/>
      </c>
      <c r="E90" s="25" t="str">
        <f t="shared" si="15"/>
        <v/>
      </c>
      <c r="F90" s="25" t="str">
        <f t="shared" si="15"/>
        <v/>
      </c>
      <c r="G90" s="25" t="str">
        <f t="shared" si="15"/>
        <v/>
      </c>
      <c r="H90" s="25" t="str">
        <f t="shared" si="15"/>
        <v/>
      </c>
      <c r="I90" s="25" t="str">
        <f t="shared" si="15"/>
        <v/>
      </c>
      <c r="J90" s="25" t="str">
        <f>IF(COUNTA(J28:J87)&gt;=1,COUNTA(J28:J87)-COUNTIF(J28:J87,"w")-COUNTIF(J28:J87,"AB"),"")</f>
        <v/>
      </c>
      <c r="K90" s="25" t="str">
        <f t="shared" si="15"/>
        <v/>
      </c>
      <c r="L90" s="25" t="str">
        <f t="shared" si="15"/>
        <v/>
      </c>
      <c r="M90" s="25" t="str">
        <f t="shared" si="15"/>
        <v/>
      </c>
      <c r="N90" s="25" t="str">
        <f t="shared" si="15"/>
        <v/>
      </c>
      <c r="O90" s="25" t="str">
        <f t="shared" si="15"/>
        <v/>
      </c>
      <c r="P90" s="25" t="str">
        <f t="shared" si="15"/>
        <v/>
      </c>
      <c r="Q90" s="25" t="str">
        <f t="shared" si="15"/>
        <v/>
      </c>
      <c r="R90" s="25" t="str">
        <f t="shared" si="15"/>
        <v/>
      </c>
      <c r="S90" s="25" t="str">
        <f t="shared" si="15"/>
        <v/>
      </c>
      <c r="T90" s="25" t="str">
        <f t="shared" si="15"/>
        <v/>
      </c>
      <c r="U90" s="163"/>
      <c r="V90" s="22"/>
      <c r="W90" s="22"/>
      <c r="X90" s="22"/>
      <c r="Y90" s="22"/>
      <c r="Z90" s="23"/>
      <c r="AA90" s="23"/>
      <c r="AB90" s="24"/>
    </row>
    <row r="91" spans="1:33">
      <c r="A91" s="167" t="s">
        <v>77</v>
      </c>
      <c r="B91" s="168"/>
      <c r="C91" s="26" t="s">
        <v>66</v>
      </c>
      <c r="D91" s="27" t="str">
        <f t="shared" ref="D91:S91" si="16">IF(D$90&lt;&gt;"",COUNTIF(D$28:D$87,"O"),"")</f>
        <v/>
      </c>
      <c r="E91" s="27" t="str">
        <f t="shared" si="16"/>
        <v/>
      </c>
      <c r="F91" s="27" t="str">
        <f t="shared" si="16"/>
        <v/>
      </c>
      <c r="G91" s="27" t="str">
        <f t="shared" si="16"/>
        <v/>
      </c>
      <c r="H91" s="27" t="str">
        <f t="shared" si="16"/>
        <v/>
      </c>
      <c r="I91" s="27" t="str">
        <f t="shared" si="16"/>
        <v/>
      </c>
      <c r="J91" s="27" t="str">
        <f>IF(J$90&lt;&gt;"",COUNTIF(J$28:J$87,"O"),"")</f>
        <v/>
      </c>
      <c r="K91" s="27" t="str">
        <f t="shared" si="16"/>
        <v/>
      </c>
      <c r="L91" s="27" t="str">
        <f t="shared" si="16"/>
        <v/>
      </c>
      <c r="M91" s="27" t="str">
        <f t="shared" si="16"/>
        <v/>
      </c>
      <c r="N91" s="27" t="str">
        <f t="shared" si="16"/>
        <v/>
      </c>
      <c r="O91" s="78" t="str">
        <f t="shared" si="16"/>
        <v/>
      </c>
      <c r="P91" s="78" t="str">
        <f t="shared" si="16"/>
        <v/>
      </c>
      <c r="Q91" s="27" t="str">
        <f t="shared" si="16"/>
        <v/>
      </c>
      <c r="R91" s="27" t="str">
        <f t="shared" si="16"/>
        <v/>
      </c>
      <c r="S91" s="27" t="str">
        <f t="shared" si="16"/>
        <v/>
      </c>
      <c r="T91" s="27" t="str">
        <f>IF(T$90&lt;&gt;"",COUNTIF(T$28:T$87,"S"),"")</f>
        <v/>
      </c>
      <c r="U91" s="28"/>
      <c r="V91" s="29"/>
      <c r="W91" s="29"/>
      <c r="X91" s="29"/>
      <c r="Y91" s="29"/>
      <c r="Z91" s="29"/>
      <c r="AA91" s="29"/>
      <c r="AB91" s="30"/>
    </row>
    <row r="92" spans="1:33">
      <c r="A92" s="147"/>
      <c r="B92" s="148"/>
      <c r="C92" s="31" t="s">
        <v>67</v>
      </c>
      <c r="D92" s="32" t="str">
        <f>IF(D91&lt;&gt;"",D91/D$90*100,"")</f>
        <v/>
      </c>
      <c r="E92" s="32" t="str">
        <f t="shared" ref="E92:S92" si="17">IF(E91&lt;&gt;"",E91/E$90*100,"")</f>
        <v/>
      </c>
      <c r="F92" s="32" t="str">
        <f t="shared" si="17"/>
        <v/>
      </c>
      <c r="G92" s="32" t="str">
        <f t="shared" si="17"/>
        <v/>
      </c>
      <c r="H92" s="32" t="str">
        <f t="shared" si="17"/>
        <v/>
      </c>
      <c r="I92" s="32" t="str">
        <f t="shared" si="17"/>
        <v/>
      </c>
      <c r="J92" s="32" t="str">
        <f t="shared" si="17"/>
        <v/>
      </c>
      <c r="K92" s="32" t="str">
        <f t="shared" si="17"/>
        <v/>
      </c>
      <c r="L92" s="32" t="str">
        <f t="shared" si="17"/>
        <v/>
      </c>
      <c r="M92" s="32" t="str">
        <f t="shared" si="17"/>
        <v/>
      </c>
      <c r="N92" s="32" t="str">
        <f t="shared" si="17"/>
        <v/>
      </c>
      <c r="O92" s="79" t="str">
        <f t="shared" si="17"/>
        <v/>
      </c>
      <c r="P92" s="79" t="str">
        <f t="shared" si="17"/>
        <v/>
      </c>
      <c r="Q92" s="32" t="str">
        <f t="shared" si="17"/>
        <v/>
      </c>
      <c r="R92" s="32" t="str">
        <f t="shared" si="17"/>
        <v/>
      </c>
      <c r="S92" s="32" t="str">
        <f t="shared" si="17"/>
        <v/>
      </c>
      <c r="T92" s="32" t="str">
        <f>IF(T91&lt;&gt;"",T91/T$90*100,"")</f>
        <v/>
      </c>
      <c r="U92" s="33" t="e">
        <f>SUM(D91:T91)/SUM(D$90:T$90)*100</f>
        <v>#DIV/0!</v>
      </c>
      <c r="V92" s="29"/>
      <c r="W92" s="29"/>
      <c r="X92" s="29"/>
      <c r="Y92" s="29"/>
      <c r="Z92" s="29"/>
      <c r="AA92" s="29"/>
      <c r="AB92" s="30"/>
    </row>
    <row r="93" spans="1:33" ht="15.75" thickBot="1">
      <c r="A93" s="145" t="s">
        <v>78</v>
      </c>
      <c r="B93" s="146"/>
      <c r="C93" s="34" t="s">
        <v>66</v>
      </c>
      <c r="D93" s="27" t="str">
        <f t="shared" ref="D93:S93" si="18">IF(D$90&lt;&gt;"",COUNTIF(D$28:D$87,"A+"),"")</f>
        <v/>
      </c>
      <c r="E93" s="27" t="str">
        <f t="shared" si="18"/>
        <v/>
      </c>
      <c r="F93" s="27" t="str">
        <f t="shared" si="18"/>
        <v/>
      </c>
      <c r="G93" s="27" t="str">
        <f t="shared" si="18"/>
        <v/>
      </c>
      <c r="H93" s="27" t="str">
        <f t="shared" si="18"/>
        <v/>
      </c>
      <c r="I93" s="27" t="str">
        <f t="shared" si="18"/>
        <v/>
      </c>
      <c r="J93" s="27" t="str">
        <f>IF(J$90&lt;&gt;"",COUNTIF(J$28:J$87,"A+"),"")</f>
        <v/>
      </c>
      <c r="K93" s="27" t="str">
        <f t="shared" si="18"/>
        <v/>
      </c>
      <c r="L93" s="27" t="str">
        <f t="shared" si="18"/>
        <v/>
      </c>
      <c r="M93" s="27" t="str">
        <f t="shared" si="18"/>
        <v/>
      </c>
      <c r="N93" s="27" t="str">
        <f t="shared" si="18"/>
        <v/>
      </c>
      <c r="O93" s="78" t="str">
        <f t="shared" si="18"/>
        <v/>
      </c>
      <c r="P93" s="78" t="str">
        <f t="shared" si="18"/>
        <v/>
      </c>
      <c r="Q93" s="27" t="str">
        <f t="shared" si="18"/>
        <v/>
      </c>
      <c r="R93" s="27" t="str">
        <f t="shared" si="18"/>
        <v/>
      </c>
      <c r="S93" s="27" t="str">
        <f t="shared" si="18"/>
        <v/>
      </c>
      <c r="T93" s="27" t="str">
        <f>IF(T$90&lt;&gt;"",COUNTIF(T$28:T$87,"A"),"")</f>
        <v/>
      </c>
      <c r="U93" s="35"/>
      <c r="V93" s="29"/>
      <c r="W93" s="29"/>
      <c r="X93" s="29"/>
      <c r="Y93" s="29"/>
      <c r="Z93" s="29"/>
      <c r="AA93" s="29"/>
      <c r="AB93" s="30"/>
    </row>
    <row r="94" spans="1:33">
      <c r="A94" s="147"/>
      <c r="B94" s="148"/>
      <c r="C94" s="31" t="s">
        <v>67</v>
      </c>
      <c r="D94" s="32" t="str">
        <f t="shared" ref="D94:S94" si="19">IF(D93&lt;&gt;"",D93/D$90*100,"")</f>
        <v/>
      </c>
      <c r="E94" s="32" t="str">
        <f t="shared" si="19"/>
        <v/>
      </c>
      <c r="F94" s="32" t="str">
        <f t="shared" si="19"/>
        <v/>
      </c>
      <c r="G94" s="32" t="str">
        <f t="shared" si="19"/>
        <v/>
      </c>
      <c r="H94" s="32" t="str">
        <f t="shared" si="19"/>
        <v/>
      </c>
      <c r="I94" s="32" t="str">
        <f t="shared" si="19"/>
        <v/>
      </c>
      <c r="J94" s="32" t="str">
        <f t="shared" si="19"/>
        <v/>
      </c>
      <c r="K94" s="32" t="str">
        <f t="shared" si="19"/>
        <v/>
      </c>
      <c r="L94" s="32" t="str">
        <f t="shared" si="19"/>
        <v/>
      </c>
      <c r="M94" s="32" t="str">
        <f t="shared" si="19"/>
        <v/>
      </c>
      <c r="N94" s="32" t="str">
        <f t="shared" si="19"/>
        <v/>
      </c>
      <c r="O94" s="79" t="str">
        <f t="shared" si="19"/>
        <v/>
      </c>
      <c r="P94" s="79" t="str">
        <f t="shared" si="19"/>
        <v/>
      </c>
      <c r="Q94" s="32" t="str">
        <f t="shared" si="19"/>
        <v/>
      </c>
      <c r="R94" s="32" t="str">
        <f t="shared" si="19"/>
        <v/>
      </c>
      <c r="S94" s="32" t="str">
        <f t="shared" si="19"/>
        <v/>
      </c>
      <c r="T94" s="32" t="str">
        <f>IF(T93&lt;&gt;"",T93/T$90*100,"")</f>
        <v/>
      </c>
      <c r="U94" s="36" t="e">
        <f>SUM(D93:T93)/SUM(D$90:T$90)*100</f>
        <v>#DIV/0!</v>
      </c>
      <c r="V94" s="169" t="s">
        <v>68</v>
      </c>
      <c r="W94" s="170"/>
      <c r="X94" s="170"/>
      <c r="Y94" s="170"/>
      <c r="Z94" s="170"/>
      <c r="AA94" s="171"/>
      <c r="AB94" s="175">
        <f>COUNTA(U28:U87)</f>
        <v>0</v>
      </c>
    </row>
    <row r="95" spans="1:33" ht="15.75" thickBot="1">
      <c r="A95" s="145" t="s">
        <v>79</v>
      </c>
      <c r="B95" s="146"/>
      <c r="C95" s="34" t="s">
        <v>66</v>
      </c>
      <c r="D95" s="27" t="str">
        <f t="shared" ref="D95:S95" si="20">IF(D$90&lt;&gt;"",COUNTIF(D$28:D$87,"A"),"")</f>
        <v/>
      </c>
      <c r="E95" s="27" t="str">
        <f t="shared" si="20"/>
        <v/>
      </c>
      <c r="F95" s="27" t="str">
        <f t="shared" si="20"/>
        <v/>
      </c>
      <c r="G95" s="27" t="str">
        <f t="shared" si="20"/>
        <v/>
      </c>
      <c r="H95" s="27" t="str">
        <f t="shared" si="20"/>
        <v/>
      </c>
      <c r="I95" s="27" t="str">
        <f t="shared" si="20"/>
        <v/>
      </c>
      <c r="J95" s="27" t="str">
        <f>IF(J$90&lt;&gt;"",COUNTIF(J$28:J$87,"A"),"")</f>
        <v/>
      </c>
      <c r="K95" s="27" t="str">
        <f t="shared" si="20"/>
        <v/>
      </c>
      <c r="L95" s="27" t="str">
        <f t="shared" si="20"/>
        <v/>
      </c>
      <c r="M95" s="27" t="str">
        <f t="shared" si="20"/>
        <v/>
      </c>
      <c r="N95" s="27" t="str">
        <f t="shared" si="20"/>
        <v/>
      </c>
      <c r="O95" s="78" t="str">
        <f t="shared" si="20"/>
        <v/>
      </c>
      <c r="P95" s="78" t="str">
        <f t="shared" si="20"/>
        <v/>
      </c>
      <c r="Q95" s="27" t="str">
        <f t="shared" si="20"/>
        <v/>
      </c>
      <c r="R95" s="27" t="str">
        <f t="shared" si="20"/>
        <v/>
      </c>
      <c r="S95" s="27" t="str">
        <f t="shared" si="20"/>
        <v/>
      </c>
      <c r="T95" s="27" t="str">
        <f>IF(T$90&lt;&gt;"",COUNTIF(T$28:T$87,"B"),"")</f>
        <v/>
      </c>
      <c r="U95" s="37"/>
      <c r="V95" s="172"/>
      <c r="W95" s="173"/>
      <c r="X95" s="173"/>
      <c r="Y95" s="173"/>
      <c r="Z95" s="173"/>
      <c r="AA95" s="174"/>
      <c r="AB95" s="176"/>
    </row>
    <row r="96" spans="1:33" ht="18.75">
      <c r="A96" s="147"/>
      <c r="B96" s="148"/>
      <c r="C96" s="31" t="s">
        <v>67</v>
      </c>
      <c r="D96" s="32" t="str">
        <f t="shared" ref="D96:S96" si="21">IF(D95&lt;&gt;"",D95/D$90*100,"")</f>
        <v/>
      </c>
      <c r="E96" s="32" t="str">
        <f t="shared" si="21"/>
        <v/>
      </c>
      <c r="F96" s="32" t="str">
        <f t="shared" si="21"/>
        <v/>
      </c>
      <c r="G96" s="32" t="str">
        <f t="shared" si="21"/>
        <v/>
      </c>
      <c r="H96" s="32" t="str">
        <f t="shared" si="21"/>
        <v/>
      </c>
      <c r="I96" s="32" t="str">
        <f t="shared" si="21"/>
        <v/>
      </c>
      <c r="J96" s="32" t="str">
        <f t="shared" si="21"/>
        <v/>
      </c>
      <c r="K96" s="32" t="str">
        <f t="shared" si="21"/>
        <v/>
      </c>
      <c r="L96" s="32" t="str">
        <f t="shared" si="21"/>
        <v/>
      </c>
      <c r="M96" s="32" t="str">
        <f t="shared" si="21"/>
        <v/>
      </c>
      <c r="N96" s="32" t="str">
        <f t="shared" si="21"/>
        <v/>
      </c>
      <c r="O96" s="79" t="str">
        <f t="shared" si="21"/>
        <v/>
      </c>
      <c r="P96" s="79" t="str">
        <f t="shared" si="21"/>
        <v/>
      </c>
      <c r="Q96" s="32" t="str">
        <f t="shared" si="21"/>
        <v/>
      </c>
      <c r="R96" s="32" t="str">
        <f t="shared" si="21"/>
        <v/>
      </c>
      <c r="S96" s="32" t="str">
        <f t="shared" si="21"/>
        <v/>
      </c>
      <c r="T96" s="32" t="str">
        <f>IF(T95&lt;&gt;"",T95/T$90*100,"")</f>
        <v/>
      </c>
      <c r="U96" s="33" t="e">
        <f>SUM(D95:T95)/SUM(D$90:T$90)*100</f>
        <v>#DIV/0!</v>
      </c>
      <c r="V96" s="38"/>
      <c r="W96" s="38"/>
      <c r="X96" s="38"/>
      <c r="Y96" s="38"/>
      <c r="Z96" s="38"/>
      <c r="AA96" s="39"/>
      <c r="AB96" s="40"/>
    </row>
    <row r="97" spans="1:28" ht="18.75">
      <c r="A97" s="145" t="s">
        <v>80</v>
      </c>
      <c r="B97" s="146"/>
      <c r="C97" s="34" t="s">
        <v>66</v>
      </c>
      <c r="D97" s="27" t="str">
        <f t="shared" ref="D97:S97" si="22">IF(D$90&lt;&gt;"",COUNTIF(D$28:D$87,"B+"),"")</f>
        <v/>
      </c>
      <c r="E97" s="27" t="str">
        <f t="shared" si="22"/>
        <v/>
      </c>
      <c r="F97" s="27" t="str">
        <f t="shared" si="22"/>
        <v/>
      </c>
      <c r="G97" s="27" t="str">
        <f t="shared" si="22"/>
        <v/>
      </c>
      <c r="H97" s="27" t="str">
        <f t="shared" si="22"/>
        <v/>
      </c>
      <c r="I97" s="27" t="str">
        <f t="shared" si="22"/>
        <v/>
      </c>
      <c r="J97" s="27" t="str">
        <f>IF(J$90&lt;&gt;"",COUNTIF(J$28:J$87,"B+"),"")</f>
        <v/>
      </c>
      <c r="K97" s="27" t="str">
        <f t="shared" si="22"/>
        <v/>
      </c>
      <c r="L97" s="27" t="str">
        <f t="shared" si="22"/>
        <v/>
      </c>
      <c r="M97" s="27" t="str">
        <f t="shared" si="22"/>
        <v/>
      </c>
      <c r="N97" s="27" t="str">
        <f t="shared" si="22"/>
        <v/>
      </c>
      <c r="O97" s="78" t="str">
        <f t="shared" si="22"/>
        <v/>
      </c>
      <c r="P97" s="78" t="str">
        <f t="shared" si="22"/>
        <v/>
      </c>
      <c r="Q97" s="27" t="str">
        <f t="shared" si="22"/>
        <v/>
      </c>
      <c r="R97" s="27" t="str">
        <f t="shared" si="22"/>
        <v/>
      </c>
      <c r="S97" s="27" t="str">
        <f t="shared" si="22"/>
        <v/>
      </c>
      <c r="T97" s="27" t="str">
        <f>IF(T$90&lt;&gt;"",COUNTIF(T$28:T$87,"C"),"")</f>
        <v/>
      </c>
      <c r="U97" s="35"/>
      <c r="V97" s="38"/>
      <c r="W97" s="38"/>
      <c r="X97" s="38"/>
      <c r="Y97" s="38"/>
      <c r="Z97" s="38"/>
      <c r="AA97" s="39"/>
      <c r="AB97" s="40"/>
    </row>
    <row r="98" spans="1:28" ht="19.5" thickBot="1">
      <c r="A98" s="147"/>
      <c r="B98" s="148"/>
      <c r="C98" s="31" t="s">
        <v>67</v>
      </c>
      <c r="D98" s="32" t="str">
        <f t="shared" ref="D98:S98" si="23">IF(D97&lt;&gt;"",D97/D$90*100,"")</f>
        <v/>
      </c>
      <c r="E98" s="32" t="str">
        <f t="shared" si="23"/>
        <v/>
      </c>
      <c r="F98" s="32" t="str">
        <f t="shared" si="23"/>
        <v/>
      </c>
      <c r="G98" s="32" t="str">
        <f t="shared" si="23"/>
        <v/>
      </c>
      <c r="H98" s="32" t="str">
        <f t="shared" si="23"/>
        <v/>
      </c>
      <c r="I98" s="32" t="str">
        <f t="shared" si="23"/>
        <v/>
      </c>
      <c r="J98" s="32" t="str">
        <f t="shared" si="23"/>
        <v/>
      </c>
      <c r="K98" s="32" t="str">
        <f t="shared" si="23"/>
        <v/>
      </c>
      <c r="L98" s="32" t="str">
        <f t="shared" si="23"/>
        <v/>
      </c>
      <c r="M98" s="32" t="str">
        <f t="shared" si="23"/>
        <v/>
      </c>
      <c r="N98" s="32" t="str">
        <f t="shared" si="23"/>
        <v/>
      </c>
      <c r="O98" s="79" t="str">
        <f t="shared" si="23"/>
        <v/>
      </c>
      <c r="P98" s="79" t="str">
        <f t="shared" si="23"/>
        <v/>
      </c>
      <c r="Q98" s="32" t="str">
        <f t="shared" si="23"/>
        <v/>
      </c>
      <c r="R98" s="32" t="str">
        <f t="shared" si="23"/>
        <v/>
      </c>
      <c r="S98" s="32" t="str">
        <f t="shared" si="23"/>
        <v/>
      </c>
      <c r="T98" s="32" t="str">
        <f>IF(T97&lt;&gt;"",T97/T$90*100,"")</f>
        <v/>
      </c>
      <c r="U98" s="33" t="e">
        <f>SUM(D97:T97)/SUM(D$90:T$90)*100</f>
        <v>#DIV/0!</v>
      </c>
      <c r="V98" s="63"/>
      <c r="W98" s="63"/>
      <c r="X98" s="63"/>
      <c r="Y98" s="63"/>
      <c r="Z98" s="63"/>
      <c r="AA98" s="41"/>
      <c r="AB98" s="42"/>
    </row>
    <row r="99" spans="1:28">
      <c r="A99" s="177" t="s">
        <v>81</v>
      </c>
      <c r="B99" s="178"/>
      <c r="C99" s="34" t="s">
        <v>66</v>
      </c>
      <c r="D99" s="27" t="str">
        <f t="shared" ref="D99:S99" si="24">IF(D$90&lt;&gt;"",COUNTIF(D$28:D$87,"B"),"")</f>
        <v/>
      </c>
      <c r="E99" s="27" t="str">
        <f t="shared" si="24"/>
        <v/>
      </c>
      <c r="F99" s="27" t="str">
        <f t="shared" si="24"/>
        <v/>
      </c>
      <c r="G99" s="27" t="str">
        <f t="shared" si="24"/>
        <v/>
      </c>
      <c r="H99" s="27" t="str">
        <f t="shared" si="24"/>
        <v/>
      </c>
      <c r="I99" s="27" t="str">
        <f t="shared" si="24"/>
        <v/>
      </c>
      <c r="J99" s="27" t="str">
        <f>IF(J$90&lt;&gt;"",COUNTIF(J$28:J$87,"B"),"")</f>
        <v/>
      </c>
      <c r="K99" s="27" t="str">
        <f t="shared" si="24"/>
        <v/>
      </c>
      <c r="L99" s="27" t="str">
        <f t="shared" si="24"/>
        <v/>
      </c>
      <c r="M99" s="27" t="str">
        <f t="shared" si="24"/>
        <v/>
      </c>
      <c r="N99" s="27" t="str">
        <f t="shared" si="24"/>
        <v/>
      </c>
      <c r="O99" s="78" t="str">
        <f t="shared" si="24"/>
        <v/>
      </c>
      <c r="P99" s="78" t="str">
        <f t="shared" si="24"/>
        <v/>
      </c>
      <c r="Q99" s="27" t="str">
        <f t="shared" si="24"/>
        <v/>
      </c>
      <c r="R99" s="27" t="str">
        <f t="shared" si="24"/>
        <v/>
      </c>
      <c r="S99" s="27" t="str">
        <f t="shared" si="24"/>
        <v/>
      </c>
      <c r="T99" s="27" t="str">
        <f>IF(T$90&lt;&gt;"",COUNTIF(T$28:T$87,"D"),"")</f>
        <v/>
      </c>
      <c r="U99" s="35"/>
      <c r="V99" s="167" t="s">
        <v>69</v>
      </c>
      <c r="W99" s="179"/>
      <c r="X99" s="179"/>
      <c r="Y99" s="179"/>
      <c r="Z99" s="179"/>
      <c r="AA99" s="168"/>
      <c r="AB99" s="183">
        <f>COUNTA(A28:A87)-AE88-AF88-AG88</f>
        <v>-84</v>
      </c>
    </row>
    <row r="100" spans="1:28" ht="15.75" thickBot="1">
      <c r="A100" s="147"/>
      <c r="B100" s="148"/>
      <c r="C100" s="31" t="s">
        <v>67</v>
      </c>
      <c r="D100" s="32" t="str">
        <f t="shared" ref="D100:S100" si="25">IF(D99&lt;&gt;"",D99/D$90*100,"")</f>
        <v/>
      </c>
      <c r="E100" s="32" t="str">
        <f t="shared" si="25"/>
        <v/>
      </c>
      <c r="F100" s="32" t="str">
        <f t="shared" si="25"/>
        <v/>
      </c>
      <c r="G100" s="32" t="str">
        <f t="shared" si="25"/>
        <v/>
      </c>
      <c r="H100" s="32" t="str">
        <f t="shared" si="25"/>
        <v/>
      </c>
      <c r="I100" s="32" t="str">
        <f t="shared" si="25"/>
        <v/>
      </c>
      <c r="J100" s="32" t="str">
        <f t="shared" si="25"/>
        <v/>
      </c>
      <c r="K100" s="32" t="str">
        <f t="shared" si="25"/>
        <v/>
      </c>
      <c r="L100" s="32" t="str">
        <f t="shared" si="25"/>
        <v/>
      </c>
      <c r="M100" s="32" t="str">
        <f t="shared" si="25"/>
        <v/>
      </c>
      <c r="N100" s="32" t="str">
        <f t="shared" si="25"/>
        <v/>
      </c>
      <c r="O100" s="79" t="str">
        <f t="shared" si="25"/>
        <v/>
      </c>
      <c r="P100" s="79" t="str">
        <f t="shared" si="25"/>
        <v/>
      </c>
      <c r="Q100" s="32" t="str">
        <f t="shared" si="25"/>
        <v/>
      </c>
      <c r="R100" s="32" t="str">
        <f t="shared" si="25"/>
        <v/>
      </c>
      <c r="S100" s="32" t="str">
        <f t="shared" si="25"/>
        <v/>
      </c>
      <c r="T100" s="32" t="str">
        <f>IF(T99&lt;&gt;"",T99/T$90*100,"")</f>
        <v/>
      </c>
      <c r="U100" s="33" t="e">
        <f>SUM(D99:T99)/SUM(D$90:T$90)*100</f>
        <v>#DIV/0!</v>
      </c>
      <c r="V100" s="180"/>
      <c r="W100" s="181"/>
      <c r="X100" s="181"/>
      <c r="Y100" s="181"/>
      <c r="Z100" s="181"/>
      <c r="AA100" s="182"/>
      <c r="AB100" s="184"/>
    </row>
    <row r="101" spans="1:28" ht="18.75">
      <c r="A101" s="177" t="s">
        <v>82</v>
      </c>
      <c r="B101" s="178"/>
      <c r="C101" s="34" t="s">
        <v>66</v>
      </c>
      <c r="D101" s="57" t="str">
        <f t="shared" ref="D101:P101" si="26">IF(D$90&lt;&gt;"",COUNTIF(D$28:D$87,"C"),"")</f>
        <v/>
      </c>
      <c r="E101" s="57" t="str">
        <f t="shared" si="26"/>
        <v/>
      </c>
      <c r="F101" s="57" t="str">
        <f t="shared" si="26"/>
        <v/>
      </c>
      <c r="G101" s="57" t="str">
        <f t="shared" si="26"/>
        <v/>
      </c>
      <c r="H101" s="57" t="str">
        <f t="shared" si="26"/>
        <v/>
      </c>
      <c r="I101" s="57" t="str">
        <f t="shared" si="26"/>
        <v/>
      </c>
      <c r="J101" s="57" t="str">
        <f t="shared" si="26"/>
        <v/>
      </c>
      <c r="K101" s="57" t="str">
        <f t="shared" si="26"/>
        <v/>
      </c>
      <c r="L101" s="57" t="str">
        <f t="shared" si="26"/>
        <v/>
      </c>
      <c r="M101" s="57" t="str">
        <f t="shared" si="26"/>
        <v/>
      </c>
      <c r="N101" s="57" t="str">
        <f t="shared" si="26"/>
        <v/>
      </c>
      <c r="O101" s="57" t="str">
        <f t="shared" si="26"/>
        <v/>
      </c>
      <c r="P101" s="57" t="str">
        <f t="shared" si="26"/>
        <v/>
      </c>
      <c r="Q101" s="56"/>
      <c r="R101" s="56"/>
      <c r="S101" s="56"/>
      <c r="T101" s="56"/>
      <c r="U101" s="56"/>
      <c r="V101" s="29"/>
      <c r="W101" s="29"/>
      <c r="X101" s="29"/>
      <c r="Y101" s="29"/>
      <c r="Z101" s="29"/>
      <c r="AA101" s="29"/>
      <c r="AB101" s="40"/>
    </row>
    <row r="102" spans="1:28" ht="18.75">
      <c r="A102" s="147"/>
      <c r="B102" s="148"/>
      <c r="C102" s="31" t="s">
        <v>67</v>
      </c>
      <c r="D102" s="57" t="str">
        <f>IF(D101&lt;&gt;"",D101/D$90*100,"")</f>
        <v/>
      </c>
      <c r="E102" s="57" t="str">
        <f t="shared" ref="E102:F102" si="27">IF(E101&lt;&gt;"",E101/E$90*100,"")</f>
        <v/>
      </c>
      <c r="F102" s="57" t="str">
        <f t="shared" si="27"/>
        <v/>
      </c>
      <c r="G102" s="57" t="str">
        <f>IF(G101&lt;&gt;"",G101/G$90*100,"")</f>
        <v/>
      </c>
      <c r="H102" s="57" t="str">
        <f t="shared" ref="H102:N102" si="28">IF(H101&lt;&gt;"",H101/H$90*100,"")</f>
        <v/>
      </c>
      <c r="I102" s="57" t="str">
        <f t="shared" si="28"/>
        <v/>
      </c>
      <c r="J102" s="57" t="str">
        <f t="shared" si="28"/>
        <v/>
      </c>
      <c r="K102" s="57" t="str">
        <f t="shared" si="28"/>
        <v/>
      </c>
      <c r="L102" s="32" t="str">
        <f t="shared" si="28"/>
        <v/>
      </c>
      <c r="M102" s="32" t="str">
        <f t="shared" si="28"/>
        <v/>
      </c>
      <c r="N102" s="32" t="str">
        <f t="shared" si="28"/>
        <v/>
      </c>
      <c r="O102" s="32" t="str">
        <f t="shared" ref="O102:P102" si="29">IF(O101&lt;&gt;"",O101/O$90*100,"")</f>
        <v/>
      </c>
      <c r="P102" s="32" t="str">
        <f t="shared" si="29"/>
        <v/>
      </c>
      <c r="Q102" s="56"/>
      <c r="R102" s="56"/>
      <c r="S102" s="56"/>
      <c r="T102" s="56"/>
      <c r="U102" s="58" t="e">
        <f>SUM(D101:T101)/SUM(D$90:T$90)*100</f>
        <v>#DIV/0!</v>
      </c>
      <c r="V102" s="29"/>
      <c r="W102" s="29"/>
      <c r="X102" s="29"/>
      <c r="Y102" s="29"/>
      <c r="Z102" s="29"/>
      <c r="AA102" s="29"/>
      <c r="AB102" s="40"/>
    </row>
    <row r="103" spans="1:28" ht="19.5" thickBot="1">
      <c r="A103" s="177" t="s">
        <v>86</v>
      </c>
      <c r="B103" s="178"/>
      <c r="C103" s="56" t="s">
        <v>66</v>
      </c>
      <c r="D103" s="57" t="str">
        <f>IF(D$90&lt;&gt;"",SUM(D91,D93,D95,D97,D99,D101),"")</f>
        <v/>
      </c>
      <c r="E103" s="57" t="str">
        <f t="shared" ref="E103:P103" si="30">IF(E$90&lt;&gt;"",SUM(E91,E93,E95,E97,E99,E101),"")</f>
        <v/>
      </c>
      <c r="F103" s="57" t="str">
        <f t="shared" si="30"/>
        <v/>
      </c>
      <c r="G103" s="57" t="str">
        <f t="shared" si="30"/>
        <v/>
      </c>
      <c r="H103" s="57" t="str">
        <f t="shared" si="30"/>
        <v/>
      </c>
      <c r="I103" s="57" t="str">
        <f t="shared" si="30"/>
        <v/>
      </c>
      <c r="J103" s="57" t="str">
        <f t="shared" si="30"/>
        <v/>
      </c>
      <c r="K103" s="57" t="str">
        <f t="shared" si="30"/>
        <v/>
      </c>
      <c r="L103" s="57" t="str">
        <f t="shared" si="30"/>
        <v/>
      </c>
      <c r="M103" s="57" t="str">
        <f t="shared" si="30"/>
        <v/>
      </c>
      <c r="N103" s="57" t="str">
        <f t="shared" si="30"/>
        <v/>
      </c>
      <c r="O103" s="57" t="str">
        <f t="shared" si="30"/>
        <v/>
      </c>
      <c r="P103" s="57" t="str">
        <f t="shared" si="30"/>
        <v/>
      </c>
      <c r="Q103" s="56" t="str">
        <f t="shared" ref="Q103:S103" si="31">IF(Q$90&lt;&gt;"",SUM(Q91,Q93,Q95,Q97,Q99),"")</f>
        <v/>
      </c>
      <c r="R103" s="56" t="str">
        <f t="shared" si="31"/>
        <v/>
      </c>
      <c r="S103" s="56" t="str">
        <f t="shared" si="31"/>
        <v/>
      </c>
      <c r="T103" s="56" t="str">
        <f>IF(T$90&lt;&gt;"",SUM(T91,T93,T95,T97,T99,#REF!),"")</f>
        <v/>
      </c>
      <c r="U103" s="56" t="str">
        <f>IF(U$90&lt;&gt;"",SUM(U91,U93,U95,U97,U99,#REF!),"")</f>
        <v/>
      </c>
      <c r="V103" s="29"/>
      <c r="W103" s="29"/>
      <c r="X103" s="29"/>
      <c r="Y103" s="29"/>
      <c r="Z103" s="29"/>
      <c r="AA103" s="29"/>
      <c r="AB103" s="40"/>
    </row>
    <row r="104" spans="1:28">
      <c r="A104" s="147"/>
      <c r="B104" s="148"/>
      <c r="C104" s="31" t="s">
        <v>67</v>
      </c>
      <c r="D104" s="43" t="str">
        <f t="shared" ref="D104:T104" si="32">IF(D$90&lt;&gt;"",D103/(D90)*100,"")</f>
        <v/>
      </c>
      <c r="E104" s="43" t="str">
        <f t="shared" si="32"/>
        <v/>
      </c>
      <c r="F104" s="43" t="str">
        <f t="shared" si="32"/>
        <v/>
      </c>
      <c r="G104" s="43" t="str">
        <f t="shared" si="32"/>
        <v/>
      </c>
      <c r="H104" s="43" t="str">
        <f t="shared" si="32"/>
        <v/>
      </c>
      <c r="I104" s="43" t="str">
        <f t="shared" si="32"/>
        <v/>
      </c>
      <c r="J104" s="43" t="str">
        <f t="shared" si="32"/>
        <v/>
      </c>
      <c r="K104" s="43" t="str">
        <f t="shared" si="32"/>
        <v/>
      </c>
      <c r="L104" s="43" t="str">
        <f t="shared" si="32"/>
        <v/>
      </c>
      <c r="M104" s="43" t="str">
        <f t="shared" si="32"/>
        <v/>
      </c>
      <c r="N104" s="43" t="str">
        <f t="shared" si="32"/>
        <v/>
      </c>
      <c r="O104" s="43" t="str">
        <f t="shared" si="32"/>
        <v/>
      </c>
      <c r="P104" s="43" t="str">
        <f t="shared" si="32"/>
        <v/>
      </c>
      <c r="Q104" s="43" t="str">
        <f t="shared" si="32"/>
        <v/>
      </c>
      <c r="R104" s="43" t="str">
        <f t="shared" si="32"/>
        <v/>
      </c>
      <c r="S104" s="43" t="str">
        <f t="shared" si="32"/>
        <v/>
      </c>
      <c r="T104" s="43" t="str">
        <f t="shared" si="32"/>
        <v/>
      </c>
      <c r="U104" s="33"/>
      <c r="V104" s="185" t="s">
        <v>70</v>
      </c>
      <c r="W104" s="186"/>
      <c r="X104" s="186"/>
      <c r="Y104" s="186"/>
      <c r="Z104" s="186"/>
      <c r="AA104" s="191">
        <f>AB94/AB99</f>
        <v>0</v>
      </c>
      <c r="AB104" s="192"/>
    </row>
    <row r="105" spans="1:28">
      <c r="A105" s="177" t="s">
        <v>83</v>
      </c>
      <c r="B105" s="178"/>
      <c r="C105" s="34" t="s">
        <v>66</v>
      </c>
      <c r="D105" s="27" t="str">
        <f t="shared" ref="D105:P105" si="33">IF(D$90&lt;&gt;"",COUNTIF(D$28:D$87,"U"),"")</f>
        <v/>
      </c>
      <c r="E105" s="27" t="str">
        <f t="shared" si="33"/>
        <v/>
      </c>
      <c r="F105" s="27" t="str">
        <f t="shared" si="33"/>
        <v/>
      </c>
      <c r="G105" s="27" t="str">
        <f t="shared" si="33"/>
        <v/>
      </c>
      <c r="H105" s="27" t="str">
        <f t="shared" si="33"/>
        <v/>
      </c>
      <c r="I105" s="27" t="str">
        <f t="shared" si="33"/>
        <v/>
      </c>
      <c r="J105" s="27" t="str">
        <f t="shared" si="33"/>
        <v/>
      </c>
      <c r="K105" s="27" t="str">
        <f t="shared" si="33"/>
        <v/>
      </c>
      <c r="L105" s="27" t="str">
        <f t="shared" si="33"/>
        <v/>
      </c>
      <c r="M105" s="27" t="str">
        <f t="shared" si="33"/>
        <v/>
      </c>
      <c r="N105" s="27" t="str">
        <f t="shared" si="33"/>
        <v/>
      </c>
      <c r="O105" s="27" t="str">
        <f t="shared" si="33"/>
        <v/>
      </c>
      <c r="P105" s="27" t="str">
        <f t="shared" si="33"/>
        <v/>
      </c>
      <c r="Q105" s="27" t="str">
        <f t="shared" ref="Q105:T105" si="34">IF(Q$90&lt;&gt;"",COUNTIF(Q$28:Q$87,"RA"),"")</f>
        <v/>
      </c>
      <c r="R105" s="27" t="str">
        <f t="shared" si="34"/>
        <v/>
      </c>
      <c r="S105" s="27" t="str">
        <f t="shared" si="34"/>
        <v/>
      </c>
      <c r="T105" s="27" t="str">
        <f t="shared" si="34"/>
        <v/>
      </c>
      <c r="U105" s="35"/>
      <c r="V105" s="187"/>
      <c r="W105" s="188"/>
      <c r="X105" s="188"/>
      <c r="Y105" s="188"/>
      <c r="Z105" s="188"/>
      <c r="AA105" s="193"/>
      <c r="AB105" s="194"/>
    </row>
    <row r="106" spans="1:28">
      <c r="A106" s="147"/>
      <c r="B106" s="148"/>
      <c r="C106" s="31" t="s">
        <v>67</v>
      </c>
      <c r="D106" s="32" t="str">
        <f t="shared" ref="D106" si="35">IF(D105&lt;&gt;"",D105/D$90*100,"")</f>
        <v/>
      </c>
      <c r="E106" s="32" t="str">
        <f t="shared" ref="E106:P106" si="36">IF(E105&lt;&gt;"",E105/E$90*100,"")</f>
        <v/>
      </c>
      <c r="F106" s="32" t="str">
        <f t="shared" si="36"/>
        <v/>
      </c>
      <c r="G106" s="32" t="str">
        <f t="shared" si="36"/>
        <v/>
      </c>
      <c r="H106" s="32" t="str">
        <f t="shared" si="36"/>
        <v/>
      </c>
      <c r="I106" s="32" t="str">
        <f t="shared" si="36"/>
        <v/>
      </c>
      <c r="J106" s="32" t="str">
        <f t="shared" si="36"/>
        <v/>
      </c>
      <c r="K106" s="32" t="str">
        <f t="shared" si="36"/>
        <v/>
      </c>
      <c r="L106" s="32" t="str">
        <f t="shared" si="36"/>
        <v/>
      </c>
      <c r="M106" s="32" t="str">
        <f t="shared" si="36"/>
        <v/>
      </c>
      <c r="N106" s="32" t="str">
        <f t="shared" si="36"/>
        <v/>
      </c>
      <c r="O106" s="32" t="str">
        <f t="shared" si="36"/>
        <v/>
      </c>
      <c r="P106" s="32" t="str">
        <f t="shared" si="36"/>
        <v/>
      </c>
      <c r="Q106" s="32" t="str">
        <f>IF(Q105&lt;&gt;"",Q105/Q$90*100,"")</f>
        <v/>
      </c>
      <c r="R106" s="32" t="str">
        <f>IF(R105&lt;&gt;"",R105/R$90*100,"")</f>
        <v/>
      </c>
      <c r="S106" s="32" t="str">
        <f>IF(S105&lt;&gt;"",S105/S$90*100,"")</f>
        <v/>
      </c>
      <c r="T106" s="32" t="str">
        <f>IF(T105&lt;&gt;"",T105/T$90*100,"")</f>
        <v/>
      </c>
      <c r="U106" s="33" t="e">
        <f>SUM(D105:T105)/SUM(D$90:T$90)*100</f>
        <v>#DIV/0!</v>
      </c>
      <c r="V106" s="187"/>
      <c r="W106" s="188"/>
      <c r="X106" s="188"/>
      <c r="Y106" s="188"/>
      <c r="Z106" s="188"/>
      <c r="AA106" s="193"/>
      <c r="AB106" s="194"/>
    </row>
    <row r="107" spans="1:28" ht="15.75" thickBot="1">
      <c r="A107" s="177" t="s">
        <v>71</v>
      </c>
      <c r="B107" s="178"/>
      <c r="C107" s="34" t="s">
        <v>66</v>
      </c>
      <c r="D107" s="27" t="str">
        <f t="shared" ref="D107:T107" si="37">IF(D$90&lt;&gt;"",COUNTIF(D$28:D$87,"AB"),"")</f>
        <v/>
      </c>
      <c r="E107" s="27" t="str">
        <f t="shared" si="37"/>
        <v/>
      </c>
      <c r="F107" s="27" t="str">
        <f t="shared" si="37"/>
        <v/>
      </c>
      <c r="G107" s="27" t="str">
        <f t="shared" si="37"/>
        <v/>
      </c>
      <c r="H107" s="27" t="str">
        <f t="shared" si="37"/>
        <v/>
      </c>
      <c r="I107" s="27" t="str">
        <f t="shared" si="37"/>
        <v/>
      </c>
      <c r="J107" s="27" t="str">
        <f>IF(J$90&lt;&gt;"",COUNTIF(J$28:J$87,"AB"),"")</f>
        <v/>
      </c>
      <c r="K107" s="27" t="str">
        <f t="shared" si="37"/>
        <v/>
      </c>
      <c r="L107" s="27" t="str">
        <f t="shared" si="37"/>
        <v/>
      </c>
      <c r="M107" s="27" t="str">
        <f t="shared" si="37"/>
        <v/>
      </c>
      <c r="N107" s="27" t="str">
        <f t="shared" si="37"/>
        <v/>
      </c>
      <c r="O107" s="78" t="str">
        <f t="shared" si="37"/>
        <v/>
      </c>
      <c r="P107" s="78" t="str">
        <f t="shared" si="37"/>
        <v/>
      </c>
      <c r="Q107" s="27" t="str">
        <f t="shared" si="37"/>
        <v/>
      </c>
      <c r="R107" s="27" t="str">
        <f t="shared" si="37"/>
        <v/>
      </c>
      <c r="S107" s="27" t="str">
        <f t="shared" si="37"/>
        <v/>
      </c>
      <c r="T107" s="27" t="str">
        <f t="shared" si="37"/>
        <v/>
      </c>
      <c r="U107" s="35"/>
      <c r="V107" s="189"/>
      <c r="W107" s="190"/>
      <c r="X107" s="190"/>
      <c r="Y107" s="190"/>
      <c r="Z107" s="190"/>
      <c r="AA107" s="195"/>
      <c r="AB107" s="196"/>
    </row>
    <row r="108" spans="1:28">
      <c r="A108" s="177" t="s">
        <v>72</v>
      </c>
      <c r="B108" s="178"/>
      <c r="C108" s="34" t="s">
        <v>66</v>
      </c>
      <c r="D108" s="27" t="str">
        <f t="shared" ref="D108:T108" si="38">IF(D$90&lt;&gt;"",COUNTIF(D$28:D$87,"WH"),"")</f>
        <v/>
      </c>
      <c r="E108" s="27" t="str">
        <f t="shared" si="38"/>
        <v/>
      </c>
      <c r="F108" s="27" t="str">
        <f t="shared" si="38"/>
        <v/>
      </c>
      <c r="G108" s="27" t="str">
        <f t="shared" si="38"/>
        <v/>
      </c>
      <c r="H108" s="27" t="str">
        <f t="shared" si="38"/>
        <v/>
      </c>
      <c r="I108" s="27" t="str">
        <f t="shared" si="38"/>
        <v/>
      </c>
      <c r="J108" s="27" t="str">
        <f>IF(J$90&lt;&gt;"",COUNTIF(J$28:J$87,"WH"),"")</f>
        <v/>
      </c>
      <c r="K108" s="27" t="str">
        <f t="shared" si="38"/>
        <v/>
      </c>
      <c r="L108" s="27" t="str">
        <f t="shared" si="38"/>
        <v/>
      </c>
      <c r="M108" s="27" t="str">
        <f t="shared" si="38"/>
        <v/>
      </c>
      <c r="N108" s="27" t="str">
        <f t="shared" si="38"/>
        <v/>
      </c>
      <c r="O108" s="78" t="str">
        <f t="shared" si="38"/>
        <v/>
      </c>
      <c r="P108" s="78" t="str">
        <f t="shared" si="38"/>
        <v/>
      </c>
      <c r="Q108" s="27" t="str">
        <f t="shared" si="38"/>
        <v/>
      </c>
      <c r="R108" s="27" t="str">
        <f t="shared" si="38"/>
        <v/>
      </c>
      <c r="S108" s="27" t="str">
        <f t="shared" si="38"/>
        <v/>
      </c>
      <c r="T108" s="27" t="str">
        <f t="shared" si="38"/>
        <v/>
      </c>
      <c r="U108" s="35"/>
      <c r="V108" s="29"/>
      <c r="W108" s="29"/>
      <c r="X108" s="29"/>
      <c r="Y108" s="29"/>
      <c r="Z108" s="29"/>
      <c r="AA108" s="29"/>
      <c r="AB108" s="30"/>
    </row>
    <row r="109" spans="1:28" ht="18.75">
      <c r="A109" s="197" t="s">
        <v>73</v>
      </c>
      <c r="B109" s="198"/>
      <c r="C109" s="34" t="s">
        <v>66</v>
      </c>
      <c r="D109" s="27" t="str">
        <f t="shared" ref="D109:T109" si="39">IF(D$90&lt;&gt;"",COUNTIF(D$28:D$87,"W"),"")</f>
        <v/>
      </c>
      <c r="E109" s="27" t="str">
        <f t="shared" si="39"/>
        <v/>
      </c>
      <c r="F109" s="27" t="str">
        <f t="shared" si="39"/>
        <v/>
      </c>
      <c r="G109" s="27" t="str">
        <f t="shared" si="39"/>
        <v/>
      </c>
      <c r="H109" s="27" t="str">
        <f t="shared" si="39"/>
        <v/>
      </c>
      <c r="I109" s="27" t="str">
        <f t="shared" si="39"/>
        <v/>
      </c>
      <c r="J109" s="27" t="str">
        <f>IF(J$90&lt;&gt;"",COUNTIF(J$28:J$87,"W"),"")</f>
        <v/>
      </c>
      <c r="K109" s="27" t="str">
        <f t="shared" si="39"/>
        <v/>
      </c>
      <c r="L109" s="27" t="str">
        <f t="shared" si="39"/>
        <v/>
      </c>
      <c r="M109" s="27" t="str">
        <f t="shared" si="39"/>
        <v/>
      </c>
      <c r="N109" s="27" t="str">
        <f t="shared" si="39"/>
        <v/>
      </c>
      <c r="O109" s="78" t="str">
        <f t="shared" si="39"/>
        <v/>
      </c>
      <c r="P109" s="78" t="str">
        <f t="shared" si="39"/>
        <v/>
      </c>
      <c r="Q109" s="27" t="str">
        <f t="shared" si="39"/>
        <v/>
      </c>
      <c r="R109" s="27" t="str">
        <f t="shared" si="39"/>
        <v/>
      </c>
      <c r="S109" s="27" t="str">
        <f t="shared" si="39"/>
        <v/>
      </c>
      <c r="T109" s="27" t="str">
        <f t="shared" si="39"/>
        <v/>
      </c>
      <c r="U109" s="44"/>
      <c r="V109" s="45"/>
      <c r="W109" s="45"/>
      <c r="X109" s="45"/>
      <c r="Y109" s="45"/>
      <c r="Z109" s="45"/>
      <c r="AA109" s="45"/>
      <c r="AB109" s="65"/>
    </row>
    <row r="110" spans="1:28">
      <c r="A110" s="46"/>
      <c r="B110" s="29"/>
      <c r="C110" s="199" t="s">
        <v>84</v>
      </c>
      <c r="D110" s="200"/>
      <c r="E110" s="200"/>
      <c r="F110" s="200"/>
      <c r="G110" s="200"/>
      <c r="H110" s="200"/>
      <c r="I110" s="200"/>
      <c r="J110" s="200"/>
      <c r="K110" s="200"/>
      <c r="L110" s="200"/>
      <c r="M110" s="200"/>
      <c r="N110" s="200"/>
      <c r="O110" s="200"/>
      <c r="P110" s="200"/>
      <c r="Q110" s="200"/>
      <c r="R110" s="200"/>
      <c r="S110" s="200"/>
      <c r="T110" s="200"/>
      <c r="U110" s="201"/>
      <c r="V110" s="199" t="s">
        <v>74</v>
      </c>
      <c r="W110" s="200"/>
      <c r="X110" s="200"/>
      <c r="Y110" s="200"/>
      <c r="Z110" s="200"/>
      <c r="AA110" s="200"/>
      <c r="AB110" s="201"/>
    </row>
    <row r="111" spans="1:28">
      <c r="A111" s="46"/>
      <c r="B111" s="29"/>
      <c r="C111" s="47" t="s">
        <v>75</v>
      </c>
      <c r="D111" s="48"/>
      <c r="E111" s="49">
        <f>IF(MAX($A$11:$A$23)&gt;=1,1,"")</f>
        <v>1</v>
      </c>
      <c r="F111" s="49">
        <f>IF(MAX($A$11:$A$23)&gt;=2,2,"")</f>
        <v>2</v>
      </c>
      <c r="G111" s="49">
        <f>IF(MAX($A$11:$A$23)&gt;=3,3,"")</f>
        <v>3</v>
      </c>
      <c r="H111" s="49">
        <f>IF(MAX($A$11:$A$23)&gt;=4,4,"")</f>
        <v>4</v>
      </c>
      <c r="I111" s="49">
        <f>IF(MAX($A$11:$A$23)&gt;=5,5,"")</f>
        <v>5</v>
      </c>
      <c r="J111" s="49">
        <f>IF(MAX($A$11:$A$23)&gt;=6,6,"")</f>
        <v>6</v>
      </c>
      <c r="K111" s="49">
        <f>IF(MAX($A$11:$A$23)&gt;=7,7,"")</f>
        <v>7</v>
      </c>
      <c r="L111" s="49">
        <f>IF(MAX($A$11:$A$23)&gt;=8,8,"")</f>
        <v>8</v>
      </c>
      <c r="M111" s="49">
        <f>IF(MAX($A$11:$A$23)&gt;=9,9,"")</f>
        <v>9</v>
      </c>
      <c r="N111" s="49">
        <f>IF(MAX($A$11:$A$23)&gt;=10,10,"")</f>
        <v>10</v>
      </c>
      <c r="O111" s="80">
        <f>IF(MAX($A$11:$A$23)&gt;=11,11,"")</f>
        <v>11</v>
      </c>
      <c r="P111" s="80">
        <f>IF(MAX($A$11:$A$23)&gt;=12,12,"")</f>
        <v>12</v>
      </c>
      <c r="Q111" s="49">
        <f>IF(MAX($A$11:$A$23)&gt;=13,13,"")</f>
        <v>13</v>
      </c>
      <c r="R111" s="49" t="str">
        <f>IF(MAX($A$11:$A$23)&gt;=14,14,"")</f>
        <v/>
      </c>
      <c r="S111" s="49" t="str">
        <f>IF(MAX($A$11:$A$23)&gt;=15,15,"")</f>
        <v/>
      </c>
      <c r="T111" s="49" t="str">
        <f>IF(MAX($A$11:$A$23)&gt;=16,16,"")</f>
        <v/>
      </c>
      <c r="U111" s="49" t="str">
        <f>IF(MAX($A$11:$A$23)&gt;=17,17,"")</f>
        <v/>
      </c>
      <c r="V111" s="202" t="s">
        <v>76</v>
      </c>
      <c r="W111" s="203"/>
      <c r="X111" s="203"/>
      <c r="Y111" s="203"/>
      <c r="Z111" s="203"/>
      <c r="AA111" s="203"/>
      <c r="AB111" s="206">
        <f>COUNTIF($V$28:$V$87,"&gt;=1")</f>
        <v>0</v>
      </c>
    </row>
    <row r="112" spans="1:28" ht="15.75" thickBot="1">
      <c r="A112" s="50"/>
      <c r="B112" s="51"/>
      <c r="C112" s="52" t="s">
        <v>66</v>
      </c>
      <c r="D112" s="53"/>
      <c r="E112" s="54">
        <f t="shared" ref="E112:U112" si="40">IF(E111&lt;&gt;"",COUNTIF($W$28:$W$87,E111),"")</f>
        <v>0</v>
      </c>
      <c r="F112" s="54">
        <f t="shared" si="40"/>
        <v>0</v>
      </c>
      <c r="G112" s="54">
        <f t="shared" si="40"/>
        <v>0</v>
      </c>
      <c r="H112" s="54">
        <f t="shared" si="40"/>
        <v>0</v>
      </c>
      <c r="I112" s="54">
        <f t="shared" si="40"/>
        <v>0</v>
      </c>
      <c r="J112" s="54">
        <f t="shared" si="40"/>
        <v>0</v>
      </c>
      <c r="K112" s="54">
        <f t="shared" si="40"/>
        <v>0</v>
      </c>
      <c r="L112" s="54">
        <f t="shared" si="40"/>
        <v>0</v>
      </c>
      <c r="M112" s="54">
        <f t="shared" si="40"/>
        <v>0</v>
      </c>
      <c r="N112" s="54">
        <f t="shared" si="40"/>
        <v>0</v>
      </c>
      <c r="O112" s="81">
        <f t="shared" si="40"/>
        <v>0</v>
      </c>
      <c r="P112" s="81">
        <f t="shared" si="40"/>
        <v>0</v>
      </c>
      <c r="Q112" s="54">
        <f t="shared" si="40"/>
        <v>0</v>
      </c>
      <c r="R112" s="54" t="str">
        <f t="shared" si="40"/>
        <v/>
      </c>
      <c r="S112" s="54" t="str">
        <f t="shared" si="40"/>
        <v/>
      </c>
      <c r="T112" s="54" t="str">
        <f t="shared" si="40"/>
        <v/>
      </c>
      <c r="U112" s="54" t="str">
        <f t="shared" si="40"/>
        <v/>
      </c>
      <c r="V112" s="204"/>
      <c r="W112" s="205"/>
      <c r="X112" s="205"/>
      <c r="Y112" s="205"/>
      <c r="Z112" s="205"/>
      <c r="AA112" s="205"/>
      <c r="AB112" s="207"/>
    </row>
    <row r="113" spans="1:28">
      <c r="A113" s="55"/>
      <c r="B113" s="55"/>
      <c r="C113" s="55"/>
      <c r="D113" s="55"/>
      <c r="E113" s="55"/>
      <c r="F113" s="55"/>
      <c r="G113" s="55"/>
      <c r="H113" s="55"/>
      <c r="I113" s="55"/>
      <c r="J113" s="55"/>
      <c r="K113" s="55"/>
      <c r="L113" s="55"/>
      <c r="M113" s="55"/>
      <c r="N113" s="55"/>
      <c r="O113" s="55"/>
      <c r="P113" s="55"/>
      <c r="Q113" s="55"/>
      <c r="R113" s="55"/>
      <c r="S113" s="55"/>
      <c r="T113" s="55"/>
      <c r="U113" s="55"/>
      <c r="AB113" s="76"/>
    </row>
  </sheetData>
  <mergeCells count="95">
    <mergeCell ref="A108:B108"/>
    <mergeCell ref="A109:B109"/>
    <mergeCell ref="C110:U110"/>
    <mergeCell ref="V110:AB110"/>
    <mergeCell ref="V111:AA112"/>
    <mergeCell ref="AB111:AB112"/>
    <mergeCell ref="A99:B100"/>
    <mergeCell ref="V99:AA100"/>
    <mergeCell ref="AB99:AB100"/>
    <mergeCell ref="A101:B102"/>
    <mergeCell ref="A103:B104"/>
    <mergeCell ref="V104:Z107"/>
    <mergeCell ref="AA104:AB107"/>
    <mergeCell ref="A105:B106"/>
    <mergeCell ref="A107:B107"/>
    <mergeCell ref="A97:B98"/>
    <mergeCell ref="Z25:AA26"/>
    <mergeCell ref="AB25:AB27"/>
    <mergeCell ref="D26:T26"/>
    <mergeCell ref="A88:U88"/>
    <mergeCell ref="A89:C89"/>
    <mergeCell ref="U89:U90"/>
    <mergeCell ref="A90:C90"/>
    <mergeCell ref="A91:B92"/>
    <mergeCell ref="A93:B94"/>
    <mergeCell ref="V94:AA95"/>
    <mergeCell ref="AB94:AB95"/>
    <mergeCell ref="A95:B96"/>
    <mergeCell ref="C23:G23"/>
    <mergeCell ref="H23:J23"/>
    <mergeCell ref="A24:AB24"/>
    <mergeCell ref="A25:A27"/>
    <mergeCell ref="B25:B27"/>
    <mergeCell ref="C25:C27"/>
    <mergeCell ref="D25:T25"/>
    <mergeCell ref="U25:U27"/>
    <mergeCell ref="V25:V27"/>
    <mergeCell ref="W25:W27"/>
    <mergeCell ref="X25:X27"/>
    <mergeCell ref="Y25:Y27"/>
    <mergeCell ref="K23:AB23"/>
    <mergeCell ref="C18:G18"/>
    <mergeCell ref="H18:J18"/>
    <mergeCell ref="C19:G19"/>
    <mergeCell ref="H19:J19"/>
    <mergeCell ref="K18:AB18"/>
    <mergeCell ref="K19:AB19"/>
    <mergeCell ref="K20:AB20"/>
    <mergeCell ref="C20:G20"/>
    <mergeCell ref="H20:J20"/>
    <mergeCell ref="K22:AB22"/>
    <mergeCell ref="C21:G21"/>
    <mergeCell ref="H21:J21"/>
    <mergeCell ref="K21:AB21"/>
    <mergeCell ref="C22:G22"/>
    <mergeCell ref="H22:J22"/>
    <mergeCell ref="C16:G16"/>
    <mergeCell ref="H16:J16"/>
    <mergeCell ref="K16:AB16"/>
    <mergeCell ref="C17:G17"/>
    <mergeCell ref="H17:J17"/>
    <mergeCell ref="K17:AB17"/>
    <mergeCell ref="C14:G14"/>
    <mergeCell ref="H14:J14"/>
    <mergeCell ref="K14:AB14"/>
    <mergeCell ref="C15:G15"/>
    <mergeCell ref="H15:J15"/>
    <mergeCell ref="K15:AB15"/>
    <mergeCell ref="C12:G12"/>
    <mergeCell ref="H12:J12"/>
    <mergeCell ref="K12:AB12"/>
    <mergeCell ref="C13:G13"/>
    <mergeCell ref="H13:J13"/>
    <mergeCell ref="K13:AB13"/>
    <mergeCell ref="C10:G10"/>
    <mergeCell ref="H10:J10"/>
    <mergeCell ref="K10:AB10"/>
    <mergeCell ref="C11:G11"/>
    <mergeCell ref="H11:J11"/>
    <mergeCell ref="K11:AB11"/>
    <mergeCell ref="C1:Y6"/>
    <mergeCell ref="Z1:AB6"/>
    <mergeCell ref="B2:B6"/>
    <mergeCell ref="A9:B9"/>
    <mergeCell ref="D9:F9"/>
    <mergeCell ref="G9:J9"/>
    <mergeCell ref="K9:O9"/>
    <mergeCell ref="P9:T9"/>
    <mergeCell ref="W9:AB9"/>
    <mergeCell ref="U9:V9"/>
    <mergeCell ref="A8:B8"/>
    <mergeCell ref="C8:J8"/>
    <mergeCell ref="K8:O8"/>
    <mergeCell ref="P8:U8"/>
    <mergeCell ref="V8:AA8"/>
  </mergeCells>
  <conditionalFormatting sqref="D28:H87 I28:I80 I82 I85 D90:T90 J28:T87">
    <cfRule type="cellIs" dxfId="6" priority="8" operator="equal">
      <formula>"AB"</formula>
    </cfRule>
    <cfRule type="cellIs" dxfId="5" priority="9" operator="equal">
      <formula>"WH"</formula>
    </cfRule>
    <cfRule type="cellIs" dxfId="4" priority="10" operator="equal">
      <formula>"RA"</formula>
    </cfRule>
  </conditionalFormatting>
  <conditionalFormatting sqref="I29:I46 I48 I50:I51 I58:I59 I61 I65:I66 I70 I74 I79:I80 I82 I85 D28:H87 J28:M87">
    <cfRule type="cellIs" dxfId="3" priority="4" operator="equal">
      <formula>"U"</formula>
    </cfRule>
  </conditionalFormatting>
  <conditionalFormatting sqref="N80">
    <cfRule type="cellIs" dxfId="2" priority="3" operator="equal">
      <formula>"U"</formula>
    </cfRule>
  </conditionalFormatting>
  <conditionalFormatting sqref="Q80">
    <cfRule type="cellIs" dxfId="1" priority="2" operator="equal">
      <formula>"U"</formula>
    </cfRule>
  </conditionalFormatting>
  <conditionalFormatting sqref="P80">
    <cfRule type="cellIs" dxfId="0" priority="1" operator="equal">
      <formula>"U"</formula>
    </cfRule>
  </conditionalFormatting>
  <dataValidations count="7">
    <dataValidation allowBlank="1" showInputMessage="1" showErrorMessage="1" prompt="SELECT ANY ONE OF THE FOLLOWING:_x000a_O,A+,A,B+,B,U,W,AB,WH" sqref="R28:T87 P81:Q87 P28:Q79 N28:O87"/>
    <dataValidation allowBlank="1" showInputMessage="1" showErrorMessage="1" prompt="SELECT ANY ONE OF THE FOLLOWING:_x000a_O,A+,A,B+,B,RA,W,AB,WH" sqref="D65548:T65625 I82:J82 I79:I80 IZ65548:JP65625 D28:H87 I65:I66 I70 I61 I50:I51 I58:I59 L28:M87 I29:I46 I48 I74 IZ28:JP87 SV28:TL87 ACR28:ADH87 AMN28:AND87 AWJ28:AWZ87 BGF28:BGV87 BQB28:BQR87 BZX28:CAN87 CJT28:CKJ87 CTP28:CUF87 DDL28:DEB87 DNH28:DNX87 DXD28:DXT87 EGZ28:EHP87 EQV28:ERL87 FAR28:FBH87 FKN28:FLD87 FUJ28:FUZ87 GEF28:GEV87 GOB28:GOR87 GXX28:GYN87 HHT28:HIJ87 HRP28:HSF87 IBL28:ICB87 ILH28:ILX87 IVD28:IVT87 JEZ28:JFP87 JOV28:JPL87 JYR28:JZH87 KIN28:KJD87 KSJ28:KSZ87 LCF28:LCV87 LMB28:LMR87 LVX28:LWN87 MFT28:MGJ87 MPP28:MQF87 MZL28:NAB87 NJH28:NJX87 NTD28:NTT87 OCZ28:ODP87 OMV28:ONL87 OWR28:OXH87 PGN28:PHD87 PQJ28:PQZ87 QAF28:QAV87 QKB28:QKR87 QTX28:QUN87 RDT28:REJ87 RNP28:ROF87 RXL28:RYB87 SHH28:SHX87 SRD28:SRT87 TAZ28:TBP87 TKV28:TLL87 TUR28:TVH87 UEN28:UFD87 UOJ28:UOZ87 UYF28:UYV87 VIB28:VIR87 VRX28:VSN87 WBT28:WCJ87 WLP28:WMF87 WVL28:WWB87 WVL983052:WWB983129 WLP983052:WMF983129 WBT983052:WCJ983129 VRX983052:VSN983129 VIB983052:VIR983129 UYF983052:UYV983129 UOJ983052:UOZ983129 UEN983052:UFD983129 TUR983052:TVH983129 TKV983052:TLL983129 TAZ983052:TBP983129 SRD983052:SRT983129 SHH983052:SHX983129 RXL983052:RYB983129 RNP983052:ROF983129 RDT983052:REJ983129 QTX983052:QUN983129 QKB983052:QKR983129 QAF983052:QAV983129 PQJ983052:PQZ983129 PGN983052:PHD983129 OWR983052:OXH983129 OMV983052:ONL983129 OCZ983052:ODP983129 NTD983052:NTT983129 NJH983052:NJX983129 MZL983052:NAB983129 MPP983052:MQF983129 MFT983052:MGJ983129 LVX983052:LWN983129 LMB983052:LMR983129 LCF983052:LCV983129 KSJ983052:KSZ983129 KIN983052:KJD983129 JYR983052:JZH983129 JOV983052:JPL983129 JEZ983052:JFP983129 IVD983052:IVT983129 ILH983052:ILX983129 IBL983052:ICB983129 HRP983052:HSF983129 HHT983052:HIJ983129 GXX983052:GYN983129 GOB983052:GOR983129 GEF983052:GEV983129 FUJ983052:FUZ983129 FKN983052:FLD983129 FAR983052:FBH983129 EQV983052:ERL983129 EGZ983052:EHP983129 DXD983052:DXT983129 DNH983052:DNX983129 DDL983052:DEB983129 CTP983052:CUF983129 CJT983052:CKJ983129 BZX983052:CAN983129 BQB983052:BQR983129 BGF983052:BGV983129 AWJ983052:AWZ983129 AMN983052:AND983129 ACR983052:ADH983129 SV983052:TL983129 IZ983052:JP983129 D983052:T983129 WVL917516:WWB917593 WLP917516:WMF917593 WBT917516:WCJ917593 VRX917516:VSN917593 VIB917516:VIR917593 UYF917516:UYV917593 UOJ917516:UOZ917593 UEN917516:UFD917593 TUR917516:TVH917593 TKV917516:TLL917593 TAZ917516:TBP917593 SRD917516:SRT917593 SHH917516:SHX917593 RXL917516:RYB917593 RNP917516:ROF917593 RDT917516:REJ917593 QTX917516:QUN917593 QKB917516:QKR917593 QAF917516:QAV917593 PQJ917516:PQZ917593 PGN917516:PHD917593 OWR917516:OXH917593 OMV917516:ONL917593 OCZ917516:ODP917593 NTD917516:NTT917593 NJH917516:NJX917593 MZL917516:NAB917593 MPP917516:MQF917593 MFT917516:MGJ917593 LVX917516:LWN917593 LMB917516:LMR917593 LCF917516:LCV917593 KSJ917516:KSZ917593 KIN917516:KJD917593 JYR917516:JZH917593 JOV917516:JPL917593 JEZ917516:JFP917593 IVD917516:IVT917593 ILH917516:ILX917593 IBL917516:ICB917593 HRP917516:HSF917593 HHT917516:HIJ917593 GXX917516:GYN917593 GOB917516:GOR917593 GEF917516:GEV917593 FUJ917516:FUZ917593 FKN917516:FLD917593 FAR917516:FBH917593 EQV917516:ERL917593 EGZ917516:EHP917593 DXD917516:DXT917593 DNH917516:DNX917593 DDL917516:DEB917593 CTP917516:CUF917593 CJT917516:CKJ917593 BZX917516:CAN917593 BQB917516:BQR917593 BGF917516:BGV917593 AWJ917516:AWZ917593 AMN917516:AND917593 ACR917516:ADH917593 SV917516:TL917593 IZ917516:JP917593 D917516:T917593 WVL851980:WWB852057 WLP851980:WMF852057 WBT851980:WCJ852057 VRX851980:VSN852057 VIB851980:VIR852057 UYF851980:UYV852057 UOJ851980:UOZ852057 UEN851980:UFD852057 TUR851980:TVH852057 TKV851980:TLL852057 TAZ851980:TBP852057 SRD851980:SRT852057 SHH851980:SHX852057 RXL851980:RYB852057 RNP851980:ROF852057 RDT851980:REJ852057 QTX851980:QUN852057 QKB851980:QKR852057 QAF851980:QAV852057 PQJ851980:PQZ852057 PGN851980:PHD852057 OWR851980:OXH852057 OMV851980:ONL852057 OCZ851980:ODP852057 NTD851980:NTT852057 NJH851980:NJX852057 MZL851980:NAB852057 MPP851980:MQF852057 MFT851980:MGJ852057 LVX851980:LWN852057 LMB851980:LMR852057 LCF851980:LCV852057 KSJ851980:KSZ852057 KIN851980:KJD852057 JYR851980:JZH852057 JOV851980:JPL852057 JEZ851980:JFP852057 IVD851980:IVT852057 ILH851980:ILX852057 IBL851980:ICB852057 HRP851980:HSF852057 HHT851980:HIJ852057 GXX851980:GYN852057 GOB851980:GOR852057 GEF851980:GEV852057 FUJ851980:FUZ852057 FKN851980:FLD852057 FAR851980:FBH852057 EQV851980:ERL852057 EGZ851980:EHP852057 DXD851980:DXT852057 DNH851980:DNX852057 DDL851980:DEB852057 CTP851980:CUF852057 CJT851980:CKJ852057 BZX851980:CAN852057 BQB851980:BQR852057 BGF851980:BGV852057 AWJ851980:AWZ852057 AMN851980:AND852057 ACR851980:ADH852057 SV851980:TL852057 IZ851980:JP852057 D851980:T852057 WVL786444:WWB786521 WLP786444:WMF786521 WBT786444:WCJ786521 VRX786444:VSN786521 VIB786444:VIR786521 UYF786444:UYV786521 UOJ786444:UOZ786521 UEN786444:UFD786521 TUR786444:TVH786521 TKV786444:TLL786521 TAZ786444:TBP786521 SRD786444:SRT786521 SHH786444:SHX786521 RXL786444:RYB786521 RNP786444:ROF786521 RDT786444:REJ786521 QTX786444:QUN786521 QKB786444:QKR786521 QAF786444:QAV786521 PQJ786444:PQZ786521 PGN786444:PHD786521 OWR786444:OXH786521 OMV786444:ONL786521 OCZ786444:ODP786521 NTD786444:NTT786521 NJH786444:NJX786521 MZL786444:NAB786521 MPP786444:MQF786521 MFT786444:MGJ786521 LVX786444:LWN786521 LMB786444:LMR786521 LCF786444:LCV786521 KSJ786444:KSZ786521 KIN786444:KJD786521 JYR786444:JZH786521 JOV786444:JPL786521 JEZ786444:JFP786521 IVD786444:IVT786521 ILH786444:ILX786521 IBL786444:ICB786521 HRP786444:HSF786521 HHT786444:HIJ786521 GXX786444:GYN786521 GOB786444:GOR786521 GEF786444:GEV786521 FUJ786444:FUZ786521 FKN786444:FLD786521 FAR786444:FBH786521 EQV786444:ERL786521 EGZ786444:EHP786521 DXD786444:DXT786521 DNH786444:DNX786521 DDL786444:DEB786521 CTP786444:CUF786521 CJT786444:CKJ786521 BZX786444:CAN786521 BQB786444:BQR786521 BGF786444:BGV786521 AWJ786444:AWZ786521 AMN786444:AND786521 ACR786444:ADH786521 SV786444:TL786521 IZ786444:JP786521 D786444:T786521 WVL720908:WWB720985 WLP720908:WMF720985 WBT720908:WCJ720985 VRX720908:VSN720985 VIB720908:VIR720985 UYF720908:UYV720985 UOJ720908:UOZ720985 UEN720908:UFD720985 TUR720908:TVH720985 TKV720908:TLL720985 TAZ720908:TBP720985 SRD720908:SRT720985 SHH720908:SHX720985 RXL720908:RYB720985 RNP720908:ROF720985 RDT720908:REJ720985 QTX720908:QUN720985 QKB720908:QKR720985 QAF720908:QAV720985 PQJ720908:PQZ720985 PGN720908:PHD720985 OWR720908:OXH720985 OMV720908:ONL720985 OCZ720908:ODP720985 NTD720908:NTT720985 NJH720908:NJX720985 MZL720908:NAB720985 MPP720908:MQF720985 MFT720908:MGJ720985 LVX720908:LWN720985 LMB720908:LMR720985 LCF720908:LCV720985 KSJ720908:KSZ720985 KIN720908:KJD720985 JYR720908:JZH720985 JOV720908:JPL720985 JEZ720908:JFP720985 IVD720908:IVT720985 ILH720908:ILX720985 IBL720908:ICB720985 HRP720908:HSF720985 HHT720908:HIJ720985 GXX720908:GYN720985 GOB720908:GOR720985 GEF720908:GEV720985 FUJ720908:FUZ720985 FKN720908:FLD720985 FAR720908:FBH720985 EQV720908:ERL720985 EGZ720908:EHP720985 DXD720908:DXT720985 DNH720908:DNX720985 DDL720908:DEB720985 CTP720908:CUF720985 CJT720908:CKJ720985 BZX720908:CAN720985 BQB720908:BQR720985 BGF720908:BGV720985 AWJ720908:AWZ720985 AMN720908:AND720985 ACR720908:ADH720985 SV720908:TL720985 IZ720908:JP720985 D720908:T720985 WVL655372:WWB655449 WLP655372:WMF655449 WBT655372:WCJ655449 VRX655372:VSN655449 VIB655372:VIR655449 UYF655372:UYV655449 UOJ655372:UOZ655449 UEN655372:UFD655449 TUR655372:TVH655449 TKV655372:TLL655449 TAZ655372:TBP655449 SRD655372:SRT655449 SHH655372:SHX655449 RXL655372:RYB655449 RNP655372:ROF655449 RDT655372:REJ655449 QTX655372:QUN655449 QKB655372:QKR655449 QAF655372:QAV655449 PQJ655372:PQZ655449 PGN655372:PHD655449 OWR655372:OXH655449 OMV655372:ONL655449 OCZ655372:ODP655449 NTD655372:NTT655449 NJH655372:NJX655449 MZL655372:NAB655449 MPP655372:MQF655449 MFT655372:MGJ655449 LVX655372:LWN655449 LMB655372:LMR655449 LCF655372:LCV655449 KSJ655372:KSZ655449 KIN655372:KJD655449 JYR655372:JZH655449 JOV655372:JPL655449 JEZ655372:JFP655449 IVD655372:IVT655449 ILH655372:ILX655449 IBL655372:ICB655449 HRP655372:HSF655449 HHT655372:HIJ655449 GXX655372:GYN655449 GOB655372:GOR655449 GEF655372:GEV655449 FUJ655372:FUZ655449 FKN655372:FLD655449 FAR655372:FBH655449 EQV655372:ERL655449 EGZ655372:EHP655449 DXD655372:DXT655449 DNH655372:DNX655449 DDL655372:DEB655449 CTP655372:CUF655449 CJT655372:CKJ655449 BZX655372:CAN655449 BQB655372:BQR655449 BGF655372:BGV655449 AWJ655372:AWZ655449 AMN655372:AND655449 ACR655372:ADH655449 SV655372:TL655449 IZ655372:JP655449 D655372:T655449 WVL589836:WWB589913 WLP589836:WMF589913 WBT589836:WCJ589913 VRX589836:VSN589913 VIB589836:VIR589913 UYF589836:UYV589913 UOJ589836:UOZ589913 UEN589836:UFD589913 TUR589836:TVH589913 TKV589836:TLL589913 TAZ589836:TBP589913 SRD589836:SRT589913 SHH589836:SHX589913 RXL589836:RYB589913 RNP589836:ROF589913 RDT589836:REJ589913 QTX589836:QUN589913 QKB589836:QKR589913 QAF589836:QAV589913 PQJ589836:PQZ589913 PGN589836:PHD589913 OWR589836:OXH589913 OMV589836:ONL589913 OCZ589836:ODP589913 NTD589836:NTT589913 NJH589836:NJX589913 MZL589836:NAB589913 MPP589836:MQF589913 MFT589836:MGJ589913 LVX589836:LWN589913 LMB589836:LMR589913 LCF589836:LCV589913 KSJ589836:KSZ589913 KIN589836:KJD589913 JYR589836:JZH589913 JOV589836:JPL589913 JEZ589836:JFP589913 IVD589836:IVT589913 ILH589836:ILX589913 IBL589836:ICB589913 HRP589836:HSF589913 HHT589836:HIJ589913 GXX589836:GYN589913 GOB589836:GOR589913 GEF589836:GEV589913 FUJ589836:FUZ589913 FKN589836:FLD589913 FAR589836:FBH589913 EQV589836:ERL589913 EGZ589836:EHP589913 DXD589836:DXT589913 DNH589836:DNX589913 DDL589836:DEB589913 CTP589836:CUF589913 CJT589836:CKJ589913 BZX589836:CAN589913 BQB589836:BQR589913 BGF589836:BGV589913 AWJ589836:AWZ589913 AMN589836:AND589913 ACR589836:ADH589913 SV589836:TL589913 IZ589836:JP589913 D589836:T589913 WVL524300:WWB524377 WLP524300:WMF524377 WBT524300:WCJ524377 VRX524300:VSN524377 VIB524300:VIR524377 UYF524300:UYV524377 UOJ524300:UOZ524377 UEN524300:UFD524377 TUR524300:TVH524377 TKV524300:TLL524377 TAZ524300:TBP524377 SRD524300:SRT524377 SHH524300:SHX524377 RXL524300:RYB524377 RNP524300:ROF524377 RDT524300:REJ524377 QTX524300:QUN524377 QKB524300:QKR524377 QAF524300:QAV524377 PQJ524300:PQZ524377 PGN524300:PHD524377 OWR524300:OXH524377 OMV524300:ONL524377 OCZ524300:ODP524377 NTD524300:NTT524377 NJH524300:NJX524377 MZL524300:NAB524377 MPP524300:MQF524377 MFT524300:MGJ524377 LVX524300:LWN524377 LMB524300:LMR524377 LCF524300:LCV524377 KSJ524300:KSZ524377 KIN524300:KJD524377 JYR524300:JZH524377 JOV524300:JPL524377 JEZ524300:JFP524377 IVD524300:IVT524377 ILH524300:ILX524377 IBL524300:ICB524377 HRP524300:HSF524377 HHT524300:HIJ524377 GXX524300:GYN524377 GOB524300:GOR524377 GEF524300:GEV524377 FUJ524300:FUZ524377 FKN524300:FLD524377 FAR524300:FBH524377 EQV524300:ERL524377 EGZ524300:EHP524377 DXD524300:DXT524377 DNH524300:DNX524377 DDL524300:DEB524377 CTP524300:CUF524377 CJT524300:CKJ524377 BZX524300:CAN524377 BQB524300:BQR524377 BGF524300:BGV524377 AWJ524300:AWZ524377 AMN524300:AND524377 ACR524300:ADH524377 SV524300:TL524377 IZ524300:JP524377 D524300:T524377 WVL458764:WWB458841 WLP458764:WMF458841 WBT458764:WCJ458841 VRX458764:VSN458841 VIB458764:VIR458841 UYF458764:UYV458841 UOJ458764:UOZ458841 UEN458764:UFD458841 TUR458764:TVH458841 TKV458764:TLL458841 TAZ458764:TBP458841 SRD458764:SRT458841 SHH458764:SHX458841 RXL458764:RYB458841 RNP458764:ROF458841 RDT458764:REJ458841 QTX458764:QUN458841 QKB458764:QKR458841 QAF458764:QAV458841 PQJ458764:PQZ458841 PGN458764:PHD458841 OWR458764:OXH458841 OMV458764:ONL458841 OCZ458764:ODP458841 NTD458764:NTT458841 NJH458764:NJX458841 MZL458764:NAB458841 MPP458764:MQF458841 MFT458764:MGJ458841 LVX458764:LWN458841 LMB458764:LMR458841 LCF458764:LCV458841 KSJ458764:KSZ458841 KIN458764:KJD458841 JYR458764:JZH458841 JOV458764:JPL458841 JEZ458764:JFP458841 IVD458764:IVT458841 ILH458764:ILX458841 IBL458764:ICB458841 HRP458764:HSF458841 HHT458764:HIJ458841 GXX458764:GYN458841 GOB458764:GOR458841 GEF458764:GEV458841 FUJ458764:FUZ458841 FKN458764:FLD458841 FAR458764:FBH458841 EQV458764:ERL458841 EGZ458764:EHP458841 DXD458764:DXT458841 DNH458764:DNX458841 DDL458764:DEB458841 CTP458764:CUF458841 CJT458764:CKJ458841 BZX458764:CAN458841 BQB458764:BQR458841 BGF458764:BGV458841 AWJ458764:AWZ458841 AMN458764:AND458841 ACR458764:ADH458841 SV458764:TL458841 IZ458764:JP458841 D458764:T458841 WVL393228:WWB393305 WLP393228:WMF393305 WBT393228:WCJ393305 VRX393228:VSN393305 VIB393228:VIR393305 UYF393228:UYV393305 UOJ393228:UOZ393305 UEN393228:UFD393305 TUR393228:TVH393305 TKV393228:TLL393305 TAZ393228:TBP393305 SRD393228:SRT393305 SHH393228:SHX393305 RXL393228:RYB393305 RNP393228:ROF393305 RDT393228:REJ393305 QTX393228:QUN393305 QKB393228:QKR393305 QAF393228:QAV393305 PQJ393228:PQZ393305 PGN393228:PHD393305 OWR393228:OXH393305 OMV393228:ONL393305 OCZ393228:ODP393305 NTD393228:NTT393305 NJH393228:NJX393305 MZL393228:NAB393305 MPP393228:MQF393305 MFT393228:MGJ393305 LVX393228:LWN393305 LMB393228:LMR393305 LCF393228:LCV393305 KSJ393228:KSZ393305 KIN393228:KJD393305 JYR393228:JZH393305 JOV393228:JPL393305 JEZ393228:JFP393305 IVD393228:IVT393305 ILH393228:ILX393305 IBL393228:ICB393305 HRP393228:HSF393305 HHT393228:HIJ393305 GXX393228:GYN393305 GOB393228:GOR393305 GEF393228:GEV393305 FUJ393228:FUZ393305 FKN393228:FLD393305 FAR393228:FBH393305 EQV393228:ERL393305 EGZ393228:EHP393305 DXD393228:DXT393305 DNH393228:DNX393305 DDL393228:DEB393305 CTP393228:CUF393305 CJT393228:CKJ393305 BZX393228:CAN393305 BQB393228:BQR393305 BGF393228:BGV393305 AWJ393228:AWZ393305 AMN393228:AND393305 ACR393228:ADH393305 SV393228:TL393305 IZ393228:JP393305 D393228:T393305 WVL327692:WWB327769 WLP327692:WMF327769 WBT327692:WCJ327769 VRX327692:VSN327769 VIB327692:VIR327769 UYF327692:UYV327769 UOJ327692:UOZ327769 UEN327692:UFD327769 TUR327692:TVH327769 TKV327692:TLL327769 TAZ327692:TBP327769 SRD327692:SRT327769 SHH327692:SHX327769 RXL327692:RYB327769 RNP327692:ROF327769 RDT327692:REJ327769 QTX327692:QUN327769 QKB327692:QKR327769 QAF327692:QAV327769 PQJ327692:PQZ327769 PGN327692:PHD327769 OWR327692:OXH327769 OMV327692:ONL327769 OCZ327692:ODP327769 NTD327692:NTT327769 NJH327692:NJX327769 MZL327692:NAB327769 MPP327692:MQF327769 MFT327692:MGJ327769 LVX327692:LWN327769 LMB327692:LMR327769 LCF327692:LCV327769 KSJ327692:KSZ327769 KIN327692:KJD327769 JYR327692:JZH327769 JOV327692:JPL327769 JEZ327692:JFP327769 IVD327692:IVT327769 ILH327692:ILX327769 IBL327692:ICB327769 HRP327692:HSF327769 HHT327692:HIJ327769 GXX327692:GYN327769 GOB327692:GOR327769 GEF327692:GEV327769 FUJ327692:FUZ327769 FKN327692:FLD327769 FAR327692:FBH327769 EQV327692:ERL327769 EGZ327692:EHP327769 DXD327692:DXT327769 DNH327692:DNX327769 DDL327692:DEB327769 CTP327692:CUF327769 CJT327692:CKJ327769 BZX327692:CAN327769 BQB327692:BQR327769 BGF327692:BGV327769 AWJ327692:AWZ327769 AMN327692:AND327769 ACR327692:ADH327769 SV327692:TL327769 IZ327692:JP327769 D327692:T327769 WVL262156:WWB262233 WLP262156:WMF262233 WBT262156:WCJ262233 VRX262156:VSN262233 VIB262156:VIR262233 UYF262156:UYV262233 UOJ262156:UOZ262233 UEN262156:UFD262233 TUR262156:TVH262233 TKV262156:TLL262233 TAZ262156:TBP262233 SRD262156:SRT262233 SHH262156:SHX262233 RXL262156:RYB262233 RNP262156:ROF262233 RDT262156:REJ262233 QTX262156:QUN262233 QKB262156:QKR262233 QAF262156:QAV262233 PQJ262156:PQZ262233 PGN262156:PHD262233 OWR262156:OXH262233 OMV262156:ONL262233 OCZ262156:ODP262233 NTD262156:NTT262233 NJH262156:NJX262233 MZL262156:NAB262233 MPP262156:MQF262233 MFT262156:MGJ262233 LVX262156:LWN262233 LMB262156:LMR262233 LCF262156:LCV262233 KSJ262156:KSZ262233 KIN262156:KJD262233 JYR262156:JZH262233 JOV262156:JPL262233 JEZ262156:JFP262233 IVD262156:IVT262233 ILH262156:ILX262233 IBL262156:ICB262233 HRP262156:HSF262233 HHT262156:HIJ262233 GXX262156:GYN262233 GOB262156:GOR262233 GEF262156:GEV262233 FUJ262156:FUZ262233 FKN262156:FLD262233 FAR262156:FBH262233 EQV262156:ERL262233 EGZ262156:EHP262233 DXD262156:DXT262233 DNH262156:DNX262233 DDL262156:DEB262233 CTP262156:CUF262233 CJT262156:CKJ262233 BZX262156:CAN262233 BQB262156:BQR262233 BGF262156:BGV262233 AWJ262156:AWZ262233 AMN262156:AND262233 ACR262156:ADH262233 SV262156:TL262233 IZ262156:JP262233 D262156:T262233 WVL196620:WWB196697 WLP196620:WMF196697 WBT196620:WCJ196697 VRX196620:VSN196697 VIB196620:VIR196697 UYF196620:UYV196697 UOJ196620:UOZ196697 UEN196620:UFD196697 TUR196620:TVH196697 TKV196620:TLL196697 TAZ196620:TBP196697 SRD196620:SRT196697 SHH196620:SHX196697 RXL196620:RYB196697 RNP196620:ROF196697 RDT196620:REJ196697 QTX196620:QUN196697 QKB196620:QKR196697 QAF196620:QAV196697 PQJ196620:PQZ196697 PGN196620:PHD196697 OWR196620:OXH196697 OMV196620:ONL196697 OCZ196620:ODP196697 NTD196620:NTT196697 NJH196620:NJX196697 MZL196620:NAB196697 MPP196620:MQF196697 MFT196620:MGJ196697 LVX196620:LWN196697 LMB196620:LMR196697 LCF196620:LCV196697 KSJ196620:KSZ196697 KIN196620:KJD196697 JYR196620:JZH196697 JOV196620:JPL196697 JEZ196620:JFP196697 IVD196620:IVT196697 ILH196620:ILX196697 IBL196620:ICB196697 HRP196620:HSF196697 HHT196620:HIJ196697 GXX196620:GYN196697 GOB196620:GOR196697 GEF196620:GEV196697 FUJ196620:FUZ196697 FKN196620:FLD196697 FAR196620:FBH196697 EQV196620:ERL196697 EGZ196620:EHP196697 DXD196620:DXT196697 DNH196620:DNX196697 DDL196620:DEB196697 CTP196620:CUF196697 CJT196620:CKJ196697 BZX196620:CAN196697 BQB196620:BQR196697 BGF196620:BGV196697 AWJ196620:AWZ196697 AMN196620:AND196697 ACR196620:ADH196697 SV196620:TL196697 IZ196620:JP196697 D196620:T196697 WVL131084:WWB131161 WLP131084:WMF131161 WBT131084:WCJ131161 VRX131084:VSN131161 VIB131084:VIR131161 UYF131084:UYV131161 UOJ131084:UOZ131161 UEN131084:UFD131161 TUR131084:TVH131161 TKV131084:TLL131161 TAZ131084:TBP131161 SRD131084:SRT131161 SHH131084:SHX131161 RXL131084:RYB131161 RNP131084:ROF131161 RDT131084:REJ131161 QTX131084:QUN131161 QKB131084:QKR131161 QAF131084:QAV131161 PQJ131084:PQZ131161 PGN131084:PHD131161 OWR131084:OXH131161 OMV131084:ONL131161 OCZ131084:ODP131161 NTD131084:NTT131161 NJH131084:NJX131161 MZL131084:NAB131161 MPP131084:MQF131161 MFT131084:MGJ131161 LVX131084:LWN131161 LMB131084:LMR131161 LCF131084:LCV131161 KSJ131084:KSZ131161 KIN131084:KJD131161 JYR131084:JZH131161 JOV131084:JPL131161 JEZ131084:JFP131161 IVD131084:IVT131161 ILH131084:ILX131161 IBL131084:ICB131161 HRP131084:HSF131161 HHT131084:HIJ131161 GXX131084:GYN131161 GOB131084:GOR131161 GEF131084:GEV131161 FUJ131084:FUZ131161 FKN131084:FLD131161 FAR131084:FBH131161 EQV131084:ERL131161 EGZ131084:EHP131161 DXD131084:DXT131161 DNH131084:DNX131161 DDL131084:DEB131161 CTP131084:CUF131161 CJT131084:CKJ131161 BZX131084:CAN131161 BQB131084:BQR131161 BGF131084:BGV131161 AWJ131084:AWZ131161 AMN131084:AND131161 ACR131084:ADH131161 SV131084:TL131161 IZ131084:JP131161 D131084:T131161 WVL65548:WWB65625 WLP65548:WMF65625 WBT65548:WCJ65625 VRX65548:VSN65625 VIB65548:VIR65625 UYF65548:UYV65625 UOJ65548:UOZ65625 UEN65548:UFD65625 TUR65548:TVH65625 TKV65548:TLL65625 TAZ65548:TBP65625 SRD65548:SRT65625 SHH65548:SHX65625 RXL65548:RYB65625 RNP65548:ROF65625 RDT65548:REJ65625 QTX65548:QUN65625 QKB65548:QKR65625 QAF65548:QAV65625 PQJ65548:PQZ65625 PGN65548:PHD65625 OWR65548:OXH65625 OMV65548:ONL65625 OCZ65548:ODP65625 NTD65548:NTT65625 NJH65548:NJX65625 MZL65548:NAB65625 MPP65548:MQF65625 MFT65548:MGJ65625 LVX65548:LWN65625 LMB65548:LMR65625 LCF65548:LCV65625 KSJ65548:KSZ65625 KIN65548:KJD65625 JYR65548:JZH65625 JOV65548:JPL65625 JEZ65548:JFP65625 IVD65548:IVT65625 ILH65548:ILX65625 IBL65548:ICB65625 HRP65548:HSF65625 HHT65548:HIJ65625 GXX65548:GYN65625 GOB65548:GOR65625 GEF65548:GEV65625 FUJ65548:FUZ65625 FKN65548:FLD65625 FAR65548:FBH65625 EQV65548:ERL65625 EGZ65548:EHP65625 DXD65548:DXT65625 DNH65548:DNX65625 DDL65548:DEB65625 CTP65548:CUF65625 CJT65548:CKJ65625 BZX65548:CAN65625 BQB65548:BQR65625 BGF65548:BGV65625 AWJ65548:AWZ65625 AMN65548:AND65625 ACR65548:ADH65625 SV65548:TL65625 I85 J83:K87 J28:K81 P80:Q80"/>
    <dataValidation type="list" allowBlank="1" showInputMessage="1" showErrorMessage="1" sqref="P9:T9 WVX983029:WWB983029 WMB983029:WMF983029 WCF983029:WCJ983029 VSJ983029:VSN983029 VIN983029:VIR983029 UYR983029:UYV983029 UOV983029:UOZ983029 UEZ983029:UFD983029 TVD983029:TVH983029 TLH983029:TLL983029 TBL983029:TBP983029 SRP983029:SRT983029 SHT983029:SHX983029 RXX983029:RYB983029 ROB983029:ROF983029 REF983029:REJ983029 QUJ983029:QUN983029 QKN983029:QKR983029 QAR983029:QAV983029 PQV983029:PQZ983029 PGZ983029:PHD983029 OXD983029:OXH983029 ONH983029:ONL983029 ODL983029:ODP983029 NTP983029:NTT983029 NJT983029:NJX983029 MZX983029:NAB983029 MQB983029:MQF983029 MGF983029:MGJ983029 LWJ983029:LWN983029 LMN983029:LMR983029 LCR983029:LCV983029 KSV983029:KSZ983029 KIZ983029:KJD983029 JZD983029:JZH983029 JPH983029:JPL983029 JFL983029:JFP983029 IVP983029:IVT983029 ILT983029:ILX983029 IBX983029:ICB983029 HSB983029:HSF983029 HIF983029:HIJ983029 GYJ983029:GYN983029 GON983029:GOR983029 GER983029:GEV983029 FUV983029:FUZ983029 FKZ983029:FLD983029 FBD983029:FBH983029 ERH983029:ERL983029 EHL983029:EHP983029 DXP983029:DXT983029 DNT983029:DNX983029 DDX983029:DEB983029 CUB983029:CUF983029 CKF983029:CKJ983029 CAJ983029:CAN983029 BQN983029:BQR983029 BGR983029:BGV983029 AWV983029:AWZ983029 AMZ983029:AND983029 ADD983029:ADH983029 TH983029:TL983029 JL983029:JP983029 P983029:T983029 WVX917493:WWB917493 WMB917493:WMF917493 WCF917493:WCJ917493 VSJ917493:VSN917493 VIN917493:VIR917493 UYR917493:UYV917493 UOV917493:UOZ917493 UEZ917493:UFD917493 TVD917493:TVH917493 TLH917493:TLL917493 TBL917493:TBP917493 SRP917493:SRT917493 SHT917493:SHX917493 RXX917493:RYB917493 ROB917493:ROF917493 REF917493:REJ917493 QUJ917493:QUN917493 QKN917493:QKR917493 QAR917493:QAV917493 PQV917493:PQZ917493 PGZ917493:PHD917493 OXD917493:OXH917493 ONH917493:ONL917493 ODL917493:ODP917493 NTP917493:NTT917493 NJT917493:NJX917493 MZX917493:NAB917493 MQB917493:MQF917493 MGF917493:MGJ917493 LWJ917493:LWN917493 LMN917493:LMR917493 LCR917493:LCV917493 KSV917493:KSZ917493 KIZ917493:KJD917493 JZD917493:JZH917493 JPH917493:JPL917493 JFL917493:JFP917493 IVP917493:IVT917493 ILT917493:ILX917493 IBX917493:ICB917493 HSB917493:HSF917493 HIF917493:HIJ917493 GYJ917493:GYN917493 GON917493:GOR917493 GER917493:GEV917493 FUV917493:FUZ917493 FKZ917493:FLD917493 FBD917493:FBH917493 ERH917493:ERL917493 EHL917493:EHP917493 DXP917493:DXT917493 DNT917493:DNX917493 DDX917493:DEB917493 CUB917493:CUF917493 CKF917493:CKJ917493 CAJ917493:CAN917493 BQN917493:BQR917493 BGR917493:BGV917493 AWV917493:AWZ917493 AMZ917493:AND917493 ADD917493:ADH917493 TH917493:TL917493 JL917493:JP917493 P917493:T917493 WVX851957:WWB851957 WMB851957:WMF851957 WCF851957:WCJ851957 VSJ851957:VSN851957 VIN851957:VIR851957 UYR851957:UYV851957 UOV851957:UOZ851957 UEZ851957:UFD851957 TVD851957:TVH851957 TLH851957:TLL851957 TBL851957:TBP851957 SRP851957:SRT851957 SHT851957:SHX851957 RXX851957:RYB851957 ROB851957:ROF851957 REF851957:REJ851957 QUJ851957:QUN851957 QKN851957:QKR851957 QAR851957:QAV851957 PQV851957:PQZ851957 PGZ851957:PHD851957 OXD851957:OXH851957 ONH851957:ONL851957 ODL851957:ODP851957 NTP851957:NTT851957 NJT851957:NJX851957 MZX851957:NAB851957 MQB851957:MQF851957 MGF851957:MGJ851957 LWJ851957:LWN851957 LMN851957:LMR851957 LCR851957:LCV851957 KSV851957:KSZ851957 KIZ851957:KJD851957 JZD851957:JZH851957 JPH851957:JPL851957 JFL851957:JFP851957 IVP851957:IVT851957 ILT851957:ILX851957 IBX851957:ICB851957 HSB851957:HSF851957 HIF851957:HIJ851957 GYJ851957:GYN851957 GON851957:GOR851957 GER851957:GEV851957 FUV851957:FUZ851957 FKZ851957:FLD851957 FBD851957:FBH851957 ERH851957:ERL851957 EHL851957:EHP851957 DXP851957:DXT851957 DNT851957:DNX851957 DDX851957:DEB851957 CUB851957:CUF851957 CKF851957:CKJ851957 CAJ851957:CAN851957 BQN851957:BQR851957 BGR851957:BGV851957 AWV851957:AWZ851957 AMZ851957:AND851957 ADD851957:ADH851957 TH851957:TL851957 JL851957:JP851957 P851957:T851957 WVX786421:WWB786421 WMB786421:WMF786421 WCF786421:WCJ786421 VSJ786421:VSN786421 VIN786421:VIR786421 UYR786421:UYV786421 UOV786421:UOZ786421 UEZ786421:UFD786421 TVD786421:TVH786421 TLH786421:TLL786421 TBL786421:TBP786421 SRP786421:SRT786421 SHT786421:SHX786421 RXX786421:RYB786421 ROB786421:ROF786421 REF786421:REJ786421 QUJ786421:QUN786421 QKN786421:QKR786421 QAR786421:QAV786421 PQV786421:PQZ786421 PGZ786421:PHD786421 OXD786421:OXH786421 ONH786421:ONL786421 ODL786421:ODP786421 NTP786421:NTT786421 NJT786421:NJX786421 MZX786421:NAB786421 MQB786421:MQF786421 MGF786421:MGJ786421 LWJ786421:LWN786421 LMN786421:LMR786421 LCR786421:LCV786421 KSV786421:KSZ786421 KIZ786421:KJD786421 JZD786421:JZH786421 JPH786421:JPL786421 JFL786421:JFP786421 IVP786421:IVT786421 ILT786421:ILX786421 IBX786421:ICB786421 HSB786421:HSF786421 HIF786421:HIJ786421 GYJ786421:GYN786421 GON786421:GOR786421 GER786421:GEV786421 FUV786421:FUZ786421 FKZ786421:FLD786421 FBD786421:FBH786421 ERH786421:ERL786421 EHL786421:EHP786421 DXP786421:DXT786421 DNT786421:DNX786421 DDX786421:DEB786421 CUB786421:CUF786421 CKF786421:CKJ786421 CAJ786421:CAN786421 BQN786421:BQR786421 BGR786421:BGV786421 AWV786421:AWZ786421 AMZ786421:AND786421 ADD786421:ADH786421 TH786421:TL786421 JL786421:JP786421 P786421:T786421 WVX720885:WWB720885 WMB720885:WMF720885 WCF720885:WCJ720885 VSJ720885:VSN720885 VIN720885:VIR720885 UYR720885:UYV720885 UOV720885:UOZ720885 UEZ720885:UFD720885 TVD720885:TVH720885 TLH720885:TLL720885 TBL720885:TBP720885 SRP720885:SRT720885 SHT720885:SHX720885 RXX720885:RYB720885 ROB720885:ROF720885 REF720885:REJ720885 QUJ720885:QUN720885 QKN720885:QKR720885 QAR720885:QAV720885 PQV720885:PQZ720885 PGZ720885:PHD720885 OXD720885:OXH720885 ONH720885:ONL720885 ODL720885:ODP720885 NTP720885:NTT720885 NJT720885:NJX720885 MZX720885:NAB720885 MQB720885:MQF720885 MGF720885:MGJ720885 LWJ720885:LWN720885 LMN720885:LMR720885 LCR720885:LCV720885 KSV720885:KSZ720885 KIZ720885:KJD720885 JZD720885:JZH720885 JPH720885:JPL720885 JFL720885:JFP720885 IVP720885:IVT720885 ILT720885:ILX720885 IBX720885:ICB720885 HSB720885:HSF720885 HIF720885:HIJ720885 GYJ720885:GYN720885 GON720885:GOR720885 GER720885:GEV720885 FUV720885:FUZ720885 FKZ720885:FLD720885 FBD720885:FBH720885 ERH720885:ERL720885 EHL720885:EHP720885 DXP720885:DXT720885 DNT720885:DNX720885 DDX720885:DEB720885 CUB720885:CUF720885 CKF720885:CKJ720885 CAJ720885:CAN720885 BQN720885:BQR720885 BGR720885:BGV720885 AWV720885:AWZ720885 AMZ720885:AND720885 ADD720885:ADH720885 TH720885:TL720885 JL720885:JP720885 P720885:T720885 WVX655349:WWB655349 WMB655349:WMF655349 WCF655349:WCJ655349 VSJ655349:VSN655349 VIN655349:VIR655349 UYR655349:UYV655349 UOV655349:UOZ655349 UEZ655349:UFD655349 TVD655349:TVH655349 TLH655349:TLL655349 TBL655349:TBP655349 SRP655349:SRT655349 SHT655349:SHX655349 RXX655349:RYB655349 ROB655349:ROF655349 REF655349:REJ655349 QUJ655349:QUN655349 QKN655349:QKR655349 QAR655349:QAV655349 PQV655349:PQZ655349 PGZ655349:PHD655349 OXD655349:OXH655349 ONH655349:ONL655349 ODL655349:ODP655349 NTP655349:NTT655349 NJT655349:NJX655349 MZX655349:NAB655349 MQB655349:MQF655349 MGF655349:MGJ655349 LWJ655349:LWN655349 LMN655349:LMR655349 LCR655349:LCV655349 KSV655349:KSZ655349 KIZ655349:KJD655349 JZD655349:JZH655349 JPH655349:JPL655349 JFL655349:JFP655349 IVP655349:IVT655349 ILT655349:ILX655349 IBX655349:ICB655349 HSB655349:HSF655349 HIF655349:HIJ655349 GYJ655349:GYN655349 GON655349:GOR655349 GER655349:GEV655349 FUV655349:FUZ655349 FKZ655349:FLD655349 FBD655349:FBH655349 ERH655349:ERL655349 EHL655349:EHP655349 DXP655349:DXT655349 DNT655349:DNX655349 DDX655349:DEB655349 CUB655349:CUF655349 CKF655349:CKJ655349 CAJ655349:CAN655349 BQN655349:BQR655349 BGR655349:BGV655349 AWV655349:AWZ655349 AMZ655349:AND655349 ADD655349:ADH655349 TH655349:TL655349 JL655349:JP655349 P655349:T655349 WVX589813:WWB589813 WMB589813:WMF589813 WCF589813:WCJ589813 VSJ589813:VSN589813 VIN589813:VIR589813 UYR589813:UYV589813 UOV589813:UOZ589813 UEZ589813:UFD589813 TVD589813:TVH589813 TLH589813:TLL589813 TBL589813:TBP589813 SRP589813:SRT589813 SHT589813:SHX589813 RXX589813:RYB589813 ROB589813:ROF589813 REF589813:REJ589813 QUJ589813:QUN589813 QKN589813:QKR589813 QAR589813:QAV589813 PQV589813:PQZ589813 PGZ589813:PHD589813 OXD589813:OXH589813 ONH589813:ONL589813 ODL589813:ODP589813 NTP589813:NTT589813 NJT589813:NJX589813 MZX589813:NAB589813 MQB589813:MQF589813 MGF589813:MGJ589813 LWJ589813:LWN589813 LMN589813:LMR589813 LCR589813:LCV589813 KSV589813:KSZ589813 KIZ589813:KJD589813 JZD589813:JZH589813 JPH589813:JPL589813 JFL589813:JFP589813 IVP589813:IVT589813 ILT589813:ILX589813 IBX589813:ICB589813 HSB589813:HSF589813 HIF589813:HIJ589813 GYJ589813:GYN589813 GON589813:GOR589813 GER589813:GEV589813 FUV589813:FUZ589813 FKZ589813:FLD589813 FBD589813:FBH589813 ERH589813:ERL589813 EHL589813:EHP589813 DXP589813:DXT589813 DNT589813:DNX589813 DDX589813:DEB589813 CUB589813:CUF589813 CKF589813:CKJ589813 CAJ589813:CAN589813 BQN589813:BQR589813 BGR589813:BGV589813 AWV589813:AWZ589813 AMZ589813:AND589813 ADD589813:ADH589813 TH589813:TL589813 JL589813:JP589813 P589813:T589813 WVX524277:WWB524277 WMB524277:WMF524277 WCF524277:WCJ524277 VSJ524277:VSN524277 VIN524277:VIR524277 UYR524277:UYV524277 UOV524277:UOZ524277 UEZ524277:UFD524277 TVD524277:TVH524277 TLH524277:TLL524277 TBL524277:TBP524277 SRP524277:SRT524277 SHT524277:SHX524277 RXX524277:RYB524277 ROB524277:ROF524277 REF524277:REJ524277 QUJ524277:QUN524277 QKN524277:QKR524277 QAR524277:QAV524277 PQV524277:PQZ524277 PGZ524277:PHD524277 OXD524277:OXH524277 ONH524277:ONL524277 ODL524277:ODP524277 NTP524277:NTT524277 NJT524277:NJX524277 MZX524277:NAB524277 MQB524277:MQF524277 MGF524277:MGJ524277 LWJ524277:LWN524277 LMN524277:LMR524277 LCR524277:LCV524277 KSV524277:KSZ524277 KIZ524277:KJD524277 JZD524277:JZH524277 JPH524277:JPL524277 JFL524277:JFP524277 IVP524277:IVT524277 ILT524277:ILX524277 IBX524277:ICB524277 HSB524277:HSF524277 HIF524277:HIJ524277 GYJ524277:GYN524277 GON524277:GOR524277 GER524277:GEV524277 FUV524277:FUZ524277 FKZ524277:FLD524277 FBD524277:FBH524277 ERH524277:ERL524277 EHL524277:EHP524277 DXP524277:DXT524277 DNT524277:DNX524277 DDX524277:DEB524277 CUB524277:CUF524277 CKF524277:CKJ524277 CAJ524277:CAN524277 BQN524277:BQR524277 BGR524277:BGV524277 AWV524277:AWZ524277 AMZ524277:AND524277 ADD524277:ADH524277 TH524277:TL524277 JL524277:JP524277 P524277:T524277 WVX458741:WWB458741 WMB458741:WMF458741 WCF458741:WCJ458741 VSJ458741:VSN458741 VIN458741:VIR458741 UYR458741:UYV458741 UOV458741:UOZ458741 UEZ458741:UFD458741 TVD458741:TVH458741 TLH458741:TLL458741 TBL458741:TBP458741 SRP458741:SRT458741 SHT458741:SHX458741 RXX458741:RYB458741 ROB458741:ROF458741 REF458741:REJ458741 QUJ458741:QUN458741 QKN458741:QKR458741 QAR458741:QAV458741 PQV458741:PQZ458741 PGZ458741:PHD458741 OXD458741:OXH458741 ONH458741:ONL458741 ODL458741:ODP458741 NTP458741:NTT458741 NJT458741:NJX458741 MZX458741:NAB458741 MQB458741:MQF458741 MGF458741:MGJ458741 LWJ458741:LWN458741 LMN458741:LMR458741 LCR458741:LCV458741 KSV458741:KSZ458741 KIZ458741:KJD458741 JZD458741:JZH458741 JPH458741:JPL458741 JFL458741:JFP458741 IVP458741:IVT458741 ILT458741:ILX458741 IBX458741:ICB458741 HSB458741:HSF458741 HIF458741:HIJ458741 GYJ458741:GYN458741 GON458741:GOR458741 GER458741:GEV458741 FUV458741:FUZ458741 FKZ458741:FLD458741 FBD458741:FBH458741 ERH458741:ERL458741 EHL458741:EHP458741 DXP458741:DXT458741 DNT458741:DNX458741 DDX458741:DEB458741 CUB458741:CUF458741 CKF458741:CKJ458741 CAJ458741:CAN458741 BQN458741:BQR458741 BGR458741:BGV458741 AWV458741:AWZ458741 AMZ458741:AND458741 ADD458741:ADH458741 TH458741:TL458741 JL458741:JP458741 P458741:T458741 WVX393205:WWB393205 WMB393205:WMF393205 WCF393205:WCJ393205 VSJ393205:VSN393205 VIN393205:VIR393205 UYR393205:UYV393205 UOV393205:UOZ393205 UEZ393205:UFD393205 TVD393205:TVH393205 TLH393205:TLL393205 TBL393205:TBP393205 SRP393205:SRT393205 SHT393205:SHX393205 RXX393205:RYB393205 ROB393205:ROF393205 REF393205:REJ393205 QUJ393205:QUN393205 QKN393205:QKR393205 QAR393205:QAV393205 PQV393205:PQZ393205 PGZ393205:PHD393205 OXD393205:OXH393205 ONH393205:ONL393205 ODL393205:ODP393205 NTP393205:NTT393205 NJT393205:NJX393205 MZX393205:NAB393205 MQB393205:MQF393205 MGF393205:MGJ393205 LWJ393205:LWN393205 LMN393205:LMR393205 LCR393205:LCV393205 KSV393205:KSZ393205 KIZ393205:KJD393205 JZD393205:JZH393205 JPH393205:JPL393205 JFL393205:JFP393205 IVP393205:IVT393205 ILT393205:ILX393205 IBX393205:ICB393205 HSB393205:HSF393205 HIF393205:HIJ393205 GYJ393205:GYN393205 GON393205:GOR393205 GER393205:GEV393205 FUV393205:FUZ393205 FKZ393205:FLD393205 FBD393205:FBH393205 ERH393205:ERL393205 EHL393205:EHP393205 DXP393205:DXT393205 DNT393205:DNX393205 DDX393205:DEB393205 CUB393205:CUF393205 CKF393205:CKJ393205 CAJ393205:CAN393205 BQN393205:BQR393205 BGR393205:BGV393205 AWV393205:AWZ393205 AMZ393205:AND393205 ADD393205:ADH393205 TH393205:TL393205 JL393205:JP393205 P393205:T393205 WVX327669:WWB327669 WMB327669:WMF327669 WCF327669:WCJ327669 VSJ327669:VSN327669 VIN327669:VIR327669 UYR327669:UYV327669 UOV327669:UOZ327669 UEZ327669:UFD327669 TVD327669:TVH327669 TLH327669:TLL327669 TBL327669:TBP327669 SRP327669:SRT327669 SHT327669:SHX327669 RXX327669:RYB327669 ROB327669:ROF327669 REF327669:REJ327669 QUJ327669:QUN327669 QKN327669:QKR327669 QAR327669:QAV327669 PQV327669:PQZ327669 PGZ327669:PHD327669 OXD327669:OXH327669 ONH327669:ONL327669 ODL327669:ODP327669 NTP327669:NTT327669 NJT327669:NJX327669 MZX327669:NAB327669 MQB327669:MQF327669 MGF327669:MGJ327669 LWJ327669:LWN327669 LMN327669:LMR327669 LCR327669:LCV327669 KSV327669:KSZ327669 KIZ327669:KJD327669 JZD327669:JZH327669 JPH327669:JPL327669 JFL327669:JFP327669 IVP327669:IVT327669 ILT327669:ILX327669 IBX327669:ICB327669 HSB327669:HSF327669 HIF327669:HIJ327669 GYJ327669:GYN327669 GON327669:GOR327669 GER327669:GEV327669 FUV327669:FUZ327669 FKZ327669:FLD327669 FBD327669:FBH327669 ERH327669:ERL327669 EHL327669:EHP327669 DXP327669:DXT327669 DNT327669:DNX327669 DDX327669:DEB327669 CUB327669:CUF327669 CKF327669:CKJ327669 CAJ327669:CAN327669 BQN327669:BQR327669 BGR327669:BGV327669 AWV327669:AWZ327669 AMZ327669:AND327669 ADD327669:ADH327669 TH327669:TL327669 JL327669:JP327669 P327669:T327669 WVX262133:WWB262133 WMB262133:WMF262133 WCF262133:WCJ262133 VSJ262133:VSN262133 VIN262133:VIR262133 UYR262133:UYV262133 UOV262133:UOZ262133 UEZ262133:UFD262133 TVD262133:TVH262133 TLH262133:TLL262133 TBL262133:TBP262133 SRP262133:SRT262133 SHT262133:SHX262133 RXX262133:RYB262133 ROB262133:ROF262133 REF262133:REJ262133 QUJ262133:QUN262133 QKN262133:QKR262133 QAR262133:QAV262133 PQV262133:PQZ262133 PGZ262133:PHD262133 OXD262133:OXH262133 ONH262133:ONL262133 ODL262133:ODP262133 NTP262133:NTT262133 NJT262133:NJX262133 MZX262133:NAB262133 MQB262133:MQF262133 MGF262133:MGJ262133 LWJ262133:LWN262133 LMN262133:LMR262133 LCR262133:LCV262133 KSV262133:KSZ262133 KIZ262133:KJD262133 JZD262133:JZH262133 JPH262133:JPL262133 JFL262133:JFP262133 IVP262133:IVT262133 ILT262133:ILX262133 IBX262133:ICB262133 HSB262133:HSF262133 HIF262133:HIJ262133 GYJ262133:GYN262133 GON262133:GOR262133 GER262133:GEV262133 FUV262133:FUZ262133 FKZ262133:FLD262133 FBD262133:FBH262133 ERH262133:ERL262133 EHL262133:EHP262133 DXP262133:DXT262133 DNT262133:DNX262133 DDX262133:DEB262133 CUB262133:CUF262133 CKF262133:CKJ262133 CAJ262133:CAN262133 BQN262133:BQR262133 BGR262133:BGV262133 AWV262133:AWZ262133 AMZ262133:AND262133 ADD262133:ADH262133 TH262133:TL262133 JL262133:JP262133 P262133:T262133 WVX196597:WWB196597 WMB196597:WMF196597 WCF196597:WCJ196597 VSJ196597:VSN196597 VIN196597:VIR196597 UYR196597:UYV196597 UOV196597:UOZ196597 UEZ196597:UFD196597 TVD196597:TVH196597 TLH196597:TLL196597 TBL196597:TBP196597 SRP196597:SRT196597 SHT196597:SHX196597 RXX196597:RYB196597 ROB196597:ROF196597 REF196597:REJ196597 QUJ196597:QUN196597 QKN196597:QKR196597 QAR196597:QAV196597 PQV196597:PQZ196597 PGZ196597:PHD196597 OXD196597:OXH196597 ONH196597:ONL196597 ODL196597:ODP196597 NTP196597:NTT196597 NJT196597:NJX196597 MZX196597:NAB196597 MQB196597:MQF196597 MGF196597:MGJ196597 LWJ196597:LWN196597 LMN196597:LMR196597 LCR196597:LCV196597 KSV196597:KSZ196597 KIZ196597:KJD196597 JZD196597:JZH196597 JPH196597:JPL196597 JFL196597:JFP196597 IVP196597:IVT196597 ILT196597:ILX196597 IBX196597:ICB196597 HSB196597:HSF196597 HIF196597:HIJ196597 GYJ196597:GYN196597 GON196597:GOR196597 GER196597:GEV196597 FUV196597:FUZ196597 FKZ196597:FLD196597 FBD196597:FBH196597 ERH196597:ERL196597 EHL196597:EHP196597 DXP196597:DXT196597 DNT196597:DNX196597 DDX196597:DEB196597 CUB196597:CUF196597 CKF196597:CKJ196597 CAJ196597:CAN196597 BQN196597:BQR196597 BGR196597:BGV196597 AWV196597:AWZ196597 AMZ196597:AND196597 ADD196597:ADH196597 TH196597:TL196597 JL196597:JP196597 P196597:T196597 WVX131061:WWB131061 WMB131061:WMF131061 WCF131061:WCJ131061 VSJ131061:VSN131061 VIN131061:VIR131061 UYR131061:UYV131061 UOV131061:UOZ131061 UEZ131061:UFD131061 TVD131061:TVH131061 TLH131061:TLL131061 TBL131061:TBP131061 SRP131061:SRT131061 SHT131061:SHX131061 RXX131061:RYB131061 ROB131061:ROF131061 REF131061:REJ131061 QUJ131061:QUN131061 QKN131061:QKR131061 QAR131061:QAV131061 PQV131061:PQZ131061 PGZ131061:PHD131061 OXD131061:OXH131061 ONH131061:ONL131061 ODL131061:ODP131061 NTP131061:NTT131061 NJT131061:NJX131061 MZX131061:NAB131061 MQB131061:MQF131061 MGF131061:MGJ131061 LWJ131061:LWN131061 LMN131061:LMR131061 LCR131061:LCV131061 KSV131061:KSZ131061 KIZ131061:KJD131061 JZD131061:JZH131061 JPH131061:JPL131061 JFL131061:JFP131061 IVP131061:IVT131061 ILT131061:ILX131061 IBX131061:ICB131061 HSB131061:HSF131061 HIF131061:HIJ131061 GYJ131061:GYN131061 GON131061:GOR131061 GER131061:GEV131061 FUV131061:FUZ131061 FKZ131061:FLD131061 FBD131061:FBH131061 ERH131061:ERL131061 EHL131061:EHP131061 DXP131061:DXT131061 DNT131061:DNX131061 DDX131061:DEB131061 CUB131061:CUF131061 CKF131061:CKJ131061 CAJ131061:CAN131061 BQN131061:BQR131061 BGR131061:BGV131061 AWV131061:AWZ131061 AMZ131061:AND131061 ADD131061:ADH131061 TH131061:TL131061 JL131061:JP131061 P131061:T131061 WVX65525:WWB65525 WMB65525:WMF65525 WCF65525:WCJ65525 VSJ65525:VSN65525 VIN65525:VIR65525 UYR65525:UYV65525 UOV65525:UOZ65525 UEZ65525:UFD65525 TVD65525:TVH65525 TLH65525:TLL65525 TBL65525:TBP65525 SRP65525:SRT65525 SHT65525:SHX65525 RXX65525:RYB65525 ROB65525:ROF65525 REF65525:REJ65525 QUJ65525:QUN65525 QKN65525:QKR65525 QAR65525:QAV65525 PQV65525:PQZ65525 PGZ65525:PHD65525 OXD65525:OXH65525 ONH65525:ONL65525 ODL65525:ODP65525 NTP65525:NTT65525 NJT65525:NJX65525 MZX65525:NAB65525 MQB65525:MQF65525 MGF65525:MGJ65525 LWJ65525:LWN65525 LMN65525:LMR65525 LCR65525:LCV65525 KSV65525:KSZ65525 KIZ65525:KJD65525 JZD65525:JZH65525 JPH65525:JPL65525 JFL65525:JFP65525 IVP65525:IVT65525 ILT65525:ILX65525 IBX65525:ICB65525 HSB65525:HSF65525 HIF65525:HIJ65525 GYJ65525:GYN65525 GON65525:GOR65525 GER65525:GEV65525 FUV65525:FUZ65525 FKZ65525:FLD65525 FBD65525:FBH65525 ERH65525:ERL65525 EHL65525:EHP65525 DXP65525:DXT65525 DNT65525:DNX65525 DDX65525:DEB65525 CUB65525:CUF65525 CKF65525:CKJ65525 CAJ65525:CAN65525 BQN65525:BQR65525 BGR65525:BGV65525 AWV65525:AWZ65525 AMZ65525:AND65525 ADD65525:ADH65525 TH65525:TL65525 JL65525:JP65525 P65525:T65525 WVX9:WWB9 WMB9:WMF9 WCF9:WCJ9 VSJ9:VSN9 VIN9:VIR9 UYR9:UYV9 UOV9:UOZ9 UEZ9:UFD9 TVD9:TVH9 TLH9:TLL9 TBL9:TBP9 SRP9:SRT9 SHT9:SHX9 RXX9:RYB9 ROB9:ROF9 REF9:REJ9 QUJ9:QUN9 QKN9:QKR9 QAR9:QAV9 PQV9:PQZ9 PGZ9:PHD9 OXD9:OXH9 ONH9:ONL9 ODL9:ODP9 NTP9:NTT9 NJT9:NJX9 MZX9:NAB9 MQB9:MQF9 MGF9:MGJ9 LWJ9:LWN9 LMN9:LMR9 LCR9:LCV9 KSV9:KSZ9 KIZ9:KJD9 JZD9:JZH9 JPH9:JPL9 JFL9:JFP9 IVP9:IVT9 ILT9:ILX9 IBX9:ICB9 HSB9:HSF9 HIF9:HIJ9 GYJ9:GYN9 GON9:GOR9 GER9:GEV9 FUV9:FUZ9 FKZ9:FLD9 FBD9:FBH9 ERH9:ERL9 EHL9:EHP9 DXP9:DXT9 DNT9:DNX9 DDX9:DEB9 CUB9:CUF9 CKF9:CKJ9 CAJ9:CAN9 BQN9:BQR9 BGR9:BGV9 AWV9:AWZ9 AMZ9:AND9 ADD9:ADH9 TH9:TL9 JL9:JP9">
      <formula1>"JAN,FEB,MAR,APR,MAY,JUN,JUL,AUG,SEP,OCT,NOV,DEC"</formula1>
    </dataValidation>
    <dataValidation type="list" allowBlank="1" showInputMessage="1" showErrorMessage="1" sqref="G9:J9 WVO983029:WVR983029 WLS983029:WLV983029 WBW983029:WBZ983029 VSA983029:VSD983029 VIE983029:VIH983029 UYI983029:UYL983029 UOM983029:UOP983029 UEQ983029:UET983029 TUU983029:TUX983029 TKY983029:TLB983029 TBC983029:TBF983029 SRG983029:SRJ983029 SHK983029:SHN983029 RXO983029:RXR983029 RNS983029:RNV983029 RDW983029:RDZ983029 QUA983029:QUD983029 QKE983029:QKH983029 QAI983029:QAL983029 PQM983029:PQP983029 PGQ983029:PGT983029 OWU983029:OWX983029 OMY983029:ONB983029 ODC983029:ODF983029 NTG983029:NTJ983029 NJK983029:NJN983029 MZO983029:MZR983029 MPS983029:MPV983029 MFW983029:MFZ983029 LWA983029:LWD983029 LME983029:LMH983029 LCI983029:LCL983029 KSM983029:KSP983029 KIQ983029:KIT983029 JYU983029:JYX983029 JOY983029:JPB983029 JFC983029:JFF983029 IVG983029:IVJ983029 ILK983029:ILN983029 IBO983029:IBR983029 HRS983029:HRV983029 HHW983029:HHZ983029 GYA983029:GYD983029 GOE983029:GOH983029 GEI983029:GEL983029 FUM983029:FUP983029 FKQ983029:FKT983029 FAU983029:FAX983029 EQY983029:ERB983029 EHC983029:EHF983029 DXG983029:DXJ983029 DNK983029:DNN983029 DDO983029:DDR983029 CTS983029:CTV983029 CJW983029:CJZ983029 CAA983029:CAD983029 BQE983029:BQH983029 BGI983029:BGL983029 AWM983029:AWP983029 AMQ983029:AMT983029 ACU983029:ACX983029 SY983029:TB983029 JC983029:JF983029 G983029:J983029 WVO917493:WVR917493 WLS917493:WLV917493 WBW917493:WBZ917493 VSA917493:VSD917493 VIE917493:VIH917493 UYI917493:UYL917493 UOM917493:UOP917493 UEQ917493:UET917493 TUU917493:TUX917493 TKY917493:TLB917493 TBC917493:TBF917493 SRG917493:SRJ917493 SHK917493:SHN917493 RXO917493:RXR917493 RNS917493:RNV917493 RDW917493:RDZ917493 QUA917493:QUD917493 QKE917493:QKH917493 QAI917493:QAL917493 PQM917493:PQP917493 PGQ917493:PGT917493 OWU917493:OWX917493 OMY917493:ONB917493 ODC917493:ODF917493 NTG917493:NTJ917493 NJK917493:NJN917493 MZO917493:MZR917493 MPS917493:MPV917493 MFW917493:MFZ917493 LWA917493:LWD917493 LME917493:LMH917493 LCI917493:LCL917493 KSM917493:KSP917493 KIQ917493:KIT917493 JYU917493:JYX917493 JOY917493:JPB917493 JFC917493:JFF917493 IVG917493:IVJ917493 ILK917493:ILN917493 IBO917493:IBR917493 HRS917493:HRV917493 HHW917493:HHZ917493 GYA917493:GYD917493 GOE917493:GOH917493 GEI917493:GEL917493 FUM917493:FUP917493 FKQ917493:FKT917493 FAU917493:FAX917493 EQY917493:ERB917493 EHC917493:EHF917493 DXG917493:DXJ917493 DNK917493:DNN917493 DDO917493:DDR917493 CTS917493:CTV917493 CJW917493:CJZ917493 CAA917493:CAD917493 BQE917493:BQH917493 BGI917493:BGL917493 AWM917493:AWP917493 AMQ917493:AMT917493 ACU917493:ACX917493 SY917493:TB917493 JC917493:JF917493 G917493:J917493 WVO851957:WVR851957 WLS851957:WLV851957 WBW851957:WBZ851957 VSA851957:VSD851957 VIE851957:VIH851957 UYI851957:UYL851957 UOM851957:UOP851957 UEQ851957:UET851957 TUU851957:TUX851957 TKY851957:TLB851957 TBC851957:TBF851957 SRG851957:SRJ851957 SHK851957:SHN851957 RXO851957:RXR851957 RNS851957:RNV851957 RDW851957:RDZ851957 QUA851957:QUD851957 QKE851957:QKH851957 QAI851957:QAL851957 PQM851957:PQP851957 PGQ851957:PGT851957 OWU851957:OWX851957 OMY851957:ONB851957 ODC851957:ODF851957 NTG851957:NTJ851957 NJK851957:NJN851957 MZO851957:MZR851957 MPS851957:MPV851957 MFW851957:MFZ851957 LWA851957:LWD851957 LME851957:LMH851957 LCI851957:LCL851957 KSM851957:KSP851957 KIQ851957:KIT851957 JYU851957:JYX851957 JOY851957:JPB851957 JFC851957:JFF851957 IVG851957:IVJ851957 ILK851957:ILN851957 IBO851957:IBR851957 HRS851957:HRV851957 HHW851957:HHZ851957 GYA851957:GYD851957 GOE851957:GOH851957 GEI851957:GEL851957 FUM851957:FUP851957 FKQ851957:FKT851957 FAU851957:FAX851957 EQY851957:ERB851957 EHC851957:EHF851957 DXG851957:DXJ851957 DNK851957:DNN851957 DDO851957:DDR851957 CTS851957:CTV851957 CJW851957:CJZ851957 CAA851957:CAD851957 BQE851957:BQH851957 BGI851957:BGL851957 AWM851957:AWP851957 AMQ851957:AMT851957 ACU851957:ACX851957 SY851957:TB851957 JC851957:JF851957 G851957:J851957 WVO786421:WVR786421 WLS786421:WLV786421 WBW786421:WBZ786421 VSA786421:VSD786421 VIE786421:VIH786421 UYI786421:UYL786421 UOM786421:UOP786421 UEQ786421:UET786421 TUU786421:TUX786421 TKY786421:TLB786421 TBC786421:TBF786421 SRG786421:SRJ786421 SHK786421:SHN786421 RXO786421:RXR786421 RNS786421:RNV786421 RDW786421:RDZ786421 QUA786421:QUD786421 QKE786421:QKH786421 QAI786421:QAL786421 PQM786421:PQP786421 PGQ786421:PGT786421 OWU786421:OWX786421 OMY786421:ONB786421 ODC786421:ODF786421 NTG786421:NTJ786421 NJK786421:NJN786421 MZO786421:MZR786421 MPS786421:MPV786421 MFW786421:MFZ786421 LWA786421:LWD786421 LME786421:LMH786421 LCI786421:LCL786421 KSM786421:KSP786421 KIQ786421:KIT786421 JYU786421:JYX786421 JOY786421:JPB786421 JFC786421:JFF786421 IVG786421:IVJ786421 ILK786421:ILN786421 IBO786421:IBR786421 HRS786421:HRV786421 HHW786421:HHZ786421 GYA786421:GYD786421 GOE786421:GOH786421 GEI786421:GEL786421 FUM786421:FUP786421 FKQ786421:FKT786421 FAU786421:FAX786421 EQY786421:ERB786421 EHC786421:EHF786421 DXG786421:DXJ786421 DNK786421:DNN786421 DDO786421:DDR786421 CTS786421:CTV786421 CJW786421:CJZ786421 CAA786421:CAD786421 BQE786421:BQH786421 BGI786421:BGL786421 AWM786421:AWP786421 AMQ786421:AMT786421 ACU786421:ACX786421 SY786421:TB786421 JC786421:JF786421 G786421:J786421 WVO720885:WVR720885 WLS720885:WLV720885 WBW720885:WBZ720885 VSA720885:VSD720885 VIE720885:VIH720885 UYI720885:UYL720885 UOM720885:UOP720885 UEQ720885:UET720885 TUU720885:TUX720885 TKY720885:TLB720885 TBC720885:TBF720885 SRG720885:SRJ720885 SHK720885:SHN720885 RXO720885:RXR720885 RNS720885:RNV720885 RDW720885:RDZ720885 QUA720885:QUD720885 QKE720885:QKH720885 QAI720885:QAL720885 PQM720885:PQP720885 PGQ720885:PGT720885 OWU720885:OWX720885 OMY720885:ONB720885 ODC720885:ODF720885 NTG720885:NTJ720885 NJK720885:NJN720885 MZO720885:MZR720885 MPS720885:MPV720885 MFW720885:MFZ720885 LWA720885:LWD720885 LME720885:LMH720885 LCI720885:LCL720885 KSM720885:KSP720885 KIQ720885:KIT720885 JYU720885:JYX720885 JOY720885:JPB720885 JFC720885:JFF720885 IVG720885:IVJ720885 ILK720885:ILN720885 IBO720885:IBR720885 HRS720885:HRV720885 HHW720885:HHZ720885 GYA720885:GYD720885 GOE720885:GOH720885 GEI720885:GEL720885 FUM720885:FUP720885 FKQ720885:FKT720885 FAU720885:FAX720885 EQY720885:ERB720885 EHC720885:EHF720885 DXG720885:DXJ720885 DNK720885:DNN720885 DDO720885:DDR720885 CTS720885:CTV720885 CJW720885:CJZ720885 CAA720885:CAD720885 BQE720885:BQH720885 BGI720885:BGL720885 AWM720885:AWP720885 AMQ720885:AMT720885 ACU720885:ACX720885 SY720885:TB720885 JC720885:JF720885 G720885:J720885 WVO655349:WVR655349 WLS655349:WLV655349 WBW655349:WBZ655349 VSA655349:VSD655349 VIE655349:VIH655349 UYI655349:UYL655349 UOM655349:UOP655349 UEQ655349:UET655349 TUU655349:TUX655349 TKY655349:TLB655349 TBC655349:TBF655349 SRG655349:SRJ655349 SHK655349:SHN655349 RXO655349:RXR655349 RNS655349:RNV655349 RDW655349:RDZ655349 QUA655349:QUD655349 QKE655349:QKH655349 QAI655349:QAL655349 PQM655349:PQP655349 PGQ655349:PGT655349 OWU655349:OWX655349 OMY655349:ONB655349 ODC655349:ODF655349 NTG655349:NTJ655349 NJK655349:NJN655349 MZO655349:MZR655349 MPS655349:MPV655349 MFW655349:MFZ655349 LWA655349:LWD655349 LME655349:LMH655349 LCI655349:LCL655349 KSM655349:KSP655349 KIQ655349:KIT655349 JYU655349:JYX655349 JOY655349:JPB655349 JFC655349:JFF655349 IVG655349:IVJ655349 ILK655349:ILN655349 IBO655349:IBR655349 HRS655349:HRV655349 HHW655349:HHZ655349 GYA655349:GYD655349 GOE655349:GOH655349 GEI655349:GEL655349 FUM655349:FUP655349 FKQ655349:FKT655349 FAU655349:FAX655349 EQY655349:ERB655349 EHC655349:EHF655349 DXG655349:DXJ655349 DNK655349:DNN655349 DDO655349:DDR655349 CTS655349:CTV655349 CJW655349:CJZ655349 CAA655349:CAD655349 BQE655349:BQH655349 BGI655349:BGL655349 AWM655349:AWP655349 AMQ655349:AMT655349 ACU655349:ACX655349 SY655349:TB655349 JC655349:JF655349 G655349:J655349 WVO589813:WVR589813 WLS589813:WLV589813 WBW589813:WBZ589813 VSA589813:VSD589813 VIE589813:VIH589813 UYI589813:UYL589813 UOM589813:UOP589813 UEQ589813:UET589813 TUU589813:TUX589813 TKY589813:TLB589813 TBC589813:TBF589813 SRG589813:SRJ589813 SHK589813:SHN589813 RXO589813:RXR589813 RNS589813:RNV589813 RDW589813:RDZ589813 QUA589813:QUD589813 QKE589813:QKH589813 QAI589813:QAL589813 PQM589813:PQP589813 PGQ589813:PGT589813 OWU589813:OWX589813 OMY589813:ONB589813 ODC589813:ODF589813 NTG589813:NTJ589813 NJK589813:NJN589813 MZO589813:MZR589813 MPS589813:MPV589813 MFW589813:MFZ589813 LWA589813:LWD589813 LME589813:LMH589813 LCI589813:LCL589813 KSM589813:KSP589813 KIQ589813:KIT589813 JYU589813:JYX589813 JOY589813:JPB589813 JFC589813:JFF589813 IVG589813:IVJ589813 ILK589813:ILN589813 IBO589813:IBR589813 HRS589813:HRV589813 HHW589813:HHZ589813 GYA589813:GYD589813 GOE589813:GOH589813 GEI589813:GEL589813 FUM589813:FUP589813 FKQ589813:FKT589813 FAU589813:FAX589813 EQY589813:ERB589813 EHC589813:EHF589813 DXG589813:DXJ589813 DNK589813:DNN589813 DDO589813:DDR589813 CTS589813:CTV589813 CJW589813:CJZ589813 CAA589813:CAD589813 BQE589813:BQH589813 BGI589813:BGL589813 AWM589813:AWP589813 AMQ589813:AMT589813 ACU589813:ACX589813 SY589813:TB589813 JC589813:JF589813 G589813:J589813 WVO524277:WVR524277 WLS524277:WLV524277 WBW524277:WBZ524277 VSA524277:VSD524277 VIE524277:VIH524277 UYI524277:UYL524277 UOM524277:UOP524277 UEQ524277:UET524277 TUU524277:TUX524277 TKY524277:TLB524277 TBC524277:TBF524277 SRG524277:SRJ524277 SHK524277:SHN524277 RXO524277:RXR524277 RNS524277:RNV524277 RDW524277:RDZ524277 QUA524277:QUD524277 QKE524277:QKH524277 QAI524277:QAL524277 PQM524277:PQP524277 PGQ524277:PGT524277 OWU524277:OWX524277 OMY524277:ONB524277 ODC524277:ODF524277 NTG524277:NTJ524277 NJK524277:NJN524277 MZO524277:MZR524277 MPS524277:MPV524277 MFW524277:MFZ524277 LWA524277:LWD524277 LME524277:LMH524277 LCI524277:LCL524277 KSM524277:KSP524277 KIQ524277:KIT524277 JYU524277:JYX524277 JOY524277:JPB524277 JFC524277:JFF524277 IVG524277:IVJ524277 ILK524277:ILN524277 IBO524277:IBR524277 HRS524277:HRV524277 HHW524277:HHZ524277 GYA524277:GYD524277 GOE524277:GOH524277 GEI524277:GEL524277 FUM524277:FUP524277 FKQ524277:FKT524277 FAU524277:FAX524277 EQY524277:ERB524277 EHC524277:EHF524277 DXG524277:DXJ524277 DNK524277:DNN524277 DDO524277:DDR524277 CTS524277:CTV524277 CJW524277:CJZ524277 CAA524277:CAD524277 BQE524277:BQH524277 BGI524277:BGL524277 AWM524277:AWP524277 AMQ524277:AMT524277 ACU524277:ACX524277 SY524277:TB524277 JC524277:JF524277 G524277:J524277 WVO458741:WVR458741 WLS458741:WLV458741 WBW458741:WBZ458741 VSA458741:VSD458741 VIE458741:VIH458741 UYI458741:UYL458741 UOM458741:UOP458741 UEQ458741:UET458741 TUU458741:TUX458741 TKY458741:TLB458741 TBC458741:TBF458741 SRG458741:SRJ458741 SHK458741:SHN458741 RXO458741:RXR458741 RNS458741:RNV458741 RDW458741:RDZ458741 QUA458741:QUD458741 QKE458741:QKH458741 QAI458741:QAL458741 PQM458741:PQP458741 PGQ458741:PGT458741 OWU458741:OWX458741 OMY458741:ONB458741 ODC458741:ODF458741 NTG458741:NTJ458741 NJK458741:NJN458741 MZO458741:MZR458741 MPS458741:MPV458741 MFW458741:MFZ458741 LWA458741:LWD458741 LME458741:LMH458741 LCI458741:LCL458741 KSM458741:KSP458741 KIQ458741:KIT458741 JYU458741:JYX458741 JOY458741:JPB458741 JFC458741:JFF458741 IVG458741:IVJ458741 ILK458741:ILN458741 IBO458741:IBR458741 HRS458741:HRV458741 HHW458741:HHZ458741 GYA458741:GYD458741 GOE458741:GOH458741 GEI458741:GEL458741 FUM458741:FUP458741 FKQ458741:FKT458741 FAU458741:FAX458741 EQY458741:ERB458741 EHC458741:EHF458741 DXG458741:DXJ458741 DNK458741:DNN458741 DDO458741:DDR458741 CTS458741:CTV458741 CJW458741:CJZ458741 CAA458741:CAD458741 BQE458741:BQH458741 BGI458741:BGL458741 AWM458741:AWP458741 AMQ458741:AMT458741 ACU458741:ACX458741 SY458741:TB458741 JC458741:JF458741 G458741:J458741 WVO393205:WVR393205 WLS393205:WLV393205 WBW393205:WBZ393205 VSA393205:VSD393205 VIE393205:VIH393205 UYI393205:UYL393205 UOM393205:UOP393205 UEQ393205:UET393205 TUU393205:TUX393205 TKY393205:TLB393205 TBC393205:TBF393205 SRG393205:SRJ393205 SHK393205:SHN393205 RXO393205:RXR393205 RNS393205:RNV393205 RDW393205:RDZ393205 QUA393205:QUD393205 QKE393205:QKH393205 QAI393205:QAL393205 PQM393205:PQP393205 PGQ393205:PGT393205 OWU393205:OWX393205 OMY393205:ONB393205 ODC393205:ODF393205 NTG393205:NTJ393205 NJK393205:NJN393205 MZO393205:MZR393205 MPS393205:MPV393205 MFW393205:MFZ393205 LWA393205:LWD393205 LME393205:LMH393205 LCI393205:LCL393205 KSM393205:KSP393205 KIQ393205:KIT393205 JYU393205:JYX393205 JOY393205:JPB393205 JFC393205:JFF393205 IVG393205:IVJ393205 ILK393205:ILN393205 IBO393205:IBR393205 HRS393205:HRV393205 HHW393205:HHZ393205 GYA393205:GYD393205 GOE393205:GOH393205 GEI393205:GEL393205 FUM393205:FUP393205 FKQ393205:FKT393205 FAU393205:FAX393205 EQY393205:ERB393205 EHC393205:EHF393205 DXG393205:DXJ393205 DNK393205:DNN393205 DDO393205:DDR393205 CTS393205:CTV393205 CJW393205:CJZ393205 CAA393205:CAD393205 BQE393205:BQH393205 BGI393205:BGL393205 AWM393205:AWP393205 AMQ393205:AMT393205 ACU393205:ACX393205 SY393205:TB393205 JC393205:JF393205 G393205:J393205 WVO327669:WVR327669 WLS327669:WLV327669 WBW327669:WBZ327669 VSA327669:VSD327669 VIE327669:VIH327669 UYI327669:UYL327669 UOM327669:UOP327669 UEQ327669:UET327669 TUU327669:TUX327669 TKY327669:TLB327669 TBC327669:TBF327669 SRG327669:SRJ327669 SHK327669:SHN327669 RXO327669:RXR327669 RNS327669:RNV327669 RDW327669:RDZ327669 QUA327669:QUD327669 QKE327669:QKH327669 QAI327669:QAL327669 PQM327669:PQP327669 PGQ327669:PGT327669 OWU327669:OWX327669 OMY327669:ONB327669 ODC327669:ODF327669 NTG327669:NTJ327669 NJK327669:NJN327669 MZO327669:MZR327669 MPS327669:MPV327669 MFW327669:MFZ327669 LWA327669:LWD327669 LME327669:LMH327669 LCI327669:LCL327669 KSM327669:KSP327669 KIQ327669:KIT327669 JYU327669:JYX327669 JOY327669:JPB327669 JFC327669:JFF327669 IVG327669:IVJ327669 ILK327669:ILN327669 IBO327669:IBR327669 HRS327669:HRV327669 HHW327669:HHZ327669 GYA327669:GYD327669 GOE327669:GOH327669 GEI327669:GEL327669 FUM327669:FUP327669 FKQ327669:FKT327669 FAU327669:FAX327669 EQY327669:ERB327669 EHC327669:EHF327669 DXG327669:DXJ327669 DNK327669:DNN327669 DDO327669:DDR327669 CTS327669:CTV327669 CJW327669:CJZ327669 CAA327669:CAD327669 BQE327669:BQH327669 BGI327669:BGL327669 AWM327669:AWP327669 AMQ327669:AMT327669 ACU327669:ACX327669 SY327669:TB327669 JC327669:JF327669 G327669:J327669 WVO262133:WVR262133 WLS262133:WLV262133 WBW262133:WBZ262133 VSA262133:VSD262133 VIE262133:VIH262133 UYI262133:UYL262133 UOM262133:UOP262133 UEQ262133:UET262133 TUU262133:TUX262133 TKY262133:TLB262133 TBC262133:TBF262133 SRG262133:SRJ262133 SHK262133:SHN262133 RXO262133:RXR262133 RNS262133:RNV262133 RDW262133:RDZ262133 QUA262133:QUD262133 QKE262133:QKH262133 QAI262133:QAL262133 PQM262133:PQP262133 PGQ262133:PGT262133 OWU262133:OWX262133 OMY262133:ONB262133 ODC262133:ODF262133 NTG262133:NTJ262133 NJK262133:NJN262133 MZO262133:MZR262133 MPS262133:MPV262133 MFW262133:MFZ262133 LWA262133:LWD262133 LME262133:LMH262133 LCI262133:LCL262133 KSM262133:KSP262133 KIQ262133:KIT262133 JYU262133:JYX262133 JOY262133:JPB262133 JFC262133:JFF262133 IVG262133:IVJ262133 ILK262133:ILN262133 IBO262133:IBR262133 HRS262133:HRV262133 HHW262133:HHZ262133 GYA262133:GYD262133 GOE262133:GOH262133 GEI262133:GEL262133 FUM262133:FUP262133 FKQ262133:FKT262133 FAU262133:FAX262133 EQY262133:ERB262133 EHC262133:EHF262133 DXG262133:DXJ262133 DNK262133:DNN262133 DDO262133:DDR262133 CTS262133:CTV262133 CJW262133:CJZ262133 CAA262133:CAD262133 BQE262133:BQH262133 BGI262133:BGL262133 AWM262133:AWP262133 AMQ262133:AMT262133 ACU262133:ACX262133 SY262133:TB262133 JC262133:JF262133 G262133:J262133 WVO196597:WVR196597 WLS196597:WLV196597 WBW196597:WBZ196597 VSA196597:VSD196597 VIE196597:VIH196597 UYI196597:UYL196597 UOM196597:UOP196597 UEQ196597:UET196597 TUU196597:TUX196597 TKY196597:TLB196597 TBC196597:TBF196597 SRG196597:SRJ196597 SHK196597:SHN196597 RXO196597:RXR196597 RNS196597:RNV196597 RDW196597:RDZ196597 QUA196597:QUD196597 QKE196597:QKH196597 QAI196597:QAL196597 PQM196597:PQP196597 PGQ196597:PGT196597 OWU196597:OWX196597 OMY196597:ONB196597 ODC196597:ODF196597 NTG196597:NTJ196597 NJK196597:NJN196597 MZO196597:MZR196597 MPS196597:MPV196597 MFW196597:MFZ196597 LWA196597:LWD196597 LME196597:LMH196597 LCI196597:LCL196597 KSM196597:KSP196597 KIQ196597:KIT196597 JYU196597:JYX196597 JOY196597:JPB196597 JFC196597:JFF196597 IVG196597:IVJ196597 ILK196597:ILN196597 IBO196597:IBR196597 HRS196597:HRV196597 HHW196597:HHZ196597 GYA196597:GYD196597 GOE196597:GOH196597 GEI196597:GEL196597 FUM196597:FUP196597 FKQ196597:FKT196597 FAU196597:FAX196597 EQY196597:ERB196597 EHC196597:EHF196597 DXG196597:DXJ196597 DNK196597:DNN196597 DDO196597:DDR196597 CTS196597:CTV196597 CJW196597:CJZ196597 CAA196597:CAD196597 BQE196597:BQH196597 BGI196597:BGL196597 AWM196597:AWP196597 AMQ196597:AMT196597 ACU196597:ACX196597 SY196597:TB196597 JC196597:JF196597 G196597:J196597 WVO131061:WVR131061 WLS131061:WLV131061 WBW131061:WBZ131061 VSA131061:VSD131061 VIE131061:VIH131061 UYI131061:UYL131061 UOM131061:UOP131061 UEQ131061:UET131061 TUU131061:TUX131061 TKY131061:TLB131061 TBC131061:TBF131061 SRG131061:SRJ131061 SHK131061:SHN131061 RXO131061:RXR131061 RNS131061:RNV131061 RDW131061:RDZ131061 QUA131061:QUD131061 QKE131061:QKH131061 QAI131061:QAL131061 PQM131061:PQP131061 PGQ131061:PGT131061 OWU131061:OWX131061 OMY131061:ONB131061 ODC131061:ODF131061 NTG131061:NTJ131061 NJK131061:NJN131061 MZO131061:MZR131061 MPS131061:MPV131061 MFW131061:MFZ131061 LWA131061:LWD131061 LME131061:LMH131061 LCI131061:LCL131061 KSM131061:KSP131061 KIQ131061:KIT131061 JYU131061:JYX131061 JOY131061:JPB131061 JFC131061:JFF131061 IVG131061:IVJ131061 ILK131061:ILN131061 IBO131061:IBR131061 HRS131061:HRV131061 HHW131061:HHZ131061 GYA131061:GYD131061 GOE131061:GOH131061 GEI131061:GEL131061 FUM131061:FUP131061 FKQ131061:FKT131061 FAU131061:FAX131061 EQY131061:ERB131061 EHC131061:EHF131061 DXG131061:DXJ131061 DNK131061:DNN131061 DDO131061:DDR131061 CTS131061:CTV131061 CJW131061:CJZ131061 CAA131061:CAD131061 BQE131061:BQH131061 BGI131061:BGL131061 AWM131061:AWP131061 AMQ131061:AMT131061 ACU131061:ACX131061 SY131061:TB131061 JC131061:JF131061 G131061:J131061 WVO65525:WVR65525 WLS65525:WLV65525 WBW65525:WBZ65525 VSA65525:VSD65525 VIE65525:VIH65525 UYI65525:UYL65525 UOM65525:UOP65525 UEQ65525:UET65525 TUU65525:TUX65525 TKY65525:TLB65525 TBC65525:TBF65525 SRG65525:SRJ65525 SHK65525:SHN65525 RXO65525:RXR65525 RNS65525:RNV65525 RDW65525:RDZ65525 QUA65525:QUD65525 QKE65525:QKH65525 QAI65525:QAL65525 PQM65525:PQP65525 PGQ65525:PGT65525 OWU65525:OWX65525 OMY65525:ONB65525 ODC65525:ODF65525 NTG65525:NTJ65525 NJK65525:NJN65525 MZO65525:MZR65525 MPS65525:MPV65525 MFW65525:MFZ65525 LWA65525:LWD65525 LME65525:LMH65525 LCI65525:LCL65525 KSM65525:KSP65525 KIQ65525:KIT65525 JYU65525:JYX65525 JOY65525:JPB65525 JFC65525:JFF65525 IVG65525:IVJ65525 ILK65525:ILN65525 IBO65525:IBR65525 HRS65525:HRV65525 HHW65525:HHZ65525 GYA65525:GYD65525 GOE65525:GOH65525 GEI65525:GEL65525 FUM65525:FUP65525 FKQ65525:FKT65525 FAU65525:FAX65525 EQY65525:ERB65525 EHC65525:EHF65525 DXG65525:DXJ65525 DNK65525:DNN65525 DDO65525:DDR65525 CTS65525:CTV65525 CJW65525:CJZ65525 CAA65525:CAD65525 BQE65525:BQH65525 BGI65525:BGL65525 AWM65525:AWP65525 AMQ65525:AMT65525 ACU65525:ACX65525 SY65525:TB65525 JC65525:JF65525 G65525:J65525 WVO9:WVR9 WLS9:WLV9 WBW9:WBZ9 VSA9:VSD9 VIE9:VIH9 UYI9:UYL9 UOM9:UOP9 UEQ9:UET9 TUU9:TUX9 TKY9:TLB9 TBC9:TBF9 SRG9:SRJ9 SHK9:SHN9 RXO9:RXR9 RNS9:RNV9 RDW9:RDZ9 QUA9:QUD9 QKE9:QKH9 QAI9:QAL9 PQM9:PQP9 PGQ9:PGT9 OWU9:OWX9 OMY9:ONB9 ODC9:ODF9 NTG9:NTJ9 NJK9:NJN9 MZO9:MZR9 MPS9:MPV9 MFW9:MFZ9 LWA9:LWD9 LME9:LMH9 LCI9:LCL9 KSM9:KSP9 KIQ9:KIT9 JYU9:JYX9 JOY9:JPB9 JFC9:JFF9 IVG9:IVJ9 ILK9:ILN9 IBO9:IBR9 HRS9:HRV9 HHW9:HHZ9 GYA9:GYD9 GOE9:GOH9 GEI9:GEL9 FUM9:FUP9 FKQ9:FKT9 FAU9:FAX9 EQY9:ERB9 EHC9:EHF9 DXG9:DXJ9 DNK9:DNN9 DDO9:DDR9 CTS9:CTV9 CJW9:CJZ9 CAA9:CAD9 BQE9:BQH9 BGI9:BGL9 AWM9:AWP9 AMQ9:AMT9 ACU9:ACX9 SY9:TB9 JC9:JF9">
      <formula1>"A,B,C,D,-"</formula1>
    </dataValidation>
    <dataValidation type="list" allowBlank="1" showInputMessage="1" showErrorMessage="1" sqref="C9 WVK983029 WLO983029 WBS983029 VRW983029 VIA983029 UYE983029 UOI983029 UEM983029 TUQ983029 TKU983029 TAY983029 SRC983029 SHG983029 RXK983029 RNO983029 RDS983029 QTW983029 QKA983029 QAE983029 PQI983029 PGM983029 OWQ983029 OMU983029 OCY983029 NTC983029 NJG983029 MZK983029 MPO983029 MFS983029 LVW983029 LMA983029 LCE983029 KSI983029 KIM983029 JYQ983029 JOU983029 JEY983029 IVC983029 ILG983029 IBK983029 HRO983029 HHS983029 GXW983029 GOA983029 GEE983029 FUI983029 FKM983029 FAQ983029 EQU983029 EGY983029 DXC983029 DNG983029 DDK983029 CTO983029 CJS983029 BZW983029 BQA983029 BGE983029 AWI983029 AMM983029 ACQ983029 SU983029 IY983029 C983029 WVK917493 WLO917493 WBS917493 VRW917493 VIA917493 UYE917493 UOI917493 UEM917493 TUQ917493 TKU917493 TAY917493 SRC917493 SHG917493 RXK917493 RNO917493 RDS917493 QTW917493 QKA917493 QAE917493 PQI917493 PGM917493 OWQ917493 OMU917493 OCY917493 NTC917493 NJG917493 MZK917493 MPO917493 MFS917493 LVW917493 LMA917493 LCE917493 KSI917493 KIM917493 JYQ917493 JOU917493 JEY917493 IVC917493 ILG917493 IBK917493 HRO917493 HHS917493 GXW917493 GOA917493 GEE917493 FUI917493 FKM917493 FAQ917493 EQU917493 EGY917493 DXC917493 DNG917493 DDK917493 CTO917493 CJS917493 BZW917493 BQA917493 BGE917493 AWI917493 AMM917493 ACQ917493 SU917493 IY917493 C917493 WVK851957 WLO851957 WBS851957 VRW851957 VIA851957 UYE851957 UOI851957 UEM851957 TUQ851957 TKU851957 TAY851957 SRC851957 SHG851957 RXK851957 RNO851957 RDS851957 QTW851957 QKA851957 QAE851957 PQI851957 PGM851957 OWQ851957 OMU851957 OCY851957 NTC851957 NJG851957 MZK851957 MPO851957 MFS851957 LVW851957 LMA851957 LCE851957 KSI851957 KIM851957 JYQ851957 JOU851957 JEY851957 IVC851957 ILG851957 IBK851957 HRO851957 HHS851957 GXW851957 GOA851957 GEE851957 FUI851957 FKM851957 FAQ851957 EQU851957 EGY851957 DXC851957 DNG851957 DDK851957 CTO851957 CJS851957 BZW851957 BQA851957 BGE851957 AWI851957 AMM851957 ACQ851957 SU851957 IY851957 C851957 WVK786421 WLO786421 WBS786421 VRW786421 VIA786421 UYE786421 UOI786421 UEM786421 TUQ786421 TKU786421 TAY786421 SRC786421 SHG786421 RXK786421 RNO786421 RDS786421 QTW786421 QKA786421 QAE786421 PQI786421 PGM786421 OWQ786421 OMU786421 OCY786421 NTC786421 NJG786421 MZK786421 MPO786421 MFS786421 LVW786421 LMA786421 LCE786421 KSI786421 KIM786421 JYQ786421 JOU786421 JEY786421 IVC786421 ILG786421 IBK786421 HRO786421 HHS786421 GXW786421 GOA786421 GEE786421 FUI786421 FKM786421 FAQ786421 EQU786421 EGY786421 DXC786421 DNG786421 DDK786421 CTO786421 CJS786421 BZW786421 BQA786421 BGE786421 AWI786421 AMM786421 ACQ786421 SU786421 IY786421 C786421 WVK720885 WLO720885 WBS720885 VRW720885 VIA720885 UYE720885 UOI720885 UEM720885 TUQ720885 TKU720885 TAY720885 SRC720885 SHG720885 RXK720885 RNO720885 RDS720885 QTW720885 QKA720885 QAE720885 PQI720885 PGM720885 OWQ720885 OMU720885 OCY720885 NTC720885 NJG720885 MZK720885 MPO720885 MFS720885 LVW720885 LMA720885 LCE720885 KSI720885 KIM720885 JYQ720885 JOU720885 JEY720885 IVC720885 ILG720885 IBK720885 HRO720885 HHS720885 GXW720885 GOA720885 GEE720885 FUI720885 FKM720885 FAQ720885 EQU720885 EGY720885 DXC720885 DNG720885 DDK720885 CTO720885 CJS720885 BZW720885 BQA720885 BGE720885 AWI720885 AMM720885 ACQ720885 SU720885 IY720885 C720885 WVK655349 WLO655349 WBS655349 VRW655349 VIA655349 UYE655349 UOI655349 UEM655349 TUQ655349 TKU655349 TAY655349 SRC655349 SHG655349 RXK655349 RNO655349 RDS655349 QTW655349 QKA655349 QAE655349 PQI655349 PGM655349 OWQ655349 OMU655349 OCY655349 NTC655349 NJG655349 MZK655349 MPO655349 MFS655349 LVW655349 LMA655349 LCE655349 KSI655349 KIM655349 JYQ655349 JOU655349 JEY655349 IVC655349 ILG655349 IBK655349 HRO655349 HHS655349 GXW655349 GOA655349 GEE655349 FUI655349 FKM655349 FAQ655349 EQU655349 EGY655349 DXC655349 DNG655349 DDK655349 CTO655349 CJS655349 BZW655349 BQA655349 BGE655349 AWI655349 AMM655349 ACQ655349 SU655349 IY655349 C655349 WVK589813 WLO589813 WBS589813 VRW589813 VIA589813 UYE589813 UOI589813 UEM589813 TUQ589813 TKU589813 TAY589813 SRC589813 SHG589813 RXK589813 RNO589813 RDS589813 QTW589813 QKA589813 QAE589813 PQI589813 PGM589813 OWQ589813 OMU589813 OCY589813 NTC589813 NJG589813 MZK589813 MPO589813 MFS589813 LVW589813 LMA589813 LCE589813 KSI589813 KIM589813 JYQ589813 JOU589813 JEY589813 IVC589813 ILG589813 IBK589813 HRO589813 HHS589813 GXW589813 GOA589813 GEE589813 FUI589813 FKM589813 FAQ589813 EQU589813 EGY589813 DXC589813 DNG589813 DDK589813 CTO589813 CJS589813 BZW589813 BQA589813 BGE589813 AWI589813 AMM589813 ACQ589813 SU589813 IY589813 C589813 WVK524277 WLO524277 WBS524277 VRW524277 VIA524277 UYE524277 UOI524277 UEM524277 TUQ524277 TKU524277 TAY524277 SRC524277 SHG524277 RXK524277 RNO524277 RDS524277 QTW524277 QKA524277 QAE524277 PQI524277 PGM524277 OWQ524277 OMU524277 OCY524277 NTC524277 NJG524277 MZK524277 MPO524277 MFS524277 LVW524277 LMA524277 LCE524277 KSI524277 KIM524277 JYQ524277 JOU524277 JEY524277 IVC524277 ILG524277 IBK524277 HRO524277 HHS524277 GXW524277 GOA524277 GEE524277 FUI524277 FKM524277 FAQ524277 EQU524277 EGY524277 DXC524277 DNG524277 DDK524277 CTO524277 CJS524277 BZW524277 BQA524277 BGE524277 AWI524277 AMM524277 ACQ524277 SU524277 IY524277 C524277 WVK458741 WLO458741 WBS458741 VRW458741 VIA458741 UYE458741 UOI458741 UEM458741 TUQ458741 TKU458741 TAY458741 SRC458741 SHG458741 RXK458741 RNO458741 RDS458741 QTW458741 QKA458741 QAE458741 PQI458741 PGM458741 OWQ458741 OMU458741 OCY458741 NTC458741 NJG458741 MZK458741 MPO458741 MFS458741 LVW458741 LMA458741 LCE458741 KSI458741 KIM458741 JYQ458741 JOU458741 JEY458741 IVC458741 ILG458741 IBK458741 HRO458741 HHS458741 GXW458741 GOA458741 GEE458741 FUI458741 FKM458741 FAQ458741 EQU458741 EGY458741 DXC458741 DNG458741 DDK458741 CTO458741 CJS458741 BZW458741 BQA458741 BGE458741 AWI458741 AMM458741 ACQ458741 SU458741 IY458741 C458741 WVK393205 WLO393205 WBS393205 VRW393205 VIA393205 UYE393205 UOI393205 UEM393205 TUQ393205 TKU393205 TAY393205 SRC393205 SHG393205 RXK393205 RNO393205 RDS393205 QTW393205 QKA393205 QAE393205 PQI393205 PGM393205 OWQ393205 OMU393205 OCY393205 NTC393205 NJG393205 MZK393205 MPO393205 MFS393205 LVW393205 LMA393205 LCE393205 KSI393205 KIM393205 JYQ393205 JOU393205 JEY393205 IVC393205 ILG393205 IBK393205 HRO393205 HHS393205 GXW393205 GOA393205 GEE393205 FUI393205 FKM393205 FAQ393205 EQU393205 EGY393205 DXC393205 DNG393205 DDK393205 CTO393205 CJS393205 BZW393205 BQA393205 BGE393205 AWI393205 AMM393205 ACQ393205 SU393205 IY393205 C393205 WVK327669 WLO327669 WBS327669 VRW327669 VIA327669 UYE327669 UOI327669 UEM327669 TUQ327669 TKU327669 TAY327669 SRC327669 SHG327669 RXK327669 RNO327669 RDS327669 QTW327669 QKA327669 QAE327669 PQI327669 PGM327669 OWQ327669 OMU327669 OCY327669 NTC327669 NJG327669 MZK327669 MPO327669 MFS327669 LVW327669 LMA327669 LCE327669 KSI327669 KIM327669 JYQ327669 JOU327669 JEY327669 IVC327669 ILG327669 IBK327669 HRO327669 HHS327669 GXW327669 GOA327669 GEE327669 FUI327669 FKM327669 FAQ327669 EQU327669 EGY327669 DXC327669 DNG327669 DDK327669 CTO327669 CJS327669 BZW327669 BQA327669 BGE327669 AWI327669 AMM327669 ACQ327669 SU327669 IY327669 C327669 WVK262133 WLO262133 WBS262133 VRW262133 VIA262133 UYE262133 UOI262133 UEM262133 TUQ262133 TKU262133 TAY262133 SRC262133 SHG262133 RXK262133 RNO262133 RDS262133 QTW262133 QKA262133 QAE262133 PQI262133 PGM262133 OWQ262133 OMU262133 OCY262133 NTC262133 NJG262133 MZK262133 MPO262133 MFS262133 LVW262133 LMA262133 LCE262133 KSI262133 KIM262133 JYQ262133 JOU262133 JEY262133 IVC262133 ILG262133 IBK262133 HRO262133 HHS262133 GXW262133 GOA262133 GEE262133 FUI262133 FKM262133 FAQ262133 EQU262133 EGY262133 DXC262133 DNG262133 DDK262133 CTO262133 CJS262133 BZW262133 BQA262133 BGE262133 AWI262133 AMM262133 ACQ262133 SU262133 IY262133 C262133 WVK196597 WLO196597 WBS196597 VRW196597 VIA196597 UYE196597 UOI196597 UEM196597 TUQ196597 TKU196597 TAY196597 SRC196597 SHG196597 RXK196597 RNO196597 RDS196597 QTW196597 QKA196597 QAE196597 PQI196597 PGM196597 OWQ196597 OMU196597 OCY196597 NTC196597 NJG196597 MZK196597 MPO196597 MFS196597 LVW196597 LMA196597 LCE196597 KSI196597 KIM196597 JYQ196597 JOU196597 JEY196597 IVC196597 ILG196597 IBK196597 HRO196597 HHS196597 GXW196597 GOA196597 GEE196597 FUI196597 FKM196597 FAQ196597 EQU196597 EGY196597 DXC196597 DNG196597 DDK196597 CTO196597 CJS196597 BZW196597 BQA196597 BGE196597 AWI196597 AMM196597 ACQ196597 SU196597 IY196597 C196597 WVK131061 WLO131061 WBS131061 VRW131061 VIA131061 UYE131061 UOI131061 UEM131061 TUQ131061 TKU131061 TAY131061 SRC131061 SHG131061 RXK131061 RNO131061 RDS131061 QTW131061 QKA131061 QAE131061 PQI131061 PGM131061 OWQ131061 OMU131061 OCY131061 NTC131061 NJG131061 MZK131061 MPO131061 MFS131061 LVW131061 LMA131061 LCE131061 KSI131061 KIM131061 JYQ131061 JOU131061 JEY131061 IVC131061 ILG131061 IBK131061 HRO131061 HHS131061 GXW131061 GOA131061 GEE131061 FUI131061 FKM131061 FAQ131061 EQU131061 EGY131061 DXC131061 DNG131061 DDK131061 CTO131061 CJS131061 BZW131061 BQA131061 BGE131061 AWI131061 AMM131061 ACQ131061 SU131061 IY131061 C131061 WVK65525 WLO65525 WBS65525 VRW65525 VIA65525 UYE65525 UOI65525 UEM65525 TUQ65525 TKU65525 TAY65525 SRC65525 SHG65525 RXK65525 RNO65525 RDS65525 QTW65525 QKA65525 QAE65525 PQI65525 PGM65525 OWQ65525 OMU65525 OCY65525 NTC65525 NJG65525 MZK65525 MPO65525 MFS65525 LVW65525 LMA65525 LCE65525 KSI65525 KIM65525 JYQ65525 JOU65525 JEY65525 IVC65525 ILG65525 IBK65525 HRO65525 HHS65525 GXW65525 GOA65525 GEE65525 FUI65525 FKM65525 FAQ65525 EQU65525 EGY65525 DXC65525 DNG65525 DDK65525 CTO65525 CJS65525 BZW65525 BQA65525 BGE65525 AWI65525 AMM65525 ACQ65525 SU65525 IY65525 C65525 WVK9 WLO9 WBS9 VRW9 VIA9 UYE9 UOI9 UEM9 TUQ9 TKU9 TAY9 SRC9 SHG9 RXK9 RNO9 RDS9 QTW9 QKA9 QAE9 PQI9 PGM9 OWQ9 OMU9 OCY9 NTC9 NJG9 MZK9 MPO9 MFS9 LVW9 LMA9 LCE9 KSI9 KIM9 JYQ9 JOU9 JEY9 IVC9 ILG9 IBK9 HRO9 HHS9 GXW9 GOA9 GEE9 FUI9 FKM9 FAQ9 EQU9 EGY9 DXC9 DNG9 DDK9 CTO9 CJS9 BZW9 BQA9 BGE9 AWI9 AMM9 ACQ9 SU9 IY9">
      <formula1>"I,II,III,IV,V,VI,VII,VIII,IX,X"</formula1>
    </dataValidation>
    <dataValidation type="list" allowBlank="1" showInputMessage="1" showErrorMessage="1" sqref="A9:B9 WVI983029:WVJ983029 WLM983029:WLN983029 WBQ983029:WBR983029 VRU983029:VRV983029 VHY983029:VHZ983029 UYC983029:UYD983029 UOG983029:UOH983029 UEK983029:UEL983029 TUO983029:TUP983029 TKS983029:TKT983029 TAW983029:TAX983029 SRA983029:SRB983029 SHE983029:SHF983029 RXI983029:RXJ983029 RNM983029:RNN983029 RDQ983029:RDR983029 QTU983029:QTV983029 QJY983029:QJZ983029 QAC983029:QAD983029 PQG983029:PQH983029 PGK983029:PGL983029 OWO983029:OWP983029 OMS983029:OMT983029 OCW983029:OCX983029 NTA983029:NTB983029 NJE983029:NJF983029 MZI983029:MZJ983029 MPM983029:MPN983029 MFQ983029:MFR983029 LVU983029:LVV983029 LLY983029:LLZ983029 LCC983029:LCD983029 KSG983029:KSH983029 KIK983029:KIL983029 JYO983029:JYP983029 JOS983029:JOT983029 JEW983029:JEX983029 IVA983029:IVB983029 ILE983029:ILF983029 IBI983029:IBJ983029 HRM983029:HRN983029 HHQ983029:HHR983029 GXU983029:GXV983029 GNY983029:GNZ983029 GEC983029:GED983029 FUG983029:FUH983029 FKK983029:FKL983029 FAO983029:FAP983029 EQS983029:EQT983029 EGW983029:EGX983029 DXA983029:DXB983029 DNE983029:DNF983029 DDI983029:DDJ983029 CTM983029:CTN983029 CJQ983029:CJR983029 BZU983029:BZV983029 BPY983029:BPZ983029 BGC983029:BGD983029 AWG983029:AWH983029 AMK983029:AML983029 ACO983029:ACP983029 SS983029:ST983029 IW983029:IX983029 A983029:B983029 WVI917493:WVJ917493 WLM917493:WLN917493 WBQ917493:WBR917493 VRU917493:VRV917493 VHY917493:VHZ917493 UYC917493:UYD917493 UOG917493:UOH917493 UEK917493:UEL917493 TUO917493:TUP917493 TKS917493:TKT917493 TAW917493:TAX917493 SRA917493:SRB917493 SHE917493:SHF917493 RXI917493:RXJ917493 RNM917493:RNN917493 RDQ917493:RDR917493 QTU917493:QTV917493 QJY917493:QJZ917493 QAC917493:QAD917493 PQG917493:PQH917493 PGK917493:PGL917493 OWO917493:OWP917493 OMS917493:OMT917493 OCW917493:OCX917493 NTA917493:NTB917493 NJE917493:NJF917493 MZI917493:MZJ917493 MPM917493:MPN917493 MFQ917493:MFR917493 LVU917493:LVV917493 LLY917493:LLZ917493 LCC917493:LCD917493 KSG917493:KSH917493 KIK917493:KIL917493 JYO917493:JYP917493 JOS917493:JOT917493 JEW917493:JEX917493 IVA917493:IVB917493 ILE917493:ILF917493 IBI917493:IBJ917493 HRM917493:HRN917493 HHQ917493:HHR917493 GXU917493:GXV917493 GNY917493:GNZ917493 GEC917493:GED917493 FUG917493:FUH917493 FKK917493:FKL917493 FAO917493:FAP917493 EQS917493:EQT917493 EGW917493:EGX917493 DXA917493:DXB917493 DNE917493:DNF917493 DDI917493:DDJ917493 CTM917493:CTN917493 CJQ917493:CJR917493 BZU917493:BZV917493 BPY917493:BPZ917493 BGC917493:BGD917493 AWG917493:AWH917493 AMK917493:AML917493 ACO917493:ACP917493 SS917493:ST917493 IW917493:IX917493 A917493:B917493 WVI851957:WVJ851957 WLM851957:WLN851957 WBQ851957:WBR851957 VRU851957:VRV851957 VHY851957:VHZ851957 UYC851957:UYD851957 UOG851957:UOH851957 UEK851957:UEL851957 TUO851957:TUP851957 TKS851957:TKT851957 TAW851957:TAX851957 SRA851957:SRB851957 SHE851957:SHF851957 RXI851957:RXJ851957 RNM851957:RNN851957 RDQ851957:RDR851957 QTU851957:QTV851957 QJY851957:QJZ851957 QAC851957:QAD851957 PQG851957:PQH851957 PGK851957:PGL851957 OWO851957:OWP851957 OMS851957:OMT851957 OCW851957:OCX851957 NTA851957:NTB851957 NJE851957:NJF851957 MZI851957:MZJ851957 MPM851957:MPN851957 MFQ851957:MFR851957 LVU851957:LVV851957 LLY851957:LLZ851957 LCC851957:LCD851957 KSG851957:KSH851957 KIK851957:KIL851957 JYO851957:JYP851957 JOS851957:JOT851957 JEW851957:JEX851957 IVA851957:IVB851957 ILE851957:ILF851957 IBI851957:IBJ851957 HRM851957:HRN851957 HHQ851957:HHR851957 GXU851957:GXV851957 GNY851957:GNZ851957 GEC851957:GED851957 FUG851957:FUH851957 FKK851957:FKL851957 FAO851957:FAP851957 EQS851957:EQT851957 EGW851957:EGX851957 DXA851957:DXB851957 DNE851957:DNF851957 DDI851957:DDJ851957 CTM851957:CTN851957 CJQ851957:CJR851957 BZU851957:BZV851957 BPY851957:BPZ851957 BGC851957:BGD851957 AWG851957:AWH851957 AMK851957:AML851957 ACO851957:ACP851957 SS851957:ST851957 IW851957:IX851957 A851957:B851957 WVI786421:WVJ786421 WLM786421:WLN786421 WBQ786421:WBR786421 VRU786421:VRV786421 VHY786421:VHZ786421 UYC786421:UYD786421 UOG786421:UOH786421 UEK786421:UEL786421 TUO786421:TUP786421 TKS786421:TKT786421 TAW786421:TAX786421 SRA786421:SRB786421 SHE786421:SHF786421 RXI786421:RXJ786421 RNM786421:RNN786421 RDQ786421:RDR786421 QTU786421:QTV786421 QJY786421:QJZ786421 QAC786421:QAD786421 PQG786421:PQH786421 PGK786421:PGL786421 OWO786421:OWP786421 OMS786421:OMT786421 OCW786421:OCX786421 NTA786421:NTB786421 NJE786421:NJF786421 MZI786421:MZJ786421 MPM786421:MPN786421 MFQ786421:MFR786421 LVU786421:LVV786421 LLY786421:LLZ786421 LCC786421:LCD786421 KSG786421:KSH786421 KIK786421:KIL786421 JYO786421:JYP786421 JOS786421:JOT786421 JEW786421:JEX786421 IVA786421:IVB786421 ILE786421:ILF786421 IBI786421:IBJ786421 HRM786421:HRN786421 HHQ786421:HHR786421 GXU786421:GXV786421 GNY786421:GNZ786421 GEC786421:GED786421 FUG786421:FUH786421 FKK786421:FKL786421 FAO786421:FAP786421 EQS786421:EQT786421 EGW786421:EGX786421 DXA786421:DXB786421 DNE786421:DNF786421 DDI786421:DDJ786421 CTM786421:CTN786421 CJQ786421:CJR786421 BZU786421:BZV786421 BPY786421:BPZ786421 BGC786421:BGD786421 AWG786421:AWH786421 AMK786421:AML786421 ACO786421:ACP786421 SS786421:ST786421 IW786421:IX786421 A786421:B786421 WVI720885:WVJ720885 WLM720885:WLN720885 WBQ720885:WBR720885 VRU720885:VRV720885 VHY720885:VHZ720885 UYC720885:UYD720885 UOG720885:UOH720885 UEK720885:UEL720885 TUO720885:TUP720885 TKS720885:TKT720885 TAW720885:TAX720885 SRA720885:SRB720885 SHE720885:SHF720885 RXI720885:RXJ720885 RNM720885:RNN720885 RDQ720885:RDR720885 QTU720885:QTV720885 QJY720885:QJZ720885 QAC720885:QAD720885 PQG720885:PQH720885 PGK720885:PGL720885 OWO720885:OWP720885 OMS720885:OMT720885 OCW720885:OCX720885 NTA720885:NTB720885 NJE720885:NJF720885 MZI720885:MZJ720885 MPM720885:MPN720885 MFQ720885:MFR720885 LVU720885:LVV720885 LLY720885:LLZ720885 LCC720885:LCD720885 KSG720885:KSH720885 KIK720885:KIL720885 JYO720885:JYP720885 JOS720885:JOT720885 JEW720885:JEX720885 IVA720885:IVB720885 ILE720885:ILF720885 IBI720885:IBJ720885 HRM720885:HRN720885 HHQ720885:HHR720885 GXU720885:GXV720885 GNY720885:GNZ720885 GEC720885:GED720885 FUG720885:FUH720885 FKK720885:FKL720885 FAO720885:FAP720885 EQS720885:EQT720885 EGW720885:EGX720885 DXA720885:DXB720885 DNE720885:DNF720885 DDI720885:DDJ720885 CTM720885:CTN720885 CJQ720885:CJR720885 BZU720885:BZV720885 BPY720885:BPZ720885 BGC720885:BGD720885 AWG720885:AWH720885 AMK720885:AML720885 ACO720885:ACP720885 SS720885:ST720885 IW720885:IX720885 A720885:B720885 WVI655349:WVJ655349 WLM655349:WLN655349 WBQ655349:WBR655349 VRU655349:VRV655349 VHY655349:VHZ655349 UYC655349:UYD655349 UOG655349:UOH655349 UEK655349:UEL655349 TUO655349:TUP655349 TKS655349:TKT655349 TAW655349:TAX655349 SRA655349:SRB655349 SHE655349:SHF655349 RXI655349:RXJ655349 RNM655349:RNN655349 RDQ655349:RDR655349 QTU655349:QTV655349 QJY655349:QJZ655349 QAC655349:QAD655349 PQG655349:PQH655349 PGK655349:PGL655349 OWO655349:OWP655349 OMS655349:OMT655349 OCW655349:OCX655349 NTA655349:NTB655349 NJE655349:NJF655349 MZI655349:MZJ655349 MPM655349:MPN655349 MFQ655349:MFR655349 LVU655349:LVV655349 LLY655349:LLZ655349 LCC655349:LCD655349 KSG655349:KSH655349 KIK655349:KIL655349 JYO655349:JYP655349 JOS655349:JOT655349 JEW655349:JEX655349 IVA655349:IVB655349 ILE655349:ILF655349 IBI655349:IBJ655349 HRM655349:HRN655349 HHQ655349:HHR655349 GXU655349:GXV655349 GNY655349:GNZ655349 GEC655349:GED655349 FUG655349:FUH655349 FKK655349:FKL655349 FAO655349:FAP655349 EQS655349:EQT655349 EGW655349:EGX655349 DXA655349:DXB655349 DNE655349:DNF655349 DDI655349:DDJ655349 CTM655349:CTN655349 CJQ655349:CJR655349 BZU655349:BZV655349 BPY655349:BPZ655349 BGC655349:BGD655349 AWG655349:AWH655349 AMK655349:AML655349 ACO655349:ACP655349 SS655349:ST655349 IW655349:IX655349 A655349:B655349 WVI589813:WVJ589813 WLM589813:WLN589813 WBQ589813:WBR589813 VRU589813:VRV589813 VHY589813:VHZ589813 UYC589813:UYD589813 UOG589813:UOH589813 UEK589813:UEL589813 TUO589813:TUP589813 TKS589813:TKT589813 TAW589813:TAX589813 SRA589813:SRB589813 SHE589813:SHF589813 RXI589813:RXJ589813 RNM589813:RNN589813 RDQ589813:RDR589813 QTU589813:QTV589813 QJY589813:QJZ589813 QAC589813:QAD589813 PQG589813:PQH589813 PGK589813:PGL589813 OWO589813:OWP589813 OMS589813:OMT589813 OCW589813:OCX589813 NTA589813:NTB589813 NJE589813:NJF589813 MZI589813:MZJ589813 MPM589813:MPN589813 MFQ589813:MFR589813 LVU589813:LVV589813 LLY589813:LLZ589813 LCC589813:LCD589813 KSG589813:KSH589813 KIK589813:KIL589813 JYO589813:JYP589813 JOS589813:JOT589813 JEW589813:JEX589813 IVA589813:IVB589813 ILE589813:ILF589813 IBI589813:IBJ589813 HRM589813:HRN589813 HHQ589813:HHR589813 GXU589813:GXV589813 GNY589813:GNZ589813 GEC589813:GED589813 FUG589813:FUH589813 FKK589813:FKL589813 FAO589813:FAP589813 EQS589813:EQT589813 EGW589813:EGX589813 DXA589813:DXB589813 DNE589813:DNF589813 DDI589813:DDJ589813 CTM589813:CTN589813 CJQ589813:CJR589813 BZU589813:BZV589813 BPY589813:BPZ589813 BGC589813:BGD589813 AWG589813:AWH589813 AMK589813:AML589813 ACO589813:ACP589813 SS589813:ST589813 IW589813:IX589813 A589813:B589813 WVI524277:WVJ524277 WLM524277:WLN524277 WBQ524277:WBR524277 VRU524277:VRV524277 VHY524277:VHZ524277 UYC524277:UYD524277 UOG524277:UOH524277 UEK524277:UEL524277 TUO524277:TUP524277 TKS524277:TKT524277 TAW524277:TAX524277 SRA524277:SRB524277 SHE524277:SHF524277 RXI524277:RXJ524277 RNM524277:RNN524277 RDQ524277:RDR524277 QTU524277:QTV524277 QJY524277:QJZ524277 QAC524277:QAD524277 PQG524277:PQH524277 PGK524277:PGL524277 OWO524277:OWP524277 OMS524277:OMT524277 OCW524277:OCX524277 NTA524277:NTB524277 NJE524277:NJF524277 MZI524277:MZJ524277 MPM524277:MPN524277 MFQ524277:MFR524277 LVU524277:LVV524277 LLY524277:LLZ524277 LCC524277:LCD524277 KSG524277:KSH524277 KIK524277:KIL524277 JYO524277:JYP524277 JOS524277:JOT524277 JEW524277:JEX524277 IVA524277:IVB524277 ILE524277:ILF524277 IBI524277:IBJ524277 HRM524277:HRN524277 HHQ524277:HHR524277 GXU524277:GXV524277 GNY524277:GNZ524277 GEC524277:GED524277 FUG524277:FUH524277 FKK524277:FKL524277 FAO524277:FAP524277 EQS524277:EQT524277 EGW524277:EGX524277 DXA524277:DXB524277 DNE524277:DNF524277 DDI524277:DDJ524277 CTM524277:CTN524277 CJQ524277:CJR524277 BZU524277:BZV524277 BPY524277:BPZ524277 BGC524277:BGD524277 AWG524277:AWH524277 AMK524277:AML524277 ACO524277:ACP524277 SS524277:ST524277 IW524277:IX524277 A524277:B524277 WVI458741:WVJ458741 WLM458741:WLN458741 WBQ458741:WBR458741 VRU458741:VRV458741 VHY458741:VHZ458741 UYC458741:UYD458741 UOG458741:UOH458741 UEK458741:UEL458741 TUO458741:TUP458741 TKS458741:TKT458741 TAW458741:TAX458741 SRA458741:SRB458741 SHE458741:SHF458741 RXI458741:RXJ458741 RNM458741:RNN458741 RDQ458741:RDR458741 QTU458741:QTV458741 QJY458741:QJZ458741 QAC458741:QAD458741 PQG458741:PQH458741 PGK458741:PGL458741 OWO458741:OWP458741 OMS458741:OMT458741 OCW458741:OCX458741 NTA458741:NTB458741 NJE458741:NJF458741 MZI458741:MZJ458741 MPM458741:MPN458741 MFQ458741:MFR458741 LVU458741:LVV458741 LLY458741:LLZ458741 LCC458741:LCD458741 KSG458741:KSH458741 KIK458741:KIL458741 JYO458741:JYP458741 JOS458741:JOT458741 JEW458741:JEX458741 IVA458741:IVB458741 ILE458741:ILF458741 IBI458741:IBJ458741 HRM458741:HRN458741 HHQ458741:HHR458741 GXU458741:GXV458741 GNY458741:GNZ458741 GEC458741:GED458741 FUG458741:FUH458741 FKK458741:FKL458741 FAO458741:FAP458741 EQS458741:EQT458741 EGW458741:EGX458741 DXA458741:DXB458741 DNE458741:DNF458741 DDI458741:DDJ458741 CTM458741:CTN458741 CJQ458741:CJR458741 BZU458741:BZV458741 BPY458741:BPZ458741 BGC458741:BGD458741 AWG458741:AWH458741 AMK458741:AML458741 ACO458741:ACP458741 SS458741:ST458741 IW458741:IX458741 A458741:B458741 WVI393205:WVJ393205 WLM393205:WLN393205 WBQ393205:WBR393205 VRU393205:VRV393205 VHY393205:VHZ393205 UYC393205:UYD393205 UOG393205:UOH393205 UEK393205:UEL393205 TUO393205:TUP393205 TKS393205:TKT393205 TAW393205:TAX393205 SRA393205:SRB393205 SHE393205:SHF393205 RXI393205:RXJ393205 RNM393205:RNN393205 RDQ393205:RDR393205 QTU393205:QTV393205 QJY393205:QJZ393205 QAC393205:QAD393205 PQG393205:PQH393205 PGK393205:PGL393205 OWO393205:OWP393205 OMS393205:OMT393205 OCW393205:OCX393205 NTA393205:NTB393205 NJE393205:NJF393205 MZI393205:MZJ393205 MPM393205:MPN393205 MFQ393205:MFR393205 LVU393205:LVV393205 LLY393205:LLZ393205 LCC393205:LCD393205 KSG393205:KSH393205 KIK393205:KIL393205 JYO393205:JYP393205 JOS393205:JOT393205 JEW393205:JEX393205 IVA393205:IVB393205 ILE393205:ILF393205 IBI393205:IBJ393205 HRM393205:HRN393205 HHQ393205:HHR393205 GXU393205:GXV393205 GNY393205:GNZ393205 GEC393205:GED393205 FUG393205:FUH393205 FKK393205:FKL393205 FAO393205:FAP393205 EQS393205:EQT393205 EGW393205:EGX393205 DXA393205:DXB393205 DNE393205:DNF393205 DDI393205:DDJ393205 CTM393205:CTN393205 CJQ393205:CJR393205 BZU393205:BZV393205 BPY393205:BPZ393205 BGC393205:BGD393205 AWG393205:AWH393205 AMK393205:AML393205 ACO393205:ACP393205 SS393205:ST393205 IW393205:IX393205 A393205:B393205 WVI327669:WVJ327669 WLM327669:WLN327669 WBQ327669:WBR327669 VRU327669:VRV327669 VHY327669:VHZ327669 UYC327669:UYD327669 UOG327669:UOH327669 UEK327669:UEL327669 TUO327669:TUP327669 TKS327669:TKT327669 TAW327669:TAX327669 SRA327669:SRB327669 SHE327669:SHF327669 RXI327669:RXJ327669 RNM327669:RNN327669 RDQ327669:RDR327669 QTU327669:QTV327669 QJY327669:QJZ327669 QAC327669:QAD327669 PQG327669:PQH327669 PGK327669:PGL327669 OWO327669:OWP327669 OMS327669:OMT327669 OCW327669:OCX327669 NTA327669:NTB327669 NJE327669:NJF327669 MZI327669:MZJ327669 MPM327669:MPN327669 MFQ327669:MFR327669 LVU327669:LVV327669 LLY327669:LLZ327669 LCC327669:LCD327669 KSG327669:KSH327669 KIK327669:KIL327669 JYO327669:JYP327669 JOS327669:JOT327669 JEW327669:JEX327669 IVA327669:IVB327669 ILE327669:ILF327669 IBI327669:IBJ327669 HRM327669:HRN327669 HHQ327669:HHR327669 GXU327669:GXV327669 GNY327669:GNZ327669 GEC327669:GED327669 FUG327669:FUH327669 FKK327669:FKL327669 FAO327669:FAP327669 EQS327669:EQT327669 EGW327669:EGX327669 DXA327669:DXB327669 DNE327669:DNF327669 DDI327669:DDJ327669 CTM327669:CTN327669 CJQ327669:CJR327669 BZU327669:BZV327669 BPY327669:BPZ327669 BGC327669:BGD327669 AWG327669:AWH327669 AMK327669:AML327669 ACO327669:ACP327669 SS327669:ST327669 IW327669:IX327669 A327669:B327669 WVI262133:WVJ262133 WLM262133:WLN262133 WBQ262133:WBR262133 VRU262133:VRV262133 VHY262133:VHZ262133 UYC262133:UYD262133 UOG262133:UOH262133 UEK262133:UEL262133 TUO262133:TUP262133 TKS262133:TKT262133 TAW262133:TAX262133 SRA262133:SRB262133 SHE262133:SHF262133 RXI262133:RXJ262133 RNM262133:RNN262133 RDQ262133:RDR262133 QTU262133:QTV262133 QJY262133:QJZ262133 QAC262133:QAD262133 PQG262133:PQH262133 PGK262133:PGL262133 OWO262133:OWP262133 OMS262133:OMT262133 OCW262133:OCX262133 NTA262133:NTB262133 NJE262133:NJF262133 MZI262133:MZJ262133 MPM262133:MPN262133 MFQ262133:MFR262133 LVU262133:LVV262133 LLY262133:LLZ262133 LCC262133:LCD262133 KSG262133:KSH262133 KIK262133:KIL262133 JYO262133:JYP262133 JOS262133:JOT262133 JEW262133:JEX262133 IVA262133:IVB262133 ILE262133:ILF262133 IBI262133:IBJ262133 HRM262133:HRN262133 HHQ262133:HHR262133 GXU262133:GXV262133 GNY262133:GNZ262133 GEC262133:GED262133 FUG262133:FUH262133 FKK262133:FKL262133 FAO262133:FAP262133 EQS262133:EQT262133 EGW262133:EGX262133 DXA262133:DXB262133 DNE262133:DNF262133 DDI262133:DDJ262133 CTM262133:CTN262133 CJQ262133:CJR262133 BZU262133:BZV262133 BPY262133:BPZ262133 BGC262133:BGD262133 AWG262133:AWH262133 AMK262133:AML262133 ACO262133:ACP262133 SS262133:ST262133 IW262133:IX262133 A262133:B262133 WVI196597:WVJ196597 WLM196597:WLN196597 WBQ196597:WBR196597 VRU196597:VRV196597 VHY196597:VHZ196597 UYC196597:UYD196597 UOG196597:UOH196597 UEK196597:UEL196597 TUO196597:TUP196597 TKS196597:TKT196597 TAW196597:TAX196597 SRA196597:SRB196597 SHE196597:SHF196597 RXI196597:RXJ196597 RNM196597:RNN196597 RDQ196597:RDR196597 QTU196597:QTV196597 QJY196597:QJZ196597 QAC196597:QAD196597 PQG196597:PQH196597 PGK196597:PGL196597 OWO196597:OWP196597 OMS196597:OMT196597 OCW196597:OCX196597 NTA196597:NTB196597 NJE196597:NJF196597 MZI196597:MZJ196597 MPM196597:MPN196597 MFQ196597:MFR196597 LVU196597:LVV196597 LLY196597:LLZ196597 LCC196597:LCD196597 KSG196597:KSH196597 KIK196597:KIL196597 JYO196597:JYP196597 JOS196597:JOT196597 JEW196597:JEX196597 IVA196597:IVB196597 ILE196597:ILF196597 IBI196597:IBJ196597 HRM196597:HRN196597 HHQ196597:HHR196597 GXU196597:GXV196597 GNY196597:GNZ196597 GEC196597:GED196597 FUG196597:FUH196597 FKK196597:FKL196597 FAO196597:FAP196597 EQS196597:EQT196597 EGW196597:EGX196597 DXA196597:DXB196597 DNE196597:DNF196597 DDI196597:DDJ196597 CTM196597:CTN196597 CJQ196597:CJR196597 BZU196597:BZV196597 BPY196597:BPZ196597 BGC196597:BGD196597 AWG196597:AWH196597 AMK196597:AML196597 ACO196597:ACP196597 SS196597:ST196597 IW196597:IX196597 A196597:B196597 WVI131061:WVJ131061 WLM131061:WLN131061 WBQ131061:WBR131061 VRU131061:VRV131061 VHY131061:VHZ131061 UYC131061:UYD131061 UOG131061:UOH131061 UEK131061:UEL131061 TUO131061:TUP131061 TKS131061:TKT131061 TAW131061:TAX131061 SRA131061:SRB131061 SHE131061:SHF131061 RXI131061:RXJ131061 RNM131061:RNN131061 RDQ131061:RDR131061 QTU131061:QTV131061 QJY131061:QJZ131061 QAC131061:QAD131061 PQG131061:PQH131061 PGK131061:PGL131061 OWO131061:OWP131061 OMS131061:OMT131061 OCW131061:OCX131061 NTA131061:NTB131061 NJE131061:NJF131061 MZI131061:MZJ131061 MPM131061:MPN131061 MFQ131061:MFR131061 LVU131061:LVV131061 LLY131061:LLZ131061 LCC131061:LCD131061 KSG131061:KSH131061 KIK131061:KIL131061 JYO131061:JYP131061 JOS131061:JOT131061 JEW131061:JEX131061 IVA131061:IVB131061 ILE131061:ILF131061 IBI131061:IBJ131061 HRM131061:HRN131061 HHQ131061:HHR131061 GXU131061:GXV131061 GNY131061:GNZ131061 GEC131061:GED131061 FUG131061:FUH131061 FKK131061:FKL131061 FAO131061:FAP131061 EQS131061:EQT131061 EGW131061:EGX131061 DXA131061:DXB131061 DNE131061:DNF131061 DDI131061:DDJ131061 CTM131061:CTN131061 CJQ131061:CJR131061 BZU131061:BZV131061 BPY131061:BPZ131061 BGC131061:BGD131061 AWG131061:AWH131061 AMK131061:AML131061 ACO131061:ACP131061 SS131061:ST131061 IW131061:IX131061 A131061:B131061 WVI65525:WVJ65525 WLM65525:WLN65525 WBQ65525:WBR65525 VRU65525:VRV65525 VHY65525:VHZ65525 UYC65525:UYD65525 UOG65525:UOH65525 UEK65525:UEL65525 TUO65525:TUP65525 TKS65525:TKT65525 TAW65525:TAX65525 SRA65525:SRB65525 SHE65525:SHF65525 RXI65525:RXJ65525 RNM65525:RNN65525 RDQ65525:RDR65525 QTU65525:QTV65525 QJY65525:QJZ65525 QAC65525:QAD65525 PQG65525:PQH65525 PGK65525:PGL65525 OWO65525:OWP65525 OMS65525:OMT65525 OCW65525:OCX65525 NTA65525:NTB65525 NJE65525:NJF65525 MZI65525:MZJ65525 MPM65525:MPN65525 MFQ65525:MFR65525 LVU65525:LVV65525 LLY65525:LLZ65525 LCC65525:LCD65525 KSG65525:KSH65525 KIK65525:KIL65525 JYO65525:JYP65525 JOS65525:JOT65525 JEW65525:JEX65525 IVA65525:IVB65525 ILE65525:ILF65525 IBI65525:IBJ65525 HRM65525:HRN65525 HHQ65525:HHR65525 GXU65525:GXV65525 GNY65525:GNZ65525 GEC65525:GED65525 FUG65525:FUH65525 FKK65525:FKL65525 FAO65525:FAP65525 EQS65525:EQT65525 EGW65525:EGX65525 DXA65525:DXB65525 DNE65525:DNF65525 DDI65525:DDJ65525 CTM65525:CTN65525 CJQ65525:CJR65525 BZU65525:BZV65525 BPY65525:BPZ65525 BGC65525:BGD65525 AWG65525:AWH65525 AMK65525:AML65525 ACO65525:ACP65525 SS65525:ST65525 IW65525:IX65525 A65525:B65525 WVI9:WVJ9 WLM9:WLN9 WBQ9:WBR9 VRU9:VRV9 VHY9:VHZ9 UYC9:UYD9 UOG9:UOH9 UEK9:UEL9 TUO9:TUP9 TKS9:TKT9 TAW9:TAX9 SRA9:SRB9 SHE9:SHF9 RXI9:RXJ9 RNM9:RNN9 RDQ9:RDR9 QTU9:QTV9 QJY9:QJZ9 QAC9:QAD9 PQG9:PQH9 PGK9:PGL9 OWO9:OWP9 OMS9:OMT9 OCW9:OCX9 NTA9:NTB9 NJE9:NJF9 MZI9:MZJ9 MPM9:MPN9 MFQ9:MFR9 LVU9:LVV9 LLY9:LLZ9 LCC9:LCD9 KSG9:KSH9 KIK9:KIL9 JYO9:JYP9 JOS9:JOT9 JEW9:JEX9 IVA9:IVB9 ILE9:ILF9 IBI9:IBJ9 HRM9:HRN9 HHQ9:HHR9 GXU9:GXV9 GNY9:GNZ9 GEC9:GED9 FUG9:FUH9 FKK9:FKL9 FAO9:FAP9 EQS9:EQT9 EGW9:EGX9 DXA9:DXB9 DNE9:DNF9 DDI9:DDJ9 CTM9:CTN9 CJQ9:CJR9 BZU9:BZV9 BPY9:BPZ9 BGC9:BGD9 AWG9:AWH9 AMK9:AML9 ACO9:ACP9 SS9:ST9 IW9:IX9">
      <formula1>"SEMESTER NO.,TRIMESTER NO."</formula1>
    </dataValidation>
    <dataValidation type="decimal" allowBlank="1" showInputMessage="1" showErrorMessage="1" error="ENTER the GPA _x000a__x000a_IF THERE IS NO GPA LEAVE THE CELL AS BLANK_x000a_" prompt="ENTER the GPA_x000a__x000a_IF THERE IS NO GPA, LEAVE THE CELL AS BLANK" sqref="U65548:U65600 JQ28:JQ87 TM28:TM87 ADI28:ADI87 ANE28:ANE87 AXA28:AXA87 BGW28:BGW87 BQS28:BQS87 CAO28:CAO87 CKK28:CKK87 CUG28:CUG87 DEC28:DEC87 DNY28:DNY87 DXU28:DXU87 EHQ28:EHQ87 ERM28:ERM87 FBI28:FBI87 FLE28:FLE87 FVA28:FVA87 GEW28:GEW87 GOS28:GOS87 GYO28:GYO87 HIK28:HIK87 HSG28:HSG87 ICC28:ICC87 ILY28:ILY87 IVU28:IVU87 JFQ28:JFQ87 JPM28:JPM87 JZI28:JZI87 KJE28:KJE87 KTA28:KTA87 LCW28:LCW87 LMS28:LMS87 LWO28:LWO87 MGK28:MGK87 MQG28:MQG87 NAC28:NAC87 NJY28:NJY87 NTU28:NTU87 ODQ28:ODQ87 ONM28:ONM87 OXI28:OXI87 PHE28:PHE87 PRA28:PRA87 QAW28:QAW87 QKS28:QKS87 QUO28:QUO87 REK28:REK87 ROG28:ROG87 RYC28:RYC87 SHY28:SHY87 SRU28:SRU87 TBQ28:TBQ87 TLM28:TLM87 TVI28:TVI87 UFE28:UFE87 UPA28:UPA87 UYW28:UYW87 VIS28:VIS87 VSO28:VSO87 WCK28:WCK87 WMG28:WMG87 WWC28:WWC87 WWC983106:WWC983129 WMG983106:WMG983129 WCK983106:WCK983129 VSO983106:VSO983129 VIS983106:VIS983129 UYW983106:UYW983129 UPA983106:UPA983129 UFE983106:UFE983129 TVI983106:TVI983129 TLM983106:TLM983129 TBQ983106:TBQ983129 SRU983106:SRU983129 SHY983106:SHY983129 RYC983106:RYC983129 ROG983106:ROG983129 REK983106:REK983129 QUO983106:QUO983129 QKS983106:QKS983129 QAW983106:QAW983129 PRA983106:PRA983129 PHE983106:PHE983129 OXI983106:OXI983129 ONM983106:ONM983129 ODQ983106:ODQ983129 NTU983106:NTU983129 NJY983106:NJY983129 NAC983106:NAC983129 MQG983106:MQG983129 MGK983106:MGK983129 LWO983106:LWO983129 LMS983106:LMS983129 LCW983106:LCW983129 KTA983106:KTA983129 KJE983106:KJE983129 JZI983106:JZI983129 JPM983106:JPM983129 JFQ983106:JFQ983129 IVU983106:IVU983129 ILY983106:ILY983129 ICC983106:ICC983129 HSG983106:HSG983129 HIK983106:HIK983129 GYO983106:GYO983129 GOS983106:GOS983129 GEW983106:GEW983129 FVA983106:FVA983129 FLE983106:FLE983129 FBI983106:FBI983129 ERM983106:ERM983129 EHQ983106:EHQ983129 DXU983106:DXU983129 DNY983106:DNY983129 DEC983106:DEC983129 CUG983106:CUG983129 CKK983106:CKK983129 CAO983106:CAO983129 BQS983106:BQS983129 BGW983106:BGW983129 AXA983106:AXA983129 ANE983106:ANE983129 ADI983106:ADI983129 TM983106:TM983129 JQ983106:JQ983129 U983106:U983129 WWC917570:WWC917593 WMG917570:WMG917593 WCK917570:WCK917593 VSO917570:VSO917593 VIS917570:VIS917593 UYW917570:UYW917593 UPA917570:UPA917593 UFE917570:UFE917593 TVI917570:TVI917593 TLM917570:TLM917593 TBQ917570:TBQ917593 SRU917570:SRU917593 SHY917570:SHY917593 RYC917570:RYC917593 ROG917570:ROG917593 REK917570:REK917593 QUO917570:QUO917593 QKS917570:QKS917593 QAW917570:QAW917593 PRA917570:PRA917593 PHE917570:PHE917593 OXI917570:OXI917593 ONM917570:ONM917593 ODQ917570:ODQ917593 NTU917570:NTU917593 NJY917570:NJY917593 NAC917570:NAC917593 MQG917570:MQG917593 MGK917570:MGK917593 LWO917570:LWO917593 LMS917570:LMS917593 LCW917570:LCW917593 KTA917570:KTA917593 KJE917570:KJE917593 JZI917570:JZI917593 JPM917570:JPM917593 JFQ917570:JFQ917593 IVU917570:IVU917593 ILY917570:ILY917593 ICC917570:ICC917593 HSG917570:HSG917593 HIK917570:HIK917593 GYO917570:GYO917593 GOS917570:GOS917593 GEW917570:GEW917593 FVA917570:FVA917593 FLE917570:FLE917593 FBI917570:FBI917593 ERM917570:ERM917593 EHQ917570:EHQ917593 DXU917570:DXU917593 DNY917570:DNY917593 DEC917570:DEC917593 CUG917570:CUG917593 CKK917570:CKK917593 CAO917570:CAO917593 BQS917570:BQS917593 BGW917570:BGW917593 AXA917570:AXA917593 ANE917570:ANE917593 ADI917570:ADI917593 TM917570:TM917593 JQ917570:JQ917593 U917570:U917593 WWC852034:WWC852057 WMG852034:WMG852057 WCK852034:WCK852057 VSO852034:VSO852057 VIS852034:VIS852057 UYW852034:UYW852057 UPA852034:UPA852057 UFE852034:UFE852057 TVI852034:TVI852057 TLM852034:TLM852057 TBQ852034:TBQ852057 SRU852034:SRU852057 SHY852034:SHY852057 RYC852034:RYC852057 ROG852034:ROG852057 REK852034:REK852057 QUO852034:QUO852057 QKS852034:QKS852057 QAW852034:QAW852057 PRA852034:PRA852057 PHE852034:PHE852057 OXI852034:OXI852057 ONM852034:ONM852057 ODQ852034:ODQ852057 NTU852034:NTU852057 NJY852034:NJY852057 NAC852034:NAC852057 MQG852034:MQG852057 MGK852034:MGK852057 LWO852034:LWO852057 LMS852034:LMS852057 LCW852034:LCW852057 KTA852034:KTA852057 KJE852034:KJE852057 JZI852034:JZI852057 JPM852034:JPM852057 JFQ852034:JFQ852057 IVU852034:IVU852057 ILY852034:ILY852057 ICC852034:ICC852057 HSG852034:HSG852057 HIK852034:HIK852057 GYO852034:GYO852057 GOS852034:GOS852057 GEW852034:GEW852057 FVA852034:FVA852057 FLE852034:FLE852057 FBI852034:FBI852057 ERM852034:ERM852057 EHQ852034:EHQ852057 DXU852034:DXU852057 DNY852034:DNY852057 DEC852034:DEC852057 CUG852034:CUG852057 CKK852034:CKK852057 CAO852034:CAO852057 BQS852034:BQS852057 BGW852034:BGW852057 AXA852034:AXA852057 ANE852034:ANE852057 ADI852034:ADI852057 TM852034:TM852057 JQ852034:JQ852057 U852034:U852057 WWC786498:WWC786521 WMG786498:WMG786521 WCK786498:WCK786521 VSO786498:VSO786521 VIS786498:VIS786521 UYW786498:UYW786521 UPA786498:UPA786521 UFE786498:UFE786521 TVI786498:TVI786521 TLM786498:TLM786521 TBQ786498:TBQ786521 SRU786498:SRU786521 SHY786498:SHY786521 RYC786498:RYC786521 ROG786498:ROG786521 REK786498:REK786521 QUO786498:QUO786521 QKS786498:QKS786521 QAW786498:QAW786521 PRA786498:PRA786521 PHE786498:PHE786521 OXI786498:OXI786521 ONM786498:ONM786521 ODQ786498:ODQ786521 NTU786498:NTU786521 NJY786498:NJY786521 NAC786498:NAC786521 MQG786498:MQG786521 MGK786498:MGK786521 LWO786498:LWO786521 LMS786498:LMS786521 LCW786498:LCW786521 KTA786498:KTA786521 KJE786498:KJE786521 JZI786498:JZI786521 JPM786498:JPM786521 JFQ786498:JFQ786521 IVU786498:IVU786521 ILY786498:ILY786521 ICC786498:ICC786521 HSG786498:HSG786521 HIK786498:HIK786521 GYO786498:GYO786521 GOS786498:GOS786521 GEW786498:GEW786521 FVA786498:FVA786521 FLE786498:FLE786521 FBI786498:FBI786521 ERM786498:ERM786521 EHQ786498:EHQ786521 DXU786498:DXU786521 DNY786498:DNY786521 DEC786498:DEC786521 CUG786498:CUG786521 CKK786498:CKK786521 CAO786498:CAO786521 BQS786498:BQS786521 BGW786498:BGW786521 AXA786498:AXA786521 ANE786498:ANE786521 ADI786498:ADI786521 TM786498:TM786521 JQ786498:JQ786521 U786498:U786521 WWC720962:WWC720985 WMG720962:WMG720985 WCK720962:WCK720985 VSO720962:VSO720985 VIS720962:VIS720985 UYW720962:UYW720985 UPA720962:UPA720985 UFE720962:UFE720985 TVI720962:TVI720985 TLM720962:TLM720985 TBQ720962:TBQ720985 SRU720962:SRU720985 SHY720962:SHY720985 RYC720962:RYC720985 ROG720962:ROG720985 REK720962:REK720985 QUO720962:QUO720985 QKS720962:QKS720985 QAW720962:QAW720985 PRA720962:PRA720985 PHE720962:PHE720985 OXI720962:OXI720985 ONM720962:ONM720985 ODQ720962:ODQ720985 NTU720962:NTU720985 NJY720962:NJY720985 NAC720962:NAC720985 MQG720962:MQG720985 MGK720962:MGK720985 LWO720962:LWO720985 LMS720962:LMS720985 LCW720962:LCW720985 KTA720962:KTA720985 KJE720962:KJE720985 JZI720962:JZI720985 JPM720962:JPM720985 JFQ720962:JFQ720985 IVU720962:IVU720985 ILY720962:ILY720985 ICC720962:ICC720985 HSG720962:HSG720985 HIK720962:HIK720985 GYO720962:GYO720985 GOS720962:GOS720985 GEW720962:GEW720985 FVA720962:FVA720985 FLE720962:FLE720985 FBI720962:FBI720985 ERM720962:ERM720985 EHQ720962:EHQ720985 DXU720962:DXU720985 DNY720962:DNY720985 DEC720962:DEC720985 CUG720962:CUG720985 CKK720962:CKK720985 CAO720962:CAO720985 BQS720962:BQS720985 BGW720962:BGW720985 AXA720962:AXA720985 ANE720962:ANE720985 ADI720962:ADI720985 TM720962:TM720985 JQ720962:JQ720985 U720962:U720985 WWC655426:WWC655449 WMG655426:WMG655449 WCK655426:WCK655449 VSO655426:VSO655449 VIS655426:VIS655449 UYW655426:UYW655449 UPA655426:UPA655449 UFE655426:UFE655449 TVI655426:TVI655449 TLM655426:TLM655449 TBQ655426:TBQ655449 SRU655426:SRU655449 SHY655426:SHY655449 RYC655426:RYC655449 ROG655426:ROG655449 REK655426:REK655449 QUO655426:QUO655449 QKS655426:QKS655449 QAW655426:QAW655449 PRA655426:PRA655449 PHE655426:PHE655449 OXI655426:OXI655449 ONM655426:ONM655449 ODQ655426:ODQ655449 NTU655426:NTU655449 NJY655426:NJY655449 NAC655426:NAC655449 MQG655426:MQG655449 MGK655426:MGK655449 LWO655426:LWO655449 LMS655426:LMS655449 LCW655426:LCW655449 KTA655426:KTA655449 KJE655426:KJE655449 JZI655426:JZI655449 JPM655426:JPM655449 JFQ655426:JFQ655449 IVU655426:IVU655449 ILY655426:ILY655449 ICC655426:ICC655449 HSG655426:HSG655449 HIK655426:HIK655449 GYO655426:GYO655449 GOS655426:GOS655449 GEW655426:GEW655449 FVA655426:FVA655449 FLE655426:FLE655449 FBI655426:FBI655449 ERM655426:ERM655449 EHQ655426:EHQ655449 DXU655426:DXU655449 DNY655426:DNY655449 DEC655426:DEC655449 CUG655426:CUG655449 CKK655426:CKK655449 CAO655426:CAO655449 BQS655426:BQS655449 BGW655426:BGW655449 AXA655426:AXA655449 ANE655426:ANE655449 ADI655426:ADI655449 TM655426:TM655449 JQ655426:JQ655449 U655426:U655449 WWC589890:WWC589913 WMG589890:WMG589913 WCK589890:WCK589913 VSO589890:VSO589913 VIS589890:VIS589913 UYW589890:UYW589913 UPA589890:UPA589913 UFE589890:UFE589913 TVI589890:TVI589913 TLM589890:TLM589913 TBQ589890:TBQ589913 SRU589890:SRU589913 SHY589890:SHY589913 RYC589890:RYC589913 ROG589890:ROG589913 REK589890:REK589913 QUO589890:QUO589913 QKS589890:QKS589913 QAW589890:QAW589913 PRA589890:PRA589913 PHE589890:PHE589913 OXI589890:OXI589913 ONM589890:ONM589913 ODQ589890:ODQ589913 NTU589890:NTU589913 NJY589890:NJY589913 NAC589890:NAC589913 MQG589890:MQG589913 MGK589890:MGK589913 LWO589890:LWO589913 LMS589890:LMS589913 LCW589890:LCW589913 KTA589890:KTA589913 KJE589890:KJE589913 JZI589890:JZI589913 JPM589890:JPM589913 JFQ589890:JFQ589913 IVU589890:IVU589913 ILY589890:ILY589913 ICC589890:ICC589913 HSG589890:HSG589913 HIK589890:HIK589913 GYO589890:GYO589913 GOS589890:GOS589913 GEW589890:GEW589913 FVA589890:FVA589913 FLE589890:FLE589913 FBI589890:FBI589913 ERM589890:ERM589913 EHQ589890:EHQ589913 DXU589890:DXU589913 DNY589890:DNY589913 DEC589890:DEC589913 CUG589890:CUG589913 CKK589890:CKK589913 CAO589890:CAO589913 BQS589890:BQS589913 BGW589890:BGW589913 AXA589890:AXA589913 ANE589890:ANE589913 ADI589890:ADI589913 TM589890:TM589913 JQ589890:JQ589913 U589890:U589913 WWC524354:WWC524377 WMG524354:WMG524377 WCK524354:WCK524377 VSO524354:VSO524377 VIS524354:VIS524377 UYW524354:UYW524377 UPA524354:UPA524377 UFE524354:UFE524377 TVI524354:TVI524377 TLM524354:TLM524377 TBQ524354:TBQ524377 SRU524354:SRU524377 SHY524354:SHY524377 RYC524354:RYC524377 ROG524354:ROG524377 REK524354:REK524377 QUO524354:QUO524377 QKS524354:QKS524377 QAW524354:QAW524377 PRA524354:PRA524377 PHE524354:PHE524377 OXI524354:OXI524377 ONM524354:ONM524377 ODQ524354:ODQ524377 NTU524354:NTU524377 NJY524354:NJY524377 NAC524354:NAC524377 MQG524354:MQG524377 MGK524354:MGK524377 LWO524354:LWO524377 LMS524354:LMS524377 LCW524354:LCW524377 KTA524354:KTA524377 KJE524354:KJE524377 JZI524354:JZI524377 JPM524354:JPM524377 JFQ524354:JFQ524377 IVU524354:IVU524377 ILY524354:ILY524377 ICC524354:ICC524377 HSG524354:HSG524377 HIK524354:HIK524377 GYO524354:GYO524377 GOS524354:GOS524377 GEW524354:GEW524377 FVA524354:FVA524377 FLE524354:FLE524377 FBI524354:FBI524377 ERM524354:ERM524377 EHQ524354:EHQ524377 DXU524354:DXU524377 DNY524354:DNY524377 DEC524354:DEC524377 CUG524354:CUG524377 CKK524354:CKK524377 CAO524354:CAO524377 BQS524354:BQS524377 BGW524354:BGW524377 AXA524354:AXA524377 ANE524354:ANE524377 ADI524354:ADI524377 TM524354:TM524377 JQ524354:JQ524377 U524354:U524377 WWC458818:WWC458841 WMG458818:WMG458841 WCK458818:WCK458841 VSO458818:VSO458841 VIS458818:VIS458841 UYW458818:UYW458841 UPA458818:UPA458841 UFE458818:UFE458841 TVI458818:TVI458841 TLM458818:TLM458841 TBQ458818:TBQ458841 SRU458818:SRU458841 SHY458818:SHY458841 RYC458818:RYC458841 ROG458818:ROG458841 REK458818:REK458841 QUO458818:QUO458841 QKS458818:QKS458841 QAW458818:QAW458841 PRA458818:PRA458841 PHE458818:PHE458841 OXI458818:OXI458841 ONM458818:ONM458841 ODQ458818:ODQ458841 NTU458818:NTU458841 NJY458818:NJY458841 NAC458818:NAC458841 MQG458818:MQG458841 MGK458818:MGK458841 LWO458818:LWO458841 LMS458818:LMS458841 LCW458818:LCW458841 KTA458818:KTA458841 KJE458818:KJE458841 JZI458818:JZI458841 JPM458818:JPM458841 JFQ458818:JFQ458841 IVU458818:IVU458841 ILY458818:ILY458841 ICC458818:ICC458841 HSG458818:HSG458841 HIK458818:HIK458841 GYO458818:GYO458841 GOS458818:GOS458841 GEW458818:GEW458841 FVA458818:FVA458841 FLE458818:FLE458841 FBI458818:FBI458841 ERM458818:ERM458841 EHQ458818:EHQ458841 DXU458818:DXU458841 DNY458818:DNY458841 DEC458818:DEC458841 CUG458818:CUG458841 CKK458818:CKK458841 CAO458818:CAO458841 BQS458818:BQS458841 BGW458818:BGW458841 AXA458818:AXA458841 ANE458818:ANE458841 ADI458818:ADI458841 TM458818:TM458841 JQ458818:JQ458841 U458818:U458841 WWC393282:WWC393305 WMG393282:WMG393305 WCK393282:WCK393305 VSO393282:VSO393305 VIS393282:VIS393305 UYW393282:UYW393305 UPA393282:UPA393305 UFE393282:UFE393305 TVI393282:TVI393305 TLM393282:TLM393305 TBQ393282:TBQ393305 SRU393282:SRU393305 SHY393282:SHY393305 RYC393282:RYC393305 ROG393282:ROG393305 REK393282:REK393305 QUO393282:QUO393305 QKS393282:QKS393305 QAW393282:QAW393305 PRA393282:PRA393305 PHE393282:PHE393305 OXI393282:OXI393305 ONM393282:ONM393305 ODQ393282:ODQ393305 NTU393282:NTU393305 NJY393282:NJY393305 NAC393282:NAC393305 MQG393282:MQG393305 MGK393282:MGK393305 LWO393282:LWO393305 LMS393282:LMS393305 LCW393282:LCW393305 KTA393282:KTA393305 KJE393282:KJE393305 JZI393282:JZI393305 JPM393282:JPM393305 JFQ393282:JFQ393305 IVU393282:IVU393305 ILY393282:ILY393305 ICC393282:ICC393305 HSG393282:HSG393305 HIK393282:HIK393305 GYO393282:GYO393305 GOS393282:GOS393305 GEW393282:GEW393305 FVA393282:FVA393305 FLE393282:FLE393305 FBI393282:FBI393305 ERM393282:ERM393305 EHQ393282:EHQ393305 DXU393282:DXU393305 DNY393282:DNY393305 DEC393282:DEC393305 CUG393282:CUG393305 CKK393282:CKK393305 CAO393282:CAO393305 BQS393282:BQS393305 BGW393282:BGW393305 AXA393282:AXA393305 ANE393282:ANE393305 ADI393282:ADI393305 TM393282:TM393305 JQ393282:JQ393305 U393282:U393305 WWC327746:WWC327769 WMG327746:WMG327769 WCK327746:WCK327769 VSO327746:VSO327769 VIS327746:VIS327769 UYW327746:UYW327769 UPA327746:UPA327769 UFE327746:UFE327769 TVI327746:TVI327769 TLM327746:TLM327769 TBQ327746:TBQ327769 SRU327746:SRU327769 SHY327746:SHY327769 RYC327746:RYC327769 ROG327746:ROG327769 REK327746:REK327769 QUO327746:QUO327769 QKS327746:QKS327769 QAW327746:QAW327769 PRA327746:PRA327769 PHE327746:PHE327769 OXI327746:OXI327769 ONM327746:ONM327769 ODQ327746:ODQ327769 NTU327746:NTU327769 NJY327746:NJY327769 NAC327746:NAC327769 MQG327746:MQG327769 MGK327746:MGK327769 LWO327746:LWO327769 LMS327746:LMS327769 LCW327746:LCW327769 KTA327746:KTA327769 KJE327746:KJE327769 JZI327746:JZI327769 JPM327746:JPM327769 JFQ327746:JFQ327769 IVU327746:IVU327769 ILY327746:ILY327769 ICC327746:ICC327769 HSG327746:HSG327769 HIK327746:HIK327769 GYO327746:GYO327769 GOS327746:GOS327769 GEW327746:GEW327769 FVA327746:FVA327769 FLE327746:FLE327769 FBI327746:FBI327769 ERM327746:ERM327769 EHQ327746:EHQ327769 DXU327746:DXU327769 DNY327746:DNY327769 DEC327746:DEC327769 CUG327746:CUG327769 CKK327746:CKK327769 CAO327746:CAO327769 BQS327746:BQS327769 BGW327746:BGW327769 AXA327746:AXA327769 ANE327746:ANE327769 ADI327746:ADI327769 TM327746:TM327769 JQ327746:JQ327769 U327746:U327769 WWC262210:WWC262233 WMG262210:WMG262233 WCK262210:WCK262233 VSO262210:VSO262233 VIS262210:VIS262233 UYW262210:UYW262233 UPA262210:UPA262233 UFE262210:UFE262233 TVI262210:TVI262233 TLM262210:TLM262233 TBQ262210:TBQ262233 SRU262210:SRU262233 SHY262210:SHY262233 RYC262210:RYC262233 ROG262210:ROG262233 REK262210:REK262233 QUO262210:QUO262233 QKS262210:QKS262233 QAW262210:QAW262233 PRA262210:PRA262233 PHE262210:PHE262233 OXI262210:OXI262233 ONM262210:ONM262233 ODQ262210:ODQ262233 NTU262210:NTU262233 NJY262210:NJY262233 NAC262210:NAC262233 MQG262210:MQG262233 MGK262210:MGK262233 LWO262210:LWO262233 LMS262210:LMS262233 LCW262210:LCW262233 KTA262210:KTA262233 KJE262210:KJE262233 JZI262210:JZI262233 JPM262210:JPM262233 JFQ262210:JFQ262233 IVU262210:IVU262233 ILY262210:ILY262233 ICC262210:ICC262233 HSG262210:HSG262233 HIK262210:HIK262233 GYO262210:GYO262233 GOS262210:GOS262233 GEW262210:GEW262233 FVA262210:FVA262233 FLE262210:FLE262233 FBI262210:FBI262233 ERM262210:ERM262233 EHQ262210:EHQ262233 DXU262210:DXU262233 DNY262210:DNY262233 DEC262210:DEC262233 CUG262210:CUG262233 CKK262210:CKK262233 CAO262210:CAO262233 BQS262210:BQS262233 BGW262210:BGW262233 AXA262210:AXA262233 ANE262210:ANE262233 ADI262210:ADI262233 TM262210:TM262233 JQ262210:JQ262233 U262210:U262233 WWC196674:WWC196697 WMG196674:WMG196697 WCK196674:WCK196697 VSO196674:VSO196697 VIS196674:VIS196697 UYW196674:UYW196697 UPA196674:UPA196697 UFE196674:UFE196697 TVI196674:TVI196697 TLM196674:TLM196697 TBQ196674:TBQ196697 SRU196674:SRU196697 SHY196674:SHY196697 RYC196674:RYC196697 ROG196674:ROG196697 REK196674:REK196697 QUO196674:QUO196697 QKS196674:QKS196697 QAW196674:QAW196697 PRA196674:PRA196697 PHE196674:PHE196697 OXI196674:OXI196697 ONM196674:ONM196697 ODQ196674:ODQ196697 NTU196674:NTU196697 NJY196674:NJY196697 NAC196674:NAC196697 MQG196674:MQG196697 MGK196674:MGK196697 LWO196674:LWO196697 LMS196674:LMS196697 LCW196674:LCW196697 KTA196674:KTA196697 KJE196674:KJE196697 JZI196674:JZI196697 JPM196674:JPM196697 JFQ196674:JFQ196697 IVU196674:IVU196697 ILY196674:ILY196697 ICC196674:ICC196697 HSG196674:HSG196697 HIK196674:HIK196697 GYO196674:GYO196697 GOS196674:GOS196697 GEW196674:GEW196697 FVA196674:FVA196697 FLE196674:FLE196697 FBI196674:FBI196697 ERM196674:ERM196697 EHQ196674:EHQ196697 DXU196674:DXU196697 DNY196674:DNY196697 DEC196674:DEC196697 CUG196674:CUG196697 CKK196674:CKK196697 CAO196674:CAO196697 BQS196674:BQS196697 BGW196674:BGW196697 AXA196674:AXA196697 ANE196674:ANE196697 ADI196674:ADI196697 TM196674:TM196697 JQ196674:JQ196697 U196674:U196697 WWC131138:WWC131161 WMG131138:WMG131161 WCK131138:WCK131161 VSO131138:VSO131161 VIS131138:VIS131161 UYW131138:UYW131161 UPA131138:UPA131161 UFE131138:UFE131161 TVI131138:TVI131161 TLM131138:TLM131161 TBQ131138:TBQ131161 SRU131138:SRU131161 SHY131138:SHY131161 RYC131138:RYC131161 ROG131138:ROG131161 REK131138:REK131161 QUO131138:QUO131161 QKS131138:QKS131161 QAW131138:QAW131161 PRA131138:PRA131161 PHE131138:PHE131161 OXI131138:OXI131161 ONM131138:ONM131161 ODQ131138:ODQ131161 NTU131138:NTU131161 NJY131138:NJY131161 NAC131138:NAC131161 MQG131138:MQG131161 MGK131138:MGK131161 LWO131138:LWO131161 LMS131138:LMS131161 LCW131138:LCW131161 KTA131138:KTA131161 KJE131138:KJE131161 JZI131138:JZI131161 JPM131138:JPM131161 JFQ131138:JFQ131161 IVU131138:IVU131161 ILY131138:ILY131161 ICC131138:ICC131161 HSG131138:HSG131161 HIK131138:HIK131161 GYO131138:GYO131161 GOS131138:GOS131161 GEW131138:GEW131161 FVA131138:FVA131161 FLE131138:FLE131161 FBI131138:FBI131161 ERM131138:ERM131161 EHQ131138:EHQ131161 DXU131138:DXU131161 DNY131138:DNY131161 DEC131138:DEC131161 CUG131138:CUG131161 CKK131138:CKK131161 CAO131138:CAO131161 BQS131138:BQS131161 BGW131138:BGW131161 AXA131138:AXA131161 ANE131138:ANE131161 ADI131138:ADI131161 TM131138:TM131161 JQ131138:JQ131161 U131138:U131161 WWC65602:WWC65625 WMG65602:WMG65625 WCK65602:WCK65625 VSO65602:VSO65625 VIS65602:VIS65625 UYW65602:UYW65625 UPA65602:UPA65625 UFE65602:UFE65625 TVI65602:TVI65625 TLM65602:TLM65625 TBQ65602:TBQ65625 SRU65602:SRU65625 SHY65602:SHY65625 RYC65602:RYC65625 ROG65602:ROG65625 REK65602:REK65625 QUO65602:QUO65625 QKS65602:QKS65625 QAW65602:QAW65625 PRA65602:PRA65625 PHE65602:PHE65625 OXI65602:OXI65625 ONM65602:ONM65625 ODQ65602:ODQ65625 NTU65602:NTU65625 NJY65602:NJY65625 NAC65602:NAC65625 MQG65602:MQG65625 MGK65602:MGK65625 LWO65602:LWO65625 LMS65602:LMS65625 LCW65602:LCW65625 KTA65602:KTA65625 KJE65602:KJE65625 JZI65602:JZI65625 JPM65602:JPM65625 JFQ65602:JFQ65625 IVU65602:IVU65625 ILY65602:ILY65625 ICC65602:ICC65625 HSG65602:HSG65625 HIK65602:HIK65625 GYO65602:GYO65625 GOS65602:GOS65625 GEW65602:GEW65625 FVA65602:FVA65625 FLE65602:FLE65625 FBI65602:FBI65625 ERM65602:ERM65625 EHQ65602:EHQ65625 DXU65602:DXU65625 DNY65602:DNY65625 DEC65602:DEC65625 CUG65602:CUG65625 CKK65602:CKK65625 CAO65602:CAO65625 BQS65602:BQS65625 BGW65602:BGW65625 AXA65602:AXA65625 ANE65602:ANE65625 ADI65602:ADI65625 TM65602:TM65625 JQ65602:JQ65625 U65602:U65625 WWC983052:WWC983104 WMG983052:WMG983104 WCK983052:WCK983104 VSO983052:VSO983104 VIS983052:VIS983104 UYW983052:UYW983104 UPA983052:UPA983104 UFE983052:UFE983104 TVI983052:TVI983104 TLM983052:TLM983104 TBQ983052:TBQ983104 SRU983052:SRU983104 SHY983052:SHY983104 RYC983052:RYC983104 ROG983052:ROG983104 REK983052:REK983104 QUO983052:QUO983104 QKS983052:QKS983104 QAW983052:QAW983104 PRA983052:PRA983104 PHE983052:PHE983104 OXI983052:OXI983104 ONM983052:ONM983104 ODQ983052:ODQ983104 NTU983052:NTU983104 NJY983052:NJY983104 NAC983052:NAC983104 MQG983052:MQG983104 MGK983052:MGK983104 LWO983052:LWO983104 LMS983052:LMS983104 LCW983052:LCW983104 KTA983052:KTA983104 KJE983052:KJE983104 JZI983052:JZI983104 JPM983052:JPM983104 JFQ983052:JFQ983104 IVU983052:IVU983104 ILY983052:ILY983104 ICC983052:ICC983104 HSG983052:HSG983104 HIK983052:HIK983104 GYO983052:GYO983104 GOS983052:GOS983104 GEW983052:GEW983104 FVA983052:FVA983104 FLE983052:FLE983104 FBI983052:FBI983104 ERM983052:ERM983104 EHQ983052:EHQ983104 DXU983052:DXU983104 DNY983052:DNY983104 DEC983052:DEC983104 CUG983052:CUG983104 CKK983052:CKK983104 CAO983052:CAO983104 BQS983052:BQS983104 BGW983052:BGW983104 AXA983052:AXA983104 ANE983052:ANE983104 ADI983052:ADI983104 TM983052:TM983104 JQ983052:JQ983104 U983052:U983104 WWC917516:WWC917568 WMG917516:WMG917568 WCK917516:WCK917568 VSO917516:VSO917568 VIS917516:VIS917568 UYW917516:UYW917568 UPA917516:UPA917568 UFE917516:UFE917568 TVI917516:TVI917568 TLM917516:TLM917568 TBQ917516:TBQ917568 SRU917516:SRU917568 SHY917516:SHY917568 RYC917516:RYC917568 ROG917516:ROG917568 REK917516:REK917568 QUO917516:QUO917568 QKS917516:QKS917568 QAW917516:QAW917568 PRA917516:PRA917568 PHE917516:PHE917568 OXI917516:OXI917568 ONM917516:ONM917568 ODQ917516:ODQ917568 NTU917516:NTU917568 NJY917516:NJY917568 NAC917516:NAC917568 MQG917516:MQG917568 MGK917516:MGK917568 LWO917516:LWO917568 LMS917516:LMS917568 LCW917516:LCW917568 KTA917516:KTA917568 KJE917516:KJE917568 JZI917516:JZI917568 JPM917516:JPM917568 JFQ917516:JFQ917568 IVU917516:IVU917568 ILY917516:ILY917568 ICC917516:ICC917568 HSG917516:HSG917568 HIK917516:HIK917568 GYO917516:GYO917568 GOS917516:GOS917568 GEW917516:GEW917568 FVA917516:FVA917568 FLE917516:FLE917568 FBI917516:FBI917568 ERM917516:ERM917568 EHQ917516:EHQ917568 DXU917516:DXU917568 DNY917516:DNY917568 DEC917516:DEC917568 CUG917516:CUG917568 CKK917516:CKK917568 CAO917516:CAO917568 BQS917516:BQS917568 BGW917516:BGW917568 AXA917516:AXA917568 ANE917516:ANE917568 ADI917516:ADI917568 TM917516:TM917568 JQ917516:JQ917568 U917516:U917568 WWC851980:WWC852032 WMG851980:WMG852032 WCK851980:WCK852032 VSO851980:VSO852032 VIS851980:VIS852032 UYW851980:UYW852032 UPA851980:UPA852032 UFE851980:UFE852032 TVI851980:TVI852032 TLM851980:TLM852032 TBQ851980:TBQ852032 SRU851980:SRU852032 SHY851980:SHY852032 RYC851980:RYC852032 ROG851980:ROG852032 REK851980:REK852032 QUO851980:QUO852032 QKS851980:QKS852032 QAW851980:QAW852032 PRA851980:PRA852032 PHE851980:PHE852032 OXI851980:OXI852032 ONM851980:ONM852032 ODQ851980:ODQ852032 NTU851980:NTU852032 NJY851980:NJY852032 NAC851980:NAC852032 MQG851980:MQG852032 MGK851980:MGK852032 LWO851980:LWO852032 LMS851980:LMS852032 LCW851980:LCW852032 KTA851980:KTA852032 KJE851980:KJE852032 JZI851980:JZI852032 JPM851980:JPM852032 JFQ851980:JFQ852032 IVU851980:IVU852032 ILY851980:ILY852032 ICC851980:ICC852032 HSG851980:HSG852032 HIK851980:HIK852032 GYO851980:GYO852032 GOS851980:GOS852032 GEW851980:GEW852032 FVA851980:FVA852032 FLE851980:FLE852032 FBI851980:FBI852032 ERM851980:ERM852032 EHQ851980:EHQ852032 DXU851980:DXU852032 DNY851980:DNY852032 DEC851980:DEC852032 CUG851980:CUG852032 CKK851980:CKK852032 CAO851980:CAO852032 BQS851980:BQS852032 BGW851980:BGW852032 AXA851980:AXA852032 ANE851980:ANE852032 ADI851980:ADI852032 TM851980:TM852032 JQ851980:JQ852032 U851980:U852032 WWC786444:WWC786496 WMG786444:WMG786496 WCK786444:WCK786496 VSO786444:VSO786496 VIS786444:VIS786496 UYW786444:UYW786496 UPA786444:UPA786496 UFE786444:UFE786496 TVI786444:TVI786496 TLM786444:TLM786496 TBQ786444:TBQ786496 SRU786444:SRU786496 SHY786444:SHY786496 RYC786444:RYC786496 ROG786444:ROG786496 REK786444:REK786496 QUO786444:QUO786496 QKS786444:QKS786496 QAW786444:QAW786496 PRA786444:PRA786496 PHE786444:PHE786496 OXI786444:OXI786496 ONM786444:ONM786496 ODQ786444:ODQ786496 NTU786444:NTU786496 NJY786444:NJY786496 NAC786444:NAC786496 MQG786444:MQG786496 MGK786444:MGK786496 LWO786444:LWO786496 LMS786444:LMS786496 LCW786444:LCW786496 KTA786444:KTA786496 KJE786444:KJE786496 JZI786444:JZI786496 JPM786444:JPM786496 JFQ786444:JFQ786496 IVU786444:IVU786496 ILY786444:ILY786496 ICC786444:ICC786496 HSG786444:HSG786496 HIK786444:HIK786496 GYO786444:GYO786496 GOS786444:GOS786496 GEW786444:GEW786496 FVA786444:FVA786496 FLE786444:FLE786496 FBI786444:FBI786496 ERM786444:ERM786496 EHQ786444:EHQ786496 DXU786444:DXU786496 DNY786444:DNY786496 DEC786444:DEC786496 CUG786444:CUG786496 CKK786444:CKK786496 CAO786444:CAO786496 BQS786444:BQS786496 BGW786444:BGW786496 AXA786444:AXA786496 ANE786444:ANE786496 ADI786444:ADI786496 TM786444:TM786496 JQ786444:JQ786496 U786444:U786496 WWC720908:WWC720960 WMG720908:WMG720960 WCK720908:WCK720960 VSO720908:VSO720960 VIS720908:VIS720960 UYW720908:UYW720960 UPA720908:UPA720960 UFE720908:UFE720960 TVI720908:TVI720960 TLM720908:TLM720960 TBQ720908:TBQ720960 SRU720908:SRU720960 SHY720908:SHY720960 RYC720908:RYC720960 ROG720908:ROG720960 REK720908:REK720960 QUO720908:QUO720960 QKS720908:QKS720960 QAW720908:QAW720960 PRA720908:PRA720960 PHE720908:PHE720960 OXI720908:OXI720960 ONM720908:ONM720960 ODQ720908:ODQ720960 NTU720908:NTU720960 NJY720908:NJY720960 NAC720908:NAC720960 MQG720908:MQG720960 MGK720908:MGK720960 LWO720908:LWO720960 LMS720908:LMS720960 LCW720908:LCW720960 KTA720908:KTA720960 KJE720908:KJE720960 JZI720908:JZI720960 JPM720908:JPM720960 JFQ720908:JFQ720960 IVU720908:IVU720960 ILY720908:ILY720960 ICC720908:ICC720960 HSG720908:HSG720960 HIK720908:HIK720960 GYO720908:GYO720960 GOS720908:GOS720960 GEW720908:GEW720960 FVA720908:FVA720960 FLE720908:FLE720960 FBI720908:FBI720960 ERM720908:ERM720960 EHQ720908:EHQ720960 DXU720908:DXU720960 DNY720908:DNY720960 DEC720908:DEC720960 CUG720908:CUG720960 CKK720908:CKK720960 CAO720908:CAO720960 BQS720908:BQS720960 BGW720908:BGW720960 AXA720908:AXA720960 ANE720908:ANE720960 ADI720908:ADI720960 TM720908:TM720960 JQ720908:JQ720960 U720908:U720960 WWC655372:WWC655424 WMG655372:WMG655424 WCK655372:WCK655424 VSO655372:VSO655424 VIS655372:VIS655424 UYW655372:UYW655424 UPA655372:UPA655424 UFE655372:UFE655424 TVI655372:TVI655424 TLM655372:TLM655424 TBQ655372:TBQ655424 SRU655372:SRU655424 SHY655372:SHY655424 RYC655372:RYC655424 ROG655372:ROG655424 REK655372:REK655424 QUO655372:QUO655424 QKS655372:QKS655424 QAW655372:QAW655424 PRA655372:PRA655424 PHE655372:PHE655424 OXI655372:OXI655424 ONM655372:ONM655424 ODQ655372:ODQ655424 NTU655372:NTU655424 NJY655372:NJY655424 NAC655372:NAC655424 MQG655372:MQG655424 MGK655372:MGK655424 LWO655372:LWO655424 LMS655372:LMS655424 LCW655372:LCW655424 KTA655372:KTA655424 KJE655372:KJE655424 JZI655372:JZI655424 JPM655372:JPM655424 JFQ655372:JFQ655424 IVU655372:IVU655424 ILY655372:ILY655424 ICC655372:ICC655424 HSG655372:HSG655424 HIK655372:HIK655424 GYO655372:GYO655424 GOS655372:GOS655424 GEW655372:GEW655424 FVA655372:FVA655424 FLE655372:FLE655424 FBI655372:FBI655424 ERM655372:ERM655424 EHQ655372:EHQ655424 DXU655372:DXU655424 DNY655372:DNY655424 DEC655372:DEC655424 CUG655372:CUG655424 CKK655372:CKK655424 CAO655372:CAO655424 BQS655372:BQS655424 BGW655372:BGW655424 AXA655372:AXA655424 ANE655372:ANE655424 ADI655372:ADI655424 TM655372:TM655424 JQ655372:JQ655424 U655372:U655424 WWC589836:WWC589888 WMG589836:WMG589888 WCK589836:WCK589888 VSO589836:VSO589888 VIS589836:VIS589888 UYW589836:UYW589888 UPA589836:UPA589888 UFE589836:UFE589888 TVI589836:TVI589888 TLM589836:TLM589888 TBQ589836:TBQ589888 SRU589836:SRU589888 SHY589836:SHY589888 RYC589836:RYC589888 ROG589836:ROG589888 REK589836:REK589888 QUO589836:QUO589888 QKS589836:QKS589888 QAW589836:QAW589888 PRA589836:PRA589888 PHE589836:PHE589888 OXI589836:OXI589888 ONM589836:ONM589888 ODQ589836:ODQ589888 NTU589836:NTU589888 NJY589836:NJY589888 NAC589836:NAC589888 MQG589836:MQG589888 MGK589836:MGK589888 LWO589836:LWO589888 LMS589836:LMS589888 LCW589836:LCW589888 KTA589836:KTA589888 KJE589836:KJE589888 JZI589836:JZI589888 JPM589836:JPM589888 JFQ589836:JFQ589888 IVU589836:IVU589888 ILY589836:ILY589888 ICC589836:ICC589888 HSG589836:HSG589888 HIK589836:HIK589888 GYO589836:GYO589888 GOS589836:GOS589888 GEW589836:GEW589888 FVA589836:FVA589888 FLE589836:FLE589888 FBI589836:FBI589888 ERM589836:ERM589888 EHQ589836:EHQ589888 DXU589836:DXU589888 DNY589836:DNY589888 DEC589836:DEC589888 CUG589836:CUG589888 CKK589836:CKK589888 CAO589836:CAO589888 BQS589836:BQS589888 BGW589836:BGW589888 AXA589836:AXA589888 ANE589836:ANE589888 ADI589836:ADI589888 TM589836:TM589888 JQ589836:JQ589888 U589836:U589888 WWC524300:WWC524352 WMG524300:WMG524352 WCK524300:WCK524352 VSO524300:VSO524352 VIS524300:VIS524352 UYW524300:UYW524352 UPA524300:UPA524352 UFE524300:UFE524352 TVI524300:TVI524352 TLM524300:TLM524352 TBQ524300:TBQ524352 SRU524300:SRU524352 SHY524300:SHY524352 RYC524300:RYC524352 ROG524300:ROG524352 REK524300:REK524352 QUO524300:QUO524352 QKS524300:QKS524352 QAW524300:QAW524352 PRA524300:PRA524352 PHE524300:PHE524352 OXI524300:OXI524352 ONM524300:ONM524352 ODQ524300:ODQ524352 NTU524300:NTU524352 NJY524300:NJY524352 NAC524300:NAC524352 MQG524300:MQG524352 MGK524300:MGK524352 LWO524300:LWO524352 LMS524300:LMS524352 LCW524300:LCW524352 KTA524300:KTA524352 KJE524300:KJE524352 JZI524300:JZI524352 JPM524300:JPM524352 JFQ524300:JFQ524352 IVU524300:IVU524352 ILY524300:ILY524352 ICC524300:ICC524352 HSG524300:HSG524352 HIK524300:HIK524352 GYO524300:GYO524352 GOS524300:GOS524352 GEW524300:GEW524352 FVA524300:FVA524352 FLE524300:FLE524352 FBI524300:FBI524352 ERM524300:ERM524352 EHQ524300:EHQ524352 DXU524300:DXU524352 DNY524300:DNY524352 DEC524300:DEC524352 CUG524300:CUG524352 CKK524300:CKK524352 CAO524300:CAO524352 BQS524300:BQS524352 BGW524300:BGW524352 AXA524300:AXA524352 ANE524300:ANE524352 ADI524300:ADI524352 TM524300:TM524352 JQ524300:JQ524352 U524300:U524352 WWC458764:WWC458816 WMG458764:WMG458816 WCK458764:WCK458816 VSO458764:VSO458816 VIS458764:VIS458816 UYW458764:UYW458816 UPA458764:UPA458816 UFE458764:UFE458816 TVI458764:TVI458816 TLM458764:TLM458816 TBQ458764:TBQ458816 SRU458764:SRU458816 SHY458764:SHY458816 RYC458764:RYC458816 ROG458764:ROG458816 REK458764:REK458816 QUO458764:QUO458816 QKS458764:QKS458816 QAW458764:QAW458816 PRA458764:PRA458816 PHE458764:PHE458816 OXI458764:OXI458816 ONM458764:ONM458816 ODQ458764:ODQ458816 NTU458764:NTU458816 NJY458764:NJY458816 NAC458764:NAC458816 MQG458764:MQG458816 MGK458764:MGK458816 LWO458764:LWO458816 LMS458764:LMS458816 LCW458764:LCW458816 KTA458764:KTA458816 KJE458764:KJE458816 JZI458764:JZI458816 JPM458764:JPM458816 JFQ458764:JFQ458816 IVU458764:IVU458816 ILY458764:ILY458816 ICC458764:ICC458816 HSG458764:HSG458816 HIK458764:HIK458816 GYO458764:GYO458816 GOS458764:GOS458816 GEW458764:GEW458816 FVA458764:FVA458816 FLE458764:FLE458816 FBI458764:FBI458816 ERM458764:ERM458816 EHQ458764:EHQ458816 DXU458764:DXU458816 DNY458764:DNY458816 DEC458764:DEC458816 CUG458764:CUG458816 CKK458764:CKK458816 CAO458764:CAO458816 BQS458764:BQS458816 BGW458764:BGW458816 AXA458764:AXA458816 ANE458764:ANE458816 ADI458764:ADI458816 TM458764:TM458816 JQ458764:JQ458816 U458764:U458816 WWC393228:WWC393280 WMG393228:WMG393280 WCK393228:WCK393280 VSO393228:VSO393280 VIS393228:VIS393280 UYW393228:UYW393280 UPA393228:UPA393280 UFE393228:UFE393280 TVI393228:TVI393280 TLM393228:TLM393280 TBQ393228:TBQ393280 SRU393228:SRU393280 SHY393228:SHY393280 RYC393228:RYC393280 ROG393228:ROG393280 REK393228:REK393280 QUO393228:QUO393280 QKS393228:QKS393280 QAW393228:QAW393280 PRA393228:PRA393280 PHE393228:PHE393280 OXI393228:OXI393280 ONM393228:ONM393280 ODQ393228:ODQ393280 NTU393228:NTU393280 NJY393228:NJY393280 NAC393228:NAC393280 MQG393228:MQG393280 MGK393228:MGK393280 LWO393228:LWO393280 LMS393228:LMS393280 LCW393228:LCW393280 KTA393228:KTA393280 KJE393228:KJE393280 JZI393228:JZI393280 JPM393228:JPM393280 JFQ393228:JFQ393280 IVU393228:IVU393280 ILY393228:ILY393280 ICC393228:ICC393280 HSG393228:HSG393280 HIK393228:HIK393280 GYO393228:GYO393280 GOS393228:GOS393280 GEW393228:GEW393280 FVA393228:FVA393280 FLE393228:FLE393280 FBI393228:FBI393280 ERM393228:ERM393280 EHQ393228:EHQ393280 DXU393228:DXU393280 DNY393228:DNY393280 DEC393228:DEC393280 CUG393228:CUG393280 CKK393228:CKK393280 CAO393228:CAO393280 BQS393228:BQS393280 BGW393228:BGW393280 AXA393228:AXA393280 ANE393228:ANE393280 ADI393228:ADI393280 TM393228:TM393280 JQ393228:JQ393280 U393228:U393280 WWC327692:WWC327744 WMG327692:WMG327744 WCK327692:WCK327744 VSO327692:VSO327744 VIS327692:VIS327744 UYW327692:UYW327744 UPA327692:UPA327744 UFE327692:UFE327744 TVI327692:TVI327744 TLM327692:TLM327744 TBQ327692:TBQ327744 SRU327692:SRU327744 SHY327692:SHY327744 RYC327692:RYC327744 ROG327692:ROG327744 REK327692:REK327744 QUO327692:QUO327744 QKS327692:QKS327744 QAW327692:QAW327744 PRA327692:PRA327744 PHE327692:PHE327744 OXI327692:OXI327744 ONM327692:ONM327744 ODQ327692:ODQ327744 NTU327692:NTU327744 NJY327692:NJY327744 NAC327692:NAC327744 MQG327692:MQG327744 MGK327692:MGK327744 LWO327692:LWO327744 LMS327692:LMS327744 LCW327692:LCW327744 KTA327692:KTA327744 KJE327692:KJE327744 JZI327692:JZI327744 JPM327692:JPM327744 JFQ327692:JFQ327744 IVU327692:IVU327744 ILY327692:ILY327744 ICC327692:ICC327744 HSG327692:HSG327744 HIK327692:HIK327744 GYO327692:GYO327744 GOS327692:GOS327744 GEW327692:GEW327744 FVA327692:FVA327744 FLE327692:FLE327744 FBI327692:FBI327744 ERM327692:ERM327744 EHQ327692:EHQ327744 DXU327692:DXU327744 DNY327692:DNY327744 DEC327692:DEC327744 CUG327692:CUG327744 CKK327692:CKK327744 CAO327692:CAO327744 BQS327692:BQS327744 BGW327692:BGW327744 AXA327692:AXA327744 ANE327692:ANE327744 ADI327692:ADI327744 TM327692:TM327744 JQ327692:JQ327744 U327692:U327744 WWC262156:WWC262208 WMG262156:WMG262208 WCK262156:WCK262208 VSO262156:VSO262208 VIS262156:VIS262208 UYW262156:UYW262208 UPA262156:UPA262208 UFE262156:UFE262208 TVI262156:TVI262208 TLM262156:TLM262208 TBQ262156:TBQ262208 SRU262156:SRU262208 SHY262156:SHY262208 RYC262156:RYC262208 ROG262156:ROG262208 REK262156:REK262208 QUO262156:QUO262208 QKS262156:QKS262208 QAW262156:QAW262208 PRA262156:PRA262208 PHE262156:PHE262208 OXI262156:OXI262208 ONM262156:ONM262208 ODQ262156:ODQ262208 NTU262156:NTU262208 NJY262156:NJY262208 NAC262156:NAC262208 MQG262156:MQG262208 MGK262156:MGK262208 LWO262156:LWO262208 LMS262156:LMS262208 LCW262156:LCW262208 KTA262156:KTA262208 KJE262156:KJE262208 JZI262156:JZI262208 JPM262156:JPM262208 JFQ262156:JFQ262208 IVU262156:IVU262208 ILY262156:ILY262208 ICC262156:ICC262208 HSG262156:HSG262208 HIK262156:HIK262208 GYO262156:GYO262208 GOS262156:GOS262208 GEW262156:GEW262208 FVA262156:FVA262208 FLE262156:FLE262208 FBI262156:FBI262208 ERM262156:ERM262208 EHQ262156:EHQ262208 DXU262156:DXU262208 DNY262156:DNY262208 DEC262156:DEC262208 CUG262156:CUG262208 CKK262156:CKK262208 CAO262156:CAO262208 BQS262156:BQS262208 BGW262156:BGW262208 AXA262156:AXA262208 ANE262156:ANE262208 ADI262156:ADI262208 TM262156:TM262208 JQ262156:JQ262208 U262156:U262208 WWC196620:WWC196672 WMG196620:WMG196672 WCK196620:WCK196672 VSO196620:VSO196672 VIS196620:VIS196672 UYW196620:UYW196672 UPA196620:UPA196672 UFE196620:UFE196672 TVI196620:TVI196672 TLM196620:TLM196672 TBQ196620:TBQ196672 SRU196620:SRU196672 SHY196620:SHY196672 RYC196620:RYC196672 ROG196620:ROG196672 REK196620:REK196672 QUO196620:QUO196672 QKS196620:QKS196672 QAW196620:QAW196672 PRA196620:PRA196672 PHE196620:PHE196672 OXI196620:OXI196672 ONM196620:ONM196672 ODQ196620:ODQ196672 NTU196620:NTU196672 NJY196620:NJY196672 NAC196620:NAC196672 MQG196620:MQG196672 MGK196620:MGK196672 LWO196620:LWO196672 LMS196620:LMS196672 LCW196620:LCW196672 KTA196620:KTA196672 KJE196620:KJE196672 JZI196620:JZI196672 JPM196620:JPM196672 JFQ196620:JFQ196672 IVU196620:IVU196672 ILY196620:ILY196672 ICC196620:ICC196672 HSG196620:HSG196672 HIK196620:HIK196672 GYO196620:GYO196672 GOS196620:GOS196672 GEW196620:GEW196672 FVA196620:FVA196672 FLE196620:FLE196672 FBI196620:FBI196672 ERM196620:ERM196672 EHQ196620:EHQ196672 DXU196620:DXU196672 DNY196620:DNY196672 DEC196620:DEC196672 CUG196620:CUG196672 CKK196620:CKK196672 CAO196620:CAO196672 BQS196620:BQS196672 BGW196620:BGW196672 AXA196620:AXA196672 ANE196620:ANE196672 ADI196620:ADI196672 TM196620:TM196672 JQ196620:JQ196672 U196620:U196672 WWC131084:WWC131136 WMG131084:WMG131136 WCK131084:WCK131136 VSO131084:VSO131136 VIS131084:VIS131136 UYW131084:UYW131136 UPA131084:UPA131136 UFE131084:UFE131136 TVI131084:TVI131136 TLM131084:TLM131136 TBQ131084:TBQ131136 SRU131084:SRU131136 SHY131084:SHY131136 RYC131084:RYC131136 ROG131084:ROG131136 REK131084:REK131136 QUO131084:QUO131136 QKS131084:QKS131136 QAW131084:QAW131136 PRA131084:PRA131136 PHE131084:PHE131136 OXI131084:OXI131136 ONM131084:ONM131136 ODQ131084:ODQ131136 NTU131084:NTU131136 NJY131084:NJY131136 NAC131084:NAC131136 MQG131084:MQG131136 MGK131084:MGK131136 LWO131084:LWO131136 LMS131084:LMS131136 LCW131084:LCW131136 KTA131084:KTA131136 KJE131084:KJE131136 JZI131084:JZI131136 JPM131084:JPM131136 JFQ131084:JFQ131136 IVU131084:IVU131136 ILY131084:ILY131136 ICC131084:ICC131136 HSG131084:HSG131136 HIK131084:HIK131136 GYO131084:GYO131136 GOS131084:GOS131136 GEW131084:GEW131136 FVA131084:FVA131136 FLE131084:FLE131136 FBI131084:FBI131136 ERM131084:ERM131136 EHQ131084:EHQ131136 DXU131084:DXU131136 DNY131084:DNY131136 DEC131084:DEC131136 CUG131084:CUG131136 CKK131084:CKK131136 CAO131084:CAO131136 BQS131084:BQS131136 BGW131084:BGW131136 AXA131084:AXA131136 ANE131084:ANE131136 ADI131084:ADI131136 TM131084:TM131136 JQ131084:JQ131136 U131084:U131136 WWC65548:WWC65600 WMG65548:WMG65600 WCK65548:WCK65600 VSO65548:VSO65600 VIS65548:VIS65600 UYW65548:UYW65600 UPA65548:UPA65600 UFE65548:UFE65600 TVI65548:TVI65600 TLM65548:TLM65600 TBQ65548:TBQ65600 SRU65548:SRU65600 SHY65548:SHY65600 RYC65548:RYC65600 ROG65548:ROG65600 REK65548:REK65600 QUO65548:QUO65600 QKS65548:QKS65600 QAW65548:QAW65600 PRA65548:PRA65600 PHE65548:PHE65600 OXI65548:OXI65600 ONM65548:ONM65600 ODQ65548:ODQ65600 NTU65548:NTU65600 NJY65548:NJY65600 NAC65548:NAC65600 MQG65548:MQG65600 MGK65548:MGK65600 LWO65548:LWO65600 LMS65548:LMS65600 LCW65548:LCW65600 KTA65548:KTA65600 KJE65548:KJE65600 JZI65548:JZI65600 JPM65548:JPM65600 JFQ65548:JFQ65600 IVU65548:IVU65600 ILY65548:ILY65600 ICC65548:ICC65600 HSG65548:HSG65600 HIK65548:HIK65600 GYO65548:GYO65600 GOS65548:GOS65600 GEW65548:GEW65600 FVA65548:FVA65600 FLE65548:FLE65600 FBI65548:FBI65600 ERM65548:ERM65600 EHQ65548:EHQ65600 DXU65548:DXU65600 DNY65548:DNY65600 DEC65548:DEC65600 CUG65548:CUG65600 CKK65548:CKK65600 CAO65548:CAO65600 BQS65548:BQS65600 BGW65548:BGW65600 AXA65548:AXA65600 ANE65548:ANE65600 ADI65548:ADI65600 TM65548:TM65600 JQ65548:JQ65600">
      <formula1>0.1</formula1>
      <formula2>10</formula2>
    </dataValidation>
  </dataValidations>
  <pageMargins left="0.7" right="0.7" top="0.75" bottom="0.75" header="0.3" footer="0.3"/>
  <pageSetup scale="82" orientation="landscape" r:id="rId1"/>
  <headerFooter>
    <oddFooter>&amp;LClass Advisor Signature with Date&amp;CYear Coordinator&amp;RHOD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Class &amp; Section</vt:lpstr>
      <vt:lpstr>'Class &amp; Section'!Print_Area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CCO CELL</cp:lastModifiedBy>
  <cp:lastPrinted>2026-01-30T09:33:37Z</cp:lastPrinted>
  <dcterms:created xsi:type="dcterms:W3CDTF">2023-02-07T07:49:40Z</dcterms:created>
  <dcterms:modified xsi:type="dcterms:W3CDTF">2026-01-30T09:33:46Z</dcterms:modified>
</cp:coreProperties>
</file>