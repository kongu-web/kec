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120" yWindow="-120" windowWidth="20730" windowHeight="11760"/>
  </bookViews>
  <sheets>
    <sheet name=" AC-06" sheetId="21" r:id="rId1"/>
    <sheet name="Sheet3" sheetId="3" r:id="rId2"/>
    <sheet name="Sheet1" sheetId="17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2" i="21"/>
  <c r="P103" s="1"/>
  <c r="P104" s="1"/>
  <c r="O102"/>
  <c r="O103" s="1"/>
  <c r="O104" s="1"/>
  <c r="N102"/>
  <c r="N103" s="1"/>
  <c r="N104" s="1"/>
  <c r="M102"/>
  <c r="M103" s="1"/>
  <c r="M104" s="1"/>
  <c r="L102"/>
  <c r="L103" s="1"/>
  <c r="L104" s="1"/>
  <c r="K102"/>
  <c r="K103" s="1"/>
  <c r="K104" s="1"/>
  <c r="J102"/>
  <c r="J103" s="1"/>
  <c r="J104" s="1"/>
  <c r="I102"/>
  <c r="I103" s="1"/>
  <c r="I104" s="1"/>
  <c r="H102"/>
  <c r="H103" s="1"/>
  <c r="H104" s="1"/>
  <c r="G102"/>
  <c r="G103" s="1"/>
  <c r="G104" s="1"/>
  <c r="F102"/>
  <c r="F103" s="1"/>
  <c r="F104" s="1"/>
  <c r="E102"/>
  <c r="E103" s="1"/>
  <c r="E104" s="1"/>
  <c r="L90"/>
  <c r="L95" s="1"/>
  <c r="M90"/>
  <c r="M95" s="1"/>
  <c r="N90"/>
  <c r="O90"/>
  <c r="L91"/>
  <c r="M91"/>
  <c r="N91"/>
  <c r="O91"/>
  <c r="L92"/>
  <c r="M92"/>
  <c r="N92"/>
  <c r="O92"/>
  <c r="L93"/>
  <c r="M93"/>
  <c r="N93"/>
  <c r="O93"/>
  <c r="L94"/>
  <c r="M94"/>
  <c r="N94"/>
  <c r="O94"/>
  <c r="N95"/>
  <c r="N98" s="1"/>
  <c r="O95"/>
  <c r="O98" s="1"/>
  <c r="K91"/>
  <c r="K90" s="1"/>
  <c r="K92"/>
  <c r="K93"/>
  <c r="K94"/>
  <c r="J91"/>
  <c r="J90" s="1"/>
  <c r="J92"/>
  <c r="J93"/>
  <c r="J94"/>
  <c r="I91"/>
  <c r="I90" s="1"/>
  <c r="I92"/>
  <c r="I93"/>
  <c r="I94"/>
  <c r="H91"/>
  <c r="H90" s="1"/>
  <c r="H92"/>
  <c r="H93"/>
  <c r="H94"/>
  <c r="P81"/>
  <c r="Q81"/>
  <c r="S81"/>
  <c r="T81"/>
  <c r="V81"/>
  <c r="P82"/>
  <c r="Q82"/>
  <c r="S82"/>
  <c r="T82"/>
  <c r="V82"/>
  <c r="P83"/>
  <c r="S83"/>
  <c r="T83"/>
  <c r="V83"/>
  <c r="E94"/>
  <c r="F94"/>
  <c r="G94"/>
  <c r="V89"/>
  <c r="V73"/>
  <c r="V74"/>
  <c r="V75"/>
  <c r="V76"/>
  <c r="V77"/>
  <c r="V78"/>
  <c r="V79"/>
  <c r="V80"/>
  <c r="V84"/>
  <c r="V85"/>
  <c r="V86"/>
  <c r="V87"/>
  <c r="V88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62"/>
  <c r="V63"/>
  <c r="V64"/>
  <c r="V65"/>
  <c r="V66"/>
  <c r="V67"/>
  <c r="V68"/>
  <c r="V69"/>
  <c r="V70"/>
  <c r="V71"/>
  <c r="V72"/>
  <c r="V23"/>
  <c r="D94"/>
  <c r="E93"/>
  <c r="F93"/>
  <c r="G93"/>
  <c r="E92"/>
  <c r="F92"/>
  <c r="G92"/>
  <c r="E91"/>
  <c r="E90" s="1"/>
  <c r="E95" s="1"/>
  <c r="F91"/>
  <c r="F90" s="1"/>
  <c r="F95" s="1"/>
  <c r="G91"/>
  <c r="G90" s="1"/>
  <c r="G95" s="1"/>
  <c r="D91"/>
  <c r="D90" s="1"/>
  <c r="S78"/>
  <c r="T78"/>
  <c r="S79"/>
  <c r="T79"/>
  <c r="S80"/>
  <c r="T80"/>
  <c r="S84"/>
  <c r="T84"/>
  <c r="S85"/>
  <c r="T85"/>
  <c r="S86"/>
  <c r="T86"/>
  <c r="S87"/>
  <c r="T87"/>
  <c r="S88"/>
  <c r="T88"/>
  <c r="S89"/>
  <c r="W89" s="1"/>
  <c r="T89"/>
  <c r="S24"/>
  <c r="T24"/>
  <c r="S25"/>
  <c r="T25"/>
  <c r="S26"/>
  <c r="T26"/>
  <c r="S27"/>
  <c r="T27"/>
  <c r="S28"/>
  <c r="T28"/>
  <c r="S29"/>
  <c r="T29"/>
  <c r="S30"/>
  <c r="T30"/>
  <c r="S31"/>
  <c r="T31"/>
  <c r="S32"/>
  <c r="T32"/>
  <c r="S33"/>
  <c r="T33"/>
  <c r="S34"/>
  <c r="T34"/>
  <c r="S35"/>
  <c r="T35"/>
  <c r="S36"/>
  <c r="T36"/>
  <c r="S37"/>
  <c r="T37"/>
  <c r="S38"/>
  <c r="T38"/>
  <c r="S39"/>
  <c r="T39"/>
  <c r="S40"/>
  <c r="T40"/>
  <c r="S41"/>
  <c r="T41"/>
  <c r="S42"/>
  <c r="T42"/>
  <c r="S43"/>
  <c r="T43"/>
  <c r="S44"/>
  <c r="T44"/>
  <c r="S45"/>
  <c r="T45"/>
  <c r="S46"/>
  <c r="T46"/>
  <c r="S47"/>
  <c r="T47"/>
  <c r="S48"/>
  <c r="T48"/>
  <c r="S49"/>
  <c r="T49"/>
  <c r="S50"/>
  <c r="T50"/>
  <c r="S51"/>
  <c r="T51"/>
  <c r="S52"/>
  <c r="T52"/>
  <c r="S53"/>
  <c r="T53"/>
  <c r="S54"/>
  <c r="T54"/>
  <c r="S55"/>
  <c r="T55"/>
  <c r="S56"/>
  <c r="T56"/>
  <c r="S57"/>
  <c r="T57"/>
  <c r="S58"/>
  <c r="T58"/>
  <c r="S59"/>
  <c r="T59"/>
  <c r="S60"/>
  <c r="T60"/>
  <c r="S61"/>
  <c r="T61"/>
  <c r="S62"/>
  <c r="T62"/>
  <c r="S63"/>
  <c r="T63"/>
  <c r="S64"/>
  <c r="T64"/>
  <c r="S65"/>
  <c r="T65"/>
  <c r="S66"/>
  <c r="T66"/>
  <c r="S67"/>
  <c r="T67"/>
  <c r="S68"/>
  <c r="T68"/>
  <c r="S69"/>
  <c r="T69"/>
  <c r="S70"/>
  <c r="T70"/>
  <c r="S71"/>
  <c r="T71"/>
  <c r="S72"/>
  <c r="T72"/>
  <c r="S73"/>
  <c r="T73"/>
  <c r="S74"/>
  <c r="T74"/>
  <c r="S75"/>
  <c r="T75"/>
  <c r="S76"/>
  <c r="T76"/>
  <c r="S77"/>
  <c r="T77"/>
  <c r="S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23"/>
  <c r="P78"/>
  <c r="P79"/>
  <c r="U79" s="1"/>
  <c r="P80"/>
  <c r="P84"/>
  <c r="U84" s="1"/>
  <c r="P85"/>
  <c r="P86"/>
  <c r="P87"/>
  <c r="U87" s="1"/>
  <c r="P88"/>
  <c r="U88" s="1"/>
  <c r="P89"/>
  <c r="P24"/>
  <c r="P25"/>
  <c r="P26"/>
  <c r="U26" s="1"/>
  <c r="P27"/>
  <c r="P28"/>
  <c r="U28" s="1"/>
  <c r="P29"/>
  <c r="U29" s="1"/>
  <c r="P30"/>
  <c r="U30" s="1"/>
  <c r="P31"/>
  <c r="P32"/>
  <c r="U32" s="1"/>
  <c r="P33"/>
  <c r="P34"/>
  <c r="U34" s="1"/>
  <c r="P35"/>
  <c r="P36"/>
  <c r="P37"/>
  <c r="U37" s="1"/>
  <c r="P38"/>
  <c r="U38" s="1"/>
  <c r="P39"/>
  <c r="P40"/>
  <c r="P41"/>
  <c r="P42"/>
  <c r="U42" s="1"/>
  <c r="P43"/>
  <c r="P44"/>
  <c r="U44" s="1"/>
  <c r="P45"/>
  <c r="U45" s="1"/>
  <c r="P46"/>
  <c r="U46" s="1"/>
  <c r="P47"/>
  <c r="P48"/>
  <c r="U48" s="1"/>
  <c r="P49"/>
  <c r="P50"/>
  <c r="U50" s="1"/>
  <c r="P51"/>
  <c r="P52"/>
  <c r="P53"/>
  <c r="U53" s="1"/>
  <c r="P54"/>
  <c r="U54" s="1"/>
  <c r="P55"/>
  <c r="P56"/>
  <c r="P57"/>
  <c r="P58"/>
  <c r="P59"/>
  <c r="P60"/>
  <c r="U60" s="1"/>
  <c r="P61"/>
  <c r="U61" s="1"/>
  <c r="P62"/>
  <c r="U62" s="1"/>
  <c r="P63"/>
  <c r="U63" s="1"/>
  <c r="P64"/>
  <c r="U64" s="1"/>
  <c r="P65"/>
  <c r="U65" s="1"/>
  <c r="P66"/>
  <c r="U66" s="1"/>
  <c r="P67"/>
  <c r="P68"/>
  <c r="P69"/>
  <c r="U69" s="1"/>
  <c r="P70"/>
  <c r="U70" s="1"/>
  <c r="P71"/>
  <c r="P72"/>
  <c r="U72" s="1"/>
  <c r="P73"/>
  <c r="P74"/>
  <c r="U74" s="1"/>
  <c r="P75"/>
  <c r="P76"/>
  <c r="P77"/>
  <c r="U77" s="1"/>
  <c r="P23"/>
  <c r="D100"/>
  <c r="D93"/>
  <c r="T92"/>
  <c r="D92"/>
  <c r="Q89"/>
  <c r="W88"/>
  <c r="Q88"/>
  <c r="W87"/>
  <c r="Q87"/>
  <c r="Q86"/>
  <c r="Q85"/>
  <c r="W84"/>
  <c r="Q84"/>
  <c r="Q80"/>
  <c r="W79"/>
  <c r="Q79"/>
  <c r="U43"/>
  <c r="U40"/>
  <c r="U31"/>
  <c r="U24"/>
  <c r="T23"/>
  <c r="U47" l="1"/>
  <c r="U27"/>
  <c r="W80"/>
  <c r="U73"/>
  <c r="U33"/>
  <c r="W85"/>
  <c r="U23"/>
  <c r="U75"/>
  <c r="U71"/>
  <c r="U59"/>
  <c r="U55"/>
  <c r="U39"/>
  <c r="U89"/>
  <c r="N96"/>
  <c r="U41"/>
  <c r="U25"/>
  <c r="U67"/>
  <c r="U51"/>
  <c r="U35"/>
  <c r="U85"/>
  <c r="U52"/>
  <c r="U36"/>
  <c r="U86"/>
  <c r="U81"/>
  <c r="U80"/>
  <c r="W81"/>
  <c r="U49"/>
  <c r="U56"/>
  <c r="O97"/>
  <c r="O96"/>
  <c r="U58"/>
  <c r="U57"/>
  <c r="W83"/>
  <c r="L96"/>
  <c r="L97"/>
  <c r="L98"/>
  <c r="M96"/>
  <c r="M97"/>
  <c r="M98"/>
  <c r="W86"/>
  <c r="N97"/>
  <c r="U68"/>
  <c r="U78"/>
  <c r="U76"/>
  <c r="W23"/>
  <c r="W82"/>
  <c r="U82"/>
  <c r="U83"/>
  <c r="P93"/>
  <c r="D95"/>
  <c r="D97" s="1"/>
  <c r="H95"/>
  <c r="H96" s="1"/>
  <c r="I95"/>
  <c r="I96" s="1"/>
  <c r="J95"/>
  <c r="J98" s="1"/>
  <c r="K95"/>
  <c r="K98" s="1"/>
  <c r="W77"/>
  <c r="W76"/>
  <c r="W75"/>
  <c r="W74"/>
  <c r="W73"/>
  <c r="W72"/>
  <c r="W71"/>
  <c r="W70"/>
  <c r="W69"/>
  <c r="W68"/>
  <c r="W67"/>
  <c r="W66"/>
  <c r="W65"/>
  <c r="W64"/>
  <c r="W63"/>
  <c r="W62"/>
  <c r="W61"/>
  <c r="W60"/>
  <c r="W59"/>
  <c r="W58"/>
  <c r="W57"/>
  <c r="W56"/>
  <c r="W55"/>
  <c r="W54"/>
  <c r="W53"/>
  <c r="W52"/>
  <c r="W51"/>
  <c r="W50"/>
  <c r="W49"/>
  <c r="W48"/>
  <c r="W47"/>
  <c r="W46"/>
  <c r="W45"/>
  <c r="W44"/>
  <c r="W43"/>
  <c r="W42"/>
  <c r="W41"/>
  <c r="W40"/>
  <c r="W39"/>
  <c r="W38"/>
  <c r="W37"/>
  <c r="W36"/>
  <c r="W35"/>
  <c r="W34"/>
  <c r="W33"/>
  <c r="W32"/>
  <c r="W31"/>
  <c r="W30"/>
  <c r="W29"/>
  <c r="W28"/>
  <c r="W27"/>
  <c r="W26"/>
  <c r="W25"/>
  <c r="W78"/>
  <c r="G97"/>
  <c r="G96"/>
  <c r="F97"/>
  <c r="F96"/>
  <c r="E97"/>
  <c r="E96"/>
  <c r="W24"/>
  <c r="D103" l="1"/>
  <c r="D104" s="1"/>
  <c r="I97"/>
  <c r="K97"/>
  <c r="K96"/>
  <c r="H98"/>
  <c r="H97"/>
  <c r="I98"/>
  <c r="J96"/>
  <c r="D96"/>
  <c r="J97"/>
  <c r="E98"/>
  <c r="F98"/>
  <c r="G98"/>
  <c r="D98"/>
</calcChain>
</file>

<file path=xl/sharedStrings.xml><?xml version="1.0" encoding="utf-8"?>
<sst xmlns="http://schemas.openxmlformats.org/spreadsheetml/2006/main" count="41" uniqueCount="41">
  <si>
    <t xml:space="preserve">DEPARTMENT: </t>
  </si>
  <si>
    <t>SECTION:</t>
  </si>
  <si>
    <t xml:space="preserve">EXAM NAME: </t>
  </si>
  <si>
    <t>% OF PASS IN EACH COURSE</t>
  </si>
  <si>
    <t>.S.No</t>
  </si>
  <si>
    <t>Sl.No.</t>
  </si>
  <si>
    <t>Reg. No.</t>
  </si>
  <si>
    <t>Name  Of  The Student</t>
  </si>
  <si>
    <t>Marks Obtained</t>
  </si>
  <si>
    <t>Course</t>
  </si>
  <si>
    <t>Total Marks</t>
  </si>
  <si>
    <t>Average %</t>
  </si>
  <si>
    <t>No. Of Courses Absent In This Exam</t>
  </si>
  <si>
    <t>Attendance % Till This Exam</t>
  </si>
  <si>
    <t>COURSE CODE &amp; NAME</t>
  </si>
  <si>
    <t xml:space="preserve">NO. OF STUDENTS PASSED </t>
  </si>
  <si>
    <t>NO. OF STUDENTS FAILED</t>
  </si>
  <si>
    <t>STANDARD DEVIATION</t>
  </si>
  <si>
    <t>AVERAGE MARK</t>
  </si>
  <si>
    <t>DEGREE:</t>
  </si>
  <si>
    <t>No. of subjects failed:</t>
  </si>
  <si>
    <t>No. of students</t>
  </si>
  <si>
    <t>NO.OF STUDENTS ABSENT</t>
  </si>
  <si>
    <t>ACADEMIC YEAR:</t>
  </si>
  <si>
    <t>No. Of Courses Failed In This Exam</t>
  </si>
  <si>
    <t>-</t>
  </si>
  <si>
    <t>FAILURE ANALYSIS</t>
  </si>
  <si>
    <t>Percentage (%)</t>
  </si>
  <si>
    <t xml:space="preserve">SECTION </t>
  </si>
  <si>
    <t>SEMESTER NO.</t>
  </si>
  <si>
    <t>NAME OF THE COURSE TEACHER</t>
  </si>
  <si>
    <t>SECTION</t>
  </si>
  <si>
    <t>BATCH PASSING OUT YEAR:</t>
  </si>
  <si>
    <t>NO.OF STUDENTS WITHHELD</t>
  </si>
  <si>
    <t xml:space="preserve">ALL PASS % IN  </t>
  </si>
  <si>
    <t>COEFFICIENT OF VARIATION (%)</t>
  </si>
  <si>
    <t>AB</t>
  </si>
  <si>
    <t>WH</t>
  </si>
  <si>
    <t>Nil (All PASS)</t>
  </si>
  <si>
    <t>TOTAL NO. OF STUDENTS APPEARED FOR THE COURSE</t>
  </si>
  <si>
    <t>Department:______________</t>
  </si>
</sst>
</file>

<file path=xl/styles.xml><?xml version="1.0" encoding="utf-8"?>
<styleSheet xmlns="http://schemas.openxmlformats.org/spreadsheetml/2006/main">
  <numFmts count="1">
    <numFmt numFmtId="164" formatCode="0.0"/>
  </numFmts>
  <fonts count="22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color indexed="8"/>
      <name val="Calibri"/>
      <family val="2"/>
    </font>
    <font>
      <b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8"/>
      <color indexed="8"/>
      <name val="Arial"/>
      <family val="2"/>
    </font>
    <font>
      <sz val="10"/>
      <color indexed="8"/>
      <name val="Times New Roman"/>
      <family val="1"/>
    </font>
    <font>
      <b/>
      <sz val="20"/>
      <color indexed="8"/>
      <name val="Times New Roman"/>
      <family val="1"/>
    </font>
    <font>
      <sz val="10"/>
      <color indexed="8"/>
      <name val="Calibri"/>
      <family val="2"/>
    </font>
    <font>
      <b/>
      <sz val="16"/>
      <color indexed="8"/>
      <name val="Tahoma"/>
      <family val="2"/>
    </font>
    <font>
      <b/>
      <sz val="10"/>
      <name val="Arial"/>
      <family val="2"/>
    </font>
    <font>
      <b/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54">
    <xf numFmtId="0" fontId="0" fillId="0" borderId="0" xfId="0"/>
    <xf numFmtId="0" fontId="10" fillId="0" borderId="1" xfId="0" applyFont="1" applyBorder="1" applyAlignment="1" applyProtection="1">
      <alignment horizontal="left" vertical="center"/>
      <protection locked="0"/>
    </xf>
    <xf numFmtId="0" fontId="0" fillId="0" borderId="0" xfId="0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/>
    <xf numFmtId="0" fontId="9" fillId="0" borderId="1" xfId="0" applyFont="1" applyBorder="1"/>
    <xf numFmtId="0" fontId="8" fillId="0" borderId="0" xfId="0" applyFont="1"/>
    <xf numFmtId="0" fontId="7" fillId="0" borderId="0" xfId="0" applyFont="1" applyAlignment="1" applyProtection="1">
      <alignment horizontal="left" vertical="center"/>
      <protection locked="0"/>
    </xf>
    <xf numFmtId="0" fontId="18" fillId="0" borderId="0" xfId="0" applyFont="1"/>
    <xf numFmtId="0" fontId="15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textRotation="90" wrapText="1"/>
    </xf>
    <xf numFmtId="0" fontId="9" fillId="0" borderId="5" xfId="0" applyFont="1" applyBorder="1" applyAlignment="1">
      <alignment horizontal="center" textRotation="90" wrapText="1"/>
    </xf>
    <xf numFmtId="0" fontId="9" fillId="0" borderId="6" xfId="0" applyFont="1" applyBorder="1" applyAlignment="1">
      <alignment horizontal="center" textRotation="90" wrapText="1"/>
    </xf>
    <xf numFmtId="0" fontId="13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top" wrapText="1"/>
    </xf>
    <xf numFmtId="0" fontId="9" fillId="0" borderId="8" xfId="0" applyFont="1" applyBorder="1"/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/>
    <xf numFmtId="9" fontId="9" fillId="0" borderId="0" xfId="0" applyNumberFormat="1" applyFont="1"/>
    <xf numFmtId="0" fontId="14" fillId="0" borderId="1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 wrapText="1"/>
    </xf>
    <xf numFmtId="10" fontId="17" fillId="0" borderId="0" xfId="1" applyNumberFormat="1" applyFont="1" applyBorder="1" applyAlignment="1" applyProtection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9" fillId="0" borderId="13" xfId="0" applyFont="1" applyBorder="1" applyAlignment="1" applyProtection="1">
      <alignment horizontal="left"/>
      <protection locked="0"/>
    </xf>
    <xf numFmtId="0" fontId="9" fillId="0" borderId="14" xfId="0" applyFont="1" applyBorder="1" applyAlignment="1" applyProtection="1">
      <alignment horizontal="left"/>
      <protection locked="0"/>
    </xf>
    <xf numFmtId="0" fontId="9" fillId="0" borderId="15" xfId="0" applyFont="1" applyBorder="1" applyAlignment="1" applyProtection="1">
      <alignment horizontal="left"/>
      <protection locked="0"/>
    </xf>
    <xf numFmtId="0" fontId="12" fillId="0" borderId="16" xfId="0" applyFont="1" applyBorder="1" applyAlignment="1">
      <alignment horizontal="left" vertical="center" readingOrder="2"/>
    </xf>
    <xf numFmtId="0" fontId="5" fillId="0" borderId="17" xfId="0" applyFont="1" applyBorder="1" applyAlignment="1">
      <alignment horizontal="center" vertical="center" shrinkToFit="1"/>
    </xf>
    <xf numFmtId="0" fontId="9" fillId="0" borderId="17" xfId="0" applyFont="1" applyBorder="1" applyAlignment="1">
      <alignment horizontal="center" shrinkToFit="1"/>
    </xf>
    <xf numFmtId="9" fontId="11" fillId="0" borderId="17" xfId="1" applyFont="1" applyBorder="1" applyAlignment="1" applyProtection="1">
      <alignment horizontal="center" shrinkToFit="1"/>
    </xf>
    <xf numFmtId="164" fontId="9" fillId="0" borderId="17" xfId="0" applyNumberFormat="1" applyFont="1" applyBorder="1" applyAlignment="1">
      <alignment horizontal="center" shrinkToFit="1"/>
    </xf>
    <xf numFmtId="9" fontId="0" fillId="0" borderId="0" xfId="0" applyNumberFormat="1"/>
    <xf numFmtId="0" fontId="1" fillId="0" borderId="18" xfId="0" applyFont="1" applyBorder="1" applyAlignment="1" applyProtection="1">
      <alignment horizontal="center" vertical="center"/>
      <protection locked="0"/>
    </xf>
    <xf numFmtId="0" fontId="9" fillId="0" borderId="18" xfId="0" applyFont="1" applyBorder="1" applyAlignment="1">
      <alignment horizontal="center" vertical="top" wrapText="1"/>
    </xf>
    <xf numFmtId="164" fontId="9" fillId="0" borderId="18" xfId="0" applyNumberFormat="1" applyFont="1" applyBorder="1" applyAlignment="1">
      <alignment horizontal="center" vertical="top" wrapText="1"/>
    </xf>
    <xf numFmtId="0" fontId="9" fillId="0" borderId="19" xfId="0" applyFont="1" applyBorder="1" applyAlignment="1">
      <alignment horizontal="center" vertical="top" wrapText="1"/>
    </xf>
    <xf numFmtId="0" fontId="1" fillId="0" borderId="20" xfId="0" applyFont="1" applyBorder="1" applyAlignment="1" applyProtection="1">
      <alignment horizontal="center" vertical="center"/>
      <protection locked="0"/>
    </xf>
    <xf numFmtId="0" fontId="9" fillId="0" borderId="20" xfId="0" applyFont="1" applyBorder="1" applyAlignment="1">
      <alignment horizontal="center" vertical="top" wrapText="1"/>
    </xf>
    <xf numFmtId="164" fontId="9" fillId="0" borderId="20" xfId="0" applyNumberFormat="1" applyFont="1" applyBorder="1" applyAlignment="1">
      <alignment horizontal="center" vertical="top" wrapText="1"/>
    </xf>
    <xf numFmtId="0" fontId="9" fillId="0" borderId="21" xfId="0" applyFont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shrinkToFit="1"/>
    </xf>
    <xf numFmtId="0" fontId="10" fillId="0" borderId="0" xfId="0" applyFont="1" applyAlignment="1" applyProtection="1">
      <alignment horizontal="left" vertical="center"/>
      <protection locked="0"/>
    </xf>
    <xf numFmtId="0" fontId="19" fillId="0" borderId="8" xfId="0" applyFont="1" applyBorder="1" applyAlignment="1">
      <alignment horizontal="left" vertical="center" wrapText="1"/>
    </xf>
    <xf numFmtId="9" fontId="9" fillId="0" borderId="12" xfId="1" applyFont="1" applyBorder="1" applyAlignment="1" applyProtection="1">
      <alignment horizontal="center" shrinkToFit="1"/>
    </xf>
    <xf numFmtId="0" fontId="9" fillId="0" borderId="18" xfId="0" applyFont="1" applyBorder="1" applyAlignment="1" applyProtection="1">
      <alignment horizontal="center" vertical="top" wrapText="1"/>
      <protection locked="0"/>
    </xf>
    <xf numFmtId="0" fontId="9" fillId="0" borderId="20" xfId="0" applyFont="1" applyBorder="1" applyAlignment="1" applyProtection="1">
      <alignment horizontal="center" vertical="top" wrapText="1"/>
      <protection locked="0"/>
    </xf>
    <xf numFmtId="0" fontId="4" fillId="0" borderId="24" xfId="0" applyFont="1" applyBorder="1" applyAlignment="1">
      <alignment vertical="center" shrinkToFit="1"/>
    </xf>
    <xf numFmtId="0" fontId="3" fillId="0" borderId="24" xfId="0" applyFont="1" applyBorder="1" applyAlignment="1">
      <alignment vertical="center" shrinkToFit="1"/>
    </xf>
    <xf numFmtId="0" fontId="1" fillId="0" borderId="25" xfId="0" applyFont="1" applyBorder="1" applyAlignment="1" applyProtection="1">
      <alignment horizontal="center" vertical="center"/>
      <protection locked="0"/>
    </xf>
    <xf numFmtId="0" fontId="20" fillId="0" borderId="17" xfId="0" applyFont="1" applyBorder="1" applyAlignment="1">
      <alignment horizontal="center" vertical="center" wrapText="1" shrinkToFit="1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20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left" vertical="center"/>
      <protection locked="0"/>
    </xf>
    <xf numFmtId="0" fontId="8" fillId="0" borderId="20" xfId="0" applyFont="1" applyBorder="1" applyAlignment="1" applyProtection="1">
      <alignment horizontal="left" vertical="center"/>
      <protection locked="0"/>
    </xf>
    <xf numFmtId="0" fontId="8" fillId="0" borderId="26" xfId="0" applyFont="1" applyBorder="1" applyAlignment="1" applyProtection="1">
      <alignment horizontal="center" vertical="center"/>
      <protection locked="0"/>
    </xf>
    <xf numFmtId="0" fontId="8" fillId="0" borderId="27" xfId="0" applyFont="1" applyBorder="1" applyAlignment="1" applyProtection="1">
      <alignment horizontal="center" wrapText="1"/>
      <protection locked="0"/>
    </xf>
    <xf numFmtId="0" fontId="8" fillId="0" borderId="28" xfId="0" applyFont="1" applyBorder="1" applyAlignment="1" applyProtection="1">
      <alignment horizontal="center" wrapText="1"/>
      <protection locked="0"/>
    </xf>
    <xf numFmtId="0" fontId="3" fillId="0" borderId="28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center"/>
      <protection locked="0"/>
    </xf>
    <xf numFmtId="0" fontId="3" fillId="0" borderId="25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left" vertical="center"/>
      <protection locked="0"/>
    </xf>
    <xf numFmtId="0" fontId="9" fillId="0" borderId="12" xfId="0" applyFont="1" applyBorder="1" applyAlignment="1">
      <alignment horizontal="center" vertical="center" textRotation="90" wrapText="1"/>
    </xf>
    <xf numFmtId="0" fontId="9" fillId="0" borderId="25" xfId="0" applyFont="1" applyBorder="1" applyAlignment="1">
      <alignment horizontal="center" vertical="top" wrapText="1"/>
    </xf>
    <xf numFmtId="164" fontId="9" fillId="0" borderId="25" xfId="0" applyNumberFormat="1" applyFont="1" applyBorder="1" applyAlignment="1">
      <alignment horizontal="center" vertical="top" wrapText="1"/>
    </xf>
    <xf numFmtId="0" fontId="9" fillId="0" borderId="25" xfId="0" applyFont="1" applyBorder="1" applyAlignment="1" applyProtection="1">
      <alignment horizontal="center" vertical="top" wrapText="1"/>
      <protection locked="0"/>
    </xf>
    <xf numFmtId="0" fontId="9" fillId="0" borderId="59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shrinkToFit="1"/>
    </xf>
    <xf numFmtId="9" fontId="5" fillId="0" borderId="17" xfId="1" applyFont="1" applyBorder="1" applyAlignment="1" applyProtection="1">
      <alignment horizontal="center" shrinkToFi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/>
    </xf>
    <xf numFmtId="0" fontId="1" fillId="0" borderId="39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/>
      <protection locked="0"/>
    </xf>
    <xf numFmtId="0" fontId="9" fillId="0" borderId="40" xfId="0" applyFont="1" applyBorder="1" applyAlignment="1" applyProtection="1">
      <alignment horizontal="center"/>
      <protection locked="0"/>
    </xf>
    <xf numFmtId="0" fontId="1" fillId="0" borderId="41" xfId="0" applyFont="1" applyBorder="1" applyAlignment="1" applyProtection="1">
      <alignment horizontal="center" vertical="center"/>
      <protection locked="0"/>
    </xf>
    <xf numFmtId="0" fontId="9" fillId="0" borderId="41" xfId="0" applyFont="1" applyBorder="1" applyAlignment="1" applyProtection="1">
      <alignment horizontal="center"/>
      <protection locked="0"/>
    </xf>
    <xf numFmtId="0" fontId="9" fillId="0" borderId="42" xfId="0" applyFont="1" applyBorder="1" applyAlignment="1" applyProtection="1">
      <alignment horizontal="center"/>
      <protection locked="0"/>
    </xf>
    <xf numFmtId="0" fontId="1" fillId="0" borderId="44" xfId="0" applyFont="1" applyBorder="1" applyAlignment="1" applyProtection="1">
      <alignment horizontal="left" vertical="center"/>
      <protection locked="0"/>
    </xf>
    <xf numFmtId="0" fontId="1" fillId="0" borderId="45" xfId="0" applyFont="1" applyBorder="1" applyAlignment="1" applyProtection="1">
      <alignment horizontal="left" vertical="center"/>
      <protection locked="0"/>
    </xf>
    <xf numFmtId="0" fontId="1" fillId="0" borderId="46" xfId="0" applyFont="1" applyBorder="1" applyAlignment="1" applyProtection="1">
      <alignment horizontal="left" vertical="center"/>
      <protection locked="0"/>
    </xf>
    <xf numFmtId="0" fontId="9" fillId="0" borderId="44" xfId="0" applyFont="1" applyBorder="1" applyAlignment="1" applyProtection="1">
      <alignment horizontal="left"/>
      <protection locked="0"/>
    </xf>
    <xf numFmtId="0" fontId="9" fillId="0" borderId="45" xfId="0" applyFont="1" applyBorder="1" applyAlignment="1" applyProtection="1">
      <alignment horizontal="left"/>
      <protection locked="0"/>
    </xf>
    <xf numFmtId="0" fontId="9" fillId="0" borderId="47" xfId="0" applyFont="1" applyBorder="1" applyAlignment="1" applyProtection="1">
      <alignment horizontal="left"/>
      <protection locked="0"/>
    </xf>
    <xf numFmtId="0" fontId="14" fillId="0" borderId="43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6" fillId="0" borderId="23" xfId="0" applyFont="1" applyBorder="1" applyAlignment="1">
      <alignment textRotation="90" wrapText="1"/>
    </xf>
    <xf numFmtId="0" fontId="16" fillId="0" borderId="17" xfId="0" applyFont="1" applyBorder="1" applyAlignment="1">
      <alignment textRotation="90" wrapText="1"/>
    </xf>
    <xf numFmtId="0" fontId="16" fillId="0" borderId="12" xfId="0" applyFont="1" applyBorder="1" applyAlignment="1">
      <alignment textRotation="90" wrapText="1"/>
    </xf>
    <xf numFmtId="0" fontId="9" fillId="0" borderId="34" xfId="0" applyFont="1" applyBorder="1" applyAlignment="1">
      <alignment textRotation="90" wrapText="1"/>
    </xf>
    <xf numFmtId="0" fontId="9" fillId="0" borderId="35" xfId="0" applyFont="1" applyBorder="1" applyAlignment="1">
      <alignment textRotation="90" wrapText="1"/>
    </xf>
    <xf numFmtId="0" fontId="9" fillId="0" borderId="36" xfId="0" applyFont="1" applyBorder="1" applyAlignment="1">
      <alignment textRotation="90" wrapText="1"/>
    </xf>
    <xf numFmtId="0" fontId="9" fillId="0" borderId="17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left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center" vertical="center" textRotation="90" wrapText="1"/>
    </xf>
    <xf numFmtId="0" fontId="9" fillId="0" borderId="2" xfId="0" applyFont="1" applyBorder="1" applyAlignment="1">
      <alignment horizontal="center" vertical="center" textRotation="90" wrapText="1"/>
    </xf>
    <xf numFmtId="0" fontId="9" fillId="0" borderId="9" xfId="0" applyFont="1" applyBorder="1" applyAlignment="1">
      <alignment horizontal="center" vertical="center" textRotation="90" wrapText="1"/>
    </xf>
    <xf numFmtId="0" fontId="9" fillId="0" borderId="23" xfId="0" applyFont="1" applyBorder="1" applyAlignment="1">
      <alignment horizontal="center" vertical="center" textRotation="90" wrapText="1"/>
    </xf>
    <xf numFmtId="0" fontId="9" fillId="0" borderId="17" xfId="0" applyFont="1" applyBorder="1" applyAlignment="1">
      <alignment horizontal="center" vertical="center" textRotation="90" wrapText="1"/>
    </xf>
    <xf numFmtId="0" fontId="9" fillId="0" borderId="12" xfId="0" applyFont="1" applyBorder="1" applyAlignment="1">
      <alignment horizontal="center" vertical="center" textRotation="90" wrapText="1"/>
    </xf>
    <xf numFmtId="0" fontId="9" fillId="0" borderId="2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7" fillId="0" borderId="17" xfId="0" applyFont="1" applyBorder="1" applyAlignment="1">
      <alignment horizontal="center" shrinkToFit="1"/>
    </xf>
    <xf numFmtId="0" fontId="9" fillId="0" borderId="17" xfId="0" applyFont="1" applyBorder="1" applyAlignment="1">
      <alignment horizontal="left" vertical="center" wrapText="1"/>
    </xf>
    <xf numFmtId="0" fontId="13" fillId="0" borderId="30" xfId="0" applyFont="1" applyBorder="1" applyAlignment="1">
      <alignment horizontal="right" vertical="center" wrapText="1"/>
    </xf>
    <xf numFmtId="0" fontId="13" fillId="0" borderId="0" xfId="0" applyFont="1" applyAlignment="1">
      <alignment horizontal="right" vertical="center" wrapText="1"/>
    </xf>
    <xf numFmtId="10" fontId="17" fillId="0" borderId="30" xfId="1" applyNumberFormat="1" applyFont="1" applyBorder="1" applyAlignment="1" applyProtection="1">
      <alignment horizontal="center" vertical="center" wrapText="1"/>
    </xf>
    <xf numFmtId="10" fontId="17" fillId="0" borderId="0" xfId="1" applyNumberFormat="1" applyFont="1" applyBorder="1" applyAlignment="1" applyProtection="1">
      <alignment horizontal="center" vertical="center" wrapText="1"/>
    </xf>
    <xf numFmtId="10" fontId="17" fillId="0" borderId="8" xfId="1" applyNumberFormat="1" applyFont="1" applyBorder="1" applyAlignment="1" applyProtection="1">
      <alignment horizontal="center" vertical="center" wrapText="1"/>
    </xf>
    <xf numFmtId="10" fontId="17" fillId="0" borderId="31" xfId="1" applyNumberFormat="1" applyFont="1" applyBorder="1" applyAlignment="1" applyProtection="1">
      <alignment horizontal="center" vertical="center" wrapText="1"/>
    </xf>
    <xf numFmtId="10" fontId="17" fillId="0" borderId="32" xfId="1" applyNumberFormat="1" applyFont="1" applyBorder="1" applyAlignment="1" applyProtection="1">
      <alignment horizontal="center" vertical="center" wrapText="1"/>
    </xf>
    <xf numFmtId="10" fontId="17" fillId="0" borderId="33" xfId="1" applyNumberFormat="1" applyFont="1" applyBorder="1" applyAlignment="1" applyProtection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" fillId="0" borderId="54" xfId="0" applyFont="1" applyBorder="1" applyAlignment="1" applyProtection="1">
      <alignment horizontal="left" vertical="center"/>
      <protection locked="0"/>
    </xf>
    <xf numFmtId="0" fontId="1" fillId="0" borderId="55" xfId="0" applyFont="1" applyBorder="1" applyAlignment="1" applyProtection="1">
      <alignment horizontal="left" vertical="center"/>
      <protection locked="0"/>
    </xf>
    <xf numFmtId="0" fontId="1" fillId="0" borderId="56" xfId="0" applyFont="1" applyBorder="1" applyAlignment="1" applyProtection="1">
      <alignment horizontal="left" vertical="center"/>
      <protection locked="0"/>
    </xf>
    <xf numFmtId="0" fontId="9" fillId="0" borderId="54" xfId="0" applyFont="1" applyBorder="1" applyAlignment="1" applyProtection="1">
      <alignment horizontal="left"/>
      <protection locked="0"/>
    </xf>
    <xf numFmtId="0" fontId="9" fillId="0" borderId="55" xfId="0" applyFont="1" applyBorder="1" applyAlignment="1" applyProtection="1">
      <alignment horizontal="left"/>
      <protection locked="0"/>
    </xf>
    <xf numFmtId="0" fontId="9" fillId="0" borderId="57" xfId="0" applyFont="1" applyBorder="1" applyAlignment="1" applyProtection="1">
      <alignment horizontal="left"/>
      <protection locked="0"/>
    </xf>
    <xf numFmtId="0" fontId="15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15" fillId="0" borderId="48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9" fillId="0" borderId="43" xfId="0" applyFont="1" applyBorder="1" applyAlignment="1" applyProtection="1">
      <alignment vertical="center"/>
      <protection locked="0"/>
    </xf>
    <xf numFmtId="0" fontId="9" fillId="0" borderId="1" xfId="0" applyFont="1" applyBorder="1" applyAlignment="1" applyProtection="1">
      <alignment vertical="center"/>
      <protection locked="0"/>
    </xf>
    <xf numFmtId="0" fontId="9" fillId="0" borderId="1" xfId="0" applyFont="1" applyBorder="1" applyAlignment="1">
      <alignment horizontal="right" vertical="center"/>
    </xf>
    <xf numFmtId="0" fontId="7" fillId="0" borderId="1" xfId="0" applyFont="1" applyBorder="1" applyAlignment="1" applyProtection="1">
      <alignment horizontal="left" vertical="center"/>
      <protection locked="0"/>
    </xf>
    <xf numFmtId="0" fontId="9" fillId="0" borderId="58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7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>
      <alignment horizontal="right" vertical="center" wrapText="1"/>
    </xf>
    <xf numFmtId="0" fontId="7" fillId="0" borderId="8" xfId="0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3">
    <dxf>
      <font>
        <b/>
        <i val="0"/>
        <u/>
        <color indexed="10"/>
        <name val="Cambria"/>
        <scheme val="none"/>
      </font>
    </dxf>
    <dxf>
      <font>
        <b/>
        <i val="0"/>
        <u/>
        <color indexed="10"/>
        <name val="Cambria"/>
        <scheme val="none"/>
      </font>
    </dxf>
    <dxf>
      <font>
        <b/>
        <i val="0"/>
        <strike val="0"/>
        <u/>
        <color rgb="FFFF0000"/>
        <name val="Cambria"/>
        <scheme val="none"/>
      </font>
      <fill>
        <patternFill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161925</xdr:colOff>
      <xdr:row>0</xdr:row>
      <xdr:rowOff>0</xdr:rowOff>
    </xdr:from>
    <xdr:to>
      <xdr:col>15</xdr:col>
      <xdr:colOff>209550</xdr:colOff>
      <xdr:row>2</xdr:row>
      <xdr:rowOff>209550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43025" y="0"/>
          <a:ext cx="7629525" cy="1362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G118"/>
  <sheetViews>
    <sheetView tabSelected="1" showWhiteSpace="0" view="pageBreakPreview" topLeftCell="A91" zoomScale="68" zoomScaleNormal="100" zoomScaleSheetLayoutView="68" workbookViewId="0">
      <selection activeCell="O33" sqref="O33"/>
    </sheetView>
  </sheetViews>
  <sheetFormatPr defaultRowHeight="15"/>
  <cols>
    <col min="1" max="1" width="4.42578125" style="2" customWidth="1"/>
    <col min="2" max="2" width="12.140625" customWidth="1"/>
    <col min="3" max="3" width="40.85546875" customWidth="1"/>
    <col min="4" max="4" width="7" customWidth="1"/>
    <col min="5" max="5" width="5.7109375" customWidth="1"/>
    <col min="6" max="6" width="5.5703125" customWidth="1"/>
    <col min="7" max="8" width="5.42578125" customWidth="1"/>
    <col min="9" max="9" width="5.28515625" customWidth="1"/>
    <col min="10" max="15" width="5" customWidth="1"/>
    <col min="16" max="16" width="5.85546875" customWidth="1"/>
    <col min="17" max="17" width="6.28515625" customWidth="1"/>
    <col min="18" max="20" width="5.7109375" customWidth="1"/>
    <col min="21" max="21" width="6.7109375" hidden="1" customWidth="1"/>
    <col min="22" max="81" width="9.140625" hidden="1" customWidth="1"/>
    <col min="82" max="83" width="9.140625" customWidth="1"/>
    <col min="84" max="84" width="11.140625" bestFit="1" customWidth="1"/>
    <col min="85" max="85" width="10.5703125" bestFit="1" customWidth="1"/>
  </cols>
  <sheetData>
    <row r="2" spans="1:80" ht="75.75" customHeight="1">
      <c r="C2" s="73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3" spans="1:80" ht="36.75" customHeight="1">
      <c r="C3" s="75" t="s">
        <v>40</v>
      </c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</row>
    <row r="4" spans="1:80" s="8" customFormat="1" ht="24" customHeight="1">
      <c r="A4" s="145" t="s">
        <v>0</v>
      </c>
      <c r="B4" s="146"/>
      <c r="C4" s="44"/>
      <c r="D4" s="147" t="s">
        <v>19</v>
      </c>
      <c r="E4" s="147"/>
      <c r="F4" s="148"/>
      <c r="G4" s="148"/>
      <c r="H4" s="147" t="s">
        <v>23</v>
      </c>
      <c r="I4" s="147"/>
      <c r="J4" s="147"/>
      <c r="K4" s="147"/>
      <c r="L4" s="147"/>
      <c r="M4" s="147"/>
      <c r="N4" s="148"/>
      <c r="O4" s="148"/>
      <c r="P4" s="149" t="s">
        <v>32</v>
      </c>
      <c r="Q4" s="149"/>
      <c r="R4" s="149"/>
      <c r="S4" s="148"/>
      <c r="T4" s="150"/>
      <c r="U4" s="9"/>
      <c r="BX4">
        <v>1</v>
      </c>
      <c r="BY4"/>
    </row>
    <row r="5" spans="1:80" s="8" customFormat="1" ht="15.75" thickBot="1">
      <c r="A5" s="141" t="s">
        <v>29</v>
      </c>
      <c r="B5" s="142"/>
      <c r="C5" s="1"/>
      <c r="D5" s="143" t="s">
        <v>1</v>
      </c>
      <c r="E5" s="143"/>
      <c r="F5" s="144"/>
      <c r="G5" s="144"/>
      <c r="H5" s="143" t="s">
        <v>2</v>
      </c>
      <c r="I5" s="143"/>
      <c r="J5" s="143"/>
      <c r="K5" s="143"/>
      <c r="L5" s="143"/>
      <c r="M5" s="143"/>
      <c r="N5" s="151"/>
      <c r="O5" s="151"/>
      <c r="P5" s="151"/>
      <c r="Q5" s="151"/>
      <c r="R5" s="152"/>
      <c r="S5" s="152"/>
      <c r="T5" s="153"/>
      <c r="BX5" s="8">
        <v>2</v>
      </c>
    </row>
    <row r="6" spans="1:80" s="6" customFormat="1" ht="15.75" customHeight="1">
      <c r="A6" s="28" t="s">
        <v>4</v>
      </c>
      <c r="B6" s="127" t="s">
        <v>14</v>
      </c>
      <c r="C6" s="127"/>
      <c r="D6" s="127"/>
      <c r="E6" s="127"/>
      <c r="F6" s="127" t="s">
        <v>30</v>
      </c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8"/>
      <c r="S6" s="129"/>
      <c r="T6" s="130"/>
      <c r="U6" s="11"/>
      <c r="BS6" s="8"/>
      <c r="BT6" s="8"/>
      <c r="BU6" s="8"/>
      <c r="BV6" s="8"/>
      <c r="BW6" s="8"/>
      <c r="BX6">
        <v>3</v>
      </c>
      <c r="BY6"/>
      <c r="BZ6" s="8"/>
      <c r="CA6" s="8"/>
      <c r="CB6" s="8"/>
    </row>
    <row r="7" spans="1:80" s="6" customFormat="1" ht="15" customHeight="1">
      <c r="A7" s="27"/>
      <c r="B7" s="131"/>
      <c r="C7" s="132"/>
      <c r="D7" s="132"/>
      <c r="E7" s="133"/>
      <c r="F7" s="134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6"/>
      <c r="S7" s="137"/>
      <c r="T7" s="138"/>
      <c r="U7" s="24"/>
      <c r="BS7" s="8"/>
      <c r="BT7" s="8"/>
      <c r="BU7" s="8"/>
      <c r="BV7" s="8"/>
      <c r="BW7" s="8"/>
      <c r="BX7" s="8">
        <v>4</v>
      </c>
      <c r="BY7" s="8"/>
      <c r="BZ7" s="8"/>
      <c r="CA7" s="8"/>
      <c r="CB7" s="8"/>
    </row>
    <row r="8" spans="1:80" s="6" customFormat="1">
      <c r="A8" s="25"/>
      <c r="B8" s="82"/>
      <c r="C8" s="83"/>
      <c r="D8" s="83"/>
      <c r="E8" s="84"/>
      <c r="F8" s="85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7"/>
      <c r="S8" s="139"/>
      <c r="T8" s="140"/>
      <c r="U8" s="24"/>
      <c r="BS8" s="8"/>
      <c r="BT8" s="8"/>
      <c r="BU8" s="8"/>
      <c r="BV8" s="8"/>
      <c r="BW8" s="8"/>
      <c r="BX8">
        <v>5</v>
      </c>
      <c r="BY8"/>
      <c r="BZ8" s="8"/>
      <c r="CA8" s="8"/>
      <c r="CB8" s="8"/>
    </row>
    <row r="9" spans="1:80" s="6" customFormat="1">
      <c r="A9" s="25"/>
      <c r="B9" s="82"/>
      <c r="C9" s="83"/>
      <c r="D9" s="83"/>
      <c r="E9" s="84"/>
      <c r="F9" s="85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7"/>
      <c r="T9" s="17"/>
      <c r="BS9" s="8"/>
      <c r="BT9" s="8"/>
      <c r="BU9" s="8"/>
      <c r="BV9" s="8"/>
      <c r="BW9" s="8"/>
      <c r="BX9" s="8">
        <v>6</v>
      </c>
      <c r="BY9" s="8"/>
      <c r="BZ9" s="8"/>
      <c r="CA9" s="8"/>
      <c r="CB9" s="8"/>
    </row>
    <row r="10" spans="1:80" s="6" customFormat="1">
      <c r="A10" s="25"/>
      <c r="B10" s="82"/>
      <c r="C10" s="83"/>
      <c r="D10" s="83"/>
      <c r="E10" s="84"/>
      <c r="F10" s="85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7"/>
      <c r="T10" s="17"/>
      <c r="BS10" s="8"/>
      <c r="BT10" s="8"/>
      <c r="BU10" s="8"/>
      <c r="BV10" s="8"/>
      <c r="BW10" s="8"/>
      <c r="BX10">
        <v>7</v>
      </c>
      <c r="BY10"/>
      <c r="BZ10" s="8"/>
      <c r="CA10" s="8"/>
      <c r="CB10" s="8"/>
    </row>
    <row r="11" spans="1:80" s="6" customFormat="1">
      <c r="A11" s="25"/>
      <c r="B11" s="82"/>
      <c r="C11" s="83"/>
      <c r="D11" s="83"/>
      <c r="E11" s="84"/>
      <c r="F11" s="85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7"/>
      <c r="T11" s="17"/>
      <c r="BS11" s="8"/>
      <c r="BT11" s="8"/>
      <c r="BU11" s="8"/>
      <c r="BV11" s="8"/>
      <c r="BW11" s="8"/>
      <c r="BX11" s="8">
        <v>8</v>
      </c>
      <c r="BY11" s="8"/>
      <c r="BZ11" s="8"/>
      <c r="CA11" s="8"/>
      <c r="CB11" s="8"/>
    </row>
    <row r="12" spans="1:80" s="6" customFormat="1">
      <c r="A12" s="25"/>
      <c r="B12" s="82"/>
      <c r="C12" s="83"/>
      <c r="D12" s="83"/>
      <c r="E12" s="84"/>
      <c r="F12" s="85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7"/>
      <c r="T12" s="17"/>
      <c r="BS12" s="8"/>
      <c r="BT12" s="8"/>
      <c r="BU12" s="8"/>
      <c r="BV12" s="8"/>
      <c r="BW12" s="8"/>
      <c r="BX12">
        <v>9</v>
      </c>
      <c r="BY12"/>
      <c r="BZ12" s="8"/>
      <c r="CA12" s="8"/>
      <c r="CB12" s="8"/>
    </row>
    <row r="13" spans="1:80" s="6" customFormat="1">
      <c r="A13" s="25"/>
      <c r="B13" s="82"/>
      <c r="C13" s="83"/>
      <c r="D13" s="83"/>
      <c r="E13" s="84"/>
      <c r="F13" s="85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7"/>
      <c r="T13" s="17"/>
      <c r="BS13" s="8"/>
      <c r="BT13" s="8"/>
      <c r="BU13" s="8"/>
      <c r="BV13" s="8"/>
      <c r="BW13" s="8"/>
      <c r="BX13"/>
      <c r="BY13"/>
      <c r="BZ13" s="8"/>
      <c r="CA13" s="8"/>
      <c r="CB13" s="8"/>
    </row>
    <row r="14" spans="1:80" s="6" customFormat="1">
      <c r="A14" s="25"/>
      <c r="B14" s="82"/>
      <c r="C14" s="83"/>
      <c r="D14" s="83"/>
      <c r="E14" s="84"/>
      <c r="F14" s="85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7"/>
      <c r="T14" s="17"/>
      <c r="BS14" s="8"/>
      <c r="BT14" s="8"/>
      <c r="BU14" s="8"/>
      <c r="BV14" s="8"/>
      <c r="BW14" s="8"/>
      <c r="BX14"/>
      <c r="BY14"/>
      <c r="BZ14" s="8"/>
      <c r="CA14" s="8"/>
      <c r="CB14" s="8"/>
    </row>
    <row r="15" spans="1:80" s="6" customFormat="1">
      <c r="A15" s="25"/>
      <c r="B15" s="82"/>
      <c r="C15" s="83"/>
      <c r="D15" s="83"/>
      <c r="E15" s="84"/>
      <c r="F15" s="85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7"/>
      <c r="T15" s="17"/>
      <c r="BS15" s="8"/>
      <c r="BT15" s="8"/>
      <c r="BU15" s="8"/>
      <c r="BV15" s="8"/>
      <c r="BW15" s="8"/>
      <c r="BX15"/>
      <c r="BY15"/>
      <c r="BZ15" s="8"/>
      <c r="CA15" s="8"/>
      <c r="CB15" s="8"/>
    </row>
    <row r="16" spans="1:80" s="6" customFormat="1">
      <c r="A16" s="25"/>
      <c r="B16" s="76"/>
      <c r="C16" s="76"/>
      <c r="D16" s="76"/>
      <c r="E16" s="76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8"/>
      <c r="T16" s="17"/>
      <c r="BX16" s="8">
        <v>10</v>
      </c>
      <c r="BY16"/>
    </row>
    <row r="17" spans="1:77" s="6" customFormat="1">
      <c r="A17" s="25"/>
      <c r="B17" s="76"/>
      <c r="C17" s="76"/>
      <c r="D17" s="76"/>
      <c r="E17" s="76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8"/>
      <c r="T17" s="17"/>
      <c r="BX17">
        <v>11</v>
      </c>
      <c r="BY17"/>
    </row>
    <row r="18" spans="1:77" s="6" customFormat="1" ht="15.75" customHeight="1" thickBot="1">
      <c r="A18" s="26"/>
      <c r="B18" s="79"/>
      <c r="C18" s="79"/>
      <c r="D18" s="79"/>
      <c r="E18" s="79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1"/>
      <c r="T18" s="17"/>
      <c r="BX18" s="8">
        <v>12</v>
      </c>
      <c r="BY18"/>
    </row>
    <row r="19" spans="1:77" s="6" customFormat="1" ht="15.75" customHeight="1" thickBot="1">
      <c r="A19" s="88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90"/>
      <c r="U19" s="21"/>
      <c r="BX19">
        <v>13</v>
      </c>
      <c r="BY19"/>
    </row>
    <row r="20" spans="1:77" s="6" customFormat="1" ht="27.75" customHeight="1">
      <c r="A20" s="107" t="s">
        <v>5</v>
      </c>
      <c r="B20" s="110" t="s">
        <v>6</v>
      </c>
      <c r="C20" s="113" t="s">
        <v>7</v>
      </c>
      <c r="D20" s="113" t="s">
        <v>8</v>
      </c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91" t="s">
        <v>13</v>
      </c>
      <c r="S20" s="91" t="s">
        <v>12</v>
      </c>
      <c r="T20" s="94" t="s">
        <v>24</v>
      </c>
      <c r="U20" s="12"/>
      <c r="BX20" s="8">
        <v>14</v>
      </c>
      <c r="BY20"/>
    </row>
    <row r="21" spans="1:77" s="6" customFormat="1" ht="13.5" customHeight="1">
      <c r="A21" s="108"/>
      <c r="B21" s="111"/>
      <c r="C21" s="97"/>
      <c r="D21" s="97" t="s">
        <v>9</v>
      </c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2"/>
      <c r="S21" s="92"/>
      <c r="T21" s="95"/>
      <c r="U21" s="13"/>
      <c r="BX21">
        <v>15</v>
      </c>
      <c r="BY21"/>
    </row>
    <row r="22" spans="1:77" s="6" customFormat="1" ht="50.25" customHeight="1" thickBot="1">
      <c r="A22" s="109"/>
      <c r="B22" s="112"/>
      <c r="C22" s="114"/>
      <c r="D22" s="22">
        <v>1</v>
      </c>
      <c r="E22" s="22">
        <v>2</v>
      </c>
      <c r="F22" s="22">
        <v>3</v>
      </c>
      <c r="G22" s="22">
        <v>4</v>
      </c>
      <c r="H22" s="22">
        <v>5</v>
      </c>
      <c r="I22" s="22">
        <v>6</v>
      </c>
      <c r="J22" s="22">
        <v>7</v>
      </c>
      <c r="K22" s="22">
        <v>8</v>
      </c>
      <c r="L22" s="22">
        <v>9</v>
      </c>
      <c r="M22" s="22">
        <v>10</v>
      </c>
      <c r="N22" s="22">
        <v>11</v>
      </c>
      <c r="O22" s="22">
        <v>12</v>
      </c>
      <c r="P22" s="66" t="s">
        <v>10</v>
      </c>
      <c r="Q22" s="66" t="s">
        <v>11</v>
      </c>
      <c r="R22" s="93"/>
      <c r="S22" s="93"/>
      <c r="T22" s="96"/>
      <c r="U22" s="14"/>
      <c r="BX22" s="8">
        <v>16</v>
      </c>
      <c r="BY22"/>
    </row>
    <row r="23" spans="1:77" s="6" customFormat="1" ht="15.75" customHeight="1">
      <c r="A23" s="58"/>
      <c r="B23" s="53"/>
      <c r="C23" s="55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5" t="str">
        <f>IF(COUNTIF(D23:O23,"AB")&gt;=1,"-",IF(COUNTIF(D23:O23,"WH")&gt;=1,"-",IF(A23&gt;=1,IF(A23&lt;&gt;"",SUM(D23:O23),""),"")))</f>
        <v/>
      </c>
      <c r="Q23" s="36" t="str">
        <f>IF(COUNTIF(D23:O23,"AB")&gt;=1,"-",IF(COUNTIF(D23:O23,"WH")&gt;=1,"-",IF(A23&gt;=1,IF(A23&lt;&gt;"",AVERAGE(D23:O23),""),"")))</f>
        <v/>
      </c>
      <c r="R23" s="47"/>
      <c r="S23" s="35" t="str">
        <f>IF(A23&gt;=1,IF(A23&lt;&gt;"",(COUNTIF(D23:O23,"AB")),""),"")</f>
        <v/>
      </c>
      <c r="T23" s="37" t="str">
        <f>IF(A23&gt;=1,IF(A23&lt;&gt;"",(COUNTIF(D23:O23,"&lt;50")),""),"")</f>
        <v/>
      </c>
      <c r="U23" s="16" t="e">
        <f>IF(P23=0,"",S23+T23+V23)</f>
        <v>#VALUE!</v>
      </c>
      <c r="V23" s="6" t="str">
        <f>IF(A23&gt;=1,IF(A23&lt;&gt;"",(COUNTIF(D23:O23,"WH")),""),"")</f>
        <v/>
      </c>
      <c r="W23" s="6" t="e">
        <f>S23+T23</f>
        <v>#VALUE!</v>
      </c>
      <c r="BX23">
        <v>17</v>
      </c>
      <c r="BY23" s="10"/>
    </row>
    <row r="24" spans="1:77" s="6" customFormat="1" ht="15.75" customHeight="1">
      <c r="A24" s="59"/>
      <c r="B24" s="54"/>
      <c r="C24" s="56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9" t="str">
        <f t="shared" ref="P24:P87" si="0">IF(COUNTIF(D24:O24,"AB")&gt;=1,"-",IF(COUNTIF(D24:O24,"WH")&gt;=1,"-",IF(A24&gt;=1,IF(A24&lt;&gt;"",SUM(D24:O24),""),"")))</f>
        <v/>
      </c>
      <c r="Q24" s="40" t="str">
        <f t="shared" ref="Q24:Q77" si="1">IF(COUNTIF(D24:O24,"AB")&gt;=1,"-",IF(COUNTIF(D24:O24,"WH")&gt;=1,"-",IF(A24&gt;=1,IF(A24&lt;&gt;"",AVERAGE(D24:O24),""),"")))</f>
        <v/>
      </c>
      <c r="R24" s="48"/>
      <c r="S24" s="39" t="str">
        <f t="shared" ref="S24:S77" si="2">IF(A24&gt;=1,IF(A24&lt;&gt;"",(COUNTIF(D24:O24,"AB")),""),"")</f>
        <v/>
      </c>
      <c r="T24" s="41" t="str">
        <f t="shared" ref="T24:T77" si="3">IF(A24&gt;=1,IF(A24&lt;&gt;"",(COUNTIF(D24:O24,"&lt;50")),""),"")</f>
        <v/>
      </c>
      <c r="U24" s="16" t="e">
        <f>IF(P24=0,"",S24+T24+V24)</f>
        <v>#VALUE!</v>
      </c>
      <c r="V24" s="6" t="str">
        <f t="shared" ref="V24:V89" si="4">IF(A24&gt;=1,IF(A24&lt;&gt;"",(COUNTIF(D24:O24,"WH")),""),"")</f>
        <v/>
      </c>
      <c r="W24" s="6" t="e">
        <f t="shared" ref="W24:W78" si="5">S24+T24</f>
        <v>#VALUE!</v>
      </c>
      <c r="BX24" s="8">
        <v>18</v>
      </c>
      <c r="BY24" s="10"/>
    </row>
    <row r="25" spans="1:77" s="6" customFormat="1" ht="15.75" customHeight="1">
      <c r="A25" s="59"/>
      <c r="B25" s="54"/>
      <c r="C25" s="56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 t="str">
        <f t="shared" si="0"/>
        <v/>
      </c>
      <c r="Q25" s="40" t="str">
        <f t="shared" si="1"/>
        <v/>
      </c>
      <c r="R25" s="48"/>
      <c r="S25" s="39" t="str">
        <f t="shared" si="2"/>
        <v/>
      </c>
      <c r="T25" s="41" t="str">
        <f t="shared" si="3"/>
        <v/>
      </c>
      <c r="U25" s="16" t="e">
        <f>IF(P25=0,"",S25+T25+V25)</f>
        <v>#VALUE!</v>
      </c>
      <c r="V25" s="6" t="str">
        <f t="shared" si="4"/>
        <v/>
      </c>
      <c r="W25" s="6" t="e">
        <f t="shared" si="5"/>
        <v>#VALUE!</v>
      </c>
      <c r="BX25">
        <v>19</v>
      </c>
      <c r="BY25" s="10"/>
    </row>
    <row r="26" spans="1:77" s="6" customFormat="1" ht="15.75" customHeight="1">
      <c r="A26" s="59"/>
      <c r="B26" s="54"/>
      <c r="C26" s="56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9" t="str">
        <f t="shared" si="0"/>
        <v/>
      </c>
      <c r="Q26" s="40" t="str">
        <f t="shared" si="1"/>
        <v/>
      </c>
      <c r="R26" s="48"/>
      <c r="S26" s="39" t="str">
        <f t="shared" si="2"/>
        <v/>
      </c>
      <c r="T26" s="41" t="str">
        <f t="shared" si="3"/>
        <v/>
      </c>
      <c r="U26" s="16" t="e">
        <f>IF(P26=0,"",S26+T26+V26)</f>
        <v>#VALUE!</v>
      </c>
      <c r="V26" s="6" t="str">
        <f t="shared" si="4"/>
        <v/>
      </c>
      <c r="W26" s="6" t="e">
        <f t="shared" si="5"/>
        <v>#VALUE!</v>
      </c>
      <c r="BX26" s="8">
        <v>20</v>
      </c>
      <c r="BY26" s="10"/>
    </row>
    <row r="27" spans="1:77" s="6" customFormat="1" ht="15.75" customHeight="1">
      <c r="A27" s="59"/>
      <c r="B27" s="54"/>
      <c r="C27" s="56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9" t="str">
        <f t="shared" si="0"/>
        <v/>
      </c>
      <c r="Q27" s="40" t="str">
        <f t="shared" si="1"/>
        <v/>
      </c>
      <c r="R27" s="48"/>
      <c r="S27" s="39" t="str">
        <f t="shared" si="2"/>
        <v/>
      </c>
      <c r="T27" s="41" t="str">
        <f t="shared" si="3"/>
        <v/>
      </c>
      <c r="U27" s="16" t="e">
        <f>IF(P27=0,"",S27+T27+V27)</f>
        <v>#VALUE!</v>
      </c>
      <c r="V27" s="6" t="str">
        <f t="shared" si="4"/>
        <v/>
      </c>
      <c r="W27" s="6" t="e">
        <f t="shared" si="5"/>
        <v>#VALUE!</v>
      </c>
      <c r="BX27">
        <v>21</v>
      </c>
      <c r="BY27" s="10"/>
    </row>
    <row r="28" spans="1:77" s="6" customFormat="1" ht="15.75" customHeight="1">
      <c r="A28" s="59"/>
      <c r="B28" s="57"/>
      <c r="C28" s="56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9" t="str">
        <f t="shared" si="0"/>
        <v/>
      </c>
      <c r="Q28" s="40" t="str">
        <f t="shared" si="1"/>
        <v/>
      </c>
      <c r="R28" s="48"/>
      <c r="S28" s="39" t="str">
        <f t="shared" si="2"/>
        <v/>
      </c>
      <c r="T28" s="41" t="str">
        <f t="shared" si="3"/>
        <v/>
      </c>
      <c r="U28" s="16" t="e">
        <f t="shared" ref="U28:U89" si="6">IF(P28=0,"",S28+T28+V28)</f>
        <v>#VALUE!</v>
      </c>
      <c r="V28" s="6" t="str">
        <f t="shared" si="4"/>
        <v/>
      </c>
      <c r="W28" s="6" t="e">
        <f t="shared" si="5"/>
        <v>#VALUE!</v>
      </c>
      <c r="BX28" s="8">
        <v>22</v>
      </c>
    </row>
    <row r="29" spans="1:77" s="6" customFormat="1" ht="15.75" customHeight="1">
      <c r="A29" s="59"/>
      <c r="B29" s="54"/>
      <c r="C29" s="56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9" t="str">
        <f t="shared" si="0"/>
        <v/>
      </c>
      <c r="Q29" s="40" t="str">
        <f t="shared" si="1"/>
        <v/>
      </c>
      <c r="R29" s="48"/>
      <c r="S29" s="39" t="str">
        <f t="shared" si="2"/>
        <v/>
      </c>
      <c r="T29" s="41" t="str">
        <f t="shared" si="3"/>
        <v/>
      </c>
      <c r="U29" s="16" t="e">
        <f t="shared" si="6"/>
        <v>#VALUE!</v>
      </c>
      <c r="V29" s="6" t="str">
        <f t="shared" si="4"/>
        <v/>
      </c>
      <c r="W29" s="6" t="e">
        <f t="shared" si="5"/>
        <v>#VALUE!</v>
      </c>
      <c r="BX29">
        <v>23</v>
      </c>
    </row>
    <row r="30" spans="1:77" s="6" customFormat="1" ht="15.75" customHeight="1">
      <c r="A30" s="59"/>
      <c r="B30" s="54"/>
      <c r="C30" s="56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9" t="str">
        <f t="shared" si="0"/>
        <v/>
      </c>
      <c r="Q30" s="40" t="str">
        <f t="shared" si="1"/>
        <v/>
      </c>
      <c r="R30" s="48"/>
      <c r="S30" s="39" t="str">
        <f t="shared" si="2"/>
        <v/>
      </c>
      <c r="T30" s="41" t="str">
        <f t="shared" si="3"/>
        <v/>
      </c>
      <c r="U30" s="16" t="e">
        <f t="shared" si="6"/>
        <v>#VALUE!</v>
      </c>
      <c r="V30" s="6" t="str">
        <f t="shared" si="4"/>
        <v/>
      </c>
      <c r="W30" s="6" t="e">
        <f t="shared" si="5"/>
        <v>#VALUE!</v>
      </c>
      <c r="BX30" s="8">
        <v>24</v>
      </c>
    </row>
    <row r="31" spans="1:77" s="6" customFormat="1" ht="15.75" customHeight="1">
      <c r="A31" s="59"/>
      <c r="B31" s="54"/>
      <c r="C31" s="56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9" t="str">
        <f t="shared" si="0"/>
        <v/>
      </c>
      <c r="Q31" s="40" t="str">
        <f t="shared" si="1"/>
        <v/>
      </c>
      <c r="R31" s="48"/>
      <c r="S31" s="39" t="str">
        <f t="shared" si="2"/>
        <v/>
      </c>
      <c r="T31" s="41" t="str">
        <f t="shared" si="3"/>
        <v/>
      </c>
      <c r="U31" s="16" t="e">
        <f t="shared" si="6"/>
        <v>#VALUE!</v>
      </c>
      <c r="V31" s="6" t="str">
        <f t="shared" si="4"/>
        <v/>
      </c>
      <c r="W31" s="6" t="e">
        <f t="shared" si="5"/>
        <v>#VALUE!</v>
      </c>
      <c r="BX31">
        <v>25</v>
      </c>
    </row>
    <row r="32" spans="1:77" s="6" customFormat="1" ht="15.75" customHeight="1">
      <c r="A32" s="59"/>
      <c r="B32" s="54"/>
      <c r="C32" s="56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9" t="str">
        <f t="shared" si="0"/>
        <v/>
      </c>
      <c r="Q32" s="40" t="str">
        <f t="shared" si="1"/>
        <v/>
      </c>
      <c r="R32" s="48"/>
      <c r="S32" s="39" t="str">
        <f t="shared" si="2"/>
        <v/>
      </c>
      <c r="T32" s="41" t="str">
        <f t="shared" si="3"/>
        <v/>
      </c>
      <c r="U32" s="16" t="e">
        <f t="shared" si="6"/>
        <v>#VALUE!</v>
      </c>
      <c r="V32" s="6" t="str">
        <f t="shared" si="4"/>
        <v/>
      </c>
      <c r="W32" s="6" t="e">
        <f t="shared" si="5"/>
        <v>#VALUE!</v>
      </c>
      <c r="BX32" s="8">
        <v>26</v>
      </c>
    </row>
    <row r="33" spans="1:76" s="6" customFormat="1" ht="15.75" customHeight="1">
      <c r="A33" s="59"/>
      <c r="B33" s="54"/>
      <c r="C33" s="56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9" t="str">
        <f t="shared" si="0"/>
        <v/>
      </c>
      <c r="Q33" s="40" t="str">
        <f t="shared" si="1"/>
        <v/>
      </c>
      <c r="R33" s="48"/>
      <c r="S33" s="39" t="str">
        <f t="shared" si="2"/>
        <v/>
      </c>
      <c r="T33" s="41" t="str">
        <f t="shared" si="3"/>
        <v/>
      </c>
      <c r="U33" s="16" t="e">
        <f t="shared" si="6"/>
        <v>#VALUE!</v>
      </c>
      <c r="V33" s="6" t="str">
        <f t="shared" si="4"/>
        <v/>
      </c>
      <c r="W33" s="6" t="e">
        <f t="shared" si="5"/>
        <v>#VALUE!</v>
      </c>
      <c r="BX33">
        <v>27</v>
      </c>
    </row>
    <row r="34" spans="1:76" s="6" customFormat="1" ht="15.75" customHeight="1">
      <c r="A34" s="59"/>
      <c r="B34" s="54"/>
      <c r="C34" s="56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9" t="str">
        <f t="shared" si="0"/>
        <v/>
      </c>
      <c r="Q34" s="40" t="str">
        <f t="shared" si="1"/>
        <v/>
      </c>
      <c r="R34" s="48"/>
      <c r="S34" s="39" t="str">
        <f t="shared" si="2"/>
        <v/>
      </c>
      <c r="T34" s="41" t="str">
        <f t="shared" si="3"/>
        <v/>
      </c>
      <c r="U34" s="16" t="e">
        <f t="shared" si="6"/>
        <v>#VALUE!</v>
      </c>
      <c r="V34" s="6" t="str">
        <f t="shared" si="4"/>
        <v/>
      </c>
      <c r="W34" s="6" t="e">
        <f t="shared" si="5"/>
        <v>#VALUE!</v>
      </c>
      <c r="BX34" s="8">
        <v>28</v>
      </c>
    </row>
    <row r="35" spans="1:76" s="6" customFormat="1" ht="15.75" customHeight="1">
      <c r="A35" s="59"/>
      <c r="B35" s="54"/>
      <c r="C35" s="56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9" t="str">
        <f t="shared" si="0"/>
        <v/>
      </c>
      <c r="Q35" s="40" t="str">
        <f t="shared" si="1"/>
        <v/>
      </c>
      <c r="R35" s="48"/>
      <c r="S35" s="39" t="str">
        <f t="shared" si="2"/>
        <v/>
      </c>
      <c r="T35" s="41" t="str">
        <f t="shared" si="3"/>
        <v/>
      </c>
      <c r="U35" s="16" t="e">
        <f t="shared" si="6"/>
        <v>#VALUE!</v>
      </c>
      <c r="V35" s="6" t="str">
        <f t="shared" si="4"/>
        <v/>
      </c>
      <c r="W35" s="6" t="e">
        <f t="shared" si="5"/>
        <v>#VALUE!</v>
      </c>
      <c r="BX35">
        <v>29</v>
      </c>
    </row>
    <row r="36" spans="1:76" s="6" customFormat="1" ht="15.75" customHeight="1">
      <c r="A36" s="59"/>
      <c r="B36" s="54"/>
      <c r="C36" s="56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9" t="str">
        <f t="shared" si="0"/>
        <v/>
      </c>
      <c r="Q36" s="40" t="str">
        <f t="shared" si="1"/>
        <v/>
      </c>
      <c r="R36" s="48"/>
      <c r="S36" s="39" t="str">
        <f t="shared" si="2"/>
        <v/>
      </c>
      <c r="T36" s="41" t="str">
        <f t="shared" si="3"/>
        <v/>
      </c>
      <c r="U36" s="16" t="e">
        <f t="shared" si="6"/>
        <v>#VALUE!</v>
      </c>
      <c r="V36" s="6" t="str">
        <f t="shared" si="4"/>
        <v/>
      </c>
      <c r="W36" s="6" t="e">
        <f t="shared" si="5"/>
        <v>#VALUE!</v>
      </c>
      <c r="BX36" s="8">
        <v>30</v>
      </c>
    </row>
    <row r="37" spans="1:76" s="6" customFormat="1" ht="15.75" customHeight="1">
      <c r="A37" s="59"/>
      <c r="B37" s="54"/>
      <c r="C37" s="56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9" t="str">
        <f t="shared" si="0"/>
        <v/>
      </c>
      <c r="Q37" s="40" t="str">
        <f t="shared" si="1"/>
        <v/>
      </c>
      <c r="R37" s="48"/>
      <c r="S37" s="39" t="str">
        <f t="shared" si="2"/>
        <v/>
      </c>
      <c r="T37" s="41" t="str">
        <f t="shared" si="3"/>
        <v/>
      </c>
      <c r="U37" s="16" t="e">
        <f t="shared" si="6"/>
        <v>#VALUE!</v>
      </c>
      <c r="V37" s="6" t="str">
        <f t="shared" si="4"/>
        <v/>
      </c>
      <c r="W37" s="6" t="e">
        <f t="shared" si="5"/>
        <v>#VALUE!</v>
      </c>
      <c r="BX37">
        <v>31</v>
      </c>
    </row>
    <row r="38" spans="1:76" s="6" customFormat="1" ht="15.75" customHeight="1">
      <c r="A38" s="59"/>
      <c r="B38" s="54"/>
      <c r="C38" s="56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9" t="str">
        <f t="shared" si="0"/>
        <v/>
      </c>
      <c r="Q38" s="40" t="str">
        <f t="shared" si="1"/>
        <v/>
      </c>
      <c r="R38" s="48"/>
      <c r="S38" s="39" t="str">
        <f t="shared" si="2"/>
        <v/>
      </c>
      <c r="T38" s="41" t="str">
        <f t="shared" si="3"/>
        <v/>
      </c>
      <c r="U38" s="16" t="e">
        <f t="shared" si="6"/>
        <v>#VALUE!</v>
      </c>
      <c r="V38" s="6" t="str">
        <f t="shared" si="4"/>
        <v/>
      </c>
      <c r="W38" s="6" t="e">
        <f t="shared" si="5"/>
        <v>#VALUE!</v>
      </c>
      <c r="BX38" s="8">
        <v>32</v>
      </c>
    </row>
    <row r="39" spans="1:76" s="6" customFormat="1">
      <c r="A39" s="59"/>
      <c r="B39" s="54"/>
      <c r="C39" s="56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9" t="str">
        <f t="shared" si="0"/>
        <v/>
      </c>
      <c r="Q39" s="40" t="str">
        <f t="shared" si="1"/>
        <v/>
      </c>
      <c r="R39" s="48"/>
      <c r="S39" s="39" t="str">
        <f t="shared" si="2"/>
        <v/>
      </c>
      <c r="T39" s="41" t="str">
        <f t="shared" si="3"/>
        <v/>
      </c>
      <c r="U39" s="16" t="e">
        <f t="shared" si="6"/>
        <v>#VALUE!</v>
      </c>
      <c r="V39" s="6" t="str">
        <f t="shared" si="4"/>
        <v/>
      </c>
      <c r="W39" s="6" t="e">
        <f t="shared" si="5"/>
        <v>#VALUE!</v>
      </c>
      <c r="BX39">
        <v>33</v>
      </c>
    </row>
    <row r="40" spans="1:76" s="6" customFormat="1" ht="15.75" customHeight="1">
      <c r="A40" s="59"/>
      <c r="B40" s="54"/>
      <c r="C40" s="56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9" t="str">
        <f t="shared" si="0"/>
        <v/>
      </c>
      <c r="Q40" s="40" t="str">
        <f t="shared" si="1"/>
        <v/>
      </c>
      <c r="R40" s="48"/>
      <c r="S40" s="39" t="str">
        <f t="shared" si="2"/>
        <v/>
      </c>
      <c r="T40" s="41" t="str">
        <f t="shared" si="3"/>
        <v/>
      </c>
      <c r="U40" s="16" t="e">
        <f t="shared" si="6"/>
        <v>#VALUE!</v>
      </c>
      <c r="V40" s="6" t="str">
        <f t="shared" si="4"/>
        <v/>
      </c>
      <c r="W40" s="6" t="e">
        <f t="shared" si="5"/>
        <v>#VALUE!</v>
      </c>
      <c r="BX40" s="8">
        <v>34</v>
      </c>
    </row>
    <row r="41" spans="1:76" s="6" customFormat="1" ht="15.75" customHeight="1">
      <c r="A41" s="59"/>
      <c r="B41" s="54"/>
      <c r="C41" s="56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9" t="str">
        <f t="shared" si="0"/>
        <v/>
      </c>
      <c r="Q41" s="40" t="str">
        <f t="shared" si="1"/>
        <v/>
      </c>
      <c r="R41" s="48"/>
      <c r="S41" s="39" t="str">
        <f t="shared" si="2"/>
        <v/>
      </c>
      <c r="T41" s="41" t="str">
        <f t="shared" si="3"/>
        <v/>
      </c>
      <c r="U41" s="16" t="e">
        <f t="shared" si="6"/>
        <v>#VALUE!</v>
      </c>
      <c r="V41" s="6" t="str">
        <f t="shared" si="4"/>
        <v/>
      </c>
      <c r="W41" s="6" t="e">
        <f t="shared" si="5"/>
        <v>#VALUE!</v>
      </c>
      <c r="BX41">
        <v>35</v>
      </c>
    </row>
    <row r="42" spans="1:76" s="6" customFormat="1" ht="15.75" customHeight="1">
      <c r="A42" s="59"/>
      <c r="B42" s="54"/>
      <c r="C42" s="56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 t="str">
        <f t="shared" si="0"/>
        <v/>
      </c>
      <c r="Q42" s="40" t="str">
        <f t="shared" si="1"/>
        <v/>
      </c>
      <c r="R42" s="48"/>
      <c r="S42" s="39" t="str">
        <f t="shared" si="2"/>
        <v/>
      </c>
      <c r="T42" s="41" t="str">
        <f t="shared" si="3"/>
        <v/>
      </c>
      <c r="U42" s="16" t="e">
        <f t="shared" si="6"/>
        <v>#VALUE!</v>
      </c>
      <c r="V42" s="6" t="str">
        <f t="shared" si="4"/>
        <v/>
      </c>
      <c r="W42" s="6" t="e">
        <f t="shared" si="5"/>
        <v>#VALUE!</v>
      </c>
      <c r="BX42" s="8">
        <v>36</v>
      </c>
    </row>
    <row r="43" spans="1:76" s="6" customFormat="1" ht="15.75" customHeight="1">
      <c r="A43" s="59"/>
      <c r="B43" s="54"/>
      <c r="C43" s="56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9" t="str">
        <f t="shared" si="0"/>
        <v/>
      </c>
      <c r="Q43" s="40" t="str">
        <f t="shared" si="1"/>
        <v/>
      </c>
      <c r="R43" s="48"/>
      <c r="S43" s="39" t="str">
        <f t="shared" si="2"/>
        <v/>
      </c>
      <c r="T43" s="41" t="str">
        <f t="shared" si="3"/>
        <v/>
      </c>
      <c r="U43" s="16" t="e">
        <f t="shared" si="6"/>
        <v>#VALUE!</v>
      </c>
      <c r="V43" s="6" t="str">
        <f t="shared" si="4"/>
        <v/>
      </c>
      <c r="W43" s="6" t="e">
        <f t="shared" si="5"/>
        <v>#VALUE!</v>
      </c>
      <c r="BX43">
        <v>37</v>
      </c>
    </row>
    <row r="44" spans="1:76" s="6" customFormat="1" ht="15.75" customHeight="1">
      <c r="A44" s="59"/>
      <c r="B44" s="54"/>
      <c r="C44" s="56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9" t="str">
        <f t="shared" si="0"/>
        <v/>
      </c>
      <c r="Q44" s="40" t="str">
        <f t="shared" si="1"/>
        <v/>
      </c>
      <c r="R44" s="48"/>
      <c r="S44" s="39" t="str">
        <f t="shared" si="2"/>
        <v/>
      </c>
      <c r="T44" s="41" t="str">
        <f t="shared" si="3"/>
        <v/>
      </c>
      <c r="U44" s="16" t="e">
        <f t="shared" si="6"/>
        <v>#VALUE!</v>
      </c>
      <c r="V44" s="6" t="str">
        <f t="shared" si="4"/>
        <v/>
      </c>
      <c r="W44" s="6" t="e">
        <f t="shared" si="5"/>
        <v>#VALUE!</v>
      </c>
      <c r="BX44" s="8">
        <v>38</v>
      </c>
    </row>
    <row r="45" spans="1:76" s="6" customFormat="1" ht="15.75" customHeight="1">
      <c r="A45" s="59"/>
      <c r="B45" s="54"/>
      <c r="C45" s="56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9" t="str">
        <f t="shared" si="0"/>
        <v/>
      </c>
      <c r="Q45" s="40" t="str">
        <f t="shared" si="1"/>
        <v/>
      </c>
      <c r="R45" s="48"/>
      <c r="S45" s="39" t="str">
        <f t="shared" si="2"/>
        <v/>
      </c>
      <c r="T45" s="41" t="str">
        <f t="shared" si="3"/>
        <v/>
      </c>
      <c r="U45" s="16" t="e">
        <f t="shared" si="6"/>
        <v>#VALUE!</v>
      </c>
      <c r="V45" s="6" t="str">
        <f t="shared" si="4"/>
        <v/>
      </c>
      <c r="W45" s="6" t="e">
        <f t="shared" si="5"/>
        <v>#VALUE!</v>
      </c>
      <c r="BX45">
        <v>39</v>
      </c>
    </row>
    <row r="46" spans="1:76" s="6" customFormat="1" ht="15.75" customHeight="1">
      <c r="A46" s="59"/>
      <c r="B46" s="54"/>
      <c r="C46" s="56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9" t="str">
        <f t="shared" si="0"/>
        <v/>
      </c>
      <c r="Q46" s="40" t="str">
        <f t="shared" si="1"/>
        <v/>
      </c>
      <c r="R46" s="48"/>
      <c r="S46" s="39" t="str">
        <f t="shared" si="2"/>
        <v/>
      </c>
      <c r="T46" s="41" t="str">
        <f t="shared" si="3"/>
        <v/>
      </c>
      <c r="U46" s="16" t="e">
        <f t="shared" si="6"/>
        <v>#VALUE!</v>
      </c>
      <c r="V46" s="6" t="str">
        <f t="shared" si="4"/>
        <v/>
      </c>
      <c r="W46" s="6" t="e">
        <f t="shared" si="5"/>
        <v>#VALUE!</v>
      </c>
      <c r="BX46" s="8">
        <v>40</v>
      </c>
    </row>
    <row r="47" spans="1:76" s="6" customFormat="1" ht="15.75" customHeight="1">
      <c r="A47" s="59"/>
      <c r="B47" s="54"/>
      <c r="C47" s="56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9" t="str">
        <f t="shared" si="0"/>
        <v/>
      </c>
      <c r="Q47" s="40" t="str">
        <f t="shared" si="1"/>
        <v/>
      </c>
      <c r="R47" s="48"/>
      <c r="S47" s="39" t="str">
        <f t="shared" si="2"/>
        <v/>
      </c>
      <c r="T47" s="41" t="str">
        <f t="shared" si="3"/>
        <v/>
      </c>
      <c r="U47" s="16" t="e">
        <f t="shared" si="6"/>
        <v>#VALUE!</v>
      </c>
      <c r="V47" s="6" t="str">
        <f t="shared" si="4"/>
        <v/>
      </c>
      <c r="W47" s="6" t="e">
        <f t="shared" si="5"/>
        <v>#VALUE!</v>
      </c>
      <c r="BX47">
        <v>41</v>
      </c>
    </row>
    <row r="48" spans="1:76" s="6" customFormat="1" ht="15.75" customHeight="1">
      <c r="A48" s="59"/>
      <c r="B48" s="54"/>
      <c r="C48" s="56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9" t="str">
        <f t="shared" si="0"/>
        <v/>
      </c>
      <c r="Q48" s="40" t="str">
        <f t="shared" si="1"/>
        <v/>
      </c>
      <c r="R48" s="48"/>
      <c r="S48" s="39" t="str">
        <f t="shared" si="2"/>
        <v/>
      </c>
      <c r="T48" s="41" t="str">
        <f t="shared" si="3"/>
        <v/>
      </c>
      <c r="U48" s="16" t="e">
        <f t="shared" si="6"/>
        <v>#VALUE!</v>
      </c>
      <c r="V48" s="6" t="str">
        <f t="shared" si="4"/>
        <v/>
      </c>
      <c r="W48" s="6" t="e">
        <f t="shared" si="5"/>
        <v>#VALUE!</v>
      </c>
      <c r="BX48" s="8">
        <v>42</v>
      </c>
    </row>
    <row r="49" spans="1:76" s="6" customFormat="1" ht="15.75" customHeight="1">
      <c r="A49" s="59"/>
      <c r="B49" s="54"/>
      <c r="C49" s="56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9" t="str">
        <f t="shared" si="0"/>
        <v/>
      </c>
      <c r="Q49" s="40" t="str">
        <f t="shared" si="1"/>
        <v/>
      </c>
      <c r="R49" s="48"/>
      <c r="S49" s="39" t="str">
        <f t="shared" si="2"/>
        <v/>
      </c>
      <c r="T49" s="41" t="str">
        <f t="shared" si="3"/>
        <v/>
      </c>
      <c r="U49" s="16" t="e">
        <f t="shared" si="6"/>
        <v>#VALUE!</v>
      </c>
      <c r="V49" s="6" t="str">
        <f t="shared" si="4"/>
        <v/>
      </c>
      <c r="W49" s="6" t="e">
        <f t="shared" si="5"/>
        <v>#VALUE!</v>
      </c>
      <c r="BX49">
        <v>43</v>
      </c>
    </row>
    <row r="50" spans="1:76" s="6" customFormat="1" ht="15.75" customHeight="1">
      <c r="A50" s="59"/>
      <c r="B50" s="54"/>
      <c r="C50" s="56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9" t="str">
        <f t="shared" si="0"/>
        <v/>
      </c>
      <c r="Q50" s="40" t="str">
        <f t="shared" si="1"/>
        <v/>
      </c>
      <c r="R50" s="48"/>
      <c r="S50" s="39" t="str">
        <f t="shared" si="2"/>
        <v/>
      </c>
      <c r="T50" s="41" t="str">
        <f t="shared" si="3"/>
        <v/>
      </c>
      <c r="U50" s="16" t="e">
        <f t="shared" si="6"/>
        <v>#VALUE!</v>
      </c>
      <c r="V50" s="6" t="str">
        <f t="shared" si="4"/>
        <v/>
      </c>
      <c r="W50" s="6" t="e">
        <f t="shared" si="5"/>
        <v>#VALUE!</v>
      </c>
      <c r="BX50" s="8">
        <v>44</v>
      </c>
    </row>
    <row r="51" spans="1:76" s="6" customFormat="1" ht="15.75" customHeight="1">
      <c r="A51" s="59"/>
      <c r="B51" s="54"/>
      <c r="C51" s="56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9" t="str">
        <f t="shared" si="0"/>
        <v/>
      </c>
      <c r="Q51" s="40" t="str">
        <f t="shared" si="1"/>
        <v/>
      </c>
      <c r="R51" s="48"/>
      <c r="S51" s="39" t="str">
        <f t="shared" si="2"/>
        <v/>
      </c>
      <c r="T51" s="41" t="str">
        <f t="shared" si="3"/>
        <v/>
      </c>
      <c r="U51" s="16" t="e">
        <f t="shared" si="6"/>
        <v>#VALUE!</v>
      </c>
      <c r="V51" s="6" t="str">
        <f t="shared" si="4"/>
        <v/>
      </c>
      <c r="W51" s="6" t="e">
        <f t="shared" si="5"/>
        <v>#VALUE!</v>
      </c>
      <c r="BX51">
        <v>45</v>
      </c>
    </row>
    <row r="52" spans="1:76" s="6" customFormat="1" ht="15.75" customHeight="1">
      <c r="A52" s="59"/>
      <c r="B52" s="54"/>
      <c r="C52" s="56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9" t="str">
        <f t="shared" si="0"/>
        <v/>
      </c>
      <c r="Q52" s="40" t="str">
        <f t="shared" si="1"/>
        <v/>
      </c>
      <c r="R52" s="48"/>
      <c r="S52" s="39" t="str">
        <f t="shared" si="2"/>
        <v/>
      </c>
      <c r="T52" s="41" t="str">
        <f t="shared" si="3"/>
        <v/>
      </c>
      <c r="U52" s="16" t="e">
        <f t="shared" si="6"/>
        <v>#VALUE!</v>
      </c>
      <c r="V52" s="6" t="str">
        <f t="shared" si="4"/>
        <v/>
      </c>
      <c r="W52" s="6" t="e">
        <f t="shared" si="5"/>
        <v>#VALUE!</v>
      </c>
      <c r="BX52" s="8">
        <v>46</v>
      </c>
    </row>
    <row r="53" spans="1:76" s="6" customFormat="1" ht="15.75" customHeight="1">
      <c r="A53" s="59"/>
      <c r="B53" s="54"/>
      <c r="C53" s="56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9" t="str">
        <f t="shared" si="0"/>
        <v/>
      </c>
      <c r="Q53" s="40" t="str">
        <f t="shared" si="1"/>
        <v/>
      </c>
      <c r="R53" s="48"/>
      <c r="S53" s="39" t="str">
        <f t="shared" si="2"/>
        <v/>
      </c>
      <c r="T53" s="41" t="str">
        <f t="shared" si="3"/>
        <v/>
      </c>
      <c r="U53" s="16" t="e">
        <f t="shared" si="6"/>
        <v>#VALUE!</v>
      </c>
      <c r="V53" s="6" t="str">
        <f t="shared" si="4"/>
        <v/>
      </c>
      <c r="W53" s="6" t="e">
        <f t="shared" si="5"/>
        <v>#VALUE!</v>
      </c>
      <c r="BX53">
        <v>47</v>
      </c>
    </row>
    <row r="54" spans="1:76" s="6" customFormat="1" ht="15.75" customHeight="1">
      <c r="A54" s="59"/>
      <c r="B54" s="54"/>
      <c r="C54" s="56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9" t="str">
        <f t="shared" si="0"/>
        <v/>
      </c>
      <c r="Q54" s="40" t="str">
        <f t="shared" si="1"/>
        <v/>
      </c>
      <c r="R54" s="48"/>
      <c r="S54" s="39" t="str">
        <f t="shared" si="2"/>
        <v/>
      </c>
      <c r="T54" s="41" t="str">
        <f t="shared" si="3"/>
        <v/>
      </c>
      <c r="U54" s="16" t="e">
        <f t="shared" si="6"/>
        <v>#VALUE!</v>
      </c>
      <c r="V54" s="6" t="str">
        <f t="shared" si="4"/>
        <v/>
      </c>
      <c r="W54" s="6" t="e">
        <f t="shared" si="5"/>
        <v>#VALUE!</v>
      </c>
      <c r="BX54" s="8">
        <v>48</v>
      </c>
    </row>
    <row r="55" spans="1:76" s="6" customFormat="1" ht="15.75" customHeight="1">
      <c r="A55" s="59"/>
      <c r="B55" s="54"/>
      <c r="C55" s="56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9" t="str">
        <f t="shared" si="0"/>
        <v/>
      </c>
      <c r="Q55" s="40" t="str">
        <f t="shared" si="1"/>
        <v/>
      </c>
      <c r="R55" s="48"/>
      <c r="S55" s="39" t="str">
        <f t="shared" si="2"/>
        <v/>
      </c>
      <c r="T55" s="41" t="str">
        <f t="shared" si="3"/>
        <v/>
      </c>
      <c r="U55" s="16" t="e">
        <f t="shared" si="6"/>
        <v>#VALUE!</v>
      </c>
      <c r="V55" s="6" t="str">
        <f t="shared" si="4"/>
        <v/>
      </c>
      <c r="W55" s="6" t="e">
        <f t="shared" si="5"/>
        <v>#VALUE!</v>
      </c>
      <c r="BX55">
        <v>49</v>
      </c>
    </row>
    <row r="56" spans="1:76" s="6" customFormat="1" ht="14.25" customHeight="1">
      <c r="A56" s="59"/>
      <c r="B56" s="54"/>
      <c r="C56" s="56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9" t="str">
        <f t="shared" si="0"/>
        <v/>
      </c>
      <c r="Q56" s="40" t="str">
        <f t="shared" si="1"/>
        <v/>
      </c>
      <c r="R56" s="48"/>
      <c r="S56" s="39" t="str">
        <f t="shared" si="2"/>
        <v/>
      </c>
      <c r="T56" s="41" t="str">
        <f t="shared" si="3"/>
        <v/>
      </c>
      <c r="U56" s="16" t="e">
        <f t="shared" si="6"/>
        <v>#VALUE!</v>
      </c>
      <c r="V56" s="6" t="str">
        <f t="shared" si="4"/>
        <v/>
      </c>
      <c r="W56" s="6" t="e">
        <f t="shared" si="5"/>
        <v>#VALUE!</v>
      </c>
      <c r="BX56" s="8">
        <v>50</v>
      </c>
    </row>
    <row r="57" spans="1:76" s="6" customFormat="1" ht="15.75" customHeight="1">
      <c r="A57" s="59"/>
      <c r="B57" s="54"/>
      <c r="C57" s="56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9" t="str">
        <f t="shared" si="0"/>
        <v/>
      </c>
      <c r="Q57" s="40" t="str">
        <f t="shared" si="1"/>
        <v/>
      </c>
      <c r="R57" s="48"/>
      <c r="S57" s="39" t="str">
        <f t="shared" si="2"/>
        <v/>
      </c>
      <c r="T57" s="41" t="str">
        <f t="shared" si="3"/>
        <v/>
      </c>
      <c r="U57" s="16" t="e">
        <f t="shared" si="6"/>
        <v>#VALUE!</v>
      </c>
      <c r="V57" s="6" t="str">
        <f t="shared" si="4"/>
        <v/>
      </c>
      <c r="W57" s="6" t="e">
        <f t="shared" si="5"/>
        <v>#VALUE!</v>
      </c>
      <c r="BX57">
        <v>51</v>
      </c>
    </row>
    <row r="58" spans="1:76" s="6" customFormat="1" ht="15.75" customHeight="1">
      <c r="A58" s="59"/>
      <c r="B58" s="54"/>
      <c r="C58" s="56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9" t="str">
        <f t="shared" si="0"/>
        <v/>
      </c>
      <c r="Q58" s="40" t="str">
        <f t="shared" si="1"/>
        <v/>
      </c>
      <c r="R58" s="48"/>
      <c r="S58" s="39" t="str">
        <f t="shared" si="2"/>
        <v/>
      </c>
      <c r="T58" s="41" t="str">
        <f t="shared" si="3"/>
        <v/>
      </c>
      <c r="U58" s="16" t="e">
        <f t="shared" si="6"/>
        <v>#VALUE!</v>
      </c>
      <c r="V58" s="6" t="str">
        <f t="shared" si="4"/>
        <v/>
      </c>
      <c r="W58" s="6" t="e">
        <f t="shared" si="5"/>
        <v>#VALUE!</v>
      </c>
      <c r="BX58" s="8">
        <v>52</v>
      </c>
    </row>
    <row r="59" spans="1:76" s="6" customFormat="1" ht="15.75" customHeight="1">
      <c r="A59" s="59"/>
      <c r="B59" s="54"/>
      <c r="C59" s="56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9" t="str">
        <f t="shared" si="0"/>
        <v/>
      </c>
      <c r="Q59" s="40" t="str">
        <f t="shared" si="1"/>
        <v/>
      </c>
      <c r="R59" s="48"/>
      <c r="S59" s="39" t="str">
        <f t="shared" si="2"/>
        <v/>
      </c>
      <c r="T59" s="41" t="str">
        <f t="shared" si="3"/>
        <v/>
      </c>
      <c r="U59" s="16" t="e">
        <f t="shared" si="6"/>
        <v>#VALUE!</v>
      </c>
      <c r="V59" s="6" t="str">
        <f t="shared" si="4"/>
        <v/>
      </c>
      <c r="W59" s="6" t="e">
        <f t="shared" si="5"/>
        <v>#VALUE!</v>
      </c>
      <c r="BX59">
        <v>53</v>
      </c>
    </row>
    <row r="60" spans="1:76" s="6" customFormat="1" ht="15" customHeight="1">
      <c r="A60" s="59"/>
      <c r="B60" s="54"/>
      <c r="C60" s="56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9" t="str">
        <f t="shared" si="0"/>
        <v/>
      </c>
      <c r="Q60" s="40" t="str">
        <f t="shared" si="1"/>
        <v/>
      </c>
      <c r="R60" s="48"/>
      <c r="S60" s="39" t="str">
        <f t="shared" si="2"/>
        <v/>
      </c>
      <c r="T60" s="41" t="str">
        <f t="shared" si="3"/>
        <v/>
      </c>
      <c r="U60" s="16" t="e">
        <f t="shared" si="6"/>
        <v>#VALUE!</v>
      </c>
      <c r="V60" s="6" t="str">
        <f t="shared" si="4"/>
        <v/>
      </c>
      <c r="W60" s="6" t="e">
        <f t="shared" si="5"/>
        <v>#VALUE!</v>
      </c>
      <c r="BX60" s="8">
        <v>54</v>
      </c>
    </row>
    <row r="61" spans="1:76" s="6" customFormat="1" ht="15.75" customHeight="1">
      <c r="A61" s="59"/>
      <c r="B61" s="54"/>
      <c r="C61" s="56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9" t="str">
        <f t="shared" si="0"/>
        <v/>
      </c>
      <c r="Q61" s="40" t="str">
        <f t="shared" si="1"/>
        <v/>
      </c>
      <c r="R61" s="48"/>
      <c r="S61" s="39" t="str">
        <f t="shared" si="2"/>
        <v/>
      </c>
      <c r="T61" s="41" t="str">
        <f t="shared" si="3"/>
        <v/>
      </c>
      <c r="U61" s="16" t="e">
        <f t="shared" si="6"/>
        <v>#VALUE!</v>
      </c>
      <c r="V61" s="6" t="str">
        <f t="shared" si="4"/>
        <v/>
      </c>
      <c r="W61" s="6" t="e">
        <f t="shared" si="5"/>
        <v>#VALUE!</v>
      </c>
      <c r="BX61">
        <v>55</v>
      </c>
    </row>
    <row r="62" spans="1:76" s="6" customFormat="1" ht="15.75" customHeight="1">
      <c r="A62" s="59"/>
      <c r="B62" s="54"/>
      <c r="C62" s="56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9" t="str">
        <f t="shared" si="0"/>
        <v/>
      </c>
      <c r="Q62" s="40" t="str">
        <f t="shared" si="1"/>
        <v/>
      </c>
      <c r="R62" s="48"/>
      <c r="S62" s="39" t="str">
        <f t="shared" si="2"/>
        <v/>
      </c>
      <c r="T62" s="41" t="str">
        <f t="shared" si="3"/>
        <v/>
      </c>
      <c r="U62" s="16" t="e">
        <f t="shared" si="6"/>
        <v>#VALUE!</v>
      </c>
      <c r="V62" s="6" t="str">
        <f t="shared" si="4"/>
        <v/>
      </c>
      <c r="W62" s="6" t="e">
        <f t="shared" si="5"/>
        <v>#VALUE!</v>
      </c>
      <c r="BX62" s="8">
        <v>56</v>
      </c>
    </row>
    <row r="63" spans="1:76" s="6" customFormat="1" ht="15.75" customHeight="1">
      <c r="A63" s="59"/>
      <c r="B63" s="54"/>
      <c r="C63" s="56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9" t="str">
        <f t="shared" si="0"/>
        <v/>
      </c>
      <c r="Q63" s="40" t="str">
        <f t="shared" si="1"/>
        <v/>
      </c>
      <c r="R63" s="48"/>
      <c r="S63" s="39" t="str">
        <f t="shared" si="2"/>
        <v/>
      </c>
      <c r="T63" s="41" t="str">
        <f t="shared" si="3"/>
        <v/>
      </c>
      <c r="U63" s="16" t="e">
        <f t="shared" si="6"/>
        <v>#VALUE!</v>
      </c>
      <c r="V63" s="6" t="str">
        <f t="shared" si="4"/>
        <v/>
      </c>
      <c r="W63" s="6" t="e">
        <f t="shared" si="5"/>
        <v>#VALUE!</v>
      </c>
      <c r="BX63">
        <v>57</v>
      </c>
    </row>
    <row r="64" spans="1:76" s="6" customFormat="1" ht="15.75" customHeight="1">
      <c r="A64" s="59"/>
      <c r="B64" s="54"/>
      <c r="C64" s="56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9" t="str">
        <f t="shared" si="0"/>
        <v/>
      </c>
      <c r="Q64" s="40" t="str">
        <f t="shared" si="1"/>
        <v/>
      </c>
      <c r="R64" s="48"/>
      <c r="S64" s="39" t="str">
        <f t="shared" si="2"/>
        <v/>
      </c>
      <c r="T64" s="41" t="str">
        <f t="shared" si="3"/>
        <v/>
      </c>
      <c r="U64" s="16" t="e">
        <f t="shared" si="6"/>
        <v>#VALUE!</v>
      </c>
      <c r="V64" s="6" t="str">
        <f t="shared" si="4"/>
        <v/>
      </c>
      <c r="W64" s="6" t="e">
        <f t="shared" si="5"/>
        <v>#VALUE!</v>
      </c>
      <c r="BX64" s="8">
        <v>58</v>
      </c>
    </row>
    <row r="65" spans="1:76" s="6" customFormat="1" ht="15.75" customHeight="1">
      <c r="A65" s="59"/>
      <c r="B65" s="54"/>
      <c r="C65" s="56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9" t="str">
        <f t="shared" si="0"/>
        <v/>
      </c>
      <c r="Q65" s="40" t="str">
        <f t="shared" si="1"/>
        <v/>
      </c>
      <c r="R65" s="48"/>
      <c r="S65" s="39" t="str">
        <f t="shared" si="2"/>
        <v/>
      </c>
      <c r="T65" s="41" t="str">
        <f t="shared" si="3"/>
        <v/>
      </c>
      <c r="U65" s="16" t="e">
        <f t="shared" si="6"/>
        <v>#VALUE!</v>
      </c>
      <c r="V65" s="6" t="str">
        <f t="shared" si="4"/>
        <v/>
      </c>
      <c r="W65" s="6" t="e">
        <f t="shared" si="5"/>
        <v>#VALUE!</v>
      </c>
      <c r="BX65">
        <v>59</v>
      </c>
    </row>
    <row r="66" spans="1:76" s="6" customFormat="1" ht="15.75" customHeight="1">
      <c r="A66" s="59"/>
      <c r="B66" s="54"/>
      <c r="C66" s="56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9" t="str">
        <f t="shared" si="0"/>
        <v/>
      </c>
      <c r="Q66" s="40" t="str">
        <f t="shared" si="1"/>
        <v/>
      </c>
      <c r="R66" s="48"/>
      <c r="S66" s="39" t="str">
        <f t="shared" si="2"/>
        <v/>
      </c>
      <c r="T66" s="41" t="str">
        <f t="shared" si="3"/>
        <v/>
      </c>
      <c r="U66" s="16" t="e">
        <f t="shared" si="6"/>
        <v>#VALUE!</v>
      </c>
      <c r="V66" s="6" t="str">
        <f t="shared" si="4"/>
        <v/>
      </c>
      <c r="W66" s="6" t="e">
        <f t="shared" si="5"/>
        <v>#VALUE!</v>
      </c>
      <c r="BX66" s="8">
        <v>60</v>
      </c>
    </row>
    <row r="67" spans="1:76" s="6" customFormat="1" ht="15.75" customHeight="1">
      <c r="A67" s="59"/>
      <c r="B67" s="54"/>
      <c r="C67" s="56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9" t="str">
        <f t="shared" si="0"/>
        <v/>
      </c>
      <c r="Q67" s="40" t="str">
        <f t="shared" si="1"/>
        <v/>
      </c>
      <c r="R67" s="48"/>
      <c r="S67" s="39" t="str">
        <f t="shared" si="2"/>
        <v/>
      </c>
      <c r="T67" s="41" t="str">
        <f t="shared" si="3"/>
        <v/>
      </c>
      <c r="U67" s="16" t="e">
        <f t="shared" si="6"/>
        <v>#VALUE!</v>
      </c>
      <c r="V67" s="6" t="str">
        <f t="shared" si="4"/>
        <v/>
      </c>
      <c r="W67" s="6" t="e">
        <f t="shared" si="5"/>
        <v>#VALUE!</v>
      </c>
      <c r="BX67">
        <v>61</v>
      </c>
    </row>
    <row r="68" spans="1:76" s="6" customFormat="1" ht="15.75" customHeight="1">
      <c r="A68" s="59"/>
      <c r="B68" s="54"/>
      <c r="C68" s="56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9" t="str">
        <f t="shared" si="0"/>
        <v/>
      </c>
      <c r="Q68" s="40" t="str">
        <f t="shared" si="1"/>
        <v/>
      </c>
      <c r="R68" s="48"/>
      <c r="S68" s="39" t="str">
        <f t="shared" si="2"/>
        <v/>
      </c>
      <c r="T68" s="41" t="str">
        <f t="shared" si="3"/>
        <v/>
      </c>
      <c r="U68" s="16" t="e">
        <f t="shared" si="6"/>
        <v>#VALUE!</v>
      </c>
      <c r="V68" s="6" t="str">
        <f t="shared" si="4"/>
        <v/>
      </c>
      <c r="W68" s="6" t="e">
        <f t="shared" si="5"/>
        <v>#VALUE!</v>
      </c>
      <c r="BX68" s="8">
        <v>62</v>
      </c>
    </row>
    <row r="69" spans="1:76" s="6" customFormat="1" ht="15.75" customHeight="1">
      <c r="A69" s="59"/>
      <c r="B69" s="54"/>
      <c r="C69" s="56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9" t="str">
        <f t="shared" si="0"/>
        <v/>
      </c>
      <c r="Q69" s="40" t="str">
        <f t="shared" si="1"/>
        <v/>
      </c>
      <c r="R69" s="48"/>
      <c r="S69" s="39" t="str">
        <f t="shared" si="2"/>
        <v/>
      </c>
      <c r="T69" s="41" t="str">
        <f t="shared" si="3"/>
        <v/>
      </c>
      <c r="U69" s="16" t="e">
        <f t="shared" si="6"/>
        <v>#VALUE!</v>
      </c>
      <c r="V69" s="6" t="str">
        <f t="shared" si="4"/>
        <v/>
      </c>
      <c r="W69" s="6" t="e">
        <f t="shared" si="5"/>
        <v>#VALUE!</v>
      </c>
      <c r="BX69">
        <v>63</v>
      </c>
    </row>
    <row r="70" spans="1:76" s="6" customFormat="1" ht="15.75" customHeight="1">
      <c r="A70" s="59"/>
      <c r="B70" s="54"/>
      <c r="C70" s="56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9" t="str">
        <f t="shared" si="0"/>
        <v/>
      </c>
      <c r="Q70" s="40" t="str">
        <f t="shared" si="1"/>
        <v/>
      </c>
      <c r="R70" s="48"/>
      <c r="S70" s="39" t="str">
        <f t="shared" si="2"/>
        <v/>
      </c>
      <c r="T70" s="41" t="str">
        <f t="shared" si="3"/>
        <v/>
      </c>
      <c r="U70" s="16" t="e">
        <f t="shared" si="6"/>
        <v>#VALUE!</v>
      </c>
      <c r="V70" s="6" t="str">
        <f t="shared" si="4"/>
        <v/>
      </c>
      <c r="W70" s="6" t="e">
        <f t="shared" si="5"/>
        <v>#VALUE!</v>
      </c>
      <c r="BX70" s="8">
        <v>64</v>
      </c>
    </row>
    <row r="71" spans="1:76" s="6" customFormat="1" ht="15.75" customHeight="1">
      <c r="A71" s="59"/>
      <c r="B71" s="54"/>
      <c r="C71" s="56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9" t="str">
        <f t="shared" si="0"/>
        <v/>
      </c>
      <c r="Q71" s="40" t="str">
        <f t="shared" si="1"/>
        <v/>
      </c>
      <c r="R71" s="48"/>
      <c r="S71" s="39" t="str">
        <f t="shared" si="2"/>
        <v/>
      </c>
      <c r="T71" s="41" t="str">
        <f t="shared" si="3"/>
        <v/>
      </c>
      <c r="U71" s="16" t="e">
        <f t="shared" si="6"/>
        <v>#VALUE!</v>
      </c>
      <c r="V71" s="6" t="str">
        <f t="shared" si="4"/>
        <v/>
      </c>
      <c r="W71" s="6" t="e">
        <f t="shared" si="5"/>
        <v>#VALUE!</v>
      </c>
      <c r="BX71">
        <v>65</v>
      </c>
    </row>
    <row r="72" spans="1:76" s="6" customFormat="1" ht="15.75" customHeight="1">
      <c r="A72" s="59"/>
      <c r="B72" s="54"/>
      <c r="C72" s="56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9" t="str">
        <f t="shared" si="0"/>
        <v/>
      </c>
      <c r="Q72" s="40" t="str">
        <f t="shared" si="1"/>
        <v/>
      </c>
      <c r="R72" s="48"/>
      <c r="S72" s="39" t="str">
        <f t="shared" si="2"/>
        <v/>
      </c>
      <c r="T72" s="41" t="str">
        <f t="shared" si="3"/>
        <v/>
      </c>
      <c r="U72" s="16" t="e">
        <f t="shared" si="6"/>
        <v>#VALUE!</v>
      </c>
      <c r="V72" s="6" t="str">
        <f t="shared" si="4"/>
        <v/>
      </c>
      <c r="W72" s="6" t="e">
        <f t="shared" si="5"/>
        <v>#VALUE!</v>
      </c>
      <c r="BX72" s="8">
        <v>66</v>
      </c>
    </row>
    <row r="73" spans="1:76" s="6" customFormat="1" ht="15.75" customHeight="1">
      <c r="A73" s="59"/>
      <c r="B73" s="54"/>
      <c r="C73" s="56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9" t="str">
        <f t="shared" si="0"/>
        <v/>
      </c>
      <c r="Q73" s="40" t="str">
        <f t="shared" si="1"/>
        <v/>
      </c>
      <c r="R73" s="48"/>
      <c r="S73" s="39" t="str">
        <f t="shared" si="2"/>
        <v/>
      </c>
      <c r="T73" s="41" t="str">
        <f t="shared" si="3"/>
        <v/>
      </c>
      <c r="U73" s="16" t="e">
        <f t="shared" si="6"/>
        <v>#VALUE!</v>
      </c>
      <c r="V73" s="6" t="str">
        <f t="shared" si="4"/>
        <v/>
      </c>
      <c r="W73" s="6" t="e">
        <f t="shared" si="5"/>
        <v>#VALUE!</v>
      </c>
      <c r="BX73">
        <v>67</v>
      </c>
    </row>
    <row r="74" spans="1:76" s="6" customFormat="1" ht="15.75" customHeight="1">
      <c r="A74" s="59"/>
      <c r="B74" s="54"/>
      <c r="C74" s="56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9" t="str">
        <f t="shared" si="0"/>
        <v/>
      </c>
      <c r="Q74" s="40" t="str">
        <f t="shared" si="1"/>
        <v/>
      </c>
      <c r="R74" s="48"/>
      <c r="S74" s="39" t="str">
        <f t="shared" si="2"/>
        <v/>
      </c>
      <c r="T74" s="41" t="str">
        <f t="shared" si="3"/>
        <v/>
      </c>
      <c r="U74" s="16" t="e">
        <f t="shared" si="6"/>
        <v>#VALUE!</v>
      </c>
      <c r="V74" s="6" t="str">
        <f t="shared" si="4"/>
        <v/>
      </c>
      <c r="W74" s="6" t="e">
        <f t="shared" si="5"/>
        <v>#VALUE!</v>
      </c>
      <c r="BX74" s="8">
        <v>68</v>
      </c>
    </row>
    <row r="75" spans="1:76" s="6" customFormat="1" ht="15.75" customHeight="1">
      <c r="A75" s="59"/>
      <c r="B75" s="54"/>
      <c r="C75" s="56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9" t="str">
        <f t="shared" si="0"/>
        <v/>
      </c>
      <c r="Q75" s="40" t="str">
        <f t="shared" si="1"/>
        <v/>
      </c>
      <c r="R75" s="48"/>
      <c r="S75" s="39" t="str">
        <f t="shared" si="2"/>
        <v/>
      </c>
      <c r="T75" s="41" t="str">
        <f t="shared" si="3"/>
        <v/>
      </c>
      <c r="U75" s="16" t="e">
        <f t="shared" si="6"/>
        <v>#VALUE!</v>
      </c>
      <c r="V75" s="6" t="str">
        <f t="shared" si="4"/>
        <v/>
      </c>
      <c r="W75" s="6" t="e">
        <f t="shared" si="5"/>
        <v>#VALUE!</v>
      </c>
      <c r="BX75">
        <v>69</v>
      </c>
    </row>
    <row r="76" spans="1:76" s="6" customFormat="1">
      <c r="A76" s="59"/>
      <c r="B76" s="54"/>
      <c r="C76" s="56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9" t="str">
        <f t="shared" si="0"/>
        <v/>
      </c>
      <c r="Q76" s="40" t="str">
        <f t="shared" si="1"/>
        <v/>
      </c>
      <c r="R76" s="48"/>
      <c r="S76" s="39" t="str">
        <f t="shared" si="2"/>
        <v/>
      </c>
      <c r="T76" s="41" t="str">
        <f t="shared" si="3"/>
        <v/>
      </c>
      <c r="U76" s="16" t="e">
        <f t="shared" si="6"/>
        <v>#VALUE!</v>
      </c>
      <c r="V76" s="6" t="str">
        <f t="shared" si="4"/>
        <v/>
      </c>
      <c r="W76" s="6" t="e">
        <f t="shared" si="5"/>
        <v>#VALUE!</v>
      </c>
      <c r="BX76" s="8">
        <v>70</v>
      </c>
    </row>
    <row r="77" spans="1:76" s="6" customFormat="1" ht="15.75" customHeight="1">
      <c r="A77" s="59"/>
      <c r="B77" s="54"/>
      <c r="C77" s="56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9" t="str">
        <f t="shared" si="0"/>
        <v/>
      </c>
      <c r="Q77" s="40" t="str">
        <f t="shared" si="1"/>
        <v/>
      </c>
      <c r="R77" s="48"/>
      <c r="S77" s="39" t="str">
        <f t="shared" si="2"/>
        <v/>
      </c>
      <c r="T77" s="41" t="str">
        <f t="shared" si="3"/>
        <v/>
      </c>
      <c r="U77" s="16" t="e">
        <f t="shared" si="6"/>
        <v>#VALUE!</v>
      </c>
      <c r="V77" s="6" t="str">
        <f t="shared" si="4"/>
        <v/>
      </c>
      <c r="W77" s="6" t="e">
        <f t="shared" si="5"/>
        <v>#VALUE!</v>
      </c>
      <c r="BX77">
        <v>71</v>
      </c>
    </row>
    <row r="78" spans="1:76" s="6" customFormat="1" ht="15.75" customHeight="1">
      <c r="A78" s="59"/>
      <c r="B78" s="54"/>
      <c r="C78" s="56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9" t="str">
        <f t="shared" si="0"/>
        <v/>
      </c>
      <c r="Q78" s="40"/>
      <c r="R78" s="48"/>
      <c r="S78" s="39" t="str">
        <f t="shared" ref="S78:S89" si="7">IF(A78&gt;=1,IF(A78&lt;&gt;"",(COUNTIF(D78:O78,"AB")),""),"")</f>
        <v/>
      </c>
      <c r="T78" s="41" t="str">
        <f t="shared" ref="T78:T89" si="8">IF(A78&gt;=1,IF(A78&lt;&gt;"",(COUNTIF(D78:O78,"&lt;50")),""),"")</f>
        <v/>
      </c>
      <c r="U78" s="16" t="e">
        <f t="shared" si="6"/>
        <v>#VALUE!</v>
      </c>
      <c r="V78" s="6" t="str">
        <f t="shared" si="4"/>
        <v/>
      </c>
      <c r="W78" s="6" t="e">
        <f t="shared" si="5"/>
        <v>#VALUE!</v>
      </c>
      <c r="BX78"/>
    </row>
    <row r="79" spans="1:76" s="6" customFormat="1" ht="15.75" customHeight="1">
      <c r="A79" s="59"/>
      <c r="B79" s="54"/>
      <c r="C79" s="56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9" t="str">
        <f t="shared" si="0"/>
        <v/>
      </c>
      <c r="Q79" s="40" t="str">
        <f t="shared" ref="Q79:Q89" si="9">IF(COUNTIF(D79:O79,"A")&gt;=1,"-",IF(COUNTIF(D79:O79,"W")&gt;=1,"-",IF(A79&gt;=1,IF(A79&lt;&gt;"",AVERAGE(D79:O79),""),"")))</f>
        <v/>
      </c>
      <c r="R79" s="48"/>
      <c r="S79" s="39" t="str">
        <f t="shared" si="7"/>
        <v/>
      </c>
      <c r="T79" s="41" t="str">
        <f t="shared" si="8"/>
        <v/>
      </c>
      <c r="U79" s="16" t="e">
        <f t="shared" si="6"/>
        <v>#VALUE!</v>
      </c>
      <c r="V79" s="6" t="str">
        <f t="shared" si="4"/>
        <v/>
      </c>
      <c r="W79" s="6" t="e">
        <f t="shared" ref="W79:W89" si="10">S79+T79</f>
        <v>#VALUE!</v>
      </c>
      <c r="BX79" s="8">
        <v>72</v>
      </c>
    </row>
    <row r="80" spans="1:76" s="6" customFormat="1" ht="15.75" customHeight="1">
      <c r="A80" s="59"/>
      <c r="B80" s="54"/>
      <c r="C80" s="56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9" t="str">
        <f t="shared" si="0"/>
        <v/>
      </c>
      <c r="Q80" s="40" t="str">
        <f t="shared" si="9"/>
        <v/>
      </c>
      <c r="R80" s="48"/>
      <c r="S80" s="39" t="str">
        <f t="shared" si="7"/>
        <v/>
      </c>
      <c r="T80" s="41" t="str">
        <f t="shared" si="8"/>
        <v/>
      </c>
      <c r="U80" s="16" t="e">
        <f t="shared" si="6"/>
        <v>#VALUE!</v>
      </c>
      <c r="V80" s="6" t="str">
        <f t="shared" si="4"/>
        <v/>
      </c>
      <c r="W80" s="6" t="e">
        <f t="shared" si="10"/>
        <v>#VALUE!</v>
      </c>
      <c r="BX80">
        <v>73</v>
      </c>
    </row>
    <row r="81" spans="1:76" s="6" customFormat="1" ht="15.75" customHeight="1">
      <c r="A81" s="59"/>
      <c r="B81" s="54"/>
      <c r="C81" s="56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9" t="str">
        <f t="shared" si="0"/>
        <v/>
      </c>
      <c r="Q81" s="40" t="str">
        <f t="shared" si="9"/>
        <v/>
      </c>
      <c r="R81" s="48"/>
      <c r="S81" s="39" t="str">
        <f t="shared" si="7"/>
        <v/>
      </c>
      <c r="T81" s="41" t="str">
        <f t="shared" si="8"/>
        <v/>
      </c>
      <c r="U81" s="16" t="e">
        <f t="shared" si="6"/>
        <v>#VALUE!</v>
      </c>
      <c r="V81" s="6" t="str">
        <f t="shared" si="4"/>
        <v/>
      </c>
      <c r="W81" s="6" t="e">
        <f t="shared" si="10"/>
        <v>#VALUE!</v>
      </c>
      <c r="BX81" s="8">
        <v>74</v>
      </c>
    </row>
    <row r="82" spans="1:76" s="6" customFormat="1" ht="15.75" customHeight="1">
      <c r="A82" s="60"/>
      <c r="B82" s="61"/>
      <c r="C82" s="62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9" t="str">
        <f t="shared" si="0"/>
        <v/>
      </c>
      <c r="Q82" s="40" t="str">
        <f t="shared" si="9"/>
        <v/>
      </c>
      <c r="R82" s="48"/>
      <c r="S82" s="39" t="str">
        <f t="shared" si="7"/>
        <v/>
      </c>
      <c r="T82" s="41" t="str">
        <f t="shared" si="8"/>
        <v/>
      </c>
      <c r="U82" s="16" t="e">
        <f t="shared" si="6"/>
        <v>#VALUE!</v>
      </c>
      <c r="V82" s="6" t="str">
        <f t="shared" si="4"/>
        <v/>
      </c>
      <c r="W82" s="6" t="e">
        <f t="shared" si="10"/>
        <v>#VALUE!</v>
      </c>
      <c r="BX82">
        <v>75</v>
      </c>
    </row>
    <row r="83" spans="1:76" s="6" customFormat="1" ht="15.75" customHeight="1">
      <c r="A83" s="60"/>
      <c r="B83" s="61"/>
      <c r="C83" s="62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9" t="str">
        <f t="shared" si="0"/>
        <v/>
      </c>
      <c r="Q83" s="40"/>
      <c r="R83" s="48"/>
      <c r="S83" s="39" t="str">
        <f t="shared" si="7"/>
        <v/>
      </c>
      <c r="T83" s="41" t="str">
        <f t="shared" si="8"/>
        <v/>
      </c>
      <c r="U83" s="16" t="e">
        <f t="shared" si="6"/>
        <v>#VALUE!</v>
      </c>
      <c r="V83" s="6" t="str">
        <f t="shared" si="4"/>
        <v/>
      </c>
      <c r="W83" s="6" t="e">
        <f t="shared" si="10"/>
        <v>#VALUE!</v>
      </c>
      <c r="BX83"/>
    </row>
    <row r="84" spans="1:76" s="6" customFormat="1" ht="15.75" customHeight="1">
      <c r="A84" s="60"/>
      <c r="B84" s="61"/>
      <c r="C84" s="62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9" t="str">
        <f t="shared" si="0"/>
        <v/>
      </c>
      <c r="Q84" s="40" t="str">
        <f t="shared" si="9"/>
        <v/>
      </c>
      <c r="R84" s="48"/>
      <c r="S84" s="39" t="str">
        <f t="shared" si="7"/>
        <v/>
      </c>
      <c r="T84" s="41" t="str">
        <f t="shared" si="8"/>
        <v/>
      </c>
      <c r="U84" s="16" t="e">
        <f t="shared" si="6"/>
        <v>#VALUE!</v>
      </c>
      <c r="V84" s="6" t="str">
        <f t="shared" si="4"/>
        <v/>
      </c>
      <c r="W84" s="6" t="e">
        <f t="shared" si="10"/>
        <v>#VALUE!</v>
      </c>
      <c r="BX84" s="8">
        <v>76</v>
      </c>
    </row>
    <row r="85" spans="1:76" s="6" customFormat="1" ht="15.75" customHeight="1">
      <c r="A85" s="60"/>
      <c r="B85" s="61"/>
      <c r="C85" s="62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9" t="str">
        <f t="shared" si="0"/>
        <v/>
      </c>
      <c r="Q85" s="40" t="str">
        <f t="shared" si="9"/>
        <v/>
      </c>
      <c r="R85" s="48"/>
      <c r="S85" s="39" t="str">
        <f t="shared" si="7"/>
        <v/>
      </c>
      <c r="T85" s="41" t="str">
        <f t="shared" si="8"/>
        <v/>
      </c>
      <c r="U85" s="16" t="e">
        <f t="shared" si="6"/>
        <v>#VALUE!</v>
      </c>
      <c r="V85" s="6" t="str">
        <f t="shared" si="4"/>
        <v/>
      </c>
      <c r="W85" s="6" t="e">
        <f t="shared" si="10"/>
        <v>#VALUE!</v>
      </c>
      <c r="BX85">
        <v>77</v>
      </c>
    </row>
    <row r="86" spans="1:76" s="6" customFormat="1" ht="15.75" customHeight="1">
      <c r="A86" s="60"/>
      <c r="B86" s="61"/>
      <c r="C86" s="62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9" t="str">
        <f t="shared" si="0"/>
        <v/>
      </c>
      <c r="Q86" s="40" t="str">
        <f t="shared" si="9"/>
        <v/>
      </c>
      <c r="R86" s="48"/>
      <c r="S86" s="39" t="str">
        <f t="shared" si="7"/>
        <v/>
      </c>
      <c r="T86" s="41" t="str">
        <f t="shared" si="8"/>
        <v/>
      </c>
      <c r="U86" s="16" t="e">
        <f t="shared" si="6"/>
        <v>#VALUE!</v>
      </c>
      <c r="V86" s="6" t="str">
        <f t="shared" si="4"/>
        <v/>
      </c>
      <c r="W86" s="6" t="e">
        <f t="shared" si="10"/>
        <v>#VALUE!</v>
      </c>
      <c r="BX86" s="8">
        <v>78</v>
      </c>
    </row>
    <row r="87" spans="1:76" s="6" customFormat="1" ht="15.75" customHeight="1">
      <c r="A87" s="60"/>
      <c r="B87" s="61"/>
      <c r="C87" s="62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9" t="str">
        <f t="shared" si="0"/>
        <v/>
      </c>
      <c r="Q87" s="40" t="str">
        <f t="shared" si="9"/>
        <v/>
      </c>
      <c r="R87" s="48"/>
      <c r="S87" s="39" t="str">
        <f t="shared" si="7"/>
        <v/>
      </c>
      <c r="T87" s="41" t="str">
        <f t="shared" si="8"/>
        <v/>
      </c>
      <c r="U87" s="16" t="e">
        <f t="shared" si="6"/>
        <v>#VALUE!</v>
      </c>
      <c r="V87" s="6" t="str">
        <f t="shared" si="4"/>
        <v/>
      </c>
      <c r="W87" s="6" t="e">
        <f t="shared" si="10"/>
        <v>#VALUE!</v>
      </c>
      <c r="BX87">
        <v>79</v>
      </c>
    </row>
    <row r="88" spans="1:76" s="6" customFormat="1" ht="15.75" customHeight="1">
      <c r="A88" s="60"/>
      <c r="B88" s="61"/>
      <c r="C88" s="62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9" t="str">
        <f t="shared" ref="P88:P89" si="11">IF(COUNTIF(D88:O88,"AB")&gt;=1,"-",IF(COUNTIF(D88:O88,"WH")&gt;=1,"-",IF(A88&gt;=1,IF(A88&lt;&gt;"",SUM(D88:O88),""),"")))</f>
        <v/>
      </c>
      <c r="Q88" s="40" t="str">
        <f t="shared" si="9"/>
        <v/>
      </c>
      <c r="R88" s="48"/>
      <c r="S88" s="39" t="str">
        <f t="shared" si="7"/>
        <v/>
      </c>
      <c r="T88" s="41" t="str">
        <f t="shared" si="8"/>
        <v/>
      </c>
      <c r="U88" s="16" t="e">
        <f t="shared" si="6"/>
        <v>#VALUE!</v>
      </c>
      <c r="V88" s="6" t="str">
        <f t="shared" ref="V88" si="12">IF(A88&gt;=1,IF(A88&lt;&gt;"",(COUNTIF(D88:O88,"WH")),""),"")</f>
        <v/>
      </c>
      <c r="W88" s="6" t="e">
        <f t="shared" si="10"/>
        <v>#VALUE!</v>
      </c>
      <c r="BX88" s="8">
        <v>80</v>
      </c>
    </row>
    <row r="89" spans="1:76" s="6" customFormat="1" ht="15.75" customHeight="1" thickBot="1">
      <c r="A89" s="63"/>
      <c r="B89" s="64"/>
      <c r="C89" s="65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67" t="str">
        <f t="shared" si="11"/>
        <v/>
      </c>
      <c r="Q89" s="68" t="str">
        <f t="shared" si="9"/>
        <v/>
      </c>
      <c r="R89" s="69"/>
      <c r="S89" s="67" t="str">
        <f t="shared" si="7"/>
        <v/>
      </c>
      <c r="T89" s="70" t="str">
        <f t="shared" si="8"/>
        <v/>
      </c>
      <c r="U89" s="16" t="e">
        <f t="shared" si="6"/>
        <v>#VALUE!</v>
      </c>
      <c r="V89" s="6" t="str">
        <f t="shared" si="4"/>
        <v/>
      </c>
      <c r="W89" s="6" t="e">
        <f t="shared" si="10"/>
        <v>#VALUE!</v>
      </c>
      <c r="Y89" s="20"/>
      <c r="Z89" s="20"/>
      <c r="AA89" s="20"/>
      <c r="AB89" s="20"/>
      <c r="AC89" s="20"/>
      <c r="AD89" s="20"/>
      <c r="AE89" s="20"/>
      <c r="AF89" s="20"/>
      <c r="AG89" s="20"/>
      <c r="BX89">
        <v>81</v>
      </c>
    </row>
    <row r="90" spans="1:76" s="6" customFormat="1" ht="17.25" customHeight="1">
      <c r="A90" s="42">
        <v>1</v>
      </c>
      <c r="B90" s="98" t="s">
        <v>39</v>
      </c>
      <c r="C90" s="98"/>
      <c r="D90" s="43" t="str">
        <f t="shared" ref="D90:K90" si="13">IF(COUNTA(D$23:D$89)&gt;0,COUNTA(D$23:D$89)-COUNTIF(D23:D89,"-")-D91,"")</f>
        <v/>
      </c>
      <c r="E90" s="43" t="str">
        <f t="shared" si="13"/>
        <v/>
      </c>
      <c r="F90" s="43" t="str">
        <f t="shared" si="13"/>
        <v/>
      </c>
      <c r="G90" s="43" t="str">
        <f t="shared" si="13"/>
        <v/>
      </c>
      <c r="H90" s="43" t="str">
        <f t="shared" si="13"/>
        <v/>
      </c>
      <c r="I90" s="43" t="str">
        <f t="shared" si="13"/>
        <v/>
      </c>
      <c r="J90" s="43" t="str">
        <f t="shared" si="13"/>
        <v/>
      </c>
      <c r="K90" s="43" t="str">
        <f t="shared" si="13"/>
        <v/>
      </c>
      <c r="L90" s="43" t="str">
        <f t="shared" ref="L90" si="14">IF(COUNTA(L$23:L$89)&gt;0,COUNTA(L$23:L$89)-COUNTIF(L23:L89,"-")-L91,"")</f>
        <v/>
      </c>
      <c r="M90" s="43" t="str">
        <f t="shared" ref="M90" si="15">IF(COUNTA(M$23:M$89)&gt;0,COUNTA(M$23:M$89)-COUNTIF(M23:M89,"-")-M91,"")</f>
        <v/>
      </c>
      <c r="N90" s="43" t="str">
        <f t="shared" ref="N90" si="16">IF(COUNTA(N$23:N$89)&gt;0,COUNTA(N$23:N$89)-COUNTIF(N23:N89,"-")-N91,"")</f>
        <v/>
      </c>
      <c r="O90" s="43" t="str">
        <f t="shared" ref="O90" si="17">IF(COUNTA(O$23:O$89)&gt;0,COUNTA(O$23:O$89)-COUNTIF(O23:O89,"-")-O91,"")</f>
        <v/>
      </c>
      <c r="P90" s="99" t="s">
        <v>34</v>
      </c>
      <c r="Q90" s="100"/>
      <c r="R90" s="100"/>
      <c r="S90" s="100"/>
      <c r="T90" s="101"/>
      <c r="U90" s="15"/>
      <c r="Y90" s="20"/>
      <c r="Z90" s="20"/>
      <c r="AA90" s="20"/>
      <c r="AB90" s="20"/>
      <c r="AC90" s="20"/>
      <c r="AD90" s="20"/>
      <c r="AE90" s="20"/>
      <c r="AF90" s="20"/>
      <c r="AG90" s="20"/>
      <c r="BX90" s="8">
        <v>82</v>
      </c>
    </row>
    <row r="91" spans="1:76" s="6" customFormat="1" ht="18" customHeight="1">
      <c r="A91" s="5">
        <v>2</v>
      </c>
      <c r="B91" s="105" t="s">
        <v>22</v>
      </c>
      <c r="C91" s="106"/>
      <c r="D91" s="30" t="str">
        <f t="shared" ref="D91:G91" si="18">IF(COUNTA(D$23:D$89)&gt;0,COUNTIF(D23:D89,"=AB"),"")</f>
        <v/>
      </c>
      <c r="E91" s="30" t="str">
        <f t="shared" si="18"/>
        <v/>
      </c>
      <c r="F91" s="30" t="str">
        <f t="shared" si="18"/>
        <v/>
      </c>
      <c r="G91" s="30" t="str">
        <f t="shared" si="18"/>
        <v/>
      </c>
      <c r="H91" s="30" t="str">
        <f t="shared" ref="H91:L91" si="19">IF(COUNTA(H$23:H$89)&gt;0,COUNTIF(H23:H89,"=AB"),"")</f>
        <v/>
      </c>
      <c r="I91" s="30" t="str">
        <f t="shared" si="19"/>
        <v/>
      </c>
      <c r="J91" s="30" t="str">
        <f t="shared" si="19"/>
        <v/>
      </c>
      <c r="K91" s="30" t="str">
        <f t="shared" si="19"/>
        <v/>
      </c>
      <c r="L91" s="30" t="str">
        <f t="shared" si="19"/>
        <v/>
      </c>
      <c r="M91" s="30" t="str">
        <f t="shared" ref="M91:O91" si="20">IF(COUNTA(M$23:M$89)&gt;0,COUNTIF(M23:M89,"=AB"),"")</f>
        <v/>
      </c>
      <c r="N91" s="30" t="str">
        <f t="shared" si="20"/>
        <v/>
      </c>
      <c r="O91" s="30" t="str">
        <f t="shared" si="20"/>
        <v/>
      </c>
      <c r="P91" s="102"/>
      <c r="Q91" s="103"/>
      <c r="R91" s="103"/>
      <c r="S91" s="103"/>
      <c r="T91" s="104"/>
      <c r="U91" s="15"/>
      <c r="BX91">
        <v>83</v>
      </c>
    </row>
    <row r="92" spans="1:76" s="6" customFormat="1" ht="18" customHeight="1">
      <c r="A92" s="5">
        <v>3</v>
      </c>
      <c r="B92" s="118" t="s">
        <v>15</v>
      </c>
      <c r="C92" s="118"/>
      <c r="D92" s="30" t="str">
        <f t="shared" ref="D92:O92" si="21">IF(COUNTA(D$23:D$89)&gt;0,COUNTIF(D$23:D$89,"&gt;=50"),"")</f>
        <v/>
      </c>
      <c r="E92" s="30" t="str">
        <f t="shared" si="21"/>
        <v/>
      </c>
      <c r="F92" s="30" t="str">
        <f t="shared" si="21"/>
        <v/>
      </c>
      <c r="G92" s="30" t="str">
        <f t="shared" si="21"/>
        <v/>
      </c>
      <c r="H92" s="30" t="str">
        <f t="shared" si="21"/>
        <v/>
      </c>
      <c r="I92" s="30" t="str">
        <f t="shared" si="21"/>
        <v/>
      </c>
      <c r="J92" s="30" t="str">
        <f t="shared" si="21"/>
        <v/>
      </c>
      <c r="K92" s="30" t="str">
        <f t="shared" si="21"/>
        <v/>
      </c>
      <c r="L92" s="30" t="str">
        <f t="shared" si="21"/>
        <v/>
      </c>
      <c r="M92" s="30" t="str">
        <f t="shared" si="21"/>
        <v/>
      </c>
      <c r="N92" s="30" t="str">
        <f t="shared" si="21"/>
        <v/>
      </c>
      <c r="O92" s="30" t="str">
        <f t="shared" si="21"/>
        <v/>
      </c>
      <c r="P92" s="119" t="s">
        <v>31</v>
      </c>
      <c r="Q92" s="120"/>
      <c r="R92" s="120"/>
      <c r="S92" s="120"/>
      <c r="T92" s="45" t="str">
        <f>IF(F5="","",F5)</f>
        <v/>
      </c>
      <c r="U92" s="15"/>
      <c r="BX92" s="8">
        <v>84</v>
      </c>
    </row>
    <row r="93" spans="1:76" s="6" customFormat="1" ht="18" customHeight="1">
      <c r="A93" s="5">
        <v>4</v>
      </c>
      <c r="B93" s="118" t="s">
        <v>16</v>
      </c>
      <c r="C93" s="118"/>
      <c r="D93" s="30" t="str">
        <f t="shared" ref="D93:O93" si="22">IF(COUNTA(D$23:D$89)&gt;0,COUNTIF(D$23:D$89,"&lt;50"),"")</f>
        <v/>
      </c>
      <c r="E93" s="30" t="str">
        <f t="shared" si="22"/>
        <v/>
      </c>
      <c r="F93" s="30" t="str">
        <f t="shared" si="22"/>
        <v/>
      </c>
      <c r="G93" s="30" t="str">
        <f t="shared" si="22"/>
        <v/>
      </c>
      <c r="H93" s="30" t="str">
        <f t="shared" si="22"/>
        <v/>
      </c>
      <c r="I93" s="30" t="str">
        <f t="shared" si="22"/>
        <v/>
      </c>
      <c r="J93" s="30" t="str">
        <f t="shared" si="22"/>
        <v/>
      </c>
      <c r="K93" s="30" t="str">
        <f t="shared" si="22"/>
        <v/>
      </c>
      <c r="L93" s="30" t="str">
        <f t="shared" si="22"/>
        <v/>
      </c>
      <c r="M93" s="30" t="str">
        <f t="shared" si="22"/>
        <v/>
      </c>
      <c r="N93" s="30" t="str">
        <f t="shared" si="22"/>
        <v/>
      </c>
      <c r="O93" s="30" t="str">
        <f t="shared" si="22"/>
        <v/>
      </c>
      <c r="P93" s="121" t="str">
        <f>IF(COUNTA(B23:B89)&gt;0,COUNTIF(U23:U89,"=0")/COUNTA(B23:B89),"")</f>
        <v/>
      </c>
      <c r="Q93" s="122"/>
      <c r="R93" s="122"/>
      <c r="S93" s="122"/>
      <c r="T93" s="123"/>
      <c r="U93" s="23"/>
      <c r="BX93">
        <v>85</v>
      </c>
    </row>
    <row r="94" spans="1:76" s="6" customFormat="1" ht="17.25" customHeight="1">
      <c r="A94" s="5">
        <v>5</v>
      </c>
      <c r="B94" s="105" t="s">
        <v>33</v>
      </c>
      <c r="C94" s="106"/>
      <c r="D94" s="30" t="str">
        <f t="shared" ref="D94:G94" si="23">IF(COUNTA(D$23:D$89)&gt;0,COUNTIF(D23:D89,"=WH"),"")</f>
        <v/>
      </c>
      <c r="E94" s="30" t="str">
        <f t="shared" si="23"/>
        <v/>
      </c>
      <c r="F94" s="30" t="str">
        <f t="shared" si="23"/>
        <v/>
      </c>
      <c r="G94" s="30" t="str">
        <f t="shared" si="23"/>
        <v/>
      </c>
      <c r="H94" s="30" t="str">
        <f t="shared" ref="H94:L94" si="24">IF(COUNTA(H$23:H$89)&gt;0,COUNTIF(H23:H89,"=WH"),"")</f>
        <v/>
      </c>
      <c r="I94" s="30" t="str">
        <f t="shared" si="24"/>
        <v/>
      </c>
      <c r="J94" s="30" t="str">
        <f t="shared" si="24"/>
        <v/>
      </c>
      <c r="K94" s="30" t="str">
        <f t="shared" si="24"/>
        <v/>
      </c>
      <c r="L94" s="30" t="str">
        <f t="shared" si="24"/>
        <v/>
      </c>
      <c r="M94" s="30" t="str">
        <f t="shared" ref="M94:O94" si="25">IF(COUNTA(M$23:M$89)&gt;0,COUNTIF(M23:M89,"=WH"),"")</f>
        <v/>
      </c>
      <c r="N94" s="30" t="str">
        <f t="shared" si="25"/>
        <v/>
      </c>
      <c r="O94" s="30" t="str">
        <f t="shared" si="25"/>
        <v/>
      </c>
      <c r="P94" s="121"/>
      <c r="Q94" s="122"/>
      <c r="R94" s="122"/>
      <c r="S94" s="122"/>
      <c r="T94" s="123"/>
      <c r="U94" s="23"/>
      <c r="BX94" s="8">
        <v>86</v>
      </c>
    </row>
    <row r="95" spans="1:76" s="6" customFormat="1" ht="17.25" customHeight="1" thickBot="1">
      <c r="A95" s="5">
        <v>6</v>
      </c>
      <c r="B95" s="118" t="s">
        <v>3</v>
      </c>
      <c r="C95" s="118"/>
      <c r="D95" s="31" t="str">
        <f>IF(D90&lt;&gt;"",IF((D90-D94)&lt;&gt;0,IF(COUNTA(D$23:D$89)&gt;0,D92/(D90),""),""),"")</f>
        <v/>
      </c>
      <c r="E95" s="31" t="str">
        <f t="shared" ref="E95:K95" si="26">IF(E90&lt;&gt;"",IF((E90-E94)&lt;&gt;0,IF(COUNTA(E$23:E$89)&gt;0,E92/(E90),""),""),"")</f>
        <v/>
      </c>
      <c r="F95" s="31" t="str">
        <f t="shared" si="26"/>
        <v/>
      </c>
      <c r="G95" s="31" t="str">
        <f t="shared" si="26"/>
        <v/>
      </c>
      <c r="H95" s="31" t="str">
        <f t="shared" si="26"/>
        <v/>
      </c>
      <c r="I95" s="31" t="str">
        <f t="shared" si="26"/>
        <v/>
      </c>
      <c r="J95" s="31" t="str">
        <f t="shared" si="26"/>
        <v/>
      </c>
      <c r="K95" s="31" t="str">
        <f t="shared" si="26"/>
        <v/>
      </c>
      <c r="L95" s="31" t="str">
        <f t="shared" ref="L95" si="27">IF(L90&lt;&gt;"",IF((L90-L94)&lt;&gt;0,IF(COUNTA(L$23:L$89)&gt;0,L92/(L90),""),""),"")</f>
        <v/>
      </c>
      <c r="M95" s="31" t="str">
        <f t="shared" ref="M95" si="28">IF(M90&lt;&gt;"",IF((M90-M94)&lt;&gt;0,IF(COUNTA(M$23:M$89)&gt;0,M92/(M90),""),""),"")</f>
        <v/>
      </c>
      <c r="N95" s="31" t="str">
        <f t="shared" ref="N95" si="29">IF(N90&lt;&gt;"",IF((N90-N94)&lt;&gt;0,IF(COUNTA(N$23:N$89)&gt;0,N92/(N90),""),""),"")</f>
        <v/>
      </c>
      <c r="O95" s="31" t="str">
        <f t="shared" ref="O95" si="30">IF(O90&lt;&gt;"",IF((O90-O94)&lt;&gt;0,IF(COUNTA(O$23:O$89)&gt;0,O92/(O90),""),""),"")</f>
        <v/>
      </c>
      <c r="P95" s="124"/>
      <c r="Q95" s="125"/>
      <c r="R95" s="125"/>
      <c r="S95" s="125"/>
      <c r="T95" s="126"/>
      <c r="U95" s="23"/>
      <c r="BX95">
        <v>87</v>
      </c>
    </row>
    <row r="96" spans="1:76" s="6" customFormat="1" ht="18" customHeight="1" thickTop="1">
      <c r="A96" s="5">
        <v>7</v>
      </c>
      <c r="B96" s="115" t="s">
        <v>18</v>
      </c>
      <c r="C96" s="115"/>
      <c r="D96" s="32" t="str">
        <f t="shared" ref="D96:K96" si="31">IF(D95&lt;&gt;"",IF(COUNTA(D$23:D$89)&gt;0,AVERAGE(D23:D89),""),"")</f>
        <v/>
      </c>
      <c r="E96" s="32" t="str">
        <f t="shared" si="31"/>
        <v/>
      </c>
      <c r="F96" s="32" t="str">
        <f t="shared" si="31"/>
        <v/>
      </c>
      <c r="G96" s="32" t="str">
        <f t="shared" si="31"/>
        <v/>
      </c>
      <c r="H96" s="32" t="str">
        <f t="shared" si="31"/>
        <v/>
      </c>
      <c r="I96" s="32" t="str">
        <f t="shared" si="31"/>
        <v/>
      </c>
      <c r="J96" s="32" t="str">
        <f t="shared" si="31"/>
        <v/>
      </c>
      <c r="K96" s="32" t="str">
        <f t="shared" si="31"/>
        <v/>
      </c>
      <c r="L96" s="32" t="str">
        <f t="shared" ref="L96" si="32">IF(L95&lt;&gt;"",IF(COUNTA(L$23:L$89)&gt;0,AVERAGE(L23:L89),""),"")</f>
        <v/>
      </c>
      <c r="M96" s="32" t="str">
        <f t="shared" ref="M96" si="33">IF(M95&lt;&gt;"",IF(COUNTA(M$23:M$89)&gt;0,AVERAGE(M23:M89),""),"")</f>
        <v/>
      </c>
      <c r="N96" s="32" t="str">
        <f t="shared" ref="N96" si="34">IF(N95&lt;&gt;"",IF(COUNTA(N$23:N$89)&gt;0,AVERAGE(N23:N89),""),"")</f>
        <v/>
      </c>
      <c r="O96" s="32" t="str">
        <f t="shared" ref="O96" si="35">IF(O95&lt;&gt;"",IF(COUNTA(O$23:O$89)&gt;0,AVERAGE(O23:O89),""),"")</f>
        <v/>
      </c>
      <c r="T96" s="17"/>
      <c r="BX96" s="8">
        <v>88</v>
      </c>
    </row>
    <row r="97" spans="1:76" s="6" customFormat="1" ht="17.25" customHeight="1">
      <c r="A97" s="5">
        <v>8</v>
      </c>
      <c r="B97" s="115" t="s">
        <v>17</v>
      </c>
      <c r="C97" s="115"/>
      <c r="D97" s="32" t="str">
        <f t="shared" ref="D97:G97" si="36">IF(D95&lt;&gt;"",IF(COUNTA(D$23:D$89)&gt;0,STDEV(D23:D89),""),"")</f>
        <v/>
      </c>
      <c r="E97" s="32" t="str">
        <f t="shared" si="36"/>
        <v/>
      </c>
      <c r="F97" s="32" t="str">
        <f t="shared" si="36"/>
        <v/>
      </c>
      <c r="G97" s="32" t="str">
        <f t="shared" si="36"/>
        <v/>
      </c>
      <c r="H97" s="32" t="str">
        <f t="shared" ref="H97:L97" si="37">IF(H95&lt;&gt;"",IF(COUNTA(H$23:H$89)&gt;0,STDEV(H23:H89),""),"")</f>
        <v/>
      </c>
      <c r="I97" s="32" t="str">
        <f t="shared" si="37"/>
        <v/>
      </c>
      <c r="J97" s="32" t="str">
        <f t="shared" si="37"/>
        <v/>
      </c>
      <c r="K97" s="32" t="str">
        <f t="shared" si="37"/>
        <v/>
      </c>
      <c r="L97" s="32" t="str">
        <f t="shared" si="37"/>
        <v/>
      </c>
      <c r="M97" s="32" t="str">
        <f t="shared" ref="M97:O97" si="38">IF(M95&lt;&gt;"",IF(COUNTA(M$23:M$89)&gt;0,STDEV(M23:M89),""),"")</f>
        <v/>
      </c>
      <c r="N97" s="32" t="str">
        <f t="shared" si="38"/>
        <v/>
      </c>
      <c r="O97" s="32" t="str">
        <f t="shared" si="38"/>
        <v/>
      </c>
      <c r="T97" s="17"/>
      <c r="BX97">
        <v>89</v>
      </c>
    </row>
    <row r="98" spans="1:76" s="6" customFormat="1" ht="18" customHeight="1" thickBot="1">
      <c r="A98" s="18">
        <v>9</v>
      </c>
      <c r="B98" s="116" t="s">
        <v>35</v>
      </c>
      <c r="C98" s="116"/>
      <c r="D98" s="46" t="str">
        <f t="shared" ref="D98:K98" si="39">IF(D95&lt;&gt;"",IF(COUNTA(D$23:D$89)&gt;0,D97/D96,""),"")</f>
        <v/>
      </c>
      <c r="E98" s="46" t="str">
        <f t="shared" si="39"/>
        <v/>
      </c>
      <c r="F98" s="46" t="str">
        <f t="shared" si="39"/>
        <v/>
      </c>
      <c r="G98" s="46" t="str">
        <f t="shared" si="39"/>
        <v/>
      </c>
      <c r="H98" s="46" t="str">
        <f t="shared" si="39"/>
        <v/>
      </c>
      <c r="I98" s="46" t="str">
        <f t="shared" si="39"/>
        <v/>
      </c>
      <c r="J98" s="46" t="str">
        <f t="shared" si="39"/>
        <v/>
      </c>
      <c r="K98" s="46" t="str">
        <f t="shared" si="39"/>
        <v/>
      </c>
      <c r="L98" s="46" t="str">
        <f t="shared" ref="L98" si="40">IF(L95&lt;&gt;"",IF(COUNTA(L$23:L$89)&gt;0,L97/L96,""),"")</f>
        <v/>
      </c>
      <c r="M98" s="46" t="str">
        <f t="shared" ref="M98" si="41">IF(M95&lt;&gt;"",IF(COUNTA(M$23:M$89)&gt;0,M97/M96,""),"")</f>
        <v/>
      </c>
      <c r="N98" s="46" t="str">
        <f t="shared" ref="N98" si="42">IF(N95&lt;&gt;"",IF(COUNTA(N$23:N$89)&gt;0,N97/N96,""),"")</f>
        <v/>
      </c>
      <c r="O98" s="46" t="str">
        <f t="shared" ref="O98" si="43">IF(O95&lt;&gt;"",IF(COUNTA(O$23:O$89)&gt;0,O97/O96,""),"")</f>
        <v/>
      </c>
      <c r="P98" s="7"/>
      <c r="Q98" s="7"/>
      <c r="R98" s="7"/>
      <c r="S98" s="7"/>
      <c r="T98" s="19"/>
      <c r="BX98" s="8">
        <v>90</v>
      </c>
    </row>
    <row r="99" spans="1:76" hidden="1">
      <c r="P99" s="6"/>
      <c r="Q99" s="6"/>
      <c r="BX99">
        <v>91</v>
      </c>
    </row>
    <row r="100" spans="1:76">
      <c r="C100" s="3" t="s">
        <v>28</v>
      </c>
      <c r="D100" s="4" t="str">
        <f>IF(F5="","",F5)</f>
        <v/>
      </c>
      <c r="BX100" s="8">
        <v>92</v>
      </c>
    </row>
    <row r="101" spans="1:76">
      <c r="C101" s="117" t="s">
        <v>26</v>
      </c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BX101">
        <v>93</v>
      </c>
    </row>
    <row r="102" spans="1:76" ht="38.25" customHeight="1">
      <c r="C102" s="49" t="s">
        <v>20</v>
      </c>
      <c r="D102" s="52" t="s">
        <v>38</v>
      </c>
      <c r="E102" s="29" t="str">
        <f>IF(A7&lt;&gt;"",A7,"")</f>
        <v/>
      </c>
      <c r="F102" s="29" t="str">
        <f>IF(A8&lt;&gt;"",A8,"")</f>
        <v/>
      </c>
      <c r="G102" s="29" t="str">
        <f>IF(A9&lt;&gt;"",A9,"")</f>
        <v/>
      </c>
      <c r="H102" s="29" t="str">
        <f>IF(A10&lt;&gt;"",A10,"")</f>
        <v/>
      </c>
      <c r="I102" s="29" t="str">
        <f>IF(A11&lt;&gt;"",A11,"")</f>
        <v/>
      </c>
      <c r="J102" s="29" t="str">
        <f>IF(A12&lt;&gt;"",A12,"")</f>
        <v/>
      </c>
      <c r="K102" s="29" t="str">
        <f>IF(A13&lt;&gt;"",A13,"")</f>
        <v/>
      </c>
      <c r="L102" s="29" t="str">
        <f>IF(A14&lt;&gt;"",A14,"")</f>
        <v/>
      </c>
      <c r="M102" s="29" t="str">
        <f>IF(A15&lt;&gt;"",A15,"")</f>
        <v/>
      </c>
      <c r="N102" s="29" t="str">
        <f>IF(A16&lt;&gt;"",A16,"")</f>
        <v/>
      </c>
      <c r="O102" s="29" t="str">
        <f>IF(A17&lt;&gt;"",A17,"")</f>
        <v/>
      </c>
      <c r="P102" s="29" t="str">
        <f>IF(A18&lt;&gt;"",A18,"")</f>
        <v/>
      </c>
      <c r="AH102" s="6"/>
      <c r="AI102" s="20"/>
      <c r="AJ102" s="20"/>
      <c r="BX102" s="8">
        <v>94</v>
      </c>
    </row>
    <row r="103" spans="1:76">
      <c r="C103" s="50" t="s">
        <v>21</v>
      </c>
      <c r="D103" s="71">
        <f>COUNTIF(U23:U89,"=0")</f>
        <v>0</v>
      </c>
      <c r="E103" s="71" t="str">
        <f>IF(E102&lt;&gt;"",COUNTIF($T23:$T89,E102),"")</f>
        <v/>
      </c>
      <c r="F103" s="71" t="str">
        <f>IF(F102&lt;&gt;"",COUNTIF($T23:$T89,F102),"")</f>
        <v/>
      </c>
      <c r="G103" s="71" t="str">
        <f t="shared" ref="G103:I103" si="44">IF(G102&lt;&gt;"",COUNTIF($T23:$T89,G102),"")</f>
        <v/>
      </c>
      <c r="H103" s="71" t="str">
        <f t="shared" si="44"/>
        <v/>
      </c>
      <c r="I103" s="71" t="str">
        <f t="shared" si="44"/>
        <v/>
      </c>
      <c r="J103" s="71" t="str">
        <f t="shared" ref="J103" si="45">IF(J102&lt;&gt;"",COUNTIF($T23:$T89,J102),"")</f>
        <v/>
      </c>
      <c r="K103" s="71" t="str">
        <f t="shared" ref="K103" si="46">IF(K102&lt;&gt;"",COUNTIF($T23:$T89,K102),"")</f>
        <v/>
      </c>
      <c r="L103" s="71" t="str">
        <f t="shared" ref="L103" si="47">IF(L102&lt;&gt;"",COUNTIF($T23:$T89,L102),"")</f>
        <v/>
      </c>
      <c r="M103" s="71" t="str">
        <f t="shared" ref="M103" si="48">IF(M102&lt;&gt;"",COUNTIF($T23:$T89,M102),"")</f>
        <v/>
      </c>
      <c r="N103" s="71" t="str">
        <f t="shared" ref="N103" si="49">IF(N102&lt;&gt;"",COUNTIF($T23:$T89,N102),"")</f>
        <v/>
      </c>
      <c r="O103" s="71" t="str">
        <f t="shared" ref="O103" si="50">IF(O102&lt;&gt;"",COUNTIF($T23:$T89,O102),"")</f>
        <v/>
      </c>
      <c r="P103" s="71" t="str">
        <f t="shared" ref="P103" si="51">IF(P102&lt;&gt;"",COUNTIF($T23:$T89,P102),"")</f>
        <v/>
      </c>
      <c r="AH103" s="6"/>
      <c r="AI103" s="20"/>
      <c r="AJ103" s="20"/>
      <c r="BX103">
        <v>95</v>
      </c>
    </row>
    <row r="104" spans="1:76">
      <c r="C104" s="49" t="s">
        <v>27</v>
      </c>
      <c r="D104" s="72" t="str">
        <f>IF(D103=0,"-",D103/COUNTA($A23:$A89))</f>
        <v>-</v>
      </c>
      <c r="E104" s="72" t="str">
        <f>IF(E103&lt;&gt;"",E103/COUNTA($A23:$A89),"-")</f>
        <v>-</v>
      </c>
      <c r="F104" s="72" t="str">
        <f t="shared" ref="F104:I104" si="52">IF(F103&lt;&gt;"",F103/COUNTA($A23:$A89),"-")</f>
        <v>-</v>
      </c>
      <c r="G104" s="72" t="str">
        <f t="shared" si="52"/>
        <v>-</v>
      </c>
      <c r="H104" s="72" t="str">
        <f t="shared" si="52"/>
        <v>-</v>
      </c>
      <c r="I104" s="72" t="str">
        <f t="shared" si="52"/>
        <v>-</v>
      </c>
      <c r="J104" s="72" t="str">
        <f t="shared" ref="J104" si="53">IF(J103&lt;&gt;"",J103/COUNTA($A23:$A89),"-")</f>
        <v>-</v>
      </c>
      <c r="K104" s="72" t="str">
        <f t="shared" ref="K104" si="54">IF(K103&lt;&gt;"",K103/COUNTA($A23:$A89),"-")</f>
        <v>-</v>
      </c>
      <c r="L104" s="72" t="str">
        <f t="shared" ref="L104" si="55">IF(L103&lt;&gt;"",L103/COUNTA($A23:$A89),"-")</f>
        <v>-</v>
      </c>
      <c r="M104" s="72" t="str">
        <f t="shared" ref="M104" si="56">IF(M103&lt;&gt;"",M103/COUNTA($A23:$A89),"-")</f>
        <v>-</v>
      </c>
      <c r="N104" s="72" t="str">
        <f t="shared" ref="N104" si="57">IF(N103&lt;&gt;"",N103/COUNTA($A23:$A89),"-")</f>
        <v>-</v>
      </c>
      <c r="O104" s="72" t="str">
        <f t="shared" ref="O104" si="58">IF(O103&lt;&gt;"",O103/COUNTA($A23:$A89),"-")</f>
        <v>-</v>
      </c>
      <c r="P104" s="72" t="str">
        <f t="shared" ref="P104" si="59">IF(P103&lt;&gt;"",P103/COUNTA($A23:$A89),"-")</f>
        <v>-</v>
      </c>
      <c r="AH104" s="6"/>
      <c r="AI104" s="20"/>
      <c r="AJ104" s="20"/>
      <c r="BX104" s="8">
        <v>96</v>
      </c>
    </row>
    <row r="105" spans="1:76">
      <c r="AH105" s="6"/>
      <c r="AI105" s="20"/>
      <c r="AJ105" s="20"/>
      <c r="BX105">
        <v>97</v>
      </c>
    </row>
    <row r="106" spans="1:76">
      <c r="BX106" s="8">
        <v>98</v>
      </c>
    </row>
    <row r="107" spans="1:76" ht="15" customHeight="1">
      <c r="BX107">
        <v>99</v>
      </c>
    </row>
    <row r="108" spans="1:76" ht="15" customHeight="1">
      <c r="BX108" s="8">
        <v>100</v>
      </c>
    </row>
    <row r="109" spans="1:76" ht="15" customHeight="1">
      <c r="BX109" t="s">
        <v>36</v>
      </c>
    </row>
    <row r="110" spans="1:76">
      <c r="BX110" t="s">
        <v>37</v>
      </c>
    </row>
    <row r="111" spans="1:76">
      <c r="BX111" t="s">
        <v>25</v>
      </c>
    </row>
    <row r="116" spans="84:85">
      <c r="CF116" s="33"/>
      <c r="CG116" s="33"/>
    </row>
    <row r="117" spans="84:85">
      <c r="CF117" s="33"/>
      <c r="CG117" s="33"/>
    </row>
    <row r="118" spans="84:85">
      <c r="CF118" s="33"/>
      <c r="CG118" s="33"/>
    </row>
  </sheetData>
  <mergeCells count="66">
    <mergeCell ref="N4:O4"/>
    <mergeCell ref="P4:R4"/>
    <mergeCell ref="S4:T4"/>
    <mergeCell ref="N5:Q5"/>
    <mergeCell ref="R5:T5"/>
    <mergeCell ref="A5:B5"/>
    <mergeCell ref="D5:E5"/>
    <mergeCell ref="F5:G5"/>
    <mergeCell ref="H5:M5"/>
    <mergeCell ref="A4:B4"/>
    <mergeCell ref="D4:E4"/>
    <mergeCell ref="F4:G4"/>
    <mergeCell ref="H4:M4"/>
    <mergeCell ref="S6:T6"/>
    <mergeCell ref="B7:E7"/>
    <mergeCell ref="F7:R7"/>
    <mergeCell ref="S7:T7"/>
    <mergeCell ref="B8:E8"/>
    <mergeCell ref="F8:R8"/>
    <mergeCell ref="S8:T8"/>
    <mergeCell ref="B15:E15"/>
    <mergeCell ref="F15:R15"/>
    <mergeCell ref="B10:E10"/>
    <mergeCell ref="F10:R10"/>
    <mergeCell ref="B6:E6"/>
    <mergeCell ref="F6:R6"/>
    <mergeCell ref="B9:E9"/>
    <mergeCell ref="F9:R9"/>
    <mergeCell ref="B97:C97"/>
    <mergeCell ref="B98:C98"/>
    <mergeCell ref="C101:P101"/>
    <mergeCell ref="B92:C92"/>
    <mergeCell ref="P92:S92"/>
    <mergeCell ref="B93:C93"/>
    <mergeCell ref="P93:T95"/>
    <mergeCell ref="B94:C94"/>
    <mergeCell ref="B95:C95"/>
    <mergeCell ref="B96:C96"/>
    <mergeCell ref="A19:T19"/>
    <mergeCell ref="S20:S22"/>
    <mergeCell ref="T20:T22"/>
    <mergeCell ref="D21:Q21"/>
    <mergeCell ref="B90:C90"/>
    <mergeCell ref="P90:T91"/>
    <mergeCell ref="B91:C91"/>
    <mergeCell ref="A20:A22"/>
    <mergeCell ref="B20:B22"/>
    <mergeCell ref="C20:C22"/>
    <mergeCell ref="D20:Q20"/>
    <mergeCell ref="R20:R22"/>
    <mergeCell ref="C2:Q2"/>
    <mergeCell ref="C3:Q3"/>
    <mergeCell ref="B17:E17"/>
    <mergeCell ref="F17:R17"/>
    <mergeCell ref="B18:E18"/>
    <mergeCell ref="F18:R18"/>
    <mergeCell ref="B11:E11"/>
    <mergeCell ref="F11:R11"/>
    <mergeCell ref="B12:E12"/>
    <mergeCell ref="F12:R12"/>
    <mergeCell ref="B16:E16"/>
    <mergeCell ref="F16:R16"/>
    <mergeCell ref="B13:E13"/>
    <mergeCell ref="F13:R13"/>
    <mergeCell ref="B14:E14"/>
    <mergeCell ref="F14:R14"/>
  </mergeCells>
  <conditionalFormatting sqref="D23:O89">
    <cfRule type="cellIs" dxfId="2" priority="1" operator="equal">
      <formula>"A"</formula>
    </cfRule>
    <cfRule type="cellIs" dxfId="1" priority="2" stopIfTrue="1" operator="lessThan">
      <formula>50</formula>
    </cfRule>
    <cfRule type="cellIs" dxfId="0" priority="3" operator="equal">
      <formula>"W"</formula>
    </cfRule>
  </conditionalFormatting>
  <dataValidations count="11">
    <dataValidation type="list" allowBlank="1" showInputMessage="1" showErrorMessage="1" sqref="U4">
      <formula1>"2008-09,2009-10,2011-12,2012-13,2013-14,2014-15"</formula1>
    </dataValidation>
    <dataValidation type="list" allowBlank="1" showInputMessage="1" showErrorMessage="1" sqref="F5:G5">
      <formula1>"A,B,C,D,E,F,-"</formula1>
    </dataValidation>
    <dataValidation type="list" allowBlank="1" showInputMessage="1" showErrorMessage="1" sqref="A5:B5">
      <formula1>"SEMESTER NO.,TRIMESTER NO."</formula1>
    </dataValidation>
    <dataValidation type="list" allowBlank="1" showInputMessage="1" showErrorMessage="1" sqref="C5">
      <formula1>"I,II,III,IV,V,VI,VII,VIII,IX,X"</formula1>
    </dataValidation>
    <dataValidation type="list" allowBlank="1" showInputMessage="1" showErrorMessage="1" sqref="C4">
      <formula1>"Civil,Mechanical,Mechatronics,ECE,EEE,EIE,CSE,IT,Chemical Engg.,Food Tech.,CT-UG,CT-PG,Management Studies,Computer Applications,AI(AIML),AI(AIDS),CSD"</formula1>
    </dataValidation>
    <dataValidation type="list" showInputMessage="1" showErrorMessage="1" sqref="F4:G4">
      <formula1>"B.E.,M.E.,M.E.(ED),M.E.(AE),M.E.(CEM),M.E.(CAD/CAM),M.E.(VLSI Design),B.Tech.,M.Tech.,MBA,MCA,BSc(CT),BSc(IT),BSc(SE),MSc(CT),MSc(IT),MSc(SE),MSc(SE) Integrated"</formula1>
    </dataValidation>
    <dataValidation type="list" allowBlank="1" showInputMessage="1" showErrorMessage="1" sqref="N4:O4">
      <formula1>"2025-2026,2026-2027,2027-2028,2028-2029,2029-2030"</formula1>
    </dataValidation>
    <dataValidation type="list" allowBlank="1" showInputMessage="1" showErrorMessage="1" errorTitle="WRONG ENTRY!" error="MARKS CAN BE BETWEEN 0 AND 100 ._x000a_ENTER AB FOR ABSENT_x000a_            WH FOR WITHHELD_x000a_             -  FOR AN ELECTIVE COURSE NOT OPTED." sqref="D23:O89">
      <formula1>$BX$4:$BX$111</formula1>
    </dataValidation>
    <dataValidation type="list" allowBlank="1" showInputMessage="1" showErrorMessage="1" sqref="S4:T4">
      <formula1>"2025,2026,2027,2028,2029,2030,2031,2032,2033,2034"</formula1>
    </dataValidation>
    <dataValidation type="list" allowBlank="1" showInputMessage="1" showErrorMessage="1" sqref="R5">
      <formula1>"AFTER RETEST"</formula1>
    </dataValidation>
    <dataValidation type="list" allowBlank="1" showInputMessage="1" showErrorMessage="1" sqref="N5:Q5">
      <formula1>"Test I,Test II,Test III,Cycle Test I,Cycle Test II,Cycle Test III, MidTerm Exam,Model Exam,Objective Test I,Objective Test II, Module Test - I, Module Test - II"</formula1>
    </dataValidation>
  </dataValidations>
  <printOptions horizontalCentered="1"/>
  <pageMargins left="0.45" right="0.38" top="0.48" bottom="0.95" header="0.3" footer="0.46"/>
  <pageSetup paperSize="9" scale="75" orientation="landscape" r:id="rId1"/>
  <headerFooter>
    <oddFooter>&amp;L&amp;12                                     CLASS ADVISOR SIGN  WITH DATE&amp;C&amp;12Year Coordinator&amp;R&amp;12HOD</oddFooter>
  </headerFooter>
  <rowBreaks count="2" manualBreakCount="2">
    <brk id="35" max="16383" man="1"/>
    <brk id="70" max="16383" man="1"/>
  </rowBreaks>
  <colBreaks count="1" manualBreakCount="1">
    <brk id="2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18" sqref="I18"/>
    </sheetView>
  </sheetViews>
  <sheetFormatPr defaultRowHeight="1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AC-06</vt:lpstr>
      <vt:lpstr>Sheet3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2009-03-14T07:06:46Z</cp:lastPrinted>
  <dcterms:created xsi:type="dcterms:W3CDTF">2006-09-16T00:00:00Z</dcterms:created>
  <dcterms:modified xsi:type="dcterms:W3CDTF">2026-01-30T09:32:51Z</dcterms:modified>
</cp:coreProperties>
</file>