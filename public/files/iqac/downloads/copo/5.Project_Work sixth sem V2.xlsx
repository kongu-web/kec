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-105" yWindow="-105" windowWidth="21840" windowHeight="12450" activeTab="1"/>
  </bookViews>
  <sheets>
    <sheet name="Target" sheetId="19" r:id="rId1"/>
    <sheet name="BASE" sheetId="17" r:id="rId2"/>
    <sheet name="Review I &amp; II" sheetId="10" r:id="rId3"/>
    <sheet name="ESE" sheetId="18" r:id="rId4"/>
    <sheet name="Course Outcome" sheetId="11" r:id="rId5"/>
    <sheet name="Course Ass Report" sheetId="15" r:id="rId6"/>
  </sheets>
  <externalReferences>
    <externalReference r:id="rId7"/>
    <externalReference r:id="rId8"/>
  </externalReferences>
  <definedNames>
    <definedName name="_GoBack" localSheetId="5">'Course Ass Report'!$E$9</definedName>
    <definedName name="_xlnm.Print_Area" localSheetId="1">BASE!$A$1:$S$459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19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B85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B84" s="1"/>
  <c r="A2" i="11"/>
  <c r="A1"/>
  <c r="Y2" i="18"/>
  <c r="Y1"/>
  <c r="A1" i="10"/>
  <c r="B86" i="19" l="1"/>
  <c r="A13" i="18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13" i="10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L7" i="18" l="1"/>
  <c r="A2" i="15"/>
  <c r="A2" i="10" l="1"/>
  <c r="D7" i="15" l="1"/>
  <c r="L7"/>
  <c r="H7"/>
  <c r="D6"/>
  <c r="G6"/>
  <c r="M5"/>
  <c r="J5"/>
  <c r="G5"/>
  <c r="D5"/>
  <c r="A7"/>
  <c r="A6"/>
  <c r="A5"/>
  <c r="A1"/>
  <c r="A13" i="11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2"/>
  <c r="A11"/>
  <c r="G6"/>
  <c r="F6"/>
  <c r="C6"/>
  <c r="C5"/>
  <c r="E5"/>
  <c r="K4"/>
  <c r="H4"/>
  <c r="E4"/>
  <c r="C4"/>
  <c r="AD6" i="18"/>
  <c r="AC6"/>
  <c r="AA6"/>
  <c r="S4"/>
  <c r="N4"/>
  <c r="H4"/>
  <c r="C4"/>
  <c r="G5"/>
  <c r="AA5" s="1"/>
  <c r="I6"/>
  <c r="G6"/>
  <c r="C6"/>
  <c r="C5"/>
  <c r="AA4" s="1"/>
  <c r="A2"/>
  <c r="A1"/>
  <c r="X6" i="10"/>
  <c r="W6"/>
  <c r="G5"/>
  <c r="U5"/>
  <c r="S2"/>
  <c r="S1"/>
  <c r="J6"/>
  <c r="G6"/>
  <c r="U4"/>
  <c r="U6"/>
  <c r="C6"/>
  <c r="C5"/>
  <c r="A3" i="11"/>
  <c r="G9"/>
  <c r="F9"/>
  <c r="E9"/>
  <c r="D9"/>
  <c r="C9"/>
  <c r="A6"/>
  <c r="A5"/>
  <c r="A4"/>
  <c r="A3" i="15"/>
  <c r="C30"/>
  <c r="D30" s="1"/>
  <c r="B30"/>
  <c r="C29"/>
  <c r="D29" s="1"/>
  <c r="B29"/>
  <c r="Y3" i="18"/>
  <c r="A3"/>
  <c r="Y461"/>
  <c r="G461"/>
  <c r="AD461" s="1"/>
  <c r="F461"/>
  <c r="AC461" s="1"/>
  <c r="E461"/>
  <c r="AB461" s="1"/>
  <c r="D461"/>
  <c r="AA461" s="1"/>
  <c r="C461"/>
  <c r="Z461" s="1"/>
  <c r="Y460"/>
  <c r="G460"/>
  <c r="AD460" s="1"/>
  <c r="F460"/>
  <c r="AC460" s="1"/>
  <c r="E460"/>
  <c r="AB460" s="1"/>
  <c r="D460"/>
  <c r="AA460" s="1"/>
  <c r="C460"/>
  <c r="Z460" s="1"/>
  <c r="Y459"/>
  <c r="G459"/>
  <c r="AD459" s="1"/>
  <c r="F459"/>
  <c r="AC459" s="1"/>
  <c r="E459"/>
  <c r="AB459" s="1"/>
  <c r="D459"/>
  <c r="AA459" s="1"/>
  <c r="C459"/>
  <c r="Z459" s="1"/>
  <c r="Y458"/>
  <c r="G458"/>
  <c r="AD458" s="1"/>
  <c r="F458"/>
  <c r="AC458" s="1"/>
  <c r="E458"/>
  <c r="AB458" s="1"/>
  <c r="D458"/>
  <c r="AA458" s="1"/>
  <c r="C458"/>
  <c r="Y457"/>
  <c r="G457"/>
  <c r="AD457" s="1"/>
  <c r="F457"/>
  <c r="AC457" s="1"/>
  <c r="E457"/>
  <c r="AB457" s="1"/>
  <c r="D457"/>
  <c r="AA457" s="1"/>
  <c r="C457"/>
  <c r="Y456"/>
  <c r="G456"/>
  <c r="AD456" s="1"/>
  <c r="F456"/>
  <c r="AC456" s="1"/>
  <c r="E456"/>
  <c r="AB456" s="1"/>
  <c r="D456"/>
  <c r="AA456" s="1"/>
  <c r="C456"/>
  <c r="Z456" s="1"/>
  <c r="Y455"/>
  <c r="G455"/>
  <c r="AD455" s="1"/>
  <c r="F455"/>
  <c r="AC455" s="1"/>
  <c r="E455"/>
  <c r="AB455" s="1"/>
  <c r="D455"/>
  <c r="AA455" s="1"/>
  <c r="C455"/>
  <c r="Y454"/>
  <c r="G454"/>
  <c r="AD454" s="1"/>
  <c r="F454"/>
  <c r="AC454" s="1"/>
  <c r="E454"/>
  <c r="AB454" s="1"/>
  <c r="D454"/>
  <c r="AA454" s="1"/>
  <c r="C454"/>
  <c r="Y453"/>
  <c r="G453"/>
  <c r="AD453" s="1"/>
  <c r="F453"/>
  <c r="AC453" s="1"/>
  <c r="E453"/>
  <c r="AB453" s="1"/>
  <c r="D453"/>
  <c r="AA453" s="1"/>
  <c r="C453"/>
  <c r="Y452"/>
  <c r="G452"/>
  <c r="AD452" s="1"/>
  <c r="F452"/>
  <c r="AC452" s="1"/>
  <c r="E452"/>
  <c r="AB452" s="1"/>
  <c r="D452"/>
  <c r="AA452" s="1"/>
  <c r="C452"/>
  <c r="Y451"/>
  <c r="G451"/>
  <c r="AD451" s="1"/>
  <c r="F451"/>
  <c r="AC451" s="1"/>
  <c r="E451"/>
  <c r="AB451" s="1"/>
  <c r="D451"/>
  <c r="AA451" s="1"/>
  <c r="C451"/>
  <c r="Z451" s="1"/>
  <c r="Y450"/>
  <c r="G450"/>
  <c r="AD450" s="1"/>
  <c r="F450"/>
  <c r="AC450" s="1"/>
  <c r="E450"/>
  <c r="AB450" s="1"/>
  <c r="D450"/>
  <c r="AA450" s="1"/>
  <c r="C450"/>
  <c r="Y449"/>
  <c r="G449"/>
  <c r="AD449" s="1"/>
  <c r="F449"/>
  <c r="AC449" s="1"/>
  <c r="E449"/>
  <c r="AB449" s="1"/>
  <c r="D449"/>
  <c r="AA449" s="1"/>
  <c r="C449"/>
  <c r="Y448"/>
  <c r="G448"/>
  <c r="AD448" s="1"/>
  <c r="F448"/>
  <c r="AC448" s="1"/>
  <c r="E448"/>
  <c r="AB448" s="1"/>
  <c r="D448"/>
  <c r="AA448" s="1"/>
  <c r="C448"/>
  <c r="Z448" s="1"/>
  <c r="Y447"/>
  <c r="G447"/>
  <c r="AD447" s="1"/>
  <c r="F447"/>
  <c r="AC447" s="1"/>
  <c r="E447"/>
  <c r="AB447" s="1"/>
  <c r="D447"/>
  <c r="AA447" s="1"/>
  <c r="C447"/>
  <c r="Z447" s="1"/>
  <c r="Y446"/>
  <c r="G446"/>
  <c r="AD446" s="1"/>
  <c r="F446"/>
  <c r="AC446" s="1"/>
  <c r="E446"/>
  <c r="AB446" s="1"/>
  <c r="D446"/>
  <c r="AA446" s="1"/>
  <c r="C446"/>
  <c r="Y445"/>
  <c r="G445"/>
  <c r="AD445" s="1"/>
  <c r="F445"/>
  <c r="AC445" s="1"/>
  <c r="E445"/>
  <c r="AB445" s="1"/>
  <c r="D445"/>
  <c r="AA445" s="1"/>
  <c r="C445"/>
  <c r="Y444"/>
  <c r="G444"/>
  <c r="AD444" s="1"/>
  <c r="F444"/>
  <c r="AC444" s="1"/>
  <c r="E444"/>
  <c r="AB444" s="1"/>
  <c r="D444"/>
  <c r="AA444" s="1"/>
  <c r="C444"/>
  <c r="Z444" s="1"/>
  <c r="Y443"/>
  <c r="G443"/>
  <c r="AD443" s="1"/>
  <c r="F443"/>
  <c r="AC443" s="1"/>
  <c r="E443"/>
  <c r="AB443" s="1"/>
  <c r="D443"/>
  <c r="AA443" s="1"/>
  <c r="C443"/>
  <c r="Y442"/>
  <c r="G442"/>
  <c r="AD442" s="1"/>
  <c r="F442"/>
  <c r="AC442" s="1"/>
  <c r="E442"/>
  <c r="AB442" s="1"/>
  <c r="D442"/>
  <c r="AA442" s="1"/>
  <c r="C442"/>
  <c r="Y441"/>
  <c r="G441"/>
  <c r="AD441" s="1"/>
  <c r="F441"/>
  <c r="AC441" s="1"/>
  <c r="E441"/>
  <c r="AB441" s="1"/>
  <c r="D441"/>
  <c r="AA441" s="1"/>
  <c r="C441"/>
  <c r="Y440"/>
  <c r="G440"/>
  <c r="AD440" s="1"/>
  <c r="F440"/>
  <c r="AC440" s="1"/>
  <c r="E440"/>
  <c r="AB440" s="1"/>
  <c r="D440"/>
  <c r="AA440" s="1"/>
  <c r="C440"/>
  <c r="Z440" s="1"/>
  <c r="Y439"/>
  <c r="G439"/>
  <c r="AD439" s="1"/>
  <c r="F439"/>
  <c r="AC439" s="1"/>
  <c r="E439"/>
  <c r="AB439" s="1"/>
  <c r="D439"/>
  <c r="AA439" s="1"/>
  <c r="C439"/>
  <c r="Y438"/>
  <c r="G438"/>
  <c r="AD438" s="1"/>
  <c r="F438"/>
  <c r="AC438" s="1"/>
  <c r="E438"/>
  <c r="AB438" s="1"/>
  <c r="D438"/>
  <c r="AA438" s="1"/>
  <c r="C438"/>
  <c r="Y437"/>
  <c r="G437"/>
  <c r="AD437" s="1"/>
  <c r="F437"/>
  <c r="AC437" s="1"/>
  <c r="E437"/>
  <c r="AB437" s="1"/>
  <c r="D437"/>
  <c r="AA437" s="1"/>
  <c r="C437"/>
  <c r="Y436"/>
  <c r="G436"/>
  <c r="AD436" s="1"/>
  <c r="F436"/>
  <c r="AC436" s="1"/>
  <c r="E436"/>
  <c r="AB436" s="1"/>
  <c r="D436"/>
  <c r="AA436" s="1"/>
  <c r="C436"/>
  <c r="Z435"/>
  <c r="Y435"/>
  <c r="G435"/>
  <c r="AD435" s="1"/>
  <c r="F435"/>
  <c r="AC435" s="1"/>
  <c r="E435"/>
  <c r="AB435" s="1"/>
  <c r="D435"/>
  <c r="AA435" s="1"/>
  <c r="C435"/>
  <c r="Y434"/>
  <c r="G434"/>
  <c r="AD434" s="1"/>
  <c r="F434"/>
  <c r="AC434" s="1"/>
  <c r="E434"/>
  <c r="AB434" s="1"/>
  <c r="D434"/>
  <c r="AA434" s="1"/>
  <c r="C434"/>
  <c r="AA433"/>
  <c r="Y433"/>
  <c r="G433"/>
  <c r="AD433" s="1"/>
  <c r="F433"/>
  <c r="AC433" s="1"/>
  <c r="E433"/>
  <c r="AB433" s="1"/>
  <c r="D433"/>
  <c r="C433"/>
  <c r="Y432"/>
  <c r="G432"/>
  <c r="AD432" s="1"/>
  <c r="F432"/>
  <c r="AC432" s="1"/>
  <c r="E432"/>
  <c r="AB432" s="1"/>
  <c r="D432"/>
  <c r="AA432" s="1"/>
  <c r="C432"/>
  <c r="Z432" s="1"/>
  <c r="Y431"/>
  <c r="G431"/>
  <c r="AD431" s="1"/>
  <c r="F431"/>
  <c r="AC431" s="1"/>
  <c r="E431"/>
  <c r="AB431" s="1"/>
  <c r="D431"/>
  <c r="AA431" s="1"/>
  <c r="C431"/>
  <c r="Z431" s="1"/>
  <c r="Y430"/>
  <c r="G430"/>
  <c r="AD430" s="1"/>
  <c r="F430"/>
  <c r="AC430" s="1"/>
  <c r="E430"/>
  <c r="AB430" s="1"/>
  <c r="D430"/>
  <c r="AA430" s="1"/>
  <c r="C430"/>
  <c r="Y429"/>
  <c r="G429"/>
  <c r="AD429" s="1"/>
  <c r="F429"/>
  <c r="AC429" s="1"/>
  <c r="E429"/>
  <c r="AB429" s="1"/>
  <c r="D429"/>
  <c r="AA429" s="1"/>
  <c r="C429"/>
  <c r="Y428"/>
  <c r="G428"/>
  <c r="AD428" s="1"/>
  <c r="F428"/>
  <c r="AC428" s="1"/>
  <c r="E428"/>
  <c r="AB428" s="1"/>
  <c r="D428"/>
  <c r="AA428" s="1"/>
  <c r="C428"/>
  <c r="Z428" s="1"/>
  <c r="Y427"/>
  <c r="G427"/>
  <c r="AD427" s="1"/>
  <c r="F427"/>
  <c r="AC427" s="1"/>
  <c r="E427"/>
  <c r="AB427" s="1"/>
  <c r="D427"/>
  <c r="AA427" s="1"/>
  <c r="C427"/>
  <c r="Y426"/>
  <c r="G426"/>
  <c r="AD426" s="1"/>
  <c r="F426"/>
  <c r="AC426" s="1"/>
  <c r="E426"/>
  <c r="AB426" s="1"/>
  <c r="D426"/>
  <c r="AA426" s="1"/>
  <c r="C426"/>
  <c r="Y425"/>
  <c r="G425"/>
  <c r="AD425" s="1"/>
  <c r="F425"/>
  <c r="AC425" s="1"/>
  <c r="E425"/>
  <c r="AB425" s="1"/>
  <c r="D425"/>
  <c r="AA425" s="1"/>
  <c r="C425"/>
  <c r="AA424"/>
  <c r="Y424"/>
  <c r="G424"/>
  <c r="AD424" s="1"/>
  <c r="F424"/>
  <c r="AC424" s="1"/>
  <c r="E424"/>
  <c r="AB424" s="1"/>
  <c r="D424"/>
  <c r="C424"/>
  <c r="Z424" s="1"/>
  <c r="Y423"/>
  <c r="G423"/>
  <c r="AD423" s="1"/>
  <c r="F423"/>
  <c r="AC423" s="1"/>
  <c r="E423"/>
  <c r="AB423" s="1"/>
  <c r="D423"/>
  <c r="AA423" s="1"/>
  <c r="C423"/>
  <c r="Y422"/>
  <c r="G422"/>
  <c r="AD422" s="1"/>
  <c r="F422"/>
  <c r="AC422" s="1"/>
  <c r="E422"/>
  <c r="AB422" s="1"/>
  <c r="D422"/>
  <c r="AA422" s="1"/>
  <c r="C422"/>
  <c r="Y421"/>
  <c r="G421"/>
  <c r="AD421" s="1"/>
  <c r="F421"/>
  <c r="AC421" s="1"/>
  <c r="E421"/>
  <c r="AB421" s="1"/>
  <c r="D421"/>
  <c r="AA421" s="1"/>
  <c r="C421"/>
  <c r="AD420"/>
  <c r="Z420"/>
  <c r="Y420"/>
  <c r="G420"/>
  <c r="F420"/>
  <c r="AC420" s="1"/>
  <c r="E420"/>
  <c r="AB420" s="1"/>
  <c r="D420"/>
  <c r="AA420" s="1"/>
  <c r="C420"/>
  <c r="Y419"/>
  <c r="G419"/>
  <c r="AD419" s="1"/>
  <c r="F419"/>
  <c r="AC419" s="1"/>
  <c r="E419"/>
  <c r="AB419" s="1"/>
  <c r="D419"/>
  <c r="AA419" s="1"/>
  <c r="C419"/>
  <c r="Z419" s="1"/>
  <c r="Y418"/>
  <c r="G418"/>
  <c r="AD418" s="1"/>
  <c r="F418"/>
  <c r="AC418" s="1"/>
  <c r="E418"/>
  <c r="AB418" s="1"/>
  <c r="D418"/>
  <c r="AA418" s="1"/>
  <c r="C418"/>
  <c r="Y417"/>
  <c r="G417"/>
  <c r="AD417" s="1"/>
  <c r="F417"/>
  <c r="AC417" s="1"/>
  <c r="E417"/>
  <c r="AB417" s="1"/>
  <c r="D417"/>
  <c r="AA417" s="1"/>
  <c r="C417"/>
  <c r="Y416"/>
  <c r="G416"/>
  <c r="AD416" s="1"/>
  <c r="F416"/>
  <c r="AC416" s="1"/>
  <c r="E416"/>
  <c r="AB416" s="1"/>
  <c r="D416"/>
  <c r="AA416" s="1"/>
  <c r="C416"/>
  <c r="Z416" s="1"/>
  <c r="Y415"/>
  <c r="G415"/>
  <c r="AD415" s="1"/>
  <c r="F415"/>
  <c r="AC415" s="1"/>
  <c r="E415"/>
  <c r="AB415" s="1"/>
  <c r="D415"/>
  <c r="AA415" s="1"/>
  <c r="C415"/>
  <c r="Z415" s="1"/>
  <c r="Y414"/>
  <c r="G414"/>
  <c r="AD414" s="1"/>
  <c r="F414"/>
  <c r="AC414" s="1"/>
  <c r="E414"/>
  <c r="AB414" s="1"/>
  <c r="D414"/>
  <c r="AA414" s="1"/>
  <c r="C414"/>
  <c r="Y413"/>
  <c r="G413"/>
  <c r="AD413" s="1"/>
  <c r="F413"/>
  <c r="AC413" s="1"/>
  <c r="E413"/>
  <c r="AB413" s="1"/>
  <c r="D413"/>
  <c r="AA413" s="1"/>
  <c r="C413"/>
  <c r="Y412"/>
  <c r="G412"/>
  <c r="AD412" s="1"/>
  <c r="F412"/>
  <c r="AC412" s="1"/>
  <c r="E412"/>
  <c r="AB412" s="1"/>
  <c r="D412"/>
  <c r="AA412" s="1"/>
  <c r="C412"/>
  <c r="Z412" s="1"/>
  <c r="Y411"/>
  <c r="G411"/>
  <c r="AD411" s="1"/>
  <c r="F411"/>
  <c r="AC411" s="1"/>
  <c r="E411"/>
  <c r="AB411" s="1"/>
  <c r="D411"/>
  <c r="AA411" s="1"/>
  <c r="C411"/>
  <c r="Z411" s="1"/>
  <c r="Y410"/>
  <c r="G410"/>
  <c r="AD410" s="1"/>
  <c r="F410"/>
  <c r="AC410" s="1"/>
  <c r="E410"/>
  <c r="AB410" s="1"/>
  <c r="D410"/>
  <c r="AA410" s="1"/>
  <c r="C410"/>
  <c r="Y409"/>
  <c r="G409"/>
  <c r="AD409" s="1"/>
  <c r="F409"/>
  <c r="AC409" s="1"/>
  <c r="E409"/>
  <c r="AB409" s="1"/>
  <c r="D409"/>
  <c r="AA409" s="1"/>
  <c r="C409"/>
  <c r="Y408"/>
  <c r="G408"/>
  <c r="AD408" s="1"/>
  <c r="F408"/>
  <c r="AC408" s="1"/>
  <c r="E408"/>
  <c r="AB408" s="1"/>
  <c r="D408"/>
  <c r="AA408" s="1"/>
  <c r="C408"/>
  <c r="Z408" s="1"/>
  <c r="Y407"/>
  <c r="G407"/>
  <c r="AD407" s="1"/>
  <c r="F407"/>
  <c r="AC407" s="1"/>
  <c r="E407"/>
  <c r="AB407" s="1"/>
  <c r="D407"/>
  <c r="AA407" s="1"/>
  <c r="C407"/>
  <c r="Y406"/>
  <c r="G406"/>
  <c r="AD406" s="1"/>
  <c r="F406"/>
  <c r="AC406" s="1"/>
  <c r="E406"/>
  <c r="AB406" s="1"/>
  <c r="D406"/>
  <c r="AA406" s="1"/>
  <c r="C406"/>
  <c r="Y405"/>
  <c r="G405"/>
  <c r="AD405" s="1"/>
  <c r="F405"/>
  <c r="AC405" s="1"/>
  <c r="E405"/>
  <c r="AB405" s="1"/>
  <c r="D405"/>
  <c r="AA405" s="1"/>
  <c r="C405"/>
  <c r="Y404"/>
  <c r="G404"/>
  <c r="AD404" s="1"/>
  <c r="F404"/>
  <c r="AC404" s="1"/>
  <c r="E404"/>
  <c r="AB404" s="1"/>
  <c r="D404"/>
  <c r="AA404" s="1"/>
  <c r="C404"/>
  <c r="Z404" s="1"/>
  <c r="Y403"/>
  <c r="G403"/>
  <c r="AD403" s="1"/>
  <c r="F403"/>
  <c r="AC403" s="1"/>
  <c r="E403"/>
  <c r="AB403" s="1"/>
  <c r="D403"/>
  <c r="AA403" s="1"/>
  <c r="C403"/>
  <c r="Z403" s="1"/>
  <c r="Y402"/>
  <c r="G402"/>
  <c r="AD402" s="1"/>
  <c r="F402"/>
  <c r="AC402" s="1"/>
  <c r="E402"/>
  <c r="AB402" s="1"/>
  <c r="D402"/>
  <c r="AA402" s="1"/>
  <c r="C402"/>
  <c r="Y401"/>
  <c r="G401"/>
  <c r="AD401" s="1"/>
  <c r="F401"/>
  <c r="AC401" s="1"/>
  <c r="E401"/>
  <c r="AB401" s="1"/>
  <c r="D401"/>
  <c r="AA401" s="1"/>
  <c r="C401"/>
  <c r="Y400"/>
  <c r="G400"/>
  <c r="AD400" s="1"/>
  <c r="F400"/>
  <c r="AC400" s="1"/>
  <c r="E400"/>
  <c r="AB400" s="1"/>
  <c r="D400"/>
  <c r="AA400" s="1"/>
  <c r="C400"/>
  <c r="Z400" s="1"/>
  <c r="AA399"/>
  <c r="Y399"/>
  <c r="G399"/>
  <c r="AD399" s="1"/>
  <c r="F399"/>
  <c r="AC399" s="1"/>
  <c r="E399"/>
  <c r="AB399" s="1"/>
  <c r="D399"/>
  <c r="C399"/>
  <c r="Z399" s="1"/>
  <c r="Y398"/>
  <c r="G398"/>
  <c r="AD398" s="1"/>
  <c r="F398"/>
  <c r="AC398" s="1"/>
  <c r="E398"/>
  <c r="AB398" s="1"/>
  <c r="D398"/>
  <c r="AA398" s="1"/>
  <c r="C398"/>
  <c r="Y397"/>
  <c r="G397"/>
  <c r="AD397" s="1"/>
  <c r="F397"/>
  <c r="AC397" s="1"/>
  <c r="E397"/>
  <c r="AB397" s="1"/>
  <c r="D397"/>
  <c r="AA397" s="1"/>
  <c r="C397"/>
  <c r="Y396"/>
  <c r="G396"/>
  <c r="AD396" s="1"/>
  <c r="F396"/>
  <c r="AC396" s="1"/>
  <c r="E396"/>
  <c r="AB396" s="1"/>
  <c r="D396"/>
  <c r="AA396" s="1"/>
  <c r="C396"/>
  <c r="Z396" s="1"/>
  <c r="Z395"/>
  <c r="Y395"/>
  <c r="G395"/>
  <c r="AD395" s="1"/>
  <c r="F395"/>
  <c r="AC395" s="1"/>
  <c r="E395"/>
  <c r="AB395" s="1"/>
  <c r="D395"/>
  <c r="AA395" s="1"/>
  <c r="C395"/>
  <c r="Y394"/>
  <c r="G394"/>
  <c r="AD394" s="1"/>
  <c r="F394"/>
  <c r="AC394" s="1"/>
  <c r="E394"/>
  <c r="AB394" s="1"/>
  <c r="D394"/>
  <c r="AA394" s="1"/>
  <c r="C394"/>
  <c r="Y393"/>
  <c r="G393"/>
  <c r="AD393" s="1"/>
  <c r="F393"/>
  <c r="AC393" s="1"/>
  <c r="E393"/>
  <c r="AB393" s="1"/>
  <c r="D393"/>
  <c r="AA393" s="1"/>
  <c r="C393"/>
  <c r="Y392"/>
  <c r="G392"/>
  <c r="AD392" s="1"/>
  <c r="F392"/>
  <c r="AC392" s="1"/>
  <c r="E392"/>
  <c r="AB392" s="1"/>
  <c r="D392"/>
  <c r="AA392" s="1"/>
  <c r="C392"/>
  <c r="Z392" s="1"/>
  <c r="Y391"/>
  <c r="G391"/>
  <c r="AD391" s="1"/>
  <c r="F391"/>
  <c r="AC391" s="1"/>
  <c r="E391"/>
  <c r="AB391" s="1"/>
  <c r="D391"/>
  <c r="AA391" s="1"/>
  <c r="C391"/>
  <c r="Y390"/>
  <c r="G390"/>
  <c r="AD390" s="1"/>
  <c r="F390"/>
  <c r="AC390" s="1"/>
  <c r="E390"/>
  <c r="AB390" s="1"/>
  <c r="D390"/>
  <c r="AA390" s="1"/>
  <c r="C390"/>
  <c r="Y389"/>
  <c r="G389"/>
  <c r="AD389" s="1"/>
  <c r="F389"/>
  <c r="AC389" s="1"/>
  <c r="E389"/>
  <c r="AB389" s="1"/>
  <c r="D389"/>
  <c r="AA389" s="1"/>
  <c r="C389"/>
  <c r="Y388"/>
  <c r="G388"/>
  <c r="AD388" s="1"/>
  <c r="F388"/>
  <c r="AC388" s="1"/>
  <c r="E388"/>
  <c r="AB388" s="1"/>
  <c r="D388"/>
  <c r="AA388" s="1"/>
  <c r="C388"/>
  <c r="Z388" s="1"/>
  <c r="Y387"/>
  <c r="G387"/>
  <c r="AD387" s="1"/>
  <c r="F387"/>
  <c r="AC387" s="1"/>
  <c r="E387"/>
  <c r="AB387" s="1"/>
  <c r="D387"/>
  <c r="AA387" s="1"/>
  <c r="C387"/>
  <c r="Z387" s="1"/>
  <c r="Y386"/>
  <c r="G386"/>
  <c r="AD386" s="1"/>
  <c r="F386"/>
  <c r="AC386" s="1"/>
  <c r="E386"/>
  <c r="AB386" s="1"/>
  <c r="D386"/>
  <c r="AA386" s="1"/>
  <c r="C386"/>
  <c r="Y385"/>
  <c r="G385"/>
  <c r="AD385" s="1"/>
  <c r="F385"/>
  <c r="AC385" s="1"/>
  <c r="E385"/>
  <c r="AB385" s="1"/>
  <c r="D385"/>
  <c r="AA385" s="1"/>
  <c r="C385"/>
  <c r="Y384"/>
  <c r="G384"/>
  <c r="AD384" s="1"/>
  <c r="F384"/>
  <c r="AC384" s="1"/>
  <c r="E384"/>
  <c r="AB384" s="1"/>
  <c r="D384"/>
  <c r="AA384" s="1"/>
  <c r="C384"/>
  <c r="Z384" s="1"/>
  <c r="Y383"/>
  <c r="G383"/>
  <c r="AD383" s="1"/>
  <c r="F383"/>
  <c r="AC383" s="1"/>
  <c r="E383"/>
  <c r="AB383" s="1"/>
  <c r="D383"/>
  <c r="AA383" s="1"/>
  <c r="C383"/>
  <c r="Z383" s="1"/>
  <c r="Y382"/>
  <c r="G382"/>
  <c r="AD382" s="1"/>
  <c r="F382"/>
  <c r="AC382" s="1"/>
  <c r="E382"/>
  <c r="AB382" s="1"/>
  <c r="D382"/>
  <c r="AA382" s="1"/>
  <c r="C382"/>
  <c r="Y381"/>
  <c r="G381"/>
  <c r="AD381" s="1"/>
  <c r="F381"/>
  <c r="AC381" s="1"/>
  <c r="E381"/>
  <c r="AB381" s="1"/>
  <c r="D381"/>
  <c r="AA381" s="1"/>
  <c r="C381"/>
  <c r="Y380"/>
  <c r="G380"/>
  <c r="AD380" s="1"/>
  <c r="F380"/>
  <c r="AC380" s="1"/>
  <c r="E380"/>
  <c r="AB380" s="1"/>
  <c r="D380"/>
  <c r="AA380" s="1"/>
  <c r="C380"/>
  <c r="Z380" s="1"/>
  <c r="Y379"/>
  <c r="G379"/>
  <c r="AD379" s="1"/>
  <c r="F379"/>
  <c r="AC379" s="1"/>
  <c r="E379"/>
  <c r="AB379" s="1"/>
  <c r="D379"/>
  <c r="AA379" s="1"/>
  <c r="C379"/>
  <c r="Z379" s="1"/>
  <c r="Y378"/>
  <c r="G378"/>
  <c r="AD378" s="1"/>
  <c r="F378"/>
  <c r="AC378" s="1"/>
  <c r="E378"/>
  <c r="AB378" s="1"/>
  <c r="D378"/>
  <c r="AA378" s="1"/>
  <c r="C378"/>
  <c r="Y377"/>
  <c r="G377"/>
  <c r="AD377" s="1"/>
  <c r="F377"/>
  <c r="AC377" s="1"/>
  <c r="E377"/>
  <c r="AB377" s="1"/>
  <c r="D377"/>
  <c r="AA377" s="1"/>
  <c r="C377"/>
  <c r="Y376"/>
  <c r="G376"/>
  <c r="AD376" s="1"/>
  <c r="F376"/>
  <c r="AC376" s="1"/>
  <c r="E376"/>
  <c r="AB376" s="1"/>
  <c r="D376"/>
  <c r="AA376" s="1"/>
  <c r="C376"/>
  <c r="Z376" s="1"/>
  <c r="Y375"/>
  <c r="G375"/>
  <c r="AD375" s="1"/>
  <c r="F375"/>
  <c r="AC375" s="1"/>
  <c r="E375"/>
  <c r="AB375" s="1"/>
  <c r="D375"/>
  <c r="AA375" s="1"/>
  <c r="C375"/>
  <c r="Y374"/>
  <c r="G374"/>
  <c r="AD374" s="1"/>
  <c r="F374"/>
  <c r="AC374" s="1"/>
  <c r="E374"/>
  <c r="AB374" s="1"/>
  <c r="D374"/>
  <c r="AA374" s="1"/>
  <c r="C374"/>
  <c r="Y373"/>
  <c r="G373"/>
  <c r="AD373" s="1"/>
  <c r="F373"/>
  <c r="AC373" s="1"/>
  <c r="E373"/>
  <c r="AB373" s="1"/>
  <c r="D373"/>
  <c r="AA373" s="1"/>
  <c r="C373"/>
  <c r="Y372"/>
  <c r="G372"/>
  <c r="AD372" s="1"/>
  <c r="F372"/>
  <c r="AC372" s="1"/>
  <c r="E372"/>
  <c r="AB372" s="1"/>
  <c r="D372"/>
  <c r="AA372" s="1"/>
  <c r="C372"/>
  <c r="Z372" s="1"/>
  <c r="AA371"/>
  <c r="Y371"/>
  <c r="G371"/>
  <c r="AD371" s="1"/>
  <c r="F371"/>
  <c r="AC371" s="1"/>
  <c r="E371"/>
  <c r="AB371" s="1"/>
  <c r="D371"/>
  <c r="C371"/>
  <c r="Z371" s="1"/>
  <c r="Y370"/>
  <c r="G370"/>
  <c r="AD370" s="1"/>
  <c r="F370"/>
  <c r="AC370" s="1"/>
  <c r="E370"/>
  <c r="AB370" s="1"/>
  <c r="D370"/>
  <c r="AA370" s="1"/>
  <c r="C370"/>
  <c r="Y369"/>
  <c r="G369"/>
  <c r="AD369" s="1"/>
  <c r="F369"/>
  <c r="AC369" s="1"/>
  <c r="E369"/>
  <c r="AB369" s="1"/>
  <c r="D369"/>
  <c r="AA369" s="1"/>
  <c r="C369"/>
  <c r="Y368"/>
  <c r="G368"/>
  <c r="AD368" s="1"/>
  <c r="F368"/>
  <c r="AC368" s="1"/>
  <c r="E368"/>
  <c r="AB368" s="1"/>
  <c r="D368"/>
  <c r="AA368" s="1"/>
  <c r="C368"/>
  <c r="Z368" s="1"/>
  <c r="Y367"/>
  <c r="G367"/>
  <c r="AD367" s="1"/>
  <c r="F367"/>
  <c r="AC367" s="1"/>
  <c r="E367"/>
  <c r="AB367" s="1"/>
  <c r="D367"/>
  <c r="AA367" s="1"/>
  <c r="C367"/>
  <c r="Z367" s="1"/>
  <c r="Y366"/>
  <c r="G366"/>
  <c r="AD366" s="1"/>
  <c r="F366"/>
  <c r="AC366" s="1"/>
  <c r="E366"/>
  <c r="AB366" s="1"/>
  <c r="D366"/>
  <c r="AA366" s="1"/>
  <c r="C366"/>
  <c r="Y365"/>
  <c r="G365"/>
  <c r="AD365" s="1"/>
  <c r="F365"/>
  <c r="AC365" s="1"/>
  <c r="E365"/>
  <c r="AB365" s="1"/>
  <c r="D365"/>
  <c r="AA365" s="1"/>
  <c r="C365"/>
  <c r="Y364"/>
  <c r="G364"/>
  <c r="AD364" s="1"/>
  <c r="F364"/>
  <c r="AC364" s="1"/>
  <c r="E364"/>
  <c r="AB364" s="1"/>
  <c r="D364"/>
  <c r="AA364" s="1"/>
  <c r="C364"/>
  <c r="Z364" s="1"/>
  <c r="Y363"/>
  <c r="G363"/>
  <c r="AD363" s="1"/>
  <c r="F363"/>
  <c r="AC363" s="1"/>
  <c r="E363"/>
  <c r="AB363" s="1"/>
  <c r="D363"/>
  <c r="AA363" s="1"/>
  <c r="C363"/>
  <c r="Z363" s="1"/>
  <c r="Y362"/>
  <c r="G362"/>
  <c r="AD362" s="1"/>
  <c r="F362"/>
  <c r="AC362" s="1"/>
  <c r="E362"/>
  <c r="AB362" s="1"/>
  <c r="D362"/>
  <c r="AA362" s="1"/>
  <c r="C362"/>
  <c r="AA361"/>
  <c r="Y361"/>
  <c r="G361"/>
  <c r="AD361" s="1"/>
  <c r="F361"/>
  <c r="AC361" s="1"/>
  <c r="E361"/>
  <c r="AB361" s="1"/>
  <c r="D361"/>
  <c r="C361"/>
  <c r="Y360"/>
  <c r="G360"/>
  <c r="AD360" s="1"/>
  <c r="F360"/>
  <c r="AC360" s="1"/>
  <c r="E360"/>
  <c r="AB360" s="1"/>
  <c r="D360"/>
  <c r="AA360" s="1"/>
  <c r="C360"/>
  <c r="Z360" s="1"/>
  <c r="Y359"/>
  <c r="G359"/>
  <c r="AD359" s="1"/>
  <c r="F359"/>
  <c r="AC359" s="1"/>
  <c r="E359"/>
  <c r="AB359" s="1"/>
  <c r="D359"/>
  <c r="AA359" s="1"/>
  <c r="C359"/>
  <c r="Y358"/>
  <c r="G358"/>
  <c r="AD358" s="1"/>
  <c r="F358"/>
  <c r="AC358" s="1"/>
  <c r="E358"/>
  <c r="AB358" s="1"/>
  <c r="D358"/>
  <c r="AA358" s="1"/>
  <c r="C358"/>
  <c r="Y357"/>
  <c r="G357"/>
  <c r="AD357" s="1"/>
  <c r="F357"/>
  <c r="AC357" s="1"/>
  <c r="E357"/>
  <c r="AB357" s="1"/>
  <c r="D357"/>
  <c r="AA357" s="1"/>
  <c r="C357"/>
  <c r="Y356"/>
  <c r="G356"/>
  <c r="AD356" s="1"/>
  <c r="F356"/>
  <c r="AC356" s="1"/>
  <c r="E356"/>
  <c r="AB356" s="1"/>
  <c r="D356"/>
  <c r="AA356" s="1"/>
  <c r="C356"/>
  <c r="Z356" s="1"/>
  <c r="Y355"/>
  <c r="G355"/>
  <c r="AD355" s="1"/>
  <c r="F355"/>
  <c r="AC355" s="1"/>
  <c r="E355"/>
  <c r="AB355" s="1"/>
  <c r="D355"/>
  <c r="AA355" s="1"/>
  <c r="C355"/>
  <c r="Y354"/>
  <c r="G354"/>
  <c r="AD354" s="1"/>
  <c r="F354"/>
  <c r="AC354" s="1"/>
  <c r="E354"/>
  <c r="AB354" s="1"/>
  <c r="D354"/>
  <c r="AA354" s="1"/>
  <c r="C354"/>
  <c r="Y353"/>
  <c r="G353"/>
  <c r="AD353" s="1"/>
  <c r="F353"/>
  <c r="AC353" s="1"/>
  <c r="E353"/>
  <c r="AB353" s="1"/>
  <c r="D353"/>
  <c r="AA353" s="1"/>
  <c r="C353"/>
  <c r="Y352"/>
  <c r="G352"/>
  <c r="AD352" s="1"/>
  <c r="F352"/>
  <c r="AC352" s="1"/>
  <c r="E352"/>
  <c r="AB352" s="1"/>
  <c r="D352"/>
  <c r="AA352" s="1"/>
  <c r="C352"/>
  <c r="Z352" s="1"/>
  <c r="Y351"/>
  <c r="G351"/>
  <c r="AD351" s="1"/>
  <c r="F351"/>
  <c r="AC351" s="1"/>
  <c r="E351"/>
  <c r="AB351" s="1"/>
  <c r="D351"/>
  <c r="AA351" s="1"/>
  <c r="C351"/>
  <c r="Z351" s="1"/>
  <c r="Y350"/>
  <c r="G350"/>
  <c r="AD350" s="1"/>
  <c r="F350"/>
  <c r="AC350" s="1"/>
  <c r="E350"/>
  <c r="AB350" s="1"/>
  <c r="D350"/>
  <c r="AA350" s="1"/>
  <c r="C350"/>
  <c r="Z350" s="1"/>
  <c r="Y349"/>
  <c r="G349"/>
  <c r="AD349" s="1"/>
  <c r="F349"/>
  <c r="AC349" s="1"/>
  <c r="E349"/>
  <c r="AB349" s="1"/>
  <c r="D349"/>
  <c r="AA349" s="1"/>
  <c r="C349"/>
  <c r="Y348"/>
  <c r="G348"/>
  <c r="AD348" s="1"/>
  <c r="F348"/>
  <c r="AC348" s="1"/>
  <c r="E348"/>
  <c r="AB348" s="1"/>
  <c r="D348"/>
  <c r="AA348" s="1"/>
  <c r="C348"/>
  <c r="Z348" s="1"/>
  <c r="Y347"/>
  <c r="G347"/>
  <c r="AD347" s="1"/>
  <c r="F347"/>
  <c r="AC347" s="1"/>
  <c r="E347"/>
  <c r="AB347" s="1"/>
  <c r="D347"/>
  <c r="AA347" s="1"/>
  <c r="C347"/>
  <c r="Z347" s="1"/>
  <c r="Y346"/>
  <c r="G346"/>
  <c r="AD346" s="1"/>
  <c r="F346"/>
  <c r="AC346" s="1"/>
  <c r="E346"/>
  <c r="AB346" s="1"/>
  <c r="D346"/>
  <c r="AA346" s="1"/>
  <c r="C346"/>
  <c r="Y345"/>
  <c r="G345"/>
  <c r="AD345" s="1"/>
  <c r="F345"/>
  <c r="AC345" s="1"/>
  <c r="E345"/>
  <c r="AB345" s="1"/>
  <c r="D345"/>
  <c r="AA345" s="1"/>
  <c r="C345"/>
  <c r="Y344"/>
  <c r="G344"/>
  <c r="AD344" s="1"/>
  <c r="F344"/>
  <c r="AC344" s="1"/>
  <c r="E344"/>
  <c r="AB344" s="1"/>
  <c r="D344"/>
  <c r="AA344" s="1"/>
  <c r="C344"/>
  <c r="Z344" s="1"/>
  <c r="Y343"/>
  <c r="G343"/>
  <c r="AD343" s="1"/>
  <c r="F343"/>
  <c r="AC343" s="1"/>
  <c r="E343"/>
  <c r="AB343" s="1"/>
  <c r="D343"/>
  <c r="AA343" s="1"/>
  <c r="C343"/>
  <c r="Z343" s="1"/>
  <c r="Y342"/>
  <c r="G342"/>
  <c r="AD342" s="1"/>
  <c r="F342"/>
  <c r="AC342" s="1"/>
  <c r="E342"/>
  <c r="AB342" s="1"/>
  <c r="D342"/>
  <c r="AA342" s="1"/>
  <c r="C342"/>
  <c r="Y341"/>
  <c r="G341"/>
  <c r="AD341" s="1"/>
  <c r="F341"/>
  <c r="AC341" s="1"/>
  <c r="E341"/>
  <c r="AB341" s="1"/>
  <c r="D341"/>
  <c r="AA341" s="1"/>
  <c r="C341"/>
  <c r="Y340"/>
  <c r="G340"/>
  <c r="AD340" s="1"/>
  <c r="F340"/>
  <c r="AC340" s="1"/>
  <c r="E340"/>
  <c r="AB340" s="1"/>
  <c r="D340"/>
  <c r="AA340" s="1"/>
  <c r="C340"/>
  <c r="Z340" s="1"/>
  <c r="Y339"/>
  <c r="G339"/>
  <c r="AD339" s="1"/>
  <c r="F339"/>
  <c r="AC339" s="1"/>
  <c r="E339"/>
  <c r="AB339" s="1"/>
  <c r="D339"/>
  <c r="AA339" s="1"/>
  <c r="C339"/>
  <c r="Y338"/>
  <c r="G338"/>
  <c r="AD338" s="1"/>
  <c r="F338"/>
  <c r="AC338" s="1"/>
  <c r="E338"/>
  <c r="AB338" s="1"/>
  <c r="D338"/>
  <c r="AA338" s="1"/>
  <c r="C338"/>
  <c r="Z338" s="1"/>
  <c r="Y337"/>
  <c r="G337"/>
  <c r="AD337" s="1"/>
  <c r="F337"/>
  <c r="AC337" s="1"/>
  <c r="E337"/>
  <c r="AB337" s="1"/>
  <c r="D337"/>
  <c r="AA337" s="1"/>
  <c r="C337"/>
  <c r="Y336"/>
  <c r="G336"/>
  <c r="AD336" s="1"/>
  <c r="F336"/>
  <c r="AC336" s="1"/>
  <c r="E336"/>
  <c r="AB336" s="1"/>
  <c r="D336"/>
  <c r="AA336" s="1"/>
  <c r="C336"/>
  <c r="Z336" s="1"/>
  <c r="Y335"/>
  <c r="G335"/>
  <c r="AD335" s="1"/>
  <c r="F335"/>
  <c r="AC335" s="1"/>
  <c r="E335"/>
  <c r="AB335" s="1"/>
  <c r="D335"/>
  <c r="AA335" s="1"/>
  <c r="C335"/>
  <c r="Z335" s="1"/>
  <c r="Y334"/>
  <c r="G334"/>
  <c r="AD334" s="1"/>
  <c r="F334"/>
  <c r="AC334" s="1"/>
  <c r="E334"/>
  <c r="AB334" s="1"/>
  <c r="D334"/>
  <c r="AA334" s="1"/>
  <c r="C334"/>
  <c r="Y333"/>
  <c r="G333"/>
  <c r="AD333" s="1"/>
  <c r="F333"/>
  <c r="AC333" s="1"/>
  <c r="E333"/>
  <c r="AB333" s="1"/>
  <c r="D333"/>
  <c r="AA333" s="1"/>
  <c r="C333"/>
  <c r="Y332"/>
  <c r="G332"/>
  <c r="AD332" s="1"/>
  <c r="F332"/>
  <c r="AC332" s="1"/>
  <c r="E332"/>
  <c r="AB332" s="1"/>
  <c r="D332"/>
  <c r="AA332" s="1"/>
  <c r="C332"/>
  <c r="Z332" s="1"/>
  <c r="Y331"/>
  <c r="G331"/>
  <c r="AD331" s="1"/>
  <c r="F331"/>
  <c r="AC331" s="1"/>
  <c r="E331"/>
  <c r="AB331" s="1"/>
  <c r="D331"/>
  <c r="AA331" s="1"/>
  <c r="C331"/>
  <c r="Y330"/>
  <c r="G330"/>
  <c r="AD330" s="1"/>
  <c r="F330"/>
  <c r="AC330" s="1"/>
  <c r="E330"/>
  <c r="AB330" s="1"/>
  <c r="D330"/>
  <c r="AA330" s="1"/>
  <c r="C330"/>
  <c r="Z330" s="1"/>
  <c r="Y329"/>
  <c r="G329"/>
  <c r="AD329" s="1"/>
  <c r="F329"/>
  <c r="AC329" s="1"/>
  <c r="E329"/>
  <c r="AB329" s="1"/>
  <c r="D329"/>
  <c r="AA329" s="1"/>
  <c r="C329"/>
  <c r="Y328"/>
  <c r="G328"/>
  <c r="AD328" s="1"/>
  <c r="F328"/>
  <c r="AC328" s="1"/>
  <c r="E328"/>
  <c r="AB328" s="1"/>
  <c r="D328"/>
  <c r="AA328" s="1"/>
  <c r="C328"/>
  <c r="Z328" s="1"/>
  <c r="Y327"/>
  <c r="G327"/>
  <c r="AD327" s="1"/>
  <c r="F327"/>
  <c r="AC327" s="1"/>
  <c r="E327"/>
  <c r="AB327" s="1"/>
  <c r="D327"/>
  <c r="AA327" s="1"/>
  <c r="C327"/>
  <c r="Z327" s="1"/>
  <c r="Y326"/>
  <c r="G326"/>
  <c r="AD326" s="1"/>
  <c r="F326"/>
  <c r="AC326" s="1"/>
  <c r="E326"/>
  <c r="AB326" s="1"/>
  <c r="D326"/>
  <c r="AA326" s="1"/>
  <c r="C326"/>
  <c r="Z326" s="1"/>
  <c r="Y325"/>
  <c r="G325"/>
  <c r="AD325" s="1"/>
  <c r="F325"/>
  <c r="AC325" s="1"/>
  <c r="E325"/>
  <c r="AB325" s="1"/>
  <c r="D325"/>
  <c r="AA325" s="1"/>
  <c r="C325"/>
  <c r="Y324"/>
  <c r="G324"/>
  <c r="AD324" s="1"/>
  <c r="F324"/>
  <c r="AC324" s="1"/>
  <c r="E324"/>
  <c r="AB324" s="1"/>
  <c r="D324"/>
  <c r="AA324" s="1"/>
  <c r="C324"/>
  <c r="Z324" s="1"/>
  <c r="Y323"/>
  <c r="G323"/>
  <c r="AD323" s="1"/>
  <c r="F323"/>
  <c r="AC323" s="1"/>
  <c r="E323"/>
  <c r="AB323" s="1"/>
  <c r="D323"/>
  <c r="AA323" s="1"/>
  <c r="C323"/>
  <c r="Y322"/>
  <c r="G322"/>
  <c r="AD322" s="1"/>
  <c r="F322"/>
  <c r="AC322" s="1"/>
  <c r="E322"/>
  <c r="AB322" s="1"/>
  <c r="D322"/>
  <c r="AA322" s="1"/>
  <c r="C322"/>
  <c r="Y321"/>
  <c r="G321"/>
  <c r="AD321" s="1"/>
  <c r="F321"/>
  <c r="AC321" s="1"/>
  <c r="E321"/>
  <c r="AB321" s="1"/>
  <c r="D321"/>
  <c r="AA321" s="1"/>
  <c r="C321"/>
  <c r="Y320"/>
  <c r="G320"/>
  <c r="AD320" s="1"/>
  <c r="F320"/>
  <c r="AC320" s="1"/>
  <c r="E320"/>
  <c r="AB320" s="1"/>
  <c r="D320"/>
  <c r="AA320" s="1"/>
  <c r="C320"/>
  <c r="Z320" s="1"/>
  <c r="Y319"/>
  <c r="G319"/>
  <c r="AD319" s="1"/>
  <c r="F319"/>
  <c r="AC319" s="1"/>
  <c r="E319"/>
  <c r="AB319" s="1"/>
  <c r="D319"/>
  <c r="AA319" s="1"/>
  <c r="C319"/>
  <c r="Z319" s="1"/>
  <c r="Y318"/>
  <c r="G318"/>
  <c r="AD318" s="1"/>
  <c r="F318"/>
  <c r="AC318" s="1"/>
  <c r="E318"/>
  <c r="AB318" s="1"/>
  <c r="D318"/>
  <c r="AA318" s="1"/>
  <c r="C318"/>
  <c r="Z318" s="1"/>
  <c r="Y317"/>
  <c r="G317"/>
  <c r="AD317" s="1"/>
  <c r="F317"/>
  <c r="AC317" s="1"/>
  <c r="E317"/>
  <c r="AB317" s="1"/>
  <c r="D317"/>
  <c r="AA317" s="1"/>
  <c r="C317"/>
  <c r="Y316"/>
  <c r="G316"/>
  <c r="AD316" s="1"/>
  <c r="F316"/>
  <c r="AC316" s="1"/>
  <c r="E316"/>
  <c r="AB316" s="1"/>
  <c r="D316"/>
  <c r="AA316" s="1"/>
  <c r="C316"/>
  <c r="Z316" s="1"/>
  <c r="Y315"/>
  <c r="G315"/>
  <c r="AD315" s="1"/>
  <c r="F315"/>
  <c r="AC315" s="1"/>
  <c r="E315"/>
  <c r="AB315" s="1"/>
  <c r="D315"/>
  <c r="AA315" s="1"/>
  <c r="C315"/>
  <c r="Z315" s="1"/>
  <c r="Y314"/>
  <c r="G314"/>
  <c r="AD314" s="1"/>
  <c r="F314"/>
  <c r="AC314" s="1"/>
  <c r="E314"/>
  <c r="AB314" s="1"/>
  <c r="D314"/>
  <c r="AA314" s="1"/>
  <c r="C314"/>
  <c r="Y313"/>
  <c r="G313"/>
  <c r="AD313" s="1"/>
  <c r="F313"/>
  <c r="AC313" s="1"/>
  <c r="E313"/>
  <c r="AB313" s="1"/>
  <c r="D313"/>
  <c r="AA313" s="1"/>
  <c r="C313"/>
  <c r="Y312"/>
  <c r="G312"/>
  <c r="AD312" s="1"/>
  <c r="F312"/>
  <c r="AC312" s="1"/>
  <c r="E312"/>
  <c r="AB312" s="1"/>
  <c r="D312"/>
  <c r="AA312" s="1"/>
  <c r="C312"/>
  <c r="Y311"/>
  <c r="G311"/>
  <c r="AD311" s="1"/>
  <c r="F311"/>
  <c r="AC311" s="1"/>
  <c r="E311"/>
  <c r="AB311" s="1"/>
  <c r="D311"/>
  <c r="AA311" s="1"/>
  <c r="C311"/>
  <c r="Z311" s="1"/>
  <c r="Y310"/>
  <c r="G310"/>
  <c r="AD310" s="1"/>
  <c r="F310"/>
  <c r="AC310" s="1"/>
  <c r="E310"/>
  <c r="AB310" s="1"/>
  <c r="D310"/>
  <c r="AA310" s="1"/>
  <c r="C310"/>
  <c r="Y309"/>
  <c r="G309"/>
  <c r="AD309" s="1"/>
  <c r="F309"/>
  <c r="AC309" s="1"/>
  <c r="E309"/>
  <c r="AB309" s="1"/>
  <c r="D309"/>
  <c r="AA309" s="1"/>
  <c r="C309"/>
  <c r="AA308"/>
  <c r="Y308"/>
  <c r="G308"/>
  <c r="AD308" s="1"/>
  <c r="F308"/>
  <c r="AC308" s="1"/>
  <c r="E308"/>
  <c r="AB308" s="1"/>
  <c r="D308"/>
  <c r="C308"/>
  <c r="Z308" s="1"/>
  <c r="Y307"/>
  <c r="G307"/>
  <c r="AD307" s="1"/>
  <c r="F307"/>
  <c r="AC307" s="1"/>
  <c r="E307"/>
  <c r="AB307" s="1"/>
  <c r="D307"/>
  <c r="AA307" s="1"/>
  <c r="C307"/>
  <c r="Y306"/>
  <c r="G306"/>
  <c r="AD306" s="1"/>
  <c r="F306"/>
  <c r="AC306" s="1"/>
  <c r="E306"/>
  <c r="AB306" s="1"/>
  <c r="D306"/>
  <c r="AA306" s="1"/>
  <c r="C306"/>
  <c r="Y305"/>
  <c r="G305"/>
  <c r="AD305" s="1"/>
  <c r="F305"/>
  <c r="AC305" s="1"/>
  <c r="E305"/>
  <c r="AB305" s="1"/>
  <c r="D305"/>
  <c r="AA305" s="1"/>
  <c r="C305"/>
  <c r="Y304"/>
  <c r="G304"/>
  <c r="AD304" s="1"/>
  <c r="F304"/>
  <c r="AC304" s="1"/>
  <c r="E304"/>
  <c r="AB304" s="1"/>
  <c r="D304"/>
  <c r="AA304" s="1"/>
  <c r="C304"/>
  <c r="Y303"/>
  <c r="G303"/>
  <c r="AD303" s="1"/>
  <c r="F303"/>
  <c r="AC303" s="1"/>
  <c r="E303"/>
  <c r="AB303" s="1"/>
  <c r="D303"/>
  <c r="AA303" s="1"/>
  <c r="C303"/>
  <c r="Z303" s="1"/>
  <c r="Y302"/>
  <c r="G302"/>
  <c r="AD302" s="1"/>
  <c r="F302"/>
  <c r="AC302" s="1"/>
  <c r="E302"/>
  <c r="AB302" s="1"/>
  <c r="D302"/>
  <c r="AA302" s="1"/>
  <c r="C302"/>
  <c r="Z302" s="1"/>
  <c r="Y301"/>
  <c r="G301"/>
  <c r="AD301" s="1"/>
  <c r="F301"/>
  <c r="AC301" s="1"/>
  <c r="E301"/>
  <c r="AB301" s="1"/>
  <c r="D301"/>
  <c r="AA301" s="1"/>
  <c r="C301"/>
  <c r="Y300"/>
  <c r="G300"/>
  <c r="AD300" s="1"/>
  <c r="F300"/>
  <c r="AC300" s="1"/>
  <c r="E300"/>
  <c r="AB300" s="1"/>
  <c r="D300"/>
  <c r="AA300" s="1"/>
  <c r="C300"/>
  <c r="Z300" s="1"/>
  <c r="Y299"/>
  <c r="G299"/>
  <c r="AD299" s="1"/>
  <c r="F299"/>
  <c r="AC299" s="1"/>
  <c r="E299"/>
  <c r="AB299" s="1"/>
  <c r="D299"/>
  <c r="AA299" s="1"/>
  <c r="C299"/>
  <c r="Y298"/>
  <c r="G298"/>
  <c r="AD298" s="1"/>
  <c r="F298"/>
  <c r="AC298" s="1"/>
  <c r="E298"/>
  <c r="AB298" s="1"/>
  <c r="D298"/>
  <c r="AA298" s="1"/>
  <c r="C298"/>
  <c r="Y297"/>
  <c r="G297"/>
  <c r="AD297" s="1"/>
  <c r="F297"/>
  <c r="AC297" s="1"/>
  <c r="E297"/>
  <c r="AB297" s="1"/>
  <c r="D297"/>
  <c r="AA297" s="1"/>
  <c r="C297"/>
  <c r="Y296"/>
  <c r="G296"/>
  <c r="AD296" s="1"/>
  <c r="F296"/>
  <c r="AC296" s="1"/>
  <c r="E296"/>
  <c r="AB296" s="1"/>
  <c r="D296"/>
  <c r="AA296" s="1"/>
  <c r="C296"/>
  <c r="Y295"/>
  <c r="G295"/>
  <c r="AD295" s="1"/>
  <c r="F295"/>
  <c r="AC295" s="1"/>
  <c r="E295"/>
  <c r="AB295" s="1"/>
  <c r="D295"/>
  <c r="AA295" s="1"/>
  <c r="C295"/>
  <c r="Z295" s="1"/>
  <c r="Y294"/>
  <c r="G294"/>
  <c r="AD294" s="1"/>
  <c r="F294"/>
  <c r="AC294" s="1"/>
  <c r="E294"/>
  <c r="AB294" s="1"/>
  <c r="D294"/>
  <c r="AA294" s="1"/>
  <c r="C294"/>
  <c r="Z294" s="1"/>
  <c r="Y293"/>
  <c r="G293"/>
  <c r="AD293" s="1"/>
  <c r="F293"/>
  <c r="AC293" s="1"/>
  <c r="E293"/>
  <c r="AB293" s="1"/>
  <c r="D293"/>
  <c r="AA293" s="1"/>
  <c r="C293"/>
  <c r="Z293" s="1"/>
  <c r="Y292"/>
  <c r="G292"/>
  <c r="AD292" s="1"/>
  <c r="F292"/>
  <c r="AC292" s="1"/>
  <c r="E292"/>
  <c r="AB292" s="1"/>
  <c r="D292"/>
  <c r="AA292" s="1"/>
  <c r="C292"/>
  <c r="Y291"/>
  <c r="G291"/>
  <c r="AD291" s="1"/>
  <c r="F291"/>
  <c r="AC291" s="1"/>
  <c r="E291"/>
  <c r="AB291" s="1"/>
  <c r="D291"/>
  <c r="AA291" s="1"/>
  <c r="C291"/>
  <c r="Z291" s="1"/>
  <c r="Y290"/>
  <c r="G290"/>
  <c r="AD290" s="1"/>
  <c r="F290"/>
  <c r="AC290" s="1"/>
  <c r="E290"/>
  <c r="AB290" s="1"/>
  <c r="D290"/>
  <c r="AA290" s="1"/>
  <c r="C290"/>
  <c r="Z290" s="1"/>
  <c r="Y289"/>
  <c r="G289"/>
  <c r="AD289" s="1"/>
  <c r="F289"/>
  <c r="AC289" s="1"/>
  <c r="E289"/>
  <c r="AB289" s="1"/>
  <c r="D289"/>
  <c r="AA289" s="1"/>
  <c r="C289"/>
  <c r="Y288"/>
  <c r="G288"/>
  <c r="AD288" s="1"/>
  <c r="F288"/>
  <c r="AC288" s="1"/>
  <c r="E288"/>
  <c r="AB288" s="1"/>
  <c r="D288"/>
  <c r="AA288" s="1"/>
  <c r="C288"/>
  <c r="Z288" s="1"/>
  <c r="Y287"/>
  <c r="G287"/>
  <c r="AD287" s="1"/>
  <c r="F287"/>
  <c r="AC287" s="1"/>
  <c r="E287"/>
  <c r="AB287" s="1"/>
  <c r="D287"/>
  <c r="AA287" s="1"/>
  <c r="C287"/>
  <c r="Z287" s="1"/>
  <c r="Y286"/>
  <c r="G286"/>
  <c r="AD286" s="1"/>
  <c r="F286"/>
  <c r="AC286" s="1"/>
  <c r="E286"/>
  <c r="AB286" s="1"/>
  <c r="D286"/>
  <c r="AA286" s="1"/>
  <c r="C286"/>
  <c r="Y285"/>
  <c r="G285"/>
  <c r="AD285" s="1"/>
  <c r="F285"/>
  <c r="AC285" s="1"/>
  <c r="E285"/>
  <c r="AB285" s="1"/>
  <c r="D285"/>
  <c r="AA285" s="1"/>
  <c r="C285"/>
  <c r="Y284"/>
  <c r="G284"/>
  <c r="AD284" s="1"/>
  <c r="F284"/>
  <c r="AC284" s="1"/>
  <c r="E284"/>
  <c r="AB284" s="1"/>
  <c r="D284"/>
  <c r="AA284" s="1"/>
  <c r="C284"/>
  <c r="Y283"/>
  <c r="G283"/>
  <c r="AD283" s="1"/>
  <c r="F283"/>
  <c r="AC283" s="1"/>
  <c r="E283"/>
  <c r="AB283" s="1"/>
  <c r="D283"/>
  <c r="AA283" s="1"/>
  <c r="C283"/>
  <c r="Z283" s="1"/>
  <c r="Y282"/>
  <c r="G282"/>
  <c r="AD282" s="1"/>
  <c r="F282"/>
  <c r="AC282" s="1"/>
  <c r="E282"/>
  <c r="AB282" s="1"/>
  <c r="D282"/>
  <c r="AA282" s="1"/>
  <c r="C282"/>
  <c r="Z282" s="1"/>
  <c r="Y281"/>
  <c r="G281"/>
  <c r="AD281" s="1"/>
  <c r="F281"/>
  <c r="AC281" s="1"/>
  <c r="E281"/>
  <c r="AB281" s="1"/>
  <c r="D281"/>
  <c r="AA281" s="1"/>
  <c r="C281"/>
  <c r="Y280"/>
  <c r="G280"/>
  <c r="AD280" s="1"/>
  <c r="F280"/>
  <c r="AC280" s="1"/>
  <c r="E280"/>
  <c r="AB280" s="1"/>
  <c r="D280"/>
  <c r="AA280" s="1"/>
  <c r="C280"/>
  <c r="Z280" s="1"/>
  <c r="Y279"/>
  <c r="G279"/>
  <c r="AD279" s="1"/>
  <c r="F279"/>
  <c r="AC279" s="1"/>
  <c r="E279"/>
  <c r="AB279" s="1"/>
  <c r="D279"/>
  <c r="AA279" s="1"/>
  <c r="C279"/>
  <c r="Z279" s="1"/>
  <c r="Y278"/>
  <c r="G278"/>
  <c r="AD278" s="1"/>
  <c r="F278"/>
  <c r="AC278" s="1"/>
  <c r="E278"/>
  <c r="AB278" s="1"/>
  <c r="D278"/>
  <c r="AA278" s="1"/>
  <c r="C278"/>
  <c r="Z278" s="1"/>
  <c r="Y277"/>
  <c r="G277"/>
  <c r="AD277" s="1"/>
  <c r="F277"/>
  <c r="AC277" s="1"/>
  <c r="E277"/>
  <c r="AB277" s="1"/>
  <c r="D277"/>
  <c r="AA277" s="1"/>
  <c r="C277"/>
  <c r="Y276"/>
  <c r="G276"/>
  <c r="AD276" s="1"/>
  <c r="F276"/>
  <c r="AC276" s="1"/>
  <c r="E276"/>
  <c r="AB276" s="1"/>
  <c r="D276"/>
  <c r="AA276" s="1"/>
  <c r="C276"/>
  <c r="Y275"/>
  <c r="G275"/>
  <c r="AD275" s="1"/>
  <c r="F275"/>
  <c r="AC275" s="1"/>
  <c r="E275"/>
  <c r="AB275" s="1"/>
  <c r="D275"/>
  <c r="AA275" s="1"/>
  <c r="C275"/>
  <c r="Z275" s="1"/>
  <c r="Y274"/>
  <c r="G274"/>
  <c r="AD274" s="1"/>
  <c r="F274"/>
  <c r="AC274" s="1"/>
  <c r="E274"/>
  <c r="AB274" s="1"/>
  <c r="D274"/>
  <c r="AA274" s="1"/>
  <c r="C274"/>
  <c r="Z274" s="1"/>
  <c r="Y273"/>
  <c r="G273"/>
  <c r="AD273" s="1"/>
  <c r="F273"/>
  <c r="AC273" s="1"/>
  <c r="E273"/>
  <c r="AB273" s="1"/>
  <c r="D273"/>
  <c r="AA273" s="1"/>
  <c r="C273"/>
  <c r="Y272"/>
  <c r="G272"/>
  <c r="AD272" s="1"/>
  <c r="F272"/>
  <c r="AC272" s="1"/>
  <c r="E272"/>
  <c r="AB272" s="1"/>
  <c r="D272"/>
  <c r="AA272" s="1"/>
  <c r="C272"/>
  <c r="Z272" s="1"/>
  <c r="Y271"/>
  <c r="G271"/>
  <c r="AD271" s="1"/>
  <c r="F271"/>
  <c r="AC271" s="1"/>
  <c r="E271"/>
  <c r="AB271" s="1"/>
  <c r="D271"/>
  <c r="AA271" s="1"/>
  <c r="C271"/>
  <c r="Z271" s="1"/>
  <c r="Z270"/>
  <c r="Y270"/>
  <c r="G270"/>
  <c r="AD270" s="1"/>
  <c r="F270"/>
  <c r="AC270" s="1"/>
  <c r="E270"/>
  <c r="AB270" s="1"/>
  <c r="D270"/>
  <c r="AA270" s="1"/>
  <c r="C270"/>
  <c r="Y269"/>
  <c r="G269"/>
  <c r="AD269" s="1"/>
  <c r="F269"/>
  <c r="AC269" s="1"/>
  <c r="E269"/>
  <c r="AB269" s="1"/>
  <c r="D269"/>
  <c r="AA269" s="1"/>
  <c r="C269"/>
  <c r="Y268"/>
  <c r="G268"/>
  <c r="AD268" s="1"/>
  <c r="F268"/>
  <c r="AC268" s="1"/>
  <c r="E268"/>
  <c r="AB268" s="1"/>
  <c r="D268"/>
  <c r="AA268" s="1"/>
  <c r="C268"/>
  <c r="Y267"/>
  <c r="G267"/>
  <c r="AD267" s="1"/>
  <c r="F267"/>
  <c r="AC267" s="1"/>
  <c r="E267"/>
  <c r="AB267" s="1"/>
  <c r="D267"/>
  <c r="AA267" s="1"/>
  <c r="C267"/>
  <c r="Z267" s="1"/>
  <c r="Y266"/>
  <c r="G266"/>
  <c r="AD266" s="1"/>
  <c r="F266"/>
  <c r="AC266" s="1"/>
  <c r="E266"/>
  <c r="AB266" s="1"/>
  <c r="D266"/>
  <c r="AA266" s="1"/>
  <c r="C266"/>
  <c r="Z266" s="1"/>
  <c r="Y265"/>
  <c r="G265"/>
  <c r="AD265" s="1"/>
  <c r="F265"/>
  <c r="AC265" s="1"/>
  <c r="E265"/>
  <c r="AB265" s="1"/>
  <c r="D265"/>
  <c r="AA265" s="1"/>
  <c r="C265"/>
  <c r="Y264"/>
  <c r="G264"/>
  <c r="AD264" s="1"/>
  <c r="F264"/>
  <c r="AC264" s="1"/>
  <c r="E264"/>
  <c r="AB264" s="1"/>
  <c r="D264"/>
  <c r="AA264" s="1"/>
  <c r="C264"/>
  <c r="Y263"/>
  <c r="G263"/>
  <c r="AD263" s="1"/>
  <c r="F263"/>
  <c r="AC263" s="1"/>
  <c r="E263"/>
  <c r="AB263" s="1"/>
  <c r="D263"/>
  <c r="AA263" s="1"/>
  <c r="C263"/>
  <c r="Z263" s="1"/>
  <c r="Z262"/>
  <c r="Y262"/>
  <c r="G262"/>
  <c r="AD262" s="1"/>
  <c r="F262"/>
  <c r="AC262" s="1"/>
  <c r="E262"/>
  <c r="AB262" s="1"/>
  <c r="D262"/>
  <c r="AA262" s="1"/>
  <c r="C262"/>
  <c r="Y261"/>
  <c r="G261"/>
  <c r="AD261" s="1"/>
  <c r="F261"/>
  <c r="AC261" s="1"/>
  <c r="E261"/>
  <c r="AB261" s="1"/>
  <c r="D261"/>
  <c r="AA261" s="1"/>
  <c r="C261"/>
  <c r="Y260"/>
  <c r="G260"/>
  <c r="AD260" s="1"/>
  <c r="F260"/>
  <c r="AC260" s="1"/>
  <c r="E260"/>
  <c r="AB260" s="1"/>
  <c r="D260"/>
  <c r="AA260" s="1"/>
  <c r="C260"/>
  <c r="Y259"/>
  <c r="G259"/>
  <c r="AD259" s="1"/>
  <c r="F259"/>
  <c r="AC259" s="1"/>
  <c r="E259"/>
  <c r="AB259" s="1"/>
  <c r="D259"/>
  <c r="AA259" s="1"/>
  <c r="C259"/>
  <c r="Z259" s="1"/>
  <c r="Y258"/>
  <c r="G258"/>
  <c r="AD258" s="1"/>
  <c r="F258"/>
  <c r="AC258" s="1"/>
  <c r="E258"/>
  <c r="AB258" s="1"/>
  <c r="D258"/>
  <c r="AA258" s="1"/>
  <c r="C258"/>
  <c r="Z258" s="1"/>
  <c r="Y257"/>
  <c r="G257"/>
  <c r="AD257" s="1"/>
  <c r="F257"/>
  <c r="AC257" s="1"/>
  <c r="E257"/>
  <c r="AB257" s="1"/>
  <c r="D257"/>
  <c r="AA257" s="1"/>
  <c r="C257"/>
  <c r="Y256"/>
  <c r="G256"/>
  <c r="AD256" s="1"/>
  <c r="F256"/>
  <c r="AC256" s="1"/>
  <c r="E256"/>
  <c r="AB256" s="1"/>
  <c r="D256"/>
  <c r="AA256" s="1"/>
  <c r="C256"/>
  <c r="Y255"/>
  <c r="G255"/>
  <c r="AD255" s="1"/>
  <c r="F255"/>
  <c r="AC255" s="1"/>
  <c r="E255"/>
  <c r="AB255" s="1"/>
  <c r="D255"/>
  <c r="AA255" s="1"/>
  <c r="C255"/>
  <c r="Z255" s="1"/>
  <c r="Y254"/>
  <c r="G254"/>
  <c r="AD254" s="1"/>
  <c r="F254"/>
  <c r="AC254" s="1"/>
  <c r="E254"/>
  <c r="AB254" s="1"/>
  <c r="D254"/>
  <c r="AA254" s="1"/>
  <c r="C254"/>
  <c r="Z254" s="1"/>
  <c r="Y253"/>
  <c r="G253"/>
  <c r="AD253" s="1"/>
  <c r="F253"/>
  <c r="AC253" s="1"/>
  <c r="E253"/>
  <c r="AB253" s="1"/>
  <c r="D253"/>
  <c r="AA253" s="1"/>
  <c r="C253"/>
  <c r="Y252"/>
  <c r="G252"/>
  <c r="AD252" s="1"/>
  <c r="F252"/>
  <c r="AC252" s="1"/>
  <c r="E252"/>
  <c r="AB252" s="1"/>
  <c r="D252"/>
  <c r="AA252" s="1"/>
  <c r="C252"/>
  <c r="Y251"/>
  <c r="G251"/>
  <c r="AD251" s="1"/>
  <c r="F251"/>
  <c r="AC251" s="1"/>
  <c r="E251"/>
  <c r="AB251" s="1"/>
  <c r="D251"/>
  <c r="AA251" s="1"/>
  <c r="C251"/>
  <c r="Z251" s="1"/>
  <c r="Y250"/>
  <c r="G250"/>
  <c r="AD250" s="1"/>
  <c r="F250"/>
  <c r="AC250" s="1"/>
  <c r="E250"/>
  <c r="AB250" s="1"/>
  <c r="D250"/>
  <c r="AA250" s="1"/>
  <c r="C250"/>
  <c r="Z250" s="1"/>
  <c r="Y249"/>
  <c r="G249"/>
  <c r="AD249" s="1"/>
  <c r="F249"/>
  <c r="AC249" s="1"/>
  <c r="E249"/>
  <c r="AB249" s="1"/>
  <c r="D249"/>
  <c r="AA249" s="1"/>
  <c r="C249"/>
  <c r="Y248"/>
  <c r="G248"/>
  <c r="AD248" s="1"/>
  <c r="F248"/>
  <c r="AC248" s="1"/>
  <c r="E248"/>
  <c r="AB248" s="1"/>
  <c r="D248"/>
  <c r="AA248" s="1"/>
  <c r="C248"/>
  <c r="Z248" s="1"/>
  <c r="Y247"/>
  <c r="G247"/>
  <c r="AD247" s="1"/>
  <c r="F247"/>
  <c r="AC247" s="1"/>
  <c r="E247"/>
  <c r="AB247" s="1"/>
  <c r="D247"/>
  <c r="AA247" s="1"/>
  <c r="C247"/>
  <c r="Z247" s="1"/>
  <c r="Y246"/>
  <c r="G246"/>
  <c r="AD246" s="1"/>
  <c r="F246"/>
  <c r="AC246" s="1"/>
  <c r="E246"/>
  <c r="AB246" s="1"/>
  <c r="D246"/>
  <c r="AA246" s="1"/>
  <c r="C246"/>
  <c r="Z246" s="1"/>
  <c r="Y245"/>
  <c r="G245"/>
  <c r="AD245" s="1"/>
  <c r="F245"/>
  <c r="AC245" s="1"/>
  <c r="E245"/>
  <c r="AB245" s="1"/>
  <c r="D245"/>
  <c r="AA245" s="1"/>
  <c r="C245"/>
  <c r="Z245" s="1"/>
  <c r="Y244"/>
  <c r="G244"/>
  <c r="AD244" s="1"/>
  <c r="F244"/>
  <c r="AC244" s="1"/>
  <c r="E244"/>
  <c r="AB244" s="1"/>
  <c r="D244"/>
  <c r="AA244" s="1"/>
  <c r="C244"/>
  <c r="Z244" s="1"/>
  <c r="Y243"/>
  <c r="G243"/>
  <c r="AD243" s="1"/>
  <c r="F243"/>
  <c r="AC243" s="1"/>
  <c r="E243"/>
  <c r="AB243" s="1"/>
  <c r="D243"/>
  <c r="AA243" s="1"/>
  <c r="C243"/>
  <c r="Z243" s="1"/>
  <c r="Y242"/>
  <c r="G242"/>
  <c r="AD242" s="1"/>
  <c r="F242"/>
  <c r="AC242" s="1"/>
  <c r="E242"/>
  <c r="AB242" s="1"/>
  <c r="D242"/>
  <c r="AA242" s="1"/>
  <c r="C242"/>
  <c r="Z242" s="1"/>
  <c r="Y241"/>
  <c r="G241"/>
  <c r="AD241" s="1"/>
  <c r="F241"/>
  <c r="AC241" s="1"/>
  <c r="E241"/>
  <c r="AB241" s="1"/>
  <c r="D241"/>
  <c r="AA241" s="1"/>
  <c r="C241"/>
  <c r="Y240"/>
  <c r="G240"/>
  <c r="AD240" s="1"/>
  <c r="F240"/>
  <c r="AC240" s="1"/>
  <c r="E240"/>
  <c r="AB240" s="1"/>
  <c r="D240"/>
  <c r="AA240" s="1"/>
  <c r="C240"/>
  <c r="Y239"/>
  <c r="G239"/>
  <c r="AD239" s="1"/>
  <c r="F239"/>
  <c r="AC239" s="1"/>
  <c r="E239"/>
  <c r="AB239" s="1"/>
  <c r="D239"/>
  <c r="AA239" s="1"/>
  <c r="C239"/>
  <c r="Z239" s="1"/>
  <c r="Y238"/>
  <c r="G238"/>
  <c r="AD238" s="1"/>
  <c r="F238"/>
  <c r="AC238" s="1"/>
  <c r="E238"/>
  <c r="AB238" s="1"/>
  <c r="D238"/>
  <c r="AA238" s="1"/>
  <c r="C238"/>
  <c r="Z238" s="1"/>
  <c r="Y237"/>
  <c r="G237"/>
  <c r="AD237" s="1"/>
  <c r="F237"/>
  <c r="AC237" s="1"/>
  <c r="E237"/>
  <c r="AB237" s="1"/>
  <c r="D237"/>
  <c r="AA237" s="1"/>
  <c r="C237"/>
  <c r="Z237" s="1"/>
  <c r="Y236"/>
  <c r="G236"/>
  <c r="AD236" s="1"/>
  <c r="F236"/>
  <c r="AC236" s="1"/>
  <c r="E236"/>
  <c r="AB236" s="1"/>
  <c r="D236"/>
  <c r="AA236" s="1"/>
  <c r="C236"/>
  <c r="Y235"/>
  <c r="G235"/>
  <c r="AD235" s="1"/>
  <c r="F235"/>
  <c r="AC235" s="1"/>
  <c r="E235"/>
  <c r="AB235" s="1"/>
  <c r="D235"/>
  <c r="AA235" s="1"/>
  <c r="C235"/>
  <c r="Z235" s="1"/>
  <c r="Y234"/>
  <c r="G234"/>
  <c r="AD234" s="1"/>
  <c r="F234"/>
  <c r="AC234" s="1"/>
  <c r="E234"/>
  <c r="AB234" s="1"/>
  <c r="D234"/>
  <c r="AA234" s="1"/>
  <c r="C234"/>
  <c r="Z234" s="1"/>
  <c r="Y233"/>
  <c r="G233"/>
  <c r="AD233" s="1"/>
  <c r="F233"/>
  <c r="AC233" s="1"/>
  <c r="E233"/>
  <c r="AB233" s="1"/>
  <c r="D233"/>
  <c r="AA233" s="1"/>
  <c r="C233"/>
  <c r="Z233" s="1"/>
  <c r="Y232"/>
  <c r="G232"/>
  <c r="AD232" s="1"/>
  <c r="F232"/>
  <c r="AC232" s="1"/>
  <c r="E232"/>
  <c r="AB232" s="1"/>
  <c r="D232"/>
  <c r="AA232" s="1"/>
  <c r="C232"/>
  <c r="Z232" s="1"/>
  <c r="Y231"/>
  <c r="G231"/>
  <c r="AD231" s="1"/>
  <c r="F231"/>
  <c r="AC231" s="1"/>
  <c r="E231"/>
  <c r="AB231" s="1"/>
  <c r="D231"/>
  <c r="AA231" s="1"/>
  <c r="C231"/>
  <c r="Z231" s="1"/>
  <c r="Y230"/>
  <c r="G230"/>
  <c r="AD230" s="1"/>
  <c r="F230"/>
  <c r="AC230" s="1"/>
  <c r="E230"/>
  <c r="AB230" s="1"/>
  <c r="D230"/>
  <c r="AA230" s="1"/>
  <c r="C230"/>
  <c r="Z230" s="1"/>
  <c r="Y229"/>
  <c r="G229"/>
  <c r="AD229" s="1"/>
  <c r="F229"/>
  <c r="AC229" s="1"/>
  <c r="E229"/>
  <c r="AB229" s="1"/>
  <c r="D229"/>
  <c r="AA229" s="1"/>
  <c r="C229"/>
  <c r="Y228"/>
  <c r="G228"/>
  <c r="AD228" s="1"/>
  <c r="F228"/>
  <c r="AC228" s="1"/>
  <c r="E228"/>
  <c r="AB228" s="1"/>
  <c r="D228"/>
  <c r="AA228" s="1"/>
  <c r="C228"/>
  <c r="Y227"/>
  <c r="G227"/>
  <c r="AD227" s="1"/>
  <c r="F227"/>
  <c r="AC227" s="1"/>
  <c r="E227"/>
  <c r="AB227" s="1"/>
  <c r="D227"/>
  <c r="AA227" s="1"/>
  <c r="C227"/>
  <c r="Z227" s="1"/>
  <c r="Y226"/>
  <c r="G226"/>
  <c r="AD226" s="1"/>
  <c r="F226"/>
  <c r="AC226" s="1"/>
  <c r="E226"/>
  <c r="AB226" s="1"/>
  <c r="D226"/>
  <c r="AA226" s="1"/>
  <c r="C226"/>
  <c r="Z226" s="1"/>
  <c r="Y225"/>
  <c r="G225"/>
  <c r="AD225" s="1"/>
  <c r="F225"/>
  <c r="AC225" s="1"/>
  <c r="E225"/>
  <c r="AB225" s="1"/>
  <c r="D225"/>
  <c r="AA225" s="1"/>
  <c r="C225"/>
  <c r="Z225" s="1"/>
  <c r="Y224"/>
  <c r="G224"/>
  <c r="AD224" s="1"/>
  <c r="F224"/>
  <c r="AC224" s="1"/>
  <c r="E224"/>
  <c r="AB224" s="1"/>
  <c r="D224"/>
  <c r="AA224" s="1"/>
  <c r="C224"/>
  <c r="Y223"/>
  <c r="G223"/>
  <c r="AD223" s="1"/>
  <c r="F223"/>
  <c r="AC223" s="1"/>
  <c r="E223"/>
  <c r="AB223" s="1"/>
  <c r="D223"/>
  <c r="AA223" s="1"/>
  <c r="C223"/>
  <c r="Z223" s="1"/>
  <c r="Y222"/>
  <c r="G222"/>
  <c r="AD222" s="1"/>
  <c r="F222"/>
  <c r="AC222" s="1"/>
  <c r="E222"/>
  <c r="AB222" s="1"/>
  <c r="D222"/>
  <c r="AA222" s="1"/>
  <c r="C222"/>
  <c r="Z222" s="1"/>
  <c r="Y221"/>
  <c r="G221"/>
  <c r="AD221" s="1"/>
  <c r="F221"/>
  <c r="AC221" s="1"/>
  <c r="E221"/>
  <c r="AB221" s="1"/>
  <c r="D221"/>
  <c r="AA221" s="1"/>
  <c r="C221"/>
  <c r="Y220"/>
  <c r="G220"/>
  <c r="AD220" s="1"/>
  <c r="F220"/>
  <c r="AC220" s="1"/>
  <c r="E220"/>
  <c r="AB220" s="1"/>
  <c r="D220"/>
  <c r="AA220" s="1"/>
  <c r="C220"/>
  <c r="Y219"/>
  <c r="G219"/>
  <c r="AD219" s="1"/>
  <c r="F219"/>
  <c r="AC219" s="1"/>
  <c r="E219"/>
  <c r="AB219" s="1"/>
  <c r="D219"/>
  <c r="AA219" s="1"/>
  <c r="C219"/>
  <c r="Z219" s="1"/>
  <c r="Y218"/>
  <c r="G218"/>
  <c r="AD218" s="1"/>
  <c r="F218"/>
  <c r="AC218" s="1"/>
  <c r="E218"/>
  <c r="AB218" s="1"/>
  <c r="D218"/>
  <c r="AA218" s="1"/>
  <c r="C218"/>
  <c r="Z218" s="1"/>
  <c r="Y217"/>
  <c r="G217"/>
  <c r="AD217" s="1"/>
  <c r="F217"/>
  <c r="AC217" s="1"/>
  <c r="E217"/>
  <c r="AB217" s="1"/>
  <c r="D217"/>
  <c r="AA217" s="1"/>
  <c r="C217"/>
  <c r="Z217" s="1"/>
  <c r="Y216"/>
  <c r="G216"/>
  <c r="AD216" s="1"/>
  <c r="F216"/>
  <c r="AC216" s="1"/>
  <c r="E216"/>
  <c r="AB216" s="1"/>
  <c r="D216"/>
  <c r="AA216" s="1"/>
  <c r="C216"/>
  <c r="Z216" s="1"/>
  <c r="Y215"/>
  <c r="G215"/>
  <c r="AD215" s="1"/>
  <c r="F215"/>
  <c r="AC215" s="1"/>
  <c r="E215"/>
  <c r="AB215" s="1"/>
  <c r="D215"/>
  <c r="AA215" s="1"/>
  <c r="C215"/>
  <c r="Z215" s="1"/>
  <c r="Y214"/>
  <c r="G214"/>
  <c r="AD214" s="1"/>
  <c r="F214"/>
  <c r="AC214" s="1"/>
  <c r="E214"/>
  <c r="AB214" s="1"/>
  <c r="D214"/>
  <c r="AA214" s="1"/>
  <c r="C214"/>
  <c r="Z214" s="1"/>
  <c r="Y213"/>
  <c r="G213"/>
  <c r="AD213" s="1"/>
  <c r="F213"/>
  <c r="AC213" s="1"/>
  <c r="E213"/>
  <c r="AB213" s="1"/>
  <c r="D213"/>
  <c r="AA213" s="1"/>
  <c r="C213"/>
  <c r="Z213" s="1"/>
  <c r="Y212"/>
  <c r="G212"/>
  <c r="AD212" s="1"/>
  <c r="F212"/>
  <c r="AC212" s="1"/>
  <c r="E212"/>
  <c r="AB212" s="1"/>
  <c r="D212"/>
  <c r="AA212" s="1"/>
  <c r="C212"/>
  <c r="Z212" s="1"/>
  <c r="Y211"/>
  <c r="G211"/>
  <c r="AD211" s="1"/>
  <c r="F211"/>
  <c r="AC211" s="1"/>
  <c r="E211"/>
  <c r="AB211" s="1"/>
  <c r="D211"/>
  <c r="AA211" s="1"/>
  <c r="C211"/>
  <c r="Z211" s="1"/>
  <c r="Y210"/>
  <c r="G210"/>
  <c r="AD210" s="1"/>
  <c r="F210"/>
  <c r="AC210" s="1"/>
  <c r="E210"/>
  <c r="AB210" s="1"/>
  <c r="D210"/>
  <c r="AA210" s="1"/>
  <c r="C210"/>
  <c r="Z210" s="1"/>
  <c r="Y209"/>
  <c r="G209"/>
  <c r="AD209" s="1"/>
  <c r="F209"/>
  <c r="AC209" s="1"/>
  <c r="E209"/>
  <c r="AB209" s="1"/>
  <c r="D209"/>
  <c r="AA209" s="1"/>
  <c r="C209"/>
  <c r="Y208"/>
  <c r="G208"/>
  <c r="AD208" s="1"/>
  <c r="F208"/>
  <c r="AC208" s="1"/>
  <c r="E208"/>
  <c r="AB208" s="1"/>
  <c r="D208"/>
  <c r="AA208" s="1"/>
  <c r="C208"/>
  <c r="Y207"/>
  <c r="G207"/>
  <c r="AD207" s="1"/>
  <c r="F207"/>
  <c r="AC207" s="1"/>
  <c r="E207"/>
  <c r="AB207" s="1"/>
  <c r="D207"/>
  <c r="AA207" s="1"/>
  <c r="C207"/>
  <c r="Z207" s="1"/>
  <c r="Y206"/>
  <c r="G206"/>
  <c r="AD206" s="1"/>
  <c r="F206"/>
  <c r="AC206" s="1"/>
  <c r="E206"/>
  <c r="AB206" s="1"/>
  <c r="D206"/>
  <c r="AA206" s="1"/>
  <c r="C206"/>
  <c r="Z206" s="1"/>
  <c r="Y205"/>
  <c r="G205"/>
  <c r="AD205" s="1"/>
  <c r="F205"/>
  <c r="AC205" s="1"/>
  <c r="E205"/>
  <c r="AB205" s="1"/>
  <c r="D205"/>
  <c r="AA205" s="1"/>
  <c r="C205"/>
  <c r="Y204"/>
  <c r="G204"/>
  <c r="AD204" s="1"/>
  <c r="F204"/>
  <c r="AC204" s="1"/>
  <c r="E204"/>
  <c r="AB204" s="1"/>
  <c r="D204"/>
  <c r="AA204" s="1"/>
  <c r="C204"/>
  <c r="Y203"/>
  <c r="G203"/>
  <c r="AD203" s="1"/>
  <c r="F203"/>
  <c r="AC203" s="1"/>
  <c r="E203"/>
  <c r="AB203" s="1"/>
  <c r="D203"/>
  <c r="AA203" s="1"/>
  <c r="C203"/>
  <c r="Z203" s="1"/>
  <c r="Y202"/>
  <c r="G202"/>
  <c r="AD202" s="1"/>
  <c r="F202"/>
  <c r="AC202" s="1"/>
  <c r="E202"/>
  <c r="AB202" s="1"/>
  <c r="D202"/>
  <c r="AA202" s="1"/>
  <c r="C202"/>
  <c r="Z202" s="1"/>
  <c r="Y201"/>
  <c r="G201"/>
  <c r="AD201" s="1"/>
  <c r="F201"/>
  <c r="AC201" s="1"/>
  <c r="E201"/>
  <c r="AB201" s="1"/>
  <c r="D201"/>
  <c r="AA201" s="1"/>
  <c r="C201"/>
  <c r="Z201" s="1"/>
  <c r="Y200"/>
  <c r="G200"/>
  <c r="AD200" s="1"/>
  <c r="F200"/>
  <c r="AC200" s="1"/>
  <c r="E200"/>
  <c r="AB200" s="1"/>
  <c r="D200"/>
  <c r="AA200" s="1"/>
  <c r="C200"/>
  <c r="Z200" s="1"/>
  <c r="Y199"/>
  <c r="G199"/>
  <c r="AD199" s="1"/>
  <c r="F199"/>
  <c r="AC199" s="1"/>
  <c r="E199"/>
  <c r="AB199" s="1"/>
  <c r="D199"/>
  <c r="AA199" s="1"/>
  <c r="C199"/>
  <c r="Z199" s="1"/>
  <c r="Y198"/>
  <c r="G198"/>
  <c r="AD198" s="1"/>
  <c r="F198"/>
  <c r="AC198" s="1"/>
  <c r="E198"/>
  <c r="AB198" s="1"/>
  <c r="D198"/>
  <c r="AA198" s="1"/>
  <c r="C198"/>
  <c r="Z198" s="1"/>
  <c r="Y197"/>
  <c r="G197"/>
  <c r="AD197" s="1"/>
  <c r="F197"/>
  <c r="AC197" s="1"/>
  <c r="E197"/>
  <c r="AB197" s="1"/>
  <c r="D197"/>
  <c r="AA197" s="1"/>
  <c r="C197"/>
  <c r="Y196"/>
  <c r="G196"/>
  <c r="AD196" s="1"/>
  <c r="F196"/>
  <c r="AC196" s="1"/>
  <c r="E196"/>
  <c r="AB196" s="1"/>
  <c r="D196"/>
  <c r="AA196" s="1"/>
  <c r="C196"/>
  <c r="Y195"/>
  <c r="G195"/>
  <c r="AD195" s="1"/>
  <c r="F195"/>
  <c r="AC195" s="1"/>
  <c r="E195"/>
  <c r="AB195" s="1"/>
  <c r="D195"/>
  <c r="AA195" s="1"/>
  <c r="C195"/>
  <c r="Z195" s="1"/>
  <c r="Y194"/>
  <c r="G194"/>
  <c r="AD194" s="1"/>
  <c r="F194"/>
  <c r="AC194" s="1"/>
  <c r="E194"/>
  <c r="AB194" s="1"/>
  <c r="D194"/>
  <c r="AA194" s="1"/>
  <c r="C194"/>
  <c r="Z194" s="1"/>
  <c r="Y193"/>
  <c r="G193"/>
  <c r="AD193" s="1"/>
  <c r="F193"/>
  <c r="AC193" s="1"/>
  <c r="E193"/>
  <c r="AB193" s="1"/>
  <c r="D193"/>
  <c r="AA193" s="1"/>
  <c r="C193"/>
  <c r="Z193" s="1"/>
  <c r="Y192"/>
  <c r="G192"/>
  <c r="AD192" s="1"/>
  <c r="F192"/>
  <c r="AC192" s="1"/>
  <c r="E192"/>
  <c r="AB192" s="1"/>
  <c r="D192"/>
  <c r="AA192" s="1"/>
  <c r="C192"/>
  <c r="Y191"/>
  <c r="G191"/>
  <c r="AD191" s="1"/>
  <c r="F191"/>
  <c r="AC191" s="1"/>
  <c r="E191"/>
  <c r="AB191" s="1"/>
  <c r="D191"/>
  <c r="AA191" s="1"/>
  <c r="C191"/>
  <c r="Z191" s="1"/>
  <c r="Y190"/>
  <c r="G190"/>
  <c r="AD190" s="1"/>
  <c r="F190"/>
  <c r="AC190" s="1"/>
  <c r="E190"/>
  <c r="AB190" s="1"/>
  <c r="D190"/>
  <c r="AA190" s="1"/>
  <c r="C190"/>
  <c r="Z190" s="1"/>
  <c r="Y189"/>
  <c r="G189"/>
  <c r="AD189" s="1"/>
  <c r="F189"/>
  <c r="AC189" s="1"/>
  <c r="E189"/>
  <c r="AB189" s="1"/>
  <c r="D189"/>
  <c r="AA189" s="1"/>
  <c r="C189"/>
  <c r="Y188"/>
  <c r="G188"/>
  <c r="AD188" s="1"/>
  <c r="F188"/>
  <c r="AC188" s="1"/>
  <c r="E188"/>
  <c r="AB188" s="1"/>
  <c r="D188"/>
  <c r="AA188" s="1"/>
  <c r="C188"/>
  <c r="Y187"/>
  <c r="G187"/>
  <c r="AD187" s="1"/>
  <c r="F187"/>
  <c r="AC187" s="1"/>
  <c r="E187"/>
  <c r="AB187" s="1"/>
  <c r="D187"/>
  <c r="AA187" s="1"/>
  <c r="C187"/>
  <c r="Z187" s="1"/>
  <c r="Y186"/>
  <c r="G186"/>
  <c r="AD186" s="1"/>
  <c r="F186"/>
  <c r="AC186" s="1"/>
  <c r="E186"/>
  <c r="AB186" s="1"/>
  <c r="D186"/>
  <c r="AA186" s="1"/>
  <c r="C186"/>
  <c r="Z186" s="1"/>
  <c r="Y185"/>
  <c r="G185"/>
  <c r="AD185" s="1"/>
  <c r="F185"/>
  <c r="AC185" s="1"/>
  <c r="E185"/>
  <c r="AB185" s="1"/>
  <c r="D185"/>
  <c r="AA185" s="1"/>
  <c r="C185"/>
  <c r="Z185" s="1"/>
  <c r="Y184"/>
  <c r="G184"/>
  <c r="AD184" s="1"/>
  <c r="F184"/>
  <c r="AC184" s="1"/>
  <c r="E184"/>
  <c r="AB184" s="1"/>
  <c r="D184"/>
  <c r="AA184" s="1"/>
  <c r="C184"/>
  <c r="Z184" s="1"/>
  <c r="Y183"/>
  <c r="G183"/>
  <c r="AD183" s="1"/>
  <c r="F183"/>
  <c r="AC183" s="1"/>
  <c r="E183"/>
  <c r="AB183" s="1"/>
  <c r="D183"/>
  <c r="AA183" s="1"/>
  <c r="C183"/>
  <c r="Y182"/>
  <c r="G182"/>
  <c r="AD182" s="1"/>
  <c r="F182"/>
  <c r="AC182" s="1"/>
  <c r="E182"/>
  <c r="AB182" s="1"/>
  <c r="D182"/>
  <c r="AA182" s="1"/>
  <c r="C182"/>
  <c r="Y181"/>
  <c r="G181"/>
  <c r="AD181" s="1"/>
  <c r="F181"/>
  <c r="AC181" s="1"/>
  <c r="E181"/>
  <c r="AB181" s="1"/>
  <c r="D181"/>
  <c r="AA181" s="1"/>
  <c r="C181"/>
  <c r="Z181" s="1"/>
  <c r="Y180"/>
  <c r="G180"/>
  <c r="AD180" s="1"/>
  <c r="F180"/>
  <c r="AC180" s="1"/>
  <c r="E180"/>
  <c r="AB180" s="1"/>
  <c r="D180"/>
  <c r="AA180" s="1"/>
  <c r="C180"/>
  <c r="Z180" s="1"/>
  <c r="Y179"/>
  <c r="G179"/>
  <c r="AD179" s="1"/>
  <c r="F179"/>
  <c r="AC179" s="1"/>
  <c r="E179"/>
  <c r="AB179" s="1"/>
  <c r="D179"/>
  <c r="AA179" s="1"/>
  <c r="C179"/>
  <c r="Y178"/>
  <c r="G178"/>
  <c r="AD178" s="1"/>
  <c r="F178"/>
  <c r="AC178" s="1"/>
  <c r="E178"/>
  <c r="AB178" s="1"/>
  <c r="D178"/>
  <c r="AA178" s="1"/>
  <c r="C178"/>
  <c r="Y177"/>
  <c r="G177"/>
  <c r="AD177" s="1"/>
  <c r="F177"/>
  <c r="AC177" s="1"/>
  <c r="E177"/>
  <c r="AB177" s="1"/>
  <c r="D177"/>
  <c r="AA177" s="1"/>
  <c r="C177"/>
  <c r="Y176"/>
  <c r="G176"/>
  <c r="AD176" s="1"/>
  <c r="F176"/>
  <c r="AC176" s="1"/>
  <c r="E176"/>
  <c r="AB176" s="1"/>
  <c r="D176"/>
  <c r="AA176" s="1"/>
  <c r="C176"/>
  <c r="Y175"/>
  <c r="G175"/>
  <c r="AD175" s="1"/>
  <c r="F175"/>
  <c r="AC175" s="1"/>
  <c r="E175"/>
  <c r="AB175" s="1"/>
  <c r="D175"/>
  <c r="AA175" s="1"/>
  <c r="C175"/>
  <c r="Y174"/>
  <c r="G174"/>
  <c r="AD174" s="1"/>
  <c r="F174"/>
  <c r="AC174" s="1"/>
  <c r="E174"/>
  <c r="AB174" s="1"/>
  <c r="D174"/>
  <c r="AA174" s="1"/>
  <c r="C174"/>
  <c r="Z174" s="1"/>
  <c r="Y173"/>
  <c r="G173"/>
  <c r="AD173" s="1"/>
  <c r="F173"/>
  <c r="AC173" s="1"/>
  <c r="E173"/>
  <c r="AB173" s="1"/>
  <c r="D173"/>
  <c r="AA173" s="1"/>
  <c r="C173"/>
  <c r="Y172"/>
  <c r="G172"/>
  <c r="AD172" s="1"/>
  <c r="F172"/>
  <c r="AC172" s="1"/>
  <c r="E172"/>
  <c r="AB172" s="1"/>
  <c r="D172"/>
  <c r="AA172" s="1"/>
  <c r="C172"/>
  <c r="Y171"/>
  <c r="G171"/>
  <c r="AD171" s="1"/>
  <c r="F171"/>
  <c r="AC171" s="1"/>
  <c r="E171"/>
  <c r="AB171" s="1"/>
  <c r="D171"/>
  <c r="AA171" s="1"/>
  <c r="C171"/>
  <c r="Y170"/>
  <c r="G170"/>
  <c r="AD170" s="1"/>
  <c r="F170"/>
  <c r="AC170" s="1"/>
  <c r="E170"/>
  <c r="AB170" s="1"/>
  <c r="D170"/>
  <c r="AA170" s="1"/>
  <c r="C170"/>
  <c r="Y169"/>
  <c r="G169"/>
  <c r="AD169" s="1"/>
  <c r="F169"/>
  <c r="AC169" s="1"/>
  <c r="E169"/>
  <c r="AB169" s="1"/>
  <c r="D169"/>
  <c r="AA169" s="1"/>
  <c r="C169"/>
  <c r="Z169" s="1"/>
  <c r="Y168"/>
  <c r="G168"/>
  <c r="AD168" s="1"/>
  <c r="F168"/>
  <c r="AC168" s="1"/>
  <c r="E168"/>
  <c r="AB168" s="1"/>
  <c r="D168"/>
  <c r="AA168" s="1"/>
  <c r="C168"/>
  <c r="Z168" s="1"/>
  <c r="Y167"/>
  <c r="G167"/>
  <c r="AD167" s="1"/>
  <c r="F167"/>
  <c r="AC167" s="1"/>
  <c r="E167"/>
  <c r="AB167" s="1"/>
  <c r="D167"/>
  <c r="AA167" s="1"/>
  <c r="C167"/>
  <c r="Y166"/>
  <c r="G166"/>
  <c r="AD166" s="1"/>
  <c r="F166"/>
  <c r="AC166" s="1"/>
  <c r="E166"/>
  <c r="AB166" s="1"/>
  <c r="D166"/>
  <c r="AA166" s="1"/>
  <c r="C166"/>
  <c r="Z166" s="1"/>
  <c r="Y165"/>
  <c r="G165"/>
  <c r="AD165" s="1"/>
  <c r="F165"/>
  <c r="AC165" s="1"/>
  <c r="E165"/>
  <c r="AB165" s="1"/>
  <c r="D165"/>
  <c r="AA165" s="1"/>
  <c r="C165"/>
  <c r="Y164"/>
  <c r="G164"/>
  <c r="AD164" s="1"/>
  <c r="F164"/>
  <c r="AC164" s="1"/>
  <c r="E164"/>
  <c r="AB164" s="1"/>
  <c r="D164"/>
  <c r="AA164" s="1"/>
  <c r="C164"/>
  <c r="Z164" s="1"/>
  <c r="Y163"/>
  <c r="G163"/>
  <c r="AD163" s="1"/>
  <c r="F163"/>
  <c r="AC163" s="1"/>
  <c r="E163"/>
  <c r="AB163" s="1"/>
  <c r="D163"/>
  <c r="AA163" s="1"/>
  <c r="C163"/>
  <c r="Y162"/>
  <c r="G162"/>
  <c r="AD162" s="1"/>
  <c r="F162"/>
  <c r="AC162" s="1"/>
  <c r="E162"/>
  <c r="AB162" s="1"/>
  <c r="D162"/>
  <c r="AA162" s="1"/>
  <c r="C162"/>
  <c r="Y161"/>
  <c r="G161"/>
  <c r="AD161" s="1"/>
  <c r="F161"/>
  <c r="AC161" s="1"/>
  <c r="E161"/>
  <c r="AB161" s="1"/>
  <c r="D161"/>
  <c r="AA161" s="1"/>
  <c r="C161"/>
  <c r="Z161" s="1"/>
  <c r="Y160"/>
  <c r="G160"/>
  <c r="AD160" s="1"/>
  <c r="F160"/>
  <c r="AC160" s="1"/>
  <c r="E160"/>
  <c r="AB160" s="1"/>
  <c r="D160"/>
  <c r="AA160" s="1"/>
  <c r="C160"/>
  <c r="Y159"/>
  <c r="G159"/>
  <c r="AD159" s="1"/>
  <c r="F159"/>
  <c r="AC159" s="1"/>
  <c r="E159"/>
  <c r="AB159" s="1"/>
  <c r="D159"/>
  <c r="AA159" s="1"/>
  <c r="C159"/>
  <c r="Y158"/>
  <c r="G158"/>
  <c r="AD158" s="1"/>
  <c r="F158"/>
  <c r="AC158" s="1"/>
  <c r="E158"/>
  <c r="D158"/>
  <c r="AA158" s="1"/>
  <c r="C158"/>
  <c r="Z158" s="1"/>
  <c r="Y157"/>
  <c r="G157"/>
  <c r="AD157" s="1"/>
  <c r="F157"/>
  <c r="AC157" s="1"/>
  <c r="E157"/>
  <c r="AB157" s="1"/>
  <c r="D157"/>
  <c r="AA157" s="1"/>
  <c r="C157"/>
  <c r="Z157" s="1"/>
  <c r="Y156"/>
  <c r="G156"/>
  <c r="AD156" s="1"/>
  <c r="F156"/>
  <c r="AC156" s="1"/>
  <c r="E156"/>
  <c r="AB156" s="1"/>
  <c r="D156"/>
  <c r="AA156" s="1"/>
  <c r="C156"/>
  <c r="Z156" s="1"/>
  <c r="Y155"/>
  <c r="G155"/>
  <c r="AD155" s="1"/>
  <c r="F155"/>
  <c r="AC155" s="1"/>
  <c r="E155"/>
  <c r="AB155" s="1"/>
  <c r="D155"/>
  <c r="AA155" s="1"/>
  <c r="C155"/>
  <c r="Z155" s="1"/>
  <c r="Y154"/>
  <c r="G154"/>
  <c r="AD154" s="1"/>
  <c r="F154"/>
  <c r="AC154" s="1"/>
  <c r="E154"/>
  <c r="D154"/>
  <c r="AA154" s="1"/>
  <c r="C154"/>
  <c r="Z154" s="1"/>
  <c r="Y153"/>
  <c r="G153"/>
  <c r="AD153" s="1"/>
  <c r="F153"/>
  <c r="AC153" s="1"/>
  <c r="E153"/>
  <c r="AB153" s="1"/>
  <c r="D153"/>
  <c r="AA153" s="1"/>
  <c r="C153"/>
  <c r="Z153" s="1"/>
  <c r="Y152"/>
  <c r="G152"/>
  <c r="AD152" s="1"/>
  <c r="F152"/>
  <c r="AC152" s="1"/>
  <c r="E152"/>
  <c r="AB152" s="1"/>
  <c r="D152"/>
  <c r="AA152" s="1"/>
  <c r="C152"/>
  <c r="Y151"/>
  <c r="G151"/>
  <c r="AD151" s="1"/>
  <c r="F151"/>
  <c r="AC151" s="1"/>
  <c r="E151"/>
  <c r="AB151" s="1"/>
  <c r="D151"/>
  <c r="AA151" s="1"/>
  <c r="C151"/>
  <c r="Z151" s="1"/>
  <c r="Y150"/>
  <c r="G150"/>
  <c r="AD150" s="1"/>
  <c r="F150"/>
  <c r="AC150" s="1"/>
  <c r="E150"/>
  <c r="D150"/>
  <c r="AA150" s="1"/>
  <c r="C150"/>
  <c r="Z150" s="1"/>
  <c r="Y149"/>
  <c r="G149"/>
  <c r="AD149" s="1"/>
  <c r="F149"/>
  <c r="AC149" s="1"/>
  <c r="E149"/>
  <c r="AB149" s="1"/>
  <c r="D149"/>
  <c r="AA149" s="1"/>
  <c r="C149"/>
  <c r="Z149" s="1"/>
  <c r="Y148"/>
  <c r="G148"/>
  <c r="AD148" s="1"/>
  <c r="F148"/>
  <c r="AC148" s="1"/>
  <c r="E148"/>
  <c r="AB148" s="1"/>
  <c r="D148"/>
  <c r="AA148" s="1"/>
  <c r="C148"/>
  <c r="Y147"/>
  <c r="G147"/>
  <c r="AD147" s="1"/>
  <c r="F147"/>
  <c r="AC147" s="1"/>
  <c r="E147"/>
  <c r="AB147" s="1"/>
  <c r="D147"/>
  <c r="AA147" s="1"/>
  <c r="C147"/>
  <c r="Y146"/>
  <c r="G146"/>
  <c r="AD146" s="1"/>
  <c r="F146"/>
  <c r="AC146" s="1"/>
  <c r="E146"/>
  <c r="D146"/>
  <c r="AA146" s="1"/>
  <c r="C146"/>
  <c r="Z146" s="1"/>
  <c r="Y145"/>
  <c r="G145"/>
  <c r="AD145" s="1"/>
  <c r="F145"/>
  <c r="AC145" s="1"/>
  <c r="E145"/>
  <c r="AB145" s="1"/>
  <c r="D145"/>
  <c r="AA145" s="1"/>
  <c r="C145"/>
  <c r="Z145" s="1"/>
  <c r="Y144"/>
  <c r="G144"/>
  <c r="AD144" s="1"/>
  <c r="F144"/>
  <c r="AC144" s="1"/>
  <c r="E144"/>
  <c r="AB144" s="1"/>
  <c r="D144"/>
  <c r="AA144" s="1"/>
  <c r="C144"/>
  <c r="Y143"/>
  <c r="G143"/>
  <c r="AD143" s="1"/>
  <c r="F143"/>
  <c r="AC143" s="1"/>
  <c r="E143"/>
  <c r="AB143" s="1"/>
  <c r="D143"/>
  <c r="AA143" s="1"/>
  <c r="C143"/>
  <c r="Y142"/>
  <c r="G142"/>
  <c r="AD142" s="1"/>
  <c r="F142"/>
  <c r="AC142" s="1"/>
  <c r="E142"/>
  <c r="D142"/>
  <c r="AA142" s="1"/>
  <c r="C142"/>
  <c r="Z142" s="1"/>
  <c r="Y141"/>
  <c r="G141"/>
  <c r="AD141" s="1"/>
  <c r="F141"/>
  <c r="AC141" s="1"/>
  <c r="E141"/>
  <c r="AB141" s="1"/>
  <c r="D141"/>
  <c r="AA141" s="1"/>
  <c r="C141"/>
  <c r="Z141" s="1"/>
  <c r="Y140"/>
  <c r="G140"/>
  <c r="AD140" s="1"/>
  <c r="F140"/>
  <c r="AC140" s="1"/>
  <c r="E140"/>
  <c r="AB140" s="1"/>
  <c r="D140"/>
  <c r="AA140" s="1"/>
  <c r="C140"/>
  <c r="Y139"/>
  <c r="G139"/>
  <c r="AD139" s="1"/>
  <c r="F139"/>
  <c r="AC139" s="1"/>
  <c r="E139"/>
  <c r="AB139" s="1"/>
  <c r="D139"/>
  <c r="AA139" s="1"/>
  <c r="C139"/>
  <c r="Y138"/>
  <c r="G138"/>
  <c r="AD138" s="1"/>
  <c r="F138"/>
  <c r="AC138" s="1"/>
  <c r="E138"/>
  <c r="AB138" s="1"/>
  <c r="D138"/>
  <c r="AA138" s="1"/>
  <c r="C138"/>
  <c r="Z138" s="1"/>
  <c r="Y137"/>
  <c r="G137"/>
  <c r="AD137" s="1"/>
  <c r="F137"/>
  <c r="AC137" s="1"/>
  <c r="E137"/>
  <c r="AB137" s="1"/>
  <c r="D137"/>
  <c r="C137"/>
  <c r="Z137" s="1"/>
  <c r="Y136"/>
  <c r="G136"/>
  <c r="AD136" s="1"/>
  <c r="F136"/>
  <c r="AC136" s="1"/>
  <c r="E136"/>
  <c r="AB136" s="1"/>
  <c r="D136"/>
  <c r="AA136" s="1"/>
  <c r="C136"/>
  <c r="Y135"/>
  <c r="G135"/>
  <c r="AD135" s="1"/>
  <c r="F135"/>
  <c r="AC135" s="1"/>
  <c r="E135"/>
  <c r="AB135" s="1"/>
  <c r="D135"/>
  <c r="AA135" s="1"/>
  <c r="C135"/>
  <c r="Y134"/>
  <c r="G134"/>
  <c r="AD134" s="1"/>
  <c r="F134"/>
  <c r="AC134" s="1"/>
  <c r="E134"/>
  <c r="AB134" s="1"/>
  <c r="D134"/>
  <c r="AA134" s="1"/>
  <c r="C134"/>
  <c r="Z134" s="1"/>
  <c r="Y133"/>
  <c r="G133"/>
  <c r="AD133" s="1"/>
  <c r="F133"/>
  <c r="AC133" s="1"/>
  <c r="E133"/>
  <c r="AB133" s="1"/>
  <c r="D133"/>
  <c r="C133"/>
  <c r="Z133" s="1"/>
  <c r="Y132"/>
  <c r="G132"/>
  <c r="AD132" s="1"/>
  <c r="F132"/>
  <c r="AC132" s="1"/>
  <c r="E132"/>
  <c r="AB132" s="1"/>
  <c r="D132"/>
  <c r="AA132" s="1"/>
  <c r="C132"/>
  <c r="Y131"/>
  <c r="G131"/>
  <c r="AD131" s="1"/>
  <c r="F131"/>
  <c r="AC131" s="1"/>
  <c r="E131"/>
  <c r="AB131" s="1"/>
  <c r="D131"/>
  <c r="AA131" s="1"/>
  <c r="C131"/>
  <c r="Z131" s="1"/>
  <c r="Y130"/>
  <c r="G130"/>
  <c r="AD130" s="1"/>
  <c r="F130"/>
  <c r="AC130" s="1"/>
  <c r="E130"/>
  <c r="AB130" s="1"/>
  <c r="D130"/>
  <c r="AA130" s="1"/>
  <c r="C130"/>
  <c r="Z130" s="1"/>
  <c r="Y129"/>
  <c r="G129"/>
  <c r="AD129" s="1"/>
  <c r="F129"/>
  <c r="AC129" s="1"/>
  <c r="E129"/>
  <c r="AB129" s="1"/>
  <c r="D129"/>
  <c r="C129"/>
  <c r="Z129" s="1"/>
  <c r="Y128"/>
  <c r="G128"/>
  <c r="AD128" s="1"/>
  <c r="F128"/>
  <c r="AC128" s="1"/>
  <c r="E128"/>
  <c r="AB128" s="1"/>
  <c r="D128"/>
  <c r="AA128" s="1"/>
  <c r="C128"/>
  <c r="Y127"/>
  <c r="G127"/>
  <c r="AD127" s="1"/>
  <c r="F127"/>
  <c r="AC127" s="1"/>
  <c r="E127"/>
  <c r="AB127" s="1"/>
  <c r="D127"/>
  <c r="AA127" s="1"/>
  <c r="C127"/>
  <c r="Y126"/>
  <c r="G126"/>
  <c r="AD126" s="1"/>
  <c r="F126"/>
  <c r="AC126" s="1"/>
  <c r="E126"/>
  <c r="AB126" s="1"/>
  <c r="D126"/>
  <c r="AA126" s="1"/>
  <c r="C126"/>
  <c r="Z126" s="1"/>
  <c r="Y125"/>
  <c r="G125"/>
  <c r="AD125" s="1"/>
  <c r="F125"/>
  <c r="AC125" s="1"/>
  <c r="E125"/>
  <c r="AB125" s="1"/>
  <c r="D125"/>
  <c r="C125"/>
  <c r="Z125" s="1"/>
  <c r="Y124"/>
  <c r="G124"/>
  <c r="AD124" s="1"/>
  <c r="F124"/>
  <c r="AC124" s="1"/>
  <c r="E124"/>
  <c r="AB124" s="1"/>
  <c r="D124"/>
  <c r="AA124" s="1"/>
  <c r="C124"/>
  <c r="Y123"/>
  <c r="G123"/>
  <c r="AD123" s="1"/>
  <c r="F123"/>
  <c r="AC123" s="1"/>
  <c r="E123"/>
  <c r="AB123" s="1"/>
  <c r="D123"/>
  <c r="AA123" s="1"/>
  <c r="C123"/>
  <c r="Z123" s="1"/>
  <c r="Y122"/>
  <c r="G122"/>
  <c r="AD122" s="1"/>
  <c r="F122"/>
  <c r="AC122" s="1"/>
  <c r="E122"/>
  <c r="AB122" s="1"/>
  <c r="D122"/>
  <c r="C122"/>
  <c r="Z122" s="1"/>
  <c r="Y121"/>
  <c r="G121"/>
  <c r="AD121" s="1"/>
  <c r="F121"/>
  <c r="AC121" s="1"/>
  <c r="E121"/>
  <c r="AB121" s="1"/>
  <c r="D121"/>
  <c r="C121"/>
  <c r="Z121" s="1"/>
  <c r="Y120"/>
  <c r="G120"/>
  <c r="AD120" s="1"/>
  <c r="F120"/>
  <c r="AC120" s="1"/>
  <c r="E120"/>
  <c r="AB120" s="1"/>
  <c r="D120"/>
  <c r="AA120" s="1"/>
  <c r="C120"/>
  <c r="Y119"/>
  <c r="G119"/>
  <c r="AD119" s="1"/>
  <c r="F119"/>
  <c r="AC119" s="1"/>
  <c r="E119"/>
  <c r="AB119" s="1"/>
  <c r="D119"/>
  <c r="AA119" s="1"/>
  <c r="C119"/>
  <c r="Z119" s="1"/>
  <c r="Y118"/>
  <c r="G118"/>
  <c r="AD118" s="1"/>
  <c r="F118"/>
  <c r="AC118" s="1"/>
  <c r="E118"/>
  <c r="AB118" s="1"/>
  <c r="D118"/>
  <c r="AA118" s="1"/>
  <c r="C118"/>
  <c r="Z118" s="1"/>
  <c r="Y117"/>
  <c r="G117"/>
  <c r="AD117" s="1"/>
  <c r="F117"/>
  <c r="AC117" s="1"/>
  <c r="E117"/>
  <c r="AB117" s="1"/>
  <c r="D117"/>
  <c r="C117"/>
  <c r="Z117" s="1"/>
  <c r="Y116"/>
  <c r="G116"/>
  <c r="AD116" s="1"/>
  <c r="F116"/>
  <c r="AC116" s="1"/>
  <c r="E116"/>
  <c r="AB116" s="1"/>
  <c r="D116"/>
  <c r="AA116" s="1"/>
  <c r="C116"/>
  <c r="Y115"/>
  <c r="G115"/>
  <c r="AD115" s="1"/>
  <c r="F115"/>
  <c r="AC115" s="1"/>
  <c r="E115"/>
  <c r="AB115" s="1"/>
  <c r="D115"/>
  <c r="AA115" s="1"/>
  <c r="C115"/>
  <c r="Z115" s="1"/>
  <c r="Y114"/>
  <c r="G114"/>
  <c r="AD114" s="1"/>
  <c r="F114"/>
  <c r="AC114" s="1"/>
  <c r="E114"/>
  <c r="AB114" s="1"/>
  <c r="D114"/>
  <c r="AA114" s="1"/>
  <c r="C114"/>
  <c r="Z114" s="1"/>
  <c r="Y113"/>
  <c r="G113"/>
  <c r="AD113" s="1"/>
  <c r="F113"/>
  <c r="AC113" s="1"/>
  <c r="E113"/>
  <c r="AB113" s="1"/>
  <c r="D113"/>
  <c r="C113"/>
  <c r="Z113" s="1"/>
  <c r="Y112"/>
  <c r="G112"/>
  <c r="AD112" s="1"/>
  <c r="F112"/>
  <c r="AC112" s="1"/>
  <c r="E112"/>
  <c r="AB112" s="1"/>
  <c r="D112"/>
  <c r="AA112" s="1"/>
  <c r="C112"/>
  <c r="Y111"/>
  <c r="G111"/>
  <c r="AD111" s="1"/>
  <c r="F111"/>
  <c r="AC111" s="1"/>
  <c r="E111"/>
  <c r="AB111" s="1"/>
  <c r="D111"/>
  <c r="AA111" s="1"/>
  <c r="C111"/>
  <c r="Z111" s="1"/>
  <c r="Y110"/>
  <c r="G110"/>
  <c r="AD110" s="1"/>
  <c r="F110"/>
  <c r="AC110" s="1"/>
  <c r="E110"/>
  <c r="AB110" s="1"/>
  <c r="D110"/>
  <c r="AA110" s="1"/>
  <c r="C110"/>
  <c r="Z110" s="1"/>
  <c r="Y109"/>
  <c r="G109"/>
  <c r="AD109" s="1"/>
  <c r="F109"/>
  <c r="AC109" s="1"/>
  <c r="E109"/>
  <c r="AB109" s="1"/>
  <c r="D109"/>
  <c r="C109"/>
  <c r="Z109" s="1"/>
  <c r="Y108"/>
  <c r="G108"/>
  <c r="AD108" s="1"/>
  <c r="F108"/>
  <c r="AC108" s="1"/>
  <c r="E108"/>
  <c r="AB108" s="1"/>
  <c r="D108"/>
  <c r="AA108" s="1"/>
  <c r="C108"/>
  <c r="Y107"/>
  <c r="G107"/>
  <c r="AD107" s="1"/>
  <c r="F107"/>
  <c r="AC107" s="1"/>
  <c r="E107"/>
  <c r="AB107" s="1"/>
  <c r="D107"/>
  <c r="AA107" s="1"/>
  <c r="C107"/>
  <c r="Z107" s="1"/>
  <c r="Y106"/>
  <c r="G106"/>
  <c r="AD106" s="1"/>
  <c r="F106"/>
  <c r="AC106" s="1"/>
  <c r="E106"/>
  <c r="AB106" s="1"/>
  <c r="D106"/>
  <c r="AA106" s="1"/>
  <c r="C106"/>
  <c r="Z106" s="1"/>
  <c r="Y105"/>
  <c r="G105"/>
  <c r="AD105" s="1"/>
  <c r="F105"/>
  <c r="AC105" s="1"/>
  <c r="E105"/>
  <c r="AB105" s="1"/>
  <c r="D105"/>
  <c r="C105"/>
  <c r="Z105" s="1"/>
  <c r="Y104"/>
  <c r="G104"/>
  <c r="AD104" s="1"/>
  <c r="F104"/>
  <c r="AC104" s="1"/>
  <c r="E104"/>
  <c r="AB104" s="1"/>
  <c r="D104"/>
  <c r="AA104" s="1"/>
  <c r="C104"/>
  <c r="Y103"/>
  <c r="G103"/>
  <c r="AD103" s="1"/>
  <c r="F103"/>
  <c r="AC103" s="1"/>
  <c r="E103"/>
  <c r="AB103" s="1"/>
  <c r="D103"/>
  <c r="AA103" s="1"/>
  <c r="C103"/>
  <c r="Z103" s="1"/>
  <c r="Y102"/>
  <c r="G102"/>
  <c r="AD102" s="1"/>
  <c r="F102"/>
  <c r="E102"/>
  <c r="AB102" s="1"/>
  <c r="D102"/>
  <c r="AA102" s="1"/>
  <c r="C102"/>
  <c r="Z102" s="1"/>
  <c r="Y101"/>
  <c r="G101"/>
  <c r="AD101" s="1"/>
  <c r="F101"/>
  <c r="AC101" s="1"/>
  <c r="E101"/>
  <c r="AB101" s="1"/>
  <c r="D101"/>
  <c r="C101"/>
  <c r="Z101" s="1"/>
  <c r="Y100"/>
  <c r="G100"/>
  <c r="AD100" s="1"/>
  <c r="F100"/>
  <c r="AC100" s="1"/>
  <c r="E100"/>
  <c r="AB100" s="1"/>
  <c r="D100"/>
  <c r="AA100" s="1"/>
  <c r="C100"/>
  <c r="Y99"/>
  <c r="G99"/>
  <c r="AD99" s="1"/>
  <c r="F99"/>
  <c r="AC99" s="1"/>
  <c r="E99"/>
  <c r="AB99" s="1"/>
  <c r="D99"/>
  <c r="AA99" s="1"/>
  <c r="C99"/>
  <c r="Z99" s="1"/>
  <c r="Y98"/>
  <c r="G98"/>
  <c r="AD98" s="1"/>
  <c r="F98"/>
  <c r="AC98" s="1"/>
  <c r="E98"/>
  <c r="AB98" s="1"/>
  <c r="D98"/>
  <c r="AA98" s="1"/>
  <c r="C98"/>
  <c r="Z98" s="1"/>
  <c r="Y97"/>
  <c r="G97"/>
  <c r="AD97" s="1"/>
  <c r="F97"/>
  <c r="AC97" s="1"/>
  <c r="E97"/>
  <c r="AB97" s="1"/>
  <c r="D97"/>
  <c r="C97"/>
  <c r="Z97" s="1"/>
  <c r="Y96"/>
  <c r="G96"/>
  <c r="AD96" s="1"/>
  <c r="F96"/>
  <c r="AC96" s="1"/>
  <c r="E96"/>
  <c r="AB96" s="1"/>
  <c r="D96"/>
  <c r="AA96" s="1"/>
  <c r="C96"/>
  <c r="Y95"/>
  <c r="G95"/>
  <c r="AD95" s="1"/>
  <c r="F95"/>
  <c r="AC95" s="1"/>
  <c r="E95"/>
  <c r="AB95" s="1"/>
  <c r="D95"/>
  <c r="AA95" s="1"/>
  <c r="C95"/>
  <c r="Z95" s="1"/>
  <c r="Y94"/>
  <c r="G94"/>
  <c r="AD94" s="1"/>
  <c r="F94"/>
  <c r="AC94" s="1"/>
  <c r="E94"/>
  <c r="AB94" s="1"/>
  <c r="D94"/>
  <c r="AA94" s="1"/>
  <c r="C94"/>
  <c r="Z94" s="1"/>
  <c r="Y93"/>
  <c r="G93"/>
  <c r="AD93" s="1"/>
  <c r="F93"/>
  <c r="AC93" s="1"/>
  <c r="E93"/>
  <c r="AB93" s="1"/>
  <c r="D93"/>
  <c r="C93"/>
  <c r="Z93" s="1"/>
  <c r="Y92"/>
  <c r="G92"/>
  <c r="AD92" s="1"/>
  <c r="F92"/>
  <c r="AC92" s="1"/>
  <c r="E92"/>
  <c r="AB92" s="1"/>
  <c r="D92"/>
  <c r="AA92" s="1"/>
  <c r="C92"/>
  <c r="Z91"/>
  <c r="Y91"/>
  <c r="G91"/>
  <c r="AD91" s="1"/>
  <c r="F91"/>
  <c r="AC91" s="1"/>
  <c r="E91"/>
  <c r="AB91" s="1"/>
  <c r="D91"/>
  <c r="AA91" s="1"/>
  <c r="C91"/>
  <c r="Y90"/>
  <c r="G90"/>
  <c r="AD90" s="1"/>
  <c r="F90"/>
  <c r="AC90" s="1"/>
  <c r="E90"/>
  <c r="AB90" s="1"/>
  <c r="D90"/>
  <c r="AA90" s="1"/>
  <c r="C90"/>
  <c r="Z90" s="1"/>
  <c r="Y89"/>
  <c r="G89"/>
  <c r="AD89" s="1"/>
  <c r="F89"/>
  <c r="AC89" s="1"/>
  <c r="E89"/>
  <c r="AB89" s="1"/>
  <c r="D89"/>
  <c r="C89"/>
  <c r="Z89" s="1"/>
  <c r="Y88"/>
  <c r="G88"/>
  <c r="AD88" s="1"/>
  <c r="F88"/>
  <c r="AC88" s="1"/>
  <c r="E88"/>
  <c r="AB88" s="1"/>
  <c r="D88"/>
  <c r="AA88" s="1"/>
  <c r="C88"/>
  <c r="Y87"/>
  <c r="G87"/>
  <c r="F87"/>
  <c r="AC87" s="1"/>
  <c r="E87"/>
  <c r="AB87" s="1"/>
  <c r="D87"/>
  <c r="AA87" s="1"/>
  <c r="C87"/>
  <c r="Z87" s="1"/>
  <c r="Y86"/>
  <c r="G86"/>
  <c r="AD86" s="1"/>
  <c r="F86"/>
  <c r="AC86" s="1"/>
  <c r="E86"/>
  <c r="AB86" s="1"/>
  <c r="D86"/>
  <c r="AA86" s="1"/>
  <c r="C86"/>
  <c r="Z86" s="1"/>
  <c r="Y85"/>
  <c r="G85"/>
  <c r="AD85" s="1"/>
  <c r="F85"/>
  <c r="AC85" s="1"/>
  <c r="E85"/>
  <c r="AB85" s="1"/>
  <c r="D85"/>
  <c r="C85"/>
  <c r="Z85" s="1"/>
  <c r="Y84"/>
  <c r="G84"/>
  <c r="AD84" s="1"/>
  <c r="F84"/>
  <c r="AC84" s="1"/>
  <c r="E84"/>
  <c r="AB84" s="1"/>
  <c r="D84"/>
  <c r="AA84" s="1"/>
  <c r="C84"/>
  <c r="Y83"/>
  <c r="G83"/>
  <c r="F83"/>
  <c r="AC83" s="1"/>
  <c r="E83"/>
  <c r="AB83" s="1"/>
  <c r="D83"/>
  <c r="AA83" s="1"/>
  <c r="C83"/>
  <c r="Z83" s="1"/>
  <c r="Y82"/>
  <c r="G82"/>
  <c r="AD82" s="1"/>
  <c r="F82"/>
  <c r="AC82" s="1"/>
  <c r="E82"/>
  <c r="AB82" s="1"/>
  <c r="D82"/>
  <c r="AA82" s="1"/>
  <c r="C82"/>
  <c r="Z82" s="1"/>
  <c r="Y81"/>
  <c r="G81"/>
  <c r="AD81" s="1"/>
  <c r="F81"/>
  <c r="AC81" s="1"/>
  <c r="E81"/>
  <c r="AB81" s="1"/>
  <c r="D81"/>
  <c r="C81"/>
  <c r="Z81" s="1"/>
  <c r="Y80"/>
  <c r="G80"/>
  <c r="AD80" s="1"/>
  <c r="F80"/>
  <c r="AC80" s="1"/>
  <c r="E80"/>
  <c r="AB80" s="1"/>
  <c r="D80"/>
  <c r="AA80" s="1"/>
  <c r="C80"/>
  <c r="Y79"/>
  <c r="G79"/>
  <c r="F79"/>
  <c r="AC79" s="1"/>
  <c r="E79"/>
  <c r="AB79" s="1"/>
  <c r="D79"/>
  <c r="AA79" s="1"/>
  <c r="C79"/>
  <c r="Z79" s="1"/>
  <c r="Y78"/>
  <c r="G78"/>
  <c r="AD78" s="1"/>
  <c r="F78"/>
  <c r="AC78" s="1"/>
  <c r="E78"/>
  <c r="AB78" s="1"/>
  <c r="D78"/>
  <c r="AA78" s="1"/>
  <c r="C78"/>
  <c r="Z78" s="1"/>
  <c r="Y77"/>
  <c r="G77"/>
  <c r="AD77" s="1"/>
  <c r="F77"/>
  <c r="AC77" s="1"/>
  <c r="E77"/>
  <c r="AB77" s="1"/>
  <c r="D77"/>
  <c r="C77"/>
  <c r="Z77" s="1"/>
  <c r="Y76"/>
  <c r="G76"/>
  <c r="AD76" s="1"/>
  <c r="F76"/>
  <c r="AC76" s="1"/>
  <c r="E76"/>
  <c r="AB76" s="1"/>
  <c r="D76"/>
  <c r="AA76" s="1"/>
  <c r="C76"/>
  <c r="Y75"/>
  <c r="G75"/>
  <c r="AD75" s="1"/>
  <c r="F75"/>
  <c r="AC75" s="1"/>
  <c r="E75"/>
  <c r="AB75" s="1"/>
  <c r="D75"/>
  <c r="AA75" s="1"/>
  <c r="C75"/>
  <c r="Z75" s="1"/>
  <c r="Y74"/>
  <c r="G74"/>
  <c r="AD74" s="1"/>
  <c r="F74"/>
  <c r="AC74" s="1"/>
  <c r="E74"/>
  <c r="AB74" s="1"/>
  <c r="D74"/>
  <c r="AA74" s="1"/>
  <c r="C74"/>
  <c r="Z74" s="1"/>
  <c r="Y73"/>
  <c r="G73"/>
  <c r="AD73" s="1"/>
  <c r="F73"/>
  <c r="AC73" s="1"/>
  <c r="E73"/>
  <c r="AB73" s="1"/>
  <c r="D73"/>
  <c r="C73"/>
  <c r="Z73" s="1"/>
  <c r="Y72"/>
  <c r="G72"/>
  <c r="AD72" s="1"/>
  <c r="F72"/>
  <c r="AC72" s="1"/>
  <c r="E72"/>
  <c r="AB72" s="1"/>
  <c r="D72"/>
  <c r="AA72" s="1"/>
  <c r="C72"/>
  <c r="Y71"/>
  <c r="G71"/>
  <c r="AD71" s="1"/>
  <c r="F71"/>
  <c r="AC71" s="1"/>
  <c r="E71"/>
  <c r="AB71" s="1"/>
  <c r="D71"/>
  <c r="AA71" s="1"/>
  <c r="C71"/>
  <c r="Z71" s="1"/>
  <c r="Y70"/>
  <c r="G70"/>
  <c r="AD70" s="1"/>
  <c r="F70"/>
  <c r="AC70" s="1"/>
  <c r="E70"/>
  <c r="AB70" s="1"/>
  <c r="D70"/>
  <c r="AA70" s="1"/>
  <c r="C70"/>
  <c r="Z70" s="1"/>
  <c r="Y69"/>
  <c r="G69"/>
  <c r="AD69" s="1"/>
  <c r="F69"/>
  <c r="AC69" s="1"/>
  <c r="E69"/>
  <c r="AB69" s="1"/>
  <c r="D69"/>
  <c r="C69"/>
  <c r="Z69" s="1"/>
  <c r="Y68"/>
  <c r="G68"/>
  <c r="AD68" s="1"/>
  <c r="F68"/>
  <c r="AC68" s="1"/>
  <c r="E68"/>
  <c r="AB68" s="1"/>
  <c r="D68"/>
  <c r="AA68" s="1"/>
  <c r="C68"/>
  <c r="Y67"/>
  <c r="G67"/>
  <c r="AD67" s="1"/>
  <c r="F67"/>
  <c r="AC67" s="1"/>
  <c r="E67"/>
  <c r="AB67" s="1"/>
  <c r="D67"/>
  <c r="AA67" s="1"/>
  <c r="C67"/>
  <c r="Z67" s="1"/>
  <c r="Y66"/>
  <c r="G66"/>
  <c r="AD66" s="1"/>
  <c r="F66"/>
  <c r="AC66" s="1"/>
  <c r="E66"/>
  <c r="AB66" s="1"/>
  <c r="D66"/>
  <c r="AA66" s="1"/>
  <c r="C66"/>
  <c r="Y65"/>
  <c r="G65"/>
  <c r="AD65" s="1"/>
  <c r="F65"/>
  <c r="AC65" s="1"/>
  <c r="E65"/>
  <c r="AB65" s="1"/>
  <c r="D65"/>
  <c r="C65"/>
  <c r="Z65" s="1"/>
  <c r="Y64"/>
  <c r="G64"/>
  <c r="AD64" s="1"/>
  <c r="F64"/>
  <c r="AC64" s="1"/>
  <c r="E64"/>
  <c r="AB64" s="1"/>
  <c r="D64"/>
  <c r="AA64" s="1"/>
  <c r="C64"/>
  <c r="Y63"/>
  <c r="G63"/>
  <c r="AD63" s="1"/>
  <c r="F63"/>
  <c r="AC63" s="1"/>
  <c r="E63"/>
  <c r="AB63" s="1"/>
  <c r="D63"/>
  <c r="AA63" s="1"/>
  <c r="C63"/>
  <c r="Z63" s="1"/>
  <c r="Y62"/>
  <c r="G62"/>
  <c r="AD62" s="1"/>
  <c r="F62"/>
  <c r="AC62" s="1"/>
  <c r="E62"/>
  <c r="AB62" s="1"/>
  <c r="D62"/>
  <c r="AA62" s="1"/>
  <c r="C62"/>
  <c r="Z62" s="1"/>
  <c r="Y61"/>
  <c r="G61"/>
  <c r="AD61" s="1"/>
  <c r="F61"/>
  <c r="AC61" s="1"/>
  <c r="E61"/>
  <c r="AB61" s="1"/>
  <c r="D61"/>
  <c r="C61"/>
  <c r="Z61" s="1"/>
  <c r="Y60"/>
  <c r="G60"/>
  <c r="AD60" s="1"/>
  <c r="F60"/>
  <c r="AC60" s="1"/>
  <c r="E60"/>
  <c r="AB60" s="1"/>
  <c r="D60"/>
  <c r="AA60" s="1"/>
  <c r="C60"/>
  <c r="Y59"/>
  <c r="G59"/>
  <c r="AD59" s="1"/>
  <c r="F59"/>
  <c r="AC59" s="1"/>
  <c r="E59"/>
  <c r="AB59" s="1"/>
  <c r="D59"/>
  <c r="AA59" s="1"/>
  <c r="C59"/>
  <c r="Z59" s="1"/>
  <c r="Y58"/>
  <c r="G58"/>
  <c r="AD58" s="1"/>
  <c r="F58"/>
  <c r="AC58" s="1"/>
  <c r="E58"/>
  <c r="AB58" s="1"/>
  <c r="D58"/>
  <c r="AA58" s="1"/>
  <c r="C58"/>
  <c r="Z58" s="1"/>
  <c r="Y57"/>
  <c r="G57"/>
  <c r="AD57" s="1"/>
  <c r="F57"/>
  <c r="AC57" s="1"/>
  <c r="E57"/>
  <c r="AB57" s="1"/>
  <c r="D57"/>
  <c r="C57"/>
  <c r="Z57" s="1"/>
  <c r="Y56"/>
  <c r="G56"/>
  <c r="AD56" s="1"/>
  <c r="F56"/>
  <c r="AC56" s="1"/>
  <c r="E56"/>
  <c r="AB56" s="1"/>
  <c r="D56"/>
  <c r="AA56" s="1"/>
  <c r="C56"/>
  <c r="Y55"/>
  <c r="G55"/>
  <c r="F55"/>
  <c r="AC55" s="1"/>
  <c r="E55"/>
  <c r="AB55" s="1"/>
  <c r="D55"/>
  <c r="AA55" s="1"/>
  <c r="C55"/>
  <c r="Z55" s="1"/>
  <c r="Y54"/>
  <c r="G54"/>
  <c r="AD54" s="1"/>
  <c r="F54"/>
  <c r="AC54" s="1"/>
  <c r="E54"/>
  <c r="AB54" s="1"/>
  <c r="D54"/>
  <c r="AA54" s="1"/>
  <c r="C54"/>
  <c r="Z54" s="1"/>
  <c r="Y53"/>
  <c r="G53"/>
  <c r="AD53" s="1"/>
  <c r="F53"/>
  <c r="AC53" s="1"/>
  <c r="E53"/>
  <c r="AB53" s="1"/>
  <c r="D53"/>
  <c r="C53"/>
  <c r="Z53" s="1"/>
  <c r="Y52"/>
  <c r="G52"/>
  <c r="AD52" s="1"/>
  <c r="F52"/>
  <c r="AC52" s="1"/>
  <c r="E52"/>
  <c r="AB52" s="1"/>
  <c r="D52"/>
  <c r="AA52" s="1"/>
  <c r="C52"/>
  <c r="Y51"/>
  <c r="G51"/>
  <c r="AD51" s="1"/>
  <c r="F51"/>
  <c r="AC51" s="1"/>
  <c r="E51"/>
  <c r="AB51" s="1"/>
  <c r="D51"/>
  <c r="AA51" s="1"/>
  <c r="C51"/>
  <c r="Y50"/>
  <c r="G50"/>
  <c r="AD50" s="1"/>
  <c r="F50"/>
  <c r="AC50" s="1"/>
  <c r="E50"/>
  <c r="AB50" s="1"/>
  <c r="D50"/>
  <c r="AA50" s="1"/>
  <c r="C50"/>
  <c r="Z50" s="1"/>
  <c r="Y49"/>
  <c r="G49"/>
  <c r="AD49" s="1"/>
  <c r="F49"/>
  <c r="AC49" s="1"/>
  <c r="E49"/>
  <c r="AB49" s="1"/>
  <c r="D49"/>
  <c r="C49"/>
  <c r="Z49" s="1"/>
  <c r="Y48"/>
  <c r="G48"/>
  <c r="AD48" s="1"/>
  <c r="F48"/>
  <c r="AC48" s="1"/>
  <c r="E48"/>
  <c r="AB48" s="1"/>
  <c r="D48"/>
  <c r="AA48" s="1"/>
  <c r="C48"/>
  <c r="Y47"/>
  <c r="G47"/>
  <c r="F47"/>
  <c r="AC47" s="1"/>
  <c r="E47"/>
  <c r="AB47" s="1"/>
  <c r="D47"/>
  <c r="AA47" s="1"/>
  <c r="C47"/>
  <c r="Z47" s="1"/>
  <c r="Y46"/>
  <c r="G46"/>
  <c r="AD46" s="1"/>
  <c r="F46"/>
  <c r="AC46" s="1"/>
  <c r="E46"/>
  <c r="AB46" s="1"/>
  <c r="D46"/>
  <c r="AA46" s="1"/>
  <c r="C46"/>
  <c r="Z46" s="1"/>
  <c r="Y45"/>
  <c r="G45"/>
  <c r="AD45" s="1"/>
  <c r="F45"/>
  <c r="AC45" s="1"/>
  <c r="E45"/>
  <c r="AB45" s="1"/>
  <c r="D45"/>
  <c r="C45"/>
  <c r="Z45" s="1"/>
  <c r="Y44"/>
  <c r="G44"/>
  <c r="AD44" s="1"/>
  <c r="F44"/>
  <c r="AC44" s="1"/>
  <c r="E44"/>
  <c r="AB44" s="1"/>
  <c r="D44"/>
  <c r="AA44" s="1"/>
  <c r="C44"/>
  <c r="Z44" s="1"/>
  <c r="Y43"/>
  <c r="G43"/>
  <c r="AD43" s="1"/>
  <c r="F43"/>
  <c r="AC43" s="1"/>
  <c r="E43"/>
  <c r="AB43" s="1"/>
  <c r="D43"/>
  <c r="AA43" s="1"/>
  <c r="C43"/>
  <c r="Z43" s="1"/>
  <c r="Y42"/>
  <c r="G42"/>
  <c r="AD42" s="1"/>
  <c r="F42"/>
  <c r="AC42" s="1"/>
  <c r="E42"/>
  <c r="AB42" s="1"/>
  <c r="D42"/>
  <c r="AA42" s="1"/>
  <c r="C42"/>
  <c r="Z42" s="1"/>
  <c r="Y41"/>
  <c r="G41"/>
  <c r="AD41" s="1"/>
  <c r="F41"/>
  <c r="AC41" s="1"/>
  <c r="E41"/>
  <c r="AB41" s="1"/>
  <c r="D41"/>
  <c r="C41"/>
  <c r="Z41" s="1"/>
  <c r="Y40"/>
  <c r="G40"/>
  <c r="AD40" s="1"/>
  <c r="F40"/>
  <c r="AC40" s="1"/>
  <c r="E40"/>
  <c r="AB40" s="1"/>
  <c r="D40"/>
  <c r="AA40" s="1"/>
  <c r="C40"/>
  <c r="Z40" s="1"/>
  <c r="Y39"/>
  <c r="G39"/>
  <c r="AD39" s="1"/>
  <c r="F39"/>
  <c r="AC39" s="1"/>
  <c r="E39"/>
  <c r="AB39" s="1"/>
  <c r="D39"/>
  <c r="AA39" s="1"/>
  <c r="C39"/>
  <c r="Z39" s="1"/>
  <c r="Y38"/>
  <c r="G38"/>
  <c r="AD38" s="1"/>
  <c r="F38"/>
  <c r="AC38" s="1"/>
  <c r="E38"/>
  <c r="AB38" s="1"/>
  <c r="D38"/>
  <c r="AA38" s="1"/>
  <c r="C38"/>
  <c r="Z38" s="1"/>
  <c r="Y37"/>
  <c r="G37"/>
  <c r="AD37" s="1"/>
  <c r="F37"/>
  <c r="AC37" s="1"/>
  <c r="E37"/>
  <c r="AB37" s="1"/>
  <c r="D37"/>
  <c r="C37"/>
  <c r="Z37" s="1"/>
  <c r="Y36"/>
  <c r="G36"/>
  <c r="AD36" s="1"/>
  <c r="F36"/>
  <c r="AC36" s="1"/>
  <c r="E36"/>
  <c r="AB36" s="1"/>
  <c r="D36"/>
  <c r="AA36" s="1"/>
  <c r="C36"/>
  <c r="Z36" s="1"/>
  <c r="Y35"/>
  <c r="G35"/>
  <c r="AD35" s="1"/>
  <c r="F35"/>
  <c r="AC35" s="1"/>
  <c r="E35"/>
  <c r="AB35" s="1"/>
  <c r="D35"/>
  <c r="AA35" s="1"/>
  <c r="C35"/>
  <c r="Z35" s="1"/>
  <c r="Y34"/>
  <c r="G34"/>
  <c r="AD34" s="1"/>
  <c r="F34"/>
  <c r="AC34" s="1"/>
  <c r="E34"/>
  <c r="AB34" s="1"/>
  <c r="D34"/>
  <c r="AA34" s="1"/>
  <c r="C34"/>
  <c r="Z34" s="1"/>
  <c r="Y33"/>
  <c r="G33"/>
  <c r="AD33" s="1"/>
  <c r="F33"/>
  <c r="AC33" s="1"/>
  <c r="E33"/>
  <c r="AB33" s="1"/>
  <c r="D33"/>
  <c r="AA33" s="1"/>
  <c r="C33"/>
  <c r="Z33" s="1"/>
  <c r="Y32"/>
  <c r="G32"/>
  <c r="AD32" s="1"/>
  <c r="F32"/>
  <c r="AC32" s="1"/>
  <c r="E32"/>
  <c r="AB32" s="1"/>
  <c r="D32"/>
  <c r="AA32" s="1"/>
  <c r="C32"/>
  <c r="Z32" s="1"/>
  <c r="Y31"/>
  <c r="G31"/>
  <c r="AD31" s="1"/>
  <c r="F31"/>
  <c r="AC31" s="1"/>
  <c r="E31"/>
  <c r="AB31" s="1"/>
  <c r="D31"/>
  <c r="AA31" s="1"/>
  <c r="C31"/>
  <c r="Z31" s="1"/>
  <c r="Y30"/>
  <c r="G30"/>
  <c r="AD30" s="1"/>
  <c r="F30"/>
  <c r="AC30" s="1"/>
  <c r="E30"/>
  <c r="AB30" s="1"/>
  <c r="D30"/>
  <c r="AA30" s="1"/>
  <c r="C30"/>
  <c r="Z30" s="1"/>
  <c r="Y29"/>
  <c r="G29"/>
  <c r="AD29" s="1"/>
  <c r="F29"/>
  <c r="AC29" s="1"/>
  <c r="E29"/>
  <c r="AB29" s="1"/>
  <c r="D29"/>
  <c r="AA29" s="1"/>
  <c r="C29"/>
  <c r="Z29" s="1"/>
  <c r="Y28"/>
  <c r="G28"/>
  <c r="AD28" s="1"/>
  <c r="F28"/>
  <c r="AC28" s="1"/>
  <c r="E28"/>
  <c r="AB28" s="1"/>
  <c r="D28"/>
  <c r="AA28" s="1"/>
  <c r="C28"/>
  <c r="Z28" s="1"/>
  <c r="Y27"/>
  <c r="G27"/>
  <c r="F27"/>
  <c r="AC27" s="1"/>
  <c r="E27"/>
  <c r="AB27" s="1"/>
  <c r="D27"/>
  <c r="AA27" s="1"/>
  <c r="C27"/>
  <c r="Z27" s="1"/>
  <c r="Y26"/>
  <c r="G26"/>
  <c r="AD26" s="1"/>
  <c r="F26"/>
  <c r="AC26" s="1"/>
  <c r="E26"/>
  <c r="AB26" s="1"/>
  <c r="D26"/>
  <c r="AA26" s="1"/>
  <c r="C26"/>
  <c r="Z26" s="1"/>
  <c r="Y25"/>
  <c r="G25"/>
  <c r="AD25" s="1"/>
  <c r="F25"/>
  <c r="AC25" s="1"/>
  <c r="E25"/>
  <c r="AB25" s="1"/>
  <c r="D25"/>
  <c r="AA25" s="1"/>
  <c r="C25"/>
  <c r="Z25" s="1"/>
  <c r="Y24"/>
  <c r="G24"/>
  <c r="AD24" s="1"/>
  <c r="F24"/>
  <c r="AC24" s="1"/>
  <c r="E24"/>
  <c r="AB24" s="1"/>
  <c r="D24"/>
  <c r="AA24" s="1"/>
  <c r="C24"/>
  <c r="Z24" s="1"/>
  <c r="Y23"/>
  <c r="G23"/>
  <c r="AD23" s="1"/>
  <c r="F23"/>
  <c r="AC23" s="1"/>
  <c r="E23"/>
  <c r="AB23" s="1"/>
  <c r="D23"/>
  <c r="AA23" s="1"/>
  <c r="C23"/>
  <c r="Z23" s="1"/>
  <c r="Y22"/>
  <c r="G22"/>
  <c r="AD22" s="1"/>
  <c r="F22"/>
  <c r="AC22" s="1"/>
  <c r="E22"/>
  <c r="AB22" s="1"/>
  <c r="D22"/>
  <c r="AA22" s="1"/>
  <c r="C22"/>
  <c r="Z22" s="1"/>
  <c r="Y21"/>
  <c r="G21"/>
  <c r="AD21" s="1"/>
  <c r="F21"/>
  <c r="AC21" s="1"/>
  <c r="E21"/>
  <c r="AB21" s="1"/>
  <c r="D21"/>
  <c r="AA21" s="1"/>
  <c r="C21"/>
  <c r="Z21" s="1"/>
  <c r="Y20"/>
  <c r="G20"/>
  <c r="AD20" s="1"/>
  <c r="F20"/>
  <c r="AC20" s="1"/>
  <c r="E20"/>
  <c r="AB20" s="1"/>
  <c r="D20"/>
  <c r="AA20" s="1"/>
  <c r="C20"/>
  <c r="Z20" s="1"/>
  <c r="Y19"/>
  <c r="G19"/>
  <c r="AD19" s="1"/>
  <c r="F19"/>
  <c r="AC19" s="1"/>
  <c r="E19"/>
  <c r="AB19" s="1"/>
  <c r="D19"/>
  <c r="AA19" s="1"/>
  <c r="C19"/>
  <c r="Z19" s="1"/>
  <c r="Y18"/>
  <c r="G18"/>
  <c r="AD18" s="1"/>
  <c r="F18"/>
  <c r="E18"/>
  <c r="AB18" s="1"/>
  <c r="D18"/>
  <c r="AA18" s="1"/>
  <c r="C18"/>
  <c r="Z18" s="1"/>
  <c r="Y17"/>
  <c r="G17"/>
  <c r="AD17" s="1"/>
  <c r="F17"/>
  <c r="AC17" s="1"/>
  <c r="E17"/>
  <c r="AB17" s="1"/>
  <c r="D17"/>
  <c r="AA17" s="1"/>
  <c r="C17"/>
  <c r="Z17" s="1"/>
  <c r="Y16"/>
  <c r="G16"/>
  <c r="AD16" s="1"/>
  <c r="F16"/>
  <c r="AC16" s="1"/>
  <c r="E16"/>
  <c r="AB16" s="1"/>
  <c r="D16"/>
  <c r="AA16" s="1"/>
  <c r="C16"/>
  <c r="Z16" s="1"/>
  <c r="Y15"/>
  <c r="G15"/>
  <c r="AD15" s="1"/>
  <c r="F15"/>
  <c r="AC15" s="1"/>
  <c r="E15"/>
  <c r="AB15" s="1"/>
  <c r="D15"/>
  <c r="AA15" s="1"/>
  <c r="C15"/>
  <c r="Z15" s="1"/>
  <c r="Y14"/>
  <c r="G14"/>
  <c r="AD14" s="1"/>
  <c r="F14"/>
  <c r="AC14" s="1"/>
  <c r="E14"/>
  <c r="AB14" s="1"/>
  <c r="D14"/>
  <c r="AA14" s="1"/>
  <c r="C14"/>
  <c r="Y13"/>
  <c r="G13"/>
  <c r="AD13" s="1"/>
  <c r="F13"/>
  <c r="AC13" s="1"/>
  <c r="E13"/>
  <c r="AB13" s="1"/>
  <c r="D13"/>
  <c r="AA13" s="1"/>
  <c r="C13"/>
  <c r="Z13" s="1"/>
  <c r="Y12"/>
  <c r="G12"/>
  <c r="AD12" s="1"/>
  <c r="F12"/>
  <c r="AC12" s="1"/>
  <c r="E12"/>
  <c r="AB12" s="1"/>
  <c r="D12"/>
  <c r="AA12" s="1"/>
  <c r="C12"/>
  <c r="AD10"/>
  <c r="AC10"/>
  <c r="AB10"/>
  <c r="AA10"/>
  <c r="Z10"/>
  <c r="AA7"/>
  <c r="Y6"/>
  <c r="A6"/>
  <c r="A5"/>
  <c r="A4"/>
  <c r="X306" l="1"/>
  <c r="X127"/>
  <c r="Z127"/>
  <c r="X51"/>
  <c r="X115"/>
  <c r="X221"/>
  <c r="X36"/>
  <c r="Z51"/>
  <c r="X54"/>
  <c r="X44"/>
  <c r="X90"/>
  <c r="X107"/>
  <c r="X14"/>
  <c r="X32"/>
  <c r="X79"/>
  <c r="X87"/>
  <c r="X103"/>
  <c r="X118"/>
  <c r="X119"/>
  <c r="X122"/>
  <c r="X135"/>
  <c r="Z135"/>
  <c r="X147"/>
  <c r="X159"/>
  <c r="Z159"/>
  <c r="X160"/>
  <c r="X95"/>
  <c r="X18"/>
  <c r="X22"/>
  <c r="X30"/>
  <c r="X70"/>
  <c r="X111"/>
  <c r="AA122"/>
  <c r="X123"/>
  <c r="X131"/>
  <c r="X134"/>
  <c r="X143"/>
  <c r="X26"/>
  <c r="X27"/>
  <c r="AD27"/>
  <c r="X47"/>
  <c r="AD47"/>
  <c r="X55"/>
  <c r="AD55"/>
  <c r="X59"/>
  <c r="X66"/>
  <c r="X75"/>
  <c r="X83"/>
  <c r="AD83"/>
  <c r="X94"/>
  <c r="X99"/>
  <c r="X102"/>
  <c r="X139"/>
  <c r="Z139"/>
  <c r="X264"/>
  <c r="Z264"/>
  <c r="X130"/>
  <c r="Z143"/>
  <c r="Z147"/>
  <c r="Z160"/>
  <c r="X216"/>
  <c r="X252"/>
  <c r="X270"/>
  <c r="X272"/>
  <c r="X276"/>
  <c r="X427"/>
  <c r="Z427"/>
  <c r="X151"/>
  <c r="X155"/>
  <c r="X202"/>
  <c r="X254"/>
  <c r="X286"/>
  <c r="Z286"/>
  <c r="X334"/>
  <c r="Z334"/>
  <c r="X194"/>
  <c r="X226"/>
  <c r="X248"/>
  <c r="X256"/>
  <c r="Z256"/>
  <c r="X278"/>
  <c r="X280"/>
  <c r="X284"/>
  <c r="X298"/>
  <c r="X260"/>
  <c r="X262"/>
  <c r="X268"/>
  <c r="X288"/>
  <c r="X436"/>
  <c r="Z436"/>
  <c r="X443"/>
  <c r="Z443"/>
  <c r="X452"/>
  <c r="Z452"/>
  <c r="X302"/>
  <c r="X328"/>
  <c r="X338"/>
  <c r="X344"/>
  <c r="X363"/>
  <c r="X379"/>
  <c r="X395"/>
  <c r="X404"/>
  <c r="X459"/>
  <c r="X411"/>
  <c r="X420"/>
  <c r="X12"/>
  <c r="Z12"/>
  <c r="Z382"/>
  <c r="X382"/>
  <c r="Z14"/>
  <c r="X17"/>
  <c r="X20"/>
  <c r="X29"/>
  <c r="X40"/>
  <c r="X58"/>
  <c r="Z60"/>
  <c r="X60"/>
  <c r="Z66"/>
  <c r="X71"/>
  <c r="AA73"/>
  <c r="X73"/>
  <c r="AD87"/>
  <c r="Z124"/>
  <c r="X124"/>
  <c r="Z144"/>
  <c r="X144"/>
  <c r="X173"/>
  <c r="Z173"/>
  <c r="X86"/>
  <c r="Z88"/>
  <c r="X88"/>
  <c r="AA101"/>
  <c r="X101"/>
  <c r="AC102"/>
  <c r="Z175"/>
  <c r="X175"/>
  <c r="X322"/>
  <c r="Z322"/>
  <c r="AD79"/>
  <c r="X114"/>
  <c r="Z116"/>
  <c r="X116"/>
  <c r="AA129"/>
  <c r="X129"/>
  <c r="AB158"/>
  <c r="X158"/>
  <c r="Z183"/>
  <c r="X183"/>
  <c r="AC18"/>
  <c r="AA37"/>
  <c r="X37"/>
  <c r="X78"/>
  <c r="Z80"/>
  <c r="X80"/>
  <c r="X91"/>
  <c r="Z92"/>
  <c r="X92"/>
  <c r="AA109"/>
  <c r="X109"/>
  <c r="X23"/>
  <c r="X50"/>
  <c r="X63"/>
  <c r="X34"/>
  <c r="X42"/>
  <c r="AA93"/>
  <c r="X93"/>
  <c r="X13"/>
  <c r="AA57"/>
  <c r="X57"/>
  <c r="X106"/>
  <c r="Z108"/>
  <c r="X108"/>
  <c r="AA121"/>
  <c r="X121"/>
  <c r="AA45"/>
  <c r="X45"/>
  <c r="X146"/>
  <c r="AB146"/>
  <c r="X28"/>
  <c r="X31"/>
  <c r="Z72"/>
  <c r="X72"/>
  <c r="AA85"/>
  <c r="X85"/>
  <c r="Z136"/>
  <c r="X136"/>
  <c r="Z148"/>
  <c r="X148"/>
  <c r="X204"/>
  <c r="Z204"/>
  <c r="X234"/>
  <c r="AA65"/>
  <c r="X65"/>
  <c r="X16"/>
  <c r="X19"/>
  <c r="X25"/>
  <c r="X39"/>
  <c r="AA49"/>
  <c r="X49"/>
  <c r="X98"/>
  <c r="Z100"/>
  <c r="X100"/>
  <c r="AA113"/>
  <c r="X113"/>
  <c r="X162"/>
  <c r="Z162"/>
  <c r="X189"/>
  <c r="Z189"/>
  <c r="X210"/>
  <c r="X292"/>
  <c r="Z292"/>
  <c r="Z96"/>
  <c r="X96"/>
  <c r="AA137"/>
  <c r="X137"/>
  <c r="Z52"/>
  <c r="X52"/>
  <c r="AA41"/>
  <c r="X41"/>
  <c r="X62"/>
  <c r="Z64"/>
  <c r="X64"/>
  <c r="AA77"/>
  <c r="X77"/>
  <c r="X126"/>
  <c r="Z128"/>
  <c r="X128"/>
  <c r="X236"/>
  <c r="Z236"/>
  <c r="X150"/>
  <c r="AB150"/>
  <c r="X170"/>
  <c r="Z170"/>
  <c r="X172"/>
  <c r="Z172"/>
  <c r="X178"/>
  <c r="Z178"/>
  <c r="X197"/>
  <c r="Z197"/>
  <c r="Z56"/>
  <c r="X56"/>
  <c r="X67"/>
  <c r="AA69"/>
  <c r="X69"/>
  <c r="Z120"/>
  <c r="X120"/>
  <c r="AA133"/>
  <c r="X133"/>
  <c r="X33"/>
  <c r="X82"/>
  <c r="Z84"/>
  <c r="X84"/>
  <c r="AA97"/>
  <c r="X97"/>
  <c r="Z152"/>
  <c r="X152"/>
  <c r="X229"/>
  <c r="Z229"/>
  <c r="X24"/>
  <c r="X38"/>
  <c r="Z48"/>
  <c r="X48"/>
  <c r="X46"/>
  <c r="AA61"/>
  <c r="X61"/>
  <c r="X110"/>
  <c r="Z112"/>
  <c r="X112"/>
  <c r="AA125"/>
  <c r="X125"/>
  <c r="X138"/>
  <c r="Z140"/>
  <c r="X140"/>
  <c r="X21"/>
  <c r="X74"/>
  <c r="Z76"/>
  <c r="X76"/>
  <c r="AA89"/>
  <c r="X89"/>
  <c r="AA105"/>
  <c r="X105"/>
  <c r="X15"/>
  <c r="AA53"/>
  <c r="X53"/>
  <c r="X154"/>
  <c r="AB154"/>
  <c r="X165"/>
  <c r="Z165"/>
  <c r="Z104"/>
  <c r="X104"/>
  <c r="AA117"/>
  <c r="X117"/>
  <c r="X205"/>
  <c r="Z205"/>
  <c r="X35"/>
  <c r="X43"/>
  <c r="Z68"/>
  <c r="X68"/>
  <c r="AA81"/>
  <c r="X81"/>
  <c r="Z132"/>
  <c r="X132"/>
  <c r="X142"/>
  <c r="AB142"/>
  <c r="Z167"/>
  <c r="X167"/>
  <c r="X188"/>
  <c r="Z188"/>
  <c r="X220"/>
  <c r="Z220"/>
  <c r="X192"/>
  <c r="X224"/>
  <c r="X455"/>
  <c r="Z455"/>
  <c r="X141"/>
  <c r="X145"/>
  <c r="X149"/>
  <c r="X153"/>
  <c r="X157"/>
  <c r="X177"/>
  <c r="X182"/>
  <c r="X209"/>
  <c r="X214"/>
  <c r="X241"/>
  <c r="X246"/>
  <c r="Z253"/>
  <c r="X253"/>
  <c r="Z269"/>
  <c r="X269"/>
  <c r="Z285"/>
  <c r="X285"/>
  <c r="X307"/>
  <c r="Z307"/>
  <c r="Z333"/>
  <c r="X333"/>
  <c r="X375"/>
  <c r="Z375"/>
  <c r="X296"/>
  <c r="Z296"/>
  <c r="Z317"/>
  <c r="X317"/>
  <c r="X342"/>
  <c r="Z342"/>
  <c r="Z446"/>
  <c r="X446"/>
  <c r="X355"/>
  <c r="Z355"/>
  <c r="Z366"/>
  <c r="X366"/>
  <c r="X439"/>
  <c r="Z439"/>
  <c r="X184"/>
  <c r="X156"/>
  <c r="X169"/>
  <c r="X174"/>
  <c r="Z179"/>
  <c r="X179"/>
  <c r="X201"/>
  <c r="X206"/>
  <c r="X233"/>
  <c r="X238"/>
  <c r="Z257"/>
  <c r="X257"/>
  <c r="Z273"/>
  <c r="X273"/>
  <c r="Z289"/>
  <c r="X289"/>
  <c r="X359"/>
  <c r="Z359"/>
  <c r="Z430"/>
  <c r="X430"/>
  <c r="X164"/>
  <c r="Z192"/>
  <c r="X196"/>
  <c r="Z224"/>
  <c r="X228"/>
  <c r="X250"/>
  <c r="Z260"/>
  <c r="X266"/>
  <c r="Z276"/>
  <c r="X282"/>
  <c r="Z361"/>
  <c r="X361"/>
  <c r="X423"/>
  <c r="Z423"/>
  <c r="Z177"/>
  <c r="X181"/>
  <c r="Z182"/>
  <c r="X186"/>
  <c r="Z209"/>
  <c r="X213"/>
  <c r="X218"/>
  <c r="Z241"/>
  <c r="X245"/>
  <c r="X293"/>
  <c r="X323"/>
  <c r="Z323"/>
  <c r="X339"/>
  <c r="Z339"/>
  <c r="X176"/>
  <c r="X208"/>
  <c r="X240"/>
  <c r="Z414"/>
  <c r="X414"/>
  <c r="X161"/>
  <c r="X166"/>
  <c r="Z171"/>
  <c r="X171"/>
  <c r="X193"/>
  <c r="X198"/>
  <c r="Z221"/>
  <c r="X225"/>
  <c r="X230"/>
  <c r="Z261"/>
  <c r="X261"/>
  <c r="Z277"/>
  <c r="X277"/>
  <c r="Z298"/>
  <c r="X407"/>
  <c r="Z407"/>
  <c r="X310"/>
  <c r="Z310"/>
  <c r="X312"/>
  <c r="Z312"/>
  <c r="X242"/>
  <c r="X354"/>
  <c r="Z354"/>
  <c r="Z398"/>
  <c r="X398"/>
  <c r="X237"/>
  <c r="X168"/>
  <c r="Z196"/>
  <c r="X200"/>
  <c r="Z228"/>
  <c r="X232"/>
  <c r="Z163"/>
  <c r="X163"/>
  <c r="X185"/>
  <c r="X190"/>
  <c r="X217"/>
  <c r="X222"/>
  <c r="Z249"/>
  <c r="X249"/>
  <c r="Z265"/>
  <c r="X265"/>
  <c r="Z281"/>
  <c r="X281"/>
  <c r="X391"/>
  <c r="Z391"/>
  <c r="Z176"/>
  <c r="X180"/>
  <c r="Z208"/>
  <c r="X212"/>
  <c r="Z240"/>
  <c r="X244"/>
  <c r="Z252"/>
  <c r="X258"/>
  <c r="Z268"/>
  <c r="X274"/>
  <c r="Z284"/>
  <c r="X290"/>
  <c r="Z301"/>
  <c r="X301"/>
  <c r="Z306"/>
  <c r="Z349"/>
  <c r="X349"/>
  <c r="X295"/>
  <c r="X300"/>
  <c r="Z305"/>
  <c r="X305"/>
  <c r="X327"/>
  <c r="X332"/>
  <c r="Z337"/>
  <c r="X337"/>
  <c r="X368"/>
  <c r="X384"/>
  <c r="X400"/>
  <c r="X416"/>
  <c r="X432"/>
  <c r="X448"/>
  <c r="Z377"/>
  <c r="X377"/>
  <c r="Z393"/>
  <c r="X393"/>
  <c r="Z409"/>
  <c r="X409"/>
  <c r="Z425"/>
  <c r="X425"/>
  <c r="Z441"/>
  <c r="X441"/>
  <c r="Z457"/>
  <c r="X457"/>
  <c r="Z370"/>
  <c r="X370"/>
  <c r="Z386"/>
  <c r="X386"/>
  <c r="Z402"/>
  <c r="X402"/>
  <c r="Z418"/>
  <c r="X418"/>
  <c r="Z434"/>
  <c r="X434"/>
  <c r="Z450"/>
  <c r="X450"/>
  <c r="Z297"/>
  <c r="X297"/>
  <c r="X319"/>
  <c r="X324"/>
  <c r="Z329"/>
  <c r="X329"/>
  <c r="X351"/>
  <c r="X356"/>
  <c r="X372"/>
  <c r="X388"/>
  <c r="X314"/>
  <c r="X346"/>
  <c r="X299"/>
  <c r="X304"/>
  <c r="Z309"/>
  <c r="X309"/>
  <c r="X331"/>
  <c r="X336"/>
  <c r="Z341"/>
  <c r="X341"/>
  <c r="Z365"/>
  <c r="X365"/>
  <c r="Z381"/>
  <c r="X381"/>
  <c r="Z397"/>
  <c r="X397"/>
  <c r="Z413"/>
  <c r="X413"/>
  <c r="Z429"/>
  <c r="X429"/>
  <c r="Z445"/>
  <c r="X445"/>
  <c r="X294"/>
  <c r="X326"/>
  <c r="Z358"/>
  <c r="X358"/>
  <c r="X367"/>
  <c r="Z374"/>
  <c r="X374"/>
  <c r="X383"/>
  <c r="Z390"/>
  <c r="X390"/>
  <c r="X399"/>
  <c r="Z406"/>
  <c r="X406"/>
  <c r="X415"/>
  <c r="Z422"/>
  <c r="X422"/>
  <c r="X431"/>
  <c r="Z438"/>
  <c r="X438"/>
  <c r="X447"/>
  <c r="Z454"/>
  <c r="X454"/>
  <c r="X311"/>
  <c r="X316"/>
  <c r="Z321"/>
  <c r="X321"/>
  <c r="X343"/>
  <c r="X348"/>
  <c r="Z353"/>
  <c r="X353"/>
  <c r="X360"/>
  <c r="X376"/>
  <c r="X392"/>
  <c r="X408"/>
  <c r="X424"/>
  <c r="X440"/>
  <c r="X456"/>
  <c r="Z369"/>
  <c r="X369"/>
  <c r="Z385"/>
  <c r="X385"/>
  <c r="Z401"/>
  <c r="X401"/>
  <c r="Z417"/>
  <c r="X417"/>
  <c r="Z433"/>
  <c r="X433"/>
  <c r="Z449"/>
  <c r="X449"/>
  <c r="Z314"/>
  <c r="X318"/>
  <c r="Z346"/>
  <c r="X350"/>
  <c r="Z362"/>
  <c r="X362"/>
  <c r="X371"/>
  <c r="Z378"/>
  <c r="X378"/>
  <c r="X387"/>
  <c r="Z394"/>
  <c r="X394"/>
  <c r="X403"/>
  <c r="Z410"/>
  <c r="X410"/>
  <c r="X419"/>
  <c r="Z426"/>
  <c r="X426"/>
  <c r="X435"/>
  <c r="Z442"/>
  <c r="X442"/>
  <c r="X451"/>
  <c r="Z458"/>
  <c r="X458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Z299"/>
  <c r="X303"/>
  <c r="Z304"/>
  <c r="X308"/>
  <c r="Z313"/>
  <c r="X313"/>
  <c r="Z331"/>
  <c r="X335"/>
  <c r="X340"/>
  <c r="Z345"/>
  <c r="X345"/>
  <c r="X364"/>
  <c r="X380"/>
  <c r="X396"/>
  <c r="X412"/>
  <c r="X428"/>
  <c r="X444"/>
  <c r="X460"/>
  <c r="X330"/>
  <c r="X315"/>
  <c r="X320"/>
  <c r="Z325"/>
  <c r="X325"/>
  <c r="X347"/>
  <c r="X352"/>
  <c r="Z357"/>
  <c r="X357"/>
  <c r="Z373"/>
  <c r="X373"/>
  <c r="Z389"/>
  <c r="X389"/>
  <c r="Z405"/>
  <c r="X405"/>
  <c r="Z421"/>
  <c r="X421"/>
  <c r="Z437"/>
  <c r="X437"/>
  <c r="Z453"/>
  <c r="X453"/>
  <c r="X461"/>
  <c r="S3" i="10" l="1"/>
  <c r="A3"/>
  <c r="S461" l="1"/>
  <c r="R461"/>
  <c r="N461"/>
  <c r="M461"/>
  <c r="L461"/>
  <c r="K461"/>
  <c r="J461"/>
  <c r="G461"/>
  <c r="X461" s="1"/>
  <c r="G460" i="11" s="1"/>
  <c r="F461" i="10"/>
  <c r="E461"/>
  <c r="D461"/>
  <c r="C461"/>
  <c r="T461" s="1"/>
  <c r="C460" i="11" s="1"/>
  <c r="S460" i="10"/>
  <c r="R460"/>
  <c r="N460"/>
  <c r="M460"/>
  <c r="L460"/>
  <c r="K460"/>
  <c r="J460"/>
  <c r="G460"/>
  <c r="X460" s="1"/>
  <c r="G459" i="11" s="1"/>
  <c r="F460" i="10"/>
  <c r="E460"/>
  <c r="D460"/>
  <c r="C460"/>
  <c r="T460" s="1"/>
  <c r="C459" i="11" s="1"/>
  <c r="S459" i="10"/>
  <c r="R459"/>
  <c r="N459"/>
  <c r="M459"/>
  <c r="L459"/>
  <c r="K459"/>
  <c r="J459"/>
  <c r="G459"/>
  <c r="X459" s="1"/>
  <c r="G458" i="11" s="1"/>
  <c r="F459" i="10"/>
  <c r="E459"/>
  <c r="D459"/>
  <c r="C459"/>
  <c r="S458"/>
  <c r="R458"/>
  <c r="N458"/>
  <c r="M458"/>
  <c r="L458"/>
  <c r="K458"/>
  <c r="J458"/>
  <c r="G458"/>
  <c r="X458" s="1"/>
  <c r="G457" i="11" s="1"/>
  <c r="F458" i="10"/>
  <c r="E458"/>
  <c r="D458"/>
  <c r="C458"/>
  <c r="S457"/>
  <c r="R457"/>
  <c r="N457"/>
  <c r="M457"/>
  <c r="L457"/>
  <c r="K457"/>
  <c r="J457"/>
  <c r="G457"/>
  <c r="F457"/>
  <c r="E457"/>
  <c r="D457"/>
  <c r="C457"/>
  <c r="S456"/>
  <c r="R456"/>
  <c r="N456"/>
  <c r="M456"/>
  <c r="L456"/>
  <c r="K456"/>
  <c r="J456"/>
  <c r="G456"/>
  <c r="F456"/>
  <c r="E456"/>
  <c r="D456"/>
  <c r="C456"/>
  <c r="T456" s="1"/>
  <c r="C455" i="11" s="1"/>
  <c r="S455" i="10"/>
  <c r="R455"/>
  <c r="N455"/>
  <c r="M455"/>
  <c r="L455"/>
  <c r="K455"/>
  <c r="J455"/>
  <c r="G455"/>
  <c r="X455" s="1"/>
  <c r="G454" i="11" s="1"/>
  <c r="F455" i="10"/>
  <c r="E455"/>
  <c r="D455"/>
  <c r="C455"/>
  <c r="T455" s="1"/>
  <c r="C454" i="11" s="1"/>
  <c r="S454" i="10"/>
  <c r="R454"/>
  <c r="N454"/>
  <c r="M454"/>
  <c r="L454"/>
  <c r="K454"/>
  <c r="J454"/>
  <c r="G454"/>
  <c r="F454"/>
  <c r="E454"/>
  <c r="V454" s="1"/>
  <c r="E453" i="11" s="1"/>
  <c r="D454" i="10"/>
  <c r="C454"/>
  <c r="S453"/>
  <c r="R453"/>
  <c r="N453"/>
  <c r="M453"/>
  <c r="L453"/>
  <c r="K453"/>
  <c r="J453"/>
  <c r="G453"/>
  <c r="F453"/>
  <c r="E453"/>
  <c r="V453" s="1"/>
  <c r="E452" i="11" s="1"/>
  <c r="D453" i="10"/>
  <c r="C453"/>
  <c r="S452"/>
  <c r="R452"/>
  <c r="N452"/>
  <c r="M452"/>
  <c r="L452"/>
  <c r="K452"/>
  <c r="J452"/>
  <c r="G452"/>
  <c r="F452"/>
  <c r="E452"/>
  <c r="V452" s="1"/>
  <c r="E451" i="11" s="1"/>
  <c r="D452" i="10"/>
  <c r="C452"/>
  <c r="S451"/>
  <c r="R451"/>
  <c r="N451"/>
  <c r="M451"/>
  <c r="L451"/>
  <c r="K451"/>
  <c r="J451"/>
  <c r="G451"/>
  <c r="F451"/>
  <c r="E451"/>
  <c r="V451" s="1"/>
  <c r="E450" i="11" s="1"/>
  <c r="D451" i="10"/>
  <c r="C451"/>
  <c r="S450"/>
  <c r="R450"/>
  <c r="N450"/>
  <c r="M450"/>
  <c r="L450"/>
  <c r="K450"/>
  <c r="J450"/>
  <c r="G450"/>
  <c r="F450"/>
  <c r="E450"/>
  <c r="D450"/>
  <c r="C450"/>
  <c r="S449"/>
  <c r="R449"/>
  <c r="N449"/>
  <c r="M449"/>
  <c r="L449"/>
  <c r="K449"/>
  <c r="J449"/>
  <c r="G449"/>
  <c r="F449"/>
  <c r="E449"/>
  <c r="D449"/>
  <c r="C449"/>
  <c r="S448"/>
  <c r="R448"/>
  <c r="N448"/>
  <c r="M448"/>
  <c r="L448"/>
  <c r="K448"/>
  <c r="J448"/>
  <c r="G448"/>
  <c r="F448"/>
  <c r="E448"/>
  <c r="V448" s="1"/>
  <c r="E447" i="11" s="1"/>
  <c r="D448" i="10"/>
  <c r="C448"/>
  <c r="S447"/>
  <c r="R447"/>
  <c r="N447"/>
  <c r="M447"/>
  <c r="L447"/>
  <c r="K447"/>
  <c r="J447"/>
  <c r="G447"/>
  <c r="F447"/>
  <c r="E447"/>
  <c r="V447" s="1"/>
  <c r="E446" i="11" s="1"/>
  <c r="D447" i="10"/>
  <c r="C447"/>
  <c r="S446"/>
  <c r="R446"/>
  <c r="N446"/>
  <c r="M446"/>
  <c r="L446"/>
  <c r="K446"/>
  <c r="J446"/>
  <c r="G446"/>
  <c r="F446"/>
  <c r="E446"/>
  <c r="D446"/>
  <c r="C446"/>
  <c r="S445"/>
  <c r="R445"/>
  <c r="N445"/>
  <c r="M445"/>
  <c r="L445"/>
  <c r="K445"/>
  <c r="J445"/>
  <c r="G445"/>
  <c r="F445"/>
  <c r="E445"/>
  <c r="V445" s="1"/>
  <c r="E444" i="11" s="1"/>
  <c r="D445" i="10"/>
  <c r="C445"/>
  <c r="S444"/>
  <c r="R444"/>
  <c r="N444"/>
  <c r="M444"/>
  <c r="L444"/>
  <c r="K444"/>
  <c r="J444"/>
  <c r="G444"/>
  <c r="F444"/>
  <c r="E444"/>
  <c r="V444" s="1"/>
  <c r="E443" i="11" s="1"/>
  <c r="D444" i="10"/>
  <c r="C444"/>
  <c r="S443"/>
  <c r="R443"/>
  <c r="N443"/>
  <c r="M443"/>
  <c r="L443"/>
  <c r="K443"/>
  <c r="J443"/>
  <c r="G443"/>
  <c r="F443"/>
  <c r="E443"/>
  <c r="V443" s="1"/>
  <c r="E442" i="11" s="1"/>
  <c r="D443" i="10"/>
  <c r="C443"/>
  <c r="S442"/>
  <c r="R442"/>
  <c r="N442"/>
  <c r="M442"/>
  <c r="L442"/>
  <c r="K442"/>
  <c r="J442"/>
  <c r="G442"/>
  <c r="F442"/>
  <c r="E442"/>
  <c r="V442" s="1"/>
  <c r="E441" i="11" s="1"/>
  <c r="D442" i="10"/>
  <c r="C442"/>
  <c r="S441"/>
  <c r="R441"/>
  <c r="N441"/>
  <c r="M441"/>
  <c r="L441"/>
  <c r="K441"/>
  <c r="J441"/>
  <c r="G441"/>
  <c r="F441"/>
  <c r="E441"/>
  <c r="D441"/>
  <c r="C441"/>
  <c r="S440"/>
  <c r="R440"/>
  <c r="N440"/>
  <c r="M440"/>
  <c r="L440"/>
  <c r="K440"/>
  <c r="J440"/>
  <c r="G440"/>
  <c r="F440"/>
  <c r="E440"/>
  <c r="D440"/>
  <c r="C440"/>
  <c r="S439"/>
  <c r="R439"/>
  <c r="N439"/>
  <c r="M439"/>
  <c r="L439"/>
  <c r="K439"/>
  <c r="J439"/>
  <c r="G439"/>
  <c r="F439"/>
  <c r="E439"/>
  <c r="D439"/>
  <c r="C439"/>
  <c r="S438"/>
  <c r="R438"/>
  <c r="N438"/>
  <c r="M438"/>
  <c r="L438"/>
  <c r="K438"/>
  <c r="J438"/>
  <c r="G438"/>
  <c r="F438"/>
  <c r="E438"/>
  <c r="D438"/>
  <c r="C438"/>
  <c r="S437"/>
  <c r="R437"/>
  <c r="N437"/>
  <c r="M437"/>
  <c r="L437"/>
  <c r="K437"/>
  <c r="J437"/>
  <c r="G437"/>
  <c r="F437"/>
  <c r="E437"/>
  <c r="D437"/>
  <c r="C437"/>
  <c r="S436"/>
  <c r="R436"/>
  <c r="N436"/>
  <c r="M436"/>
  <c r="L436"/>
  <c r="K436"/>
  <c r="J436"/>
  <c r="G436"/>
  <c r="F436"/>
  <c r="E436"/>
  <c r="D436"/>
  <c r="C436"/>
  <c r="S435"/>
  <c r="R435"/>
  <c r="N435"/>
  <c r="M435"/>
  <c r="L435"/>
  <c r="K435"/>
  <c r="J435"/>
  <c r="G435"/>
  <c r="F435"/>
  <c r="E435"/>
  <c r="D435"/>
  <c r="C435"/>
  <c r="S434"/>
  <c r="R434"/>
  <c r="N434"/>
  <c r="M434"/>
  <c r="L434"/>
  <c r="K434"/>
  <c r="J434"/>
  <c r="G434"/>
  <c r="F434"/>
  <c r="E434"/>
  <c r="D434"/>
  <c r="C434"/>
  <c r="S433"/>
  <c r="R433"/>
  <c r="N433"/>
  <c r="M433"/>
  <c r="L433"/>
  <c r="K433"/>
  <c r="J433"/>
  <c r="G433"/>
  <c r="X433" s="1"/>
  <c r="G432" i="11" s="1"/>
  <c r="F433" i="10"/>
  <c r="E433"/>
  <c r="D433"/>
  <c r="C433"/>
  <c r="T433" s="1"/>
  <c r="C432" i="11" s="1"/>
  <c r="S432" i="10"/>
  <c r="R432"/>
  <c r="N432"/>
  <c r="M432"/>
  <c r="L432"/>
  <c r="K432"/>
  <c r="J432"/>
  <c r="G432"/>
  <c r="F432"/>
  <c r="E432"/>
  <c r="D432"/>
  <c r="C432"/>
  <c r="S431"/>
  <c r="R431"/>
  <c r="N431"/>
  <c r="M431"/>
  <c r="L431"/>
  <c r="K431"/>
  <c r="J431"/>
  <c r="G431"/>
  <c r="F431"/>
  <c r="E431"/>
  <c r="V431" s="1"/>
  <c r="E430" i="11" s="1"/>
  <c r="D431" i="10"/>
  <c r="C431"/>
  <c r="S430"/>
  <c r="R430"/>
  <c r="N430"/>
  <c r="M430"/>
  <c r="L430"/>
  <c r="K430"/>
  <c r="J430"/>
  <c r="G430"/>
  <c r="F430"/>
  <c r="E430"/>
  <c r="V430" s="1"/>
  <c r="E429" i="11" s="1"/>
  <c r="D430" i="10"/>
  <c r="C430"/>
  <c r="S429"/>
  <c r="R429"/>
  <c r="N429"/>
  <c r="M429"/>
  <c r="L429"/>
  <c r="K429"/>
  <c r="J429"/>
  <c r="G429"/>
  <c r="F429"/>
  <c r="E429"/>
  <c r="D429"/>
  <c r="C429"/>
  <c r="S428"/>
  <c r="R428"/>
  <c r="N428"/>
  <c r="M428"/>
  <c r="L428"/>
  <c r="K428"/>
  <c r="J428"/>
  <c r="G428"/>
  <c r="F428"/>
  <c r="E428"/>
  <c r="D428"/>
  <c r="C428"/>
  <c r="S427"/>
  <c r="R427"/>
  <c r="N427"/>
  <c r="M427"/>
  <c r="L427"/>
  <c r="K427"/>
  <c r="J427"/>
  <c r="G427"/>
  <c r="F427"/>
  <c r="E427"/>
  <c r="D427"/>
  <c r="C427"/>
  <c r="S426"/>
  <c r="R426"/>
  <c r="N426"/>
  <c r="M426"/>
  <c r="L426"/>
  <c r="K426"/>
  <c r="J426"/>
  <c r="G426"/>
  <c r="F426"/>
  <c r="E426"/>
  <c r="D426"/>
  <c r="C426"/>
  <c r="S425"/>
  <c r="R425"/>
  <c r="N425"/>
  <c r="M425"/>
  <c r="L425"/>
  <c r="K425"/>
  <c r="J425"/>
  <c r="G425"/>
  <c r="F425"/>
  <c r="E425"/>
  <c r="D425"/>
  <c r="C425"/>
  <c r="S424"/>
  <c r="R424"/>
  <c r="N424"/>
  <c r="M424"/>
  <c r="L424"/>
  <c r="K424"/>
  <c r="J424"/>
  <c r="G424"/>
  <c r="F424"/>
  <c r="E424"/>
  <c r="D424"/>
  <c r="C424"/>
  <c r="S423"/>
  <c r="R423"/>
  <c r="N423"/>
  <c r="M423"/>
  <c r="L423"/>
  <c r="K423"/>
  <c r="J423"/>
  <c r="G423"/>
  <c r="F423"/>
  <c r="E423"/>
  <c r="D423"/>
  <c r="C423"/>
  <c r="S422"/>
  <c r="R422"/>
  <c r="N422"/>
  <c r="M422"/>
  <c r="L422"/>
  <c r="K422"/>
  <c r="J422"/>
  <c r="G422"/>
  <c r="F422"/>
  <c r="E422"/>
  <c r="D422"/>
  <c r="C422"/>
  <c r="S421"/>
  <c r="R421"/>
  <c r="N421"/>
  <c r="M421"/>
  <c r="L421"/>
  <c r="K421"/>
  <c r="J421"/>
  <c r="G421"/>
  <c r="F421"/>
  <c r="E421"/>
  <c r="D421"/>
  <c r="C421"/>
  <c r="S420"/>
  <c r="R420"/>
  <c r="N420"/>
  <c r="M420"/>
  <c r="L420"/>
  <c r="K420"/>
  <c r="J420"/>
  <c r="G420"/>
  <c r="F420"/>
  <c r="E420"/>
  <c r="D420"/>
  <c r="C420"/>
  <c r="S419"/>
  <c r="R419"/>
  <c r="N419"/>
  <c r="M419"/>
  <c r="L419"/>
  <c r="K419"/>
  <c r="J419"/>
  <c r="G419"/>
  <c r="F419"/>
  <c r="E419"/>
  <c r="D419"/>
  <c r="C419"/>
  <c r="S418"/>
  <c r="R418"/>
  <c r="N418"/>
  <c r="M418"/>
  <c r="L418"/>
  <c r="K418"/>
  <c r="J418"/>
  <c r="G418"/>
  <c r="F418"/>
  <c r="E418"/>
  <c r="D418"/>
  <c r="C418"/>
  <c r="S417"/>
  <c r="R417"/>
  <c r="N417"/>
  <c r="M417"/>
  <c r="L417"/>
  <c r="K417"/>
  <c r="J417"/>
  <c r="G417"/>
  <c r="F417"/>
  <c r="E417"/>
  <c r="D417"/>
  <c r="U417" s="1"/>
  <c r="D416" i="11" s="1"/>
  <c r="C417" i="10"/>
  <c r="S416"/>
  <c r="R416"/>
  <c r="N416"/>
  <c r="M416"/>
  <c r="L416"/>
  <c r="K416"/>
  <c r="J416"/>
  <c r="G416"/>
  <c r="F416"/>
  <c r="E416"/>
  <c r="D416"/>
  <c r="C416"/>
  <c r="S415"/>
  <c r="R415"/>
  <c r="N415"/>
  <c r="M415"/>
  <c r="L415"/>
  <c r="K415"/>
  <c r="J415"/>
  <c r="G415"/>
  <c r="F415"/>
  <c r="E415"/>
  <c r="D415"/>
  <c r="C415"/>
  <c r="S414"/>
  <c r="R414"/>
  <c r="N414"/>
  <c r="M414"/>
  <c r="L414"/>
  <c r="K414"/>
  <c r="J414"/>
  <c r="G414"/>
  <c r="F414"/>
  <c r="E414"/>
  <c r="D414"/>
  <c r="C414"/>
  <c r="S413"/>
  <c r="R413"/>
  <c r="N413"/>
  <c r="M413"/>
  <c r="L413"/>
  <c r="K413"/>
  <c r="J413"/>
  <c r="G413"/>
  <c r="F413"/>
  <c r="E413"/>
  <c r="D413"/>
  <c r="C413"/>
  <c r="S412"/>
  <c r="R412"/>
  <c r="N412"/>
  <c r="M412"/>
  <c r="L412"/>
  <c r="K412"/>
  <c r="J412"/>
  <c r="G412"/>
  <c r="F412"/>
  <c r="E412"/>
  <c r="D412"/>
  <c r="C412"/>
  <c r="S411"/>
  <c r="R411"/>
  <c r="N411"/>
  <c r="M411"/>
  <c r="L411"/>
  <c r="K411"/>
  <c r="J411"/>
  <c r="G411"/>
  <c r="F411"/>
  <c r="E411"/>
  <c r="D411"/>
  <c r="C411"/>
  <c r="S410"/>
  <c r="R410"/>
  <c r="N410"/>
  <c r="M410"/>
  <c r="L410"/>
  <c r="K410"/>
  <c r="J410"/>
  <c r="G410"/>
  <c r="F410"/>
  <c r="E410"/>
  <c r="D410"/>
  <c r="C410"/>
  <c r="S409"/>
  <c r="R409"/>
  <c r="N409"/>
  <c r="M409"/>
  <c r="L409"/>
  <c r="K409"/>
  <c r="J409"/>
  <c r="G409"/>
  <c r="F409"/>
  <c r="E409"/>
  <c r="D409"/>
  <c r="U409" s="1"/>
  <c r="D408" i="11" s="1"/>
  <c r="C409" i="10"/>
  <c r="S408"/>
  <c r="R408"/>
  <c r="N408"/>
  <c r="M408"/>
  <c r="L408"/>
  <c r="K408"/>
  <c r="J408"/>
  <c r="G408"/>
  <c r="F408"/>
  <c r="E408"/>
  <c r="D408"/>
  <c r="C408"/>
  <c r="S407"/>
  <c r="R407"/>
  <c r="N407"/>
  <c r="M407"/>
  <c r="L407"/>
  <c r="K407"/>
  <c r="J407"/>
  <c r="G407"/>
  <c r="F407"/>
  <c r="E407"/>
  <c r="D407"/>
  <c r="U407" s="1"/>
  <c r="D406" i="11" s="1"/>
  <c r="C407" i="10"/>
  <c r="S406"/>
  <c r="R406"/>
  <c r="N406"/>
  <c r="M406"/>
  <c r="L406"/>
  <c r="K406"/>
  <c r="J406"/>
  <c r="G406"/>
  <c r="F406"/>
  <c r="W406" s="1"/>
  <c r="F405" i="11" s="1"/>
  <c r="E406" i="10"/>
  <c r="D406"/>
  <c r="C406"/>
  <c r="S405"/>
  <c r="R405"/>
  <c r="N405"/>
  <c r="M405"/>
  <c r="L405"/>
  <c r="K405"/>
  <c r="J405"/>
  <c r="G405"/>
  <c r="F405"/>
  <c r="W405" s="1"/>
  <c r="F404" i="11" s="1"/>
  <c r="E405" i="10"/>
  <c r="D405"/>
  <c r="C405"/>
  <c r="S404"/>
  <c r="R404"/>
  <c r="N404"/>
  <c r="M404"/>
  <c r="L404"/>
  <c r="K404"/>
  <c r="J404"/>
  <c r="G404"/>
  <c r="F404"/>
  <c r="W404" s="1"/>
  <c r="F403" i="11" s="1"/>
  <c r="E404" i="10"/>
  <c r="D404"/>
  <c r="C404"/>
  <c r="S403"/>
  <c r="R403"/>
  <c r="N403"/>
  <c r="M403"/>
  <c r="L403"/>
  <c r="K403"/>
  <c r="J403"/>
  <c r="G403"/>
  <c r="F403"/>
  <c r="W403" s="1"/>
  <c r="F402" i="11" s="1"/>
  <c r="E403" i="10"/>
  <c r="D403"/>
  <c r="C403"/>
  <c r="S402"/>
  <c r="R402"/>
  <c r="N402"/>
  <c r="M402"/>
  <c r="L402"/>
  <c r="K402"/>
  <c r="J402"/>
  <c r="G402"/>
  <c r="F402"/>
  <c r="W402" s="1"/>
  <c r="F401" i="11" s="1"/>
  <c r="E402" i="10"/>
  <c r="D402"/>
  <c r="C402"/>
  <c r="S401"/>
  <c r="R401"/>
  <c r="N401"/>
  <c r="M401"/>
  <c r="L401"/>
  <c r="K401"/>
  <c r="J401"/>
  <c r="G401"/>
  <c r="F401"/>
  <c r="E401"/>
  <c r="D401"/>
  <c r="C401"/>
  <c r="S400"/>
  <c r="R400"/>
  <c r="N400"/>
  <c r="M400"/>
  <c r="L400"/>
  <c r="K400"/>
  <c r="J400"/>
  <c r="G400"/>
  <c r="F400"/>
  <c r="E400"/>
  <c r="D400"/>
  <c r="C400"/>
  <c r="S399"/>
  <c r="R399"/>
  <c r="N399"/>
  <c r="M399"/>
  <c r="L399"/>
  <c r="K399"/>
  <c r="J399"/>
  <c r="G399"/>
  <c r="F399"/>
  <c r="E399"/>
  <c r="D399"/>
  <c r="C399"/>
  <c r="S398"/>
  <c r="R398"/>
  <c r="N398"/>
  <c r="M398"/>
  <c r="L398"/>
  <c r="K398"/>
  <c r="J398"/>
  <c r="G398"/>
  <c r="F398"/>
  <c r="E398"/>
  <c r="D398"/>
  <c r="C398"/>
  <c r="S397"/>
  <c r="R397"/>
  <c r="N397"/>
  <c r="M397"/>
  <c r="L397"/>
  <c r="K397"/>
  <c r="J397"/>
  <c r="G397"/>
  <c r="F397"/>
  <c r="E397"/>
  <c r="D397"/>
  <c r="C397"/>
  <c r="S396"/>
  <c r="R396"/>
  <c r="N396"/>
  <c r="M396"/>
  <c r="L396"/>
  <c r="K396"/>
  <c r="J396"/>
  <c r="G396"/>
  <c r="F396"/>
  <c r="E396"/>
  <c r="D396"/>
  <c r="C396"/>
  <c r="S395"/>
  <c r="R395"/>
  <c r="N395"/>
  <c r="M395"/>
  <c r="L395"/>
  <c r="K395"/>
  <c r="J395"/>
  <c r="G395"/>
  <c r="F395"/>
  <c r="E395"/>
  <c r="D395"/>
  <c r="C395"/>
  <c r="S394"/>
  <c r="R394"/>
  <c r="N394"/>
  <c r="M394"/>
  <c r="L394"/>
  <c r="K394"/>
  <c r="J394"/>
  <c r="G394"/>
  <c r="F394"/>
  <c r="E394"/>
  <c r="D394"/>
  <c r="C394"/>
  <c r="S393"/>
  <c r="R393"/>
  <c r="N393"/>
  <c r="M393"/>
  <c r="L393"/>
  <c r="K393"/>
  <c r="J393"/>
  <c r="G393"/>
  <c r="F393"/>
  <c r="E393"/>
  <c r="D393"/>
  <c r="U393" s="1"/>
  <c r="D392" i="11" s="1"/>
  <c r="C393" i="10"/>
  <c r="S392"/>
  <c r="R392"/>
  <c r="N392"/>
  <c r="M392"/>
  <c r="L392"/>
  <c r="K392"/>
  <c r="J392"/>
  <c r="G392"/>
  <c r="F392"/>
  <c r="E392"/>
  <c r="D392"/>
  <c r="C392"/>
  <c r="S391"/>
  <c r="R391"/>
  <c r="N391"/>
  <c r="M391"/>
  <c r="L391"/>
  <c r="K391"/>
  <c r="J391"/>
  <c r="G391"/>
  <c r="F391"/>
  <c r="E391"/>
  <c r="D391"/>
  <c r="U391" s="1"/>
  <c r="D390" i="11" s="1"/>
  <c r="C391" i="10"/>
  <c r="S390"/>
  <c r="R390"/>
  <c r="N390"/>
  <c r="M390"/>
  <c r="L390"/>
  <c r="K390"/>
  <c r="J390"/>
  <c r="G390"/>
  <c r="F390"/>
  <c r="W390" s="1"/>
  <c r="F389" i="11" s="1"/>
  <c r="E390" i="10"/>
  <c r="D390"/>
  <c r="C390"/>
  <c r="S389"/>
  <c r="R389"/>
  <c r="N389"/>
  <c r="M389"/>
  <c r="L389"/>
  <c r="K389"/>
  <c r="J389"/>
  <c r="G389"/>
  <c r="F389"/>
  <c r="W389" s="1"/>
  <c r="F388" i="11" s="1"/>
  <c r="E389" i="10"/>
  <c r="D389"/>
  <c r="C389"/>
  <c r="S388"/>
  <c r="R388"/>
  <c r="N388"/>
  <c r="M388"/>
  <c r="L388"/>
  <c r="K388"/>
  <c r="J388"/>
  <c r="G388"/>
  <c r="F388"/>
  <c r="W388" s="1"/>
  <c r="F387" i="11" s="1"/>
  <c r="E388" i="10"/>
  <c r="D388"/>
  <c r="C388"/>
  <c r="S387"/>
  <c r="R387"/>
  <c r="N387"/>
  <c r="M387"/>
  <c r="L387"/>
  <c r="K387"/>
  <c r="J387"/>
  <c r="G387"/>
  <c r="F387"/>
  <c r="W387" s="1"/>
  <c r="F386" i="11" s="1"/>
  <c r="E387" i="10"/>
  <c r="D387"/>
  <c r="C387"/>
  <c r="S386"/>
  <c r="R386"/>
  <c r="N386"/>
  <c r="M386"/>
  <c r="L386"/>
  <c r="K386"/>
  <c r="J386"/>
  <c r="G386"/>
  <c r="F386"/>
  <c r="W386" s="1"/>
  <c r="F385" i="11" s="1"/>
  <c r="E386" i="10"/>
  <c r="D386"/>
  <c r="C386"/>
  <c r="S385"/>
  <c r="R385"/>
  <c r="N385"/>
  <c r="M385"/>
  <c r="L385"/>
  <c r="K385"/>
  <c r="J385"/>
  <c r="G385"/>
  <c r="X385" s="1"/>
  <c r="G384" i="11" s="1"/>
  <c r="F385" i="10"/>
  <c r="E385"/>
  <c r="D385"/>
  <c r="U385" s="1"/>
  <c r="D384" i="11" s="1"/>
  <c r="C385" i="10"/>
  <c r="S384"/>
  <c r="R384"/>
  <c r="N384"/>
  <c r="M384"/>
  <c r="L384"/>
  <c r="K384"/>
  <c r="J384"/>
  <c r="G384"/>
  <c r="F384"/>
  <c r="E384"/>
  <c r="D384"/>
  <c r="C384"/>
  <c r="S383"/>
  <c r="R383"/>
  <c r="N383"/>
  <c r="M383"/>
  <c r="L383"/>
  <c r="K383"/>
  <c r="J383"/>
  <c r="G383"/>
  <c r="F383"/>
  <c r="E383"/>
  <c r="D383"/>
  <c r="C383"/>
  <c r="S382"/>
  <c r="R382"/>
  <c r="N382"/>
  <c r="M382"/>
  <c r="L382"/>
  <c r="K382"/>
  <c r="J382"/>
  <c r="G382"/>
  <c r="F382"/>
  <c r="E382"/>
  <c r="V382" s="1"/>
  <c r="E381" i="11" s="1"/>
  <c r="D382" i="10"/>
  <c r="C382"/>
  <c r="S381"/>
  <c r="R381"/>
  <c r="N381"/>
  <c r="M381"/>
  <c r="L381"/>
  <c r="K381"/>
  <c r="J381"/>
  <c r="G381"/>
  <c r="F381"/>
  <c r="E381"/>
  <c r="V381" s="1"/>
  <c r="E380" i="11" s="1"/>
  <c r="D381" i="10"/>
  <c r="C381"/>
  <c r="S380"/>
  <c r="R380"/>
  <c r="N380"/>
  <c r="M380"/>
  <c r="L380"/>
  <c r="K380"/>
  <c r="J380"/>
  <c r="G380"/>
  <c r="F380"/>
  <c r="E380"/>
  <c r="V380" s="1"/>
  <c r="E379" i="11" s="1"/>
  <c r="D380" i="10"/>
  <c r="C380"/>
  <c r="S379"/>
  <c r="R379"/>
  <c r="N379"/>
  <c r="M379"/>
  <c r="L379"/>
  <c r="K379"/>
  <c r="J379"/>
  <c r="G379"/>
  <c r="F379"/>
  <c r="E379"/>
  <c r="V379" s="1"/>
  <c r="E378" i="11" s="1"/>
  <c r="D379" i="10"/>
  <c r="C379"/>
  <c r="S378"/>
  <c r="R378"/>
  <c r="N378"/>
  <c r="M378"/>
  <c r="L378"/>
  <c r="K378"/>
  <c r="J378"/>
  <c r="G378"/>
  <c r="F378"/>
  <c r="E378"/>
  <c r="V378" s="1"/>
  <c r="E377" i="11" s="1"/>
  <c r="D378" i="10"/>
  <c r="C378"/>
  <c r="S377"/>
  <c r="R377"/>
  <c r="N377"/>
  <c r="M377"/>
  <c r="L377"/>
  <c r="K377"/>
  <c r="J377"/>
  <c r="G377"/>
  <c r="F377"/>
  <c r="E377"/>
  <c r="D377"/>
  <c r="C377"/>
  <c r="S376"/>
  <c r="R376"/>
  <c r="N376"/>
  <c r="M376"/>
  <c r="L376"/>
  <c r="K376"/>
  <c r="J376"/>
  <c r="G376"/>
  <c r="F376"/>
  <c r="E376"/>
  <c r="D376"/>
  <c r="C376"/>
  <c r="S375"/>
  <c r="R375"/>
  <c r="N375"/>
  <c r="M375"/>
  <c r="L375"/>
  <c r="K375"/>
  <c r="J375"/>
  <c r="G375"/>
  <c r="F375"/>
  <c r="E375"/>
  <c r="D375"/>
  <c r="C375"/>
  <c r="S374"/>
  <c r="R374"/>
  <c r="N374"/>
  <c r="M374"/>
  <c r="L374"/>
  <c r="K374"/>
  <c r="J374"/>
  <c r="G374"/>
  <c r="F374"/>
  <c r="E374"/>
  <c r="V374" s="1"/>
  <c r="E373" i="11" s="1"/>
  <c r="D374" i="10"/>
  <c r="C374"/>
  <c r="S373"/>
  <c r="R373"/>
  <c r="N373"/>
  <c r="M373"/>
  <c r="L373"/>
  <c r="K373"/>
  <c r="J373"/>
  <c r="G373"/>
  <c r="F373"/>
  <c r="E373"/>
  <c r="D373"/>
  <c r="C373"/>
  <c r="S372"/>
  <c r="R372"/>
  <c r="N372"/>
  <c r="M372"/>
  <c r="L372"/>
  <c r="K372"/>
  <c r="J372"/>
  <c r="G372"/>
  <c r="F372"/>
  <c r="E372"/>
  <c r="D372"/>
  <c r="C372"/>
  <c r="S371"/>
  <c r="R371"/>
  <c r="N371"/>
  <c r="M371"/>
  <c r="L371"/>
  <c r="K371"/>
  <c r="J371"/>
  <c r="G371"/>
  <c r="F371"/>
  <c r="E371"/>
  <c r="D371"/>
  <c r="C371"/>
  <c r="S370"/>
  <c r="R370"/>
  <c r="N370"/>
  <c r="M370"/>
  <c r="L370"/>
  <c r="K370"/>
  <c r="J370"/>
  <c r="G370"/>
  <c r="F370"/>
  <c r="E370"/>
  <c r="D370"/>
  <c r="C370"/>
  <c r="S369"/>
  <c r="R369"/>
  <c r="N369"/>
  <c r="M369"/>
  <c r="L369"/>
  <c r="K369"/>
  <c r="J369"/>
  <c r="G369"/>
  <c r="F369"/>
  <c r="E369"/>
  <c r="D369"/>
  <c r="C369"/>
  <c r="S368"/>
  <c r="R368"/>
  <c r="N368"/>
  <c r="M368"/>
  <c r="L368"/>
  <c r="K368"/>
  <c r="J368"/>
  <c r="G368"/>
  <c r="F368"/>
  <c r="E368"/>
  <c r="D368"/>
  <c r="C368"/>
  <c r="S367"/>
  <c r="R367"/>
  <c r="N367"/>
  <c r="M367"/>
  <c r="L367"/>
  <c r="K367"/>
  <c r="J367"/>
  <c r="G367"/>
  <c r="X367" s="1"/>
  <c r="G366" i="11" s="1"/>
  <c r="F367" i="10"/>
  <c r="E367"/>
  <c r="D367"/>
  <c r="C367"/>
  <c r="S366"/>
  <c r="R366"/>
  <c r="N366"/>
  <c r="M366"/>
  <c r="L366"/>
  <c r="K366"/>
  <c r="J366"/>
  <c r="G366"/>
  <c r="F366"/>
  <c r="E366"/>
  <c r="V366" s="1"/>
  <c r="E365" i="11" s="1"/>
  <c r="D366" i="10"/>
  <c r="C366"/>
  <c r="S365"/>
  <c r="R365"/>
  <c r="N365"/>
  <c r="M365"/>
  <c r="L365"/>
  <c r="K365"/>
  <c r="J365"/>
  <c r="G365"/>
  <c r="F365"/>
  <c r="E365"/>
  <c r="D365"/>
  <c r="C365"/>
  <c r="S364"/>
  <c r="R364"/>
  <c r="N364"/>
  <c r="M364"/>
  <c r="L364"/>
  <c r="K364"/>
  <c r="J364"/>
  <c r="G364"/>
  <c r="F364"/>
  <c r="E364"/>
  <c r="D364"/>
  <c r="C364"/>
  <c r="S363"/>
  <c r="R363"/>
  <c r="N363"/>
  <c r="M363"/>
  <c r="L363"/>
  <c r="K363"/>
  <c r="J363"/>
  <c r="G363"/>
  <c r="F363"/>
  <c r="E363"/>
  <c r="D363"/>
  <c r="C363"/>
  <c r="S362"/>
  <c r="R362"/>
  <c r="N362"/>
  <c r="M362"/>
  <c r="L362"/>
  <c r="K362"/>
  <c r="J362"/>
  <c r="G362"/>
  <c r="F362"/>
  <c r="E362"/>
  <c r="D362"/>
  <c r="C362"/>
  <c r="S361"/>
  <c r="R361"/>
  <c r="N361"/>
  <c r="M361"/>
  <c r="L361"/>
  <c r="K361"/>
  <c r="J361"/>
  <c r="G361"/>
  <c r="F361"/>
  <c r="E361"/>
  <c r="D361"/>
  <c r="C361"/>
  <c r="S360"/>
  <c r="R360"/>
  <c r="N360"/>
  <c r="M360"/>
  <c r="L360"/>
  <c r="K360"/>
  <c r="J360"/>
  <c r="G360"/>
  <c r="F360"/>
  <c r="E360"/>
  <c r="D360"/>
  <c r="C360"/>
  <c r="S359"/>
  <c r="R359"/>
  <c r="N359"/>
  <c r="M359"/>
  <c r="L359"/>
  <c r="K359"/>
  <c r="J359"/>
  <c r="G359"/>
  <c r="F359"/>
  <c r="E359"/>
  <c r="D359"/>
  <c r="C359"/>
  <c r="S358"/>
  <c r="R358"/>
  <c r="N358"/>
  <c r="M358"/>
  <c r="L358"/>
  <c r="K358"/>
  <c r="J358"/>
  <c r="G358"/>
  <c r="F358"/>
  <c r="E358"/>
  <c r="V358" s="1"/>
  <c r="E357" i="11" s="1"/>
  <c r="D358" i="10"/>
  <c r="C358"/>
  <c r="S357"/>
  <c r="R357"/>
  <c r="N357"/>
  <c r="M357"/>
  <c r="L357"/>
  <c r="K357"/>
  <c r="J357"/>
  <c r="G357"/>
  <c r="F357"/>
  <c r="E357"/>
  <c r="D357"/>
  <c r="C357"/>
  <c r="S356"/>
  <c r="R356"/>
  <c r="N356"/>
  <c r="M356"/>
  <c r="L356"/>
  <c r="K356"/>
  <c r="J356"/>
  <c r="G356"/>
  <c r="F356"/>
  <c r="E356"/>
  <c r="D356"/>
  <c r="C356"/>
  <c r="S355"/>
  <c r="R355"/>
  <c r="N355"/>
  <c r="M355"/>
  <c r="L355"/>
  <c r="K355"/>
  <c r="J355"/>
  <c r="G355"/>
  <c r="F355"/>
  <c r="E355"/>
  <c r="D355"/>
  <c r="C355"/>
  <c r="S354"/>
  <c r="R354"/>
  <c r="N354"/>
  <c r="M354"/>
  <c r="L354"/>
  <c r="K354"/>
  <c r="J354"/>
  <c r="G354"/>
  <c r="F354"/>
  <c r="E354"/>
  <c r="D354"/>
  <c r="C354"/>
  <c r="S353"/>
  <c r="R353"/>
  <c r="N353"/>
  <c r="M353"/>
  <c r="L353"/>
  <c r="K353"/>
  <c r="J353"/>
  <c r="G353"/>
  <c r="F353"/>
  <c r="E353"/>
  <c r="D353"/>
  <c r="C353"/>
  <c r="S352"/>
  <c r="R352"/>
  <c r="N352"/>
  <c r="M352"/>
  <c r="L352"/>
  <c r="K352"/>
  <c r="J352"/>
  <c r="G352"/>
  <c r="F352"/>
  <c r="E352"/>
  <c r="D352"/>
  <c r="C352"/>
  <c r="S351"/>
  <c r="R351"/>
  <c r="N351"/>
  <c r="M351"/>
  <c r="L351"/>
  <c r="K351"/>
  <c r="J351"/>
  <c r="G351"/>
  <c r="F351"/>
  <c r="E351"/>
  <c r="D351"/>
  <c r="C351"/>
  <c r="S350"/>
  <c r="R350"/>
  <c r="N350"/>
  <c r="M350"/>
  <c r="L350"/>
  <c r="K350"/>
  <c r="J350"/>
  <c r="G350"/>
  <c r="F350"/>
  <c r="E350"/>
  <c r="V350" s="1"/>
  <c r="E349" i="11" s="1"/>
  <c r="D350" i="10"/>
  <c r="C350"/>
  <c r="S349"/>
  <c r="R349"/>
  <c r="N349"/>
  <c r="M349"/>
  <c r="L349"/>
  <c r="K349"/>
  <c r="J349"/>
  <c r="G349"/>
  <c r="X349" s="1"/>
  <c r="G348" i="11" s="1"/>
  <c r="F349" i="10"/>
  <c r="E349"/>
  <c r="D349"/>
  <c r="C349"/>
  <c r="S348"/>
  <c r="R348"/>
  <c r="N348"/>
  <c r="M348"/>
  <c r="L348"/>
  <c r="K348"/>
  <c r="J348"/>
  <c r="G348"/>
  <c r="F348"/>
  <c r="E348"/>
  <c r="D348"/>
  <c r="C348"/>
  <c r="S347"/>
  <c r="R347"/>
  <c r="N347"/>
  <c r="M347"/>
  <c r="L347"/>
  <c r="K347"/>
  <c r="J347"/>
  <c r="G347"/>
  <c r="F347"/>
  <c r="E347"/>
  <c r="D347"/>
  <c r="C347"/>
  <c r="S346"/>
  <c r="R346"/>
  <c r="N346"/>
  <c r="M346"/>
  <c r="L346"/>
  <c r="K346"/>
  <c r="J346"/>
  <c r="G346"/>
  <c r="F346"/>
  <c r="E346"/>
  <c r="D346"/>
  <c r="C346"/>
  <c r="S345"/>
  <c r="R345"/>
  <c r="N345"/>
  <c r="M345"/>
  <c r="L345"/>
  <c r="K345"/>
  <c r="J345"/>
  <c r="G345"/>
  <c r="F345"/>
  <c r="E345"/>
  <c r="D345"/>
  <c r="C345"/>
  <c r="S344"/>
  <c r="R344"/>
  <c r="N344"/>
  <c r="M344"/>
  <c r="L344"/>
  <c r="K344"/>
  <c r="J344"/>
  <c r="G344"/>
  <c r="F344"/>
  <c r="E344"/>
  <c r="D344"/>
  <c r="C344"/>
  <c r="S343"/>
  <c r="R343"/>
  <c r="N343"/>
  <c r="M343"/>
  <c r="L343"/>
  <c r="K343"/>
  <c r="J343"/>
  <c r="G343"/>
  <c r="F343"/>
  <c r="E343"/>
  <c r="D343"/>
  <c r="C343"/>
  <c r="S342"/>
  <c r="R342"/>
  <c r="N342"/>
  <c r="M342"/>
  <c r="L342"/>
  <c r="K342"/>
  <c r="J342"/>
  <c r="G342"/>
  <c r="F342"/>
  <c r="E342"/>
  <c r="D342"/>
  <c r="C342"/>
  <c r="S341"/>
  <c r="R341"/>
  <c r="N341"/>
  <c r="M341"/>
  <c r="L341"/>
  <c r="K341"/>
  <c r="J341"/>
  <c r="G341"/>
  <c r="F341"/>
  <c r="E341"/>
  <c r="D341"/>
  <c r="C341"/>
  <c r="S340"/>
  <c r="R340"/>
  <c r="N340"/>
  <c r="M340"/>
  <c r="L340"/>
  <c r="K340"/>
  <c r="J340"/>
  <c r="G340"/>
  <c r="F340"/>
  <c r="E340"/>
  <c r="D340"/>
  <c r="C340"/>
  <c r="S339"/>
  <c r="R339"/>
  <c r="N339"/>
  <c r="M339"/>
  <c r="L339"/>
  <c r="K339"/>
  <c r="J339"/>
  <c r="G339"/>
  <c r="F339"/>
  <c r="E339"/>
  <c r="D339"/>
  <c r="C339"/>
  <c r="S338"/>
  <c r="R338"/>
  <c r="N338"/>
  <c r="M338"/>
  <c r="L338"/>
  <c r="K338"/>
  <c r="J338"/>
  <c r="G338"/>
  <c r="F338"/>
  <c r="E338"/>
  <c r="D338"/>
  <c r="C338"/>
  <c r="S337"/>
  <c r="R337"/>
  <c r="N337"/>
  <c r="M337"/>
  <c r="L337"/>
  <c r="K337"/>
  <c r="J337"/>
  <c r="G337"/>
  <c r="F337"/>
  <c r="E337"/>
  <c r="D337"/>
  <c r="C337"/>
  <c r="S336"/>
  <c r="R336"/>
  <c r="N336"/>
  <c r="M336"/>
  <c r="L336"/>
  <c r="K336"/>
  <c r="J336"/>
  <c r="G336"/>
  <c r="F336"/>
  <c r="E336"/>
  <c r="D336"/>
  <c r="C336"/>
  <c r="S335"/>
  <c r="R335"/>
  <c r="N335"/>
  <c r="M335"/>
  <c r="L335"/>
  <c r="K335"/>
  <c r="J335"/>
  <c r="G335"/>
  <c r="F335"/>
  <c r="E335"/>
  <c r="D335"/>
  <c r="C335"/>
  <c r="S334"/>
  <c r="R334"/>
  <c r="N334"/>
  <c r="M334"/>
  <c r="L334"/>
  <c r="K334"/>
  <c r="J334"/>
  <c r="G334"/>
  <c r="F334"/>
  <c r="E334"/>
  <c r="D334"/>
  <c r="C334"/>
  <c r="S333"/>
  <c r="R333"/>
  <c r="N333"/>
  <c r="M333"/>
  <c r="L333"/>
  <c r="K333"/>
  <c r="J333"/>
  <c r="G333"/>
  <c r="F333"/>
  <c r="E333"/>
  <c r="D333"/>
  <c r="C333"/>
  <c r="S332"/>
  <c r="R332"/>
  <c r="N332"/>
  <c r="M332"/>
  <c r="L332"/>
  <c r="K332"/>
  <c r="J332"/>
  <c r="G332"/>
  <c r="F332"/>
  <c r="E332"/>
  <c r="D332"/>
  <c r="C332"/>
  <c r="S331"/>
  <c r="R331"/>
  <c r="N331"/>
  <c r="M331"/>
  <c r="L331"/>
  <c r="K331"/>
  <c r="J331"/>
  <c r="G331"/>
  <c r="F331"/>
  <c r="E331"/>
  <c r="D331"/>
  <c r="C331"/>
  <c r="S330"/>
  <c r="R330"/>
  <c r="N330"/>
  <c r="M330"/>
  <c r="L330"/>
  <c r="K330"/>
  <c r="J330"/>
  <c r="G330"/>
  <c r="F330"/>
  <c r="E330"/>
  <c r="D330"/>
  <c r="C330"/>
  <c r="S329"/>
  <c r="R329"/>
  <c r="N329"/>
  <c r="M329"/>
  <c r="L329"/>
  <c r="K329"/>
  <c r="J329"/>
  <c r="G329"/>
  <c r="F329"/>
  <c r="E329"/>
  <c r="D329"/>
  <c r="C329"/>
  <c r="S328"/>
  <c r="R328"/>
  <c r="N328"/>
  <c r="M328"/>
  <c r="L328"/>
  <c r="K328"/>
  <c r="J328"/>
  <c r="G328"/>
  <c r="F328"/>
  <c r="E328"/>
  <c r="D328"/>
  <c r="C328"/>
  <c r="S327"/>
  <c r="R327"/>
  <c r="N327"/>
  <c r="M327"/>
  <c r="L327"/>
  <c r="K327"/>
  <c r="J327"/>
  <c r="G327"/>
  <c r="F327"/>
  <c r="E327"/>
  <c r="D327"/>
  <c r="C327"/>
  <c r="S326"/>
  <c r="R326"/>
  <c r="N326"/>
  <c r="M326"/>
  <c r="L326"/>
  <c r="K326"/>
  <c r="J326"/>
  <c r="G326"/>
  <c r="X326" s="1"/>
  <c r="G325" i="11" s="1"/>
  <c r="F326" i="10"/>
  <c r="E326"/>
  <c r="V326" s="1"/>
  <c r="E325" i="11" s="1"/>
  <c r="D326" i="10"/>
  <c r="C326"/>
  <c r="S325"/>
  <c r="R325"/>
  <c r="N325"/>
  <c r="M325"/>
  <c r="L325"/>
  <c r="K325"/>
  <c r="J325"/>
  <c r="G325"/>
  <c r="F325"/>
  <c r="E325"/>
  <c r="D325"/>
  <c r="C325"/>
  <c r="S324"/>
  <c r="R324"/>
  <c r="N324"/>
  <c r="M324"/>
  <c r="L324"/>
  <c r="K324"/>
  <c r="J324"/>
  <c r="G324"/>
  <c r="F324"/>
  <c r="E324"/>
  <c r="D324"/>
  <c r="C324"/>
  <c r="S323"/>
  <c r="R323"/>
  <c r="N323"/>
  <c r="M323"/>
  <c r="L323"/>
  <c r="K323"/>
  <c r="J323"/>
  <c r="G323"/>
  <c r="F323"/>
  <c r="E323"/>
  <c r="D323"/>
  <c r="C323"/>
  <c r="S322"/>
  <c r="R322"/>
  <c r="N322"/>
  <c r="M322"/>
  <c r="L322"/>
  <c r="K322"/>
  <c r="J322"/>
  <c r="G322"/>
  <c r="F322"/>
  <c r="E322"/>
  <c r="D322"/>
  <c r="C322"/>
  <c r="S321"/>
  <c r="R321"/>
  <c r="N321"/>
  <c r="M321"/>
  <c r="L321"/>
  <c r="K321"/>
  <c r="J321"/>
  <c r="G321"/>
  <c r="X321" s="1"/>
  <c r="G320" i="11" s="1"/>
  <c r="F321" i="10"/>
  <c r="E321"/>
  <c r="D321"/>
  <c r="C321"/>
  <c r="S320"/>
  <c r="R320"/>
  <c r="N320"/>
  <c r="M320"/>
  <c r="L320"/>
  <c r="K320"/>
  <c r="J320"/>
  <c r="G320"/>
  <c r="F320"/>
  <c r="E320"/>
  <c r="D320"/>
  <c r="C320"/>
  <c r="S319"/>
  <c r="R319"/>
  <c r="N319"/>
  <c r="M319"/>
  <c r="L319"/>
  <c r="K319"/>
  <c r="J319"/>
  <c r="G319"/>
  <c r="X319" s="1"/>
  <c r="G318" i="11" s="1"/>
  <c r="F319" i="10"/>
  <c r="E319"/>
  <c r="D319"/>
  <c r="C319"/>
  <c r="S318"/>
  <c r="R318"/>
  <c r="N318"/>
  <c r="M318"/>
  <c r="L318"/>
  <c r="K318"/>
  <c r="J318"/>
  <c r="G318"/>
  <c r="F318"/>
  <c r="E318"/>
  <c r="V318" s="1"/>
  <c r="E317" i="11" s="1"/>
  <c r="D318" i="10"/>
  <c r="C318"/>
  <c r="S317"/>
  <c r="R317"/>
  <c r="N317"/>
  <c r="M317"/>
  <c r="L317"/>
  <c r="K317"/>
  <c r="J317"/>
  <c r="G317"/>
  <c r="F317"/>
  <c r="E317"/>
  <c r="D317"/>
  <c r="C317"/>
  <c r="S316"/>
  <c r="R316"/>
  <c r="N316"/>
  <c r="M316"/>
  <c r="L316"/>
  <c r="K316"/>
  <c r="J316"/>
  <c r="G316"/>
  <c r="F316"/>
  <c r="E316"/>
  <c r="D316"/>
  <c r="C316"/>
  <c r="S315"/>
  <c r="R315"/>
  <c r="N315"/>
  <c r="M315"/>
  <c r="L315"/>
  <c r="K315"/>
  <c r="J315"/>
  <c r="G315"/>
  <c r="F315"/>
  <c r="E315"/>
  <c r="D315"/>
  <c r="C315"/>
  <c r="S314"/>
  <c r="R314"/>
  <c r="N314"/>
  <c r="M314"/>
  <c r="L314"/>
  <c r="K314"/>
  <c r="J314"/>
  <c r="G314"/>
  <c r="F314"/>
  <c r="E314"/>
  <c r="D314"/>
  <c r="C314"/>
  <c r="S313"/>
  <c r="R313"/>
  <c r="N313"/>
  <c r="M313"/>
  <c r="L313"/>
  <c r="K313"/>
  <c r="J313"/>
  <c r="G313"/>
  <c r="F313"/>
  <c r="E313"/>
  <c r="D313"/>
  <c r="C313"/>
  <c r="S312"/>
  <c r="R312"/>
  <c r="N312"/>
  <c r="M312"/>
  <c r="L312"/>
  <c r="K312"/>
  <c r="J312"/>
  <c r="G312"/>
  <c r="F312"/>
  <c r="E312"/>
  <c r="D312"/>
  <c r="C312"/>
  <c r="S311"/>
  <c r="R311"/>
  <c r="N311"/>
  <c r="M311"/>
  <c r="L311"/>
  <c r="K311"/>
  <c r="J311"/>
  <c r="G311"/>
  <c r="F311"/>
  <c r="E311"/>
  <c r="D311"/>
  <c r="C311"/>
  <c r="S310"/>
  <c r="R310"/>
  <c r="N310"/>
  <c r="M310"/>
  <c r="L310"/>
  <c r="K310"/>
  <c r="J310"/>
  <c r="G310"/>
  <c r="F310"/>
  <c r="E310"/>
  <c r="D310"/>
  <c r="U310" s="1"/>
  <c r="D309" i="11" s="1"/>
  <c r="C310" i="10"/>
  <c r="S309"/>
  <c r="R309"/>
  <c r="N309"/>
  <c r="M309"/>
  <c r="L309"/>
  <c r="K309"/>
  <c r="J309"/>
  <c r="G309"/>
  <c r="F309"/>
  <c r="E309"/>
  <c r="D309"/>
  <c r="C309"/>
  <c r="S308"/>
  <c r="R308"/>
  <c r="N308"/>
  <c r="M308"/>
  <c r="L308"/>
  <c r="K308"/>
  <c r="J308"/>
  <c r="G308"/>
  <c r="F308"/>
  <c r="E308"/>
  <c r="D308"/>
  <c r="C308"/>
  <c r="S307"/>
  <c r="R307"/>
  <c r="N307"/>
  <c r="M307"/>
  <c r="L307"/>
  <c r="K307"/>
  <c r="J307"/>
  <c r="G307"/>
  <c r="F307"/>
  <c r="E307"/>
  <c r="D307"/>
  <c r="C307"/>
  <c r="S306"/>
  <c r="R306"/>
  <c r="N306"/>
  <c r="M306"/>
  <c r="L306"/>
  <c r="K306"/>
  <c r="J306"/>
  <c r="G306"/>
  <c r="F306"/>
  <c r="E306"/>
  <c r="D306"/>
  <c r="C306"/>
  <c r="S305"/>
  <c r="R305"/>
  <c r="N305"/>
  <c r="M305"/>
  <c r="L305"/>
  <c r="K305"/>
  <c r="J305"/>
  <c r="G305"/>
  <c r="F305"/>
  <c r="E305"/>
  <c r="D305"/>
  <c r="C305"/>
  <c r="S304"/>
  <c r="R304"/>
  <c r="N304"/>
  <c r="M304"/>
  <c r="L304"/>
  <c r="K304"/>
  <c r="J304"/>
  <c r="G304"/>
  <c r="F304"/>
  <c r="E304"/>
  <c r="D304"/>
  <c r="C304"/>
  <c r="S303"/>
  <c r="R303"/>
  <c r="N303"/>
  <c r="M303"/>
  <c r="L303"/>
  <c r="K303"/>
  <c r="J303"/>
  <c r="G303"/>
  <c r="F303"/>
  <c r="E303"/>
  <c r="D303"/>
  <c r="C303"/>
  <c r="S302"/>
  <c r="R302"/>
  <c r="N302"/>
  <c r="M302"/>
  <c r="L302"/>
  <c r="K302"/>
  <c r="J302"/>
  <c r="G302"/>
  <c r="F302"/>
  <c r="E302"/>
  <c r="D302"/>
  <c r="C302"/>
  <c r="S301"/>
  <c r="R301"/>
  <c r="N301"/>
  <c r="M301"/>
  <c r="L301"/>
  <c r="K301"/>
  <c r="J301"/>
  <c r="G301"/>
  <c r="F301"/>
  <c r="E301"/>
  <c r="D301"/>
  <c r="C301"/>
  <c r="S300"/>
  <c r="R300"/>
  <c r="N300"/>
  <c r="M300"/>
  <c r="L300"/>
  <c r="K300"/>
  <c r="J300"/>
  <c r="G300"/>
  <c r="F300"/>
  <c r="E300"/>
  <c r="D300"/>
  <c r="C300"/>
  <c r="S299"/>
  <c r="R299"/>
  <c r="N299"/>
  <c r="M299"/>
  <c r="L299"/>
  <c r="K299"/>
  <c r="J299"/>
  <c r="G299"/>
  <c r="F299"/>
  <c r="E299"/>
  <c r="D299"/>
  <c r="C299"/>
  <c r="S298"/>
  <c r="R298"/>
  <c r="N298"/>
  <c r="M298"/>
  <c r="L298"/>
  <c r="K298"/>
  <c r="J298"/>
  <c r="G298"/>
  <c r="F298"/>
  <c r="E298"/>
  <c r="D298"/>
  <c r="C298"/>
  <c r="S297"/>
  <c r="R297"/>
  <c r="N297"/>
  <c r="M297"/>
  <c r="L297"/>
  <c r="K297"/>
  <c r="J297"/>
  <c r="G297"/>
  <c r="F297"/>
  <c r="E297"/>
  <c r="D297"/>
  <c r="C297"/>
  <c r="S296"/>
  <c r="R296"/>
  <c r="N296"/>
  <c r="M296"/>
  <c r="L296"/>
  <c r="K296"/>
  <c r="J296"/>
  <c r="G296"/>
  <c r="F296"/>
  <c r="E296"/>
  <c r="D296"/>
  <c r="C296"/>
  <c r="S295"/>
  <c r="R295"/>
  <c r="N295"/>
  <c r="M295"/>
  <c r="L295"/>
  <c r="K295"/>
  <c r="J295"/>
  <c r="G295"/>
  <c r="F295"/>
  <c r="E295"/>
  <c r="D295"/>
  <c r="U295" s="1"/>
  <c r="D294" i="11" s="1"/>
  <c r="C295" i="10"/>
  <c r="S294"/>
  <c r="R294"/>
  <c r="N294"/>
  <c r="M294"/>
  <c r="L294"/>
  <c r="K294"/>
  <c r="J294"/>
  <c r="G294"/>
  <c r="F294"/>
  <c r="W294" s="1"/>
  <c r="F293" i="11" s="1"/>
  <c r="E294" i="10"/>
  <c r="D294"/>
  <c r="C294"/>
  <c r="S293"/>
  <c r="R293"/>
  <c r="N293"/>
  <c r="M293"/>
  <c r="L293"/>
  <c r="K293"/>
  <c r="J293"/>
  <c r="G293"/>
  <c r="F293"/>
  <c r="W293" s="1"/>
  <c r="F292" i="11" s="1"/>
  <c r="E293" i="10"/>
  <c r="D293"/>
  <c r="C293"/>
  <c r="S292"/>
  <c r="R292"/>
  <c r="N292"/>
  <c r="M292"/>
  <c r="L292"/>
  <c r="K292"/>
  <c r="J292"/>
  <c r="G292"/>
  <c r="F292"/>
  <c r="W292" s="1"/>
  <c r="F291" i="11" s="1"/>
  <c r="E292" i="10"/>
  <c r="D292"/>
  <c r="C292"/>
  <c r="S291"/>
  <c r="R291"/>
  <c r="N291"/>
  <c r="M291"/>
  <c r="L291"/>
  <c r="K291"/>
  <c r="J291"/>
  <c r="G291"/>
  <c r="F291"/>
  <c r="W291" s="1"/>
  <c r="F290" i="11" s="1"/>
  <c r="E291" i="10"/>
  <c r="D291"/>
  <c r="C291"/>
  <c r="S290"/>
  <c r="R290"/>
  <c r="N290"/>
  <c r="M290"/>
  <c r="L290"/>
  <c r="K290"/>
  <c r="J290"/>
  <c r="G290"/>
  <c r="F290"/>
  <c r="E290"/>
  <c r="D290"/>
  <c r="C290"/>
  <c r="S289"/>
  <c r="R289"/>
  <c r="N289"/>
  <c r="M289"/>
  <c r="L289"/>
  <c r="K289"/>
  <c r="J289"/>
  <c r="G289"/>
  <c r="F289"/>
  <c r="E289"/>
  <c r="D289"/>
  <c r="C289"/>
  <c r="S288"/>
  <c r="R288"/>
  <c r="N288"/>
  <c r="M288"/>
  <c r="L288"/>
  <c r="K288"/>
  <c r="J288"/>
  <c r="G288"/>
  <c r="F288"/>
  <c r="W288" s="1"/>
  <c r="F287" i="11" s="1"/>
  <c r="E288" i="10"/>
  <c r="D288"/>
  <c r="C288"/>
  <c r="S287"/>
  <c r="R287"/>
  <c r="N287"/>
  <c r="M287"/>
  <c r="L287"/>
  <c r="K287"/>
  <c r="J287"/>
  <c r="G287"/>
  <c r="F287"/>
  <c r="W287" s="1"/>
  <c r="F286" i="11" s="1"/>
  <c r="E287" i="10"/>
  <c r="D287"/>
  <c r="C287"/>
  <c r="S286"/>
  <c r="R286"/>
  <c r="N286"/>
  <c r="M286"/>
  <c r="L286"/>
  <c r="K286"/>
  <c r="J286"/>
  <c r="G286"/>
  <c r="F286"/>
  <c r="E286"/>
  <c r="D286"/>
  <c r="C286"/>
  <c r="S285"/>
  <c r="R285"/>
  <c r="N285"/>
  <c r="M285"/>
  <c r="L285"/>
  <c r="K285"/>
  <c r="J285"/>
  <c r="G285"/>
  <c r="F285"/>
  <c r="E285"/>
  <c r="D285"/>
  <c r="U285" s="1"/>
  <c r="D284" i="11" s="1"/>
  <c r="C285" i="10"/>
  <c r="S284"/>
  <c r="R284"/>
  <c r="N284"/>
  <c r="M284"/>
  <c r="L284"/>
  <c r="K284"/>
  <c r="J284"/>
  <c r="G284"/>
  <c r="F284"/>
  <c r="E284"/>
  <c r="D284"/>
  <c r="U284" s="1"/>
  <c r="D283" i="11" s="1"/>
  <c r="C284" i="10"/>
  <c r="S283"/>
  <c r="R283"/>
  <c r="N283"/>
  <c r="M283"/>
  <c r="L283"/>
  <c r="K283"/>
  <c r="J283"/>
  <c r="G283"/>
  <c r="F283"/>
  <c r="E283"/>
  <c r="D283"/>
  <c r="C283"/>
  <c r="S282"/>
  <c r="R282"/>
  <c r="N282"/>
  <c r="M282"/>
  <c r="L282"/>
  <c r="K282"/>
  <c r="J282"/>
  <c r="G282"/>
  <c r="F282"/>
  <c r="E282"/>
  <c r="D282"/>
  <c r="C282"/>
  <c r="S281"/>
  <c r="R281"/>
  <c r="N281"/>
  <c r="M281"/>
  <c r="L281"/>
  <c r="K281"/>
  <c r="J281"/>
  <c r="G281"/>
  <c r="F281"/>
  <c r="E281"/>
  <c r="D281"/>
  <c r="U281" s="1"/>
  <c r="D280" i="11" s="1"/>
  <c r="C281" i="10"/>
  <c r="S280"/>
  <c r="R280"/>
  <c r="N280"/>
  <c r="M280"/>
  <c r="L280"/>
  <c r="K280"/>
  <c r="J280"/>
  <c r="G280"/>
  <c r="F280"/>
  <c r="E280"/>
  <c r="D280"/>
  <c r="C280"/>
  <c r="S279"/>
  <c r="R279"/>
  <c r="N279"/>
  <c r="M279"/>
  <c r="L279"/>
  <c r="K279"/>
  <c r="J279"/>
  <c r="G279"/>
  <c r="F279"/>
  <c r="E279"/>
  <c r="D279"/>
  <c r="U279" s="1"/>
  <c r="D278" i="11" s="1"/>
  <c r="C279" i="10"/>
  <c r="S278"/>
  <c r="R278"/>
  <c r="N278"/>
  <c r="M278"/>
  <c r="L278"/>
  <c r="K278"/>
  <c r="J278"/>
  <c r="G278"/>
  <c r="F278"/>
  <c r="E278"/>
  <c r="D278"/>
  <c r="C278"/>
  <c r="S277"/>
  <c r="R277"/>
  <c r="N277"/>
  <c r="M277"/>
  <c r="L277"/>
  <c r="K277"/>
  <c r="J277"/>
  <c r="G277"/>
  <c r="F277"/>
  <c r="E277"/>
  <c r="D277"/>
  <c r="C277"/>
  <c r="S276"/>
  <c r="R276"/>
  <c r="N276"/>
  <c r="M276"/>
  <c r="L276"/>
  <c r="K276"/>
  <c r="J276"/>
  <c r="G276"/>
  <c r="F276"/>
  <c r="E276"/>
  <c r="D276"/>
  <c r="C276"/>
  <c r="S275"/>
  <c r="R275"/>
  <c r="N275"/>
  <c r="M275"/>
  <c r="L275"/>
  <c r="K275"/>
  <c r="J275"/>
  <c r="G275"/>
  <c r="F275"/>
  <c r="E275"/>
  <c r="D275"/>
  <c r="C275"/>
  <c r="S274"/>
  <c r="R274"/>
  <c r="N274"/>
  <c r="M274"/>
  <c r="L274"/>
  <c r="K274"/>
  <c r="J274"/>
  <c r="G274"/>
  <c r="F274"/>
  <c r="E274"/>
  <c r="D274"/>
  <c r="C274"/>
  <c r="S273"/>
  <c r="R273"/>
  <c r="N273"/>
  <c r="M273"/>
  <c r="L273"/>
  <c r="K273"/>
  <c r="J273"/>
  <c r="G273"/>
  <c r="F273"/>
  <c r="E273"/>
  <c r="D273"/>
  <c r="C273"/>
  <c r="S272"/>
  <c r="R272"/>
  <c r="N272"/>
  <c r="M272"/>
  <c r="L272"/>
  <c r="K272"/>
  <c r="J272"/>
  <c r="G272"/>
  <c r="F272"/>
  <c r="W272" s="1"/>
  <c r="F271" i="11" s="1"/>
  <c r="E272" i="10"/>
  <c r="D272"/>
  <c r="C272"/>
  <c r="S271"/>
  <c r="R271"/>
  <c r="N271"/>
  <c r="M271"/>
  <c r="L271"/>
  <c r="K271"/>
  <c r="J271"/>
  <c r="G271"/>
  <c r="F271"/>
  <c r="W271" s="1"/>
  <c r="F270" i="11" s="1"/>
  <c r="E271" i="10"/>
  <c r="D271"/>
  <c r="C271"/>
  <c r="S270"/>
  <c r="R270"/>
  <c r="N270"/>
  <c r="M270"/>
  <c r="L270"/>
  <c r="K270"/>
  <c r="J270"/>
  <c r="G270"/>
  <c r="F270"/>
  <c r="E270"/>
  <c r="D270"/>
  <c r="C270"/>
  <c r="S269"/>
  <c r="R269"/>
  <c r="N269"/>
  <c r="M269"/>
  <c r="L269"/>
  <c r="K269"/>
  <c r="J269"/>
  <c r="G269"/>
  <c r="F269"/>
  <c r="W269" s="1"/>
  <c r="F268" i="11" s="1"/>
  <c r="E269" i="10"/>
  <c r="D269"/>
  <c r="C269"/>
  <c r="S268"/>
  <c r="R268"/>
  <c r="N268"/>
  <c r="M268"/>
  <c r="L268"/>
  <c r="K268"/>
  <c r="J268"/>
  <c r="G268"/>
  <c r="F268"/>
  <c r="E268"/>
  <c r="D268"/>
  <c r="C268"/>
  <c r="S267"/>
  <c r="R267"/>
  <c r="N267"/>
  <c r="M267"/>
  <c r="L267"/>
  <c r="K267"/>
  <c r="J267"/>
  <c r="G267"/>
  <c r="F267"/>
  <c r="E267"/>
  <c r="D267"/>
  <c r="C267"/>
  <c r="S266"/>
  <c r="R266"/>
  <c r="N266"/>
  <c r="M266"/>
  <c r="L266"/>
  <c r="K266"/>
  <c r="J266"/>
  <c r="G266"/>
  <c r="F266"/>
  <c r="E266"/>
  <c r="D266"/>
  <c r="C266"/>
  <c r="S265"/>
  <c r="R265"/>
  <c r="N265"/>
  <c r="M265"/>
  <c r="L265"/>
  <c r="K265"/>
  <c r="J265"/>
  <c r="G265"/>
  <c r="F265"/>
  <c r="E265"/>
  <c r="D265"/>
  <c r="C265"/>
  <c r="S264"/>
  <c r="R264"/>
  <c r="N264"/>
  <c r="M264"/>
  <c r="L264"/>
  <c r="K264"/>
  <c r="J264"/>
  <c r="G264"/>
  <c r="F264"/>
  <c r="E264"/>
  <c r="D264"/>
  <c r="C264"/>
  <c r="S263"/>
  <c r="R263"/>
  <c r="N263"/>
  <c r="M263"/>
  <c r="L263"/>
  <c r="K263"/>
  <c r="J263"/>
  <c r="G263"/>
  <c r="F263"/>
  <c r="E263"/>
  <c r="D263"/>
  <c r="C263"/>
  <c r="S262"/>
  <c r="R262"/>
  <c r="N262"/>
  <c r="M262"/>
  <c r="L262"/>
  <c r="K262"/>
  <c r="J262"/>
  <c r="G262"/>
  <c r="F262"/>
  <c r="E262"/>
  <c r="D262"/>
  <c r="C262"/>
  <c r="S261"/>
  <c r="R261"/>
  <c r="N261"/>
  <c r="M261"/>
  <c r="L261"/>
  <c r="K261"/>
  <c r="J261"/>
  <c r="G261"/>
  <c r="F261"/>
  <c r="E261"/>
  <c r="D261"/>
  <c r="C261"/>
  <c r="S260"/>
  <c r="R260"/>
  <c r="N260"/>
  <c r="M260"/>
  <c r="L260"/>
  <c r="K260"/>
  <c r="J260"/>
  <c r="G260"/>
  <c r="F260"/>
  <c r="E260"/>
  <c r="D260"/>
  <c r="C260"/>
  <c r="S259"/>
  <c r="R259"/>
  <c r="N259"/>
  <c r="M259"/>
  <c r="L259"/>
  <c r="K259"/>
  <c r="J259"/>
  <c r="G259"/>
  <c r="F259"/>
  <c r="E259"/>
  <c r="D259"/>
  <c r="C259"/>
  <c r="S258"/>
  <c r="R258"/>
  <c r="N258"/>
  <c r="M258"/>
  <c r="L258"/>
  <c r="K258"/>
  <c r="J258"/>
  <c r="G258"/>
  <c r="F258"/>
  <c r="E258"/>
  <c r="D258"/>
  <c r="C258"/>
  <c r="S257"/>
  <c r="R257"/>
  <c r="N257"/>
  <c r="M257"/>
  <c r="L257"/>
  <c r="K257"/>
  <c r="J257"/>
  <c r="G257"/>
  <c r="F257"/>
  <c r="E257"/>
  <c r="D257"/>
  <c r="C257"/>
  <c r="S256"/>
  <c r="R256"/>
  <c r="N256"/>
  <c r="M256"/>
  <c r="L256"/>
  <c r="K256"/>
  <c r="J256"/>
  <c r="G256"/>
  <c r="F256"/>
  <c r="E256"/>
  <c r="D256"/>
  <c r="C256"/>
  <c r="S255"/>
  <c r="R255"/>
  <c r="N255"/>
  <c r="M255"/>
  <c r="L255"/>
  <c r="K255"/>
  <c r="J255"/>
  <c r="G255"/>
  <c r="F255"/>
  <c r="E255"/>
  <c r="D255"/>
  <c r="C255"/>
  <c r="S254"/>
  <c r="R254"/>
  <c r="N254"/>
  <c r="M254"/>
  <c r="L254"/>
  <c r="K254"/>
  <c r="J254"/>
  <c r="G254"/>
  <c r="F254"/>
  <c r="E254"/>
  <c r="D254"/>
  <c r="C254"/>
  <c r="S253"/>
  <c r="R253"/>
  <c r="N253"/>
  <c r="M253"/>
  <c r="L253"/>
  <c r="K253"/>
  <c r="J253"/>
  <c r="G253"/>
  <c r="F253"/>
  <c r="E253"/>
  <c r="D253"/>
  <c r="C253"/>
  <c r="S252"/>
  <c r="R252"/>
  <c r="N252"/>
  <c r="M252"/>
  <c r="L252"/>
  <c r="K252"/>
  <c r="J252"/>
  <c r="G252"/>
  <c r="F252"/>
  <c r="E252"/>
  <c r="D252"/>
  <c r="C252"/>
  <c r="S251"/>
  <c r="R251"/>
  <c r="N251"/>
  <c r="M251"/>
  <c r="L251"/>
  <c r="K251"/>
  <c r="J251"/>
  <c r="G251"/>
  <c r="F251"/>
  <c r="E251"/>
  <c r="D251"/>
  <c r="C251"/>
  <c r="S250"/>
  <c r="R250"/>
  <c r="N250"/>
  <c r="M250"/>
  <c r="L250"/>
  <c r="K250"/>
  <c r="J250"/>
  <c r="G250"/>
  <c r="F250"/>
  <c r="E250"/>
  <c r="D250"/>
  <c r="C250"/>
  <c r="S249"/>
  <c r="R249"/>
  <c r="N249"/>
  <c r="M249"/>
  <c r="L249"/>
  <c r="K249"/>
  <c r="J249"/>
  <c r="G249"/>
  <c r="F249"/>
  <c r="W249" s="1"/>
  <c r="F248" i="11" s="1"/>
  <c r="E249" i="10"/>
  <c r="D249"/>
  <c r="U249" s="1"/>
  <c r="D248" i="11" s="1"/>
  <c r="C249" i="10"/>
  <c r="S248"/>
  <c r="R248"/>
  <c r="N248"/>
  <c r="M248"/>
  <c r="L248"/>
  <c r="K248"/>
  <c r="J248"/>
  <c r="G248"/>
  <c r="F248"/>
  <c r="W248" s="1"/>
  <c r="F247" i="11" s="1"/>
  <c r="E248" i="10"/>
  <c r="D248"/>
  <c r="C248"/>
  <c r="S247"/>
  <c r="R247"/>
  <c r="N247"/>
  <c r="M247"/>
  <c r="L247"/>
  <c r="K247"/>
  <c r="J247"/>
  <c r="G247"/>
  <c r="F247"/>
  <c r="E247"/>
  <c r="V247" s="1"/>
  <c r="E246" i="11" s="1"/>
  <c r="D247" i="10"/>
  <c r="C247"/>
  <c r="S246"/>
  <c r="R246"/>
  <c r="N246"/>
  <c r="M246"/>
  <c r="L246"/>
  <c r="K246"/>
  <c r="J246"/>
  <c r="G246"/>
  <c r="X246" s="1"/>
  <c r="G245" i="11" s="1"/>
  <c r="F246" i="10"/>
  <c r="E246"/>
  <c r="D246"/>
  <c r="C246"/>
  <c r="S245"/>
  <c r="R245"/>
  <c r="N245"/>
  <c r="M245"/>
  <c r="L245"/>
  <c r="K245"/>
  <c r="J245"/>
  <c r="G245"/>
  <c r="X245" s="1"/>
  <c r="G244" i="11" s="1"/>
  <c r="F245" i="10"/>
  <c r="E245"/>
  <c r="V245" s="1"/>
  <c r="E244" i="11" s="1"/>
  <c r="D245" i="10"/>
  <c r="C245"/>
  <c r="S244"/>
  <c r="R244"/>
  <c r="N244"/>
  <c r="M244"/>
  <c r="L244"/>
  <c r="K244"/>
  <c r="J244"/>
  <c r="G244"/>
  <c r="F244"/>
  <c r="E244"/>
  <c r="D244"/>
  <c r="C244"/>
  <c r="S243"/>
  <c r="R243"/>
  <c r="N243"/>
  <c r="M243"/>
  <c r="L243"/>
  <c r="K243"/>
  <c r="J243"/>
  <c r="G243"/>
  <c r="F243"/>
  <c r="E243"/>
  <c r="D243"/>
  <c r="C243"/>
  <c r="S242"/>
  <c r="R242"/>
  <c r="N242"/>
  <c r="M242"/>
  <c r="L242"/>
  <c r="K242"/>
  <c r="J242"/>
  <c r="G242"/>
  <c r="X242" s="1"/>
  <c r="G241" i="11" s="1"/>
  <c r="F242" i="10"/>
  <c r="E242"/>
  <c r="D242"/>
  <c r="C242"/>
  <c r="S241"/>
  <c r="R241"/>
  <c r="N241"/>
  <c r="M241"/>
  <c r="L241"/>
  <c r="K241"/>
  <c r="J241"/>
  <c r="G241"/>
  <c r="F241"/>
  <c r="E241"/>
  <c r="D241"/>
  <c r="C241"/>
  <c r="S240"/>
  <c r="R240"/>
  <c r="N240"/>
  <c r="M240"/>
  <c r="L240"/>
  <c r="K240"/>
  <c r="J240"/>
  <c r="G240"/>
  <c r="F240"/>
  <c r="E240"/>
  <c r="D240"/>
  <c r="C240"/>
  <c r="S239"/>
  <c r="R239"/>
  <c r="N239"/>
  <c r="M239"/>
  <c r="L239"/>
  <c r="K239"/>
  <c r="U239" s="1"/>
  <c r="D238" i="11" s="1"/>
  <c r="J239" i="10"/>
  <c r="G239"/>
  <c r="F239"/>
  <c r="E239"/>
  <c r="D239"/>
  <c r="C239"/>
  <c r="S238"/>
  <c r="R238"/>
  <c r="N238"/>
  <c r="M238"/>
  <c r="L238"/>
  <c r="K238"/>
  <c r="J238"/>
  <c r="G238"/>
  <c r="F238"/>
  <c r="E238"/>
  <c r="V238" s="1"/>
  <c r="E237" i="11" s="1"/>
  <c r="D238" i="10"/>
  <c r="C238"/>
  <c r="S237"/>
  <c r="R237"/>
  <c r="N237"/>
  <c r="M237"/>
  <c r="L237"/>
  <c r="K237"/>
  <c r="J237"/>
  <c r="G237"/>
  <c r="F237"/>
  <c r="E237"/>
  <c r="D237"/>
  <c r="C237"/>
  <c r="S236"/>
  <c r="R236"/>
  <c r="N236"/>
  <c r="M236"/>
  <c r="L236"/>
  <c r="K236"/>
  <c r="J236"/>
  <c r="G236"/>
  <c r="F236"/>
  <c r="E236"/>
  <c r="D236"/>
  <c r="C236"/>
  <c r="S235"/>
  <c r="R235"/>
  <c r="N235"/>
  <c r="M235"/>
  <c r="L235"/>
  <c r="K235"/>
  <c r="J235"/>
  <c r="G235"/>
  <c r="F235"/>
  <c r="E235"/>
  <c r="D235"/>
  <c r="C235"/>
  <c r="S234"/>
  <c r="R234"/>
  <c r="N234"/>
  <c r="M234"/>
  <c r="L234"/>
  <c r="K234"/>
  <c r="J234"/>
  <c r="G234"/>
  <c r="F234"/>
  <c r="E234"/>
  <c r="D234"/>
  <c r="C234"/>
  <c r="S233"/>
  <c r="R233"/>
  <c r="N233"/>
  <c r="M233"/>
  <c r="L233"/>
  <c r="K233"/>
  <c r="J233"/>
  <c r="G233"/>
  <c r="F233"/>
  <c r="E233"/>
  <c r="V233" s="1"/>
  <c r="E232" i="11" s="1"/>
  <c r="D233" i="10"/>
  <c r="C233"/>
  <c r="S232"/>
  <c r="R232"/>
  <c r="N232"/>
  <c r="M232"/>
  <c r="L232"/>
  <c r="K232"/>
  <c r="J232"/>
  <c r="G232"/>
  <c r="F232"/>
  <c r="E232"/>
  <c r="V232" s="1"/>
  <c r="E231" i="11" s="1"/>
  <c r="D232" i="10"/>
  <c r="C232"/>
  <c r="S231"/>
  <c r="R231"/>
  <c r="N231"/>
  <c r="M231"/>
  <c r="L231"/>
  <c r="K231"/>
  <c r="J231"/>
  <c r="G231"/>
  <c r="F231"/>
  <c r="E231"/>
  <c r="V231" s="1"/>
  <c r="E230" i="11" s="1"/>
  <c r="D231" i="10"/>
  <c r="C231"/>
  <c r="S230"/>
  <c r="R230"/>
  <c r="N230"/>
  <c r="M230"/>
  <c r="L230"/>
  <c r="K230"/>
  <c r="J230"/>
  <c r="G230"/>
  <c r="F230"/>
  <c r="E230"/>
  <c r="D230"/>
  <c r="C230"/>
  <c r="S229"/>
  <c r="R229"/>
  <c r="N229"/>
  <c r="M229"/>
  <c r="L229"/>
  <c r="K229"/>
  <c r="U229" s="1"/>
  <c r="D228" i="11" s="1"/>
  <c r="J229" i="10"/>
  <c r="G229"/>
  <c r="F229"/>
  <c r="E229"/>
  <c r="D229"/>
  <c r="C229"/>
  <c r="S228"/>
  <c r="R228"/>
  <c r="N228"/>
  <c r="M228"/>
  <c r="L228"/>
  <c r="K228"/>
  <c r="J228"/>
  <c r="G228"/>
  <c r="F228"/>
  <c r="E228"/>
  <c r="D228"/>
  <c r="C228"/>
  <c r="S227"/>
  <c r="R227"/>
  <c r="N227"/>
  <c r="M227"/>
  <c r="L227"/>
  <c r="K227"/>
  <c r="J227"/>
  <c r="G227"/>
  <c r="F227"/>
  <c r="E227"/>
  <c r="D227"/>
  <c r="C227"/>
  <c r="S226"/>
  <c r="R226"/>
  <c r="N226"/>
  <c r="M226"/>
  <c r="L226"/>
  <c r="K226"/>
  <c r="J226"/>
  <c r="G226"/>
  <c r="F226"/>
  <c r="E226"/>
  <c r="D226"/>
  <c r="C226"/>
  <c r="S225"/>
  <c r="R225"/>
  <c r="N225"/>
  <c r="M225"/>
  <c r="L225"/>
  <c r="K225"/>
  <c r="U225" s="1"/>
  <c r="D224" i="11" s="1"/>
  <c r="J225" i="10"/>
  <c r="G225"/>
  <c r="F225"/>
  <c r="E225"/>
  <c r="D225"/>
  <c r="C225"/>
  <c r="S224"/>
  <c r="R224"/>
  <c r="N224"/>
  <c r="M224"/>
  <c r="L224"/>
  <c r="K224"/>
  <c r="J224"/>
  <c r="G224"/>
  <c r="F224"/>
  <c r="E224"/>
  <c r="D224"/>
  <c r="C224"/>
  <c r="S223"/>
  <c r="R223"/>
  <c r="N223"/>
  <c r="M223"/>
  <c r="L223"/>
  <c r="K223"/>
  <c r="J223"/>
  <c r="G223"/>
  <c r="F223"/>
  <c r="E223"/>
  <c r="D223"/>
  <c r="C223"/>
  <c r="S222"/>
  <c r="R222"/>
  <c r="N222"/>
  <c r="M222"/>
  <c r="L222"/>
  <c r="K222"/>
  <c r="J222"/>
  <c r="G222"/>
  <c r="F222"/>
  <c r="E222"/>
  <c r="D222"/>
  <c r="C222"/>
  <c r="S221"/>
  <c r="R221"/>
  <c r="N221"/>
  <c r="M221"/>
  <c r="L221"/>
  <c r="K221"/>
  <c r="J221"/>
  <c r="G221"/>
  <c r="F221"/>
  <c r="E221"/>
  <c r="D221"/>
  <c r="C221"/>
  <c r="S220"/>
  <c r="R220"/>
  <c r="N220"/>
  <c r="M220"/>
  <c r="L220"/>
  <c r="K220"/>
  <c r="J220"/>
  <c r="G220"/>
  <c r="F220"/>
  <c r="E220"/>
  <c r="D220"/>
  <c r="C220"/>
  <c r="S219"/>
  <c r="R219"/>
  <c r="N219"/>
  <c r="M219"/>
  <c r="L219"/>
  <c r="K219"/>
  <c r="J219"/>
  <c r="G219"/>
  <c r="F219"/>
  <c r="E219"/>
  <c r="D219"/>
  <c r="C219"/>
  <c r="S218"/>
  <c r="R218"/>
  <c r="N218"/>
  <c r="M218"/>
  <c r="L218"/>
  <c r="K218"/>
  <c r="J218"/>
  <c r="G218"/>
  <c r="F218"/>
  <c r="E218"/>
  <c r="D218"/>
  <c r="C218"/>
  <c r="S217"/>
  <c r="R217"/>
  <c r="N217"/>
  <c r="M217"/>
  <c r="L217"/>
  <c r="K217"/>
  <c r="J217"/>
  <c r="G217"/>
  <c r="F217"/>
  <c r="E217"/>
  <c r="D217"/>
  <c r="C217"/>
  <c r="S216"/>
  <c r="R216"/>
  <c r="N216"/>
  <c r="M216"/>
  <c r="L216"/>
  <c r="K216"/>
  <c r="J216"/>
  <c r="G216"/>
  <c r="F216"/>
  <c r="E216"/>
  <c r="D216"/>
  <c r="C216"/>
  <c r="S215"/>
  <c r="R215"/>
  <c r="N215"/>
  <c r="M215"/>
  <c r="L215"/>
  <c r="K215"/>
  <c r="J215"/>
  <c r="G215"/>
  <c r="F215"/>
  <c r="E215"/>
  <c r="D215"/>
  <c r="C215"/>
  <c r="S214"/>
  <c r="R214"/>
  <c r="N214"/>
  <c r="M214"/>
  <c r="L214"/>
  <c r="K214"/>
  <c r="J214"/>
  <c r="G214"/>
  <c r="F214"/>
  <c r="E214"/>
  <c r="D214"/>
  <c r="C214"/>
  <c r="S213"/>
  <c r="R213"/>
  <c r="N213"/>
  <c r="M213"/>
  <c r="L213"/>
  <c r="K213"/>
  <c r="J213"/>
  <c r="G213"/>
  <c r="F213"/>
  <c r="E213"/>
  <c r="D213"/>
  <c r="C213"/>
  <c r="S212"/>
  <c r="R212"/>
  <c r="N212"/>
  <c r="M212"/>
  <c r="L212"/>
  <c r="K212"/>
  <c r="J212"/>
  <c r="G212"/>
  <c r="F212"/>
  <c r="E212"/>
  <c r="D212"/>
  <c r="C212"/>
  <c r="S211"/>
  <c r="R211"/>
  <c r="N211"/>
  <c r="M211"/>
  <c r="L211"/>
  <c r="K211"/>
  <c r="J211"/>
  <c r="G211"/>
  <c r="F211"/>
  <c r="E211"/>
  <c r="D211"/>
  <c r="C211"/>
  <c r="S210"/>
  <c r="R210"/>
  <c r="N210"/>
  <c r="M210"/>
  <c r="L210"/>
  <c r="K210"/>
  <c r="J210"/>
  <c r="G210"/>
  <c r="F210"/>
  <c r="E210"/>
  <c r="D210"/>
  <c r="C210"/>
  <c r="S209"/>
  <c r="R209"/>
  <c r="N209"/>
  <c r="M209"/>
  <c r="L209"/>
  <c r="K209"/>
  <c r="J209"/>
  <c r="G209"/>
  <c r="F209"/>
  <c r="E209"/>
  <c r="D209"/>
  <c r="C209"/>
  <c r="S208"/>
  <c r="R208"/>
  <c r="N208"/>
  <c r="M208"/>
  <c r="L208"/>
  <c r="K208"/>
  <c r="J208"/>
  <c r="G208"/>
  <c r="F208"/>
  <c r="E208"/>
  <c r="D208"/>
  <c r="C208"/>
  <c r="S207"/>
  <c r="R207"/>
  <c r="N207"/>
  <c r="M207"/>
  <c r="L207"/>
  <c r="K207"/>
  <c r="J207"/>
  <c r="G207"/>
  <c r="F207"/>
  <c r="E207"/>
  <c r="D207"/>
  <c r="C207"/>
  <c r="S206"/>
  <c r="R206"/>
  <c r="N206"/>
  <c r="M206"/>
  <c r="L206"/>
  <c r="K206"/>
  <c r="J206"/>
  <c r="G206"/>
  <c r="F206"/>
  <c r="E206"/>
  <c r="V206" s="1"/>
  <c r="E205" i="11" s="1"/>
  <c r="D206" i="10"/>
  <c r="C206"/>
  <c r="S205"/>
  <c r="R205"/>
  <c r="N205"/>
  <c r="M205"/>
  <c r="L205"/>
  <c r="K205"/>
  <c r="J205"/>
  <c r="G205"/>
  <c r="F205"/>
  <c r="E205"/>
  <c r="D205"/>
  <c r="C205"/>
  <c r="S204"/>
  <c r="R204"/>
  <c r="N204"/>
  <c r="M204"/>
  <c r="L204"/>
  <c r="K204"/>
  <c r="J204"/>
  <c r="G204"/>
  <c r="F204"/>
  <c r="E204"/>
  <c r="D204"/>
  <c r="C204"/>
  <c r="S203"/>
  <c r="R203"/>
  <c r="N203"/>
  <c r="M203"/>
  <c r="L203"/>
  <c r="K203"/>
  <c r="J203"/>
  <c r="G203"/>
  <c r="F203"/>
  <c r="E203"/>
  <c r="D203"/>
  <c r="C203"/>
  <c r="S202"/>
  <c r="R202"/>
  <c r="N202"/>
  <c r="M202"/>
  <c r="L202"/>
  <c r="K202"/>
  <c r="J202"/>
  <c r="G202"/>
  <c r="F202"/>
  <c r="E202"/>
  <c r="D202"/>
  <c r="C202"/>
  <c r="S201"/>
  <c r="R201"/>
  <c r="N201"/>
  <c r="M201"/>
  <c r="L201"/>
  <c r="K201"/>
  <c r="J201"/>
  <c r="G201"/>
  <c r="F201"/>
  <c r="E201"/>
  <c r="D201"/>
  <c r="C201"/>
  <c r="S200"/>
  <c r="R200"/>
  <c r="N200"/>
  <c r="M200"/>
  <c r="L200"/>
  <c r="K200"/>
  <c r="U200" s="1"/>
  <c r="D199" i="11" s="1"/>
  <c r="J200" i="10"/>
  <c r="G200"/>
  <c r="X200" s="1"/>
  <c r="G199" i="11" s="1"/>
  <c r="F200" i="10"/>
  <c r="E200"/>
  <c r="D200"/>
  <c r="C200"/>
  <c r="S199"/>
  <c r="R199"/>
  <c r="N199"/>
  <c r="M199"/>
  <c r="L199"/>
  <c r="K199"/>
  <c r="J199"/>
  <c r="G199"/>
  <c r="X199" s="1"/>
  <c r="G198" i="11" s="1"/>
  <c r="F199" i="10"/>
  <c r="E199"/>
  <c r="D199"/>
  <c r="C199"/>
  <c r="S198"/>
  <c r="R198"/>
  <c r="N198"/>
  <c r="M198"/>
  <c r="L198"/>
  <c r="K198"/>
  <c r="J198"/>
  <c r="G198"/>
  <c r="F198"/>
  <c r="E198"/>
  <c r="V198" s="1"/>
  <c r="E197" i="11" s="1"/>
  <c r="D198" i="10"/>
  <c r="C198"/>
  <c r="S197"/>
  <c r="R197"/>
  <c r="N197"/>
  <c r="M197"/>
  <c r="L197"/>
  <c r="K197"/>
  <c r="J197"/>
  <c r="G197"/>
  <c r="F197"/>
  <c r="E197"/>
  <c r="D197"/>
  <c r="C197"/>
  <c r="S196"/>
  <c r="R196"/>
  <c r="N196"/>
  <c r="M196"/>
  <c r="L196"/>
  <c r="K196"/>
  <c r="J196"/>
  <c r="G196"/>
  <c r="F196"/>
  <c r="E196"/>
  <c r="D196"/>
  <c r="C196"/>
  <c r="S195"/>
  <c r="R195"/>
  <c r="N195"/>
  <c r="M195"/>
  <c r="L195"/>
  <c r="K195"/>
  <c r="J195"/>
  <c r="G195"/>
  <c r="F195"/>
  <c r="E195"/>
  <c r="D195"/>
  <c r="C195"/>
  <c r="S194"/>
  <c r="R194"/>
  <c r="N194"/>
  <c r="M194"/>
  <c r="L194"/>
  <c r="K194"/>
  <c r="J194"/>
  <c r="G194"/>
  <c r="F194"/>
  <c r="E194"/>
  <c r="D194"/>
  <c r="C194"/>
  <c r="S193"/>
  <c r="R193"/>
  <c r="N193"/>
  <c r="M193"/>
  <c r="L193"/>
  <c r="K193"/>
  <c r="J193"/>
  <c r="G193"/>
  <c r="F193"/>
  <c r="E193"/>
  <c r="D193"/>
  <c r="C193"/>
  <c r="S192"/>
  <c r="R192"/>
  <c r="N192"/>
  <c r="M192"/>
  <c r="L192"/>
  <c r="K192"/>
  <c r="J192"/>
  <c r="G192"/>
  <c r="F192"/>
  <c r="E192"/>
  <c r="D192"/>
  <c r="C192"/>
  <c r="S191"/>
  <c r="R191"/>
  <c r="N191"/>
  <c r="M191"/>
  <c r="L191"/>
  <c r="K191"/>
  <c r="J191"/>
  <c r="G191"/>
  <c r="F191"/>
  <c r="E191"/>
  <c r="D191"/>
  <c r="C191"/>
  <c r="S190"/>
  <c r="R190"/>
  <c r="N190"/>
  <c r="M190"/>
  <c r="L190"/>
  <c r="K190"/>
  <c r="J190"/>
  <c r="G190"/>
  <c r="F190"/>
  <c r="E190"/>
  <c r="D190"/>
  <c r="C190"/>
  <c r="S189"/>
  <c r="R189"/>
  <c r="N189"/>
  <c r="M189"/>
  <c r="L189"/>
  <c r="K189"/>
  <c r="J189"/>
  <c r="G189"/>
  <c r="F189"/>
  <c r="E189"/>
  <c r="D189"/>
  <c r="C189"/>
  <c r="S188"/>
  <c r="R188"/>
  <c r="N188"/>
  <c r="M188"/>
  <c r="L188"/>
  <c r="K188"/>
  <c r="J188"/>
  <c r="G188"/>
  <c r="F188"/>
  <c r="E188"/>
  <c r="D188"/>
  <c r="C188"/>
  <c r="S187"/>
  <c r="R187"/>
  <c r="N187"/>
  <c r="M187"/>
  <c r="L187"/>
  <c r="K187"/>
  <c r="J187"/>
  <c r="G187"/>
  <c r="F187"/>
  <c r="E187"/>
  <c r="D187"/>
  <c r="C187"/>
  <c r="S186"/>
  <c r="R186"/>
  <c r="N186"/>
  <c r="M186"/>
  <c r="L186"/>
  <c r="K186"/>
  <c r="J186"/>
  <c r="G186"/>
  <c r="F186"/>
  <c r="E186"/>
  <c r="D186"/>
  <c r="C186"/>
  <c r="S185"/>
  <c r="R185"/>
  <c r="N185"/>
  <c r="M185"/>
  <c r="L185"/>
  <c r="K185"/>
  <c r="J185"/>
  <c r="G185"/>
  <c r="F185"/>
  <c r="E185"/>
  <c r="D185"/>
  <c r="C185"/>
  <c r="S184"/>
  <c r="R184"/>
  <c r="N184"/>
  <c r="M184"/>
  <c r="L184"/>
  <c r="K184"/>
  <c r="J184"/>
  <c r="G184"/>
  <c r="F184"/>
  <c r="E184"/>
  <c r="D184"/>
  <c r="C184"/>
  <c r="S183"/>
  <c r="R183"/>
  <c r="N183"/>
  <c r="M183"/>
  <c r="L183"/>
  <c r="K183"/>
  <c r="J183"/>
  <c r="G183"/>
  <c r="F183"/>
  <c r="E183"/>
  <c r="D183"/>
  <c r="C183"/>
  <c r="S182"/>
  <c r="R182"/>
  <c r="N182"/>
  <c r="M182"/>
  <c r="L182"/>
  <c r="K182"/>
  <c r="J182"/>
  <c r="G182"/>
  <c r="F182"/>
  <c r="E182"/>
  <c r="D182"/>
  <c r="C182"/>
  <c r="S181"/>
  <c r="R181"/>
  <c r="N181"/>
  <c r="M181"/>
  <c r="L181"/>
  <c r="K181"/>
  <c r="J181"/>
  <c r="G181"/>
  <c r="F181"/>
  <c r="E181"/>
  <c r="D181"/>
  <c r="C181"/>
  <c r="S180"/>
  <c r="R180"/>
  <c r="N180"/>
  <c r="M180"/>
  <c r="L180"/>
  <c r="K180"/>
  <c r="J180"/>
  <c r="G180"/>
  <c r="F180"/>
  <c r="E180"/>
  <c r="D180"/>
  <c r="C180"/>
  <c r="S179"/>
  <c r="R179"/>
  <c r="N179"/>
  <c r="M179"/>
  <c r="L179"/>
  <c r="K179"/>
  <c r="J179"/>
  <c r="G179"/>
  <c r="F179"/>
  <c r="E179"/>
  <c r="D179"/>
  <c r="C179"/>
  <c r="S178"/>
  <c r="R178"/>
  <c r="N178"/>
  <c r="M178"/>
  <c r="L178"/>
  <c r="K178"/>
  <c r="J178"/>
  <c r="G178"/>
  <c r="F178"/>
  <c r="E178"/>
  <c r="D178"/>
  <c r="C178"/>
  <c r="S177"/>
  <c r="R177"/>
  <c r="N177"/>
  <c r="M177"/>
  <c r="L177"/>
  <c r="K177"/>
  <c r="J177"/>
  <c r="G177"/>
  <c r="F177"/>
  <c r="E177"/>
  <c r="D177"/>
  <c r="C177"/>
  <c r="S176"/>
  <c r="R176"/>
  <c r="N176"/>
  <c r="M176"/>
  <c r="L176"/>
  <c r="K176"/>
  <c r="J176"/>
  <c r="G176"/>
  <c r="F176"/>
  <c r="E176"/>
  <c r="D176"/>
  <c r="C176"/>
  <c r="S175"/>
  <c r="R175"/>
  <c r="N175"/>
  <c r="M175"/>
  <c r="L175"/>
  <c r="K175"/>
  <c r="J175"/>
  <c r="G175"/>
  <c r="F175"/>
  <c r="E175"/>
  <c r="D175"/>
  <c r="C175"/>
  <c r="S174"/>
  <c r="R174"/>
  <c r="N174"/>
  <c r="M174"/>
  <c r="L174"/>
  <c r="K174"/>
  <c r="J174"/>
  <c r="G174"/>
  <c r="F174"/>
  <c r="E174"/>
  <c r="V174" s="1"/>
  <c r="E173" i="11" s="1"/>
  <c r="D174" i="10"/>
  <c r="C174"/>
  <c r="S173"/>
  <c r="R173"/>
  <c r="N173"/>
  <c r="M173"/>
  <c r="L173"/>
  <c r="K173"/>
  <c r="J173"/>
  <c r="G173"/>
  <c r="F173"/>
  <c r="E173"/>
  <c r="D173"/>
  <c r="C173"/>
  <c r="S172"/>
  <c r="R172"/>
  <c r="N172"/>
  <c r="M172"/>
  <c r="L172"/>
  <c r="K172"/>
  <c r="J172"/>
  <c r="G172"/>
  <c r="F172"/>
  <c r="E172"/>
  <c r="D172"/>
  <c r="C172"/>
  <c r="S171"/>
  <c r="R171"/>
  <c r="N171"/>
  <c r="M171"/>
  <c r="L171"/>
  <c r="K171"/>
  <c r="J171"/>
  <c r="G171"/>
  <c r="F171"/>
  <c r="E171"/>
  <c r="D171"/>
  <c r="C171"/>
  <c r="S170"/>
  <c r="R170"/>
  <c r="N170"/>
  <c r="M170"/>
  <c r="L170"/>
  <c r="K170"/>
  <c r="J170"/>
  <c r="G170"/>
  <c r="F170"/>
  <c r="E170"/>
  <c r="D170"/>
  <c r="C170"/>
  <c r="S169"/>
  <c r="R169"/>
  <c r="N169"/>
  <c r="M169"/>
  <c r="L169"/>
  <c r="K169"/>
  <c r="J169"/>
  <c r="G169"/>
  <c r="F169"/>
  <c r="E169"/>
  <c r="D169"/>
  <c r="C169"/>
  <c r="S168"/>
  <c r="R168"/>
  <c r="N168"/>
  <c r="M168"/>
  <c r="L168"/>
  <c r="K168"/>
  <c r="J168"/>
  <c r="G168"/>
  <c r="F168"/>
  <c r="E168"/>
  <c r="D168"/>
  <c r="C168"/>
  <c r="S167"/>
  <c r="R167"/>
  <c r="N167"/>
  <c r="M167"/>
  <c r="L167"/>
  <c r="K167"/>
  <c r="J167"/>
  <c r="G167"/>
  <c r="F167"/>
  <c r="E167"/>
  <c r="D167"/>
  <c r="C167"/>
  <c r="S166"/>
  <c r="R166"/>
  <c r="N166"/>
  <c r="M166"/>
  <c r="L166"/>
  <c r="K166"/>
  <c r="J166"/>
  <c r="G166"/>
  <c r="F166"/>
  <c r="E166"/>
  <c r="D166"/>
  <c r="C166"/>
  <c r="S165"/>
  <c r="R165"/>
  <c r="N165"/>
  <c r="M165"/>
  <c r="L165"/>
  <c r="K165"/>
  <c r="J165"/>
  <c r="G165"/>
  <c r="F165"/>
  <c r="E165"/>
  <c r="D165"/>
  <c r="C165"/>
  <c r="S164"/>
  <c r="R164"/>
  <c r="N164"/>
  <c r="M164"/>
  <c r="L164"/>
  <c r="K164"/>
  <c r="J164"/>
  <c r="G164"/>
  <c r="F164"/>
  <c r="E164"/>
  <c r="D164"/>
  <c r="C164"/>
  <c r="S163"/>
  <c r="R163"/>
  <c r="N163"/>
  <c r="M163"/>
  <c r="L163"/>
  <c r="K163"/>
  <c r="J163"/>
  <c r="G163"/>
  <c r="F163"/>
  <c r="E163"/>
  <c r="D163"/>
  <c r="C163"/>
  <c r="S162"/>
  <c r="R162"/>
  <c r="N162"/>
  <c r="M162"/>
  <c r="L162"/>
  <c r="K162"/>
  <c r="J162"/>
  <c r="G162"/>
  <c r="F162"/>
  <c r="E162"/>
  <c r="D162"/>
  <c r="C162"/>
  <c r="S161"/>
  <c r="R161"/>
  <c r="N161"/>
  <c r="M161"/>
  <c r="L161"/>
  <c r="K161"/>
  <c r="J161"/>
  <c r="G161"/>
  <c r="F161"/>
  <c r="E161"/>
  <c r="D161"/>
  <c r="C161"/>
  <c r="S160"/>
  <c r="R160"/>
  <c r="N160"/>
  <c r="M160"/>
  <c r="L160"/>
  <c r="K160"/>
  <c r="J160"/>
  <c r="G160"/>
  <c r="F160"/>
  <c r="E160"/>
  <c r="D160"/>
  <c r="C160"/>
  <c r="S159"/>
  <c r="R159"/>
  <c r="N159"/>
  <c r="M159"/>
  <c r="L159"/>
  <c r="K159"/>
  <c r="J159"/>
  <c r="G159"/>
  <c r="F159"/>
  <c r="E159"/>
  <c r="D159"/>
  <c r="C159"/>
  <c r="S158"/>
  <c r="R158"/>
  <c r="N158"/>
  <c r="M158"/>
  <c r="L158"/>
  <c r="K158"/>
  <c r="J158"/>
  <c r="G158"/>
  <c r="F158"/>
  <c r="E158"/>
  <c r="D158"/>
  <c r="C158"/>
  <c r="S157"/>
  <c r="R157"/>
  <c r="N157"/>
  <c r="M157"/>
  <c r="L157"/>
  <c r="K157"/>
  <c r="J157"/>
  <c r="G157"/>
  <c r="F157"/>
  <c r="E157"/>
  <c r="D157"/>
  <c r="C157"/>
  <c r="S156"/>
  <c r="R156"/>
  <c r="N156"/>
  <c r="M156"/>
  <c r="L156"/>
  <c r="K156"/>
  <c r="J156"/>
  <c r="G156"/>
  <c r="F156"/>
  <c r="E156"/>
  <c r="D156"/>
  <c r="C156"/>
  <c r="S155"/>
  <c r="R155"/>
  <c r="N155"/>
  <c r="M155"/>
  <c r="L155"/>
  <c r="K155"/>
  <c r="J155"/>
  <c r="G155"/>
  <c r="F155"/>
  <c r="E155"/>
  <c r="D155"/>
  <c r="C155"/>
  <c r="S154"/>
  <c r="R154"/>
  <c r="N154"/>
  <c r="M154"/>
  <c r="L154"/>
  <c r="K154"/>
  <c r="J154"/>
  <c r="G154"/>
  <c r="F154"/>
  <c r="E154"/>
  <c r="D154"/>
  <c r="C154"/>
  <c r="S153"/>
  <c r="R153"/>
  <c r="N153"/>
  <c r="M153"/>
  <c r="L153"/>
  <c r="K153"/>
  <c r="J153"/>
  <c r="G153"/>
  <c r="F153"/>
  <c r="E153"/>
  <c r="D153"/>
  <c r="C153"/>
  <c r="S152"/>
  <c r="R152"/>
  <c r="N152"/>
  <c r="M152"/>
  <c r="L152"/>
  <c r="K152"/>
  <c r="J152"/>
  <c r="G152"/>
  <c r="F152"/>
  <c r="E152"/>
  <c r="D152"/>
  <c r="C152"/>
  <c r="S151"/>
  <c r="R151"/>
  <c r="N151"/>
  <c r="M151"/>
  <c r="L151"/>
  <c r="K151"/>
  <c r="J151"/>
  <c r="G151"/>
  <c r="F151"/>
  <c r="E151"/>
  <c r="D151"/>
  <c r="C151"/>
  <c r="S150"/>
  <c r="R150"/>
  <c r="N150"/>
  <c r="M150"/>
  <c r="L150"/>
  <c r="K150"/>
  <c r="J150"/>
  <c r="G150"/>
  <c r="F150"/>
  <c r="E150"/>
  <c r="D150"/>
  <c r="C150"/>
  <c r="S149"/>
  <c r="R149"/>
  <c r="N149"/>
  <c r="M149"/>
  <c r="L149"/>
  <c r="K149"/>
  <c r="J149"/>
  <c r="G149"/>
  <c r="F149"/>
  <c r="E149"/>
  <c r="D149"/>
  <c r="C149"/>
  <c r="S148"/>
  <c r="R148"/>
  <c r="N148"/>
  <c r="M148"/>
  <c r="L148"/>
  <c r="K148"/>
  <c r="J148"/>
  <c r="G148"/>
  <c r="F148"/>
  <c r="E148"/>
  <c r="D148"/>
  <c r="C148"/>
  <c r="S147"/>
  <c r="R147"/>
  <c r="N147"/>
  <c r="M147"/>
  <c r="L147"/>
  <c r="K147"/>
  <c r="J147"/>
  <c r="G147"/>
  <c r="F147"/>
  <c r="E147"/>
  <c r="D147"/>
  <c r="C147"/>
  <c r="S146"/>
  <c r="R146"/>
  <c r="N146"/>
  <c r="M146"/>
  <c r="L146"/>
  <c r="K146"/>
  <c r="J146"/>
  <c r="G146"/>
  <c r="F146"/>
  <c r="E146"/>
  <c r="D146"/>
  <c r="C146"/>
  <c r="S145"/>
  <c r="R145"/>
  <c r="N145"/>
  <c r="M145"/>
  <c r="L145"/>
  <c r="K145"/>
  <c r="J145"/>
  <c r="G145"/>
  <c r="F145"/>
  <c r="E145"/>
  <c r="D145"/>
  <c r="C145"/>
  <c r="S144"/>
  <c r="R144"/>
  <c r="N144"/>
  <c r="M144"/>
  <c r="L144"/>
  <c r="K144"/>
  <c r="J144"/>
  <c r="G144"/>
  <c r="F144"/>
  <c r="E144"/>
  <c r="D144"/>
  <c r="C144"/>
  <c r="S143"/>
  <c r="R143"/>
  <c r="N143"/>
  <c r="M143"/>
  <c r="L143"/>
  <c r="K143"/>
  <c r="J143"/>
  <c r="G143"/>
  <c r="F143"/>
  <c r="E143"/>
  <c r="D143"/>
  <c r="C143"/>
  <c r="S142"/>
  <c r="R142"/>
  <c r="N142"/>
  <c r="M142"/>
  <c r="L142"/>
  <c r="K142"/>
  <c r="J142"/>
  <c r="G142"/>
  <c r="F142"/>
  <c r="E142"/>
  <c r="D142"/>
  <c r="C142"/>
  <c r="S141"/>
  <c r="R141"/>
  <c r="N141"/>
  <c r="M141"/>
  <c r="L141"/>
  <c r="K141"/>
  <c r="J141"/>
  <c r="G141"/>
  <c r="F141"/>
  <c r="E141"/>
  <c r="D141"/>
  <c r="C141"/>
  <c r="S140"/>
  <c r="R140"/>
  <c r="N140"/>
  <c r="M140"/>
  <c r="L140"/>
  <c r="K140"/>
  <c r="J140"/>
  <c r="G140"/>
  <c r="F140"/>
  <c r="E140"/>
  <c r="D140"/>
  <c r="C140"/>
  <c r="S139"/>
  <c r="R139"/>
  <c r="N139"/>
  <c r="M139"/>
  <c r="L139"/>
  <c r="K139"/>
  <c r="J139"/>
  <c r="G139"/>
  <c r="F139"/>
  <c r="E139"/>
  <c r="D139"/>
  <c r="C139"/>
  <c r="S138"/>
  <c r="R138"/>
  <c r="N138"/>
  <c r="M138"/>
  <c r="L138"/>
  <c r="K138"/>
  <c r="J138"/>
  <c r="G138"/>
  <c r="F138"/>
  <c r="E138"/>
  <c r="D138"/>
  <c r="C138"/>
  <c r="S137"/>
  <c r="R137"/>
  <c r="N137"/>
  <c r="M137"/>
  <c r="L137"/>
  <c r="K137"/>
  <c r="J137"/>
  <c r="G137"/>
  <c r="F137"/>
  <c r="E137"/>
  <c r="D137"/>
  <c r="C137"/>
  <c r="S136"/>
  <c r="R136"/>
  <c r="N136"/>
  <c r="M136"/>
  <c r="L136"/>
  <c r="K136"/>
  <c r="J136"/>
  <c r="G136"/>
  <c r="F136"/>
  <c r="E136"/>
  <c r="D136"/>
  <c r="C136"/>
  <c r="S135"/>
  <c r="R135"/>
  <c r="N135"/>
  <c r="M135"/>
  <c r="L135"/>
  <c r="K135"/>
  <c r="J135"/>
  <c r="G135"/>
  <c r="F135"/>
  <c r="W135" s="1"/>
  <c r="F134" i="11" s="1"/>
  <c r="E135" i="10"/>
  <c r="D135"/>
  <c r="C135"/>
  <c r="S134"/>
  <c r="R134"/>
  <c r="N134"/>
  <c r="M134"/>
  <c r="L134"/>
  <c r="K134"/>
  <c r="J134"/>
  <c r="G134"/>
  <c r="F134"/>
  <c r="E134"/>
  <c r="V134" s="1"/>
  <c r="E133" i="11" s="1"/>
  <c r="D134" i="10"/>
  <c r="C134"/>
  <c r="S133"/>
  <c r="R133"/>
  <c r="N133"/>
  <c r="M133"/>
  <c r="L133"/>
  <c r="K133"/>
  <c r="U133" s="1"/>
  <c r="D132" i="11" s="1"/>
  <c r="J133" i="10"/>
  <c r="G133"/>
  <c r="X133" s="1"/>
  <c r="G132" i="11" s="1"/>
  <c r="F133" i="10"/>
  <c r="E133"/>
  <c r="D133"/>
  <c r="C133"/>
  <c r="S132"/>
  <c r="R132"/>
  <c r="N132"/>
  <c r="M132"/>
  <c r="L132"/>
  <c r="K132"/>
  <c r="J132"/>
  <c r="G132"/>
  <c r="F132"/>
  <c r="E132"/>
  <c r="D132"/>
  <c r="C132"/>
  <c r="S131"/>
  <c r="R131"/>
  <c r="N131"/>
  <c r="M131"/>
  <c r="L131"/>
  <c r="K131"/>
  <c r="J131"/>
  <c r="G131"/>
  <c r="F131"/>
  <c r="E131"/>
  <c r="D131"/>
  <c r="C131"/>
  <c r="S130"/>
  <c r="R130"/>
  <c r="N130"/>
  <c r="M130"/>
  <c r="L130"/>
  <c r="K130"/>
  <c r="J130"/>
  <c r="G130"/>
  <c r="F130"/>
  <c r="E130"/>
  <c r="D130"/>
  <c r="C130"/>
  <c r="S129"/>
  <c r="R129"/>
  <c r="N129"/>
  <c r="M129"/>
  <c r="L129"/>
  <c r="K129"/>
  <c r="J129"/>
  <c r="G129"/>
  <c r="F129"/>
  <c r="E129"/>
  <c r="D129"/>
  <c r="C129"/>
  <c r="S128"/>
  <c r="R128"/>
  <c r="N128"/>
  <c r="M128"/>
  <c r="L128"/>
  <c r="K128"/>
  <c r="J128"/>
  <c r="G128"/>
  <c r="F128"/>
  <c r="E128"/>
  <c r="D128"/>
  <c r="C128"/>
  <c r="S127"/>
  <c r="R127"/>
  <c r="N127"/>
  <c r="M127"/>
  <c r="L127"/>
  <c r="K127"/>
  <c r="J127"/>
  <c r="G127"/>
  <c r="F127"/>
  <c r="E127"/>
  <c r="D127"/>
  <c r="C127"/>
  <c r="S126"/>
  <c r="R126"/>
  <c r="N126"/>
  <c r="M126"/>
  <c r="L126"/>
  <c r="K126"/>
  <c r="J126"/>
  <c r="G126"/>
  <c r="F126"/>
  <c r="E126"/>
  <c r="D126"/>
  <c r="C126"/>
  <c r="S125"/>
  <c r="R125"/>
  <c r="N125"/>
  <c r="M125"/>
  <c r="L125"/>
  <c r="K125"/>
  <c r="J125"/>
  <c r="G125"/>
  <c r="F125"/>
  <c r="E125"/>
  <c r="D125"/>
  <c r="C125"/>
  <c r="S124"/>
  <c r="R124"/>
  <c r="N124"/>
  <c r="M124"/>
  <c r="L124"/>
  <c r="K124"/>
  <c r="J124"/>
  <c r="G124"/>
  <c r="F124"/>
  <c r="E124"/>
  <c r="D124"/>
  <c r="C124"/>
  <c r="S123"/>
  <c r="R123"/>
  <c r="N123"/>
  <c r="M123"/>
  <c r="L123"/>
  <c r="K123"/>
  <c r="J123"/>
  <c r="G123"/>
  <c r="F123"/>
  <c r="E123"/>
  <c r="D123"/>
  <c r="C123"/>
  <c r="S122"/>
  <c r="R122"/>
  <c r="N122"/>
  <c r="M122"/>
  <c r="L122"/>
  <c r="K122"/>
  <c r="J122"/>
  <c r="G122"/>
  <c r="F122"/>
  <c r="E122"/>
  <c r="D122"/>
  <c r="C122"/>
  <c r="S121"/>
  <c r="R121"/>
  <c r="N121"/>
  <c r="M121"/>
  <c r="L121"/>
  <c r="K121"/>
  <c r="J121"/>
  <c r="G121"/>
  <c r="F121"/>
  <c r="E121"/>
  <c r="D121"/>
  <c r="C121"/>
  <c r="S120"/>
  <c r="R120"/>
  <c r="N120"/>
  <c r="M120"/>
  <c r="L120"/>
  <c r="K120"/>
  <c r="J120"/>
  <c r="G120"/>
  <c r="F120"/>
  <c r="E120"/>
  <c r="D120"/>
  <c r="C120"/>
  <c r="S119"/>
  <c r="R119"/>
  <c r="N119"/>
  <c r="M119"/>
  <c r="L119"/>
  <c r="K119"/>
  <c r="J119"/>
  <c r="G119"/>
  <c r="F119"/>
  <c r="E119"/>
  <c r="D119"/>
  <c r="C119"/>
  <c r="S118"/>
  <c r="R118"/>
  <c r="N118"/>
  <c r="M118"/>
  <c r="L118"/>
  <c r="K118"/>
  <c r="J118"/>
  <c r="G118"/>
  <c r="F118"/>
  <c r="E118"/>
  <c r="D118"/>
  <c r="C118"/>
  <c r="S117"/>
  <c r="R117"/>
  <c r="N117"/>
  <c r="M117"/>
  <c r="L117"/>
  <c r="K117"/>
  <c r="J117"/>
  <c r="G117"/>
  <c r="F117"/>
  <c r="E117"/>
  <c r="D117"/>
  <c r="C117"/>
  <c r="S116"/>
  <c r="R116"/>
  <c r="N116"/>
  <c r="M116"/>
  <c r="L116"/>
  <c r="K116"/>
  <c r="J116"/>
  <c r="G116"/>
  <c r="F116"/>
  <c r="E116"/>
  <c r="D116"/>
  <c r="C116"/>
  <c r="S115"/>
  <c r="R115"/>
  <c r="N115"/>
  <c r="M115"/>
  <c r="L115"/>
  <c r="K115"/>
  <c r="J115"/>
  <c r="G115"/>
  <c r="F115"/>
  <c r="E115"/>
  <c r="D115"/>
  <c r="C115"/>
  <c r="S114"/>
  <c r="R114"/>
  <c r="N114"/>
  <c r="M114"/>
  <c r="L114"/>
  <c r="K114"/>
  <c r="J114"/>
  <c r="G114"/>
  <c r="F114"/>
  <c r="E114"/>
  <c r="D114"/>
  <c r="C114"/>
  <c r="S113"/>
  <c r="R113"/>
  <c r="N113"/>
  <c r="M113"/>
  <c r="L113"/>
  <c r="K113"/>
  <c r="J113"/>
  <c r="G113"/>
  <c r="F113"/>
  <c r="E113"/>
  <c r="D113"/>
  <c r="C113"/>
  <c r="S112"/>
  <c r="R112"/>
  <c r="N112"/>
  <c r="M112"/>
  <c r="L112"/>
  <c r="K112"/>
  <c r="J112"/>
  <c r="G112"/>
  <c r="F112"/>
  <c r="E112"/>
  <c r="D112"/>
  <c r="C112"/>
  <c r="S111"/>
  <c r="R111"/>
  <c r="N111"/>
  <c r="M111"/>
  <c r="L111"/>
  <c r="K111"/>
  <c r="J111"/>
  <c r="G111"/>
  <c r="F111"/>
  <c r="E111"/>
  <c r="D111"/>
  <c r="C111"/>
  <c r="S110"/>
  <c r="R110"/>
  <c r="N110"/>
  <c r="M110"/>
  <c r="L110"/>
  <c r="K110"/>
  <c r="J110"/>
  <c r="G110"/>
  <c r="F110"/>
  <c r="E110"/>
  <c r="D110"/>
  <c r="C110"/>
  <c r="S109"/>
  <c r="R109"/>
  <c r="N109"/>
  <c r="M109"/>
  <c r="L109"/>
  <c r="K109"/>
  <c r="J109"/>
  <c r="G109"/>
  <c r="F109"/>
  <c r="E109"/>
  <c r="D109"/>
  <c r="C109"/>
  <c r="S108"/>
  <c r="R108"/>
  <c r="N108"/>
  <c r="M108"/>
  <c r="L108"/>
  <c r="K108"/>
  <c r="J108"/>
  <c r="G108"/>
  <c r="F108"/>
  <c r="E108"/>
  <c r="D108"/>
  <c r="C108"/>
  <c r="S107"/>
  <c r="R107"/>
  <c r="N107"/>
  <c r="M107"/>
  <c r="L107"/>
  <c r="K107"/>
  <c r="J107"/>
  <c r="G107"/>
  <c r="F107"/>
  <c r="E107"/>
  <c r="D107"/>
  <c r="C107"/>
  <c r="S106"/>
  <c r="R106"/>
  <c r="N106"/>
  <c r="M106"/>
  <c r="L106"/>
  <c r="K106"/>
  <c r="J106"/>
  <c r="G106"/>
  <c r="F106"/>
  <c r="E106"/>
  <c r="D106"/>
  <c r="C106"/>
  <c r="S105"/>
  <c r="R105"/>
  <c r="N105"/>
  <c r="M105"/>
  <c r="L105"/>
  <c r="K105"/>
  <c r="J105"/>
  <c r="G105"/>
  <c r="X105" s="1"/>
  <c r="G104" i="11" s="1"/>
  <c r="F105" i="10"/>
  <c r="E105"/>
  <c r="D105"/>
  <c r="C105"/>
  <c r="S104"/>
  <c r="R104"/>
  <c r="N104"/>
  <c r="M104"/>
  <c r="L104"/>
  <c r="K104"/>
  <c r="J104"/>
  <c r="G104"/>
  <c r="X104" s="1"/>
  <c r="G103" i="11" s="1"/>
  <c r="F104" i="10"/>
  <c r="E104"/>
  <c r="D104"/>
  <c r="C104"/>
  <c r="S103"/>
  <c r="R103"/>
  <c r="N103"/>
  <c r="M103"/>
  <c r="L103"/>
  <c r="K103"/>
  <c r="J103"/>
  <c r="G103"/>
  <c r="F103"/>
  <c r="E103"/>
  <c r="D103"/>
  <c r="C103"/>
  <c r="S102"/>
  <c r="R102"/>
  <c r="N102"/>
  <c r="M102"/>
  <c r="L102"/>
  <c r="K102"/>
  <c r="J102"/>
  <c r="G102"/>
  <c r="F102"/>
  <c r="E102"/>
  <c r="D102"/>
  <c r="C102"/>
  <c r="S101"/>
  <c r="R101"/>
  <c r="N101"/>
  <c r="M101"/>
  <c r="L101"/>
  <c r="K101"/>
  <c r="J101"/>
  <c r="G101"/>
  <c r="F101"/>
  <c r="E101"/>
  <c r="D101"/>
  <c r="C101"/>
  <c r="S100"/>
  <c r="R100"/>
  <c r="N100"/>
  <c r="M100"/>
  <c r="L100"/>
  <c r="K100"/>
  <c r="J100"/>
  <c r="G100"/>
  <c r="F100"/>
  <c r="E100"/>
  <c r="D100"/>
  <c r="C100"/>
  <c r="S99"/>
  <c r="R99"/>
  <c r="N99"/>
  <c r="M99"/>
  <c r="L99"/>
  <c r="K99"/>
  <c r="J99"/>
  <c r="G99"/>
  <c r="F99"/>
  <c r="E99"/>
  <c r="D99"/>
  <c r="C99"/>
  <c r="S98"/>
  <c r="R98"/>
  <c r="N98"/>
  <c r="M98"/>
  <c r="L98"/>
  <c r="K98"/>
  <c r="J98"/>
  <c r="G98"/>
  <c r="F98"/>
  <c r="E98"/>
  <c r="D98"/>
  <c r="C98"/>
  <c r="S97"/>
  <c r="R97"/>
  <c r="N97"/>
  <c r="M97"/>
  <c r="L97"/>
  <c r="K97"/>
  <c r="J97"/>
  <c r="G97"/>
  <c r="F97"/>
  <c r="E97"/>
  <c r="D97"/>
  <c r="C97"/>
  <c r="S96"/>
  <c r="R96"/>
  <c r="N96"/>
  <c r="M96"/>
  <c r="L96"/>
  <c r="K96"/>
  <c r="J96"/>
  <c r="G96"/>
  <c r="F96"/>
  <c r="E96"/>
  <c r="D96"/>
  <c r="C96"/>
  <c r="S95"/>
  <c r="R95"/>
  <c r="N95"/>
  <c r="M95"/>
  <c r="L95"/>
  <c r="K95"/>
  <c r="J95"/>
  <c r="G95"/>
  <c r="F95"/>
  <c r="E95"/>
  <c r="D95"/>
  <c r="C95"/>
  <c r="S94"/>
  <c r="R94"/>
  <c r="N94"/>
  <c r="M94"/>
  <c r="L94"/>
  <c r="K94"/>
  <c r="J94"/>
  <c r="G94"/>
  <c r="F94"/>
  <c r="E94"/>
  <c r="D94"/>
  <c r="C94"/>
  <c r="S93"/>
  <c r="R93"/>
  <c r="N93"/>
  <c r="M93"/>
  <c r="L93"/>
  <c r="K93"/>
  <c r="J93"/>
  <c r="G93"/>
  <c r="F93"/>
  <c r="E93"/>
  <c r="D93"/>
  <c r="C93"/>
  <c r="S92"/>
  <c r="R92"/>
  <c r="N92"/>
  <c r="M92"/>
  <c r="L92"/>
  <c r="K92"/>
  <c r="J92"/>
  <c r="G92"/>
  <c r="F92"/>
  <c r="E92"/>
  <c r="D92"/>
  <c r="C92"/>
  <c r="S91"/>
  <c r="R91"/>
  <c r="N91"/>
  <c r="M91"/>
  <c r="L91"/>
  <c r="K91"/>
  <c r="J91"/>
  <c r="G91"/>
  <c r="F91"/>
  <c r="E91"/>
  <c r="D91"/>
  <c r="C91"/>
  <c r="S90"/>
  <c r="R90"/>
  <c r="N90"/>
  <c r="M90"/>
  <c r="L90"/>
  <c r="K90"/>
  <c r="J90"/>
  <c r="G90"/>
  <c r="F90"/>
  <c r="E90"/>
  <c r="D90"/>
  <c r="C90"/>
  <c r="S89"/>
  <c r="R89"/>
  <c r="N89"/>
  <c r="M89"/>
  <c r="L89"/>
  <c r="K89"/>
  <c r="J89"/>
  <c r="G89"/>
  <c r="F89"/>
  <c r="E89"/>
  <c r="D89"/>
  <c r="C89"/>
  <c r="S88"/>
  <c r="R88"/>
  <c r="N88"/>
  <c r="M88"/>
  <c r="L88"/>
  <c r="K88"/>
  <c r="J88"/>
  <c r="G88"/>
  <c r="F88"/>
  <c r="E88"/>
  <c r="D88"/>
  <c r="C88"/>
  <c r="S87"/>
  <c r="R87"/>
  <c r="N87"/>
  <c r="M87"/>
  <c r="L87"/>
  <c r="K87"/>
  <c r="J87"/>
  <c r="G87"/>
  <c r="F87"/>
  <c r="E87"/>
  <c r="D87"/>
  <c r="C87"/>
  <c r="S86"/>
  <c r="R86"/>
  <c r="N86"/>
  <c r="M86"/>
  <c r="L86"/>
  <c r="K86"/>
  <c r="J86"/>
  <c r="G86"/>
  <c r="F86"/>
  <c r="E86"/>
  <c r="D86"/>
  <c r="C86"/>
  <c r="S85"/>
  <c r="R85"/>
  <c r="N85"/>
  <c r="M85"/>
  <c r="L85"/>
  <c r="K85"/>
  <c r="J85"/>
  <c r="G85"/>
  <c r="F85"/>
  <c r="E85"/>
  <c r="D85"/>
  <c r="C85"/>
  <c r="S84"/>
  <c r="R84"/>
  <c r="N84"/>
  <c r="M84"/>
  <c r="L84"/>
  <c r="K84"/>
  <c r="J84"/>
  <c r="G84"/>
  <c r="F84"/>
  <c r="E84"/>
  <c r="D84"/>
  <c r="C84"/>
  <c r="S83"/>
  <c r="R83"/>
  <c r="N83"/>
  <c r="M83"/>
  <c r="L83"/>
  <c r="K83"/>
  <c r="J83"/>
  <c r="G83"/>
  <c r="F83"/>
  <c r="E83"/>
  <c r="D83"/>
  <c r="C83"/>
  <c r="S82"/>
  <c r="R82"/>
  <c r="N82"/>
  <c r="M82"/>
  <c r="L82"/>
  <c r="K82"/>
  <c r="J82"/>
  <c r="G82"/>
  <c r="F82"/>
  <c r="E82"/>
  <c r="D82"/>
  <c r="C82"/>
  <c r="S81"/>
  <c r="R81"/>
  <c r="N81"/>
  <c r="M81"/>
  <c r="L81"/>
  <c r="K81"/>
  <c r="J81"/>
  <c r="G81"/>
  <c r="F81"/>
  <c r="E81"/>
  <c r="D81"/>
  <c r="C81"/>
  <c r="S80"/>
  <c r="R80"/>
  <c r="N80"/>
  <c r="M80"/>
  <c r="L80"/>
  <c r="K80"/>
  <c r="J80"/>
  <c r="G80"/>
  <c r="F80"/>
  <c r="E80"/>
  <c r="D80"/>
  <c r="C80"/>
  <c r="S79"/>
  <c r="R79"/>
  <c r="N79"/>
  <c r="M79"/>
  <c r="L79"/>
  <c r="K79"/>
  <c r="J79"/>
  <c r="G79"/>
  <c r="F79"/>
  <c r="E79"/>
  <c r="D79"/>
  <c r="C79"/>
  <c r="S78"/>
  <c r="R78"/>
  <c r="N78"/>
  <c r="M78"/>
  <c r="L78"/>
  <c r="K78"/>
  <c r="J78"/>
  <c r="G78"/>
  <c r="F78"/>
  <c r="E78"/>
  <c r="D78"/>
  <c r="C78"/>
  <c r="S77"/>
  <c r="R77"/>
  <c r="N77"/>
  <c r="M77"/>
  <c r="L77"/>
  <c r="K77"/>
  <c r="J77"/>
  <c r="G77"/>
  <c r="F77"/>
  <c r="E77"/>
  <c r="D77"/>
  <c r="C77"/>
  <c r="S76"/>
  <c r="R76"/>
  <c r="N76"/>
  <c r="M76"/>
  <c r="L76"/>
  <c r="K76"/>
  <c r="J76"/>
  <c r="G76"/>
  <c r="F76"/>
  <c r="E76"/>
  <c r="D76"/>
  <c r="C76"/>
  <c r="S75"/>
  <c r="R75"/>
  <c r="N75"/>
  <c r="M75"/>
  <c r="L75"/>
  <c r="K75"/>
  <c r="J75"/>
  <c r="G75"/>
  <c r="F75"/>
  <c r="E75"/>
  <c r="D75"/>
  <c r="C75"/>
  <c r="S74"/>
  <c r="R74"/>
  <c r="N74"/>
  <c r="M74"/>
  <c r="L74"/>
  <c r="K74"/>
  <c r="J74"/>
  <c r="G74"/>
  <c r="F74"/>
  <c r="E74"/>
  <c r="D74"/>
  <c r="C74"/>
  <c r="S73"/>
  <c r="R73"/>
  <c r="N73"/>
  <c r="M73"/>
  <c r="L73"/>
  <c r="K73"/>
  <c r="J73"/>
  <c r="G73"/>
  <c r="F73"/>
  <c r="E73"/>
  <c r="D73"/>
  <c r="C73"/>
  <c r="S72"/>
  <c r="R72"/>
  <c r="N72"/>
  <c r="M72"/>
  <c r="L72"/>
  <c r="K72"/>
  <c r="J72"/>
  <c r="G72"/>
  <c r="F72"/>
  <c r="E72"/>
  <c r="D72"/>
  <c r="C72"/>
  <c r="S71"/>
  <c r="R71"/>
  <c r="N71"/>
  <c r="M71"/>
  <c r="L71"/>
  <c r="K71"/>
  <c r="J71"/>
  <c r="G71"/>
  <c r="X71" s="1"/>
  <c r="G70" i="11" s="1"/>
  <c r="F71" i="10"/>
  <c r="E71"/>
  <c r="D71"/>
  <c r="C71"/>
  <c r="S70"/>
  <c r="R70"/>
  <c r="N70"/>
  <c r="M70"/>
  <c r="L70"/>
  <c r="K70"/>
  <c r="J70"/>
  <c r="G70"/>
  <c r="F70"/>
  <c r="E70"/>
  <c r="D70"/>
  <c r="C70"/>
  <c r="S69"/>
  <c r="R69"/>
  <c r="N69"/>
  <c r="M69"/>
  <c r="L69"/>
  <c r="K69"/>
  <c r="J69"/>
  <c r="G69"/>
  <c r="X69" s="1"/>
  <c r="G68" i="11" s="1"/>
  <c r="F69" i="10"/>
  <c r="E69"/>
  <c r="D69"/>
  <c r="C69"/>
  <c r="S68"/>
  <c r="R68"/>
  <c r="N68"/>
  <c r="M68"/>
  <c r="L68"/>
  <c r="K68"/>
  <c r="J68"/>
  <c r="G68"/>
  <c r="F68"/>
  <c r="E68"/>
  <c r="D68"/>
  <c r="C68"/>
  <c r="S67"/>
  <c r="R67"/>
  <c r="N67"/>
  <c r="M67"/>
  <c r="L67"/>
  <c r="K67"/>
  <c r="J67"/>
  <c r="G67"/>
  <c r="X67" s="1"/>
  <c r="G66" i="11" s="1"/>
  <c r="F67" i="10"/>
  <c r="E67"/>
  <c r="D67"/>
  <c r="C67"/>
  <c r="S66"/>
  <c r="R66"/>
  <c r="N66"/>
  <c r="M66"/>
  <c r="L66"/>
  <c r="K66"/>
  <c r="J66"/>
  <c r="G66"/>
  <c r="F66"/>
  <c r="E66"/>
  <c r="D66"/>
  <c r="C66"/>
  <c r="S65"/>
  <c r="R65"/>
  <c r="N65"/>
  <c r="M65"/>
  <c r="L65"/>
  <c r="K65"/>
  <c r="J65"/>
  <c r="G65"/>
  <c r="F65"/>
  <c r="E65"/>
  <c r="D65"/>
  <c r="C65"/>
  <c r="S64"/>
  <c r="R64"/>
  <c r="N64"/>
  <c r="M64"/>
  <c r="L64"/>
  <c r="K64"/>
  <c r="J64"/>
  <c r="G64"/>
  <c r="F64"/>
  <c r="E64"/>
  <c r="D64"/>
  <c r="C64"/>
  <c r="S63"/>
  <c r="R63"/>
  <c r="N63"/>
  <c r="M63"/>
  <c r="L63"/>
  <c r="K63"/>
  <c r="J63"/>
  <c r="G63"/>
  <c r="F63"/>
  <c r="E63"/>
  <c r="D63"/>
  <c r="C63"/>
  <c r="S62"/>
  <c r="R62"/>
  <c r="N62"/>
  <c r="M62"/>
  <c r="L62"/>
  <c r="K62"/>
  <c r="J62"/>
  <c r="G62"/>
  <c r="F62"/>
  <c r="E62"/>
  <c r="D62"/>
  <c r="C62"/>
  <c r="S61"/>
  <c r="R61"/>
  <c r="N61"/>
  <c r="M61"/>
  <c r="L61"/>
  <c r="K61"/>
  <c r="J61"/>
  <c r="G61"/>
  <c r="F61"/>
  <c r="E61"/>
  <c r="D61"/>
  <c r="C61"/>
  <c r="S60"/>
  <c r="R60"/>
  <c r="N60"/>
  <c r="M60"/>
  <c r="L60"/>
  <c r="K60"/>
  <c r="J60"/>
  <c r="G60"/>
  <c r="F60"/>
  <c r="E60"/>
  <c r="D60"/>
  <c r="C60"/>
  <c r="S59"/>
  <c r="R59"/>
  <c r="N59"/>
  <c r="M59"/>
  <c r="L59"/>
  <c r="K59"/>
  <c r="J59"/>
  <c r="G59"/>
  <c r="F59"/>
  <c r="E59"/>
  <c r="D59"/>
  <c r="C59"/>
  <c r="S58"/>
  <c r="R58"/>
  <c r="N58"/>
  <c r="M58"/>
  <c r="L58"/>
  <c r="K58"/>
  <c r="J58"/>
  <c r="G58"/>
  <c r="F58"/>
  <c r="E58"/>
  <c r="D58"/>
  <c r="C58"/>
  <c r="S57"/>
  <c r="R57"/>
  <c r="N57"/>
  <c r="M57"/>
  <c r="L57"/>
  <c r="K57"/>
  <c r="J57"/>
  <c r="G57"/>
  <c r="F57"/>
  <c r="E57"/>
  <c r="D57"/>
  <c r="C57"/>
  <c r="S56"/>
  <c r="R56"/>
  <c r="N56"/>
  <c r="M56"/>
  <c r="L56"/>
  <c r="K56"/>
  <c r="J56"/>
  <c r="G56"/>
  <c r="F56"/>
  <c r="E56"/>
  <c r="D56"/>
  <c r="C56"/>
  <c r="S55"/>
  <c r="R55"/>
  <c r="N55"/>
  <c r="M55"/>
  <c r="L55"/>
  <c r="K55"/>
  <c r="J55"/>
  <c r="G55"/>
  <c r="X55" s="1"/>
  <c r="G54" i="11" s="1"/>
  <c r="F55" i="10"/>
  <c r="E55"/>
  <c r="D55"/>
  <c r="C55"/>
  <c r="S54"/>
  <c r="R54"/>
  <c r="N54"/>
  <c r="M54"/>
  <c r="L54"/>
  <c r="K54"/>
  <c r="J54"/>
  <c r="G54"/>
  <c r="F54"/>
  <c r="E54"/>
  <c r="D54"/>
  <c r="C54"/>
  <c r="S53"/>
  <c r="R53"/>
  <c r="N53"/>
  <c r="M53"/>
  <c r="L53"/>
  <c r="K53"/>
  <c r="J53"/>
  <c r="G53"/>
  <c r="F53"/>
  <c r="E53"/>
  <c r="D53"/>
  <c r="C53"/>
  <c r="S52"/>
  <c r="R52"/>
  <c r="N52"/>
  <c r="M52"/>
  <c r="L52"/>
  <c r="K52"/>
  <c r="J52"/>
  <c r="G52"/>
  <c r="F52"/>
  <c r="E52"/>
  <c r="D52"/>
  <c r="C52"/>
  <c r="S51"/>
  <c r="R51"/>
  <c r="N51"/>
  <c r="M51"/>
  <c r="L51"/>
  <c r="K51"/>
  <c r="J51"/>
  <c r="G51"/>
  <c r="X51" s="1"/>
  <c r="G50" i="11" s="1"/>
  <c r="F51" i="10"/>
  <c r="E51"/>
  <c r="D51"/>
  <c r="C51"/>
  <c r="S50"/>
  <c r="R50"/>
  <c r="N50"/>
  <c r="M50"/>
  <c r="L50"/>
  <c r="K50"/>
  <c r="J50"/>
  <c r="G50"/>
  <c r="F50"/>
  <c r="E50"/>
  <c r="D50"/>
  <c r="C50"/>
  <c r="S49"/>
  <c r="R49"/>
  <c r="N49"/>
  <c r="M49"/>
  <c r="L49"/>
  <c r="K49"/>
  <c r="J49"/>
  <c r="G49"/>
  <c r="X49" s="1"/>
  <c r="G48" i="11" s="1"/>
  <c r="F49" i="10"/>
  <c r="E49"/>
  <c r="D49"/>
  <c r="C49"/>
  <c r="S48"/>
  <c r="R48"/>
  <c r="N48"/>
  <c r="M48"/>
  <c r="L48"/>
  <c r="K48"/>
  <c r="J48"/>
  <c r="G48"/>
  <c r="F48"/>
  <c r="E48"/>
  <c r="D48"/>
  <c r="C48"/>
  <c r="S47"/>
  <c r="R47"/>
  <c r="N47"/>
  <c r="M47"/>
  <c r="L47"/>
  <c r="K47"/>
  <c r="J47"/>
  <c r="G47"/>
  <c r="F47"/>
  <c r="E47"/>
  <c r="D47"/>
  <c r="C47"/>
  <c r="S46"/>
  <c r="R46"/>
  <c r="N46"/>
  <c r="M46"/>
  <c r="L46"/>
  <c r="K46"/>
  <c r="J46"/>
  <c r="G46"/>
  <c r="F46"/>
  <c r="E46"/>
  <c r="D46"/>
  <c r="C46"/>
  <c r="S45"/>
  <c r="R45"/>
  <c r="N45"/>
  <c r="M45"/>
  <c r="L45"/>
  <c r="K45"/>
  <c r="J45"/>
  <c r="G45"/>
  <c r="F45"/>
  <c r="E45"/>
  <c r="D45"/>
  <c r="C45"/>
  <c r="S44"/>
  <c r="R44"/>
  <c r="N44"/>
  <c r="M44"/>
  <c r="L44"/>
  <c r="K44"/>
  <c r="J44"/>
  <c r="G44"/>
  <c r="F44"/>
  <c r="E44"/>
  <c r="D44"/>
  <c r="C44"/>
  <c r="S43"/>
  <c r="R43"/>
  <c r="N43"/>
  <c r="M43"/>
  <c r="L43"/>
  <c r="K43"/>
  <c r="J43"/>
  <c r="G43"/>
  <c r="F43"/>
  <c r="E43"/>
  <c r="D43"/>
  <c r="C43"/>
  <c r="S42"/>
  <c r="R42"/>
  <c r="N42"/>
  <c r="M42"/>
  <c r="L42"/>
  <c r="K42"/>
  <c r="J42"/>
  <c r="G42"/>
  <c r="F42"/>
  <c r="E42"/>
  <c r="D42"/>
  <c r="C42"/>
  <c r="S41"/>
  <c r="R41"/>
  <c r="N41"/>
  <c r="M41"/>
  <c r="L41"/>
  <c r="K41"/>
  <c r="J41"/>
  <c r="G41"/>
  <c r="F41"/>
  <c r="E41"/>
  <c r="D41"/>
  <c r="C41"/>
  <c r="S40"/>
  <c r="R40"/>
  <c r="N40"/>
  <c r="M40"/>
  <c r="L40"/>
  <c r="K40"/>
  <c r="J40"/>
  <c r="G40"/>
  <c r="F40"/>
  <c r="E40"/>
  <c r="D40"/>
  <c r="C40"/>
  <c r="S39"/>
  <c r="R39"/>
  <c r="N39"/>
  <c r="M39"/>
  <c r="L39"/>
  <c r="K39"/>
  <c r="J39"/>
  <c r="G39"/>
  <c r="X39" s="1"/>
  <c r="G38" i="11" s="1"/>
  <c r="F39" i="10"/>
  <c r="E39"/>
  <c r="D39"/>
  <c r="C39"/>
  <c r="S38"/>
  <c r="R38"/>
  <c r="N38"/>
  <c r="M38"/>
  <c r="L38"/>
  <c r="K38"/>
  <c r="J38"/>
  <c r="G38"/>
  <c r="F38"/>
  <c r="E38"/>
  <c r="D38"/>
  <c r="C38"/>
  <c r="S37"/>
  <c r="R37"/>
  <c r="N37"/>
  <c r="M37"/>
  <c r="L37"/>
  <c r="K37"/>
  <c r="J37"/>
  <c r="G37"/>
  <c r="X37" s="1"/>
  <c r="G36" i="11" s="1"/>
  <c r="F37" i="10"/>
  <c r="E37"/>
  <c r="D37"/>
  <c r="C37"/>
  <c r="S36"/>
  <c r="R36"/>
  <c r="N36"/>
  <c r="M36"/>
  <c r="L36"/>
  <c r="K36"/>
  <c r="J36"/>
  <c r="G36"/>
  <c r="F36"/>
  <c r="E36"/>
  <c r="D36"/>
  <c r="C36"/>
  <c r="S35"/>
  <c r="R35"/>
  <c r="N35"/>
  <c r="M35"/>
  <c r="L35"/>
  <c r="K35"/>
  <c r="J35"/>
  <c r="G35"/>
  <c r="F35"/>
  <c r="E35"/>
  <c r="D35"/>
  <c r="C35"/>
  <c r="S34"/>
  <c r="R34"/>
  <c r="N34"/>
  <c r="M34"/>
  <c r="L34"/>
  <c r="K34"/>
  <c r="J34"/>
  <c r="G34"/>
  <c r="F34"/>
  <c r="E34"/>
  <c r="D34"/>
  <c r="C34"/>
  <c r="S33"/>
  <c r="R33"/>
  <c r="N33"/>
  <c r="M33"/>
  <c r="L33"/>
  <c r="K33"/>
  <c r="J33"/>
  <c r="G33"/>
  <c r="F33"/>
  <c r="E33"/>
  <c r="D33"/>
  <c r="C33"/>
  <c r="S32"/>
  <c r="R32"/>
  <c r="N32"/>
  <c r="M32"/>
  <c r="L32"/>
  <c r="K32"/>
  <c r="J32"/>
  <c r="G32"/>
  <c r="F32"/>
  <c r="E32"/>
  <c r="D32"/>
  <c r="C32"/>
  <c r="S31"/>
  <c r="R31"/>
  <c r="N31"/>
  <c r="M31"/>
  <c r="L31"/>
  <c r="K31"/>
  <c r="J31"/>
  <c r="G31"/>
  <c r="F31"/>
  <c r="E31"/>
  <c r="D31"/>
  <c r="C31"/>
  <c r="S30"/>
  <c r="R30"/>
  <c r="N30"/>
  <c r="M30"/>
  <c r="L30"/>
  <c r="K30"/>
  <c r="J30"/>
  <c r="G30"/>
  <c r="F30"/>
  <c r="E30"/>
  <c r="D30"/>
  <c r="C30"/>
  <c r="S29"/>
  <c r="R29"/>
  <c r="N29"/>
  <c r="M29"/>
  <c r="L29"/>
  <c r="K29"/>
  <c r="J29"/>
  <c r="G29"/>
  <c r="F29"/>
  <c r="E29"/>
  <c r="D29"/>
  <c r="C29"/>
  <c r="S28"/>
  <c r="R28"/>
  <c r="N28"/>
  <c r="M28"/>
  <c r="L28"/>
  <c r="K28"/>
  <c r="J28"/>
  <c r="G28"/>
  <c r="F28"/>
  <c r="E28"/>
  <c r="D28"/>
  <c r="C28"/>
  <c r="S27"/>
  <c r="R27"/>
  <c r="N27"/>
  <c r="M27"/>
  <c r="L27"/>
  <c r="K27"/>
  <c r="J27"/>
  <c r="G27"/>
  <c r="F27"/>
  <c r="E27"/>
  <c r="D27"/>
  <c r="C27"/>
  <c r="S26"/>
  <c r="R26"/>
  <c r="N26"/>
  <c r="M26"/>
  <c r="L26"/>
  <c r="K26"/>
  <c r="J26"/>
  <c r="G26"/>
  <c r="F26"/>
  <c r="E26"/>
  <c r="D26"/>
  <c r="C26"/>
  <c r="S25"/>
  <c r="R25"/>
  <c r="N25"/>
  <c r="M25"/>
  <c r="L25"/>
  <c r="K25"/>
  <c r="J25"/>
  <c r="G25"/>
  <c r="F25"/>
  <c r="E25"/>
  <c r="D25"/>
  <c r="C25"/>
  <c r="S24"/>
  <c r="R24"/>
  <c r="N24"/>
  <c r="M24"/>
  <c r="L24"/>
  <c r="K24"/>
  <c r="J24"/>
  <c r="G24"/>
  <c r="F24"/>
  <c r="E24"/>
  <c r="D24"/>
  <c r="C24"/>
  <c r="S23"/>
  <c r="R23"/>
  <c r="N23"/>
  <c r="M23"/>
  <c r="L23"/>
  <c r="K23"/>
  <c r="J23"/>
  <c r="G23"/>
  <c r="F23"/>
  <c r="E23"/>
  <c r="D23"/>
  <c r="C23"/>
  <c r="S22"/>
  <c r="R22"/>
  <c r="N22"/>
  <c r="M22"/>
  <c r="L22"/>
  <c r="K22"/>
  <c r="J22"/>
  <c r="G22"/>
  <c r="F22"/>
  <c r="E22"/>
  <c r="D22"/>
  <c r="C22"/>
  <c r="S21"/>
  <c r="R21"/>
  <c r="N21"/>
  <c r="M21"/>
  <c r="L21"/>
  <c r="K21"/>
  <c r="J21"/>
  <c r="G21"/>
  <c r="F21"/>
  <c r="E21"/>
  <c r="D21"/>
  <c r="C21"/>
  <c r="S20"/>
  <c r="R20"/>
  <c r="N20"/>
  <c r="M20"/>
  <c r="L20"/>
  <c r="K20"/>
  <c r="J20"/>
  <c r="G20"/>
  <c r="F20"/>
  <c r="E20"/>
  <c r="D20"/>
  <c r="C20"/>
  <c r="S19"/>
  <c r="R19"/>
  <c r="N19"/>
  <c r="M19"/>
  <c r="L19"/>
  <c r="K19"/>
  <c r="J19"/>
  <c r="G19"/>
  <c r="F19"/>
  <c r="E19"/>
  <c r="D19"/>
  <c r="C19"/>
  <c r="S18"/>
  <c r="R18"/>
  <c r="N18"/>
  <c r="M18"/>
  <c r="L18"/>
  <c r="K18"/>
  <c r="J18"/>
  <c r="G18"/>
  <c r="F18"/>
  <c r="E18"/>
  <c r="D18"/>
  <c r="C18"/>
  <c r="S17"/>
  <c r="R17"/>
  <c r="N17"/>
  <c r="M17"/>
  <c r="L17"/>
  <c r="K17"/>
  <c r="J17"/>
  <c r="G17"/>
  <c r="F17"/>
  <c r="E17"/>
  <c r="D17"/>
  <c r="C17"/>
  <c r="S16"/>
  <c r="R16"/>
  <c r="N16"/>
  <c r="M16"/>
  <c r="L16"/>
  <c r="K16"/>
  <c r="J16"/>
  <c r="G16"/>
  <c r="F16"/>
  <c r="E16"/>
  <c r="D16"/>
  <c r="C16"/>
  <c r="S15"/>
  <c r="R15"/>
  <c r="N15"/>
  <c r="M15"/>
  <c r="L15"/>
  <c r="K15"/>
  <c r="J15"/>
  <c r="G15"/>
  <c r="F15"/>
  <c r="E15"/>
  <c r="D15"/>
  <c r="C15"/>
  <c r="S14"/>
  <c r="R14"/>
  <c r="N14"/>
  <c r="M14"/>
  <c r="L14"/>
  <c r="K14"/>
  <c r="J14"/>
  <c r="G14"/>
  <c r="F14"/>
  <c r="E14"/>
  <c r="D14"/>
  <c r="C14"/>
  <c r="S13"/>
  <c r="R13"/>
  <c r="N13"/>
  <c r="M13"/>
  <c r="L13"/>
  <c r="K13"/>
  <c r="J13"/>
  <c r="G13"/>
  <c r="X13" s="1"/>
  <c r="G12" i="11" s="1"/>
  <c r="F13" i="10"/>
  <c r="E13"/>
  <c r="D13"/>
  <c r="C13"/>
  <c r="S12"/>
  <c r="R12"/>
  <c r="N12"/>
  <c r="M12"/>
  <c r="L12"/>
  <c r="K12"/>
  <c r="J12"/>
  <c r="G12"/>
  <c r="F12"/>
  <c r="E12"/>
  <c r="D12"/>
  <c r="C12"/>
  <c r="W10"/>
  <c r="G10"/>
  <c r="X10" s="1"/>
  <c r="F10"/>
  <c r="E10"/>
  <c r="V10" s="1"/>
  <c r="D10"/>
  <c r="U10" s="1"/>
  <c r="C10"/>
  <c r="T10" s="1"/>
  <c r="S7"/>
  <c r="S6"/>
  <c r="A6"/>
  <c r="O4"/>
  <c r="K4"/>
  <c r="G4"/>
  <c r="C4"/>
  <c r="A4"/>
  <c r="W132" l="1"/>
  <c r="F131" i="11" s="1"/>
  <c r="V166" i="10"/>
  <c r="E165" i="11" s="1"/>
  <c r="U321" i="10"/>
  <c r="D320" i="11" s="1"/>
  <c r="U326" i="10"/>
  <c r="D325" i="11" s="1"/>
  <c r="U378" i="10"/>
  <c r="D377" i="11" s="1"/>
  <c r="T386" i="10"/>
  <c r="C385" i="11" s="1"/>
  <c r="T402" i="10"/>
  <c r="C401" i="11" s="1"/>
  <c r="W27" i="10"/>
  <c r="F26" i="11" s="1"/>
  <c r="W28" i="10"/>
  <c r="F27" i="11" s="1"/>
  <c r="W31" i="10"/>
  <c r="F30" i="11" s="1"/>
  <c r="W204" i="10"/>
  <c r="F203" i="11" s="1"/>
  <c r="W241" i="10"/>
  <c r="F240" i="11" s="1"/>
  <c r="V270" i="10"/>
  <c r="E269" i="11" s="1"/>
  <c r="V295" i="10"/>
  <c r="E294" i="11" s="1"/>
  <c r="U433" i="10"/>
  <c r="D432" i="11" s="1"/>
  <c r="X142" i="10"/>
  <c r="G141" i="11" s="1"/>
  <c r="X150" i="10"/>
  <c r="G149" i="11" s="1"/>
  <c r="W368" i="10"/>
  <c r="F367" i="11" s="1"/>
  <c r="W376" i="10"/>
  <c r="F375" i="11" s="1"/>
  <c r="W384" i="10"/>
  <c r="F383" i="11" s="1"/>
  <c r="W385" i="10"/>
  <c r="F384" i="11" s="1"/>
  <c r="V393" i="10"/>
  <c r="E392" i="11" s="1"/>
  <c r="V409" i="10"/>
  <c r="E408" i="11" s="1"/>
  <c r="X273" i="10"/>
  <c r="G272" i="11" s="1"/>
  <c r="X294" i="10"/>
  <c r="G293" i="11" s="1"/>
  <c r="W432" i="10"/>
  <c r="F431" i="11" s="1"/>
  <c r="W448" i="10"/>
  <c r="F447" i="11" s="1"/>
  <c r="W453" i="10"/>
  <c r="F452" i="11" s="1"/>
  <c r="W454" i="10"/>
  <c r="F453" i="11" s="1"/>
  <c r="T12" i="10"/>
  <c r="C11" i="11" s="1"/>
  <c r="T22" i="10"/>
  <c r="C21" i="11" s="1"/>
  <c r="T26" i="10"/>
  <c r="C25" i="11" s="1"/>
  <c r="T28" i="10"/>
  <c r="C27" i="11" s="1"/>
  <c r="T40" i="10"/>
  <c r="C39" i="11" s="1"/>
  <c r="T48" i="10"/>
  <c r="C47" i="11" s="1"/>
  <c r="T52" i="10"/>
  <c r="C51" i="11" s="1"/>
  <c r="T56" i="10"/>
  <c r="C55" i="11" s="1"/>
  <c r="T66" i="10"/>
  <c r="C65" i="11" s="1"/>
  <c r="T104" i="10"/>
  <c r="C103" i="11" s="1"/>
  <c r="T105" i="10"/>
  <c r="C104" i="11" s="1"/>
  <c r="T106" i="10"/>
  <c r="C105" i="11" s="1"/>
  <c r="T107" i="10"/>
  <c r="C106" i="11" s="1"/>
  <c r="T130" i="10"/>
  <c r="C129" i="11" s="1"/>
  <c r="X389" i="10"/>
  <c r="G388" i="11" s="1"/>
  <c r="X392" i="10"/>
  <c r="G391" i="11" s="1"/>
  <c r="X405" i="10"/>
  <c r="G404" i="11" s="1"/>
  <c r="X408" i="10"/>
  <c r="G407" i="11" s="1"/>
  <c r="T231" i="10"/>
  <c r="C230" i="11" s="1"/>
  <c r="T234" i="10"/>
  <c r="C233" i="11" s="1"/>
  <c r="U138" i="10"/>
  <c r="D137" i="11" s="1"/>
  <c r="U143" i="10"/>
  <c r="D142" i="11" s="1"/>
  <c r="T319" i="10"/>
  <c r="C318" i="11" s="1"/>
  <c r="T320" i="10"/>
  <c r="C319" i="11" s="1"/>
  <c r="T321" i="10"/>
  <c r="C320" i="11" s="1"/>
  <c r="T326" i="10"/>
  <c r="C325" i="11" s="1"/>
  <c r="T367" i="10"/>
  <c r="C366" i="11" s="1"/>
  <c r="T376" i="10"/>
  <c r="C375" i="11" s="1"/>
  <c r="T385" i="10"/>
  <c r="C384" i="11" s="1"/>
  <c r="V57" i="10"/>
  <c r="E56" i="11" s="1"/>
  <c r="V71" i="10"/>
  <c r="E70" i="11" s="1"/>
  <c r="W121" i="10"/>
  <c r="F120" i="11" s="1"/>
  <c r="W126" i="10"/>
  <c r="F125" i="11" s="1"/>
  <c r="W127" i="10"/>
  <c r="F126" i="11" s="1"/>
  <c r="V129" i="10"/>
  <c r="E128" i="11" s="1"/>
  <c r="V143" i="10"/>
  <c r="E142" i="11" s="1"/>
  <c r="U144" i="10"/>
  <c r="D143" i="11" s="1"/>
  <c r="U168" i="10"/>
  <c r="D167" i="11" s="1"/>
  <c r="X208" i="10"/>
  <c r="G207" i="11" s="1"/>
  <c r="X214" i="10"/>
  <c r="G213" i="11" s="1"/>
  <c r="U218" i="10"/>
  <c r="D217" i="11" s="1"/>
  <c r="X256" i="10"/>
  <c r="G255" i="11" s="1"/>
  <c r="W256" i="10"/>
  <c r="F255" i="11" s="1"/>
  <c r="T257" i="10"/>
  <c r="C256" i="11" s="1"/>
  <c r="X258" i="10"/>
  <c r="G257" i="11" s="1"/>
  <c r="X259" i="10"/>
  <c r="G258" i="11" s="1"/>
  <c r="W264" i="10"/>
  <c r="F263" i="11" s="1"/>
  <c r="T265" i="10"/>
  <c r="C264" i="11" s="1"/>
  <c r="X266" i="10"/>
  <c r="G265" i="11" s="1"/>
  <c r="X267" i="10"/>
  <c r="G266" i="11" s="1"/>
  <c r="T296" i="10"/>
  <c r="C295" i="11" s="1"/>
  <c r="X298" i="10"/>
  <c r="G297" i="11" s="1"/>
  <c r="T299" i="10"/>
  <c r="C298" i="11" s="1"/>
  <c r="X299" i="10"/>
  <c r="G298" i="11" s="1"/>
  <c r="T300" i="10"/>
  <c r="C299" i="11" s="1"/>
  <c r="X300" i="10"/>
  <c r="G299" i="11" s="1"/>
  <c r="T301" i="10"/>
  <c r="C300" i="11" s="1"/>
  <c r="X301" i="10"/>
  <c r="G300" i="11" s="1"/>
  <c r="X306" i="10"/>
  <c r="G305" i="11" s="1"/>
  <c r="X307" i="10"/>
  <c r="G306" i="11" s="1"/>
  <c r="T308" i="10"/>
  <c r="C307" i="11" s="1"/>
  <c r="X308" i="10"/>
  <c r="G307" i="11" s="1"/>
  <c r="T309" i="10"/>
  <c r="C308" i="11" s="1"/>
  <c r="X309" i="10"/>
  <c r="G308" i="11" s="1"/>
  <c r="T310" i="10"/>
  <c r="C309" i="11" s="1"/>
  <c r="X310" i="10"/>
  <c r="G309" i="11" s="1"/>
  <c r="W310" i="10"/>
  <c r="F309" i="11" s="1"/>
  <c r="W312" i="10"/>
  <c r="F311" i="11" s="1"/>
  <c r="W329" i="10"/>
  <c r="F328" i="11" s="1"/>
  <c r="W330" i="10"/>
  <c r="F329" i="11" s="1"/>
  <c r="W331" i="10"/>
  <c r="F330" i="11" s="1"/>
  <c r="W332" i="10"/>
  <c r="F331" i="11" s="1"/>
  <c r="W333" i="10"/>
  <c r="F332" i="11" s="1"/>
  <c r="W334" i="10"/>
  <c r="F333" i="11" s="1"/>
  <c r="W342" i="10"/>
  <c r="F341" i="11" s="1"/>
  <c r="V342" i="10"/>
  <c r="E341" i="11" s="1"/>
  <c r="V345" i="10"/>
  <c r="E344" i="11" s="1"/>
  <c r="W359" i="10"/>
  <c r="F358" i="11" s="1"/>
  <c r="U394" i="10"/>
  <c r="D393" i="11" s="1"/>
  <c r="V398" i="10"/>
  <c r="E397" i="11" s="1"/>
  <c r="V399" i="10"/>
  <c r="E398" i="11" s="1"/>
  <c r="U401" i="10"/>
  <c r="D400" i="11" s="1"/>
  <c r="U410" i="10"/>
  <c r="D409" i="11" s="1"/>
  <c r="V414" i="10"/>
  <c r="E413" i="11" s="1"/>
  <c r="V415" i="10"/>
  <c r="E414" i="11" s="1"/>
  <c r="T418" i="10"/>
  <c r="C417" i="11" s="1"/>
  <c r="X421" i="10"/>
  <c r="G420" i="11" s="1"/>
  <c r="U423" i="10"/>
  <c r="D422" i="11" s="1"/>
  <c r="X424" i="10"/>
  <c r="G423" i="11" s="1"/>
  <c r="U425" i="10"/>
  <c r="D424" i="11" s="1"/>
  <c r="T434" i="10"/>
  <c r="C433" i="11" s="1"/>
  <c r="X437" i="10"/>
  <c r="G436" i="11" s="1"/>
  <c r="U439" i="10"/>
  <c r="D438" i="11" s="1"/>
  <c r="U441" i="10"/>
  <c r="D440" i="11" s="1"/>
  <c r="U446" i="10"/>
  <c r="D445" i="11" s="1"/>
  <c r="U447" i="10"/>
  <c r="D446" i="11" s="1"/>
  <c r="U448" i="10"/>
  <c r="D447" i="11" s="1"/>
  <c r="U450" i="10"/>
  <c r="D449" i="11" s="1"/>
  <c r="U80" i="10"/>
  <c r="D79" i="11" s="1"/>
  <c r="U99" i="10"/>
  <c r="D98" i="11" s="1"/>
  <c r="X126" i="10"/>
  <c r="G125" i="11" s="1"/>
  <c r="T144" i="10"/>
  <c r="C143" i="11" s="1"/>
  <c r="X144" i="10"/>
  <c r="G143" i="11" s="1"/>
  <c r="W144" i="10"/>
  <c r="F143" i="11" s="1"/>
  <c r="X167" i="10"/>
  <c r="G166" i="11" s="1"/>
  <c r="X168" i="10"/>
  <c r="G167" i="11" s="1"/>
  <c r="W172" i="10"/>
  <c r="F171" i="11" s="1"/>
  <c r="V223" i="10"/>
  <c r="E222" i="11" s="1"/>
  <c r="V224" i="10"/>
  <c r="E223" i="11" s="1"/>
  <c r="V251" i="10"/>
  <c r="E250" i="11" s="1"/>
  <c r="V254" i="10"/>
  <c r="E253" i="11" s="1"/>
  <c r="U257" i="10"/>
  <c r="D256" i="11" s="1"/>
  <c r="V261" i="10"/>
  <c r="E260" i="11" s="1"/>
  <c r="V263" i="10"/>
  <c r="E262" i="11" s="1"/>
  <c r="V264" i="10"/>
  <c r="E263" i="11" s="1"/>
  <c r="V267" i="10"/>
  <c r="E266" i="11" s="1"/>
  <c r="V302" i="10"/>
  <c r="E301" i="11" s="1"/>
  <c r="V303" i="10"/>
  <c r="E302" i="11" s="1"/>
  <c r="V304" i="10"/>
  <c r="E303" i="11" s="1"/>
  <c r="X312" i="10"/>
  <c r="G311" i="11" s="1"/>
  <c r="U313" i="10"/>
  <c r="D312" i="11" s="1"/>
  <c r="U318" i="10"/>
  <c r="D317" i="11" s="1"/>
  <c r="U327" i="10"/>
  <c r="D326" i="11" s="1"/>
  <c r="U334" i="10"/>
  <c r="D333" i="11" s="1"/>
  <c r="U335" i="10"/>
  <c r="D334" i="11" s="1"/>
  <c r="U337" i="10"/>
  <c r="D336" i="11" s="1"/>
  <c r="U342" i="10"/>
  <c r="D341" i="11" s="1"/>
  <c r="X342" i="10"/>
  <c r="G341" i="11" s="1"/>
  <c r="U343" i="10"/>
  <c r="D342" i="11" s="1"/>
  <c r="U344" i="10"/>
  <c r="D343" i="11" s="1"/>
  <c r="X344" i="10"/>
  <c r="G343" i="11" s="1"/>
  <c r="U345" i="10"/>
  <c r="D344" i="11" s="1"/>
  <c r="U359" i="10"/>
  <c r="D358" i="11" s="1"/>
  <c r="U361" i="10"/>
  <c r="D360" i="11" s="1"/>
  <c r="T362" i="10"/>
  <c r="C361" i="11" s="1"/>
  <c r="X365" i="10"/>
  <c r="G364" i="11" s="1"/>
  <c r="U366" i="10"/>
  <c r="D365" i="11" s="1"/>
  <c r="W400" i="10"/>
  <c r="F399" i="11" s="1"/>
  <c r="T401" i="10"/>
  <c r="C400" i="11" s="1"/>
  <c r="X401" i="10"/>
  <c r="G400" i="11" s="1"/>
  <c r="W401" i="10"/>
  <c r="F400" i="11" s="1"/>
  <c r="W416" i="10"/>
  <c r="F415" i="11" s="1"/>
  <c r="T417" i="10"/>
  <c r="C416" i="11" s="1"/>
  <c r="X417" i="10"/>
  <c r="G416" i="11" s="1"/>
  <c r="W417" i="10"/>
  <c r="F416" i="11" s="1"/>
  <c r="W418" i="10"/>
  <c r="F417" i="11" s="1"/>
  <c r="W419" i="10"/>
  <c r="F418" i="11" s="1"/>
  <c r="W420" i="10"/>
  <c r="F419" i="11" s="1"/>
  <c r="W421" i="10"/>
  <c r="F420" i="11" s="1"/>
  <c r="W422" i="10"/>
  <c r="F421" i="11" s="1"/>
  <c r="V425" i="10"/>
  <c r="E424" i="11" s="1"/>
  <c r="W434" i="10"/>
  <c r="F433" i="11" s="1"/>
  <c r="W435" i="10"/>
  <c r="F434" i="11" s="1"/>
  <c r="W436" i="10"/>
  <c r="F435" i="11" s="1"/>
  <c r="W437" i="10"/>
  <c r="F436" i="11" s="1"/>
  <c r="W438" i="10"/>
  <c r="F437" i="11" s="1"/>
  <c r="X96" i="10"/>
  <c r="G95" i="11" s="1"/>
  <c r="X103" i="10"/>
  <c r="G102" i="11" s="1"/>
  <c r="V22" i="10"/>
  <c r="E21" i="11" s="1"/>
  <c r="V26" i="10"/>
  <c r="E25" i="11" s="1"/>
  <c r="V27" i="10"/>
  <c r="E26" i="11" s="1"/>
  <c r="V31" i="10"/>
  <c r="E30" i="11" s="1"/>
  <c r="W16" i="10"/>
  <c r="F15" i="11" s="1"/>
  <c r="W19" i="10"/>
  <c r="F18" i="11" s="1"/>
  <c r="W20" i="10"/>
  <c r="F19" i="11" s="1"/>
  <c r="W23" i="10"/>
  <c r="F22" i="11" s="1"/>
  <c r="W24" i="10"/>
  <c r="F23" i="11" s="1"/>
  <c r="W35" i="10"/>
  <c r="F34" i="11" s="1"/>
  <c r="W36" i="10"/>
  <c r="F35" i="11" s="1"/>
  <c r="W61" i="10"/>
  <c r="F60" i="11" s="1"/>
  <c r="W63" i="10"/>
  <c r="F62" i="11" s="1"/>
  <c r="W73" i="10"/>
  <c r="F72" i="11" s="1"/>
  <c r="W86" i="10"/>
  <c r="F85" i="11" s="1"/>
  <c r="W87" i="10"/>
  <c r="F86" i="11" s="1"/>
  <c r="W93" i="10"/>
  <c r="F92" i="11" s="1"/>
  <c r="W94" i="10"/>
  <c r="F93" i="11" s="1"/>
  <c r="W95" i="10"/>
  <c r="F94" i="11" s="1"/>
  <c r="X107" i="10"/>
  <c r="G106" i="11" s="1"/>
  <c r="T108" i="10"/>
  <c r="C107" i="11" s="1"/>
  <c r="X108" i="10"/>
  <c r="G107" i="11" s="1"/>
  <c r="T109" i="10"/>
  <c r="C108" i="11" s="1"/>
  <c r="X109" i="10"/>
  <c r="G108" i="11" s="1"/>
  <c r="T111" i="10"/>
  <c r="C110" i="11" s="1"/>
  <c r="X111" i="10"/>
  <c r="G110" i="11" s="1"/>
  <c r="X112" i="10"/>
  <c r="G111" i="11" s="1"/>
  <c r="W115" i="10"/>
  <c r="F114" i="11" s="1"/>
  <c r="W116" i="10"/>
  <c r="F115" i="11" s="1"/>
  <c r="T119" i="10"/>
  <c r="C118" i="11" s="1"/>
  <c r="X119" i="10"/>
  <c r="G118" i="11" s="1"/>
  <c r="T120" i="10"/>
  <c r="C119" i="11" s="1"/>
  <c r="X120" i="10"/>
  <c r="G119" i="11" s="1"/>
  <c r="W128" i="10"/>
  <c r="F127" i="11" s="1"/>
  <c r="W148" i="10"/>
  <c r="F147" i="11" s="1"/>
  <c r="X151" i="10"/>
  <c r="G150" i="11" s="1"/>
  <c r="T152" i="10"/>
  <c r="C151" i="11" s="1"/>
  <c r="X152" i="10"/>
  <c r="G151" i="11" s="1"/>
  <c r="X159" i="10"/>
  <c r="G158" i="11" s="1"/>
  <c r="W159" i="10"/>
  <c r="F158" i="11" s="1"/>
  <c r="X160" i="10"/>
  <c r="G159" i="11" s="1"/>
  <c r="T161" i="10"/>
  <c r="C160" i="11" s="1"/>
  <c r="X161" i="10"/>
  <c r="G160" i="11" s="1"/>
  <c r="T162" i="10"/>
  <c r="C161" i="11" s="1"/>
  <c r="W164" i="10"/>
  <c r="F163" i="11" s="1"/>
  <c r="T166" i="10"/>
  <c r="C165" i="11" s="1"/>
  <c r="X166" i="10"/>
  <c r="G165" i="11" s="1"/>
  <c r="U176" i="10"/>
  <c r="D175" i="11" s="1"/>
  <c r="V177" i="10"/>
  <c r="E176" i="11" s="1"/>
  <c r="U177" i="10"/>
  <c r="D176" i="11" s="1"/>
  <c r="V178" i="10"/>
  <c r="E177" i="11" s="1"/>
  <c r="V182" i="10"/>
  <c r="E181" i="11" s="1"/>
  <c r="U184" i="10"/>
  <c r="D183" i="11" s="1"/>
  <c r="U185" i="10"/>
  <c r="D184" i="11" s="1"/>
  <c r="V190" i="10"/>
  <c r="E189" i="11" s="1"/>
  <c r="V191" i="10"/>
  <c r="E190" i="11" s="1"/>
  <c r="U193" i="10"/>
  <c r="D192" i="11" s="1"/>
  <c r="U203" i="10"/>
  <c r="D202" i="11" s="1"/>
  <c r="U204" i="10"/>
  <c r="D203" i="11" s="1"/>
  <c r="T207" i="10"/>
  <c r="C206" i="11" s="1"/>
  <c r="X207" i="10"/>
  <c r="G206" i="11" s="1"/>
  <c r="W207" i="10"/>
  <c r="F206" i="11" s="1"/>
  <c r="W212" i="10"/>
  <c r="F211" i="11" s="1"/>
  <c r="W215" i="10"/>
  <c r="F214" i="11" s="1"/>
  <c r="X216" i="10"/>
  <c r="G215" i="11" s="1"/>
  <c r="W216" i="10"/>
  <c r="F215" i="11" s="1"/>
  <c r="W220" i="10"/>
  <c r="F219" i="11" s="1"/>
  <c r="X222" i="10"/>
  <c r="G221" i="11" s="1"/>
  <c r="T223" i="10"/>
  <c r="C222" i="11" s="1"/>
  <c r="W224" i="10"/>
  <c r="F223" i="11" s="1"/>
  <c r="W225" i="10"/>
  <c r="F224" i="11" s="1"/>
  <c r="W230" i="10"/>
  <c r="F229" i="11" s="1"/>
  <c r="W233" i="10"/>
  <c r="F232" i="11" s="1"/>
  <c r="V242" i="10"/>
  <c r="E241" i="11" s="1"/>
  <c r="W243" i="10"/>
  <c r="F242" i="11" s="1"/>
  <c r="V243" i="10"/>
  <c r="E242" i="11" s="1"/>
  <c r="T251" i="10"/>
  <c r="C250" i="11" s="1"/>
  <c r="U252" i="10"/>
  <c r="D251" i="11" s="1"/>
  <c r="U254" i="10"/>
  <c r="D253" i="11" s="1"/>
  <c r="U255" i="10"/>
  <c r="D254" i="11" s="1"/>
  <c r="U256" i="10"/>
  <c r="D255" i="11" s="1"/>
  <c r="X261" i="10"/>
  <c r="G260" i="11" s="1"/>
  <c r="U262" i="10"/>
  <c r="D261" i="11" s="1"/>
  <c r="U263" i="10"/>
  <c r="D262" i="11" s="1"/>
  <c r="U264" i="10"/>
  <c r="D263" i="11" s="1"/>
  <c r="X264" i="10"/>
  <c r="G263" i="11" s="1"/>
  <c r="T268" i="10"/>
  <c r="C267" i="11" s="1"/>
  <c r="X268" i="10"/>
  <c r="G267" i="11" s="1"/>
  <c r="T269" i="10"/>
  <c r="C268" i="11" s="1"/>
  <c r="X269" i="10"/>
  <c r="G268" i="11" s="1"/>
  <c r="W277" i="10"/>
  <c r="F276" i="11" s="1"/>
  <c r="X278" i="10"/>
  <c r="G277" i="11" s="1"/>
  <c r="T279" i="10"/>
  <c r="C278" i="11" s="1"/>
  <c r="X279" i="10"/>
  <c r="G278" i="11" s="1"/>
  <c r="T280" i="10"/>
  <c r="C279" i="11" s="1"/>
  <c r="X280" i="10"/>
  <c r="G279" i="11" s="1"/>
  <c r="W281" i="10"/>
  <c r="F280" i="11" s="1"/>
  <c r="X282" i="10"/>
  <c r="G281" i="11" s="1"/>
  <c r="T283" i="10"/>
  <c r="C282" i="11" s="1"/>
  <c r="X283" i="10"/>
  <c r="G282" i="11" s="1"/>
  <c r="T285" i="10"/>
  <c r="C284" i="11" s="1"/>
  <c r="V47" i="10"/>
  <c r="E46" i="11" s="1"/>
  <c r="V48" i="10"/>
  <c r="E47" i="11" s="1"/>
  <c r="V49" i="10"/>
  <c r="E48" i="11" s="1"/>
  <c r="V52" i="10"/>
  <c r="E51" i="11" s="1"/>
  <c r="V53" i="10"/>
  <c r="E52" i="11" s="1"/>
  <c r="V63" i="10"/>
  <c r="E62" i="11" s="1"/>
  <c r="V64" i="10"/>
  <c r="E63" i="11" s="1"/>
  <c r="V73" i="10"/>
  <c r="E72" i="11" s="1"/>
  <c r="V75" i="10"/>
  <c r="E74" i="11" s="1"/>
  <c r="V77" i="10"/>
  <c r="E76" i="11" s="1"/>
  <c r="V78" i="10"/>
  <c r="E77" i="11" s="1"/>
  <c r="V79" i="10"/>
  <c r="E78" i="11" s="1"/>
  <c r="V80" i="10"/>
  <c r="E79" i="11" s="1"/>
  <c r="V81" i="10"/>
  <c r="E80" i="11" s="1"/>
  <c r="V96" i="10"/>
  <c r="E95" i="11" s="1"/>
  <c r="V97" i="10"/>
  <c r="E96" i="11" s="1"/>
  <c r="V111" i="10"/>
  <c r="E110" i="11" s="1"/>
  <c r="V115" i="10"/>
  <c r="E114" i="11" s="1"/>
  <c r="V116" i="10"/>
  <c r="E115" i="11" s="1"/>
  <c r="V117" i="10"/>
  <c r="E116" i="11" s="1"/>
  <c r="V118" i="10"/>
  <c r="E117" i="11" s="1"/>
  <c r="U121" i="10"/>
  <c r="D120" i="11" s="1"/>
  <c r="U125" i="10"/>
  <c r="D124" i="11" s="1"/>
  <c r="V127" i="10"/>
  <c r="E126" i="11" s="1"/>
  <c r="V128" i="10"/>
  <c r="E127" i="11" s="1"/>
  <c r="X135" i="10"/>
  <c r="G134" i="11" s="1"/>
  <c r="X136" i="10"/>
  <c r="G135" i="11" s="1"/>
  <c r="W140" i="10"/>
  <c r="F139" i="11" s="1"/>
  <c r="V145" i="10"/>
  <c r="E144" i="11" s="1"/>
  <c r="V147" i="10"/>
  <c r="E146" i="11" s="1"/>
  <c r="V148" i="10"/>
  <c r="E147" i="11" s="1"/>
  <c r="V149" i="10"/>
  <c r="E148" i="11" s="1"/>
  <c r="U149" i="10"/>
  <c r="D148" i="11" s="1"/>
  <c r="V150" i="10"/>
  <c r="E149" i="11" s="1"/>
  <c r="U152" i="10"/>
  <c r="D151" i="11" s="1"/>
  <c r="U153" i="10"/>
  <c r="D152" i="11" s="1"/>
  <c r="V158" i="10"/>
  <c r="E157" i="11" s="1"/>
  <c r="V159" i="10"/>
  <c r="E158" i="11" s="1"/>
  <c r="U161" i="10"/>
  <c r="D160" i="11" s="1"/>
  <c r="U171" i="10"/>
  <c r="D170" i="11" s="1"/>
  <c r="U172" i="10"/>
  <c r="D171" i="11" s="1"/>
  <c r="T175" i="10"/>
  <c r="C174" i="11" s="1"/>
  <c r="X175" i="10"/>
  <c r="G174" i="11" s="1"/>
  <c r="W175" i="10"/>
  <c r="F174" i="11" s="1"/>
  <c r="X176" i="10"/>
  <c r="G175" i="11" s="1"/>
  <c r="W180" i="10"/>
  <c r="F179" i="11" s="1"/>
  <c r="X183" i="10"/>
  <c r="G182" i="11" s="1"/>
  <c r="W183" i="10"/>
  <c r="F182" i="11" s="1"/>
  <c r="T184" i="10"/>
  <c r="C183" i="11" s="1"/>
  <c r="X184" i="10"/>
  <c r="G183" i="11" s="1"/>
  <c r="X191" i="10"/>
  <c r="G190" i="11" s="1"/>
  <c r="W191" i="10"/>
  <c r="F190" i="11" s="1"/>
  <c r="X192" i="10"/>
  <c r="G191" i="11" s="1"/>
  <c r="T193" i="10"/>
  <c r="C192" i="11" s="1"/>
  <c r="X193" i="10"/>
  <c r="G192" i="11" s="1"/>
  <c r="T194" i="10"/>
  <c r="C193" i="11" s="1"/>
  <c r="W196" i="10"/>
  <c r="F195" i="11" s="1"/>
  <c r="T198" i="10"/>
  <c r="C197" i="11" s="1"/>
  <c r="X198" i="10"/>
  <c r="G197" i="11" s="1"/>
  <c r="V209" i="10"/>
  <c r="E208" i="11" s="1"/>
  <c r="U209" i="10"/>
  <c r="D208" i="11" s="1"/>
  <c r="V211" i="10"/>
  <c r="E210" i="11" s="1"/>
  <c r="V212" i="10"/>
  <c r="E211" i="11" s="1"/>
  <c r="V213" i="10"/>
  <c r="E212" i="11" s="1"/>
  <c r="U213" i="10"/>
  <c r="D212" i="11" s="1"/>
  <c r="V216" i="10"/>
  <c r="E215" i="11" s="1"/>
  <c r="U216" i="10"/>
  <c r="D215" i="11" s="1"/>
  <c r="X230" i="10"/>
  <c r="G229" i="11" s="1"/>
  <c r="X238" i="10"/>
  <c r="G237" i="11" s="1"/>
  <c r="T240" i="10"/>
  <c r="C239" i="11" s="1"/>
  <c r="U241" i="10"/>
  <c r="D240" i="11" s="1"/>
  <c r="X241" i="10"/>
  <c r="G240" i="11" s="1"/>
  <c r="U247" i="10"/>
  <c r="D246" i="11" s="1"/>
  <c r="T249" i="10"/>
  <c r="C248" i="11" s="1"/>
  <c r="X285" i="10"/>
  <c r="G284" i="11" s="1"/>
  <c r="W285" i="10"/>
  <c r="F284" i="11" s="1"/>
  <c r="T286" i="10"/>
  <c r="C285" i="11" s="1"/>
  <c r="X286" i="10"/>
  <c r="G285" i="11" s="1"/>
  <c r="W286" i="10"/>
  <c r="F285" i="11" s="1"/>
  <c r="W296" i="10"/>
  <c r="F295" i="11" s="1"/>
  <c r="W299" i="10"/>
  <c r="F298" i="11" s="1"/>
  <c r="W300" i="10"/>
  <c r="F299" i="11" s="1"/>
  <c r="W301" i="10"/>
  <c r="F300" i="11" s="1"/>
  <c r="W302" i="10"/>
  <c r="F301" i="11" s="1"/>
  <c r="V310" i="10"/>
  <c r="E309" i="11" s="1"/>
  <c r="V311" i="10"/>
  <c r="E310" i="11" s="1"/>
  <c r="V312" i="10"/>
  <c r="E311" i="11" s="1"/>
  <c r="T328" i="10"/>
  <c r="C327" i="11" s="1"/>
  <c r="T329" i="10"/>
  <c r="C328" i="11" s="1"/>
  <c r="X329" i="10"/>
  <c r="G328" i="11" s="1"/>
  <c r="X333" i="10"/>
  <c r="G332" i="11" s="1"/>
  <c r="T335" i="10"/>
  <c r="C334" i="11" s="1"/>
  <c r="X335" i="10"/>
  <c r="G334" i="11" s="1"/>
  <c r="W336" i="10"/>
  <c r="F335" i="11" s="1"/>
  <c r="X341" i="10"/>
  <c r="G340" i="11" s="1"/>
  <c r="W344" i="10"/>
  <c r="F343" i="11" s="1"/>
  <c r="T345" i="10"/>
  <c r="C344" i="11" s="1"/>
  <c r="X345" i="10"/>
  <c r="G344" i="11" s="1"/>
  <c r="W346" i="10"/>
  <c r="F345" i="11" s="1"/>
  <c r="W347" i="10"/>
  <c r="F346" i="11" s="1"/>
  <c r="W348" i="10"/>
  <c r="F347" i="11" s="1"/>
  <c r="W349" i="10"/>
  <c r="F348" i="11" s="1"/>
  <c r="W351" i="10"/>
  <c r="F350" i="11" s="1"/>
  <c r="W353" i="10"/>
  <c r="F352" i="11" s="1"/>
  <c r="W354" i="10"/>
  <c r="F353" i="11" s="1"/>
  <c r="W355" i="10"/>
  <c r="F354" i="11" s="1"/>
  <c r="W356" i="10"/>
  <c r="F355" i="11" s="1"/>
  <c r="W357" i="10"/>
  <c r="F356" i="11" s="1"/>
  <c r="V360" i="10"/>
  <c r="E359" i="11" s="1"/>
  <c r="U369" i="10"/>
  <c r="D368" i="11" s="1"/>
  <c r="T370" i="10"/>
  <c r="C369" i="11" s="1"/>
  <c r="X373" i="10"/>
  <c r="G372" i="11" s="1"/>
  <c r="U374" i="10"/>
  <c r="D373" i="11" s="1"/>
  <c r="U377" i="10"/>
  <c r="D376" i="11" s="1"/>
  <c r="T378" i="10"/>
  <c r="C377" i="11" s="1"/>
  <c r="X381" i="10"/>
  <c r="G380" i="11" s="1"/>
  <c r="U383" i="10"/>
  <c r="D382" i="11" s="1"/>
  <c r="U384" i="10"/>
  <c r="D383" i="11" s="1"/>
  <c r="X384" i="10"/>
  <c r="G383" i="11" s="1"/>
  <c r="W392" i="10"/>
  <c r="F391" i="11" s="1"/>
  <c r="T393" i="10"/>
  <c r="C392" i="11" s="1"/>
  <c r="X393" i="10"/>
  <c r="G392" i="11" s="1"/>
  <c r="W393" i="10"/>
  <c r="F392" i="11" s="1"/>
  <c r="W394" i="10"/>
  <c r="F393" i="11" s="1"/>
  <c r="W395" i="10"/>
  <c r="F394" i="11" s="1"/>
  <c r="W396" i="10"/>
  <c r="F395" i="11" s="1"/>
  <c r="W397" i="10"/>
  <c r="F396" i="11" s="1"/>
  <c r="W398" i="10"/>
  <c r="F397" i="11" s="1"/>
  <c r="V401" i="10"/>
  <c r="E400" i="11" s="1"/>
  <c r="U402" i="10"/>
  <c r="D401" i="11" s="1"/>
  <c r="V406" i="10"/>
  <c r="E405" i="11" s="1"/>
  <c r="V407" i="10"/>
  <c r="E406" i="11" s="1"/>
  <c r="T410" i="10"/>
  <c r="C409" i="11" s="1"/>
  <c r="X413" i="10"/>
  <c r="G412" i="11" s="1"/>
  <c r="U415" i="10"/>
  <c r="D414" i="11" s="1"/>
  <c r="X416" i="10"/>
  <c r="G415" i="11" s="1"/>
  <c r="W424" i="10"/>
  <c r="F423" i="11" s="1"/>
  <c r="T425" i="10"/>
  <c r="C424" i="11" s="1"/>
  <c r="X425" i="10"/>
  <c r="G424" i="11" s="1"/>
  <c r="W425" i="10"/>
  <c r="F424" i="11" s="1"/>
  <c r="W426" i="10"/>
  <c r="F425" i="11" s="1"/>
  <c r="W427" i="10"/>
  <c r="F426" i="11" s="1"/>
  <c r="W428" i="10"/>
  <c r="F427" i="11" s="1"/>
  <c r="W429" i="10"/>
  <c r="F428" i="11" s="1"/>
  <c r="W430" i="10"/>
  <c r="F429" i="11" s="1"/>
  <c r="V433" i="10"/>
  <c r="E432" i="11" s="1"/>
  <c r="V438" i="10"/>
  <c r="E437" i="11" s="1"/>
  <c r="V439" i="10"/>
  <c r="E438" i="11" s="1"/>
  <c r="T442" i="10"/>
  <c r="C441" i="11" s="1"/>
  <c r="X445" i="10"/>
  <c r="G444" i="11" s="1"/>
  <c r="T450" i="10"/>
  <c r="C449" i="11" s="1"/>
  <c r="U451" i="10"/>
  <c r="D450" i="11" s="1"/>
  <c r="U452" i="10"/>
  <c r="D451" i="11" s="1"/>
  <c r="U453" i="10"/>
  <c r="D452" i="11" s="1"/>
  <c r="X454" i="10"/>
  <c r="G453" i="11" s="1"/>
  <c r="V259" i="10"/>
  <c r="E258" i="11" s="1"/>
  <c r="W261" i="10"/>
  <c r="F260" i="11" s="1"/>
  <c r="V265" i="10"/>
  <c r="E264" i="11" s="1"/>
  <c r="V271" i="10"/>
  <c r="E270" i="11" s="1"/>
  <c r="V273" i="10"/>
  <c r="E272" i="11" s="1"/>
  <c r="V276" i="10"/>
  <c r="E275" i="11" s="1"/>
  <c r="V277" i="10"/>
  <c r="E276" i="11" s="1"/>
  <c r="V278" i="10"/>
  <c r="E277" i="11" s="1"/>
  <c r="V287" i="10"/>
  <c r="E286" i="11" s="1"/>
  <c r="V294" i="10"/>
  <c r="E293" i="11" s="1"/>
  <c r="U303" i="10"/>
  <c r="D302" i="11" s="1"/>
  <c r="U305" i="10"/>
  <c r="D304" i="11" s="1"/>
  <c r="U306" i="10"/>
  <c r="D305" i="11" s="1"/>
  <c r="X314" i="10"/>
  <c r="G313" i="11" s="1"/>
  <c r="T315" i="10"/>
  <c r="C314" i="11" s="1"/>
  <c r="X315" i="10"/>
  <c r="G314" i="11" s="1"/>
  <c r="T316" i="10"/>
  <c r="C315" i="11" s="1"/>
  <c r="X316" i="10"/>
  <c r="G315" i="11" s="1"/>
  <c r="T317" i="10"/>
  <c r="C316" i="11" s="1"/>
  <c r="X317" i="10"/>
  <c r="G316" i="11" s="1"/>
  <c r="W319" i="10"/>
  <c r="F318" i="11" s="1"/>
  <c r="W321" i="10"/>
  <c r="F320" i="11" s="1"/>
  <c r="W322" i="10"/>
  <c r="F321" i="11" s="1"/>
  <c r="W323" i="10"/>
  <c r="F322" i="11" s="1"/>
  <c r="W324" i="10"/>
  <c r="F323" i="11" s="1"/>
  <c r="W325" i="10"/>
  <c r="F324" i="11" s="1"/>
  <c r="U329" i="10"/>
  <c r="D328" i="11" s="1"/>
  <c r="V335" i="10"/>
  <c r="E334" i="11" s="1"/>
  <c r="V336" i="10"/>
  <c r="E335" i="11" s="1"/>
  <c r="T346" i="10"/>
  <c r="C345" i="11" s="1"/>
  <c r="U351" i="10"/>
  <c r="D350" i="11" s="1"/>
  <c r="U352" i="10"/>
  <c r="D351" i="11" s="1"/>
  <c r="U354" i="10"/>
  <c r="D353" i="11" s="1"/>
  <c r="T354" i="10"/>
  <c r="C353" i="11" s="1"/>
  <c r="U355" i="10"/>
  <c r="D354" i="11" s="1"/>
  <c r="U356" i="10"/>
  <c r="D355" i="11" s="1"/>
  <c r="U357" i="10"/>
  <c r="D356" i="11" s="1"/>
  <c r="X357" i="10"/>
  <c r="G356" i="11" s="1"/>
  <c r="U358" i="10"/>
  <c r="D357" i="11" s="1"/>
  <c r="T360" i="10"/>
  <c r="C359" i="11" s="1"/>
  <c r="W360" i="10"/>
  <c r="F359" i="11" s="1"/>
  <c r="T361" i="10"/>
  <c r="C360" i="11" s="1"/>
  <c r="X361" i="10"/>
  <c r="G360" i="11" s="1"/>
  <c r="V369" i="10"/>
  <c r="E368" i="11" s="1"/>
  <c r="V377" i="10"/>
  <c r="E376" i="11" s="1"/>
  <c r="V385" i="10"/>
  <c r="E384" i="11" s="1"/>
  <c r="U386" i="10"/>
  <c r="D385" i="11" s="1"/>
  <c r="V390" i="10"/>
  <c r="E389" i="11" s="1"/>
  <c r="V391" i="10"/>
  <c r="E390" i="11" s="1"/>
  <c r="T394" i="10"/>
  <c r="C393" i="11" s="1"/>
  <c r="X397" i="10"/>
  <c r="G396" i="11" s="1"/>
  <c r="U399" i="10"/>
  <c r="D398" i="11" s="1"/>
  <c r="X400" i="10"/>
  <c r="G399" i="11" s="1"/>
  <c r="W408" i="10"/>
  <c r="F407" i="11" s="1"/>
  <c r="T409" i="10"/>
  <c r="C408" i="11" s="1"/>
  <c r="W409" i="10"/>
  <c r="F408" i="11" s="1"/>
  <c r="W410" i="10"/>
  <c r="F409" i="11" s="1"/>
  <c r="W411" i="10"/>
  <c r="F410" i="11" s="1"/>
  <c r="W412" i="10"/>
  <c r="F411" i="11" s="1"/>
  <c r="W413" i="10"/>
  <c r="F412" i="11" s="1"/>
  <c r="W414" i="10"/>
  <c r="F413" i="11" s="1"/>
  <c r="V417" i="10"/>
  <c r="E416" i="11" s="1"/>
  <c r="U418" i="10"/>
  <c r="D417" i="11" s="1"/>
  <c r="V422" i="10"/>
  <c r="E421" i="11" s="1"/>
  <c r="V423" i="10"/>
  <c r="E422" i="11" s="1"/>
  <c r="T426" i="10"/>
  <c r="C425" i="11" s="1"/>
  <c r="X429" i="10"/>
  <c r="G428" i="11" s="1"/>
  <c r="U431" i="10"/>
  <c r="D430" i="11" s="1"/>
  <c r="X432" i="10"/>
  <c r="G431" i="11" s="1"/>
  <c r="T440" i="10"/>
  <c r="C439" i="11" s="1"/>
  <c r="W440" i="10"/>
  <c r="F439" i="11" s="1"/>
  <c r="T441" i="10"/>
  <c r="C440" i="11" s="1"/>
  <c r="W442" i="10"/>
  <c r="F441" i="11" s="1"/>
  <c r="W443" i="10"/>
  <c r="F442" i="11" s="1"/>
  <c r="W444" i="10"/>
  <c r="F443" i="11" s="1"/>
  <c r="W445" i="10"/>
  <c r="F444" i="11" s="1"/>
  <c r="W446" i="10"/>
  <c r="F445" i="11" s="1"/>
  <c r="W455" i="10"/>
  <c r="F454" i="11" s="1"/>
  <c r="W456" i="10"/>
  <c r="F455" i="11" s="1"/>
  <c r="W457" i="10"/>
  <c r="F456" i="11" s="1"/>
  <c r="W460" i="10"/>
  <c r="F459" i="11" s="1"/>
  <c r="V460" i="10"/>
  <c r="E459" i="11" s="1"/>
  <c r="W461" i="10"/>
  <c r="F460" i="11" s="1"/>
  <c r="U14" i="10"/>
  <c r="D13" i="11" s="1"/>
  <c r="U36" i="10"/>
  <c r="D35" i="11" s="1"/>
  <c r="U42" i="10"/>
  <c r="D41" i="11" s="1"/>
  <c r="U46" i="10"/>
  <c r="D45" i="11" s="1"/>
  <c r="T81" i="10"/>
  <c r="C80" i="11" s="1"/>
  <c r="T82" i="10"/>
  <c r="C81" i="11" s="1"/>
  <c r="T83" i="10"/>
  <c r="C82" i="11" s="1"/>
  <c r="X83" i="10"/>
  <c r="G82" i="11" s="1"/>
  <c r="T84" i="10"/>
  <c r="C83" i="11" s="1"/>
  <c r="X84" i="10"/>
  <c r="G83" i="11" s="1"/>
  <c r="T85" i="10"/>
  <c r="C84" i="11" s="1"/>
  <c r="X85" i="10"/>
  <c r="G84" i="11" s="1"/>
  <c r="T88" i="10"/>
  <c r="C87" i="11" s="1"/>
  <c r="X88" i="10"/>
  <c r="G87" i="11" s="1"/>
  <c r="T89" i="10"/>
  <c r="C88" i="11" s="1"/>
  <c r="X89" i="10"/>
  <c r="G88" i="11" s="1"/>
  <c r="T90" i="10"/>
  <c r="C89" i="11" s="1"/>
  <c r="X90" i="10"/>
  <c r="G89" i="11" s="1"/>
  <c r="X95" i="10"/>
  <c r="G94" i="11" s="1"/>
  <c r="W55" i="10"/>
  <c r="F54" i="11" s="1"/>
  <c r="W67" i="10"/>
  <c r="F66" i="11" s="1"/>
  <c r="U84" i="10"/>
  <c r="D83" i="11" s="1"/>
  <c r="U85" i="10"/>
  <c r="D84" i="11" s="1"/>
  <c r="U89" i="10"/>
  <c r="D88" i="11" s="1"/>
  <c r="U104" i="10"/>
  <c r="D103" i="11" s="1"/>
  <c r="U108" i="10"/>
  <c r="D107" i="11" s="1"/>
  <c r="U109" i="10"/>
  <c r="D108" i="11" s="1"/>
  <c r="X118" i="10"/>
  <c r="G117" i="11" s="1"/>
  <c r="X23" i="10"/>
  <c r="G22" i="11" s="1"/>
  <c r="X35" i="10"/>
  <c r="G34" i="11" s="1"/>
  <c r="X61" i="10"/>
  <c r="G60" i="11" s="1"/>
  <c r="W79" i="10"/>
  <c r="F78" i="11" s="1"/>
  <c r="W80" i="10"/>
  <c r="F79" i="11" s="1"/>
  <c r="V86" i="10"/>
  <c r="E85" i="11" s="1"/>
  <c r="V95" i="10"/>
  <c r="E94" i="11" s="1"/>
  <c r="V105" i="10"/>
  <c r="E104" i="11" s="1"/>
  <c r="V110" i="10"/>
  <c r="E109" i="11" s="1"/>
  <c r="U28" i="10"/>
  <c r="D27" i="11" s="1"/>
  <c r="U40" i="10"/>
  <c r="D39" i="11" s="1"/>
  <c r="U48" i="10"/>
  <c r="D47" i="11" s="1"/>
  <c r="U52" i="10"/>
  <c r="D51" i="11" s="1"/>
  <c r="U60" i="10"/>
  <c r="D59" i="11" s="1"/>
  <c r="U68" i="10"/>
  <c r="D67" i="11" s="1"/>
  <c r="U69" i="10"/>
  <c r="D68" i="11" s="1"/>
  <c r="X72" i="10"/>
  <c r="G71" i="11" s="1"/>
  <c r="W99" i="10"/>
  <c r="F98" i="11" s="1"/>
  <c r="W100" i="10"/>
  <c r="F99" i="11" s="1"/>
  <c r="W103" i="10"/>
  <c r="F102" i="11" s="1"/>
  <c r="W104" i="10"/>
  <c r="F103" i="11" s="1"/>
  <c r="W107" i="10"/>
  <c r="F106" i="11" s="1"/>
  <c r="W108" i="10"/>
  <c r="F107" i="11" s="1"/>
  <c r="V120" i="10"/>
  <c r="E119" i="11" s="1"/>
  <c r="W75" i="10"/>
  <c r="F74" i="11" s="1"/>
  <c r="W76" i="10"/>
  <c r="F75" i="11" s="1"/>
  <c r="X31" i="10"/>
  <c r="G30" i="11" s="1"/>
  <c r="V54" i="10"/>
  <c r="E53" i="11" s="1"/>
  <c r="X18" i="10"/>
  <c r="G17" i="11" s="1"/>
  <c r="X26" i="10"/>
  <c r="G25" i="11" s="1"/>
  <c r="T37" i="10"/>
  <c r="C36" i="11" s="1"/>
  <c r="W42" i="10"/>
  <c r="F41" i="11" s="1"/>
  <c r="W46" i="10"/>
  <c r="F45" i="11" s="1"/>
  <c r="W62" i="10"/>
  <c r="F61" i="11" s="1"/>
  <c r="T13" i="10"/>
  <c r="C12" i="11" s="1"/>
  <c r="X22" i="10"/>
  <c r="G21" i="11" s="1"/>
  <c r="U25" i="10"/>
  <c r="D24" i="11" s="1"/>
  <c r="T49" i="10"/>
  <c r="C48" i="11" s="1"/>
  <c r="T69" i="10"/>
  <c r="C68" i="11" s="1"/>
  <c r="V13" i="10"/>
  <c r="E12" i="11" s="1"/>
  <c r="V37" i="10"/>
  <c r="E36" i="11" s="1"/>
  <c r="V65" i="10"/>
  <c r="E64" i="11" s="1"/>
  <c r="U20" i="10"/>
  <c r="D19" i="11" s="1"/>
  <c r="V28" i="10"/>
  <c r="E27" i="11" s="1"/>
  <c r="U64" i="10"/>
  <c r="D63" i="11" s="1"/>
  <c r="T27" i="10"/>
  <c r="C26" i="11" s="1"/>
  <c r="X28" i="10"/>
  <c r="G27" i="11" s="1"/>
  <c r="T31" i="10"/>
  <c r="C30" i="11" s="1"/>
  <c r="X40" i="10"/>
  <c r="G39" i="11" s="1"/>
  <c r="V76" i="10"/>
  <c r="E75" i="11" s="1"/>
  <c r="X12" i="10"/>
  <c r="G11" i="11" s="1"/>
  <c r="U23" i="10"/>
  <c r="D22" i="11" s="1"/>
  <c r="X48" i="10"/>
  <c r="G47" i="11" s="1"/>
  <c r="X56" i="10"/>
  <c r="G55" i="11" s="1"/>
  <c r="T67" i="10"/>
  <c r="C66" i="11" s="1"/>
  <c r="X68" i="10"/>
  <c r="G67" i="11" s="1"/>
  <c r="T71" i="10"/>
  <c r="C70" i="11" s="1"/>
  <c r="X24" i="10"/>
  <c r="G23" i="11" s="1"/>
  <c r="W48" i="10"/>
  <c r="F47" i="11" s="1"/>
  <c r="W52" i="10"/>
  <c r="F51" i="11" s="1"/>
  <c r="X64" i="10"/>
  <c r="G63" i="11" s="1"/>
  <c r="W68" i="10"/>
  <c r="F67" i="11" s="1"/>
  <c r="V23" i="10"/>
  <c r="E22" i="11" s="1"/>
  <c r="V46" i="10"/>
  <c r="E45" i="11" s="1"/>
  <c r="V62" i="10"/>
  <c r="E61" i="11" s="1"/>
  <c r="V70" i="10"/>
  <c r="E69" i="11" s="1"/>
  <c r="U37" i="10"/>
  <c r="D36" i="11" s="1"/>
  <c r="U49" i="10"/>
  <c r="D48" i="11" s="1"/>
  <c r="U53" i="10"/>
  <c r="D52" i="11" s="1"/>
  <c r="W13" i="10"/>
  <c r="F12" i="11" s="1"/>
  <c r="U13" i="10"/>
  <c r="D12" i="11" s="1"/>
  <c r="T14" i="10"/>
  <c r="C13" i="11" s="1"/>
  <c r="T15" i="10"/>
  <c r="C14" i="11" s="1"/>
  <c r="X16" i="10"/>
  <c r="G15" i="11" s="1"/>
  <c r="W17" i="10"/>
  <c r="F16" i="11" s="1"/>
  <c r="W18" i="10"/>
  <c r="F17" i="11" s="1"/>
  <c r="U21" i="10"/>
  <c r="D20" i="11" s="1"/>
  <c r="X21" i="10"/>
  <c r="G20" i="11" s="1"/>
  <c r="T24" i="10"/>
  <c r="C23" i="11" s="1"/>
  <c r="T25" i="10"/>
  <c r="C24" i="11" s="1"/>
  <c r="X25" i="10"/>
  <c r="G24" i="11" s="1"/>
  <c r="V30" i="10"/>
  <c r="E29" i="11" s="1"/>
  <c r="V32" i="10"/>
  <c r="E31" i="11" s="1"/>
  <c r="U32" i="10"/>
  <c r="D31" i="11" s="1"/>
  <c r="V33" i="10"/>
  <c r="E32" i="11" s="1"/>
  <c r="U33" i="10"/>
  <c r="D32" i="11" s="1"/>
  <c r="V34" i="10"/>
  <c r="E33" i="11" s="1"/>
  <c r="V36" i="10"/>
  <c r="E35" i="11" s="1"/>
  <c r="U38" i="10"/>
  <c r="D37" i="11" s="1"/>
  <c r="X41" i="10"/>
  <c r="G40" i="11" s="1"/>
  <c r="X42" i="10"/>
  <c r="G41" i="11" s="1"/>
  <c r="T43" i="10"/>
  <c r="C42" i="11" s="1"/>
  <c r="X43" i="10"/>
  <c r="G42" i="11" s="1"/>
  <c r="W43" i="10"/>
  <c r="F42" i="11" s="1"/>
  <c r="T44" i="10"/>
  <c r="C43" i="11" s="1"/>
  <c r="T45" i="10"/>
  <c r="C44" i="11" s="1"/>
  <c r="X45" i="10"/>
  <c r="G44" i="11" s="1"/>
  <c r="T47" i="10"/>
  <c r="C46" i="11" s="1"/>
  <c r="X47" i="10"/>
  <c r="G46" i="11" s="1"/>
  <c r="W47" i="10"/>
  <c r="F46" i="11" s="1"/>
  <c r="V55" i="10"/>
  <c r="E54" i="11" s="1"/>
  <c r="U56" i="10"/>
  <c r="D55" i="11" s="1"/>
  <c r="T57" i="10"/>
  <c r="C56" i="11" s="1"/>
  <c r="T58" i="10"/>
  <c r="C57" i="11" s="1"/>
  <c r="T59" i="10"/>
  <c r="C58" i="11" s="1"/>
  <c r="X59" i="10"/>
  <c r="G58" i="11" s="1"/>
  <c r="W59" i="10"/>
  <c r="F58" i="11" s="1"/>
  <c r="X60" i="10"/>
  <c r="G59" i="11" s="1"/>
  <c r="W60" i="10"/>
  <c r="F59" i="11" s="1"/>
  <c r="T63" i="10"/>
  <c r="C62" i="11" s="1"/>
  <c r="X63" i="10"/>
  <c r="G62" i="11" s="1"/>
  <c r="U66" i="10"/>
  <c r="D65" i="11" s="1"/>
  <c r="U70" i="10"/>
  <c r="D69" i="11" s="1"/>
  <c r="T72" i="10"/>
  <c r="C71" i="11" s="1"/>
  <c r="T73" i="10"/>
  <c r="C72" i="11" s="1"/>
  <c r="W74" i="10"/>
  <c r="F73" i="11" s="1"/>
  <c r="U86" i="10"/>
  <c r="D85" i="11" s="1"/>
  <c r="X86" i="10"/>
  <c r="G85" i="11" s="1"/>
  <c r="U87" i="10"/>
  <c r="D86" i="11" s="1"/>
  <c r="X87" i="10"/>
  <c r="G86" i="11" s="1"/>
  <c r="U88" i="10"/>
  <c r="D87" i="11" s="1"/>
  <c r="U91" i="10"/>
  <c r="D90" i="11" s="1"/>
  <c r="U94" i="10"/>
  <c r="D93" i="11" s="1"/>
  <c r="U95" i="10"/>
  <c r="D94" i="11" s="1"/>
  <c r="W102" i="10"/>
  <c r="F101" i="11" s="1"/>
  <c r="V104" i="10"/>
  <c r="E103" i="11" s="1"/>
  <c r="V106" i="10"/>
  <c r="E105" i="11" s="1"/>
  <c r="V107" i="10"/>
  <c r="E106" i="11" s="1"/>
  <c r="V108" i="10"/>
  <c r="E107" i="11" s="1"/>
  <c r="V109" i="10"/>
  <c r="E108" i="11" s="1"/>
  <c r="U114" i="10"/>
  <c r="D113" i="11" s="1"/>
  <c r="U116" i="10"/>
  <c r="D115" i="11" s="1"/>
  <c r="U118" i="10"/>
  <c r="D117" i="11" s="1"/>
  <c r="X52" i="10"/>
  <c r="G51" i="11" s="1"/>
  <c r="T53" i="10"/>
  <c r="C52" i="11" s="1"/>
  <c r="X53" i="10"/>
  <c r="G52" i="11" s="1"/>
  <c r="T54" i="10"/>
  <c r="C53" i="11" s="1"/>
  <c r="X54" i="10"/>
  <c r="G53" i="11" s="1"/>
  <c r="V56" i="10"/>
  <c r="E55" i="11" s="1"/>
  <c r="U62" i="10"/>
  <c r="D61" i="11" s="1"/>
  <c r="T64" i="10"/>
  <c r="C63" i="11" s="1"/>
  <c r="V68" i="10"/>
  <c r="E67" i="11" s="1"/>
  <c r="V69" i="10"/>
  <c r="E68" i="11" s="1"/>
  <c r="U72" i="10"/>
  <c r="D71" i="11" s="1"/>
  <c r="T74" i="10"/>
  <c r="C73" i="11" s="1"/>
  <c r="T75" i="10"/>
  <c r="C74" i="11" s="1"/>
  <c r="X75" i="10"/>
  <c r="G74" i="11" s="1"/>
  <c r="T76" i="10"/>
  <c r="C75" i="11" s="1"/>
  <c r="X76" i="10"/>
  <c r="G75" i="11" s="1"/>
  <c r="T77" i="10"/>
  <c r="C76" i="11" s="1"/>
  <c r="X77" i="10"/>
  <c r="G76" i="11" s="1"/>
  <c r="T78" i="10"/>
  <c r="C77" i="11" s="1"/>
  <c r="X78" i="10"/>
  <c r="G77" i="11" s="1"/>
  <c r="T79" i="10"/>
  <c r="C78" i="11" s="1"/>
  <c r="X79" i="10"/>
  <c r="G78" i="11" s="1"/>
  <c r="T80" i="10"/>
  <c r="C79" i="11" s="1"/>
  <c r="X80" i="10"/>
  <c r="G79" i="11" s="1"/>
  <c r="W81" i="10"/>
  <c r="F80" i="11" s="1"/>
  <c r="V83" i="10"/>
  <c r="E82" i="11" s="1"/>
  <c r="V84" i="10"/>
  <c r="E83" i="11" s="1"/>
  <c r="V85" i="10"/>
  <c r="E84" i="11" s="1"/>
  <c r="V87" i="10"/>
  <c r="E86" i="11" s="1"/>
  <c r="V88" i="10"/>
  <c r="E87" i="11" s="1"/>
  <c r="V89" i="10"/>
  <c r="E88" i="11" s="1"/>
  <c r="V90" i="10"/>
  <c r="E89" i="11" s="1"/>
  <c r="T97" i="10"/>
  <c r="C96" i="11" s="1"/>
  <c r="X97" i="10"/>
  <c r="G96" i="11" s="1"/>
  <c r="T98" i="10"/>
  <c r="C97" i="11" s="1"/>
  <c r="T99" i="10"/>
  <c r="C98" i="11" s="1"/>
  <c r="X99" i="10"/>
  <c r="G98" i="11" s="1"/>
  <c r="T100" i="10"/>
  <c r="C99" i="11" s="1"/>
  <c r="X100" i="10"/>
  <c r="G99" i="11" s="1"/>
  <c r="T101" i="10"/>
  <c r="C100" i="11" s="1"/>
  <c r="X101" i="10"/>
  <c r="G100" i="11" s="1"/>
  <c r="T102" i="10"/>
  <c r="C101" i="11" s="1"/>
  <c r="X102" i="10"/>
  <c r="G101" i="11" s="1"/>
  <c r="T103" i="10"/>
  <c r="C102" i="11" s="1"/>
  <c r="W106" i="10"/>
  <c r="F105" i="11" s="1"/>
  <c r="W110" i="10"/>
  <c r="F109" i="11" s="1"/>
  <c r="V112" i="10"/>
  <c r="E111" i="11" s="1"/>
  <c r="V14" i="10"/>
  <c r="E13" i="11" s="1"/>
  <c r="U17" i="10"/>
  <c r="D16" i="11" s="1"/>
  <c r="U18" i="10"/>
  <c r="D17" i="11" s="1"/>
  <c r="T19" i="10"/>
  <c r="C18" i="11" s="1"/>
  <c r="W21" i="10"/>
  <c r="F20" i="11" s="1"/>
  <c r="V25" i="10"/>
  <c r="E24" i="11" s="1"/>
  <c r="U30" i="10"/>
  <c r="D29" i="11" s="1"/>
  <c r="T32" i="10"/>
  <c r="C31" i="11" s="1"/>
  <c r="X32" i="10"/>
  <c r="G31" i="11" s="1"/>
  <c r="W32" i="10"/>
  <c r="F31" i="11" s="1"/>
  <c r="T33" i="10"/>
  <c r="C32" i="11" s="1"/>
  <c r="X33" i="10"/>
  <c r="G32" i="11" s="1"/>
  <c r="T34" i="10"/>
  <c r="C33" i="11" s="1"/>
  <c r="X34" i="10"/>
  <c r="G33" i="11" s="1"/>
  <c r="T36" i="10"/>
  <c r="C35" i="11" s="1"/>
  <c r="X36" i="10"/>
  <c r="G35" i="11" s="1"/>
  <c r="W38" i="10"/>
  <c r="F37" i="11" s="1"/>
  <c r="W40" i="10"/>
  <c r="F39" i="11" s="1"/>
  <c r="V41" i="10"/>
  <c r="E40" i="11" s="1"/>
  <c r="U41" i="10"/>
  <c r="D40" i="11" s="1"/>
  <c r="V43" i="10"/>
  <c r="E42" i="11" s="1"/>
  <c r="V45" i="10"/>
  <c r="E44" i="11" s="1"/>
  <c r="U45" i="10"/>
  <c r="D44" i="11" s="1"/>
  <c r="U51" i="10"/>
  <c r="D50" i="11" s="1"/>
  <c r="T55" i="10"/>
  <c r="C54" i="11" s="1"/>
  <c r="V60" i="10"/>
  <c r="E59" i="11" s="1"/>
  <c r="V61" i="10"/>
  <c r="E60" i="11" s="1"/>
  <c r="T65" i="10"/>
  <c r="C64" i="11" s="1"/>
  <c r="W66" i="10"/>
  <c r="F65" i="11" s="1"/>
  <c r="W70" i="10"/>
  <c r="F69" i="11" s="1"/>
  <c r="W71" i="10"/>
  <c r="F70" i="11" s="1"/>
  <c r="V72" i="10"/>
  <c r="E71" i="11" s="1"/>
  <c r="U128" i="10"/>
  <c r="D127" i="11" s="1"/>
  <c r="U76" i="10"/>
  <c r="D75" i="11" s="1"/>
  <c r="U77" i="10"/>
  <c r="D76" i="11" s="1"/>
  <c r="W83" i="10"/>
  <c r="F82" i="11" s="1"/>
  <c r="W84" i="10"/>
  <c r="F83" i="11" s="1"/>
  <c r="W88" i="10"/>
  <c r="F87" i="11" s="1"/>
  <c r="U112" i="10"/>
  <c r="D111" i="11" s="1"/>
  <c r="T113" i="10"/>
  <c r="C112" i="11" s="1"/>
  <c r="W119" i="10"/>
  <c r="F118" i="11" s="1"/>
  <c r="U127" i="10"/>
  <c r="D126" i="11" s="1"/>
  <c r="T128" i="10"/>
  <c r="C127" i="11" s="1"/>
  <c r="X128" i="10"/>
  <c r="G127" i="11" s="1"/>
  <c r="V131" i="10"/>
  <c r="E130" i="11" s="1"/>
  <c r="V132" i="10"/>
  <c r="E131" i="11" s="1"/>
  <c r="V133" i="10"/>
  <c r="E132" i="11" s="1"/>
  <c r="T136" i="10"/>
  <c r="C135" i="11" s="1"/>
  <c r="W137" i="10"/>
  <c r="F136" i="11" s="1"/>
  <c r="W142" i="10"/>
  <c r="F141" i="11" s="1"/>
  <c r="W143" i="10"/>
  <c r="F142" i="11" s="1"/>
  <c r="V144" i="10"/>
  <c r="E143" i="11" s="1"/>
  <c r="T146" i="10"/>
  <c r="C145" i="11" s="1"/>
  <c r="X149" i="10"/>
  <c r="G148" i="11" s="1"/>
  <c r="W151" i="10"/>
  <c r="F150" i="11" s="1"/>
  <c r="U155" i="10"/>
  <c r="D154" i="11" s="1"/>
  <c r="U156" i="10"/>
  <c r="D155" i="11" s="1"/>
  <c r="T159" i="10"/>
  <c r="C158" i="11" s="1"/>
  <c r="V161" i="10"/>
  <c r="E160" i="11" s="1"/>
  <c r="V162" i="10"/>
  <c r="E161" i="11" s="1"/>
  <c r="T168" i="10"/>
  <c r="C167" i="11" s="1"/>
  <c r="V175" i="10"/>
  <c r="E174" i="11" s="1"/>
  <c r="T177" i="10"/>
  <c r="C176" i="11" s="1"/>
  <c r="X177" i="10"/>
  <c r="G176" i="11" s="1"/>
  <c r="T178" i="10"/>
  <c r="C177" i="11" s="1"/>
  <c r="T182" i="10"/>
  <c r="C181" i="11" s="1"/>
  <c r="X182" i="10"/>
  <c r="G181" i="11" s="1"/>
  <c r="U187" i="10"/>
  <c r="D186" i="11" s="1"/>
  <c r="U188" i="10"/>
  <c r="D187" i="11" s="1"/>
  <c r="T191" i="10"/>
  <c r="C190" i="11" s="1"/>
  <c r="V193" i="10"/>
  <c r="E192" i="11" s="1"/>
  <c r="V194" i="10"/>
  <c r="E193" i="11" s="1"/>
  <c r="T200" i="10"/>
  <c r="C199" i="11" s="1"/>
  <c r="W205" i="10"/>
  <c r="F204" i="11" s="1"/>
  <c r="V207" i="10"/>
  <c r="E206" i="11" s="1"/>
  <c r="T210" i="10"/>
  <c r="C209" i="11" s="1"/>
  <c r="T211" i="10"/>
  <c r="C210" i="11" s="1"/>
  <c r="X211" i="10"/>
  <c r="G210" i="11" s="1"/>
  <c r="T212" i="10"/>
  <c r="C211" i="11" s="1"/>
  <c r="X212" i="10"/>
  <c r="G211" i="11" s="1"/>
  <c r="T213" i="10"/>
  <c r="C212" i="11" s="1"/>
  <c r="X213" i="10"/>
  <c r="G212" i="11" s="1"/>
  <c r="T215" i="10"/>
  <c r="C214" i="11" s="1"/>
  <c r="X215" i="10"/>
  <c r="G214" i="11" s="1"/>
  <c r="T216" i="10"/>
  <c r="C215" i="11" s="1"/>
  <c r="W217" i="10"/>
  <c r="F216" i="11" s="1"/>
  <c r="W222" i="10"/>
  <c r="F221" i="11" s="1"/>
  <c r="U226" i="10"/>
  <c r="D225" i="11" s="1"/>
  <c r="X234" i="10"/>
  <c r="G233" i="11" s="1"/>
  <c r="T235" i="10"/>
  <c r="C234" i="11" s="1"/>
  <c r="X235" i="10"/>
  <c r="G234" i="11" s="1"/>
  <c r="T236" i="10"/>
  <c r="C235" i="11" s="1"/>
  <c r="X236" i="10"/>
  <c r="G235" i="11" s="1"/>
  <c r="T239" i="10"/>
  <c r="C238" i="11" s="1"/>
  <c r="X240" i="10"/>
  <c r="G239" i="11" s="1"/>
  <c r="W242" i="10"/>
  <c r="F241" i="11" s="1"/>
  <c r="V135" i="10"/>
  <c r="E134" i="11" s="1"/>
  <c r="U136" i="10"/>
  <c r="D135" i="11" s="1"/>
  <c r="T137" i="10"/>
  <c r="C136" i="11" s="1"/>
  <c r="T138" i="10"/>
  <c r="C137" i="11" s="1"/>
  <c r="T139" i="10"/>
  <c r="C138" i="11" s="1"/>
  <c r="X139" i="10"/>
  <c r="G138" i="11" s="1"/>
  <c r="T140" i="10"/>
  <c r="C139" i="11" s="1"/>
  <c r="X140" i="10"/>
  <c r="G139" i="11" s="1"/>
  <c r="T141" i="10"/>
  <c r="C140" i="11" s="1"/>
  <c r="X141" i="10"/>
  <c r="G140" i="11" s="1"/>
  <c r="U150" i="10"/>
  <c r="D149" i="11" s="1"/>
  <c r="T151" i="10"/>
  <c r="C150" i="11" s="1"/>
  <c r="V153" i="10"/>
  <c r="E152" i="11" s="1"/>
  <c r="V154" i="10"/>
  <c r="E153" i="11" s="1"/>
  <c r="T160" i="10"/>
  <c r="C159" i="11" s="1"/>
  <c r="V167" i="10"/>
  <c r="E166" i="11" s="1"/>
  <c r="T169" i="10"/>
  <c r="C168" i="11" s="1"/>
  <c r="X169" i="10"/>
  <c r="G168" i="11" s="1"/>
  <c r="T170" i="10"/>
  <c r="C169" i="11" s="1"/>
  <c r="T174" i="10"/>
  <c r="C173" i="11" s="1"/>
  <c r="X174" i="10"/>
  <c r="G173" i="11" s="1"/>
  <c r="U179" i="10"/>
  <c r="D178" i="11" s="1"/>
  <c r="U180" i="10"/>
  <c r="D179" i="11" s="1"/>
  <c r="T183" i="10"/>
  <c r="C182" i="11" s="1"/>
  <c r="V185" i="10"/>
  <c r="E184" i="11" s="1"/>
  <c r="V186" i="10"/>
  <c r="E185" i="11" s="1"/>
  <c r="T192" i="10"/>
  <c r="C191" i="11" s="1"/>
  <c r="V199" i="10"/>
  <c r="E198" i="11" s="1"/>
  <c r="T201" i="10"/>
  <c r="C200" i="11" s="1"/>
  <c r="X201" i="10"/>
  <c r="G200" i="11" s="1"/>
  <c r="T202" i="10"/>
  <c r="C201" i="11" s="1"/>
  <c r="T206" i="10"/>
  <c r="C205" i="11" s="1"/>
  <c r="X206" i="10"/>
  <c r="G205" i="11" s="1"/>
  <c r="U210" i="10"/>
  <c r="D209" i="11" s="1"/>
  <c r="U214" i="10"/>
  <c r="D213" i="11" s="1"/>
  <c r="U215" i="10"/>
  <c r="D214" i="11" s="1"/>
  <c r="T218" i="10"/>
  <c r="C217" i="11" s="1"/>
  <c r="T219" i="10"/>
  <c r="C218" i="11" s="1"/>
  <c r="X219" i="10"/>
  <c r="G218" i="11" s="1"/>
  <c r="T220" i="10"/>
  <c r="C219" i="11" s="1"/>
  <c r="X220" i="10"/>
  <c r="G219" i="11" s="1"/>
  <c r="T221" i="10"/>
  <c r="C220" i="11" s="1"/>
  <c r="X221" i="10"/>
  <c r="G220" i="11" s="1"/>
  <c r="V225" i="10"/>
  <c r="E224" i="11" s="1"/>
  <c r="U234" i="10"/>
  <c r="D233" i="11" s="1"/>
  <c r="U97" i="10"/>
  <c r="D96" i="11" s="1"/>
  <c r="V98" i="10"/>
  <c r="E97" i="11" s="1"/>
  <c r="V103" i="10"/>
  <c r="E102" i="11" s="1"/>
  <c r="U110" i="10"/>
  <c r="D109" i="11" s="1"/>
  <c r="T112" i="10"/>
  <c r="C111" i="11" s="1"/>
  <c r="W112" i="10"/>
  <c r="F111" i="11" s="1"/>
  <c r="W113" i="10"/>
  <c r="F112" i="11" s="1"/>
  <c r="V113" i="10"/>
  <c r="E112" i="11" s="1"/>
  <c r="W114" i="10"/>
  <c r="F113" i="11" s="1"/>
  <c r="U120" i="10"/>
  <c r="D119" i="11" s="1"/>
  <c r="T121" i="10"/>
  <c r="C120" i="11" s="1"/>
  <c r="T122" i="10"/>
  <c r="C121" i="11" s="1"/>
  <c r="T123" i="10"/>
  <c r="C122" i="11" s="1"/>
  <c r="X123" i="10"/>
  <c r="G122" i="11" s="1"/>
  <c r="T124" i="10"/>
  <c r="C123" i="11" s="1"/>
  <c r="X124" i="10"/>
  <c r="G123" i="11" s="1"/>
  <c r="W124" i="10"/>
  <c r="F123" i="11" s="1"/>
  <c r="T125" i="10"/>
  <c r="C124" i="11" s="1"/>
  <c r="X125" i="10"/>
  <c r="G124" i="11" s="1"/>
  <c r="U134" i="10"/>
  <c r="D133" i="11" s="1"/>
  <c r="X134" i="10"/>
  <c r="G133" i="11" s="1"/>
  <c r="T135" i="10"/>
  <c r="C134" i="11" s="1"/>
  <c r="V137" i="10"/>
  <c r="E136" i="11" s="1"/>
  <c r="U137" i="10"/>
  <c r="D136" i="11" s="1"/>
  <c r="U141" i="10"/>
  <c r="D140" i="11" s="1"/>
  <c r="V151" i="10"/>
  <c r="E150" i="11" s="1"/>
  <c r="T153" i="10"/>
  <c r="C152" i="11" s="1"/>
  <c r="X153" i="10"/>
  <c r="G152" i="11" s="1"/>
  <c r="T154" i="10"/>
  <c r="C153" i="11" s="1"/>
  <c r="W156" i="10"/>
  <c r="F155" i="11" s="1"/>
  <c r="T158" i="10"/>
  <c r="C157" i="11" s="1"/>
  <c r="X158" i="10"/>
  <c r="G157" i="11" s="1"/>
  <c r="U160" i="10"/>
  <c r="D159" i="11" s="1"/>
  <c r="U163" i="10"/>
  <c r="D162" i="11" s="1"/>
  <c r="U164" i="10"/>
  <c r="D163" i="11" s="1"/>
  <c r="T167" i="10"/>
  <c r="C166" i="11" s="1"/>
  <c r="W167" i="10"/>
  <c r="F166" i="11" s="1"/>
  <c r="V169" i="10"/>
  <c r="E168" i="11" s="1"/>
  <c r="U169" i="10"/>
  <c r="D168" i="11" s="1"/>
  <c r="V170" i="10"/>
  <c r="E169" i="11" s="1"/>
  <c r="T176" i="10"/>
  <c r="C175" i="11" s="1"/>
  <c r="V183" i="10"/>
  <c r="E182" i="11" s="1"/>
  <c r="T185" i="10"/>
  <c r="C184" i="11" s="1"/>
  <c r="X185" i="10"/>
  <c r="G184" i="11" s="1"/>
  <c r="T186" i="10"/>
  <c r="C185" i="11" s="1"/>
  <c r="W188" i="10"/>
  <c r="F187" i="11" s="1"/>
  <c r="T190" i="10"/>
  <c r="C189" i="11" s="1"/>
  <c r="X190" i="10"/>
  <c r="G189" i="11" s="1"/>
  <c r="U192" i="10"/>
  <c r="D191" i="11" s="1"/>
  <c r="U195" i="10"/>
  <c r="D194" i="11" s="1"/>
  <c r="U196" i="10"/>
  <c r="D195" i="11" s="1"/>
  <c r="T199" i="10"/>
  <c r="C198" i="11" s="1"/>
  <c r="W199" i="10"/>
  <c r="F198" i="11" s="1"/>
  <c r="V201" i="10"/>
  <c r="E200" i="11" s="1"/>
  <c r="U201" i="10"/>
  <c r="D200" i="11" s="1"/>
  <c r="V202" i="10"/>
  <c r="E201" i="11" s="1"/>
  <c r="T208" i="10"/>
  <c r="C207" i="11" s="1"/>
  <c r="T209" i="10"/>
  <c r="C208" i="11" s="1"/>
  <c r="X209" i="10"/>
  <c r="G208" i="11" s="1"/>
  <c r="W210" i="10"/>
  <c r="F209" i="11" s="1"/>
  <c r="W214" i="10"/>
  <c r="F213" i="11" s="1"/>
  <c r="V215" i="10"/>
  <c r="E214" i="11" s="1"/>
  <c r="V217" i="10"/>
  <c r="E216" i="11" s="1"/>
  <c r="U217" i="10"/>
  <c r="D216" i="11" s="1"/>
  <c r="U221" i="10"/>
  <c r="D220" i="11" s="1"/>
  <c r="U223" i="10"/>
  <c r="D222" i="11" s="1"/>
  <c r="T226" i="10"/>
  <c r="C225" i="11" s="1"/>
  <c r="T227" i="10"/>
  <c r="C226" i="11" s="1"/>
  <c r="X227" i="10"/>
  <c r="G226" i="11" s="1"/>
  <c r="T228" i="10"/>
  <c r="C227" i="11" s="1"/>
  <c r="X228" i="10"/>
  <c r="G227" i="11" s="1"/>
  <c r="W228" i="10"/>
  <c r="F227" i="11" s="1"/>
  <c r="T229" i="10"/>
  <c r="C228" i="11" s="1"/>
  <c r="X229" i="10"/>
  <c r="G228" i="11" s="1"/>
  <c r="U231" i="10"/>
  <c r="D230" i="11" s="1"/>
  <c r="T232" i="10"/>
  <c r="C231" i="11" s="1"/>
  <c r="X232" i="10"/>
  <c r="G231" i="11" s="1"/>
  <c r="W232" i="10"/>
  <c r="F231" i="11" s="1"/>
  <c r="W235" i="10"/>
  <c r="F234" i="11" s="1"/>
  <c r="W236" i="10"/>
  <c r="F235" i="11" s="1"/>
  <c r="W237" i="10"/>
  <c r="F236" i="11" s="1"/>
  <c r="W240" i="10"/>
  <c r="F239" i="11" s="1"/>
  <c r="U242" i="10"/>
  <c r="D241" i="11" s="1"/>
  <c r="X243" i="10"/>
  <c r="G242" i="11" s="1"/>
  <c r="T244" i="10"/>
  <c r="C243" i="11" s="1"/>
  <c r="W245" i="10"/>
  <c r="F244" i="11" s="1"/>
  <c r="W246" i="10"/>
  <c r="F245" i="11" s="1"/>
  <c r="X248" i="10"/>
  <c r="G247" i="11" s="1"/>
  <c r="W253" i="10"/>
  <c r="F252" i="11" s="1"/>
  <c r="V255" i="10"/>
  <c r="E254" i="11" s="1"/>
  <c r="V256" i="10"/>
  <c r="E255" i="11" s="1"/>
  <c r="T258" i="10"/>
  <c r="C257" i="11" s="1"/>
  <c r="T260" i="10"/>
  <c r="C259" i="11" s="1"/>
  <c r="X260" i="10"/>
  <c r="G259" i="11" s="1"/>
  <c r="T262" i="10"/>
  <c r="C261" i="11" s="1"/>
  <c r="X262" i="10"/>
  <c r="G261" i="11" s="1"/>
  <c r="U265" i="10"/>
  <c r="D264" i="11" s="1"/>
  <c r="U266" i="10"/>
  <c r="D265" i="11" s="1"/>
  <c r="U268" i="10"/>
  <c r="D267" i="11" s="1"/>
  <c r="U270" i="10"/>
  <c r="D269" i="11" s="1"/>
  <c r="T271" i="10"/>
  <c r="C270" i="11" s="1"/>
  <c r="T272" i="10"/>
  <c r="C271" i="11" s="1"/>
  <c r="X272" i="10"/>
  <c r="G271" i="11" s="1"/>
  <c r="V274" i="10"/>
  <c r="E273" i="11" s="1"/>
  <c r="W275" i="10"/>
  <c r="F274" i="11" s="1"/>
  <c r="W278" i="10"/>
  <c r="F277" i="11" s="1"/>
  <c r="V284" i="10"/>
  <c r="E283" i="11" s="1"/>
  <c r="V285" i="10"/>
  <c r="E284" i="11" s="1"/>
  <c r="V286" i="10"/>
  <c r="E285" i="11" s="1"/>
  <c r="U286" i="10"/>
  <c r="D285" i="11" s="1"/>
  <c r="T287" i="10"/>
  <c r="C286" i="11" s="1"/>
  <c r="X287" i="10"/>
  <c r="G286" i="11" s="1"/>
  <c r="T288" i="10"/>
  <c r="C287" i="11" s="1"/>
  <c r="X290" i="10"/>
  <c r="G289" i="11" s="1"/>
  <c r="T292" i="10"/>
  <c r="C291" i="11" s="1"/>
  <c r="X292" i="10"/>
  <c r="G291" i="11" s="1"/>
  <c r="X293" i="10"/>
  <c r="G292" i="11" s="1"/>
  <c r="U296" i="10"/>
  <c r="D295" i="11" s="1"/>
  <c r="U297" i="10"/>
  <c r="D296" i="11" s="1"/>
  <c r="U300" i="10"/>
  <c r="D299" i="11" s="1"/>
  <c r="U301" i="10"/>
  <c r="D300" i="11" s="1"/>
  <c r="U302" i="10"/>
  <c r="D301" i="11" s="1"/>
  <c r="X302" i="10"/>
  <c r="G301" i="11" s="1"/>
  <c r="W303" i="10"/>
  <c r="F302" i="11" s="1"/>
  <c r="W304" i="10"/>
  <c r="F303" i="11" s="1"/>
  <c r="V307" i="10"/>
  <c r="E306" i="11" s="1"/>
  <c r="V308" i="10"/>
  <c r="E307" i="11" s="1"/>
  <c r="V309" i="10"/>
  <c r="E308" i="11" s="1"/>
  <c r="T311" i="10"/>
  <c r="C310" i="11" s="1"/>
  <c r="X311" i="10"/>
  <c r="G310" i="11" s="1"/>
  <c r="W313" i="10"/>
  <c r="F312" i="11" s="1"/>
  <c r="V313" i="10"/>
  <c r="E312" i="11" s="1"/>
  <c r="V314" i="10"/>
  <c r="E313" i="11" s="1"/>
  <c r="V315" i="10"/>
  <c r="E314" i="11" s="1"/>
  <c r="V316" i="10"/>
  <c r="E315" i="11" s="1"/>
  <c r="V317" i="10"/>
  <c r="E316" i="11" s="1"/>
  <c r="U319" i="10"/>
  <c r="D318" i="11" s="1"/>
  <c r="U320" i="10"/>
  <c r="D319" i="11" s="1"/>
  <c r="U322" i="10"/>
  <c r="D321" i="11" s="1"/>
  <c r="T322" i="10"/>
  <c r="C321" i="11" s="1"/>
  <c r="U323" i="10"/>
  <c r="D322" i="11" s="1"/>
  <c r="U324" i="10"/>
  <c r="D323" i="11" s="1"/>
  <c r="U325" i="10"/>
  <c r="D324" i="11" s="1"/>
  <c r="X325" i="10"/>
  <c r="G324" i="11" s="1"/>
  <c r="W327" i="10"/>
  <c r="F326" i="11" s="1"/>
  <c r="V328" i="10"/>
  <c r="E327" i="11" s="1"/>
  <c r="V330" i="10"/>
  <c r="E329" i="11" s="1"/>
  <c r="V331" i="10"/>
  <c r="E330" i="11" s="1"/>
  <c r="V332" i="10"/>
  <c r="E331" i="11" s="1"/>
  <c r="V333" i="10"/>
  <c r="E332" i="11" s="1"/>
  <c r="X239" i="10"/>
  <c r="G238" i="11" s="1"/>
  <c r="U245" i="10"/>
  <c r="D244" i="11" s="1"/>
  <c r="U251" i="10"/>
  <c r="D250" i="11" s="1"/>
  <c r="T252" i="10"/>
  <c r="C251" i="11" s="1"/>
  <c r="X252" i="10"/>
  <c r="G251" i="11" s="1"/>
  <c r="T253" i="10"/>
  <c r="C252" i="11" s="1"/>
  <c r="X253" i="10"/>
  <c r="G252" i="11" s="1"/>
  <c r="W255" i="10"/>
  <c r="F254" i="11" s="1"/>
  <c r="T263" i="10"/>
  <c r="C262" i="11" s="1"/>
  <c r="W266" i="10"/>
  <c r="F265" i="11" s="1"/>
  <c r="V269" i="10"/>
  <c r="E268" i="11" s="1"/>
  <c r="U272" i="10"/>
  <c r="D271" i="11" s="1"/>
  <c r="U273" i="10"/>
  <c r="D272" i="11" s="1"/>
  <c r="X274" i="10"/>
  <c r="G273" i="11" s="1"/>
  <c r="T275" i="10"/>
  <c r="C274" i="11" s="1"/>
  <c r="X275" i="10"/>
  <c r="G274" i="11" s="1"/>
  <c r="T276" i="10"/>
  <c r="C275" i="11" s="1"/>
  <c r="T277" i="10"/>
  <c r="C276" i="11" s="1"/>
  <c r="X277" i="10"/>
  <c r="G276" i="11" s="1"/>
  <c r="T278" i="10"/>
  <c r="C277" i="11" s="1"/>
  <c r="W280" i="10"/>
  <c r="F279" i="11" s="1"/>
  <c r="W283" i="10"/>
  <c r="F282" i="11" s="1"/>
  <c r="W284" i="10"/>
  <c r="F283" i="11" s="1"/>
  <c r="U288" i="10"/>
  <c r="D287" i="11" s="1"/>
  <c r="U289" i="10"/>
  <c r="D288" i="11" s="1"/>
  <c r="U290" i="10"/>
  <c r="D289" i="11" s="1"/>
  <c r="U291" i="10"/>
  <c r="D290" i="11" s="1"/>
  <c r="U292" i="10"/>
  <c r="D291" i="11" s="1"/>
  <c r="U293" i="10"/>
  <c r="D292" i="11" s="1"/>
  <c r="U294" i="10"/>
  <c r="D293" i="11" s="1"/>
  <c r="W295" i="10"/>
  <c r="F294" i="11" s="1"/>
  <c r="V298" i="10"/>
  <c r="E297" i="11" s="1"/>
  <c r="T303" i="10"/>
  <c r="C302" i="11" s="1"/>
  <c r="T304" i="10"/>
  <c r="C303" i="11" s="1"/>
  <c r="T305" i="10"/>
  <c r="C304" i="11" s="1"/>
  <c r="X305" i="10"/>
  <c r="G304" i="11" s="1"/>
  <c r="W306" i="10"/>
  <c r="F305" i="11" s="1"/>
  <c r="W307" i="10"/>
  <c r="F306" i="11" s="1"/>
  <c r="W308" i="10"/>
  <c r="F307" i="11" s="1"/>
  <c r="W309" i="10"/>
  <c r="F308" i="11" s="1"/>
  <c r="U311" i="10"/>
  <c r="D310" i="11" s="1"/>
  <c r="U312" i="10"/>
  <c r="D311" i="11" s="1"/>
  <c r="T313" i="10"/>
  <c r="C312" i="11" s="1"/>
  <c r="X313" i="10"/>
  <c r="G312" i="11" s="1"/>
  <c r="W314" i="10"/>
  <c r="F313" i="11" s="1"/>
  <c r="W315" i="10"/>
  <c r="F314" i="11" s="1"/>
  <c r="W316" i="10"/>
  <c r="F315" i="11" s="1"/>
  <c r="W317" i="10"/>
  <c r="F316" i="11" s="1"/>
  <c r="W318" i="10"/>
  <c r="F317" i="11" s="1"/>
  <c r="V319" i="10"/>
  <c r="E318" i="11" s="1"/>
  <c r="V320" i="10"/>
  <c r="E319" i="11" s="1"/>
  <c r="V322" i="10"/>
  <c r="E321" i="11" s="1"/>
  <c r="V323" i="10"/>
  <c r="E322" i="11" s="1"/>
  <c r="V324" i="10"/>
  <c r="E323" i="11" s="1"/>
  <c r="V325" i="10"/>
  <c r="E324" i="11" s="1"/>
  <c r="T327" i="10"/>
  <c r="C326" i="11" s="1"/>
  <c r="U246" i="10"/>
  <c r="D245" i="11" s="1"/>
  <c r="V262" i="10"/>
  <c r="E261" i="11" s="1"/>
  <c r="T266" i="10"/>
  <c r="C265" i="11" s="1"/>
  <c r="U278" i="10"/>
  <c r="D277" i="11" s="1"/>
  <c r="X281" i="10"/>
  <c r="G280" i="11" s="1"/>
  <c r="X318" i="10"/>
  <c r="G317" i="11" s="1"/>
  <c r="W320" i="10"/>
  <c r="F319" i="11" s="1"/>
  <c r="X440" i="10"/>
  <c r="G439" i="11" s="1"/>
  <c r="V446" i="10"/>
  <c r="E445" i="11" s="1"/>
  <c r="U449" i="10"/>
  <c r="D448" i="11" s="1"/>
  <c r="U454" i="10"/>
  <c r="D453" i="11" s="1"/>
  <c r="W328" i="10"/>
  <c r="F327" i="11" s="1"/>
  <c r="V334" i="10"/>
  <c r="E333" i="11" s="1"/>
  <c r="U338" i="10"/>
  <c r="D337" i="11" s="1"/>
  <c r="T338" i="10"/>
  <c r="C337" i="11" s="1"/>
  <c r="U339" i="10"/>
  <c r="D338" i="11" s="1"/>
  <c r="U340" i="10"/>
  <c r="D339" i="11" s="1"/>
  <c r="U341" i="10"/>
  <c r="D340" i="11" s="1"/>
  <c r="T342" i="10"/>
  <c r="C341" i="11" s="1"/>
  <c r="V344" i="10"/>
  <c r="E343" i="11" s="1"/>
  <c r="W350" i="10"/>
  <c r="F349" i="11" s="1"/>
  <c r="V351" i="10"/>
  <c r="E350" i="11" s="1"/>
  <c r="V352" i="10"/>
  <c r="E351" i="11" s="1"/>
  <c r="U353" i="10"/>
  <c r="D352" i="11" s="1"/>
  <c r="V354" i="10"/>
  <c r="E353" i="11" s="1"/>
  <c r="V355" i="10"/>
  <c r="E354" i="11" s="1"/>
  <c r="V356" i="10"/>
  <c r="E355" i="11" s="1"/>
  <c r="V357" i="10"/>
  <c r="E356" i="11" s="1"/>
  <c r="T359" i="10"/>
  <c r="C358" i="11" s="1"/>
  <c r="W361" i="10"/>
  <c r="F360" i="11" s="1"/>
  <c r="V361" i="10"/>
  <c r="E360" i="11" s="1"/>
  <c r="V362" i="10"/>
  <c r="E361" i="11" s="1"/>
  <c r="V363" i="10"/>
  <c r="E362" i="11" s="1"/>
  <c r="V364" i="10"/>
  <c r="E363" i="11" s="1"/>
  <c r="V365" i="10"/>
  <c r="E364" i="11" s="1"/>
  <c r="U367" i="10"/>
  <c r="D366" i="11" s="1"/>
  <c r="U368" i="10"/>
  <c r="D367" i="11" s="1"/>
  <c r="X368" i="10"/>
  <c r="G367" i="11" s="1"/>
  <c r="T369" i="10"/>
  <c r="C368" i="11" s="1"/>
  <c r="X369" i="10"/>
  <c r="G368" i="11" s="1"/>
  <c r="W370" i="10"/>
  <c r="F369" i="11" s="1"/>
  <c r="W371" i="10"/>
  <c r="F370" i="11" s="1"/>
  <c r="W372" i="10"/>
  <c r="F371" i="11" s="1"/>
  <c r="W373" i="10"/>
  <c r="F372" i="11" s="1"/>
  <c r="W374" i="10"/>
  <c r="F373" i="11" s="1"/>
  <c r="U375" i="10"/>
  <c r="D374" i="11" s="1"/>
  <c r="U376" i="10"/>
  <c r="D375" i="11" s="1"/>
  <c r="X376" i="10"/>
  <c r="G375" i="11" s="1"/>
  <c r="T377" i="10"/>
  <c r="C376" i="11" s="1"/>
  <c r="X377" i="10"/>
  <c r="G376" i="11" s="1"/>
  <c r="W378" i="10"/>
  <c r="F377" i="11" s="1"/>
  <c r="W379" i="10"/>
  <c r="F378" i="11" s="1"/>
  <c r="W380" i="10"/>
  <c r="F379" i="11" s="1"/>
  <c r="W381" i="10"/>
  <c r="F380" i="11" s="1"/>
  <c r="W382" i="10"/>
  <c r="F381" i="11" s="1"/>
  <c r="V383" i="10"/>
  <c r="E382" i="11" s="1"/>
  <c r="V384" i="10"/>
  <c r="E383" i="11" s="1"/>
  <c r="X390" i="10"/>
  <c r="G389" i="11" s="1"/>
  <c r="V392" i="10"/>
  <c r="E391" i="11" s="1"/>
  <c r="X398" i="10"/>
  <c r="G397" i="11" s="1"/>
  <c r="V400" i="10"/>
  <c r="E399" i="11" s="1"/>
  <c r="X406" i="10"/>
  <c r="G405" i="11" s="1"/>
  <c r="V408" i="10"/>
  <c r="E407" i="11" s="1"/>
  <c r="X414" i="10"/>
  <c r="G413" i="11" s="1"/>
  <c r="V416" i="10"/>
  <c r="E415" i="11" s="1"/>
  <c r="X422" i="10"/>
  <c r="G421" i="11" s="1"/>
  <c r="V424" i="10"/>
  <c r="E423" i="11" s="1"/>
  <c r="X430" i="10"/>
  <c r="G429" i="11" s="1"/>
  <c r="V432" i="10"/>
  <c r="E431" i="11" s="1"/>
  <c r="X438" i="10"/>
  <c r="G437" i="11" s="1"/>
  <c r="V440" i="10"/>
  <c r="E439" i="11" s="1"/>
  <c r="T446" i="10"/>
  <c r="C445" i="11" s="1"/>
  <c r="X446" i="10"/>
  <c r="G445" i="11" s="1"/>
  <c r="W449" i="10"/>
  <c r="F448" i="11" s="1"/>
  <c r="W450" i="10"/>
  <c r="F449" i="11" s="1"/>
  <c r="W451" i="10"/>
  <c r="F450" i="11" s="1"/>
  <c r="U455" i="10"/>
  <c r="D454" i="11" s="1"/>
  <c r="U456" i="10"/>
  <c r="D455" i="11" s="1"/>
  <c r="U457" i="10"/>
  <c r="D456" i="11" s="1"/>
  <c r="U458" i="10"/>
  <c r="D457" i="11" s="1"/>
  <c r="U459" i="10"/>
  <c r="D458" i="11" s="1"/>
  <c r="U460" i="10"/>
  <c r="D459" i="11" s="1"/>
  <c r="V327" i="10"/>
  <c r="E326" i="11" s="1"/>
  <c r="U328" i="10"/>
  <c r="D327" i="11" s="1"/>
  <c r="U330" i="10"/>
  <c r="D329" i="11" s="1"/>
  <c r="T330" i="10"/>
  <c r="C329" i="11" s="1"/>
  <c r="U331" i="10"/>
  <c r="D330" i="11" s="1"/>
  <c r="U332" i="10"/>
  <c r="D331" i="11" s="1"/>
  <c r="U333" i="10"/>
  <c r="D332" i="11" s="1"/>
  <c r="T334" i="10"/>
  <c r="C333" i="11" s="1"/>
  <c r="X334" i="10"/>
  <c r="G333" i="11" s="1"/>
  <c r="W343" i="10"/>
  <c r="F342" i="11" s="1"/>
  <c r="W362" i="10"/>
  <c r="F361" i="11" s="1"/>
  <c r="W363" i="10"/>
  <c r="F362" i="11" s="1"/>
  <c r="W364" i="10"/>
  <c r="F363" i="11" s="1"/>
  <c r="W365" i="10"/>
  <c r="F364" i="11" s="1"/>
  <c r="W366" i="10"/>
  <c r="F365" i="11" s="1"/>
  <c r="V367" i="10"/>
  <c r="E366" i="11" s="1"/>
  <c r="V368" i="10"/>
  <c r="E367" i="11" s="1"/>
  <c r="T374" i="10"/>
  <c r="C373" i="11" s="1"/>
  <c r="X374" i="10"/>
  <c r="G373" i="11" s="1"/>
  <c r="V375" i="10"/>
  <c r="E374" i="11" s="1"/>
  <c r="V376" i="10"/>
  <c r="E375" i="11" s="1"/>
  <c r="U390" i="10"/>
  <c r="D389" i="11" s="1"/>
  <c r="T391" i="10"/>
  <c r="C390" i="11" s="1"/>
  <c r="U398" i="10"/>
  <c r="D397" i="11" s="1"/>
  <c r="T399" i="10"/>
  <c r="C398" i="11" s="1"/>
  <c r="U406" i="10"/>
  <c r="D405" i="11" s="1"/>
  <c r="T407" i="10"/>
  <c r="C406" i="11" s="1"/>
  <c r="U414" i="10"/>
  <c r="D413" i="11" s="1"/>
  <c r="T415" i="10"/>
  <c r="C414" i="11" s="1"/>
  <c r="U422" i="10"/>
  <c r="D421" i="11" s="1"/>
  <c r="T423" i="10"/>
  <c r="C422" i="11" s="1"/>
  <c r="U430" i="10"/>
  <c r="D429" i="11" s="1"/>
  <c r="T431" i="10"/>
  <c r="C430" i="11" s="1"/>
  <c r="U438" i="10"/>
  <c r="D437" i="11" s="1"/>
  <c r="T439" i="10"/>
  <c r="C438" i="11" s="1"/>
  <c r="U442" i="10"/>
  <c r="D441" i="11" s="1"/>
  <c r="T447" i="10"/>
  <c r="C446" i="11" s="1"/>
  <c r="X447" i="10"/>
  <c r="G446" i="11" s="1"/>
  <c r="T448" i="10"/>
  <c r="C447" i="11" s="1"/>
  <c r="T449" i="10"/>
  <c r="C448" i="11" s="1"/>
  <c r="X449" i="10"/>
  <c r="G448" i="11" s="1"/>
  <c r="X451" i="10"/>
  <c r="G450" i="11" s="1"/>
  <c r="T452" i="10"/>
  <c r="C451" i="11" s="1"/>
  <c r="X452" i="10"/>
  <c r="G451" i="11" s="1"/>
  <c r="T453" i="10"/>
  <c r="C452" i="11" s="1"/>
  <c r="X453" i="10"/>
  <c r="G452" i="11" s="1"/>
  <c r="T454" i="10"/>
  <c r="C453" i="11" s="1"/>
  <c r="V455" i="10"/>
  <c r="E454" i="11" s="1"/>
  <c r="V459" i="10"/>
  <c r="E458" i="11" s="1"/>
  <c r="V461" i="10"/>
  <c r="E460" i="11" s="1"/>
  <c r="T336" i="10"/>
  <c r="C335" i="11" s="1"/>
  <c r="T337" i="10"/>
  <c r="C336" i="11" s="1"/>
  <c r="X337" i="10"/>
  <c r="G336" i="11" s="1"/>
  <c r="W338" i="10"/>
  <c r="F337" i="11" s="1"/>
  <c r="W339" i="10"/>
  <c r="F338" i="11" s="1"/>
  <c r="W340" i="10"/>
  <c r="F339" i="11" s="1"/>
  <c r="W341" i="10"/>
  <c r="F340" i="11" s="1"/>
  <c r="T343" i="10"/>
  <c r="C342" i="11" s="1"/>
  <c r="X343" i="10"/>
  <c r="G342" i="11" s="1"/>
  <c r="T344" i="10"/>
  <c r="C343" i="11" s="1"/>
  <c r="W345" i="10"/>
  <c r="F344" i="11" s="1"/>
  <c r="V346" i="10"/>
  <c r="E345" i="11" s="1"/>
  <c r="V347" i="10"/>
  <c r="E346" i="11" s="1"/>
  <c r="V348" i="10"/>
  <c r="E347" i="11" s="1"/>
  <c r="V349" i="10"/>
  <c r="E348" i="11" s="1"/>
  <c r="U350" i="10"/>
  <c r="D349" i="11" s="1"/>
  <c r="X350" i="10"/>
  <c r="G349" i="11" s="1"/>
  <c r="T351" i="10"/>
  <c r="C350" i="11" s="1"/>
  <c r="X351" i="10"/>
  <c r="G350" i="11" s="1"/>
  <c r="T352" i="10"/>
  <c r="C351" i="11" s="1"/>
  <c r="W352" i="10"/>
  <c r="F351" i="11" s="1"/>
  <c r="T353" i="10"/>
  <c r="C352" i="11" s="1"/>
  <c r="X353" i="10"/>
  <c r="G352" i="11" s="1"/>
  <c r="T358" i="10"/>
  <c r="C357" i="11" s="1"/>
  <c r="X358" i="10"/>
  <c r="G357" i="11" s="1"/>
  <c r="V359" i="10"/>
  <c r="E358" i="11" s="1"/>
  <c r="U360" i="10"/>
  <c r="D359" i="11" s="1"/>
  <c r="U382" i="10"/>
  <c r="D381" i="11" s="1"/>
  <c r="T383" i="10"/>
  <c r="C382" i="11" s="1"/>
  <c r="X383" i="10"/>
  <c r="G382" i="11" s="1"/>
  <c r="T392" i="10"/>
  <c r="C391" i="11" s="1"/>
  <c r="T400" i="10"/>
  <c r="C399" i="11" s="1"/>
  <c r="T408" i="10"/>
  <c r="C407" i="11" s="1"/>
  <c r="T416" i="10"/>
  <c r="C415" i="11" s="1"/>
  <c r="T424" i="10"/>
  <c r="C423" i="11" s="1"/>
  <c r="T432" i="10"/>
  <c r="C431" i="11" s="1"/>
  <c r="U12" i="10"/>
  <c r="D11" i="11" s="1"/>
  <c r="X14" i="10"/>
  <c r="G13" i="11" s="1"/>
  <c r="V15" i="10"/>
  <c r="E14" i="11" s="1"/>
  <c r="U16" i="10"/>
  <c r="D15" i="11" s="1"/>
  <c r="T16" i="10"/>
  <c r="C15" i="11" s="1"/>
  <c r="T17" i="10"/>
  <c r="C16" i="11" s="1"/>
  <c r="X17" i="10"/>
  <c r="G16" i="11" s="1"/>
  <c r="V18" i="10"/>
  <c r="E17" i="11" s="1"/>
  <c r="X19" i="10"/>
  <c r="G18" i="11" s="1"/>
  <c r="V20" i="10"/>
  <c r="E19" i="11" s="1"/>
  <c r="T21" i="10"/>
  <c r="C20" i="11" s="1"/>
  <c r="U22" i="10"/>
  <c r="D21" i="11" s="1"/>
  <c r="T23" i="10"/>
  <c r="C22" i="11" s="1"/>
  <c r="W26" i="10"/>
  <c r="F25" i="11" s="1"/>
  <c r="U27" i="10"/>
  <c r="D26" i="11" s="1"/>
  <c r="X27" i="10"/>
  <c r="G26" i="11" s="1"/>
  <c r="V29" i="10"/>
  <c r="E28" i="11" s="1"/>
  <c r="U29" i="10"/>
  <c r="D28" i="11" s="1"/>
  <c r="U31" i="10"/>
  <c r="D30" i="11" s="1"/>
  <c r="V35" i="10"/>
  <c r="E34" i="11" s="1"/>
  <c r="W37" i="10"/>
  <c r="F36" i="11" s="1"/>
  <c r="V38" i="10"/>
  <c r="E37" i="11" s="1"/>
  <c r="V39" i="10"/>
  <c r="E38" i="11" s="1"/>
  <c r="W41" i="10"/>
  <c r="F40" i="11" s="1"/>
  <c r="V42" i="10"/>
  <c r="E41" i="11" s="1"/>
  <c r="U43" i="10"/>
  <c r="D42" i="11" s="1"/>
  <c r="X44" i="10"/>
  <c r="G43" i="11" s="1"/>
  <c r="W44" i="10"/>
  <c r="F43" i="11" s="1"/>
  <c r="W45" i="10"/>
  <c r="F44" i="11" s="1"/>
  <c r="U47" i="10"/>
  <c r="D46" i="11" s="1"/>
  <c r="T50" i="10"/>
  <c r="C49" i="11" s="1"/>
  <c r="X50" i="10"/>
  <c r="G49" i="11" s="1"/>
  <c r="T51" i="10"/>
  <c r="C50" i="11" s="1"/>
  <c r="W51" i="10"/>
  <c r="F50" i="11" s="1"/>
  <c r="W53" i="10"/>
  <c r="F52" i="11" s="1"/>
  <c r="U54" i="10"/>
  <c r="D53" i="11" s="1"/>
  <c r="W56" i="10"/>
  <c r="F55" i="11" s="1"/>
  <c r="X57" i="10"/>
  <c r="G56" i="11" s="1"/>
  <c r="V58" i="10"/>
  <c r="E57" i="11" s="1"/>
  <c r="U59" i="10"/>
  <c r="D58" i="11" s="1"/>
  <c r="T61" i="10"/>
  <c r="C60" i="11" s="1"/>
  <c r="U63" i="10"/>
  <c r="D62" i="11" s="1"/>
  <c r="U65" i="10"/>
  <c r="D64" i="11" s="1"/>
  <c r="W69" i="10"/>
  <c r="F68" i="11" s="1"/>
  <c r="U71" i="10"/>
  <c r="D70" i="11" s="1"/>
  <c r="U73" i="10"/>
  <c r="D72" i="11" s="1"/>
  <c r="X74" i="10"/>
  <c r="G73" i="11" s="1"/>
  <c r="W77" i="10"/>
  <c r="F76" i="11" s="1"/>
  <c r="U78" i="10"/>
  <c r="D77" i="11" s="1"/>
  <c r="U79" i="10"/>
  <c r="D78" i="11" s="1"/>
  <c r="U81" i="10"/>
  <c r="D80" i="11" s="1"/>
  <c r="X82" i="10"/>
  <c r="G81" i="11" s="1"/>
  <c r="W85" i="10"/>
  <c r="F84" i="11" s="1"/>
  <c r="T87" i="10"/>
  <c r="C86" i="11" s="1"/>
  <c r="W90" i="10"/>
  <c r="F89" i="11" s="1"/>
  <c r="V91" i="10"/>
  <c r="E90" i="11" s="1"/>
  <c r="V92" i="10"/>
  <c r="E91" i="11" s="1"/>
  <c r="U92" i="10"/>
  <c r="D91" i="11" s="1"/>
  <c r="V93" i="10"/>
  <c r="E92" i="11" s="1"/>
  <c r="U93" i="10"/>
  <c r="D92" i="11" s="1"/>
  <c r="V94" i="10"/>
  <c r="E93" i="11" s="1"/>
  <c r="X98" i="10"/>
  <c r="G97" i="11" s="1"/>
  <c r="W101" i="10"/>
  <c r="F100" i="11" s="1"/>
  <c r="V102" i="10"/>
  <c r="E101" i="11" s="1"/>
  <c r="U103" i="10"/>
  <c r="D102" i="11" s="1"/>
  <c r="X113" i="10"/>
  <c r="G112" i="11" s="1"/>
  <c r="V114" i="10"/>
  <c r="E113" i="11" s="1"/>
  <c r="U117" i="10"/>
  <c r="D116" i="11" s="1"/>
  <c r="X122" i="10"/>
  <c r="G121" i="11" s="1"/>
  <c r="W123" i="10"/>
  <c r="F122" i="11" s="1"/>
  <c r="W125" i="10"/>
  <c r="F124" i="11" s="1"/>
  <c r="V126" i="10"/>
  <c r="E125" i="11" s="1"/>
  <c r="T129" i="10"/>
  <c r="C128" i="11" s="1"/>
  <c r="V142" i="10"/>
  <c r="E141" i="11" s="1"/>
  <c r="T145" i="10"/>
  <c r="C144" i="11" s="1"/>
  <c r="T224" i="10"/>
  <c r="C223" i="11" s="1"/>
  <c r="X224" i="10"/>
  <c r="G223" i="11" s="1"/>
  <c r="T247" i="10"/>
  <c r="C246" i="11" s="1"/>
  <c r="W12" i="10"/>
  <c r="F11" i="11" s="1"/>
  <c r="V12" i="10"/>
  <c r="E11" i="11" s="1"/>
  <c r="W14" i="10"/>
  <c r="F13" i="11" s="1"/>
  <c r="X15" i="10"/>
  <c r="G14" i="11" s="1"/>
  <c r="W15" i="10"/>
  <c r="F14" i="11" s="1"/>
  <c r="V16" i="10"/>
  <c r="E15" i="11" s="1"/>
  <c r="V17" i="10"/>
  <c r="E16" i="11" s="1"/>
  <c r="T18" i="10"/>
  <c r="C17" i="11" s="1"/>
  <c r="V19" i="10"/>
  <c r="E18" i="11" s="1"/>
  <c r="T20" i="10"/>
  <c r="C19" i="11" s="1"/>
  <c r="X20" i="10"/>
  <c r="G19" i="11" s="1"/>
  <c r="V21" i="10"/>
  <c r="E20" i="11" s="1"/>
  <c r="W22" i="10"/>
  <c r="F21" i="11" s="1"/>
  <c r="V24" i="10"/>
  <c r="E23" i="11" s="1"/>
  <c r="U24" i="10"/>
  <c r="D23" i="11" s="1"/>
  <c r="U26" i="10"/>
  <c r="D25" i="11" s="1"/>
  <c r="T29" i="10"/>
  <c r="C28" i="11" s="1"/>
  <c r="X29" i="10"/>
  <c r="G28" i="11" s="1"/>
  <c r="T30" i="10"/>
  <c r="C29" i="11" s="1"/>
  <c r="X30" i="10"/>
  <c r="G29" i="11" s="1"/>
  <c r="T35" i="10"/>
  <c r="C34" i="11" s="1"/>
  <c r="T38" i="10"/>
  <c r="C37" i="11" s="1"/>
  <c r="X38" i="10"/>
  <c r="G37" i="11" s="1"/>
  <c r="T39" i="10"/>
  <c r="C38" i="11" s="1"/>
  <c r="W39" i="10"/>
  <c r="F38" i="11" s="1"/>
  <c r="V40" i="10"/>
  <c r="E39" i="11" s="1"/>
  <c r="T41" i="10"/>
  <c r="C40" i="11" s="1"/>
  <c r="T42" i="10"/>
  <c r="C41" i="11" s="1"/>
  <c r="V44" i="10"/>
  <c r="E43" i="11" s="1"/>
  <c r="U44" i="10"/>
  <c r="D43" i="11" s="1"/>
  <c r="T46" i="10"/>
  <c r="C45" i="11" s="1"/>
  <c r="X46" i="10"/>
  <c r="G45" i="11" s="1"/>
  <c r="W49" i="10"/>
  <c r="F48" i="11" s="1"/>
  <c r="V50" i="10"/>
  <c r="E49" i="11" s="1"/>
  <c r="V51" i="10"/>
  <c r="E50" i="11" s="1"/>
  <c r="W54" i="10"/>
  <c r="F53" i="11" s="1"/>
  <c r="U55" i="10"/>
  <c r="D54" i="11" s="1"/>
  <c r="U57" i="10"/>
  <c r="D56" i="11" s="1"/>
  <c r="U61" i="10"/>
  <c r="D60" i="11" s="1"/>
  <c r="T62" i="10"/>
  <c r="C61" i="11" s="1"/>
  <c r="X62" i="10"/>
  <c r="G61" i="11" s="1"/>
  <c r="W64" i="10"/>
  <c r="F63" i="11" s="1"/>
  <c r="X65" i="10"/>
  <c r="G64" i="11" s="1"/>
  <c r="V66" i="10"/>
  <c r="E65" i="11" s="1"/>
  <c r="U67" i="10"/>
  <c r="D66" i="11" s="1"/>
  <c r="T70" i="10"/>
  <c r="C69" i="11" s="1"/>
  <c r="X70" i="10"/>
  <c r="G69" i="11" s="1"/>
  <c r="W72" i="10"/>
  <c r="F71" i="11" s="1"/>
  <c r="X73" i="10"/>
  <c r="G72" i="11" s="1"/>
  <c r="V74" i="10"/>
  <c r="E73" i="11" s="1"/>
  <c r="W78" i="10"/>
  <c r="F77" i="11" s="1"/>
  <c r="X81" i="10"/>
  <c r="G80" i="11" s="1"/>
  <c r="V82" i="10"/>
  <c r="E81" i="11" s="1"/>
  <c r="T86" i="10"/>
  <c r="C85" i="11" s="1"/>
  <c r="T91" i="10"/>
  <c r="C90" i="11" s="1"/>
  <c r="X91" i="10"/>
  <c r="G90" i="11" s="1"/>
  <c r="W91" i="10"/>
  <c r="F90" i="11" s="1"/>
  <c r="T92" i="10"/>
  <c r="C91" i="11" s="1"/>
  <c r="X92" i="10"/>
  <c r="G91" i="11" s="1"/>
  <c r="W92" i="10"/>
  <c r="F91" i="11" s="1"/>
  <c r="T93" i="10"/>
  <c r="C92" i="11" s="1"/>
  <c r="X93" i="10"/>
  <c r="G92" i="11" s="1"/>
  <c r="T94" i="10"/>
  <c r="C93" i="11" s="1"/>
  <c r="X94" i="10"/>
  <c r="G93" i="11" s="1"/>
  <c r="T95" i="10"/>
  <c r="C94" i="11" s="1"/>
  <c r="U96" i="10"/>
  <c r="D95" i="11" s="1"/>
  <c r="W97" i="10"/>
  <c r="F96" i="11" s="1"/>
  <c r="T110" i="10"/>
  <c r="C109" i="11" s="1"/>
  <c r="X110" i="10"/>
  <c r="G109" i="11" s="1"/>
  <c r="W111" i="10"/>
  <c r="F110" i="11" s="1"/>
  <c r="T114" i="10"/>
  <c r="C113" i="11" s="1"/>
  <c r="T115" i="10"/>
  <c r="C114" i="11" s="1"/>
  <c r="X115" i="10"/>
  <c r="G114" i="11" s="1"/>
  <c r="T116" i="10"/>
  <c r="C115" i="11" s="1"/>
  <c r="X116" i="10"/>
  <c r="G115" i="11" s="1"/>
  <c r="T117" i="10"/>
  <c r="C116" i="11" s="1"/>
  <c r="X117" i="10"/>
  <c r="G116" i="11" s="1"/>
  <c r="T118" i="10"/>
  <c r="C117" i="11" s="1"/>
  <c r="V119" i="10"/>
  <c r="E118" i="11" s="1"/>
  <c r="V121" i="10"/>
  <c r="E120" i="11" s="1"/>
  <c r="T127" i="10"/>
  <c r="C126" i="11" s="1"/>
  <c r="X127" i="10"/>
  <c r="G126" i="11" s="1"/>
  <c r="V136" i="10"/>
  <c r="E135" i="11" s="1"/>
  <c r="T143" i="10"/>
  <c r="C142" i="11" s="1"/>
  <c r="X143" i="10"/>
  <c r="G142" i="11" s="1"/>
  <c r="V152" i="10"/>
  <c r="E151" i="11" s="1"/>
  <c r="X157" i="10"/>
  <c r="G156" i="11" s="1"/>
  <c r="V160" i="10"/>
  <c r="E159" i="11" s="1"/>
  <c r="X165" i="10"/>
  <c r="G164" i="11" s="1"/>
  <c r="V168" i="10"/>
  <c r="E167" i="11" s="1"/>
  <c r="X173" i="10"/>
  <c r="G172" i="11" s="1"/>
  <c r="V176" i="10"/>
  <c r="E175" i="11" s="1"/>
  <c r="X181" i="10"/>
  <c r="G180" i="11" s="1"/>
  <c r="V184" i="10"/>
  <c r="E183" i="11" s="1"/>
  <c r="X189" i="10"/>
  <c r="G188" i="11" s="1"/>
  <c r="V192" i="10"/>
  <c r="E191" i="11" s="1"/>
  <c r="X197" i="10"/>
  <c r="G196" i="11" s="1"/>
  <c r="V200" i="10"/>
  <c r="E199" i="11" s="1"/>
  <c r="X205" i="10"/>
  <c r="G204" i="11" s="1"/>
  <c r="V208" i="10"/>
  <c r="E207" i="11" s="1"/>
  <c r="T96" i="10"/>
  <c r="C95" i="11" s="1"/>
  <c r="W96" i="10"/>
  <c r="F95" i="11" s="1"/>
  <c r="V99" i="10"/>
  <c r="E98" i="11" s="1"/>
  <c r="V100" i="10"/>
  <c r="E99" i="11" s="1"/>
  <c r="U100" i="10"/>
  <c r="D99" i="11" s="1"/>
  <c r="V101" i="10"/>
  <c r="E100" i="11" s="1"/>
  <c r="U101" i="10"/>
  <c r="D100" i="11" s="1"/>
  <c r="U102" i="10"/>
  <c r="D101" i="11" s="1"/>
  <c r="U105" i="10"/>
  <c r="D104" i="11" s="1"/>
  <c r="X106" i="10"/>
  <c r="G105" i="11" s="1"/>
  <c r="W109" i="10"/>
  <c r="F108" i="11" s="1"/>
  <c r="U111" i="10"/>
  <c r="D110" i="11" s="1"/>
  <c r="U113" i="10"/>
  <c r="D112" i="11" s="1"/>
  <c r="X114" i="10"/>
  <c r="G113" i="11" s="1"/>
  <c r="W117" i="10"/>
  <c r="F116" i="11" s="1"/>
  <c r="W120" i="10"/>
  <c r="F119" i="11" s="1"/>
  <c r="X121" i="10"/>
  <c r="G120" i="11" s="1"/>
  <c r="V122" i="10"/>
  <c r="E121" i="11" s="1"/>
  <c r="U124" i="10"/>
  <c r="D123" i="11" s="1"/>
  <c r="T126" i="10"/>
  <c r="C125" i="11" s="1"/>
  <c r="U129" i="10"/>
  <c r="D128" i="11" s="1"/>
  <c r="X130" i="10"/>
  <c r="G129" i="11" s="1"/>
  <c r="W131" i="10"/>
  <c r="F130" i="11" s="1"/>
  <c r="W133" i="10"/>
  <c r="F132" i="11" s="1"/>
  <c r="W136" i="10"/>
  <c r="F135" i="11" s="1"/>
  <c r="X137" i="10"/>
  <c r="G136" i="11" s="1"/>
  <c r="V138" i="10"/>
  <c r="E137" i="11" s="1"/>
  <c r="U139" i="10"/>
  <c r="D138" i="11" s="1"/>
  <c r="U140" i="10"/>
  <c r="D139" i="11" s="1"/>
  <c r="T142" i="10"/>
  <c r="C141" i="11" s="1"/>
  <c r="U145" i="10"/>
  <c r="D144" i="11" s="1"/>
  <c r="X146" i="10"/>
  <c r="G145" i="11" s="1"/>
  <c r="W147" i="10"/>
  <c r="F146" i="11" s="1"/>
  <c r="W149" i="10"/>
  <c r="F148" i="11" s="1"/>
  <c r="W152" i="10"/>
  <c r="F151" i="11" s="1"/>
  <c r="W154" i="10"/>
  <c r="F153" i="11" s="1"/>
  <c r="V155" i="10"/>
  <c r="E154" i="11" s="1"/>
  <c r="V156" i="10"/>
  <c r="E155" i="11" s="1"/>
  <c r="V157" i="10"/>
  <c r="E156" i="11" s="1"/>
  <c r="U157" i="10"/>
  <c r="D156" i="11" s="1"/>
  <c r="U158" i="10"/>
  <c r="D157" i="11" s="1"/>
  <c r="W160" i="10"/>
  <c r="F159" i="11" s="1"/>
  <c r="W162" i="10"/>
  <c r="F161" i="11" s="1"/>
  <c r="V163" i="10"/>
  <c r="E162" i="11" s="1"/>
  <c r="V164" i="10"/>
  <c r="E163" i="11" s="1"/>
  <c r="V165" i="10"/>
  <c r="E164" i="11" s="1"/>
  <c r="U165" i="10"/>
  <c r="D164" i="11" s="1"/>
  <c r="U166" i="10"/>
  <c r="D165" i="11" s="1"/>
  <c r="W168" i="10"/>
  <c r="F167" i="11" s="1"/>
  <c r="W170" i="10"/>
  <c r="F169" i="11" s="1"/>
  <c r="V171" i="10"/>
  <c r="E170" i="11" s="1"/>
  <c r="V172" i="10"/>
  <c r="E171" i="11" s="1"/>
  <c r="V173" i="10"/>
  <c r="E172" i="11" s="1"/>
  <c r="U173" i="10"/>
  <c r="D172" i="11" s="1"/>
  <c r="U174" i="10"/>
  <c r="D173" i="11" s="1"/>
  <c r="W176" i="10"/>
  <c r="F175" i="11" s="1"/>
  <c r="W178" i="10"/>
  <c r="F177" i="11" s="1"/>
  <c r="V179" i="10"/>
  <c r="E178" i="11" s="1"/>
  <c r="V180" i="10"/>
  <c r="E179" i="11" s="1"/>
  <c r="V181" i="10"/>
  <c r="E180" i="11" s="1"/>
  <c r="U181" i="10"/>
  <c r="D180" i="11" s="1"/>
  <c r="U182" i="10"/>
  <c r="D181" i="11" s="1"/>
  <c r="W184" i="10"/>
  <c r="F183" i="11" s="1"/>
  <c r="W186" i="10"/>
  <c r="F185" i="11" s="1"/>
  <c r="V187" i="10"/>
  <c r="E186" i="11" s="1"/>
  <c r="V188" i="10"/>
  <c r="E187" i="11" s="1"/>
  <c r="V189" i="10"/>
  <c r="E188" i="11" s="1"/>
  <c r="U189" i="10"/>
  <c r="D188" i="11" s="1"/>
  <c r="U190" i="10"/>
  <c r="D189" i="11" s="1"/>
  <c r="W192" i="10"/>
  <c r="F191" i="11" s="1"/>
  <c r="W194" i="10"/>
  <c r="F193" i="11" s="1"/>
  <c r="V195" i="10"/>
  <c r="E194" i="11" s="1"/>
  <c r="V196" i="10"/>
  <c r="E195" i="11" s="1"/>
  <c r="V197" i="10"/>
  <c r="E196" i="11" s="1"/>
  <c r="U197" i="10"/>
  <c r="D196" i="11" s="1"/>
  <c r="U198" i="10"/>
  <c r="D197" i="11" s="1"/>
  <c r="W200" i="10"/>
  <c r="F199" i="11" s="1"/>
  <c r="W202" i="10"/>
  <c r="F201" i="11" s="1"/>
  <c r="V203" i="10"/>
  <c r="E202" i="11" s="1"/>
  <c r="V204" i="10"/>
  <c r="E203" i="11" s="1"/>
  <c r="V205" i="10"/>
  <c r="E204" i="11" s="1"/>
  <c r="U205" i="10"/>
  <c r="D204" i="11" s="1"/>
  <c r="U206" i="10"/>
  <c r="D205" i="11" s="1"/>
  <c r="W208" i="10"/>
  <c r="F207" i="11" s="1"/>
  <c r="X210" i="10"/>
  <c r="G209" i="11" s="1"/>
  <c r="W211" i="10"/>
  <c r="F210" i="11" s="1"/>
  <c r="W213" i="10"/>
  <c r="F212" i="11" s="1"/>
  <c r="V214" i="10"/>
  <c r="E213" i="11" s="1"/>
  <c r="T217" i="10"/>
  <c r="C216" i="11" s="1"/>
  <c r="V219" i="10"/>
  <c r="E218" i="11" s="1"/>
  <c r="V220" i="10"/>
  <c r="E219" i="11" s="1"/>
  <c r="V221" i="10"/>
  <c r="E220" i="11" s="1"/>
  <c r="U222" i="10"/>
  <c r="D221" i="11" s="1"/>
  <c r="X223" i="10"/>
  <c r="G222" i="11" s="1"/>
  <c r="W223" i="10"/>
  <c r="F222" i="11" s="1"/>
  <c r="U224" i="10"/>
  <c r="D223" i="11" s="1"/>
  <c r="U233" i="10"/>
  <c r="D232" i="11" s="1"/>
  <c r="W244" i="10"/>
  <c r="F243" i="11" s="1"/>
  <c r="U250" i="10"/>
  <c r="D249" i="11" s="1"/>
  <c r="X254" i="10"/>
  <c r="G253" i="11" s="1"/>
  <c r="W259" i="10"/>
  <c r="F258" i="11" s="1"/>
  <c r="V260" i="10"/>
  <c r="E259" i="11" s="1"/>
  <c r="X263" i="10"/>
  <c r="G262" i="11" s="1"/>
  <c r="T281" i="10"/>
  <c r="C280" i="11" s="1"/>
  <c r="W282" i="10"/>
  <c r="F281" i="11" s="1"/>
  <c r="V283" i="10"/>
  <c r="E282" i="11" s="1"/>
  <c r="W118" i="10"/>
  <c r="F117" i="11" s="1"/>
  <c r="U119" i="10"/>
  <c r="D118" i="11" s="1"/>
  <c r="V123" i="10"/>
  <c r="E122" i="11" s="1"/>
  <c r="V124" i="10"/>
  <c r="E123" i="11" s="1"/>
  <c r="V125" i="10"/>
  <c r="E124" i="11" s="1"/>
  <c r="U126" i="10"/>
  <c r="D125" i="11" s="1"/>
  <c r="W129" i="10"/>
  <c r="F128" i="11" s="1"/>
  <c r="U130" i="10"/>
  <c r="D129" i="11" s="1"/>
  <c r="T131" i="10"/>
  <c r="C130" i="11" s="1"/>
  <c r="X131" i="10"/>
  <c r="G130" i="11" s="1"/>
  <c r="T132" i="10"/>
  <c r="C131" i="11" s="1"/>
  <c r="X132" i="10"/>
  <c r="G131" i="11" s="1"/>
  <c r="T133" i="10"/>
  <c r="C132" i="11" s="1"/>
  <c r="W134" i="10"/>
  <c r="F133" i="11" s="1"/>
  <c r="U135" i="10"/>
  <c r="D134" i="11" s="1"/>
  <c r="V139" i="10"/>
  <c r="E138" i="11" s="1"/>
  <c r="V140" i="10"/>
  <c r="E139" i="11" s="1"/>
  <c r="V141" i="10"/>
  <c r="E140" i="11" s="1"/>
  <c r="U142" i="10"/>
  <c r="D141" i="11" s="1"/>
  <c r="W145" i="10"/>
  <c r="F144" i="11" s="1"/>
  <c r="U146" i="10"/>
  <c r="D145" i="11" s="1"/>
  <c r="T147" i="10"/>
  <c r="C146" i="11" s="1"/>
  <c r="X147" i="10"/>
  <c r="G146" i="11" s="1"/>
  <c r="T148" i="10"/>
  <c r="C147" i="11" s="1"/>
  <c r="X148" i="10"/>
  <c r="G147" i="11" s="1"/>
  <c r="T149" i="10"/>
  <c r="C148" i="11" s="1"/>
  <c r="W150" i="10"/>
  <c r="F149" i="11" s="1"/>
  <c r="U151" i="10"/>
  <c r="D150" i="11" s="1"/>
  <c r="X154" i="10"/>
  <c r="G153" i="11" s="1"/>
  <c r="W155" i="10"/>
  <c r="F154" i="11" s="1"/>
  <c r="W157" i="10"/>
  <c r="F156" i="11" s="1"/>
  <c r="X162" i="10"/>
  <c r="G161" i="11" s="1"/>
  <c r="W163" i="10"/>
  <c r="F162" i="11" s="1"/>
  <c r="W165" i="10"/>
  <c r="F164" i="11" s="1"/>
  <c r="X170" i="10"/>
  <c r="G169" i="11" s="1"/>
  <c r="W171" i="10"/>
  <c r="F170" i="11" s="1"/>
  <c r="W173" i="10"/>
  <c r="F172" i="11" s="1"/>
  <c r="X178" i="10"/>
  <c r="G177" i="11" s="1"/>
  <c r="W179" i="10"/>
  <c r="F178" i="11" s="1"/>
  <c r="W181" i="10"/>
  <c r="F180" i="11" s="1"/>
  <c r="X186" i="10"/>
  <c r="G185" i="11" s="1"/>
  <c r="W187" i="10"/>
  <c r="F186" i="11" s="1"/>
  <c r="W189" i="10"/>
  <c r="F188" i="11" s="1"/>
  <c r="X194" i="10"/>
  <c r="G193" i="11" s="1"/>
  <c r="W195" i="10"/>
  <c r="F194" i="11" s="1"/>
  <c r="W197" i="10"/>
  <c r="F196" i="11" s="1"/>
  <c r="X202" i="10"/>
  <c r="G201" i="11" s="1"/>
  <c r="W203" i="10"/>
  <c r="F202" i="11" s="1"/>
  <c r="X218" i="10"/>
  <c r="G217" i="11" s="1"/>
  <c r="W219" i="10"/>
  <c r="F218" i="11" s="1"/>
  <c r="W221" i="10"/>
  <c r="F220" i="11" s="1"/>
  <c r="V222" i="10"/>
  <c r="E221" i="11" s="1"/>
  <c r="T225" i="10"/>
  <c r="C224" i="11" s="1"/>
  <c r="W226" i="10"/>
  <c r="F225" i="11" s="1"/>
  <c r="V227" i="10"/>
  <c r="E226" i="11" s="1"/>
  <c r="V228" i="10"/>
  <c r="E227" i="11" s="1"/>
  <c r="V229" i="10"/>
  <c r="E228" i="11" s="1"/>
  <c r="U230" i="10"/>
  <c r="D229" i="11" s="1"/>
  <c r="X231" i="10"/>
  <c r="G230" i="11" s="1"/>
  <c r="W231" i="10"/>
  <c r="F230" i="11" s="1"/>
  <c r="U232" i="10"/>
  <c r="D231" i="11" s="1"/>
  <c r="X237" i="10"/>
  <c r="G236" i="11" s="1"/>
  <c r="V239" i="10"/>
  <c r="E238" i="11" s="1"/>
  <c r="U240" i="10"/>
  <c r="D239" i="11" s="1"/>
  <c r="T241" i="10"/>
  <c r="C240" i="11" s="1"/>
  <c r="T243" i="10"/>
  <c r="C242" i="11" s="1"/>
  <c r="W247" i="10"/>
  <c r="F246" i="11" s="1"/>
  <c r="U248" i="10"/>
  <c r="D247" i="11" s="1"/>
  <c r="T267" i="10"/>
  <c r="C266" i="11" s="1"/>
  <c r="U271" i="10"/>
  <c r="D270" i="11" s="1"/>
  <c r="U276" i="10"/>
  <c r="D275" i="11" s="1"/>
  <c r="T295" i="10"/>
  <c r="C294" i="11" s="1"/>
  <c r="X129" i="10"/>
  <c r="G128" i="11" s="1"/>
  <c r="V130" i="10"/>
  <c r="E129" i="11" s="1"/>
  <c r="U132" i="10"/>
  <c r="D131" i="11" s="1"/>
  <c r="T134" i="10"/>
  <c r="C133" i="11" s="1"/>
  <c r="X138" i="10"/>
  <c r="G137" i="11" s="1"/>
  <c r="W139" i="10"/>
  <c r="F138" i="11" s="1"/>
  <c r="W141" i="10"/>
  <c r="F140" i="11" s="1"/>
  <c r="X145" i="10"/>
  <c r="G144" i="11" s="1"/>
  <c r="V146" i="10"/>
  <c r="E145" i="11" s="1"/>
  <c r="U148" i="10"/>
  <c r="D147" i="11" s="1"/>
  <c r="T150" i="10"/>
  <c r="C149" i="11" s="1"/>
  <c r="W153" i="10"/>
  <c r="F152" i="11" s="1"/>
  <c r="U154" i="10"/>
  <c r="D153" i="11" s="1"/>
  <c r="T155" i="10"/>
  <c r="C154" i="11" s="1"/>
  <c r="X155" i="10"/>
  <c r="G154" i="11" s="1"/>
  <c r="T156" i="10"/>
  <c r="C155" i="11" s="1"/>
  <c r="X156" i="10"/>
  <c r="G155" i="11" s="1"/>
  <c r="T157" i="10"/>
  <c r="C156" i="11" s="1"/>
  <c r="W158" i="10"/>
  <c r="F157" i="11" s="1"/>
  <c r="U159" i="10"/>
  <c r="D158" i="11" s="1"/>
  <c r="W161" i="10"/>
  <c r="F160" i="11" s="1"/>
  <c r="U162" i="10"/>
  <c r="D161" i="11" s="1"/>
  <c r="T163" i="10"/>
  <c r="C162" i="11" s="1"/>
  <c r="X163" i="10"/>
  <c r="G162" i="11" s="1"/>
  <c r="T164" i="10"/>
  <c r="C163" i="11" s="1"/>
  <c r="X164" i="10"/>
  <c r="G163" i="11" s="1"/>
  <c r="T165" i="10"/>
  <c r="C164" i="11" s="1"/>
  <c r="W166" i="10"/>
  <c r="F165" i="11" s="1"/>
  <c r="U167" i="10"/>
  <c r="D166" i="11" s="1"/>
  <c r="W169" i="10"/>
  <c r="F168" i="11" s="1"/>
  <c r="U170" i="10"/>
  <c r="D169" i="11" s="1"/>
  <c r="T171" i="10"/>
  <c r="C170" i="11" s="1"/>
  <c r="X171" i="10"/>
  <c r="G170" i="11" s="1"/>
  <c r="T172" i="10"/>
  <c r="C171" i="11" s="1"/>
  <c r="X172" i="10"/>
  <c r="G171" i="11" s="1"/>
  <c r="T173" i="10"/>
  <c r="C172" i="11" s="1"/>
  <c r="W174" i="10"/>
  <c r="F173" i="11" s="1"/>
  <c r="U175" i="10"/>
  <c r="D174" i="11" s="1"/>
  <c r="W177" i="10"/>
  <c r="F176" i="11" s="1"/>
  <c r="U178" i="10"/>
  <c r="D177" i="11" s="1"/>
  <c r="T179" i="10"/>
  <c r="C178" i="11" s="1"/>
  <c r="X179" i="10"/>
  <c r="G178" i="11" s="1"/>
  <c r="T180" i="10"/>
  <c r="C179" i="11" s="1"/>
  <c r="X180" i="10"/>
  <c r="G179" i="11" s="1"/>
  <c r="T181" i="10"/>
  <c r="C180" i="11" s="1"/>
  <c r="W182" i="10"/>
  <c r="F181" i="11" s="1"/>
  <c r="U183" i="10"/>
  <c r="D182" i="11" s="1"/>
  <c r="W185" i="10"/>
  <c r="F184" i="11" s="1"/>
  <c r="U186" i="10"/>
  <c r="D185" i="11" s="1"/>
  <c r="T187" i="10"/>
  <c r="C186" i="11" s="1"/>
  <c r="X187" i="10"/>
  <c r="G186" i="11" s="1"/>
  <c r="T188" i="10"/>
  <c r="C187" i="11" s="1"/>
  <c r="X188" i="10"/>
  <c r="G187" i="11" s="1"/>
  <c r="T189" i="10"/>
  <c r="C188" i="11" s="1"/>
  <c r="W190" i="10"/>
  <c r="F189" i="11" s="1"/>
  <c r="U191" i="10"/>
  <c r="D190" i="11" s="1"/>
  <c r="W193" i="10"/>
  <c r="F192" i="11" s="1"/>
  <c r="U194" i="10"/>
  <c r="D193" i="11" s="1"/>
  <c r="T195" i="10"/>
  <c r="C194" i="11" s="1"/>
  <c r="X195" i="10"/>
  <c r="G194" i="11" s="1"/>
  <c r="T196" i="10"/>
  <c r="C195" i="11" s="1"/>
  <c r="X196" i="10"/>
  <c r="G195" i="11" s="1"/>
  <c r="T197" i="10"/>
  <c r="C196" i="11" s="1"/>
  <c r="W198" i="10"/>
  <c r="F197" i="11" s="1"/>
  <c r="U199" i="10"/>
  <c r="D198" i="11" s="1"/>
  <c r="W201" i="10"/>
  <c r="F200" i="11" s="1"/>
  <c r="U202" i="10"/>
  <c r="D201" i="11" s="1"/>
  <c r="T203" i="10"/>
  <c r="C202" i="11" s="1"/>
  <c r="X203" i="10"/>
  <c r="G202" i="11" s="1"/>
  <c r="T204" i="10"/>
  <c r="C203" i="11" s="1"/>
  <c r="X204" i="10"/>
  <c r="G203" i="11" s="1"/>
  <c r="T205" i="10"/>
  <c r="C204" i="11" s="1"/>
  <c r="W206" i="10"/>
  <c r="F205" i="11" s="1"/>
  <c r="U207" i="10"/>
  <c r="D206" i="11" s="1"/>
  <c r="U208" i="10"/>
  <c r="D207" i="11" s="1"/>
  <c r="W209" i="10"/>
  <c r="F208" i="11" s="1"/>
  <c r="X226" i="10"/>
  <c r="G225" i="11" s="1"/>
  <c r="W227" i="10"/>
  <c r="F226" i="11" s="1"/>
  <c r="W229" i="10"/>
  <c r="F228" i="11" s="1"/>
  <c r="V230" i="10"/>
  <c r="E229" i="11" s="1"/>
  <c r="T233" i="10"/>
  <c r="C232" i="11" s="1"/>
  <c r="V235" i="10"/>
  <c r="E234" i="11" s="1"/>
  <c r="V236" i="10"/>
  <c r="E235" i="11" s="1"/>
  <c r="U237" i="10"/>
  <c r="D236" i="11" s="1"/>
  <c r="U238" i="10"/>
  <c r="D237" i="11" s="1"/>
  <c r="W239" i="10"/>
  <c r="F238" i="11" s="1"/>
  <c r="V240" i="10"/>
  <c r="E239" i="11" s="1"/>
  <c r="U244" i="10"/>
  <c r="D243" i="11" s="1"/>
  <c r="T245" i="10"/>
  <c r="C244" i="11" s="1"/>
  <c r="V246" i="10"/>
  <c r="E245" i="11" s="1"/>
  <c r="X247" i="10"/>
  <c r="G246" i="11" s="1"/>
  <c r="V248" i="10"/>
  <c r="E247" i="11" s="1"/>
  <c r="X250" i="10"/>
  <c r="G249" i="11" s="1"/>
  <c r="X251" i="10"/>
  <c r="G250" i="11" s="1"/>
  <c r="W252" i="10"/>
  <c r="F251" i="11" s="1"/>
  <c r="V253" i="10"/>
  <c r="E252" i="11" s="1"/>
  <c r="T255" i="10"/>
  <c r="C254" i="11" s="1"/>
  <c r="T256" i="10"/>
  <c r="C255" i="11" s="1"/>
  <c r="V257" i="10"/>
  <c r="E256" i="11" s="1"/>
  <c r="W262" i="10"/>
  <c r="F261" i="11" s="1"/>
  <c r="T264" i="10"/>
  <c r="C263" i="11" s="1"/>
  <c r="T270" i="10"/>
  <c r="C269" i="11" s="1"/>
  <c r="X270" i="10"/>
  <c r="G269" i="11" s="1"/>
  <c r="W274" i="10"/>
  <c r="F273" i="11" s="1"/>
  <c r="V275" i="10"/>
  <c r="E274" i="11" s="1"/>
  <c r="W279" i="10"/>
  <c r="F278" i="11" s="1"/>
  <c r="V280" i="10"/>
  <c r="E279" i="11" s="1"/>
  <c r="T284" i="10"/>
  <c r="C283" i="11" s="1"/>
  <c r="U287" i="10"/>
  <c r="D286" i="11" s="1"/>
  <c r="T312" i="10"/>
  <c r="C311" i="11" s="1"/>
  <c r="T375" i="10"/>
  <c r="C374" i="11" s="1"/>
  <c r="T290" i="10"/>
  <c r="C289" i="11" s="1"/>
  <c r="T298" i="10"/>
  <c r="C297" i="11" s="1"/>
  <c r="X320" i="10"/>
  <c r="G319" i="11" s="1"/>
  <c r="V321" i="10"/>
  <c r="E320" i="11" s="1"/>
  <c r="X352" i="10"/>
  <c r="G351" i="11" s="1"/>
  <c r="V353" i="10"/>
  <c r="E352" i="11" s="1"/>
  <c r="X249" i="10"/>
  <c r="G248" i="11" s="1"/>
  <c r="V250" i="10"/>
  <c r="E249" i="11" s="1"/>
  <c r="W257" i="10"/>
  <c r="F256" i="11" s="1"/>
  <c r="U258" i="10"/>
  <c r="D257" i="11" s="1"/>
  <c r="T259" i="10"/>
  <c r="C258" i="11" s="1"/>
  <c r="W265" i="10"/>
  <c r="F264" i="11" s="1"/>
  <c r="V266" i="10"/>
  <c r="E265" i="11" s="1"/>
  <c r="T274" i="10"/>
  <c r="C273" i="11" s="1"/>
  <c r="T282" i="10"/>
  <c r="C281" i="11" s="1"/>
  <c r="X288" i="10"/>
  <c r="G287" i="11" s="1"/>
  <c r="V289" i="10"/>
  <c r="E288" i="11" s="1"/>
  <c r="X296" i="10"/>
  <c r="G295" i="11" s="1"/>
  <c r="V297" i="10"/>
  <c r="E296" i="11" s="1"/>
  <c r="T306" i="10"/>
  <c r="C305" i="11" s="1"/>
  <c r="X328" i="10"/>
  <c r="G327" i="11" s="1"/>
  <c r="V329" i="10"/>
  <c r="E328" i="11" s="1"/>
  <c r="X360" i="10"/>
  <c r="G359" i="11" s="1"/>
  <c r="W377" i="10"/>
  <c r="F376" i="11" s="1"/>
  <c r="V210" i="10"/>
  <c r="E209" i="11" s="1"/>
  <c r="U211" i="10"/>
  <c r="D210" i="11" s="1"/>
  <c r="U212" i="10"/>
  <c r="D211" i="11" s="1"/>
  <c r="T214" i="10"/>
  <c r="C213" i="11" s="1"/>
  <c r="X217" i="10"/>
  <c r="G216" i="11" s="1"/>
  <c r="V218" i="10"/>
  <c r="E217" i="11" s="1"/>
  <c r="U219" i="10"/>
  <c r="D218" i="11" s="1"/>
  <c r="U220" i="10"/>
  <c r="D219" i="11" s="1"/>
  <c r="T222" i="10"/>
  <c r="C221" i="11" s="1"/>
  <c r="X225" i="10"/>
  <c r="G224" i="11" s="1"/>
  <c r="V226" i="10"/>
  <c r="E225" i="11" s="1"/>
  <c r="U228" i="10"/>
  <c r="D227" i="11" s="1"/>
  <c r="T230" i="10"/>
  <c r="C229" i="11" s="1"/>
  <c r="X233" i="10"/>
  <c r="G232" i="11" s="1"/>
  <c r="V234" i="10"/>
  <c r="E233" i="11" s="1"/>
  <c r="U235" i="10"/>
  <c r="D234" i="11" s="1"/>
  <c r="U236" i="10"/>
  <c r="D235" i="11" s="1"/>
  <c r="W238" i="10"/>
  <c r="F237" i="11" s="1"/>
  <c r="V241" i="10"/>
  <c r="E240" i="11" s="1"/>
  <c r="T242" i="10"/>
  <c r="C241" i="11" s="1"/>
  <c r="T248" i="10"/>
  <c r="C247" i="11" s="1"/>
  <c r="V249" i="10"/>
  <c r="E248" i="11" s="1"/>
  <c r="T250" i="10"/>
  <c r="C249" i="11" s="1"/>
  <c r="W251" i="10"/>
  <c r="F250" i="11" s="1"/>
  <c r="V252" i="10"/>
  <c r="E251" i="11" s="1"/>
  <c r="W254" i="10"/>
  <c r="F253" i="11" s="1"/>
  <c r="X255" i="10"/>
  <c r="G254" i="11" s="1"/>
  <c r="X257" i="10"/>
  <c r="G256" i="11" s="1"/>
  <c r="W258" i="10"/>
  <c r="F257" i="11" s="1"/>
  <c r="V258" i="10"/>
  <c r="E257" i="11" s="1"/>
  <c r="U260" i="10"/>
  <c r="D259" i="11" s="1"/>
  <c r="T261" i="10"/>
  <c r="C260" i="11" s="1"/>
  <c r="W263" i="10"/>
  <c r="F262" i="11" s="1"/>
  <c r="X265" i="10"/>
  <c r="G264" i="11" s="1"/>
  <c r="W267" i="10"/>
  <c r="F266" i="11" s="1"/>
  <c r="V268" i="10"/>
  <c r="E267" i="11" s="1"/>
  <c r="U269" i="10"/>
  <c r="D268" i="11" s="1"/>
  <c r="W270" i="10"/>
  <c r="F269" i="11" s="1"/>
  <c r="X271" i="10"/>
  <c r="G270" i="11" s="1"/>
  <c r="V272" i="10"/>
  <c r="E271" i="11" s="1"/>
  <c r="T273" i="10"/>
  <c r="C272" i="11" s="1"/>
  <c r="W273" i="10"/>
  <c r="F272" i="11" s="1"/>
  <c r="U274" i="10"/>
  <c r="D273" i="11" s="1"/>
  <c r="X276" i="10"/>
  <c r="G275" i="11" s="1"/>
  <c r="V279" i="10"/>
  <c r="E278" i="11" s="1"/>
  <c r="U280" i="10"/>
  <c r="D279" i="11" s="1"/>
  <c r="V281" i="10"/>
  <c r="E280" i="11" s="1"/>
  <c r="U282" i="10"/>
  <c r="D281" i="11" s="1"/>
  <c r="X284" i="10"/>
  <c r="G283" i="11" s="1"/>
  <c r="V288" i="10"/>
  <c r="E287" i="11" s="1"/>
  <c r="T289" i="10"/>
  <c r="C288" i="11" s="1"/>
  <c r="W289" i="10"/>
  <c r="F288" i="11" s="1"/>
  <c r="W290" i="10"/>
  <c r="F289" i="11" s="1"/>
  <c r="V291" i="10"/>
  <c r="E290" i="11" s="1"/>
  <c r="V292" i="10"/>
  <c r="E291" i="11" s="1"/>
  <c r="V293" i="10"/>
  <c r="E292" i="11" s="1"/>
  <c r="T294" i="10"/>
  <c r="C293" i="11" s="1"/>
  <c r="X295" i="10"/>
  <c r="G294" i="11" s="1"/>
  <c r="V296" i="10"/>
  <c r="E295" i="11" s="1"/>
  <c r="T297" i="10"/>
  <c r="C296" i="11" s="1"/>
  <c r="X297" i="10"/>
  <c r="G296" i="11" s="1"/>
  <c r="V299" i="10"/>
  <c r="E298" i="11" s="1"/>
  <c r="V300" i="10"/>
  <c r="E299" i="11" s="1"/>
  <c r="V301" i="10"/>
  <c r="E300" i="11" s="1"/>
  <c r="T302" i="10"/>
  <c r="C301" i="11" s="1"/>
  <c r="X303" i="10"/>
  <c r="G302" i="11" s="1"/>
  <c r="U304" i="10"/>
  <c r="D303" i="11" s="1"/>
  <c r="X304" i="10"/>
  <c r="G303" i="11" s="1"/>
  <c r="W305" i="10"/>
  <c r="F304" i="11" s="1"/>
  <c r="V305" i="10"/>
  <c r="E304" i="11" s="1"/>
  <c r="U307" i="10"/>
  <c r="D306" i="11" s="1"/>
  <c r="U308" i="10"/>
  <c r="D307" i="11" s="1"/>
  <c r="U309" i="10"/>
  <c r="D308" i="11" s="1"/>
  <c r="W311" i="10"/>
  <c r="F310" i="11" s="1"/>
  <c r="U314" i="10"/>
  <c r="D313" i="11" s="1"/>
  <c r="T314" i="10"/>
  <c r="C313" i="11" s="1"/>
  <c r="U315" i="10"/>
  <c r="D314" i="11" s="1"/>
  <c r="U316" i="10"/>
  <c r="D315" i="11" s="1"/>
  <c r="U317" i="10"/>
  <c r="D316" i="11" s="1"/>
  <c r="T318" i="10"/>
  <c r="C317" i="11" s="1"/>
  <c r="W326" i="10"/>
  <c r="F325" i="11" s="1"/>
  <c r="X327" i="10"/>
  <c r="G326" i="11" s="1"/>
  <c r="W335" i="10"/>
  <c r="F334" i="11" s="1"/>
  <c r="U336" i="10"/>
  <c r="D335" i="11" s="1"/>
  <c r="X336" i="10"/>
  <c r="G335" i="11" s="1"/>
  <c r="W337" i="10"/>
  <c r="F336" i="11" s="1"/>
  <c r="V337" i="10"/>
  <c r="E336" i="11" s="1"/>
  <c r="V338" i="10"/>
  <c r="E337" i="11" s="1"/>
  <c r="V339" i="10"/>
  <c r="E338" i="11" s="1"/>
  <c r="V340" i="10"/>
  <c r="E339" i="11" s="1"/>
  <c r="V341" i="10"/>
  <c r="E340" i="11" s="1"/>
  <c r="V343" i="10"/>
  <c r="E342" i="11" s="1"/>
  <c r="U346" i="10"/>
  <c r="D345" i="11" s="1"/>
  <c r="U347" i="10"/>
  <c r="D346" i="11" s="1"/>
  <c r="U348" i="10"/>
  <c r="D347" i="11" s="1"/>
  <c r="U349" i="10"/>
  <c r="D348" i="11" s="1"/>
  <c r="T350" i="10"/>
  <c r="C349" i="11" s="1"/>
  <c r="W358" i="10"/>
  <c r="F357" i="11" s="1"/>
  <c r="X359" i="10"/>
  <c r="G358" i="11" s="1"/>
  <c r="T366" i="10"/>
  <c r="C365" i="11" s="1"/>
  <c r="X366" i="10"/>
  <c r="G365" i="11" s="1"/>
  <c r="T368" i="10"/>
  <c r="C367" i="11" s="1"/>
  <c r="W369" i="10"/>
  <c r="F368" i="11" s="1"/>
  <c r="V370" i="10"/>
  <c r="E369" i="11" s="1"/>
  <c r="V371" i="10"/>
  <c r="E370" i="11" s="1"/>
  <c r="V372" i="10"/>
  <c r="E371" i="11" s="1"/>
  <c r="V373" i="10"/>
  <c r="E372" i="11" s="1"/>
  <c r="X375" i="10"/>
  <c r="G374" i="11" s="1"/>
  <c r="T382" i="10"/>
  <c r="C381" i="11" s="1"/>
  <c r="X382" i="10"/>
  <c r="G381" i="11" s="1"/>
  <c r="T384" i="10"/>
  <c r="C383" i="11" s="1"/>
  <c r="U362" i="10"/>
  <c r="D361" i="11" s="1"/>
  <c r="U363" i="10"/>
  <c r="D362" i="11" s="1"/>
  <c r="U364" i="10"/>
  <c r="D363" i="11" s="1"/>
  <c r="U365" i="10"/>
  <c r="D364" i="11" s="1"/>
  <c r="W367" i="10"/>
  <c r="F366" i="11" s="1"/>
  <c r="U370" i="10"/>
  <c r="D369" i="11" s="1"/>
  <c r="U371" i="10"/>
  <c r="D370" i="11" s="1"/>
  <c r="U372" i="10"/>
  <c r="D371" i="11" s="1"/>
  <c r="U373" i="10"/>
  <c r="D372" i="11" s="1"/>
  <c r="W375" i="10"/>
  <c r="F374" i="11" s="1"/>
  <c r="U379" i="10"/>
  <c r="D378" i="11" s="1"/>
  <c r="U380" i="10"/>
  <c r="D379" i="11" s="1"/>
  <c r="U381" i="10"/>
  <c r="D380" i="11" s="1"/>
  <c r="W383" i="10"/>
  <c r="F382" i="11" s="1"/>
  <c r="U387" i="10"/>
  <c r="D386" i="11" s="1"/>
  <c r="U388" i="10"/>
  <c r="D387" i="11" s="1"/>
  <c r="U389" i="10"/>
  <c r="D388" i="11" s="1"/>
  <c r="W391" i="10"/>
  <c r="F390" i="11" s="1"/>
  <c r="U395" i="10"/>
  <c r="D394" i="11" s="1"/>
  <c r="U396" i="10"/>
  <c r="D395" i="11" s="1"/>
  <c r="U397" i="10"/>
  <c r="D396" i="11" s="1"/>
  <c r="W399" i="10"/>
  <c r="F398" i="11" s="1"/>
  <c r="U403" i="10"/>
  <c r="D402" i="11" s="1"/>
  <c r="U404" i="10"/>
  <c r="D403" i="11" s="1"/>
  <c r="U405" i="10"/>
  <c r="D404" i="11" s="1"/>
  <c r="W407" i="10"/>
  <c r="F406" i="11" s="1"/>
  <c r="U411" i="10"/>
  <c r="D410" i="11" s="1"/>
  <c r="U412" i="10"/>
  <c r="D411" i="11" s="1"/>
  <c r="U413" i="10"/>
  <c r="D412" i="11" s="1"/>
  <c r="W415" i="10"/>
  <c r="F414" i="11" s="1"/>
  <c r="U419" i="10"/>
  <c r="D418" i="11" s="1"/>
  <c r="U420" i="10"/>
  <c r="D419" i="11" s="1"/>
  <c r="U421" i="10"/>
  <c r="D420" i="11" s="1"/>
  <c r="W423" i="10"/>
  <c r="F422" i="11" s="1"/>
  <c r="U426" i="10"/>
  <c r="D425" i="11" s="1"/>
  <c r="U427" i="10"/>
  <c r="D426" i="11" s="1"/>
  <c r="U428" i="10"/>
  <c r="D427" i="11" s="1"/>
  <c r="U429" i="10"/>
  <c r="D428" i="11" s="1"/>
  <c r="W431" i="10"/>
  <c r="F430" i="11" s="1"/>
  <c r="U434" i="10"/>
  <c r="D433" i="11" s="1"/>
  <c r="U435" i="10"/>
  <c r="D434" i="11" s="1"/>
  <c r="U436" i="10"/>
  <c r="D435" i="11" s="1"/>
  <c r="U437" i="10"/>
  <c r="D436" i="11" s="1"/>
  <c r="W439" i="10"/>
  <c r="F438" i="11" s="1"/>
  <c r="U443" i="10"/>
  <c r="D442" i="11" s="1"/>
  <c r="U444" i="10"/>
  <c r="D443" i="11" s="1"/>
  <c r="U445" i="10"/>
  <c r="D444" i="11" s="1"/>
  <c r="W447" i="10"/>
  <c r="F446" i="11" s="1"/>
  <c r="V387" i="10"/>
  <c r="E386" i="11" s="1"/>
  <c r="V388" i="10"/>
  <c r="E387" i="11" s="1"/>
  <c r="V389" i="10"/>
  <c r="E388" i="11" s="1"/>
  <c r="T390" i="10"/>
  <c r="C389" i="11" s="1"/>
  <c r="X391" i="10"/>
  <c r="G390" i="11" s="1"/>
  <c r="U392" i="10"/>
  <c r="D391" i="11" s="1"/>
  <c r="V394" i="10"/>
  <c r="E393" i="11" s="1"/>
  <c r="V395" i="10"/>
  <c r="E394" i="11" s="1"/>
  <c r="V396" i="10"/>
  <c r="E395" i="11" s="1"/>
  <c r="V397" i="10"/>
  <c r="E396" i="11" s="1"/>
  <c r="T398" i="10"/>
  <c r="C397" i="11" s="1"/>
  <c r="X399" i="10"/>
  <c r="G398" i="11" s="1"/>
  <c r="U400" i="10"/>
  <c r="D399" i="11" s="1"/>
  <c r="V402" i="10"/>
  <c r="E401" i="11" s="1"/>
  <c r="V403" i="10"/>
  <c r="E402" i="11" s="1"/>
  <c r="V404" i="10"/>
  <c r="E403" i="11" s="1"/>
  <c r="V405" i="10"/>
  <c r="E404" i="11" s="1"/>
  <c r="T406" i="10"/>
  <c r="C405" i="11" s="1"/>
  <c r="X407" i="10"/>
  <c r="G406" i="11" s="1"/>
  <c r="U408" i="10"/>
  <c r="D407" i="11" s="1"/>
  <c r="V410" i="10"/>
  <c r="E409" i="11" s="1"/>
  <c r="V411" i="10"/>
  <c r="E410" i="11" s="1"/>
  <c r="V412" i="10"/>
  <c r="E411" i="11" s="1"/>
  <c r="V413" i="10"/>
  <c r="E412" i="11" s="1"/>
  <c r="T414" i="10"/>
  <c r="C413" i="11" s="1"/>
  <c r="X415" i="10"/>
  <c r="G414" i="11" s="1"/>
  <c r="U416" i="10"/>
  <c r="D415" i="11" s="1"/>
  <c r="V419" i="10"/>
  <c r="E418" i="11" s="1"/>
  <c r="V420" i="10"/>
  <c r="E419" i="11" s="1"/>
  <c r="V421" i="10"/>
  <c r="E420" i="11" s="1"/>
  <c r="T422" i="10"/>
  <c r="C421" i="11" s="1"/>
  <c r="X423" i="10"/>
  <c r="G422" i="11" s="1"/>
  <c r="U424" i="10"/>
  <c r="D423" i="11" s="1"/>
  <c r="V426" i="10"/>
  <c r="E425" i="11" s="1"/>
  <c r="V427" i="10"/>
  <c r="E426" i="11" s="1"/>
  <c r="V428" i="10"/>
  <c r="E427" i="11" s="1"/>
  <c r="V429" i="10"/>
  <c r="E428" i="11" s="1"/>
  <c r="T430" i="10"/>
  <c r="C429" i="11" s="1"/>
  <c r="X431" i="10"/>
  <c r="G430" i="11" s="1"/>
  <c r="U432" i="10"/>
  <c r="D431" i="11" s="1"/>
  <c r="W433" i="10"/>
  <c r="F432" i="11" s="1"/>
  <c r="V434" i="10"/>
  <c r="E433" i="11" s="1"/>
  <c r="V435" i="10"/>
  <c r="E434" i="11" s="1"/>
  <c r="V436" i="10"/>
  <c r="E435" i="11" s="1"/>
  <c r="V437" i="10"/>
  <c r="E436" i="11" s="1"/>
  <c r="T438" i="10"/>
  <c r="C437" i="11" s="1"/>
  <c r="X439" i="10"/>
  <c r="G438" i="11" s="1"/>
  <c r="U440" i="10"/>
  <c r="D439" i="11" s="1"/>
  <c r="W441" i="10"/>
  <c r="F440" i="11" s="1"/>
  <c r="V441" i="10"/>
  <c r="E440" i="11" s="1"/>
  <c r="X448" i="10"/>
  <c r="G447" i="11" s="1"/>
  <c r="V449" i="10"/>
  <c r="E448" i="11" s="1"/>
  <c r="T458" i="10"/>
  <c r="C457" i="11" s="1"/>
  <c r="X456" i="10"/>
  <c r="G455" i="11" s="1"/>
  <c r="V457" i="10"/>
  <c r="E456" i="11" s="1"/>
  <c r="X322" i="10"/>
  <c r="G321" i="11" s="1"/>
  <c r="T323" i="10"/>
  <c r="C322" i="11" s="1"/>
  <c r="X323" i="10"/>
  <c r="G322" i="11" s="1"/>
  <c r="T324" i="10"/>
  <c r="C323" i="11" s="1"/>
  <c r="X324" i="10"/>
  <c r="G323" i="11" s="1"/>
  <c r="T325" i="10"/>
  <c r="C324" i="11" s="1"/>
  <c r="X330" i="10"/>
  <c r="G329" i="11" s="1"/>
  <c r="X331" i="10"/>
  <c r="G330" i="11" s="1"/>
  <c r="T332" i="10"/>
  <c r="C331" i="11" s="1"/>
  <c r="X332" i="10"/>
  <c r="G331" i="11" s="1"/>
  <c r="T333" i="10"/>
  <c r="C332" i="11" s="1"/>
  <c r="X338" i="10"/>
  <c r="G337" i="11" s="1"/>
  <c r="X339" i="10"/>
  <c r="G338" i="11" s="1"/>
  <c r="T340" i="10"/>
  <c r="C339" i="11" s="1"/>
  <c r="X340" i="10"/>
  <c r="G339" i="11" s="1"/>
  <c r="T341" i="10"/>
  <c r="C340" i="11" s="1"/>
  <c r="X346" i="10"/>
  <c r="G345" i="11" s="1"/>
  <c r="X347" i="10"/>
  <c r="G346" i="11" s="1"/>
  <c r="T348" i="10"/>
  <c r="C347" i="11" s="1"/>
  <c r="X348" i="10"/>
  <c r="G347" i="11" s="1"/>
  <c r="T349" i="10"/>
  <c r="C348" i="11" s="1"/>
  <c r="X354" i="10"/>
  <c r="G353" i="11" s="1"/>
  <c r="T355" i="10"/>
  <c r="C354" i="11" s="1"/>
  <c r="X355" i="10"/>
  <c r="G354" i="11" s="1"/>
  <c r="T356" i="10"/>
  <c r="C355" i="11" s="1"/>
  <c r="X356" i="10"/>
  <c r="G355" i="11" s="1"/>
  <c r="T357" i="10"/>
  <c r="C356" i="11" s="1"/>
  <c r="X362" i="10"/>
  <c r="G361" i="11" s="1"/>
  <c r="X363" i="10"/>
  <c r="G362" i="11" s="1"/>
  <c r="T364" i="10"/>
  <c r="C363" i="11" s="1"/>
  <c r="X364" i="10"/>
  <c r="G363" i="11" s="1"/>
  <c r="T365" i="10"/>
  <c r="C364" i="11" s="1"/>
  <c r="X370" i="10"/>
  <c r="G369" i="11" s="1"/>
  <c r="X371" i="10"/>
  <c r="G370" i="11" s="1"/>
  <c r="T372" i="10"/>
  <c r="C371" i="11" s="1"/>
  <c r="X372" i="10"/>
  <c r="G371" i="11" s="1"/>
  <c r="T373" i="10"/>
  <c r="C372" i="11" s="1"/>
  <c r="X378" i="10"/>
  <c r="G377" i="11" s="1"/>
  <c r="X379" i="10"/>
  <c r="G378" i="11" s="1"/>
  <c r="T380" i="10"/>
  <c r="C379" i="11" s="1"/>
  <c r="X380" i="10"/>
  <c r="G379" i="11" s="1"/>
  <c r="T381" i="10"/>
  <c r="C380" i="11" s="1"/>
  <c r="X386" i="10"/>
  <c r="G385" i="11" s="1"/>
  <c r="T387" i="10"/>
  <c r="C386" i="11" s="1"/>
  <c r="X387" i="10"/>
  <c r="G386" i="11" s="1"/>
  <c r="T388" i="10"/>
  <c r="C387" i="11" s="1"/>
  <c r="X388" i="10"/>
  <c r="G387" i="11" s="1"/>
  <c r="T389" i="10"/>
  <c r="C388" i="11" s="1"/>
  <c r="X394" i="10"/>
  <c r="G393" i="11" s="1"/>
  <c r="X395" i="10"/>
  <c r="G394" i="11" s="1"/>
  <c r="T396" i="10"/>
  <c r="C395" i="11" s="1"/>
  <c r="X396" i="10"/>
  <c r="G395" i="11" s="1"/>
  <c r="T397" i="10"/>
  <c r="C396" i="11" s="1"/>
  <c r="X402" i="10"/>
  <c r="G401" i="11" s="1"/>
  <c r="X403" i="10"/>
  <c r="G402" i="11" s="1"/>
  <c r="T404" i="10"/>
  <c r="C403" i="11" s="1"/>
  <c r="X404" i="10"/>
  <c r="G403" i="11" s="1"/>
  <c r="T405" i="10"/>
  <c r="C404" i="11" s="1"/>
  <c r="X410" i="10"/>
  <c r="G409" i="11" s="1"/>
  <c r="X411" i="10"/>
  <c r="G410" i="11" s="1"/>
  <c r="T412" i="10"/>
  <c r="C411" i="11" s="1"/>
  <c r="X412" i="10"/>
  <c r="G411" i="11" s="1"/>
  <c r="T413" i="10"/>
  <c r="C412" i="11" s="1"/>
  <c r="X418" i="10"/>
  <c r="G417" i="11" s="1"/>
  <c r="T419" i="10"/>
  <c r="C418" i="11" s="1"/>
  <c r="X419" i="10"/>
  <c r="G418" i="11" s="1"/>
  <c r="T420" i="10"/>
  <c r="C419" i="11" s="1"/>
  <c r="X420" i="10"/>
  <c r="G419" i="11" s="1"/>
  <c r="T421" i="10"/>
  <c r="C420" i="11" s="1"/>
  <c r="X426" i="10"/>
  <c r="G425" i="11" s="1"/>
  <c r="X427" i="10"/>
  <c r="G426" i="11" s="1"/>
  <c r="T428" i="10"/>
  <c r="C427" i="11" s="1"/>
  <c r="X428" i="10"/>
  <c r="G427" i="11" s="1"/>
  <c r="T429" i="10"/>
  <c r="C428" i="11" s="1"/>
  <c r="X434" i="10"/>
  <c r="G433" i="11" s="1"/>
  <c r="X435" i="10"/>
  <c r="G434" i="11" s="1"/>
  <c r="T436" i="10"/>
  <c r="C435" i="11" s="1"/>
  <c r="X436" i="10"/>
  <c r="G435" i="11" s="1"/>
  <c r="T437" i="10"/>
  <c r="C436" i="11" s="1"/>
  <c r="X442" i="10"/>
  <c r="G441" i="11" s="1"/>
  <c r="X443" i="10"/>
  <c r="G442" i="11" s="1"/>
  <c r="T444" i="10"/>
  <c r="C443" i="11" s="1"/>
  <c r="X444" i="10"/>
  <c r="G443" i="11" s="1"/>
  <c r="T445" i="10"/>
  <c r="C444" i="11" s="1"/>
  <c r="X450" i="10"/>
  <c r="G449" i="11" s="1"/>
  <c r="T451" i="10"/>
  <c r="C450" i="11" s="1"/>
  <c r="W452" i="10"/>
  <c r="F451" i="11" s="1"/>
  <c r="V456" i="10"/>
  <c r="E455" i="11" s="1"/>
  <c r="T457" i="10"/>
  <c r="C456" i="11" s="1"/>
  <c r="W458" i="10"/>
  <c r="F457" i="11" s="1"/>
  <c r="W459" i="10"/>
  <c r="F458" i="11" s="1"/>
  <c r="U461" i="10"/>
  <c r="D460" i="11" s="1"/>
  <c r="W65" i="10"/>
  <c r="F64" i="11" s="1"/>
  <c r="X66" i="10"/>
  <c r="G65" i="11" s="1"/>
  <c r="W82" i="10"/>
  <c r="F81" i="11" s="1"/>
  <c r="U106" i="10"/>
  <c r="D105" i="11" s="1"/>
  <c r="U131" i="10"/>
  <c r="D130" i="11" s="1"/>
  <c r="W146" i="10"/>
  <c r="F145" i="11" s="1"/>
  <c r="W29" i="10"/>
  <c r="F28" i="11" s="1"/>
  <c r="W30" i="10"/>
  <c r="F29" i="11" s="1"/>
  <c r="U35" i="10"/>
  <c r="D34" i="11" s="1"/>
  <c r="V59" i="10"/>
  <c r="E58" i="11" s="1"/>
  <c r="W105" i="10"/>
  <c r="F104" i="11" s="1"/>
  <c r="U19" i="10"/>
  <c r="D18" i="11" s="1"/>
  <c r="U34" i="10"/>
  <c r="D33" i="11" s="1"/>
  <c r="U58" i="10"/>
  <c r="D57" i="11" s="1"/>
  <c r="U75" i="10"/>
  <c r="D74" i="11" s="1"/>
  <c r="U90" i="10"/>
  <c r="D89" i="11" s="1"/>
  <c r="U115" i="10"/>
  <c r="D114" i="11" s="1"/>
  <c r="W130" i="10"/>
  <c r="F129" i="11" s="1"/>
  <c r="W218" i="10"/>
  <c r="F217" i="11" s="1"/>
  <c r="U227" i="10"/>
  <c r="D226" i="11" s="1"/>
  <c r="W33" i="10"/>
  <c r="F32" i="11" s="1"/>
  <c r="W34" i="10"/>
  <c r="F33" i="11" s="1"/>
  <c r="U39" i="10"/>
  <c r="D38" i="11" s="1"/>
  <c r="W58" i="10"/>
  <c r="F57" i="11" s="1"/>
  <c r="U74" i="10"/>
  <c r="D73" i="11" s="1"/>
  <c r="W57" i="10"/>
  <c r="F56" i="11" s="1"/>
  <c r="X58" i="10"/>
  <c r="G57" i="11" s="1"/>
  <c r="T68" i="10"/>
  <c r="C67" i="11" s="1"/>
  <c r="W89" i="10"/>
  <c r="F88" i="11" s="1"/>
  <c r="U50" i="10"/>
  <c r="D49" i="11" s="1"/>
  <c r="U98" i="10"/>
  <c r="D97" i="11" s="1"/>
  <c r="U123" i="10"/>
  <c r="D122" i="11" s="1"/>
  <c r="W138" i="10"/>
  <c r="F137" i="11" s="1"/>
  <c r="W50" i="10"/>
  <c r="F49" i="11" s="1"/>
  <c r="V67" i="10"/>
  <c r="E66" i="11" s="1"/>
  <c r="U83" i="10"/>
  <c r="D82" i="11" s="1"/>
  <c r="W98" i="10"/>
  <c r="F97" i="11" s="1"/>
  <c r="U122" i="10"/>
  <c r="D121" i="11" s="1"/>
  <c r="U147" i="10"/>
  <c r="D146" i="11" s="1"/>
  <c r="W234" i="10"/>
  <c r="F233" i="11" s="1"/>
  <c r="U15" i="10"/>
  <c r="D14" i="11" s="1"/>
  <c r="W25" i="10"/>
  <c r="F24" i="11" s="1"/>
  <c r="T60" i="10"/>
  <c r="C59" i="11" s="1"/>
  <c r="U82" i="10"/>
  <c r="D81" i="11" s="1"/>
  <c r="U107" i="10"/>
  <c r="D106" i="11" s="1"/>
  <c r="W122" i="10"/>
  <c r="F121" i="11" s="1"/>
  <c r="U243" i="10"/>
  <c r="D242" i="11" s="1"/>
  <c r="V244" i="10"/>
  <c r="E243" i="11" s="1"/>
  <c r="W250" i="10"/>
  <c r="F249" i="11" s="1"/>
  <c r="V290" i="10"/>
  <c r="E289" i="11" s="1"/>
  <c r="X291" i="10"/>
  <c r="G290" i="11" s="1"/>
  <c r="X244" i="10"/>
  <c r="G243" i="11" s="1"/>
  <c r="U267" i="10"/>
  <c r="D266" i="11" s="1"/>
  <c r="W268" i="10"/>
  <c r="F267" i="11" s="1"/>
  <c r="U299" i="10"/>
  <c r="D298" i="11" s="1"/>
  <c r="T331" i="10"/>
  <c r="C330" i="11" s="1"/>
  <c r="T363" i="10"/>
  <c r="C362" i="11" s="1"/>
  <c r="T395" i="10"/>
  <c r="C394" i="11" s="1"/>
  <c r="T427" i="10"/>
  <c r="C426" i="11" s="1"/>
  <c r="V386" i="10"/>
  <c r="E385" i="11" s="1"/>
  <c r="X409" i="10"/>
  <c r="G408" i="11" s="1"/>
  <c r="V418" i="10"/>
  <c r="E417" i="11" s="1"/>
  <c r="X441" i="10"/>
  <c r="G440" i="11" s="1"/>
  <c r="V450" i="10"/>
  <c r="E449" i="11" s="1"/>
  <c r="T459" i="10"/>
  <c r="C458" i="11" s="1"/>
  <c r="U261" i="10"/>
  <c r="D260" i="11" s="1"/>
  <c r="X289" i="10"/>
  <c r="G288" i="11" s="1"/>
  <c r="U298" i="10"/>
  <c r="D297" i="11" s="1"/>
  <c r="U283" i="10"/>
  <c r="D282" i="11" s="1"/>
  <c r="T293" i="10"/>
  <c r="C292" i="11" s="1"/>
  <c r="W298" i="10"/>
  <c r="F297" i="11" s="1"/>
  <c r="T307" i="10"/>
  <c r="C306" i="11" s="1"/>
  <c r="T339" i="10"/>
  <c r="C338" i="11" s="1"/>
  <c r="T371" i="10"/>
  <c r="C370" i="11" s="1"/>
  <c r="T403" i="10"/>
  <c r="C402" i="11" s="1"/>
  <c r="T435" i="10"/>
  <c r="C434" i="11" s="1"/>
  <c r="T254" i="10"/>
  <c r="C253" i="11" s="1"/>
  <c r="U259" i="10"/>
  <c r="D258" i="11" s="1"/>
  <c r="W260" i="10"/>
  <c r="F259" i="11" s="1"/>
  <c r="U277" i="10"/>
  <c r="D276" i="11" s="1"/>
  <c r="V282" i="10"/>
  <c r="E281" i="11" s="1"/>
  <c r="W297" i="10"/>
  <c r="F296" i="11" s="1"/>
  <c r="V458" i="10"/>
  <c r="E457" i="11" s="1"/>
  <c r="T237" i="10"/>
  <c r="C236" i="11" s="1"/>
  <c r="T238" i="10"/>
  <c r="C237" i="11" s="1"/>
  <c r="U253" i="10"/>
  <c r="D252" i="11" s="1"/>
  <c r="V306" i="10"/>
  <c r="E305" i="11" s="1"/>
  <c r="T347" i="10"/>
  <c r="C346" i="11" s="1"/>
  <c r="T379" i="10"/>
  <c r="C378" i="11" s="1"/>
  <c r="T411" i="10"/>
  <c r="C410" i="11" s="1"/>
  <c r="T443" i="10"/>
  <c r="C442" i="11" s="1"/>
  <c r="V237" i="10"/>
  <c r="E236" i="11" s="1"/>
  <c r="T246" i="10"/>
  <c r="C245" i="11" s="1"/>
  <c r="U275" i="10"/>
  <c r="D274" i="11" s="1"/>
  <c r="W276" i="10"/>
  <c r="F275" i="11" s="1"/>
  <c r="T291" i="10"/>
  <c r="C290" i="11" s="1"/>
  <c r="X457" i="10"/>
  <c r="G456" i="11" s="1"/>
  <c r="D462" l="1"/>
  <c r="D463" s="1"/>
  <c r="E462"/>
  <c r="E463" s="1"/>
  <c r="F462"/>
  <c r="F463" s="1"/>
  <c r="G462"/>
  <c r="G463" s="1"/>
  <c r="C462"/>
  <c r="C463" s="1"/>
  <c r="S28" i="17"/>
  <c r="R28"/>
  <c r="Q28"/>
  <c r="B28" i="15" s="1"/>
  <c r="P28" i="17"/>
  <c r="B27" i="15" s="1"/>
  <c r="O28" i="17"/>
  <c r="B26" i="15" s="1"/>
  <c r="N28" i="17"/>
  <c r="B25" i="15" s="1"/>
  <c r="M28" i="17"/>
  <c r="B24" i="15" s="1"/>
  <c r="L28" i="17"/>
  <c r="B23" i="15" s="1"/>
  <c r="K28" i="17"/>
  <c r="B22" i="15" s="1"/>
  <c r="J28" i="17"/>
  <c r="B21" i="15" s="1"/>
  <c r="I28" i="17"/>
  <c r="B20" i="15" s="1"/>
  <c r="H28" i="17"/>
  <c r="B19" i="15" s="1"/>
  <c r="G28" i="17"/>
  <c r="B18" i="15" s="1"/>
  <c r="F28" i="17"/>
  <c r="B17" i="15" s="1"/>
  <c r="E27" i="17"/>
  <c r="E42" s="1"/>
  <c r="AI26"/>
  <c r="AH26"/>
  <c r="AG26"/>
  <c r="AF26"/>
  <c r="AE26"/>
  <c r="AD26"/>
  <c r="AC26"/>
  <c r="AB26"/>
  <c r="AA26"/>
  <c r="Z26"/>
  <c r="Y26"/>
  <c r="I42" s="1"/>
  <c r="X26"/>
  <c r="W26"/>
  <c r="V26"/>
  <c r="E26"/>
  <c r="E41" s="1"/>
  <c r="AI25"/>
  <c r="AH25"/>
  <c r="AG25"/>
  <c r="AF25"/>
  <c r="AE25"/>
  <c r="AD25"/>
  <c r="AC25"/>
  <c r="AB25"/>
  <c r="AA25"/>
  <c r="Z25"/>
  <c r="Y25"/>
  <c r="X25"/>
  <c r="W25"/>
  <c r="V25"/>
  <c r="E25"/>
  <c r="E40" s="1"/>
  <c r="AI24"/>
  <c r="AH24"/>
  <c r="AG24"/>
  <c r="AF24"/>
  <c r="AE24"/>
  <c r="AD24"/>
  <c r="AC24"/>
  <c r="AB24"/>
  <c r="AA24"/>
  <c r="Z24"/>
  <c r="Y24"/>
  <c r="X24"/>
  <c r="W24"/>
  <c r="V24"/>
  <c r="E24"/>
  <c r="E39" s="1"/>
  <c r="AI23"/>
  <c r="AH23"/>
  <c r="R39" s="1"/>
  <c r="AG23"/>
  <c r="AF23"/>
  <c r="AE23"/>
  <c r="AD23"/>
  <c r="AC23"/>
  <c r="AB23"/>
  <c r="AA23"/>
  <c r="Z23"/>
  <c r="Y23"/>
  <c r="X23"/>
  <c r="W23"/>
  <c r="V23"/>
  <c r="E23"/>
  <c r="E38" s="1"/>
  <c r="AI22"/>
  <c r="AH22"/>
  <c r="R38" s="1"/>
  <c r="AG22"/>
  <c r="AF22"/>
  <c r="AE22"/>
  <c r="AD22"/>
  <c r="AC22"/>
  <c r="AB22"/>
  <c r="AA22"/>
  <c r="Z22"/>
  <c r="Y22"/>
  <c r="X22"/>
  <c r="W22"/>
  <c r="V22"/>
  <c r="I16"/>
  <c r="B7" i="1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l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I27"/>
  <c r="AA27"/>
  <c r="AE27"/>
  <c r="W27"/>
  <c r="AC27"/>
  <c r="AD27"/>
  <c r="H42"/>
  <c r="J39"/>
  <c r="V27"/>
  <c r="Z27"/>
  <c r="X27"/>
  <c r="Y27"/>
  <c r="AF27"/>
  <c r="AB27"/>
  <c r="AG27"/>
  <c r="AH27"/>
  <c r="M12" l="1"/>
  <c r="O12" s="1"/>
  <c r="N16" s="1"/>
  <c r="G7" i="11" s="1"/>
  <c r="J38" i="17"/>
  <c r="D464" i="11" l="1"/>
  <c r="N32" i="17" s="1"/>
  <c r="N34" s="1"/>
  <c r="C464" i="11"/>
  <c r="M32" i="17" s="1"/>
  <c r="M34" s="1"/>
  <c r="G464" i="11"/>
  <c r="F464"/>
  <c r="P32" i="17" s="1"/>
  <c r="P34" s="1"/>
  <c r="E464" i="11"/>
  <c r="O32" i="17" s="1"/>
  <c r="O34" s="1"/>
  <c r="Q32"/>
  <c r="Q34" s="1"/>
  <c r="I40" l="1"/>
  <c r="Q40"/>
  <c r="F40"/>
  <c r="P40"/>
  <c r="N40"/>
  <c r="J40"/>
  <c r="S40"/>
  <c r="K40"/>
  <c r="G40"/>
  <c r="R40"/>
  <c r="H40"/>
  <c r="L40"/>
  <c r="M40"/>
  <c r="O40"/>
  <c r="M38"/>
  <c r="O38"/>
  <c r="N38"/>
  <c r="P38"/>
  <c r="L38"/>
  <c r="S38"/>
  <c r="I38"/>
  <c r="G38"/>
  <c r="Q38"/>
  <c r="K38"/>
  <c r="F38"/>
  <c r="H38"/>
  <c r="O41"/>
  <c r="H41"/>
  <c r="N41"/>
  <c r="K41"/>
  <c r="G41"/>
  <c r="F41"/>
  <c r="L41"/>
  <c r="Q41"/>
  <c r="M41"/>
  <c r="S41"/>
  <c r="I41"/>
  <c r="R41"/>
  <c r="P41"/>
  <c r="J41"/>
  <c r="Q39"/>
  <c r="F39"/>
  <c r="M39"/>
  <c r="P39"/>
  <c r="S39"/>
  <c r="K39"/>
  <c r="I39"/>
  <c r="H39"/>
  <c r="O39"/>
  <c r="L39"/>
  <c r="N39"/>
  <c r="G39"/>
  <c r="P42"/>
  <c r="L42"/>
  <c r="N42"/>
  <c r="O42"/>
  <c r="S42"/>
  <c r="K42"/>
  <c r="G42"/>
  <c r="J42"/>
  <c r="M42"/>
  <c r="Q42"/>
  <c r="R42"/>
  <c r="F42"/>
  <c r="I43" l="1"/>
  <c r="C20" i="15" s="1"/>
  <c r="D20" s="1"/>
  <c r="M43" i="17"/>
  <c r="C24" i="15" s="1"/>
  <c r="D24" s="1"/>
  <c r="O43" i="17"/>
  <c r="C26" i="15" s="1"/>
  <c r="D26" s="1"/>
  <c r="R43" i="17"/>
  <c r="H43"/>
  <c r="C19" i="15" s="1"/>
  <c r="D19" s="1"/>
  <c r="J43" i="17"/>
  <c r="C21" i="15" s="1"/>
  <c r="D21" s="1"/>
  <c r="S43" i="17"/>
  <c r="F43"/>
  <c r="C17" i="15" s="1"/>
  <c r="D17" s="1"/>
  <c r="K43" i="17"/>
  <c r="C22" i="15" s="1"/>
  <c r="D22" s="1"/>
  <c r="Q43" i="17"/>
  <c r="C28" i="15" s="1"/>
  <c r="D28" s="1"/>
  <c r="G43" i="17"/>
  <c r="C18" i="15" s="1"/>
  <c r="D18" s="1"/>
  <c r="L43" i="17"/>
  <c r="C23" i="15" s="1"/>
  <c r="D23" s="1"/>
  <c r="P43" i="17"/>
  <c r="C27" i="15" s="1"/>
  <c r="D27" s="1"/>
  <c r="N43" i="17"/>
  <c r="C25" i="15" s="1"/>
  <c r="D25" s="1"/>
</calcChain>
</file>

<file path=xl/sharedStrings.xml><?xml version="1.0" encoding="utf-8"?>
<sst xmlns="http://schemas.openxmlformats.org/spreadsheetml/2006/main" count="1623" uniqueCount="195">
  <si>
    <t>Course Code and Name</t>
  </si>
  <si>
    <t>Branch / Year / Semester</t>
  </si>
  <si>
    <t>:</t>
  </si>
  <si>
    <t xml:space="preserve">Roll No of Students </t>
  </si>
  <si>
    <t xml:space="preserve">Total No of Students </t>
  </si>
  <si>
    <t>CO-1</t>
  </si>
  <si>
    <t>CO-2</t>
  </si>
  <si>
    <t>CO-3</t>
  </si>
  <si>
    <t>CO-4</t>
  </si>
  <si>
    <t>CO-5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</si>
  <si>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</si>
  <si>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</si>
  <si>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</si>
  <si>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</si>
  <si>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</si>
  <si>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</si>
  <si>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</si>
  <si>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</si>
  <si>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</si>
  <si>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</si>
  <si>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</si>
  <si>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</si>
  <si>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</si>
  <si>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</si>
  <si>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</si>
  <si>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Roll No. of Students </t>
  </si>
  <si>
    <t>Target Plan</t>
  </si>
  <si>
    <t>IV</t>
  </si>
  <si>
    <t>KONGU ENGINEERING COLLEGE, ERODE - 638 060</t>
  </si>
  <si>
    <t>S.NO</t>
  </si>
  <si>
    <t>(X-2) SEM</t>
  </si>
  <si>
    <t>(X-1) SEM</t>
  </si>
  <si>
    <t>A Sec</t>
  </si>
  <si>
    <t>B sec</t>
  </si>
  <si>
    <t>C Sec</t>
  </si>
  <si>
    <t xml:space="preserve">D Sec 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</si>
  <si>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</si>
  <si>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</si>
  <si>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</si>
  <si>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</si>
  <si>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</si>
  <si>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</si>
  <si>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</si>
  <si>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</si>
  <si>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DEPARTMENT OF ______________________________</t>
  </si>
  <si>
    <t>Toatl Average of ALL sections</t>
  </si>
  <si>
    <t>Avg of previous two semester</t>
  </si>
  <si>
    <t>Name of Faculty(s)</t>
  </si>
  <si>
    <t>BATCH</t>
  </si>
  <si>
    <t>22CDCXX</t>
  </si>
  <si>
    <t>XXXXXXXX XXXXX XXXXXXXX</t>
  </si>
  <si>
    <t>CSD</t>
  </si>
  <si>
    <t>S.No</t>
  </si>
  <si>
    <t>Name of the student</t>
  </si>
  <si>
    <t xml:space="preserve">Percentage of Marks Expected : </t>
  </si>
  <si>
    <t>Average Marks of Each CO</t>
  </si>
  <si>
    <t>Calculated Target</t>
  </si>
  <si>
    <t>TARGET</t>
  </si>
  <si>
    <t xml:space="preserve">Percentage of Students Expected to attain Expected Marks: </t>
  </si>
  <si>
    <t>Percentage of students secured average API and above( Previous 2 semester average)</t>
  </si>
  <si>
    <t>Total No of Students enrolled in the course:</t>
  </si>
  <si>
    <t xml:space="preserve">Number  of Students Expected to attain Expected Marks: </t>
  </si>
  <si>
    <t>Course Articulation Matrix</t>
  </si>
  <si>
    <t>Avg</t>
  </si>
  <si>
    <t>CO ATTAINMENT:</t>
  </si>
  <si>
    <t>Course Outcomes</t>
  </si>
  <si>
    <t>Continuous Assessment Based Analysis (%)</t>
  </si>
  <si>
    <t>PO ATTAINMENT</t>
  </si>
  <si>
    <t>Course Code</t>
  </si>
  <si>
    <t>Course Name</t>
  </si>
  <si>
    <t>No. of Tutorials</t>
  </si>
  <si>
    <t>Asssesment</t>
  </si>
  <si>
    <t xml:space="preserve">: </t>
  </si>
  <si>
    <t xml:space="preserve">Roll No </t>
  </si>
  <si>
    <t>Q. Nos</t>
  </si>
  <si>
    <t>TOT MARKS</t>
  </si>
  <si>
    <t>CO1</t>
  </si>
  <si>
    <t>CO2</t>
  </si>
  <si>
    <t>CO3</t>
  </si>
  <si>
    <t>CO4</t>
  </si>
  <si>
    <t>CO5</t>
  </si>
  <si>
    <t>Max Marks</t>
  </si>
  <si>
    <t>COs</t>
  </si>
  <si>
    <t>Total</t>
  </si>
  <si>
    <t>Review I</t>
  </si>
  <si>
    <t>Review II</t>
  </si>
  <si>
    <t>Consolidated Review Marks</t>
  </si>
  <si>
    <t>Date</t>
  </si>
  <si>
    <t>End semester Examination</t>
  </si>
  <si>
    <t>ESE</t>
  </si>
  <si>
    <t>Total No. of Students</t>
  </si>
  <si>
    <t>Max marks</t>
  </si>
  <si>
    <t>End Semester Examination</t>
  </si>
  <si>
    <t xml:space="preserve">Total </t>
  </si>
  <si>
    <t xml:space="preserve">Impact of delivery methods 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</si>
  <si>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</si>
  <si>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</si>
  <si>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</si>
  <si>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</si>
  <si>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</si>
  <si>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</si>
  <si>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</si>
  <si>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Course Handling faculty</t>
  </si>
  <si>
    <t xml:space="preserve">Course  Coordinator </t>
  </si>
  <si>
    <t>HoD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</si>
  <si>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</si>
  <si>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</si>
  <si>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</si>
  <si>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</si>
  <si>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</si>
  <si>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</si>
  <si>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</si>
  <si>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>Expected Marks</t>
  </si>
  <si>
    <t>No of Students obtained                        Expected Marks</t>
  </si>
  <si>
    <t>Percentage of CO / ESE Attainment</t>
  </si>
  <si>
    <t>PROJECT WORK  COURSE OUTCOME ANALYSIS</t>
  </si>
  <si>
    <t>Sem 6</t>
  </si>
  <si>
    <t>Sem 7</t>
  </si>
  <si>
    <t>Sem 8</t>
  </si>
  <si>
    <r>
      <t>Overall Attainment (</t>
    </r>
    <r>
      <rPr>
        <b/>
        <sz val="12"/>
        <color rgb="FFFF0000"/>
        <rFont val="Palatino Linotype"/>
      </rPr>
      <t>100% Internal</t>
    </r>
    <r>
      <rPr>
        <b/>
        <sz val="12"/>
        <color theme="1"/>
        <rFont val="Palatino Linotype"/>
      </rPr>
      <t>)</t>
    </r>
  </si>
  <si>
    <t>20MER074</t>
  </si>
  <si>
    <t>21MEL115</t>
  </si>
  <si>
    <t>21MEL116</t>
  </si>
  <si>
    <t>21MEL117</t>
  </si>
  <si>
    <t>21MEL118</t>
  </si>
  <si>
    <t>21MEL119</t>
  </si>
  <si>
    <t>21MEL120</t>
  </si>
  <si>
    <t>21MEL121</t>
  </si>
  <si>
    <t>21MEL122</t>
  </si>
  <si>
    <t>21MEL123</t>
  </si>
  <si>
    <t>21MEL124</t>
  </si>
  <si>
    <t>21MEL125</t>
  </si>
  <si>
    <t>21MEL126</t>
  </si>
  <si>
    <t>21MEL127</t>
  </si>
  <si>
    <t>21MEL128</t>
  </si>
  <si>
    <t>21MEL129</t>
  </si>
  <si>
    <t>21MEL130</t>
  </si>
  <si>
    <t>21MEL131</t>
  </si>
  <si>
    <t>21MER051</t>
  </si>
  <si>
    <t>21MER052</t>
  </si>
  <si>
    <t>21MER053</t>
  </si>
  <si>
    <t>21MER054</t>
  </si>
  <si>
    <t>21MER055</t>
  </si>
  <si>
    <t>21MER056</t>
  </si>
  <si>
    <t>21MER057</t>
  </si>
  <si>
    <t>21MER059</t>
  </si>
  <si>
    <t>21MER060</t>
  </si>
  <si>
    <t>21MER061</t>
  </si>
  <si>
    <t>21MER062</t>
  </si>
  <si>
    <t>21MER063</t>
  </si>
  <si>
    <t>21MER064</t>
  </si>
  <si>
    <t>21MER065</t>
  </si>
  <si>
    <t>21MER066</t>
  </si>
  <si>
    <t>21MER067</t>
  </si>
  <si>
    <t>21MER068</t>
  </si>
  <si>
    <t>21MER069</t>
  </si>
  <si>
    <t>21MER070</t>
  </si>
  <si>
    <t>21MER071</t>
  </si>
  <si>
    <t>21MER072</t>
  </si>
  <si>
    <t>21MER073</t>
  </si>
  <si>
    <t>21MER074</t>
  </si>
  <si>
    <t>21MER075</t>
  </si>
  <si>
    <t>21MER076</t>
  </si>
  <si>
    <t>21MER077</t>
  </si>
  <si>
    <t>21MER078</t>
  </si>
  <si>
    <t>21MER079</t>
  </si>
  <si>
    <t>21MER080</t>
  </si>
  <si>
    <t>21MER081</t>
  </si>
  <si>
    <t>21MER082</t>
  </si>
  <si>
    <t>21MER083</t>
  </si>
  <si>
    <t>21MER084</t>
  </si>
  <si>
    <t>21MER085</t>
  </si>
  <si>
    <t>21MER086</t>
  </si>
  <si>
    <t>21MER087</t>
  </si>
  <si>
    <t>21MER088</t>
  </si>
  <si>
    <t>21MER089</t>
  </si>
  <si>
    <t>21MER090</t>
  </si>
  <si>
    <t>21MER091</t>
  </si>
  <si>
    <t>21MER092</t>
  </si>
  <si>
    <t>21MER093</t>
  </si>
  <si>
    <t>21MER094</t>
  </si>
  <si>
    <t>21MER095</t>
  </si>
  <si>
    <t>21MER096</t>
  </si>
  <si>
    <t>21MER097</t>
  </si>
  <si>
    <t>21MER098</t>
  </si>
  <si>
    <t>21MER099</t>
  </si>
  <si>
    <t>21MER100</t>
  </si>
  <si>
    <t>21MER101</t>
  </si>
  <si>
    <t>21MER102</t>
  </si>
  <si>
    <t>21MER103</t>
  </si>
  <si>
    <t xml:space="preserve">Year  Coordinator </t>
  </si>
  <si>
    <t>DEPARTMENT OF ________________________________________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</si>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</sst>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Microsoft Sans Serif"/>
      <family val="2"/>
    </font>
    <font>
      <sz val="8.5"/>
      <name val="Microsoft Sans Serif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rgb="FF000000"/>
      <name val="Times New Roman"/>
      <family val="1"/>
    </font>
    <font>
      <b/>
      <sz val="12"/>
      <color theme="1"/>
      <name val="Palatino Linotype"/>
    </font>
    <font>
      <sz val="11"/>
      <name val="Calibri"/>
    </font>
    <font>
      <sz val="12"/>
      <color theme="1"/>
      <name val="Palatino Linotype"/>
    </font>
    <font>
      <u/>
      <sz val="12"/>
      <color theme="10"/>
      <name val="Palatino Linotype"/>
    </font>
    <font>
      <b/>
      <sz val="11"/>
      <color theme="1"/>
      <name val="Palatino Linotype"/>
    </font>
    <font>
      <b/>
      <sz val="18"/>
      <color theme="1"/>
      <name val="Calibri"/>
      <family val="2"/>
      <scheme val="minor"/>
    </font>
    <font>
      <sz val="11"/>
      <color theme="1"/>
      <name val="Calibri"/>
    </font>
    <font>
      <b/>
      <sz val="12"/>
      <name val="Palatino Linotype"/>
    </font>
    <font>
      <sz val="11"/>
      <name val="Calibri"/>
      <scheme val="minor"/>
    </font>
    <font>
      <b/>
      <sz val="13"/>
      <color theme="1"/>
      <name val="Palatino Linotype"/>
    </font>
    <font>
      <sz val="13"/>
      <color theme="1"/>
      <name val="Palatino Linotype"/>
    </font>
    <font>
      <b/>
      <sz val="12"/>
      <color rgb="FF000000"/>
      <name val="Palatino Linotype"/>
    </font>
    <font>
      <b/>
      <sz val="12"/>
      <color rgb="FFFF0000"/>
      <name val="Palatino Linotype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Palatino Linotype"/>
      <family val="1"/>
    </font>
    <font>
      <sz val="12"/>
      <color rgb="FF000000"/>
      <name val="Palatino Linotype"/>
      <family val="1"/>
    </font>
    <font>
      <sz val="12"/>
      <color rgb="FFFF0000"/>
      <name val="Palatino Linotype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DD9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FDD9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5">
    <xf numFmtId="0" fontId="0" fillId="0" borderId="0"/>
    <xf numFmtId="0" fontId="4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29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5" fillId="0" borderId="0" xfId="0" applyFont="1"/>
    <xf numFmtId="0" fontId="9" fillId="6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7" borderId="8" xfId="0" applyFont="1" applyFill="1" applyBorder="1" applyAlignment="1" applyProtection="1">
      <alignment horizontal="center"/>
      <protection locked="0"/>
    </xf>
    <xf numFmtId="1" fontId="11" fillId="7" borderId="8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Protection="1">
      <protection locked="0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3" borderId="32" xfId="0" applyFont="1" applyFill="1" applyBorder="1" applyAlignment="1" applyProtection="1">
      <alignment horizontal="center" vertical="center" wrapText="1"/>
      <protection locked="0"/>
    </xf>
    <xf numFmtId="0" fontId="11" fillId="13" borderId="33" xfId="0" applyFont="1" applyFill="1" applyBorder="1" applyAlignment="1" applyProtection="1">
      <alignment horizontal="center" vertical="center" wrapText="1"/>
      <protection locked="0"/>
    </xf>
    <xf numFmtId="0" fontId="11" fillId="13" borderId="29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9" fillId="11" borderId="11" xfId="0" applyNumberFormat="1" applyFont="1" applyFill="1" applyBorder="1" applyAlignment="1">
      <alignment horizontal="center" vertical="center"/>
    </xf>
    <xf numFmtId="165" fontId="9" fillId="11" borderId="8" xfId="0" applyNumberFormat="1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 wrapText="1"/>
    </xf>
    <xf numFmtId="2" fontId="11" fillId="0" borderId="33" xfId="0" applyNumberFormat="1" applyFont="1" applyBorder="1" applyAlignment="1">
      <alignment horizontal="center" vertical="center" wrapText="1"/>
    </xf>
    <xf numFmtId="2" fontId="9" fillId="11" borderId="32" xfId="0" applyNumberFormat="1" applyFont="1" applyFill="1" applyBorder="1" applyAlignment="1">
      <alignment horizontal="center" vertical="center" wrapText="1"/>
    </xf>
    <xf numFmtId="1" fontId="11" fillId="7" borderId="20" xfId="0" applyNumberFormat="1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5" fillId="0" borderId="0" xfId="0" applyFont="1"/>
    <xf numFmtId="0" fontId="6" fillId="14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4" borderId="0" xfId="0" applyFont="1" applyFill="1"/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/>
    <xf numFmtId="0" fontId="6" fillId="14" borderId="10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1" fontId="23" fillId="14" borderId="40" xfId="0" applyNumberFormat="1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14" borderId="9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 wrapText="1"/>
    </xf>
    <xf numFmtId="0" fontId="23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0" fontId="23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1" fontId="23" fillId="0" borderId="40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3" fontId="5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0" borderId="1" xfId="64" applyFont="1" applyFill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9" fillId="11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11" fillId="7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20" fillId="11" borderId="9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10" fillId="0" borderId="14" xfId="0" applyFont="1" applyBorder="1"/>
    <xf numFmtId="0" fontId="0" fillId="0" borderId="0" xfId="0"/>
    <xf numFmtId="0" fontId="10" fillId="0" borderId="0" xfId="0" applyFont="1"/>
    <xf numFmtId="0" fontId="10" fillId="0" borderId="13" xfId="0" applyFont="1" applyBorder="1"/>
    <xf numFmtId="0" fontId="9" fillId="10" borderId="12" xfId="0" applyFont="1" applyFill="1" applyBorder="1" applyAlignment="1">
      <alignment horizontal="center" vertical="center"/>
    </xf>
    <xf numFmtId="0" fontId="10" fillId="3" borderId="19" xfId="0" applyFont="1" applyFill="1" applyBorder="1"/>
    <xf numFmtId="0" fontId="10" fillId="3" borderId="16" xfId="0" applyFont="1" applyFill="1" applyBorder="1"/>
    <xf numFmtId="0" fontId="10" fillId="3" borderId="14" xfId="0" applyFont="1" applyFill="1" applyBorder="1"/>
    <xf numFmtId="0" fontId="0" fillId="3" borderId="0" xfId="0" applyFill="1"/>
    <xf numFmtId="0" fontId="10" fillId="3" borderId="15" xfId="0" applyFont="1" applyFill="1" applyBorder="1"/>
    <xf numFmtId="0" fontId="10" fillId="3" borderId="13" xfId="0" applyFont="1" applyFill="1" applyBorder="1"/>
    <xf numFmtId="0" fontId="10" fillId="3" borderId="17" xfId="0" applyFont="1" applyFill="1" applyBorder="1"/>
    <xf numFmtId="0" fontId="10" fillId="3" borderId="18" xfId="0" applyFont="1" applyFill="1" applyBorder="1"/>
    <xf numFmtId="0" fontId="6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2" fontId="9" fillId="9" borderId="12" xfId="0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9" fillId="6" borderId="14" xfId="0" applyFont="1" applyFill="1" applyBorder="1" applyAlignment="1">
      <alignment horizontal="center" vertical="center" wrapText="1"/>
    </xf>
    <xf numFmtId="0" fontId="10" fillId="0" borderId="15" xfId="0" applyFont="1" applyBorder="1"/>
    <xf numFmtId="0" fontId="13" fillId="2" borderId="0" xfId="0" applyFont="1" applyFill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/>
    <xf numFmtId="0" fontId="9" fillId="7" borderId="9" xfId="0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Protection="1"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10" fillId="0" borderId="16" xfId="0" applyFont="1" applyBorder="1"/>
    <xf numFmtId="0" fontId="9" fillId="9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0" fontId="10" fillId="3" borderId="22" xfId="0" applyFont="1" applyFill="1" applyBorder="1"/>
    <xf numFmtId="0" fontId="9" fillId="6" borderId="0" xfId="0" applyFont="1" applyFill="1" applyAlignment="1">
      <alignment horizontal="center"/>
    </xf>
    <xf numFmtId="0" fontId="6" fillId="7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6" fillId="6" borderId="0" xfId="0" applyFont="1" applyFill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6" fillId="14" borderId="37" xfId="0" applyFont="1" applyFill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6" fillId="0" borderId="20" xfId="0" applyFont="1" applyBorder="1" applyAlignment="1">
      <alignment horizontal="center" vertical="center" wrapText="1"/>
    </xf>
    <xf numFmtId="0" fontId="22" fillId="0" borderId="21" xfId="0" applyFont="1" applyBorder="1"/>
    <xf numFmtId="0" fontId="22" fillId="0" borderId="22" xfId="0" applyFont="1" applyBorder="1"/>
    <xf numFmtId="0" fontId="6" fillId="0" borderId="12" xfId="0" applyFont="1" applyBorder="1" applyAlignment="1">
      <alignment horizontal="center" vertical="center"/>
    </xf>
    <xf numFmtId="0" fontId="22" fillId="0" borderId="19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6" xfId="0" applyFont="1" applyBorder="1"/>
    <xf numFmtId="0" fontId="25" fillId="0" borderId="12" xfId="0" applyFont="1" applyBorder="1" applyAlignment="1" applyProtection="1">
      <alignment horizontal="center"/>
      <protection locked="0"/>
    </xf>
    <xf numFmtId="0" fontId="22" fillId="0" borderId="19" xfId="0" applyFont="1" applyBorder="1" applyProtection="1">
      <protection locked="0"/>
    </xf>
    <xf numFmtId="0" fontId="6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0" fontId="6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2" fillId="0" borderId="10" xfId="0" applyFont="1" applyBorder="1"/>
    <xf numFmtId="0" fontId="22" fillId="0" borderId="11" xfId="0" applyFont="1" applyBorder="1"/>
    <xf numFmtId="0" fontId="2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2" fillId="0" borderId="0" xfId="0" applyFont="1"/>
    <xf numFmtId="0" fontId="6" fillId="15" borderId="36" xfId="0" applyFont="1" applyFill="1" applyBorder="1" applyAlignment="1">
      <alignment horizontal="center" vertical="center"/>
    </xf>
    <xf numFmtId="0" fontId="22" fillId="2" borderId="0" xfId="0" applyFont="1" applyFill="1"/>
    <xf numFmtId="0" fontId="6" fillId="14" borderId="36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22" fillId="0" borderId="35" xfId="0" applyFont="1" applyBorder="1"/>
    <xf numFmtId="0" fontId="6" fillId="14" borderId="1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" fontId="26" fillId="0" borderId="9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7" fillId="11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22" fillId="0" borderId="36" xfId="0" applyFont="1" applyBorder="1"/>
    <xf numFmtId="0" fontId="22" fillId="0" borderId="44" xfId="0" applyFont="1" applyBorder="1"/>
    <xf numFmtId="0" fontId="22" fillId="0" borderId="45" xfId="0" applyFont="1" applyBorder="1"/>
    <xf numFmtId="0" fontId="22" fillId="0" borderId="46" xfId="0" applyFont="1" applyBorder="1"/>
    <xf numFmtId="0" fontId="22" fillId="0" borderId="33" xfId="0" applyFont="1" applyBorder="1"/>
    <xf numFmtId="0" fontId="23" fillId="4" borderId="34" xfId="0" applyFont="1" applyFill="1" applyBorder="1" applyAlignment="1" applyProtection="1">
      <alignment horizontal="left" vertical="center" wrapText="1"/>
      <protection locked="0"/>
    </xf>
    <xf numFmtId="0" fontId="22" fillId="4" borderId="35" xfId="0" applyFont="1" applyFill="1" applyBorder="1" applyProtection="1">
      <protection locked="0"/>
    </xf>
    <xf numFmtId="0" fontId="22" fillId="4" borderId="43" xfId="0" applyFont="1" applyFill="1" applyBorder="1" applyProtection="1">
      <protection locked="0"/>
    </xf>
    <xf numFmtId="0" fontId="22" fillId="4" borderId="36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22" fillId="4" borderId="44" xfId="0" applyFont="1" applyFill="1" applyBorder="1" applyProtection="1">
      <protection locked="0"/>
    </xf>
    <xf numFmtId="0" fontId="22" fillId="4" borderId="45" xfId="0" applyFont="1" applyFill="1" applyBorder="1" applyProtection="1">
      <protection locked="0"/>
    </xf>
    <xf numFmtId="0" fontId="22" fillId="4" borderId="46" xfId="0" applyFont="1" applyFill="1" applyBorder="1" applyProtection="1">
      <protection locked="0"/>
    </xf>
    <xf numFmtId="0" fontId="22" fillId="4" borderId="33" xfId="0" applyFont="1" applyFill="1" applyBorder="1" applyProtection="1">
      <protection locked="0"/>
    </xf>
    <xf numFmtId="0" fontId="27" fillId="0" borderId="47" xfId="0" applyFont="1" applyBorder="1" applyAlignment="1">
      <alignment horizontal="center" vertical="center" wrapText="1"/>
    </xf>
    <xf numFmtId="0" fontId="22" fillId="0" borderId="48" xfId="0" applyFont="1" applyBorder="1"/>
    <xf numFmtId="0" fontId="22" fillId="0" borderId="29" xfId="0" applyFont="1" applyBorder="1"/>
    <xf numFmtId="0" fontId="27" fillId="11" borderId="49" xfId="0" applyFont="1" applyFill="1" applyBorder="1" applyAlignment="1">
      <alignment horizontal="center" vertical="center" wrapText="1"/>
    </xf>
    <xf numFmtId="0" fontId="22" fillId="0" borderId="5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2" fillId="4" borderId="10" xfId="0" applyFont="1" applyFill="1" applyBorder="1" applyProtection="1">
      <protection locked="0"/>
    </xf>
    <xf numFmtId="0" fontId="22" fillId="4" borderId="11" xfId="0" applyFont="1" applyFill="1" applyBorder="1" applyProtection="1">
      <protection locked="0"/>
    </xf>
  </cellXfs>
  <cellStyles count="65">
    <cellStyle name="Comma" xfId="64" builtinId="3"/>
    <cellStyle name="Normal" xfId="0" builtinId="0"/>
    <cellStyle name="Normal 10 2" xfId="10"/>
    <cellStyle name="Normal 10 3" xfId="11"/>
    <cellStyle name="Normal 11 2" xfId="12"/>
    <cellStyle name="Normal 11 3" xfId="13"/>
    <cellStyle name="Normal 12 2" xfId="14"/>
    <cellStyle name="Normal 12 3" xfId="15"/>
    <cellStyle name="Normal 13 2" xfId="16"/>
    <cellStyle name="Normal 13 3" xfId="17"/>
    <cellStyle name="Normal 14 2" xfId="18"/>
    <cellStyle name="Normal 14 3" xfId="19"/>
    <cellStyle name="Normal 15 2" xfId="20"/>
    <cellStyle name="Normal 15 3" xfId="21"/>
    <cellStyle name="Normal 16 2" xfId="22"/>
    <cellStyle name="Normal 16 3" xfId="23"/>
    <cellStyle name="Normal 17 2" xfId="24"/>
    <cellStyle name="Normal 17 3" xfId="25"/>
    <cellStyle name="Normal 18 2" xfId="26"/>
    <cellStyle name="Normal 18 3" xfId="27"/>
    <cellStyle name="Normal 19 2" xfId="28"/>
    <cellStyle name="Normal 19 3" xfId="29"/>
    <cellStyle name="Normal 2" xfId="1"/>
    <cellStyle name="Normal 2 2" xfId="2"/>
    <cellStyle name="Normal 20 2" xfId="30"/>
    <cellStyle name="Normal 20 3" xfId="31"/>
    <cellStyle name="Normal 21 2" xfId="32"/>
    <cellStyle name="Normal 21 3" xfId="33"/>
    <cellStyle name="Normal 22 2" xfId="34"/>
    <cellStyle name="Normal 22 3" xfId="35"/>
    <cellStyle name="Normal 23 2" xfId="36"/>
    <cellStyle name="Normal 23 3" xfId="37"/>
    <cellStyle name="Normal 24 2" xfId="38"/>
    <cellStyle name="Normal 24 3" xfId="39"/>
    <cellStyle name="Normal 25 3" xfId="40"/>
    <cellStyle name="Normal 25 4" xfId="41"/>
    <cellStyle name="Normal 26 2" xfId="42"/>
    <cellStyle name="Normal 26 3" xfId="43"/>
    <cellStyle name="Normal 27 2" xfId="44"/>
    <cellStyle name="Normal 27 3" xfId="45"/>
    <cellStyle name="Normal 28 2" xfId="46"/>
    <cellStyle name="Normal 28 3" xfId="47"/>
    <cellStyle name="Normal 29 2" xfId="48"/>
    <cellStyle name="Normal 29 3" xfId="49"/>
    <cellStyle name="Normal 3" xfId="3"/>
    <cellStyle name="Normal 3 2" xfId="4"/>
    <cellStyle name="Normal 3 3" xfId="50"/>
    <cellStyle name="Normal 3 4" xfId="51"/>
    <cellStyle name="Normal 30 2" xfId="52"/>
    <cellStyle name="Normal 30 3" xfId="53"/>
    <cellStyle name="Normal 4" xfId="5"/>
    <cellStyle name="Normal 4 2" xfId="6"/>
    <cellStyle name="Normal 4 3" xfId="54"/>
    <cellStyle name="Normal 4 4" xfId="55"/>
    <cellStyle name="Normal 5 2" xfId="7"/>
    <cellStyle name="Normal 5 3" xfId="56"/>
    <cellStyle name="Normal 5 4" xfId="57"/>
    <cellStyle name="Normal 6 2" xfId="8"/>
    <cellStyle name="Normal 6 3" xfId="9"/>
    <cellStyle name="Normal 7 2" xfId="58"/>
    <cellStyle name="Normal 7 3" xfId="59"/>
    <cellStyle name="Normal 8 2" xfId="60"/>
    <cellStyle name="Normal 8 3" xfId="61"/>
    <cellStyle name="Normal 9 2" xfId="62"/>
    <cellStyle name="Normal 9 3" xfId="63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1297620</xdr:colOff>
      <xdr:row>1</xdr:row>
      <xdr:rowOff>56204</xdr:rowOff>
    </xdr:from>
    <xdr:to>
      <xdr:col>2</xdr:col>
      <xdr:colOff>764050</xdr:colOff>
      <xdr:row>3</xdr:row>
      <xdr:rowOff>176485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249179A3-16E8-486B-888B-CA6803BB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3055" y="277074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218712</xdr:colOff>
      <xdr:row>1</xdr:row>
      <xdr:rowOff>98538</xdr:rowOff>
    </xdr:from>
    <xdr:to>
      <xdr:col>13</xdr:col>
      <xdr:colOff>136055</xdr:colOff>
      <xdr:row>3</xdr:row>
      <xdr:rowOff>169909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813B16E-BB98-47A9-9C8F-41EB0E22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0234" y="319408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148165</xdr:colOff>
      <xdr:row>0</xdr:row>
      <xdr:rowOff>27611</xdr:rowOff>
    </xdr:from>
    <xdr:to>
      <xdr:col>14</xdr:col>
      <xdr:colOff>371474</xdr:colOff>
      <xdr:row>1</xdr:row>
      <xdr:rowOff>55216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B2016789-8323-495F-ACD5-15FFF778D9D1}"/>
            </a:ext>
          </a:extLst>
        </xdr:cNvPr>
        <xdr:cNvSpPr>
          <a:spLocks/>
        </xdr:cNvSpPr>
      </xdr:nvSpPr>
      <xdr:spPr bwMode="auto">
        <a:xfrm>
          <a:off x="6929965" y="27611"/>
          <a:ext cx="2128309" cy="24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PO-04A,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76615</xdr:colOff>
      <xdr:row>2</xdr:row>
      <xdr:rowOff>126838</xdr:rowOff>
    </xdr:from>
    <xdr:to>
      <xdr:col>1</xdr:col>
      <xdr:colOff>226722</xdr:colOff>
      <xdr:row>4</xdr:row>
      <xdr:rowOff>4591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BEA7AA6A-E3A2-49F1-AF52-C252446C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615" y="666588"/>
          <a:ext cx="753357" cy="5762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423363</xdr:colOff>
      <xdr:row>1</xdr:row>
      <xdr:rowOff>264422</xdr:rowOff>
    </xdr:from>
    <xdr:to>
      <xdr:col>14</xdr:col>
      <xdr:colOff>277872</xdr:colOff>
      <xdr:row>3</xdr:row>
      <xdr:rowOff>317500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C087E2A-BF17-4D17-B7CA-5B3615DF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78113" y="534297"/>
          <a:ext cx="870509" cy="5928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269875</xdr:colOff>
      <xdr:row>0</xdr:row>
      <xdr:rowOff>121085</xdr:rowOff>
    </xdr:from>
    <xdr:to>
      <xdr:col>14</xdr:col>
      <xdr:colOff>654247</xdr:colOff>
      <xdr:row>1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2F0657E8-7A40-4A9A-90DB-337601CB0C3D}"/>
            </a:ext>
          </a:extLst>
        </xdr:cNvPr>
        <xdr:cNvSpPr>
          <a:spLocks/>
        </xdr:cNvSpPr>
      </xdr:nvSpPr>
      <xdr:spPr bwMode="auto">
        <a:xfrm>
          <a:off x="5994400" y="121085"/>
          <a:ext cx="1955997" cy="278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PO-04A,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THEORY%20%20COUR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LABORATORY%20COUR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  <cell r="D5" t="str">
            <v>a</v>
          </cell>
          <cell r="G5" t="str">
            <v>b</v>
          </cell>
          <cell r="J5" t="str">
            <v>c</v>
          </cell>
          <cell r="M5" t="str">
            <v>d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exp marks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</row>
        <row r="6">
          <cell r="A6" t="str">
            <v>Course Code and Name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  <cell r="R28" t="str">
            <v>-</v>
          </cell>
          <cell r="S28" t="str">
            <v>-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  <cell r="R43" t="str">
            <v>-</v>
          </cell>
          <cell r="S43" t="str">
            <v>-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>
        <row r="10">
          <cell r="Z10">
            <v>20</v>
          </cell>
          <cell r="AA10">
            <v>20</v>
          </cell>
          <cell r="AB10">
            <v>20</v>
          </cell>
          <cell r="AC10">
            <v>20</v>
          </cell>
          <cell r="AD10">
            <v>20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28" workbookViewId="0">
      <selection activeCell="N84" sqref="N84"/>
    </sheetView>
  </sheetViews>
  <sheetFormatPr defaultColWidth="9.140625" defaultRowHeight="15"/>
  <cols>
    <col min="1" max="1" width="23.85546875" style="46" customWidth="1"/>
    <col min="2" max="16384" width="9.140625" style="46"/>
  </cols>
  <sheetData>
    <row r="1" spans="1:13" ht="18">
      <c r="A1" s="130" t="s">
        <v>28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 ht="15" customHeight="1">
      <c r="A2" s="131" t="s">
        <v>191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15" customHeight="1">
      <c r="A3" s="132" t="s">
        <v>192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</row>
    <row r="4" spans="1:13" ht="15" customHeight="1">
      <c r="A4" s="110" t="s">
        <v>29</v>
      </c>
      <c r="B4" s="133" t="s">
        <v>30</v>
      </c>
      <c r="C4" s="133"/>
      <c r="D4" s="133"/>
      <c r="E4" s="133"/>
      <c r="F4" s="133"/>
      <c r="G4" s="133"/>
      <c r="H4" s="133" t="s">
        <v>31</v>
      </c>
      <c r="I4" s="133"/>
      <c r="J4" s="133"/>
      <c r="K4" s="133"/>
      <c r="L4" s="133"/>
      <c r="M4" s="133"/>
    </row>
    <row r="5" spans="1:13" ht="15" customHeight="1">
      <c r="A5" s="110"/>
      <c r="B5" s="110" t="s">
        <v>32</v>
      </c>
      <c r="C5" s="110" t="s">
        <v>33</v>
      </c>
      <c r="D5" s="110" t="s">
        <v>34</v>
      </c>
      <c r="E5" s="110" t="s">
        <v>35</v>
      </c>
      <c r="F5" s="110" t="s">
        <v>193</v>
      </c>
      <c r="G5" s="110" t="s">
        <v>194</v>
      </c>
      <c r="H5" s="110" t="s">
        <v>32</v>
      </c>
      <c r="I5" s="110" t="s">
        <v>33</v>
      </c>
      <c r="J5" s="110" t="s">
        <v>34</v>
      </c>
      <c r="K5" s="110" t="s">
        <v>35</v>
      </c>
      <c r="L5" s="110" t="s">
        <v>193</v>
      </c>
      <c r="M5" s="110" t="s">
        <v>194</v>
      </c>
    </row>
    <row r="6" spans="1:13" ht="15" customHeight="1">
      <c r="A6" s="111">
        <v>1</v>
      </c>
      <c r="B6" s="3"/>
      <c r="C6" s="4"/>
      <c r="D6" s="4"/>
      <c r="E6" s="4"/>
      <c r="F6" s="5"/>
      <c r="G6" s="5"/>
      <c r="H6" s="3"/>
      <c r="I6" s="4"/>
      <c r="J6" s="4"/>
      <c r="K6" s="4"/>
      <c r="L6" s="5"/>
      <c r="M6" s="5"/>
    </row>
    <row r="7" spans="1:13" ht="15" customHeight="1">
      <c r="A7" s="111">
        <v>2</v>
      </c>
      <c r="B7" s="3"/>
      <c r="C7" s="4"/>
      <c r="D7" s="4"/>
      <c r="E7" s="4"/>
      <c r="F7" s="5"/>
      <c r="G7" s="5"/>
      <c r="H7" s="3"/>
      <c r="I7" s="4"/>
      <c r="J7" s="4"/>
      <c r="K7" s="4"/>
      <c r="L7" s="5"/>
      <c r="M7" s="5"/>
    </row>
    <row r="8" spans="1:13" ht="15" customHeight="1">
      <c r="A8" s="111">
        <v>3</v>
      </c>
      <c r="B8" s="3"/>
      <c r="C8" s="4"/>
      <c r="D8" s="4"/>
      <c r="E8" s="4"/>
      <c r="F8" s="5"/>
      <c r="G8" s="5"/>
      <c r="H8" s="3"/>
      <c r="I8" s="4"/>
      <c r="J8" s="4"/>
      <c r="K8" s="4"/>
      <c r="L8" s="5"/>
      <c r="M8" s="5"/>
    </row>
    <row r="9" spans="1:13" ht="15" customHeight="1">
      <c r="A9" s="111">
        <v>4</v>
      </c>
      <c r="B9" s="3"/>
      <c r="C9" s="4"/>
      <c r="D9" s="4"/>
      <c r="E9" s="4"/>
      <c r="F9" s="5"/>
      <c r="G9" s="5"/>
      <c r="H9" s="3"/>
      <c r="I9" s="4"/>
      <c r="J9" s="4"/>
      <c r="K9" s="4"/>
      <c r="L9" s="5"/>
      <c r="M9" s="5"/>
    </row>
    <row r="10" spans="1:13" ht="15" customHeight="1">
      <c r="A10" s="111">
        <v>5</v>
      </c>
      <c r="B10" s="3"/>
      <c r="C10" s="4"/>
      <c r="D10" s="4"/>
      <c r="E10" s="4"/>
      <c r="F10" s="5"/>
      <c r="G10" s="5"/>
      <c r="H10" s="3"/>
      <c r="I10" s="4"/>
      <c r="J10" s="4"/>
      <c r="K10" s="4"/>
      <c r="L10" s="5"/>
      <c r="M10" s="5"/>
    </row>
    <row r="11" spans="1:13" ht="15" customHeight="1">
      <c r="A11" s="111">
        <v>6</v>
      </c>
      <c r="B11" s="3"/>
      <c r="C11" s="4"/>
      <c r="D11" s="4"/>
      <c r="E11" s="4"/>
      <c r="F11" s="5"/>
      <c r="G11" s="5"/>
      <c r="H11" s="3"/>
      <c r="I11" s="4"/>
      <c r="J11" s="4"/>
      <c r="K11" s="4"/>
      <c r="L11" s="5"/>
      <c r="M11" s="5"/>
    </row>
    <row r="12" spans="1:13" ht="15" customHeight="1">
      <c r="A12" s="111">
        <v>7</v>
      </c>
      <c r="B12" s="3"/>
      <c r="C12" s="4"/>
      <c r="D12" s="4"/>
      <c r="E12" s="4"/>
      <c r="F12" s="5"/>
      <c r="G12" s="5"/>
      <c r="H12" s="3"/>
      <c r="I12" s="4"/>
      <c r="J12" s="4"/>
      <c r="K12" s="4"/>
      <c r="L12" s="5"/>
      <c r="M12" s="5"/>
    </row>
    <row r="13" spans="1:13" ht="15" customHeight="1">
      <c r="A13" s="111">
        <v>8</v>
      </c>
      <c r="B13" s="3"/>
      <c r="C13" s="4"/>
      <c r="D13" s="4"/>
      <c r="E13" s="4"/>
      <c r="F13" s="5"/>
      <c r="G13" s="5"/>
      <c r="H13" s="3"/>
      <c r="I13" s="4"/>
      <c r="J13" s="4"/>
      <c r="K13" s="4"/>
      <c r="L13" s="5"/>
      <c r="M13" s="5"/>
    </row>
    <row r="14" spans="1:13" ht="15" customHeight="1">
      <c r="A14" s="111">
        <v>9</v>
      </c>
      <c r="B14" s="3"/>
      <c r="C14" s="4"/>
      <c r="D14" s="4"/>
      <c r="E14" s="4"/>
      <c r="F14" s="5"/>
      <c r="G14" s="5"/>
      <c r="H14" s="3"/>
      <c r="I14" s="4"/>
      <c r="J14" s="4"/>
      <c r="K14" s="4"/>
      <c r="L14" s="5"/>
      <c r="M14" s="5"/>
    </row>
    <row r="15" spans="1:13" ht="15" customHeight="1">
      <c r="A15" s="111">
        <v>10</v>
      </c>
      <c r="B15" s="3"/>
      <c r="C15" s="4"/>
      <c r="D15" s="4"/>
      <c r="E15" s="4"/>
      <c r="F15" s="5"/>
      <c r="G15" s="5"/>
      <c r="H15" s="3"/>
      <c r="I15" s="4"/>
      <c r="J15" s="4"/>
      <c r="K15" s="4"/>
      <c r="L15" s="5"/>
      <c r="M15" s="5"/>
    </row>
    <row r="16" spans="1:13" ht="15" customHeight="1">
      <c r="A16" s="111">
        <v>11</v>
      </c>
      <c r="B16" s="3"/>
      <c r="C16" s="4"/>
      <c r="D16" s="4"/>
      <c r="E16" s="4"/>
      <c r="F16" s="5"/>
      <c r="G16" s="5"/>
      <c r="H16" s="3"/>
      <c r="I16" s="4"/>
      <c r="J16" s="4"/>
      <c r="K16" s="4"/>
      <c r="L16" s="5"/>
      <c r="M16" s="5"/>
    </row>
    <row r="17" spans="1:13" ht="15" customHeight="1">
      <c r="A17" s="111">
        <v>12</v>
      </c>
      <c r="B17" s="3"/>
      <c r="C17" s="4"/>
      <c r="D17" s="4"/>
      <c r="E17" s="4"/>
      <c r="F17" s="5"/>
      <c r="G17" s="5"/>
      <c r="H17" s="3"/>
      <c r="I17" s="4"/>
      <c r="J17" s="4"/>
      <c r="K17" s="4"/>
      <c r="L17" s="5"/>
      <c r="M17" s="5"/>
    </row>
    <row r="18" spans="1:13" ht="15" customHeight="1">
      <c r="A18" s="111">
        <v>13</v>
      </c>
      <c r="B18" s="3"/>
      <c r="C18" s="4"/>
      <c r="D18" s="4"/>
      <c r="E18" s="4"/>
      <c r="F18" s="5"/>
      <c r="G18" s="5"/>
      <c r="H18" s="3"/>
      <c r="I18" s="4"/>
      <c r="J18" s="4"/>
      <c r="K18" s="4"/>
      <c r="L18" s="5"/>
      <c r="M18" s="5"/>
    </row>
    <row r="19" spans="1:13" ht="15" customHeight="1">
      <c r="A19" s="111">
        <v>14</v>
      </c>
      <c r="B19" s="3"/>
      <c r="C19" s="4"/>
      <c r="D19" s="4"/>
      <c r="E19" s="4"/>
      <c r="F19" s="5"/>
      <c r="G19" s="5"/>
      <c r="H19" s="3"/>
      <c r="I19" s="4"/>
      <c r="J19" s="4"/>
      <c r="K19" s="4"/>
      <c r="L19" s="5"/>
      <c r="M19" s="5"/>
    </row>
    <row r="20" spans="1:13" ht="15" customHeight="1">
      <c r="A20" s="111">
        <v>15</v>
      </c>
      <c r="B20" s="3"/>
      <c r="C20" s="4"/>
      <c r="D20" s="4"/>
      <c r="E20" s="4"/>
      <c r="F20" s="5"/>
      <c r="G20" s="5"/>
      <c r="H20" s="3"/>
      <c r="I20" s="4"/>
      <c r="J20" s="4"/>
      <c r="K20" s="4"/>
      <c r="L20" s="5"/>
      <c r="M20" s="5"/>
    </row>
    <row r="21" spans="1:13" ht="15" customHeight="1">
      <c r="A21" s="111">
        <v>16</v>
      </c>
      <c r="B21" s="3"/>
      <c r="C21" s="4"/>
      <c r="D21" s="4"/>
      <c r="E21" s="4"/>
      <c r="F21" s="5"/>
      <c r="G21" s="5"/>
      <c r="H21" s="3"/>
      <c r="I21" s="4"/>
      <c r="J21" s="4"/>
      <c r="K21" s="4"/>
      <c r="L21" s="5"/>
      <c r="M21" s="5"/>
    </row>
    <row r="22" spans="1:13" ht="15" customHeight="1">
      <c r="A22" s="111">
        <v>17</v>
      </c>
      <c r="B22" s="3"/>
      <c r="C22" s="4"/>
      <c r="D22" s="4"/>
      <c r="E22" s="4"/>
      <c r="F22" s="5"/>
      <c r="G22" s="5"/>
      <c r="H22" s="3"/>
      <c r="I22" s="4"/>
      <c r="J22" s="4"/>
      <c r="K22" s="4"/>
      <c r="L22" s="5"/>
      <c r="M22" s="5"/>
    </row>
    <row r="23" spans="1:13" ht="15.75">
      <c r="A23" s="111">
        <v>18</v>
      </c>
      <c r="B23" s="3"/>
      <c r="C23" s="4"/>
      <c r="D23" s="4"/>
      <c r="E23" s="4"/>
      <c r="F23" s="5"/>
      <c r="G23" s="5"/>
      <c r="H23" s="3"/>
      <c r="I23" s="4"/>
      <c r="J23" s="4"/>
      <c r="K23" s="4"/>
      <c r="L23" s="5"/>
      <c r="M23" s="5"/>
    </row>
    <row r="24" spans="1:13" ht="15.75">
      <c r="A24" s="111">
        <v>19</v>
      </c>
      <c r="B24" s="3"/>
      <c r="C24" s="4"/>
      <c r="D24" s="4"/>
      <c r="E24" s="4"/>
      <c r="F24" s="5"/>
      <c r="G24" s="5"/>
      <c r="H24" s="3"/>
      <c r="I24" s="4"/>
      <c r="J24" s="4"/>
      <c r="K24" s="4"/>
      <c r="L24" s="5"/>
      <c r="M24" s="5"/>
    </row>
    <row r="25" spans="1:13" ht="15.75">
      <c r="A25" s="111">
        <v>20</v>
      </c>
      <c r="B25" s="3"/>
      <c r="C25" s="4"/>
      <c r="D25" s="4"/>
      <c r="E25" s="4"/>
      <c r="F25" s="5"/>
      <c r="G25" s="5"/>
      <c r="H25" s="3"/>
      <c r="I25" s="4"/>
      <c r="J25" s="4"/>
      <c r="K25" s="4"/>
      <c r="L25" s="5"/>
      <c r="M25" s="5"/>
    </row>
    <row r="26" spans="1:13" ht="15.75">
      <c r="A26" s="111">
        <v>21</v>
      </c>
      <c r="B26" s="3"/>
      <c r="C26" s="4"/>
      <c r="D26" s="4"/>
      <c r="E26" s="4"/>
      <c r="F26" s="5"/>
      <c r="G26" s="5"/>
      <c r="H26" s="3"/>
      <c r="I26" s="4"/>
      <c r="J26" s="4"/>
      <c r="K26" s="4"/>
      <c r="L26" s="5"/>
      <c r="M26" s="5"/>
    </row>
    <row r="27" spans="1:13" ht="15.75">
      <c r="A27" s="111">
        <v>22</v>
      </c>
      <c r="B27" s="3"/>
      <c r="C27" s="4"/>
      <c r="D27" s="4"/>
      <c r="E27" s="4"/>
      <c r="F27" s="5"/>
      <c r="G27" s="5"/>
      <c r="H27" s="3"/>
      <c r="I27" s="4"/>
      <c r="J27" s="4"/>
      <c r="K27" s="4"/>
      <c r="L27" s="5"/>
      <c r="M27" s="5"/>
    </row>
    <row r="28" spans="1:13" ht="15.75">
      <c r="A28" s="111">
        <v>23</v>
      </c>
      <c r="B28" s="3"/>
      <c r="C28" s="4"/>
      <c r="D28" s="4"/>
      <c r="E28" s="4"/>
      <c r="F28" s="5"/>
      <c r="G28" s="5"/>
      <c r="H28" s="3"/>
      <c r="I28" s="4"/>
      <c r="J28" s="4"/>
      <c r="K28" s="4"/>
      <c r="L28" s="5"/>
      <c r="M28" s="5"/>
    </row>
    <row r="29" spans="1:13" ht="15.75">
      <c r="A29" s="111">
        <v>24</v>
      </c>
      <c r="B29" s="3"/>
      <c r="C29" s="4"/>
      <c r="D29" s="4"/>
      <c r="E29" s="4"/>
      <c r="F29" s="5"/>
      <c r="G29" s="5"/>
      <c r="H29" s="3"/>
      <c r="I29" s="4"/>
      <c r="J29" s="4"/>
      <c r="K29" s="4"/>
      <c r="L29" s="5"/>
      <c r="M29" s="5"/>
    </row>
    <row r="30" spans="1:13" ht="15.75">
      <c r="A30" s="111">
        <v>25</v>
      </c>
      <c r="B30" s="3"/>
      <c r="C30" s="4"/>
      <c r="D30" s="4"/>
      <c r="E30" s="4"/>
      <c r="F30" s="5"/>
      <c r="G30" s="5"/>
      <c r="H30" s="3"/>
      <c r="I30" s="4"/>
      <c r="J30" s="4"/>
      <c r="K30" s="4"/>
      <c r="L30" s="5"/>
      <c r="M30" s="5"/>
    </row>
    <row r="31" spans="1:13" ht="15.75">
      <c r="A31" s="111">
        <v>26</v>
      </c>
      <c r="B31" s="3"/>
      <c r="C31" s="4"/>
      <c r="D31" s="4"/>
      <c r="E31" s="4"/>
      <c r="F31" s="5"/>
      <c r="G31" s="5"/>
      <c r="H31" s="3"/>
      <c r="I31" s="4"/>
      <c r="J31" s="4"/>
      <c r="K31" s="4"/>
      <c r="L31" s="5"/>
      <c r="M31" s="5"/>
    </row>
    <row r="32" spans="1:13" ht="15.75">
      <c r="A32" s="111">
        <v>27</v>
      </c>
      <c r="B32" s="3"/>
      <c r="C32" s="4"/>
      <c r="D32" s="4"/>
      <c r="E32" s="4"/>
      <c r="F32" s="5"/>
      <c r="G32" s="5"/>
      <c r="H32" s="3"/>
      <c r="I32" s="4"/>
      <c r="J32" s="4"/>
      <c r="K32" s="4"/>
      <c r="L32" s="5"/>
      <c r="M32" s="5"/>
    </row>
    <row r="33" spans="1:13" ht="15.75">
      <c r="A33" s="111">
        <v>28</v>
      </c>
      <c r="B33" s="3"/>
      <c r="C33" s="4"/>
      <c r="D33" s="4"/>
      <c r="E33" s="4"/>
      <c r="F33" s="5"/>
      <c r="G33" s="5"/>
      <c r="H33" s="3"/>
      <c r="I33" s="4"/>
      <c r="J33" s="4"/>
      <c r="K33" s="4"/>
      <c r="L33" s="5"/>
      <c r="M33" s="5"/>
    </row>
    <row r="34" spans="1:13" ht="15.75">
      <c r="A34" s="111">
        <v>29</v>
      </c>
      <c r="B34" s="3"/>
      <c r="C34" s="4"/>
      <c r="D34" s="4"/>
      <c r="E34" s="4"/>
      <c r="F34" s="5"/>
      <c r="G34" s="5"/>
      <c r="H34" s="3"/>
      <c r="I34" s="4"/>
      <c r="J34" s="4"/>
      <c r="K34" s="4"/>
      <c r="L34" s="5"/>
      <c r="M34" s="5"/>
    </row>
    <row r="35" spans="1:13" ht="15.75">
      <c r="A35" s="111">
        <v>30</v>
      </c>
      <c r="B35" s="3"/>
      <c r="C35" s="4"/>
      <c r="D35" s="4"/>
      <c r="E35" s="4"/>
      <c r="F35" s="5"/>
      <c r="G35" s="5"/>
      <c r="H35" s="3"/>
      <c r="I35" s="4"/>
      <c r="J35" s="4"/>
      <c r="K35" s="4"/>
      <c r="L35" s="5"/>
      <c r="M35" s="5"/>
    </row>
    <row r="36" spans="1:13" ht="15.75">
      <c r="A36" s="111">
        <v>31</v>
      </c>
      <c r="B36" s="3"/>
      <c r="C36" s="4"/>
      <c r="D36" s="4"/>
      <c r="E36" s="4"/>
      <c r="F36" s="5"/>
      <c r="G36" s="5"/>
      <c r="H36" s="3"/>
      <c r="I36" s="4"/>
      <c r="J36" s="4"/>
      <c r="K36" s="4"/>
      <c r="L36" s="5"/>
      <c r="M36" s="5"/>
    </row>
    <row r="37" spans="1:13" ht="15.75">
      <c r="A37" s="111">
        <v>32</v>
      </c>
      <c r="B37" s="3"/>
      <c r="C37" s="4"/>
      <c r="D37" s="4"/>
      <c r="E37" s="4"/>
      <c r="F37" s="5"/>
      <c r="G37" s="5"/>
      <c r="H37" s="3"/>
      <c r="I37" s="4"/>
      <c r="J37" s="4"/>
      <c r="K37" s="4"/>
      <c r="L37" s="5"/>
      <c r="M37" s="5"/>
    </row>
    <row r="38" spans="1:13" ht="15.75">
      <c r="A38" s="111">
        <v>33</v>
      </c>
      <c r="B38" s="3"/>
      <c r="C38" s="4"/>
      <c r="D38" s="4"/>
      <c r="E38" s="4"/>
      <c r="F38" s="5"/>
      <c r="G38" s="5"/>
      <c r="H38" s="3"/>
      <c r="I38" s="4"/>
      <c r="J38" s="4"/>
      <c r="K38" s="4"/>
      <c r="L38" s="5"/>
      <c r="M38" s="5"/>
    </row>
    <row r="39" spans="1:13" ht="15.75">
      <c r="A39" s="111">
        <v>34</v>
      </c>
      <c r="B39" s="3"/>
      <c r="C39" s="4"/>
      <c r="D39" s="4"/>
      <c r="E39" s="4"/>
      <c r="F39" s="5"/>
      <c r="G39" s="5"/>
      <c r="H39" s="3"/>
      <c r="I39" s="6"/>
      <c r="J39" s="6"/>
      <c r="K39" s="6"/>
      <c r="L39" s="5"/>
      <c r="M39" s="5"/>
    </row>
    <row r="40" spans="1:13" ht="15.75">
      <c r="A40" s="111">
        <v>35</v>
      </c>
      <c r="B40" s="3"/>
      <c r="C40" s="4"/>
      <c r="D40" s="4"/>
      <c r="E40" s="4"/>
      <c r="F40" s="5"/>
      <c r="G40" s="5"/>
      <c r="H40" s="3"/>
      <c r="I40" s="4"/>
      <c r="J40" s="4"/>
      <c r="K40" s="4"/>
      <c r="L40" s="5"/>
      <c r="M40" s="5"/>
    </row>
    <row r="41" spans="1:13" ht="15.75">
      <c r="A41" s="111">
        <v>36</v>
      </c>
      <c r="B41" s="3"/>
      <c r="C41" s="4"/>
      <c r="D41" s="4"/>
      <c r="E41" s="4"/>
      <c r="F41" s="5"/>
      <c r="G41" s="5"/>
      <c r="H41" s="3"/>
      <c r="I41" s="4"/>
      <c r="J41" s="4"/>
      <c r="K41" s="4"/>
      <c r="L41" s="5"/>
      <c r="M41" s="5"/>
    </row>
    <row r="42" spans="1:13" ht="15.75">
      <c r="A42" s="111">
        <v>37</v>
      </c>
      <c r="B42" s="3"/>
      <c r="C42" s="4"/>
      <c r="D42" s="4"/>
      <c r="E42" s="4"/>
      <c r="F42" s="5"/>
      <c r="G42" s="5"/>
      <c r="H42" s="3"/>
      <c r="I42" s="4"/>
      <c r="J42" s="4"/>
      <c r="K42" s="4"/>
      <c r="L42" s="5"/>
      <c r="M42" s="5"/>
    </row>
    <row r="43" spans="1:13" ht="15.75">
      <c r="A43" s="111">
        <v>38</v>
      </c>
      <c r="B43" s="3"/>
      <c r="C43" s="4"/>
      <c r="D43" s="4"/>
      <c r="E43" s="4"/>
      <c r="F43" s="5"/>
      <c r="G43" s="5"/>
      <c r="H43" s="3"/>
      <c r="I43" s="4"/>
      <c r="J43" s="4"/>
      <c r="K43" s="4"/>
      <c r="L43" s="5"/>
      <c r="M43" s="5"/>
    </row>
    <row r="44" spans="1:13" ht="15.75">
      <c r="A44" s="111">
        <v>39</v>
      </c>
      <c r="B44" s="3"/>
      <c r="C44" s="4"/>
      <c r="D44" s="4"/>
      <c r="E44" s="4"/>
      <c r="F44" s="5"/>
      <c r="G44" s="5"/>
      <c r="H44" s="3"/>
      <c r="I44" s="4"/>
      <c r="J44" s="4"/>
      <c r="K44" s="4"/>
      <c r="L44" s="5"/>
      <c r="M44" s="5"/>
    </row>
    <row r="45" spans="1:13" ht="15.75">
      <c r="A45" s="111">
        <v>40</v>
      </c>
      <c r="B45" s="3"/>
      <c r="C45" s="4"/>
      <c r="D45" s="4"/>
      <c r="E45" s="4"/>
      <c r="F45" s="5"/>
      <c r="G45" s="5"/>
      <c r="H45" s="3"/>
      <c r="I45" s="4"/>
      <c r="J45" s="4"/>
      <c r="K45" s="4"/>
      <c r="L45" s="5"/>
      <c r="M45" s="5"/>
    </row>
    <row r="46" spans="1:13" ht="15.75">
      <c r="A46" s="111">
        <v>41</v>
      </c>
      <c r="B46" s="3"/>
      <c r="C46" s="4"/>
      <c r="D46" s="4"/>
      <c r="E46" s="4"/>
      <c r="F46" s="5"/>
      <c r="G46" s="5"/>
      <c r="H46" s="3"/>
      <c r="I46" s="4"/>
      <c r="J46" s="4"/>
      <c r="K46" s="4"/>
      <c r="L46" s="5"/>
      <c r="M46" s="5"/>
    </row>
    <row r="47" spans="1:13" ht="15.75">
      <c r="A47" s="111">
        <v>42</v>
      </c>
      <c r="B47" s="3"/>
      <c r="C47" s="4"/>
      <c r="D47" s="4"/>
      <c r="E47" s="4"/>
      <c r="F47" s="5"/>
      <c r="G47" s="5"/>
      <c r="H47" s="3"/>
      <c r="I47" s="4"/>
      <c r="J47" s="4"/>
      <c r="K47" s="4"/>
      <c r="L47" s="5"/>
      <c r="M47" s="5"/>
    </row>
    <row r="48" spans="1:13" ht="15.75">
      <c r="A48" s="111">
        <v>43</v>
      </c>
      <c r="B48" s="3"/>
      <c r="C48" s="4"/>
      <c r="D48" s="4"/>
      <c r="E48" s="4"/>
      <c r="F48" s="5"/>
      <c r="G48" s="5"/>
      <c r="H48" s="3"/>
      <c r="I48" s="4"/>
      <c r="J48" s="4"/>
      <c r="K48" s="4"/>
      <c r="L48" s="5"/>
      <c r="M48" s="5"/>
    </row>
    <row r="49" spans="1:13" ht="15.75">
      <c r="A49" s="111">
        <v>44</v>
      </c>
      <c r="B49" s="3"/>
      <c r="C49" s="4"/>
      <c r="D49" s="4"/>
      <c r="E49" s="4"/>
      <c r="F49" s="5"/>
      <c r="G49" s="5"/>
      <c r="H49" s="3"/>
      <c r="I49" s="4"/>
      <c r="J49" s="4"/>
      <c r="K49" s="4"/>
      <c r="L49" s="5"/>
      <c r="M49" s="5"/>
    </row>
    <row r="50" spans="1:13" ht="15.75">
      <c r="A50" s="111">
        <v>45</v>
      </c>
      <c r="B50" s="3"/>
      <c r="C50" s="4"/>
      <c r="D50" s="4"/>
      <c r="E50" s="4"/>
      <c r="F50" s="5"/>
      <c r="G50" s="5"/>
      <c r="H50" s="3"/>
      <c r="I50" s="4"/>
      <c r="J50" s="4"/>
      <c r="K50" s="4"/>
      <c r="L50" s="5"/>
      <c r="M50" s="5"/>
    </row>
    <row r="51" spans="1:13" ht="15.75">
      <c r="A51" s="111">
        <v>46</v>
      </c>
      <c r="B51" s="3"/>
      <c r="C51" s="4"/>
      <c r="D51" s="4"/>
      <c r="E51" s="4"/>
      <c r="F51" s="5"/>
      <c r="G51" s="5"/>
      <c r="H51" s="3"/>
      <c r="I51" s="4"/>
      <c r="J51" s="4"/>
      <c r="K51" s="4"/>
      <c r="L51" s="5"/>
      <c r="M51" s="5"/>
    </row>
    <row r="52" spans="1:13" ht="15.75">
      <c r="A52" s="111">
        <v>47</v>
      </c>
      <c r="B52" s="3"/>
      <c r="C52" s="4"/>
      <c r="D52" s="4"/>
      <c r="E52" s="4"/>
      <c r="F52" s="5"/>
      <c r="G52" s="5"/>
      <c r="H52" s="3"/>
      <c r="I52" s="4"/>
      <c r="J52" s="4"/>
      <c r="K52" s="4"/>
      <c r="L52" s="5"/>
      <c r="M52" s="5"/>
    </row>
    <row r="53" spans="1:13" ht="15.75">
      <c r="A53" s="111">
        <v>48</v>
      </c>
      <c r="B53" s="3"/>
      <c r="C53" s="4"/>
      <c r="D53" s="4"/>
      <c r="E53" s="4"/>
      <c r="F53" s="5"/>
      <c r="G53" s="5"/>
      <c r="H53" s="3"/>
      <c r="I53" s="4"/>
      <c r="J53" s="4"/>
      <c r="K53" s="4"/>
      <c r="L53" s="5"/>
      <c r="M53" s="5"/>
    </row>
    <row r="54" spans="1:13" ht="15.75">
      <c r="A54" s="111">
        <v>49</v>
      </c>
      <c r="B54" s="3"/>
      <c r="C54" s="4"/>
      <c r="D54" s="4"/>
      <c r="E54" s="4"/>
      <c r="F54" s="5"/>
      <c r="G54" s="5"/>
      <c r="H54" s="3"/>
      <c r="I54" s="4"/>
      <c r="J54" s="4"/>
      <c r="K54" s="4"/>
      <c r="L54" s="5"/>
      <c r="M54" s="5"/>
    </row>
    <row r="55" spans="1:13" ht="15.75">
      <c r="A55" s="111">
        <v>50</v>
      </c>
      <c r="B55" s="3"/>
      <c r="C55" s="4"/>
      <c r="D55" s="4"/>
      <c r="E55" s="4"/>
      <c r="F55" s="5"/>
      <c r="G55" s="5"/>
      <c r="H55" s="3"/>
      <c r="I55" s="4"/>
      <c r="J55" s="4"/>
      <c r="K55" s="4"/>
      <c r="L55" s="5"/>
      <c r="M55" s="5"/>
    </row>
    <row r="56" spans="1:13" ht="15.75">
      <c r="A56" s="111">
        <v>51</v>
      </c>
      <c r="B56" s="3"/>
      <c r="C56" s="4"/>
      <c r="D56" s="4"/>
      <c r="E56" s="4"/>
      <c r="F56" s="5"/>
      <c r="G56" s="5"/>
      <c r="H56" s="3"/>
      <c r="I56" s="4"/>
      <c r="J56" s="4"/>
      <c r="K56" s="4"/>
      <c r="L56" s="5"/>
      <c r="M56" s="5"/>
    </row>
    <row r="57" spans="1:13" ht="15.75">
      <c r="A57" s="111">
        <v>52</v>
      </c>
      <c r="B57" s="3"/>
      <c r="C57" s="4"/>
      <c r="D57" s="4"/>
      <c r="E57" s="4"/>
      <c r="F57" s="5"/>
      <c r="G57" s="5"/>
      <c r="H57" s="3"/>
      <c r="I57" s="4"/>
      <c r="J57" s="4"/>
      <c r="K57" s="4"/>
      <c r="L57" s="5"/>
      <c r="M57" s="5"/>
    </row>
    <row r="58" spans="1:13" ht="15.75">
      <c r="A58" s="111">
        <v>53</v>
      </c>
      <c r="B58" s="3"/>
      <c r="C58" s="4"/>
      <c r="D58" s="4"/>
      <c r="E58" s="4"/>
      <c r="F58" s="5"/>
      <c r="G58" s="5"/>
      <c r="H58" s="3"/>
      <c r="I58" s="4"/>
      <c r="J58" s="4"/>
      <c r="K58" s="4"/>
      <c r="L58" s="5"/>
      <c r="M58" s="5"/>
    </row>
    <row r="59" spans="1:13" ht="15.75">
      <c r="A59" s="111">
        <v>54</v>
      </c>
      <c r="B59" s="3"/>
      <c r="C59" s="4"/>
      <c r="D59" s="4"/>
      <c r="E59" s="4"/>
      <c r="F59" s="5"/>
      <c r="G59" s="5"/>
      <c r="H59" s="3"/>
      <c r="I59" s="4"/>
      <c r="J59" s="4"/>
      <c r="K59" s="4"/>
      <c r="L59" s="5"/>
      <c r="M59" s="5"/>
    </row>
    <row r="60" spans="1:13" ht="15.75">
      <c r="A60" s="111">
        <v>55</v>
      </c>
      <c r="B60" s="3"/>
      <c r="C60" s="4"/>
      <c r="D60" s="4"/>
      <c r="E60" s="4"/>
      <c r="F60" s="5"/>
      <c r="G60" s="5"/>
      <c r="H60" s="3"/>
      <c r="I60" s="4"/>
      <c r="J60" s="4"/>
      <c r="K60" s="4"/>
      <c r="L60" s="5"/>
      <c r="M60" s="5"/>
    </row>
    <row r="61" spans="1:13" ht="15.75">
      <c r="A61" s="111">
        <v>56</v>
      </c>
      <c r="B61" s="3"/>
      <c r="C61" s="4"/>
      <c r="D61" s="4"/>
      <c r="E61" s="4"/>
      <c r="F61" s="5"/>
      <c r="G61" s="5"/>
      <c r="H61" s="3"/>
      <c r="I61" s="4"/>
      <c r="J61" s="4"/>
      <c r="K61" s="4"/>
      <c r="L61" s="5"/>
      <c r="M61" s="5"/>
    </row>
    <row r="62" spans="1:13" ht="15.75">
      <c r="A62" s="111">
        <v>57</v>
      </c>
      <c r="B62" s="3"/>
      <c r="C62" s="4"/>
      <c r="D62" s="4"/>
      <c r="E62" s="4"/>
      <c r="F62" s="5"/>
      <c r="G62" s="5"/>
      <c r="H62" s="3"/>
      <c r="I62" s="4"/>
      <c r="J62" s="4"/>
      <c r="K62" s="4"/>
      <c r="L62" s="5"/>
      <c r="M62" s="5"/>
    </row>
    <row r="63" spans="1:13" ht="15.75">
      <c r="A63" s="111">
        <v>58</v>
      </c>
      <c r="B63" s="3"/>
      <c r="C63" s="4"/>
      <c r="D63" s="4"/>
      <c r="E63" s="4"/>
      <c r="F63" s="5"/>
      <c r="G63" s="5"/>
      <c r="H63" s="3"/>
      <c r="I63" s="4"/>
      <c r="J63" s="4"/>
      <c r="K63" s="4"/>
      <c r="L63" s="5"/>
      <c r="M63" s="5"/>
    </row>
    <row r="64" spans="1:13" ht="15.75">
      <c r="A64" s="111">
        <v>59</v>
      </c>
      <c r="B64" s="3"/>
      <c r="C64" s="4"/>
      <c r="D64" s="4"/>
      <c r="E64" s="4"/>
      <c r="F64" s="5"/>
      <c r="G64" s="5"/>
      <c r="H64" s="3"/>
      <c r="I64" s="4"/>
      <c r="J64" s="4"/>
      <c r="K64" s="4"/>
      <c r="L64" s="5"/>
      <c r="M64" s="5"/>
    </row>
    <row r="65" spans="1:13" ht="15.75">
      <c r="A65" s="111">
        <v>60</v>
      </c>
      <c r="B65" s="3"/>
      <c r="C65" s="4"/>
      <c r="D65" s="4"/>
      <c r="E65" s="4"/>
      <c r="F65" s="5"/>
      <c r="G65" s="5"/>
      <c r="H65" s="3"/>
      <c r="I65" s="4"/>
      <c r="J65" s="4"/>
      <c r="K65" s="4"/>
      <c r="L65" s="5"/>
      <c r="M65" s="5"/>
    </row>
    <row r="66" spans="1:13" ht="15.75">
      <c r="A66" s="111">
        <v>61</v>
      </c>
      <c r="B66" s="3"/>
      <c r="C66" s="4"/>
      <c r="D66" s="4"/>
      <c r="E66" s="4"/>
      <c r="F66" s="5"/>
      <c r="G66" s="5"/>
      <c r="H66" s="3"/>
      <c r="I66" s="4"/>
      <c r="J66" s="4"/>
      <c r="K66" s="4"/>
      <c r="L66" s="5"/>
      <c r="M66" s="5"/>
    </row>
    <row r="67" spans="1:13" ht="15.75">
      <c r="A67" s="111">
        <v>62</v>
      </c>
      <c r="B67" s="3"/>
      <c r="C67" s="4"/>
      <c r="D67" s="4"/>
      <c r="E67" s="4"/>
      <c r="F67" s="5"/>
      <c r="G67" s="5"/>
      <c r="H67" s="3"/>
      <c r="I67" s="4"/>
      <c r="J67" s="4"/>
      <c r="K67" s="4"/>
      <c r="L67" s="5"/>
      <c r="M67" s="5"/>
    </row>
    <row r="68" spans="1:13" ht="15.75">
      <c r="A68" s="111">
        <v>63</v>
      </c>
      <c r="B68" s="3"/>
      <c r="C68" s="4"/>
      <c r="D68" s="4"/>
      <c r="E68" s="4"/>
      <c r="F68" s="5"/>
      <c r="G68" s="5"/>
      <c r="H68" s="3"/>
      <c r="I68" s="4"/>
      <c r="J68" s="4"/>
      <c r="K68" s="4"/>
      <c r="L68" s="5"/>
      <c r="M68" s="5"/>
    </row>
    <row r="69" spans="1:13" ht="15.75">
      <c r="A69" s="111">
        <v>64</v>
      </c>
      <c r="B69" s="3"/>
      <c r="C69" s="4"/>
      <c r="D69" s="4"/>
      <c r="E69" s="4"/>
      <c r="F69" s="5"/>
      <c r="G69" s="5"/>
      <c r="H69" s="3"/>
      <c r="I69" s="4"/>
      <c r="J69" s="4"/>
      <c r="K69" s="4"/>
      <c r="L69" s="5"/>
      <c r="M69" s="5"/>
    </row>
    <row r="70" spans="1:13" ht="15.75">
      <c r="A70" s="111">
        <v>65</v>
      </c>
      <c r="B70" s="3"/>
      <c r="C70" s="4"/>
      <c r="D70" s="4"/>
      <c r="E70" s="4"/>
      <c r="F70" s="5"/>
      <c r="G70" s="3"/>
      <c r="H70" s="3"/>
      <c r="I70" s="4"/>
      <c r="J70" s="4"/>
      <c r="K70" s="4"/>
      <c r="L70" s="5"/>
      <c r="M70" s="3"/>
    </row>
    <row r="71" spans="1:13" ht="15.75">
      <c r="A71" s="111">
        <v>66</v>
      </c>
      <c r="B71" s="3"/>
      <c r="C71" s="4"/>
      <c r="D71" s="4"/>
      <c r="E71" s="4"/>
      <c r="F71" s="3"/>
      <c r="G71" s="3"/>
      <c r="H71" s="3"/>
      <c r="I71" s="4"/>
      <c r="J71" s="4"/>
      <c r="K71" s="4"/>
      <c r="L71" s="3"/>
      <c r="M71" s="3"/>
    </row>
    <row r="72" spans="1:13" ht="15.75">
      <c r="A72" s="111">
        <v>67</v>
      </c>
      <c r="B72" s="3"/>
      <c r="C72" s="4"/>
      <c r="D72" s="4"/>
      <c r="E72" s="4"/>
      <c r="F72" s="3"/>
      <c r="G72" s="3"/>
      <c r="H72" s="3"/>
      <c r="I72" s="4"/>
      <c r="J72" s="4"/>
      <c r="K72" s="4"/>
      <c r="L72" s="3"/>
      <c r="M72" s="3"/>
    </row>
    <row r="73" spans="1:13" ht="15.75">
      <c r="A73" s="111">
        <v>68</v>
      </c>
      <c r="B73" s="3"/>
      <c r="C73" s="4"/>
      <c r="D73" s="4"/>
      <c r="E73" s="4"/>
      <c r="F73" s="3"/>
      <c r="G73" s="3"/>
      <c r="H73" s="3"/>
      <c r="I73" s="4"/>
      <c r="J73" s="4"/>
      <c r="K73" s="4"/>
      <c r="L73" s="3"/>
      <c r="M73" s="3"/>
    </row>
    <row r="74" spans="1:13" ht="15.75">
      <c r="A74" s="111">
        <v>69</v>
      </c>
      <c r="B74" s="3"/>
      <c r="C74" s="4"/>
      <c r="D74" s="4"/>
      <c r="E74" s="4"/>
      <c r="F74" s="3"/>
      <c r="G74" s="3"/>
      <c r="H74" s="3"/>
      <c r="I74" s="4"/>
      <c r="J74" s="4"/>
      <c r="K74" s="4"/>
      <c r="L74" s="3"/>
      <c r="M74" s="3"/>
    </row>
    <row r="75" spans="1:13" ht="15.75">
      <c r="A75" s="111">
        <v>70</v>
      </c>
      <c r="B75" s="3"/>
      <c r="C75" s="4"/>
      <c r="D75" s="4"/>
      <c r="E75" s="4"/>
      <c r="F75" s="3"/>
      <c r="G75" s="3"/>
      <c r="H75" s="3"/>
      <c r="I75" s="4"/>
      <c r="J75" s="4"/>
      <c r="K75" s="4"/>
      <c r="L75" s="3"/>
      <c r="M75" s="3"/>
    </row>
    <row r="76" spans="1:13" ht="15.75">
      <c r="A76" s="124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25"/>
      <c r="M76" s="125"/>
    </row>
    <row r="77" spans="1:13" ht="31.5">
      <c r="A77" s="115" t="s">
        <v>36</v>
      </c>
      <c r="B77" s="116">
        <f t="shared" ref="B77:M77" si="0">IFERROR(AVERAGE(B6:B76),0)</f>
        <v>0</v>
      </c>
      <c r="C77" s="116">
        <f t="shared" si="0"/>
        <v>0</v>
      </c>
      <c r="D77" s="116">
        <f t="shared" si="0"/>
        <v>0</v>
      </c>
      <c r="E77" s="116">
        <f t="shared" si="0"/>
        <v>0</v>
      </c>
      <c r="F77" s="116">
        <f t="shared" si="0"/>
        <v>0</v>
      </c>
      <c r="G77" s="116">
        <f t="shared" si="0"/>
        <v>0</v>
      </c>
      <c r="H77" s="116">
        <f t="shared" si="0"/>
        <v>0</v>
      </c>
      <c r="I77" s="116">
        <f t="shared" si="0"/>
        <v>0</v>
      </c>
      <c r="J77" s="116">
        <f t="shared" si="0"/>
        <v>0</v>
      </c>
      <c r="K77" s="116">
        <f t="shared" si="0"/>
        <v>0</v>
      </c>
      <c r="L77" s="116">
        <f t="shared" si="0"/>
        <v>0</v>
      </c>
      <c r="M77" s="116">
        <f t="shared" si="0"/>
        <v>0</v>
      </c>
    </row>
    <row r="78" spans="1:13" ht="47.25">
      <c r="A78" s="123" t="s">
        <v>37</v>
      </c>
      <c r="B78" s="111">
        <f t="shared" ref="B78:M78" si="1">COUNTA(B6:B76)</f>
        <v>0</v>
      </c>
      <c r="C78" s="111">
        <f t="shared" si="1"/>
        <v>0</v>
      </c>
      <c r="D78" s="111">
        <f t="shared" si="1"/>
        <v>0</v>
      </c>
      <c r="E78" s="111">
        <f t="shared" si="1"/>
        <v>0</v>
      </c>
      <c r="F78" s="111">
        <f t="shared" si="1"/>
        <v>0</v>
      </c>
      <c r="G78" s="111">
        <f t="shared" si="1"/>
        <v>0</v>
      </c>
      <c r="H78" s="111">
        <f t="shared" si="1"/>
        <v>0</v>
      </c>
      <c r="I78" s="111">
        <f t="shared" si="1"/>
        <v>0</v>
      </c>
      <c r="J78" s="111">
        <f t="shared" si="1"/>
        <v>0</v>
      </c>
      <c r="K78" s="111">
        <f t="shared" si="1"/>
        <v>0</v>
      </c>
      <c r="L78" s="111">
        <f t="shared" si="1"/>
        <v>0</v>
      </c>
      <c r="M78" s="111">
        <f t="shared" si="1"/>
        <v>0</v>
      </c>
    </row>
    <row r="79" spans="1:13" ht="47.25">
      <c r="A79" s="115" t="s">
        <v>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31.5">
      <c r="A80" s="115" t="s">
        <v>39</v>
      </c>
      <c r="B80" s="116">
        <f t="shared" ref="B80:M80" si="2">IFERROR(B77*(B78/B79),0)</f>
        <v>0</v>
      </c>
      <c r="C80" s="116">
        <f t="shared" si="2"/>
        <v>0</v>
      </c>
      <c r="D80" s="116">
        <f t="shared" si="2"/>
        <v>0</v>
      </c>
      <c r="E80" s="116">
        <f t="shared" si="2"/>
        <v>0</v>
      </c>
      <c r="F80" s="116">
        <f t="shared" si="2"/>
        <v>0</v>
      </c>
      <c r="G80" s="116">
        <f t="shared" si="2"/>
        <v>0</v>
      </c>
      <c r="H80" s="116">
        <f t="shared" si="2"/>
        <v>0</v>
      </c>
      <c r="I80" s="116">
        <f t="shared" si="2"/>
        <v>0</v>
      </c>
      <c r="J80" s="116">
        <f t="shared" si="2"/>
        <v>0</v>
      </c>
      <c r="K80" s="116">
        <f t="shared" si="2"/>
        <v>0</v>
      </c>
      <c r="L80" s="116">
        <f t="shared" si="2"/>
        <v>0</v>
      </c>
      <c r="M80" s="116">
        <f t="shared" si="2"/>
        <v>0</v>
      </c>
    </row>
    <row r="81" spans="1:13" ht="31.5">
      <c r="A81" s="115" t="s">
        <v>40</v>
      </c>
      <c r="B81" s="111">
        <f t="shared" ref="B81:M81" si="3">COUNTIF(B6:B76,"&gt;="&amp;B80)</f>
        <v>0</v>
      </c>
      <c r="C81" s="111">
        <f t="shared" si="3"/>
        <v>0</v>
      </c>
      <c r="D81" s="111">
        <f t="shared" si="3"/>
        <v>0</v>
      </c>
      <c r="E81" s="111">
        <f t="shared" si="3"/>
        <v>0</v>
      </c>
      <c r="F81" s="111">
        <f t="shared" si="3"/>
        <v>0</v>
      </c>
      <c r="G81" s="111">
        <f t="shared" si="3"/>
        <v>0</v>
      </c>
      <c r="H81" s="111">
        <f t="shared" si="3"/>
        <v>0</v>
      </c>
      <c r="I81" s="111">
        <f t="shared" si="3"/>
        <v>0</v>
      </c>
      <c r="J81" s="111">
        <f t="shared" si="3"/>
        <v>0</v>
      </c>
      <c r="K81" s="111">
        <f t="shared" si="3"/>
        <v>0</v>
      </c>
      <c r="L81" s="111">
        <f t="shared" si="3"/>
        <v>0</v>
      </c>
      <c r="M81" s="111">
        <f t="shared" si="3"/>
        <v>0</v>
      </c>
    </row>
    <row r="82" spans="1:13" ht="47.25">
      <c r="A82" s="115" t="s">
        <v>41</v>
      </c>
      <c r="B82" s="116">
        <f t="shared" ref="B82:M82" si="4">IFERROR((B81/B79)*100,0)</f>
        <v>0</v>
      </c>
      <c r="C82" s="116">
        <f t="shared" si="4"/>
        <v>0</v>
      </c>
      <c r="D82" s="116">
        <f t="shared" si="4"/>
        <v>0</v>
      </c>
      <c r="E82" s="116">
        <f t="shared" si="4"/>
        <v>0</v>
      </c>
      <c r="F82" s="116">
        <f t="shared" si="4"/>
        <v>0</v>
      </c>
      <c r="G82" s="116">
        <f t="shared" si="4"/>
        <v>0</v>
      </c>
      <c r="H82" s="116">
        <f t="shared" si="4"/>
        <v>0</v>
      </c>
      <c r="I82" s="116">
        <f t="shared" si="4"/>
        <v>0</v>
      </c>
      <c r="J82" s="116">
        <f t="shared" si="4"/>
        <v>0</v>
      </c>
      <c r="K82" s="116">
        <f t="shared" si="4"/>
        <v>0</v>
      </c>
      <c r="L82" s="116">
        <f t="shared" si="4"/>
        <v>0</v>
      </c>
      <c r="M82" s="116">
        <f t="shared" si="4"/>
        <v>0</v>
      </c>
    </row>
    <row r="83" spans="1:13" ht="31.5">
      <c r="A83" s="117" t="s">
        <v>45</v>
      </c>
      <c r="B83" s="127">
        <f>IFERROR(SUM(B82:G82)/COUNTIF(B82:G82,"&lt;&gt;0"),0)</f>
        <v>0</v>
      </c>
      <c r="C83" s="128"/>
      <c r="D83" s="128"/>
      <c r="E83" s="128"/>
      <c r="F83" s="128"/>
      <c r="G83" s="129"/>
      <c r="H83" s="127">
        <f>IFERROR(SUM(H82:M82)/COUNTIF(H82:M82,"&lt;&gt;0"),0)</f>
        <v>0</v>
      </c>
      <c r="I83" s="128"/>
      <c r="J83" s="128"/>
      <c r="K83" s="128"/>
      <c r="L83" s="128"/>
      <c r="M83" s="129"/>
    </row>
    <row r="84" spans="1:13" ht="15.75">
      <c r="A84" s="118" t="s">
        <v>42</v>
      </c>
      <c r="B84" s="119">
        <f>B83</f>
        <v>0</v>
      </c>
      <c r="C84" s="120"/>
      <c r="D84" s="120"/>
      <c r="E84" s="120"/>
      <c r="F84" s="120"/>
      <c r="G84" s="120"/>
      <c r="H84" s="120"/>
      <c r="I84" s="120"/>
      <c r="J84" s="120"/>
      <c r="K84" s="120"/>
      <c r="L84" s="121"/>
      <c r="M84" s="121"/>
    </row>
    <row r="85" spans="1:13" ht="15.75">
      <c r="A85" s="118" t="s">
        <v>43</v>
      </c>
      <c r="B85" s="119">
        <f>H83</f>
        <v>0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6"/>
      <c r="M85" s="122"/>
    </row>
    <row r="86" spans="1:13" ht="46.5" customHeight="1">
      <c r="A86" s="117" t="s">
        <v>46</v>
      </c>
      <c r="B86" s="119">
        <f>AVERAGE(B84:B85)</f>
        <v>0</v>
      </c>
      <c r="C86" s="120"/>
      <c r="D86" s="120"/>
      <c r="E86" s="120"/>
      <c r="F86" s="120"/>
      <c r="G86" s="120"/>
      <c r="H86" s="120"/>
      <c r="I86" s="120"/>
      <c r="J86" s="120"/>
      <c r="K86" s="120"/>
      <c r="L86" s="121"/>
      <c r="M86" s="121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65 S6:S76 U8:U29 Q31:Q33 Q35:Q38 U39 Q40:Q41 U42:U43 Q44:Q45 Q48:Q64">
    <cfRule type="cellIs" dxfId="11" priority="1" operator="equal">
      <formula>"AB"</formula>
    </cfRule>
    <cfRule type="cellIs" dxfId="10" priority="2" operator="equal">
      <formula>"WH"</formula>
    </cfRule>
    <cfRule type="cellIs" dxfId="9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I986"/>
  <sheetViews>
    <sheetView tabSelected="1" zoomScaleSheetLayoutView="69" workbookViewId="0">
      <selection activeCell="J5" sqref="J5:L5"/>
    </sheetView>
  </sheetViews>
  <sheetFormatPr defaultColWidth="14.42578125" defaultRowHeight="15"/>
  <cols>
    <col min="1" max="1" width="7.5703125" customWidth="1"/>
    <col min="2" max="2" width="15.7109375" customWidth="1"/>
    <col min="3" max="3" width="16.140625" customWidth="1"/>
    <col min="4" max="4" width="6.5703125" customWidth="1"/>
    <col min="5" max="5" width="11.42578125" customWidth="1"/>
    <col min="6" max="8" width="9.140625" customWidth="1"/>
    <col min="9" max="9" width="7.7109375" customWidth="1"/>
    <col min="10" max="10" width="9.140625" customWidth="1"/>
    <col min="11" max="14" width="7.140625" customWidth="1"/>
    <col min="15" max="17" width="8.7109375" customWidth="1"/>
    <col min="18" max="25" width="9.140625" customWidth="1"/>
    <col min="26" max="37" width="14.42578125" customWidth="1"/>
  </cols>
  <sheetData>
    <row r="1" spans="1:27" ht="17.25" customHeight="1">
      <c r="A1" s="186" t="s">
        <v>28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7"/>
      <c r="Q1" s="7"/>
      <c r="R1" s="7"/>
      <c r="S1" s="7"/>
      <c r="T1" s="7"/>
      <c r="U1" s="7"/>
      <c r="V1" s="7"/>
      <c r="W1" s="7"/>
      <c r="X1" s="8"/>
      <c r="Y1" s="8"/>
    </row>
    <row r="2" spans="1:27" ht="17.25" customHeight="1">
      <c r="A2" s="187" t="s">
        <v>44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7"/>
      <c r="Q2" s="7"/>
      <c r="R2" s="9"/>
      <c r="S2" s="7"/>
      <c r="T2" s="7"/>
      <c r="U2" s="7"/>
      <c r="V2" s="7"/>
      <c r="W2" s="7"/>
      <c r="X2" s="8"/>
      <c r="Y2" s="8"/>
    </row>
    <row r="3" spans="1:27" ht="17.25" customHeight="1">
      <c r="A3" s="189" t="s">
        <v>115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7"/>
      <c r="Q3" s="7"/>
      <c r="R3" s="9"/>
      <c r="S3" s="7"/>
      <c r="T3" s="7"/>
      <c r="U3" s="7"/>
      <c r="V3" s="7"/>
      <c r="W3" s="7"/>
      <c r="X3" s="8"/>
      <c r="Y3" s="8"/>
    </row>
    <row r="4" spans="1:27" ht="17.25" customHeight="1">
      <c r="A4" s="10"/>
      <c r="B4" s="10"/>
      <c r="C4" s="11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9"/>
      <c r="S4" s="7"/>
      <c r="T4" s="7"/>
      <c r="U4" s="7"/>
      <c r="V4" s="7"/>
      <c r="W4" s="7"/>
      <c r="X4" s="7"/>
      <c r="Y4" s="7"/>
    </row>
    <row r="5" spans="1:27" ht="31.5" customHeight="1">
      <c r="A5" s="190" t="s">
        <v>47</v>
      </c>
      <c r="B5" s="135"/>
      <c r="C5" s="136"/>
      <c r="D5" s="175">
        <v>1</v>
      </c>
      <c r="E5" s="176"/>
      <c r="F5" s="177"/>
      <c r="G5" s="175">
        <v>1</v>
      </c>
      <c r="H5" s="176"/>
      <c r="I5" s="177"/>
      <c r="J5" s="175">
        <v>1</v>
      </c>
      <c r="K5" s="176"/>
      <c r="L5" s="177"/>
      <c r="M5" s="175">
        <v>1</v>
      </c>
      <c r="N5" s="176"/>
      <c r="O5" s="176"/>
      <c r="P5" s="47" t="s">
        <v>48</v>
      </c>
      <c r="Q5" s="172"/>
      <c r="R5" s="172"/>
      <c r="S5" s="172"/>
      <c r="T5" s="12"/>
      <c r="U5" s="12"/>
      <c r="V5" s="173"/>
      <c r="W5" s="174"/>
      <c r="X5" s="174"/>
      <c r="Y5" s="174"/>
      <c r="Z5" s="174"/>
    </row>
    <row r="6" spans="1:27" ht="36" customHeight="1">
      <c r="A6" s="190" t="s">
        <v>0</v>
      </c>
      <c r="B6" s="135"/>
      <c r="C6" s="136"/>
      <c r="D6" s="175" t="s">
        <v>49</v>
      </c>
      <c r="E6" s="176"/>
      <c r="F6" s="177"/>
      <c r="G6" s="178" t="s">
        <v>50</v>
      </c>
      <c r="H6" s="176"/>
      <c r="I6" s="176"/>
      <c r="J6" s="176"/>
      <c r="K6" s="176"/>
      <c r="L6" s="176"/>
      <c r="M6" s="176"/>
      <c r="N6" s="176"/>
      <c r="O6" s="176"/>
      <c r="P6" s="179"/>
      <c r="Q6" s="181"/>
      <c r="R6" s="181"/>
      <c r="S6" s="181"/>
      <c r="T6" s="13"/>
      <c r="U6" s="13"/>
      <c r="V6" s="7"/>
      <c r="W6" s="7"/>
      <c r="X6" s="7"/>
      <c r="Y6" s="7"/>
      <c r="AA6" s="14" t="s">
        <v>116</v>
      </c>
    </row>
    <row r="7" spans="1:27" ht="33" customHeight="1">
      <c r="A7" s="190" t="s">
        <v>1</v>
      </c>
      <c r="B7" s="135"/>
      <c r="C7" s="136"/>
      <c r="D7" s="175" t="s">
        <v>51</v>
      </c>
      <c r="E7" s="176"/>
      <c r="F7" s="176"/>
      <c r="G7" s="177"/>
      <c r="H7" s="175">
        <v>1</v>
      </c>
      <c r="I7" s="176"/>
      <c r="J7" s="176"/>
      <c r="K7" s="177"/>
      <c r="L7" s="175" t="s">
        <v>27</v>
      </c>
      <c r="M7" s="176"/>
      <c r="N7" s="176"/>
      <c r="O7" s="176"/>
      <c r="P7" s="180"/>
      <c r="Q7" s="181"/>
      <c r="R7" s="181"/>
      <c r="S7" s="181"/>
      <c r="T7" s="13"/>
      <c r="U7" s="13"/>
      <c r="V7" s="7"/>
      <c r="W7" s="7"/>
      <c r="X7" s="7"/>
      <c r="Y7" s="7"/>
      <c r="AA7" s="14" t="s">
        <v>117</v>
      </c>
    </row>
    <row r="8" spans="1:27" ht="17.25" customHeight="1">
      <c r="A8" s="10"/>
      <c r="B8" s="10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AA8" s="14" t="s">
        <v>118</v>
      </c>
    </row>
    <row r="9" spans="1:27" ht="41.25" customHeight="1">
      <c r="A9" s="15" t="s">
        <v>52</v>
      </c>
      <c r="B9" s="113" t="s">
        <v>25</v>
      </c>
      <c r="C9" s="114" t="s">
        <v>53</v>
      </c>
      <c r="D9" s="10"/>
      <c r="E9" s="191" t="s">
        <v>26</v>
      </c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6"/>
      <c r="Q9" s="10"/>
      <c r="R9" s="10"/>
      <c r="S9" s="10"/>
      <c r="T9" s="10"/>
      <c r="U9" s="10"/>
      <c r="V9" s="10"/>
      <c r="W9" s="10"/>
      <c r="X9" s="10"/>
      <c r="Y9" s="10"/>
      <c r="Z9" s="16"/>
    </row>
    <row r="10" spans="1:27" ht="21.75" customHeight="1">
      <c r="A10" s="17">
        <v>1</v>
      </c>
      <c r="B10" s="18" t="s">
        <v>120</v>
      </c>
      <c r="C10" s="19"/>
      <c r="D10" s="7"/>
      <c r="E10" s="170" t="s">
        <v>54</v>
      </c>
      <c r="F10" s="150"/>
      <c r="G10" s="150"/>
      <c r="H10" s="171"/>
      <c r="I10" s="170" t="s">
        <v>55</v>
      </c>
      <c r="J10" s="150"/>
      <c r="K10" s="150"/>
      <c r="L10" s="171"/>
      <c r="M10" s="170" t="s">
        <v>56</v>
      </c>
      <c r="N10" s="150"/>
      <c r="O10" s="146" t="s">
        <v>57</v>
      </c>
      <c r="P10" s="182"/>
      <c r="Q10" s="7"/>
      <c r="R10" s="7"/>
      <c r="S10" s="7"/>
      <c r="T10" s="7"/>
      <c r="U10" s="7"/>
      <c r="V10" s="7"/>
      <c r="W10" s="7"/>
      <c r="X10" s="7"/>
      <c r="Y10" s="7"/>
    </row>
    <row r="11" spans="1:27" ht="21.75" customHeight="1">
      <c r="A11" s="17">
        <f>A10+1</f>
        <v>2</v>
      </c>
      <c r="B11" s="18" t="s">
        <v>121</v>
      </c>
      <c r="C11" s="19"/>
      <c r="D11" s="7"/>
      <c r="E11" s="151"/>
      <c r="F11" s="141"/>
      <c r="G11" s="141"/>
      <c r="H11" s="142"/>
      <c r="I11" s="151"/>
      <c r="J11" s="141"/>
      <c r="K11" s="141"/>
      <c r="L11" s="142"/>
      <c r="M11" s="151"/>
      <c r="N11" s="141"/>
      <c r="O11" s="151"/>
      <c r="P11" s="142"/>
      <c r="Q11" s="14"/>
      <c r="R11" s="7"/>
      <c r="S11" s="7"/>
      <c r="T11" s="7"/>
      <c r="U11" s="7"/>
      <c r="V11" s="7"/>
      <c r="W11" s="7"/>
      <c r="X11" s="7"/>
      <c r="Y11" s="7"/>
    </row>
    <row r="12" spans="1:27" ht="23.25" customHeight="1">
      <c r="A12" s="17">
        <f t="shared" ref="A12:A75" si="0">A11+1</f>
        <v>3</v>
      </c>
      <c r="B12" s="18" t="s">
        <v>122</v>
      </c>
      <c r="C12" s="19"/>
      <c r="D12" s="7"/>
      <c r="E12" s="146" t="s">
        <v>58</v>
      </c>
      <c r="F12" s="147"/>
      <c r="G12" s="147"/>
      <c r="H12" s="182"/>
      <c r="I12" s="192" t="s">
        <v>59</v>
      </c>
      <c r="J12" s="147"/>
      <c r="K12" s="147"/>
      <c r="L12" s="182"/>
      <c r="M12" s="168">
        <f>Target!B86</f>
        <v>0</v>
      </c>
      <c r="N12" s="153"/>
      <c r="O12" s="152">
        <f>ROUND(M12+5,0)</f>
        <v>5</v>
      </c>
      <c r="P12" s="154"/>
      <c r="Q12" s="14"/>
      <c r="R12" s="7"/>
      <c r="S12" s="7"/>
      <c r="T12" s="7"/>
      <c r="U12" s="7"/>
      <c r="V12" s="7"/>
      <c r="W12" s="7"/>
      <c r="X12" s="7"/>
      <c r="Y12" s="7"/>
    </row>
    <row r="13" spans="1:27" ht="24.75" customHeight="1">
      <c r="A13" s="17">
        <f t="shared" si="0"/>
        <v>4</v>
      </c>
      <c r="B13" s="18" t="s">
        <v>123</v>
      </c>
      <c r="C13" s="19"/>
      <c r="D13" s="7"/>
      <c r="E13" s="148"/>
      <c r="F13" s="149"/>
      <c r="G13" s="149"/>
      <c r="H13" s="171"/>
      <c r="I13" s="148"/>
      <c r="J13" s="193"/>
      <c r="K13" s="193"/>
      <c r="L13" s="171"/>
      <c r="M13" s="155"/>
      <c r="N13" s="169"/>
      <c r="O13" s="155"/>
      <c r="P13" s="157"/>
      <c r="Q13" s="7"/>
      <c r="R13" s="7"/>
      <c r="S13" s="7"/>
      <c r="T13" s="7"/>
      <c r="U13" s="7"/>
      <c r="V13" s="7"/>
      <c r="W13" s="7"/>
      <c r="X13" s="7"/>
      <c r="Y13" s="7"/>
    </row>
    <row r="14" spans="1:27" ht="21.75" customHeight="1">
      <c r="A14" s="17">
        <f t="shared" si="0"/>
        <v>5</v>
      </c>
      <c r="B14" s="18" t="s">
        <v>124</v>
      </c>
      <c r="C14" s="19"/>
      <c r="D14" s="7"/>
      <c r="E14" s="151"/>
      <c r="F14" s="141"/>
      <c r="G14" s="141"/>
      <c r="H14" s="142"/>
      <c r="I14" s="151"/>
      <c r="J14" s="141"/>
      <c r="K14" s="141"/>
      <c r="L14" s="142"/>
      <c r="M14" s="158"/>
      <c r="N14" s="159"/>
      <c r="O14" s="158"/>
      <c r="P14" s="160"/>
      <c r="Q14" s="7"/>
      <c r="R14" s="7"/>
      <c r="S14" s="7"/>
      <c r="T14" s="7"/>
      <c r="U14" s="7"/>
      <c r="V14" s="7"/>
      <c r="W14" s="7"/>
      <c r="X14" s="7"/>
      <c r="Y14" s="7"/>
    </row>
    <row r="15" spans="1:27" ht="21.75" customHeight="1">
      <c r="A15" s="17">
        <f t="shared" si="0"/>
        <v>6</v>
      </c>
      <c r="B15" s="18" t="s">
        <v>125</v>
      </c>
      <c r="C15" s="19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7"/>
      <c r="R15" s="7"/>
      <c r="S15" s="7"/>
      <c r="T15" s="7"/>
      <c r="U15" s="7"/>
      <c r="V15" s="7"/>
      <c r="W15" s="7"/>
      <c r="X15" s="7"/>
      <c r="Y15" s="7"/>
    </row>
    <row r="16" spans="1:27" ht="21.75" customHeight="1">
      <c r="A16" s="17">
        <f t="shared" si="0"/>
        <v>7</v>
      </c>
      <c r="B16" s="18" t="s">
        <v>126</v>
      </c>
      <c r="C16" s="19"/>
      <c r="D16" s="7"/>
      <c r="E16" s="146" t="s">
        <v>60</v>
      </c>
      <c r="F16" s="147"/>
      <c r="G16" s="147"/>
      <c r="H16" s="182"/>
      <c r="I16" s="183">
        <f>+COUNTA(B10:B470)</f>
        <v>70</v>
      </c>
      <c r="J16" s="146" t="s">
        <v>61</v>
      </c>
      <c r="K16" s="147"/>
      <c r="L16" s="147"/>
      <c r="M16" s="147"/>
      <c r="N16" s="152">
        <f>ROUND((O12/100)*I16,0)</f>
        <v>4</v>
      </c>
      <c r="O16" s="153"/>
      <c r="P16" s="154"/>
      <c r="Q16" s="7"/>
      <c r="R16" s="7"/>
      <c r="S16" s="7"/>
      <c r="T16" s="7"/>
      <c r="U16" s="7"/>
      <c r="V16" s="7"/>
      <c r="W16" s="7"/>
      <c r="X16" s="7"/>
      <c r="Y16" s="7"/>
    </row>
    <row r="17" spans="1:35" ht="21.75" customHeight="1">
      <c r="A17" s="17">
        <f t="shared" si="0"/>
        <v>8</v>
      </c>
      <c r="B17" s="18" t="s">
        <v>127</v>
      </c>
      <c r="C17" s="19"/>
      <c r="D17" s="7"/>
      <c r="E17" s="148"/>
      <c r="F17" s="149"/>
      <c r="G17" s="149"/>
      <c r="H17" s="171"/>
      <c r="I17" s="184"/>
      <c r="J17" s="148"/>
      <c r="K17" s="149"/>
      <c r="L17" s="149"/>
      <c r="M17" s="150"/>
      <c r="N17" s="155"/>
      <c r="O17" s="156"/>
      <c r="P17" s="157"/>
      <c r="Q17" s="7"/>
      <c r="R17" s="7"/>
      <c r="S17" s="7"/>
      <c r="T17" s="7"/>
      <c r="U17" s="7"/>
      <c r="V17" s="7"/>
      <c r="W17" s="7"/>
      <c r="X17" s="7"/>
      <c r="Y17" s="7"/>
    </row>
    <row r="18" spans="1:35" ht="21.75" customHeight="1">
      <c r="A18" s="17">
        <f t="shared" si="0"/>
        <v>9</v>
      </c>
      <c r="B18" s="18" t="s">
        <v>128</v>
      </c>
      <c r="C18" s="19"/>
      <c r="D18" s="7"/>
      <c r="E18" s="151"/>
      <c r="F18" s="141"/>
      <c r="G18" s="141"/>
      <c r="H18" s="142"/>
      <c r="I18" s="185"/>
      <c r="J18" s="151"/>
      <c r="K18" s="141"/>
      <c r="L18" s="141"/>
      <c r="M18" s="141"/>
      <c r="N18" s="158"/>
      <c r="O18" s="159"/>
      <c r="P18" s="160"/>
      <c r="Q18" s="7"/>
      <c r="R18" s="7"/>
      <c r="S18" s="7"/>
      <c r="T18" s="7"/>
      <c r="U18" s="7"/>
      <c r="V18" s="7"/>
      <c r="W18" s="7"/>
      <c r="X18" s="7"/>
      <c r="Y18" s="7"/>
    </row>
    <row r="19" spans="1:35" ht="21.75" customHeight="1" thickBot="1">
      <c r="A19" s="17">
        <f t="shared" si="0"/>
        <v>10</v>
      </c>
      <c r="B19" s="18" t="s">
        <v>129</v>
      </c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35" ht="21.75" customHeight="1" thickBot="1">
      <c r="A20" s="17">
        <f t="shared" si="0"/>
        <v>11</v>
      </c>
      <c r="B20" s="18" t="s">
        <v>130</v>
      </c>
      <c r="C20" s="19"/>
      <c r="D20" s="7"/>
      <c r="E20" s="161" t="s">
        <v>62</v>
      </c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3"/>
      <c r="T20" s="7"/>
      <c r="U20" s="7"/>
      <c r="V20" s="7"/>
      <c r="W20" s="7"/>
      <c r="X20" s="7"/>
      <c r="Y20" s="7"/>
    </row>
    <row r="21" spans="1:35" ht="21.75" customHeight="1" thickBot="1">
      <c r="A21" s="17">
        <f t="shared" si="0"/>
        <v>12</v>
      </c>
      <c r="B21" s="18" t="s">
        <v>131</v>
      </c>
      <c r="C21" s="19"/>
      <c r="D21" s="7"/>
      <c r="E21" s="164" t="s">
        <v>10</v>
      </c>
      <c r="F21" s="164" t="s">
        <v>11</v>
      </c>
      <c r="G21" s="164" t="s">
        <v>12</v>
      </c>
      <c r="H21" s="164" t="s">
        <v>13</v>
      </c>
      <c r="I21" s="164" t="s">
        <v>14</v>
      </c>
      <c r="J21" s="164" t="s">
        <v>15</v>
      </c>
      <c r="K21" s="164" t="s">
        <v>16</v>
      </c>
      <c r="L21" s="144" t="s">
        <v>17</v>
      </c>
      <c r="M21" s="144" t="s">
        <v>18</v>
      </c>
      <c r="N21" s="144" t="s">
        <v>19</v>
      </c>
      <c r="O21" s="164" t="s">
        <v>20</v>
      </c>
      <c r="P21" s="164" t="s">
        <v>21</v>
      </c>
      <c r="Q21" s="144" t="s">
        <v>22</v>
      </c>
      <c r="R21" s="166" t="s">
        <v>23</v>
      </c>
      <c r="S21" s="138" t="s">
        <v>24</v>
      </c>
      <c r="T21" s="7"/>
      <c r="U21" s="7"/>
      <c r="V21" s="20" t="s">
        <v>11</v>
      </c>
      <c r="W21" s="21" t="s">
        <v>12</v>
      </c>
      <c r="X21" s="21" t="s">
        <v>13</v>
      </c>
      <c r="Y21" s="21" t="s">
        <v>14</v>
      </c>
      <c r="Z21" s="21" t="s">
        <v>15</v>
      </c>
      <c r="AA21" s="21" t="s">
        <v>16</v>
      </c>
      <c r="AB21" s="21" t="s">
        <v>17</v>
      </c>
      <c r="AC21" s="21" t="s">
        <v>18</v>
      </c>
      <c r="AD21" s="21" t="s">
        <v>19</v>
      </c>
      <c r="AE21" s="21" t="s">
        <v>20</v>
      </c>
      <c r="AF21" s="21" t="s">
        <v>21</v>
      </c>
      <c r="AG21" s="21" t="s">
        <v>22</v>
      </c>
      <c r="AH21" s="21" t="s">
        <v>23</v>
      </c>
      <c r="AI21" s="21" t="s">
        <v>24</v>
      </c>
    </row>
    <row r="22" spans="1:35" ht="21.75" customHeight="1" thickBot="1">
      <c r="A22" s="17">
        <f t="shared" si="0"/>
        <v>13</v>
      </c>
      <c r="B22" s="18" t="s">
        <v>132</v>
      </c>
      <c r="C22" s="19"/>
      <c r="D22" s="7"/>
      <c r="E22" s="165"/>
      <c r="F22" s="165"/>
      <c r="G22" s="165"/>
      <c r="H22" s="165"/>
      <c r="I22" s="165"/>
      <c r="J22" s="165"/>
      <c r="K22" s="165"/>
      <c r="L22" s="145"/>
      <c r="M22" s="145"/>
      <c r="N22" s="145"/>
      <c r="O22" s="165"/>
      <c r="P22" s="165"/>
      <c r="Q22" s="145"/>
      <c r="R22" s="167"/>
      <c r="S22" s="138"/>
      <c r="T22" s="7"/>
      <c r="U22" s="7"/>
      <c r="V22" s="22" t="str">
        <f t="shared" ref="V22:AI26" si="1">IF(ISBLANK(F23),"","P")</f>
        <v/>
      </c>
      <c r="W22" s="22" t="str">
        <f t="shared" si="1"/>
        <v/>
      </c>
      <c r="X22" s="22" t="str">
        <f t="shared" si="1"/>
        <v/>
      </c>
      <c r="Y22" s="22" t="str">
        <f t="shared" si="1"/>
        <v/>
      </c>
      <c r="Z22" s="22" t="str">
        <f t="shared" si="1"/>
        <v/>
      </c>
      <c r="AA22" s="22" t="str">
        <f t="shared" si="1"/>
        <v/>
      </c>
      <c r="AB22" s="22" t="str">
        <f t="shared" si="1"/>
        <v/>
      </c>
      <c r="AC22" s="22" t="str">
        <f t="shared" si="1"/>
        <v/>
      </c>
      <c r="AD22" s="22" t="str">
        <f t="shared" si="1"/>
        <v/>
      </c>
      <c r="AE22" s="22" t="str">
        <f t="shared" si="1"/>
        <v/>
      </c>
      <c r="AF22" s="22" t="str">
        <f t="shared" si="1"/>
        <v/>
      </c>
      <c r="AG22" s="22" t="str">
        <f t="shared" si="1"/>
        <v/>
      </c>
      <c r="AH22" s="22" t="str">
        <f t="shared" si="1"/>
        <v/>
      </c>
      <c r="AI22" s="22" t="str">
        <f t="shared" si="1"/>
        <v/>
      </c>
    </row>
    <row r="23" spans="1:35" ht="21.75" customHeight="1" thickBot="1">
      <c r="A23" s="17">
        <f t="shared" si="0"/>
        <v>14</v>
      </c>
      <c r="B23" s="18" t="s">
        <v>133</v>
      </c>
      <c r="C23" s="19"/>
      <c r="D23" s="7"/>
      <c r="E23" s="23" t="str">
        <f>M31</f>
        <v>CO-1</v>
      </c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7"/>
      <c r="U23" s="7"/>
      <c r="V23" s="22" t="str">
        <f t="shared" si="1"/>
        <v/>
      </c>
      <c r="W23" s="22" t="str">
        <f t="shared" si="1"/>
        <v/>
      </c>
      <c r="X23" s="22" t="str">
        <f t="shared" si="1"/>
        <v/>
      </c>
      <c r="Y23" s="22" t="str">
        <f t="shared" si="1"/>
        <v/>
      </c>
      <c r="Z23" s="22" t="str">
        <f t="shared" si="1"/>
        <v/>
      </c>
      <c r="AA23" s="22" t="str">
        <f t="shared" si="1"/>
        <v/>
      </c>
      <c r="AB23" s="22" t="str">
        <f t="shared" si="1"/>
        <v/>
      </c>
      <c r="AC23" s="22" t="str">
        <f t="shared" si="1"/>
        <v/>
      </c>
      <c r="AD23" s="22" t="str">
        <f t="shared" si="1"/>
        <v/>
      </c>
      <c r="AE23" s="22" t="str">
        <f t="shared" si="1"/>
        <v/>
      </c>
      <c r="AF23" s="22" t="str">
        <f t="shared" si="1"/>
        <v/>
      </c>
      <c r="AG23" s="22" t="str">
        <f t="shared" si="1"/>
        <v/>
      </c>
      <c r="AH23" s="22" t="str">
        <f t="shared" si="1"/>
        <v/>
      </c>
      <c r="AI23" s="22" t="str">
        <f t="shared" si="1"/>
        <v/>
      </c>
    </row>
    <row r="24" spans="1:35" ht="21.75" customHeight="1" thickBot="1">
      <c r="A24" s="17">
        <f t="shared" si="0"/>
        <v>15</v>
      </c>
      <c r="B24" s="18" t="s">
        <v>134</v>
      </c>
      <c r="C24" s="19"/>
      <c r="D24" s="7"/>
      <c r="E24" s="23" t="str">
        <f>N31</f>
        <v>CO-2</v>
      </c>
      <c r="F24" s="24"/>
      <c r="G24" s="25"/>
      <c r="H24" s="25"/>
      <c r="I24" s="26"/>
      <c r="J24" s="26"/>
      <c r="K24" s="26"/>
      <c r="L24" s="26"/>
      <c r="M24" s="26"/>
      <c r="N24" s="26"/>
      <c r="O24" s="26"/>
      <c r="P24" s="25"/>
      <c r="Q24" s="25"/>
      <c r="R24" s="25"/>
      <c r="S24" s="25"/>
      <c r="T24" s="7"/>
      <c r="U24" s="7"/>
      <c r="V24" s="22" t="str">
        <f t="shared" si="1"/>
        <v/>
      </c>
      <c r="W24" s="22" t="str">
        <f t="shared" si="1"/>
        <v/>
      </c>
      <c r="X24" s="22" t="str">
        <f t="shared" si="1"/>
        <v/>
      </c>
      <c r="Y24" s="22" t="str">
        <f t="shared" si="1"/>
        <v/>
      </c>
      <c r="Z24" s="22" t="str">
        <f t="shared" si="1"/>
        <v/>
      </c>
      <c r="AA24" s="22" t="str">
        <f t="shared" si="1"/>
        <v/>
      </c>
      <c r="AB24" s="22" t="str">
        <f t="shared" si="1"/>
        <v/>
      </c>
      <c r="AC24" s="22" t="str">
        <f t="shared" si="1"/>
        <v/>
      </c>
      <c r="AD24" s="22" t="str">
        <f t="shared" si="1"/>
        <v/>
      </c>
      <c r="AE24" s="22" t="str">
        <f t="shared" si="1"/>
        <v/>
      </c>
      <c r="AF24" s="22" t="str">
        <f t="shared" si="1"/>
        <v/>
      </c>
      <c r="AG24" s="22" t="str">
        <f t="shared" si="1"/>
        <v/>
      </c>
      <c r="AH24" s="22" t="str">
        <f t="shared" si="1"/>
        <v/>
      </c>
      <c r="AI24" s="22" t="str">
        <f t="shared" si="1"/>
        <v/>
      </c>
    </row>
    <row r="25" spans="1:35" ht="21.75" customHeight="1" thickBot="1">
      <c r="A25" s="17">
        <f t="shared" si="0"/>
        <v>16</v>
      </c>
      <c r="B25" s="18" t="s">
        <v>135</v>
      </c>
      <c r="C25" s="19"/>
      <c r="D25" s="7"/>
      <c r="E25" s="23" t="str">
        <f>O31</f>
        <v>CO-3</v>
      </c>
      <c r="F25" s="24"/>
      <c r="G25" s="25"/>
      <c r="H25" s="25"/>
      <c r="I25" s="26"/>
      <c r="J25" s="26"/>
      <c r="K25" s="26"/>
      <c r="L25" s="26"/>
      <c r="M25" s="26"/>
      <c r="N25" s="26"/>
      <c r="O25" s="26"/>
      <c r="P25" s="25"/>
      <c r="Q25" s="25"/>
      <c r="R25" s="25"/>
      <c r="S25" s="25"/>
      <c r="T25" s="7"/>
      <c r="U25" s="7"/>
      <c r="V25" s="22" t="str">
        <f t="shared" si="1"/>
        <v/>
      </c>
      <c r="W25" s="22" t="str">
        <f t="shared" si="1"/>
        <v/>
      </c>
      <c r="X25" s="22" t="str">
        <f t="shared" si="1"/>
        <v/>
      </c>
      <c r="Y25" s="22" t="str">
        <f t="shared" si="1"/>
        <v/>
      </c>
      <c r="Z25" s="22" t="str">
        <f t="shared" si="1"/>
        <v/>
      </c>
      <c r="AA25" s="22" t="str">
        <f t="shared" si="1"/>
        <v/>
      </c>
      <c r="AB25" s="22" t="str">
        <f t="shared" si="1"/>
        <v/>
      </c>
      <c r="AC25" s="22" t="str">
        <f t="shared" si="1"/>
        <v/>
      </c>
      <c r="AD25" s="22" t="str">
        <f t="shared" si="1"/>
        <v/>
      </c>
      <c r="AE25" s="22" t="str">
        <f t="shared" si="1"/>
        <v/>
      </c>
      <c r="AF25" s="22" t="str">
        <f t="shared" si="1"/>
        <v/>
      </c>
      <c r="AG25" s="22" t="str">
        <f t="shared" si="1"/>
        <v/>
      </c>
      <c r="AH25" s="22" t="str">
        <f t="shared" si="1"/>
        <v/>
      </c>
      <c r="AI25" s="22" t="str">
        <f t="shared" si="1"/>
        <v/>
      </c>
    </row>
    <row r="26" spans="1:35" ht="21.75" customHeight="1" thickBot="1">
      <c r="A26" s="17">
        <f t="shared" si="0"/>
        <v>17</v>
      </c>
      <c r="B26" s="18" t="s">
        <v>136</v>
      </c>
      <c r="C26" s="19"/>
      <c r="D26" s="7"/>
      <c r="E26" s="23" t="str">
        <f>P31</f>
        <v>CO-4</v>
      </c>
      <c r="F26" s="24"/>
      <c r="G26" s="25"/>
      <c r="H26" s="25"/>
      <c r="I26" s="26"/>
      <c r="J26" s="26"/>
      <c r="K26" s="26"/>
      <c r="L26" s="26"/>
      <c r="M26" s="26"/>
      <c r="N26" s="26"/>
      <c r="O26" s="26"/>
      <c r="P26" s="25"/>
      <c r="Q26" s="25"/>
      <c r="R26" s="25"/>
      <c r="S26" s="25"/>
      <c r="T26" s="7"/>
      <c r="U26" s="7"/>
      <c r="V26" s="22" t="str">
        <f t="shared" si="1"/>
        <v/>
      </c>
      <c r="W26" s="22" t="str">
        <f t="shared" si="1"/>
        <v/>
      </c>
      <c r="X26" s="22" t="str">
        <f t="shared" si="1"/>
        <v/>
      </c>
      <c r="Y26" s="22" t="str">
        <f t="shared" si="1"/>
        <v/>
      </c>
      <c r="Z26" s="22" t="str">
        <f t="shared" si="1"/>
        <v/>
      </c>
      <c r="AA26" s="22" t="str">
        <f t="shared" si="1"/>
        <v/>
      </c>
      <c r="AB26" s="22" t="str">
        <f t="shared" si="1"/>
        <v/>
      </c>
      <c r="AC26" s="22" t="str">
        <f t="shared" si="1"/>
        <v/>
      </c>
      <c r="AD26" s="22" t="str">
        <f t="shared" si="1"/>
        <v/>
      </c>
      <c r="AE26" s="22" t="str">
        <f t="shared" si="1"/>
        <v/>
      </c>
      <c r="AF26" s="22" t="str">
        <f t="shared" si="1"/>
        <v/>
      </c>
      <c r="AG26" s="22" t="str">
        <f t="shared" si="1"/>
        <v/>
      </c>
      <c r="AH26" s="22" t="str">
        <f t="shared" si="1"/>
        <v/>
      </c>
      <c r="AI26" s="22" t="str">
        <f t="shared" si="1"/>
        <v/>
      </c>
    </row>
    <row r="27" spans="1:35" ht="21.75" customHeight="1" thickBot="1">
      <c r="A27" s="17">
        <f t="shared" si="0"/>
        <v>18</v>
      </c>
      <c r="B27" s="18" t="s">
        <v>137</v>
      </c>
      <c r="C27" s="19"/>
      <c r="D27" s="7"/>
      <c r="E27" s="23" t="str">
        <f>Q31</f>
        <v>CO-5</v>
      </c>
      <c r="F27" s="24"/>
      <c r="G27" s="25"/>
      <c r="H27" s="25"/>
      <c r="I27" s="26"/>
      <c r="J27" s="26"/>
      <c r="K27" s="26"/>
      <c r="L27" s="26"/>
      <c r="M27" s="26"/>
      <c r="N27" s="26"/>
      <c r="O27" s="26"/>
      <c r="P27" s="25"/>
      <c r="Q27" s="25"/>
      <c r="R27" s="25"/>
      <c r="S27" s="25"/>
      <c r="T27" s="7"/>
      <c r="U27" s="7"/>
      <c r="V27" s="27" t="str">
        <f t="shared" ref="V27:AI27" si="2">IF(SUM(V22:V26)=0,"-",ROUND(((SUM(V22:V26))/COUNT(V22:V26)),2))</f>
        <v>-</v>
      </c>
      <c r="W27" s="27" t="str">
        <f t="shared" si="2"/>
        <v>-</v>
      </c>
      <c r="X27" s="27" t="str">
        <f t="shared" si="2"/>
        <v>-</v>
      </c>
      <c r="Y27" s="27" t="str">
        <f t="shared" si="2"/>
        <v>-</v>
      </c>
      <c r="Z27" s="27" t="str">
        <f t="shared" si="2"/>
        <v>-</v>
      </c>
      <c r="AA27" s="27" t="str">
        <f t="shared" si="2"/>
        <v>-</v>
      </c>
      <c r="AB27" s="27" t="str">
        <f t="shared" si="2"/>
        <v>-</v>
      </c>
      <c r="AC27" s="27" t="str">
        <f t="shared" si="2"/>
        <v>-</v>
      </c>
      <c r="AD27" s="27" t="str">
        <f t="shared" si="2"/>
        <v>-</v>
      </c>
      <c r="AE27" s="27" t="str">
        <f t="shared" si="2"/>
        <v>-</v>
      </c>
      <c r="AF27" s="27" t="str">
        <f t="shared" si="2"/>
        <v>-</v>
      </c>
      <c r="AG27" s="27" t="str">
        <f t="shared" si="2"/>
        <v>-</v>
      </c>
      <c r="AH27" s="27" t="str">
        <f t="shared" si="2"/>
        <v>-</v>
      </c>
      <c r="AI27" s="27" t="str">
        <f t="shared" si="2"/>
        <v>-</v>
      </c>
    </row>
    <row r="28" spans="1:35" ht="21.75" customHeight="1" thickBot="1">
      <c r="A28" s="17">
        <f t="shared" si="0"/>
        <v>19</v>
      </c>
      <c r="B28" s="18" t="s">
        <v>138</v>
      </c>
      <c r="C28" s="19"/>
      <c r="D28" s="7"/>
      <c r="E28" s="28" t="s">
        <v>63</v>
      </c>
      <c r="F28" s="28" t="str">
        <f t="shared" ref="F28:S28" si="3">IF(SUM(F23:F27)=0,"-",ROUND(((SUM(F23:F27))/COUNT(F23:F27)),2))</f>
        <v>-</v>
      </c>
      <c r="G28" s="28" t="str">
        <f t="shared" si="3"/>
        <v>-</v>
      </c>
      <c r="H28" s="28" t="str">
        <f t="shared" si="3"/>
        <v>-</v>
      </c>
      <c r="I28" s="28" t="str">
        <f t="shared" si="3"/>
        <v>-</v>
      </c>
      <c r="J28" s="28" t="str">
        <f t="shared" si="3"/>
        <v>-</v>
      </c>
      <c r="K28" s="28" t="str">
        <f t="shared" si="3"/>
        <v>-</v>
      </c>
      <c r="L28" s="28" t="str">
        <f t="shared" si="3"/>
        <v>-</v>
      </c>
      <c r="M28" s="28" t="str">
        <f t="shared" si="3"/>
        <v>-</v>
      </c>
      <c r="N28" s="28" t="str">
        <f t="shared" si="3"/>
        <v>-</v>
      </c>
      <c r="O28" s="28" t="str">
        <f t="shared" si="3"/>
        <v>-</v>
      </c>
      <c r="P28" s="28" t="str">
        <f t="shared" si="3"/>
        <v>-</v>
      </c>
      <c r="Q28" s="28" t="str">
        <f t="shared" si="3"/>
        <v>-</v>
      </c>
      <c r="R28" s="28" t="str">
        <f t="shared" si="3"/>
        <v>-</v>
      </c>
      <c r="S28" s="28" t="str">
        <f t="shared" si="3"/>
        <v>-</v>
      </c>
      <c r="T28" s="7"/>
      <c r="U28" s="7"/>
      <c r="V28" s="7"/>
      <c r="W28" s="7"/>
      <c r="X28" s="7"/>
      <c r="Y28" s="7"/>
    </row>
    <row r="29" spans="1:35" ht="21.75" customHeight="1">
      <c r="A29" s="17">
        <f t="shared" si="0"/>
        <v>20</v>
      </c>
      <c r="B29" s="18" t="s">
        <v>139</v>
      </c>
      <c r="C29" s="19"/>
      <c r="D29" s="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7"/>
      <c r="U29" s="7"/>
      <c r="V29" s="7"/>
      <c r="W29" s="7"/>
      <c r="X29" s="7"/>
      <c r="Y29" s="7"/>
    </row>
    <row r="30" spans="1:35" ht="21.75" customHeight="1">
      <c r="A30" s="17">
        <f t="shared" si="0"/>
        <v>21</v>
      </c>
      <c r="B30" s="18" t="s">
        <v>140</v>
      </c>
      <c r="C30" s="19"/>
      <c r="D30" s="7"/>
      <c r="F30" s="30"/>
      <c r="G30" s="139" t="s">
        <v>64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30"/>
      <c r="S30" s="30"/>
      <c r="T30" s="7"/>
      <c r="U30" s="7"/>
      <c r="V30" s="7"/>
      <c r="W30" s="7"/>
      <c r="X30" s="7"/>
      <c r="Y30" s="7"/>
    </row>
    <row r="31" spans="1:35" ht="21.75" customHeight="1">
      <c r="A31" s="17">
        <f>A30+1</f>
        <v>22</v>
      </c>
      <c r="B31" s="18" t="s">
        <v>141</v>
      </c>
      <c r="C31" s="19"/>
      <c r="D31" s="7"/>
      <c r="G31" s="140" t="s">
        <v>65</v>
      </c>
      <c r="H31" s="141"/>
      <c r="I31" s="141"/>
      <c r="J31" s="141"/>
      <c r="K31" s="141"/>
      <c r="L31" s="142"/>
      <c r="M31" s="31" t="s">
        <v>5</v>
      </c>
      <c r="N31" s="32" t="s">
        <v>6</v>
      </c>
      <c r="O31" s="32" t="s">
        <v>7</v>
      </c>
      <c r="P31" s="32" t="s">
        <v>8</v>
      </c>
      <c r="Q31" s="32" t="s">
        <v>9</v>
      </c>
      <c r="T31" s="7"/>
      <c r="U31" s="7"/>
      <c r="V31" s="7"/>
      <c r="W31" s="7"/>
      <c r="X31" s="7"/>
      <c r="Y31" s="7"/>
    </row>
    <row r="32" spans="1:35" ht="21.75" customHeight="1">
      <c r="A32" s="17">
        <f t="shared" si="0"/>
        <v>23</v>
      </c>
      <c r="B32" s="18" t="s">
        <v>142</v>
      </c>
      <c r="C32" s="19"/>
      <c r="D32" s="7"/>
      <c r="G32" s="143" t="s">
        <v>66</v>
      </c>
      <c r="H32" s="135"/>
      <c r="I32" s="135"/>
      <c r="J32" s="135"/>
      <c r="K32" s="135"/>
      <c r="L32" s="136"/>
      <c r="M32" s="33">
        <f>'Course Outcome'!C464</f>
        <v>0</v>
      </c>
      <c r="N32" s="34">
        <f>'Course Outcome'!D464</f>
        <v>0</v>
      </c>
      <c r="O32" s="34">
        <f>'Course Outcome'!E464</f>
        <v>0</v>
      </c>
      <c r="P32" s="34">
        <f>'Course Outcome'!F464</f>
        <v>0</v>
      </c>
      <c r="Q32" s="34">
        <f>'Course Outcome'!G464</f>
        <v>0</v>
      </c>
      <c r="T32" s="7"/>
      <c r="U32" s="7"/>
      <c r="V32" s="7"/>
      <c r="W32" s="7"/>
      <c r="X32" s="7"/>
      <c r="Y32" s="7"/>
    </row>
    <row r="33" spans="1:25" ht="21.75" customHeight="1">
      <c r="A33" s="17">
        <f t="shared" si="0"/>
        <v>24</v>
      </c>
      <c r="B33" s="18" t="s">
        <v>143</v>
      </c>
      <c r="C33" s="19"/>
      <c r="D33" s="7"/>
      <c r="G33" s="134"/>
      <c r="H33" s="135"/>
      <c r="I33" s="135"/>
      <c r="J33" s="135"/>
      <c r="K33" s="135"/>
      <c r="L33" s="136"/>
      <c r="M33" s="33"/>
      <c r="N33" s="34"/>
      <c r="O33" s="34"/>
      <c r="P33" s="34"/>
      <c r="Q33" s="34"/>
      <c r="T33" s="7"/>
      <c r="U33" s="7"/>
      <c r="V33" s="7"/>
      <c r="W33" s="7"/>
      <c r="X33" s="7"/>
      <c r="Y33" s="7"/>
    </row>
    <row r="34" spans="1:25" ht="21.75" customHeight="1">
      <c r="A34" s="17">
        <f t="shared" si="0"/>
        <v>25</v>
      </c>
      <c r="B34" s="18" t="s">
        <v>144</v>
      </c>
      <c r="C34" s="19"/>
      <c r="D34" s="7"/>
      <c r="G34" s="134" t="s">
        <v>119</v>
      </c>
      <c r="H34" s="135"/>
      <c r="I34" s="135"/>
      <c r="J34" s="135"/>
      <c r="K34" s="135"/>
      <c r="L34" s="136"/>
      <c r="M34" s="35">
        <f>IFERROR(M32*1,"")</f>
        <v>0</v>
      </c>
      <c r="N34" s="36">
        <f t="shared" ref="N34:Q34" si="4">IFERROR(N32*1,"")</f>
        <v>0</v>
      </c>
      <c r="O34" s="36">
        <f t="shared" si="4"/>
        <v>0</v>
      </c>
      <c r="P34" s="36">
        <f t="shared" si="4"/>
        <v>0</v>
      </c>
      <c r="Q34" s="36">
        <f t="shared" si="4"/>
        <v>0</v>
      </c>
      <c r="T34" s="7"/>
      <c r="U34" s="7"/>
      <c r="V34" s="7"/>
      <c r="W34" s="7"/>
      <c r="X34" s="7"/>
      <c r="Y34" s="7"/>
    </row>
    <row r="35" spans="1:25" ht="21.75" customHeight="1">
      <c r="A35" s="17">
        <f t="shared" si="0"/>
        <v>26</v>
      </c>
      <c r="B35" s="18" t="s">
        <v>145</v>
      </c>
      <c r="C35" s="19"/>
      <c r="D35" s="7"/>
      <c r="T35" s="7"/>
      <c r="U35" s="7"/>
      <c r="V35" s="7"/>
      <c r="W35" s="7"/>
      <c r="X35" s="7"/>
      <c r="Y35" s="7"/>
    </row>
    <row r="36" spans="1:25" ht="21.75" customHeight="1">
      <c r="A36" s="17">
        <f t="shared" si="0"/>
        <v>27</v>
      </c>
      <c r="B36" s="18" t="s">
        <v>146</v>
      </c>
      <c r="C36" s="19"/>
      <c r="D36" s="7"/>
      <c r="E36" s="137" t="s">
        <v>67</v>
      </c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7"/>
      <c r="U36" s="7"/>
      <c r="V36" s="7"/>
      <c r="W36" s="7"/>
      <c r="X36" s="7"/>
      <c r="Y36" s="7"/>
    </row>
    <row r="37" spans="1:25" ht="21.75" customHeight="1" thickBot="1">
      <c r="A37" s="17">
        <f t="shared" si="0"/>
        <v>28</v>
      </c>
      <c r="B37" s="18" t="s">
        <v>147</v>
      </c>
      <c r="C37" s="19"/>
      <c r="D37" s="7"/>
      <c r="E37" s="28" t="s">
        <v>10</v>
      </c>
      <c r="F37" s="37" t="s">
        <v>11</v>
      </c>
      <c r="G37" s="37" t="s">
        <v>12</v>
      </c>
      <c r="H37" s="37" t="s">
        <v>13</v>
      </c>
      <c r="I37" s="37" t="s">
        <v>14</v>
      </c>
      <c r="J37" s="37" t="s">
        <v>15</v>
      </c>
      <c r="K37" s="37" t="s">
        <v>16</v>
      </c>
      <c r="L37" s="37" t="s">
        <v>17</v>
      </c>
      <c r="M37" s="37" t="s">
        <v>18</v>
      </c>
      <c r="N37" s="37" t="s">
        <v>19</v>
      </c>
      <c r="O37" s="37" t="s">
        <v>20</v>
      </c>
      <c r="P37" s="37" t="s">
        <v>21</v>
      </c>
      <c r="Q37" s="37" t="s">
        <v>22</v>
      </c>
      <c r="R37" s="37" t="s">
        <v>23</v>
      </c>
      <c r="S37" s="37" t="s">
        <v>24</v>
      </c>
      <c r="T37" s="7"/>
      <c r="U37" s="7"/>
      <c r="V37" s="7"/>
      <c r="W37" s="7"/>
      <c r="X37" s="7"/>
      <c r="Y37" s="7"/>
    </row>
    <row r="38" spans="1:25" ht="21.75" customHeight="1" thickBot="1">
      <c r="A38" s="17">
        <f t="shared" si="0"/>
        <v>29</v>
      </c>
      <c r="B38" s="18" t="s">
        <v>148</v>
      </c>
      <c r="C38" s="19"/>
      <c r="D38" s="7"/>
      <c r="E38" s="28" t="str">
        <f>+E23</f>
        <v>CO-1</v>
      </c>
      <c r="F38" s="38" t="str">
        <f t="shared" ref="F38:S38" si="5">IF(V22="P",(F23*($M$34/100)),"-")</f>
        <v>-</v>
      </c>
      <c r="G38" s="38" t="str">
        <f t="shared" si="5"/>
        <v>-</v>
      </c>
      <c r="H38" s="38" t="str">
        <f t="shared" si="5"/>
        <v>-</v>
      </c>
      <c r="I38" s="38" t="str">
        <f t="shared" si="5"/>
        <v>-</v>
      </c>
      <c r="J38" s="38" t="str">
        <f t="shared" si="5"/>
        <v>-</v>
      </c>
      <c r="K38" s="38" t="str">
        <f t="shared" si="5"/>
        <v>-</v>
      </c>
      <c r="L38" s="38" t="str">
        <f t="shared" si="5"/>
        <v>-</v>
      </c>
      <c r="M38" s="38" t="str">
        <f t="shared" si="5"/>
        <v>-</v>
      </c>
      <c r="N38" s="38" t="str">
        <f t="shared" si="5"/>
        <v>-</v>
      </c>
      <c r="O38" s="38" t="str">
        <f t="shared" si="5"/>
        <v>-</v>
      </c>
      <c r="P38" s="38" t="str">
        <f t="shared" si="5"/>
        <v>-</v>
      </c>
      <c r="Q38" s="38" t="str">
        <f t="shared" si="5"/>
        <v>-</v>
      </c>
      <c r="R38" s="38" t="str">
        <f t="shared" si="5"/>
        <v>-</v>
      </c>
      <c r="S38" s="38" t="str">
        <f t="shared" si="5"/>
        <v>-</v>
      </c>
      <c r="T38" s="7"/>
      <c r="U38" s="7"/>
      <c r="V38" s="7"/>
      <c r="W38" s="7"/>
      <c r="X38" s="7"/>
      <c r="Y38" s="7"/>
    </row>
    <row r="39" spans="1:25" ht="21.75" customHeight="1" thickBot="1">
      <c r="A39" s="17">
        <f t="shared" si="0"/>
        <v>30</v>
      </c>
      <c r="B39" s="18" t="s">
        <v>149</v>
      </c>
      <c r="C39" s="19"/>
      <c r="D39" s="7"/>
      <c r="E39" s="28" t="str">
        <f>+E24</f>
        <v>CO-2</v>
      </c>
      <c r="F39" s="38" t="str">
        <f t="shared" ref="F39:S39" si="6">IF(V23="P",(F24*($N$34/100)),"-")</f>
        <v>-</v>
      </c>
      <c r="G39" s="38" t="str">
        <f t="shared" si="6"/>
        <v>-</v>
      </c>
      <c r="H39" s="38" t="str">
        <f t="shared" si="6"/>
        <v>-</v>
      </c>
      <c r="I39" s="38" t="str">
        <f t="shared" si="6"/>
        <v>-</v>
      </c>
      <c r="J39" s="38" t="str">
        <f t="shared" si="6"/>
        <v>-</v>
      </c>
      <c r="K39" s="38" t="str">
        <f t="shared" si="6"/>
        <v>-</v>
      </c>
      <c r="L39" s="38" t="str">
        <f t="shared" si="6"/>
        <v>-</v>
      </c>
      <c r="M39" s="38" t="str">
        <f t="shared" si="6"/>
        <v>-</v>
      </c>
      <c r="N39" s="38" t="str">
        <f t="shared" si="6"/>
        <v>-</v>
      </c>
      <c r="O39" s="38" t="str">
        <f t="shared" si="6"/>
        <v>-</v>
      </c>
      <c r="P39" s="38" t="str">
        <f t="shared" si="6"/>
        <v>-</v>
      </c>
      <c r="Q39" s="38" t="str">
        <f t="shared" si="6"/>
        <v>-</v>
      </c>
      <c r="R39" s="38" t="str">
        <f t="shared" si="6"/>
        <v>-</v>
      </c>
      <c r="S39" s="38" t="str">
        <f t="shared" si="6"/>
        <v>-</v>
      </c>
      <c r="T39" s="7"/>
      <c r="U39" s="7"/>
      <c r="V39" s="7"/>
      <c r="W39" s="7"/>
      <c r="X39" s="7"/>
      <c r="Y39" s="7"/>
    </row>
    <row r="40" spans="1:25" ht="21.75" customHeight="1" thickBot="1">
      <c r="A40" s="17">
        <f t="shared" si="0"/>
        <v>31</v>
      </c>
      <c r="B40" s="18" t="s">
        <v>150</v>
      </c>
      <c r="C40" s="19"/>
      <c r="D40" s="7"/>
      <c r="E40" s="28" t="str">
        <f>+E25</f>
        <v>CO-3</v>
      </c>
      <c r="F40" s="38" t="str">
        <f t="shared" ref="F40:S40" si="7">IF(V24="P",(F25*($O$34/100)),"-")</f>
        <v>-</v>
      </c>
      <c r="G40" s="38" t="str">
        <f t="shared" si="7"/>
        <v>-</v>
      </c>
      <c r="H40" s="38" t="str">
        <f t="shared" si="7"/>
        <v>-</v>
      </c>
      <c r="I40" s="38" t="str">
        <f t="shared" si="7"/>
        <v>-</v>
      </c>
      <c r="J40" s="38" t="str">
        <f t="shared" si="7"/>
        <v>-</v>
      </c>
      <c r="K40" s="38" t="str">
        <f t="shared" si="7"/>
        <v>-</v>
      </c>
      <c r="L40" s="38" t="str">
        <f t="shared" si="7"/>
        <v>-</v>
      </c>
      <c r="M40" s="38" t="str">
        <f t="shared" si="7"/>
        <v>-</v>
      </c>
      <c r="N40" s="38" t="str">
        <f t="shared" si="7"/>
        <v>-</v>
      </c>
      <c r="O40" s="38" t="str">
        <f t="shared" si="7"/>
        <v>-</v>
      </c>
      <c r="P40" s="38" t="str">
        <f t="shared" si="7"/>
        <v>-</v>
      </c>
      <c r="Q40" s="38" t="str">
        <f t="shared" si="7"/>
        <v>-</v>
      </c>
      <c r="R40" s="38" t="str">
        <f t="shared" si="7"/>
        <v>-</v>
      </c>
      <c r="S40" s="38" t="str">
        <f t="shared" si="7"/>
        <v>-</v>
      </c>
      <c r="T40" s="7"/>
      <c r="U40" s="7"/>
      <c r="V40" s="7"/>
      <c r="W40" s="7"/>
      <c r="X40" s="7"/>
      <c r="Y40" s="7"/>
    </row>
    <row r="41" spans="1:25" ht="28.5" customHeight="1" thickBot="1">
      <c r="A41" s="17">
        <f t="shared" si="0"/>
        <v>32</v>
      </c>
      <c r="B41" s="18" t="s">
        <v>151</v>
      </c>
      <c r="C41" s="19"/>
      <c r="D41" s="7"/>
      <c r="E41" s="28" t="str">
        <f>+E26</f>
        <v>CO-4</v>
      </c>
      <c r="F41" s="38" t="str">
        <f t="shared" ref="F41:S41" si="8">IF(V25="P",(F26*($P$34/100)),"-")</f>
        <v>-</v>
      </c>
      <c r="G41" s="38" t="str">
        <f t="shared" si="8"/>
        <v>-</v>
      </c>
      <c r="H41" s="38" t="str">
        <f t="shared" si="8"/>
        <v>-</v>
      </c>
      <c r="I41" s="38" t="str">
        <f t="shared" si="8"/>
        <v>-</v>
      </c>
      <c r="J41" s="38" t="str">
        <f t="shared" si="8"/>
        <v>-</v>
      </c>
      <c r="K41" s="38" t="str">
        <f t="shared" si="8"/>
        <v>-</v>
      </c>
      <c r="L41" s="38" t="str">
        <f t="shared" si="8"/>
        <v>-</v>
      </c>
      <c r="M41" s="38" t="str">
        <f t="shared" si="8"/>
        <v>-</v>
      </c>
      <c r="N41" s="38" t="str">
        <f t="shared" si="8"/>
        <v>-</v>
      </c>
      <c r="O41" s="38" t="str">
        <f t="shared" si="8"/>
        <v>-</v>
      </c>
      <c r="P41" s="38" t="str">
        <f t="shared" si="8"/>
        <v>-</v>
      </c>
      <c r="Q41" s="38" t="str">
        <f t="shared" si="8"/>
        <v>-</v>
      </c>
      <c r="R41" s="38" t="str">
        <f t="shared" si="8"/>
        <v>-</v>
      </c>
      <c r="S41" s="38" t="str">
        <f t="shared" si="8"/>
        <v>-</v>
      </c>
      <c r="T41" s="7"/>
      <c r="U41" s="7"/>
      <c r="V41" s="7"/>
      <c r="W41" s="7"/>
      <c r="X41" s="7"/>
      <c r="Y41" s="7"/>
    </row>
    <row r="42" spans="1:25" ht="21.75" customHeight="1" thickBot="1">
      <c r="A42" s="17">
        <f t="shared" si="0"/>
        <v>33</v>
      </c>
      <c r="B42" s="18" t="s">
        <v>152</v>
      </c>
      <c r="C42" s="19"/>
      <c r="D42" s="7"/>
      <c r="E42" s="28" t="str">
        <f>+E27</f>
        <v>CO-5</v>
      </c>
      <c r="F42" s="38" t="str">
        <f t="shared" ref="F42:S42" si="9">IF(V26="P",(F27*($Q$34/100)),"-")</f>
        <v>-</v>
      </c>
      <c r="G42" s="38" t="str">
        <f t="shared" si="9"/>
        <v>-</v>
      </c>
      <c r="H42" s="38" t="str">
        <f t="shared" si="9"/>
        <v>-</v>
      </c>
      <c r="I42" s="38" t="str">
        <f t="shared" si="9"/>
        <v>-</v>
      </c>
      <c r="J42" s="38" t="str">
        <f t="shared" si="9"/>
        <v>-</v>
      </c>
      <c r="K42" s="38" t="str">
        <f t="shared" si="9"/>
        <v>-</v>
      </c>
      <c r="L42" s="38" t="str">
        <f t="shared" si="9"/>
        <v>-</v>
      </c>
      <c r="M42" s="38" t="str">
        <f t="shared" si="9"/>
        <v>-</v>
      </c>
      <c r="N42" s="38" t="str">
        <f t="shared" si="9"/>
        <v>-</v>
      </c>
      <c r="O42" s="38" t="str">
        <f t="shared" si="9"/>
        <v>-</v>
      </c>
      <c r="P42" s="38" t="str">
        <f t="shared" si="9"/>
        <v>-</v>
      </c>
      <c r="Q42" s="38" t="str">
        <f t="shared" si="9"/>
        <v>-</v>
      </c>
      <c r="R42" s="38" t="str">
        <f t="shared" si="9"/>
        <v>-</v>
      </c>
      <c r="S42" s="38" t="str">
        <f t="shared" si="9"/>
        <v>-</v>
      </c>
      <c r="T42" s="7"/>
      <c r="U42" s="7"/>
      <c r="V42" s="7"/>
      <c r="W42" s="7"/>
      <c r="X42" s="7"/>
      <c r="Y42" s="7"/>
    </row>
    <row r="43" spans="1:25" ht="21.75" customHeight="1" thickBot="1">
      <c r="A43" s="17">
        <f t="shared" si="0"/>
        <v>34</v>
      </c>
      <c r="B43" s="18" t="s">
        <v>153</v>
      </c>
      <c r="C43" s="19"/>
      <c r="D43" s="7"/>
      <c r="E43" s="28" t="s">
        <v>63</v>
      </c>
      <c r="F43" s="39" t="str">
        <f t="shared" ref="F43:S43" si="10">IF(SUM(F38:F42)=0,"-",ROUND(((SUM(F38:F42))/COUNT(F38:F42)),2))</f>
        <v>-</v>
      </c>
      <c r="G43" s="39" t="str">
        <f t="shared" si="10"/>
        <v>-</v>
      </c>
      <c r="H43" s="39" t="str">
        <f t="shared" si="10"/>
        <v>-</v>
      </c>
      <c r="I43" s="39" t="str">
        <f t="shared" si="10"/>
        <v>-</v>
      </c>
      <c r="J43" s="39" t="str">
        <f t="shared" si="10"/>
        <v>-</v>
      </c>
      <c r="K43" s="39" t="str">
        <f t="shared" si="10"/>
        <v>-</v>
      </c>
      <c r="L43" s="39" t="str">
        <f t="shared" si="10"/>
        <v>-</v>
      </c>
      <c r="M43" s="39" t="str">
        <f t="shared" si="10"/>
        <v>-</v>
      </c>
      <c r="N43" s="39" t="str">
        <f t="shared" si="10"/>
        <v>-</v>
      </c>
      <c r="O43" s="39" t="str">
        <f t="shared" si="10"/>
        <v>-</v>
      </c>
      <c r="P43" s="39" t="str">
        <f t="shared" si="10"/>
        <v>-</v>
      </c>
      <c r="Q43" s="39" t="str">
        <f t="shared" si="10"/>
        <v>-</v>
      </c>
      <c r="R43" s="39" t="str">
        <f t="shared" si="10"/>
        <v>-</v>
      </c>
      <c r="S43" s="39" t="str">
        <f t="shared" si="10"/>
        <v>-</v>
      </c>
      <c r="T43" s="7"/>
      <c r="U43" s="7"/>
      <c r="V43" s="7"/>
      <c r="W43" s="7"/>
      <c r="X43" s="7"/>
      <c r="Y43" s="7"/>
    </row>
    <row r="44" spans="1:25" ht="21.75" customHeight="1">
      <c r="A44" s="17">
        <f t="shared" si="0"/>
        <v>35</v>
      </c>
      <c r="B44" s="18" t="s">
        <v>154</v>
      </c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21.75" customHeight="1">
      <c r="A45" s="17">
        <f>A44+1</f>
        <v>36</v>
      </c>
      <c r="B45" s="18" t="s">
        <v>155</v>
      </c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21.75" customHeight="1">
      <c r="A46" s="17">
        <f t="shared" si="0"/>
        <v>37</v>
      </c>
      <c r="B46" s="18" t="s">
        <v>156</v>
      </c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21.75" customHeight="1">
      <c r="A47" s="17">
        <f t="shared" si="0"/>
        <v>38</v>
      </c>
      <c r="B47" s="18" t="s">
        <v>157</v>
      </c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21.75" customHeight="1">
      <c r="A48" s="17">
        <f t="shared" si="0"/>
        <v>39</v>
      </c>
      <c r="B48" s="18" t="s">
        <v>158</v>
      </c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21.75" customHeight="1">
      <c r="A49" s="17">
        <f>A48+1</f>
        <v>40</v>
      </c>
      <c r="B49" s="18" t="s">
        <v>159</v>
      </c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8">
      <c r="A50" s="17">
        <f t="shared" si="0"/>
        <v>41</v>
      </c>
      <c r="B50" s="18" t="s">
        <v>160</v>
      </c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1.75" customHeight="1">
      <c r="A51" s="17">
        <f t="shared" si="0"/>
        <v>42</v>
      </c>
      <c r="B51" s="18" t="s">
        <v>161</v>
      </c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1.75" customHeight="1">
      <c r="A52" s="17">
        <f t="shared" si="0"/>
        <v>43</v>
      </c>
      <c r="B52" s="18" t="s">
        <v>162</v>
      </c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1.75" customHeight="1">
      <c r="A53" s="17">
        <f t="shared" si="0"/>
        <v>44</v>
      </c>
      <c r="B53" s="18" t="s">
        <v>163</v>
      </c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1.75" customHeight="1">
      <c r="A54" s="17">
        <f t="shared" si="0"/>
        <v>45</v>
      </c>
      <c r="B54" s="18" t="s">
        <v>164</v>
      </c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21.75" customHeight="1">
      <c r="A55" s="17">
        <f t="shared" si="0"/>
        <v>46</v>
      </c>
      <c r="B55" s="18" t="s">
        <v>165</v>
      </c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1.75" customHeight="1">
      <c r="A56" s="17">
        <f t="shared" si="0"/>
        <v>47</v>
      </c>
      <c r="B56" s="18" t="s">
        <v>166</v>
      </c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1.75" customHeight="1">
      <c r="A57" s="17">
        <f t="shared" si="0"/>
        <v>48</v>
      </c>
      <c r="B57" s="18" t="s">
        <v>167</v>
      </c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1.75" customHeight="1">
      <c r="A58" s="17">
        <f t="shared" si="0"/>
        <v>49</v>
      </c>
      <c r="B58" s="18" t="s">
        <v>168</v>
      </c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1.75" customHeight="1">
      <c r="A59" s="17">
        <f t="shared" si="0"/>
        <v>50</v>
      </c>
      <c r="B59" s="18" t="s">
        <v>169</v>
      </c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1.75" customHeight="1">
      <c r="A60" s="17">
        <f t="shared" si="0"/>
        <v>51</v>
      </c>
      <c r="B60" s="18" t="s">
        <v>170</v>
      </c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1.75" customHeight="1">
      <c r="A61" s="17">
        <f t="shared" si="0"/>
        <v>52</v>
      </c>
      <c r="B61" s="18" t="s">
        <v>171</v>
      </c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1.75" customHeight="1">
      <c r="A62" s="17">
        <f t="shared" si="0"/>
        <v>53</v>
      </c>
      <c r="B62" s="18" t="s">
        <v>172</v>
      </c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1.75" customHeight="1">
      <c r="A63" s="17">
        <f t="shared" si="0"/>
        <v>54</v>
      </c>
      <c r="B63" s="18" t="s">
        <v>173</v>
      </c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1.75" customHeight="1">
      <c r="A64" s="17">
        <f t="shared" si="0"/>
        <v>55</v>
      </c>
      <c r="B64" s="18" t="s">
        <v>174</v>
      </c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1.75" customHeight="1">
      <c r="A65" s="17">
        <f t="shared" si="0"/>
        <v>56</v>
      </c>
      <c r="B65" s="18" t="s">
        <v>175</v>
      </c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1.75" customHeight="1">
      <c r="A66" s="17">
        <f t="shared" si="0"/>
        <v>57</v>
      </c>
      <c r="B66" s="18" t="s">
        <v>176</v>
      </c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1.75" customHeight="1">
      <c r="A67" s="17">
        <f t="shared" si="0"/>
        <v>58</v>
      </c>
      <c r="B67" s="18" t="s">
        <v>177</v>
      </c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1.75" customHeight="1">
      <c r="A68" s="17">
        <f t="shared" si="0"/>
        <v>59</v>
      </c>
      <c r="B68" s="18" t="s">
        <v>178</v>
      </c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1.75" customHeight="1">
      <c r="A69" s="17">
        <f t="shared" si="0"/>
        <v>60</v>
      </c>
      <c r="B69" s="18" t="s">
        <v>179</v>
      </c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1.75" customHeight="1">
      <c r="A70" s="17">
        <f t="shared" si="0"/>
        <v>61</v>
      </c>
      <c r="B70" s="18" t="s">
        <v>180</v>
      </c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1.75" customHeight="1">
      <c r="A71" s="17">
        <f t="shared" si="0"/>
        <v>62</v>
      </c>
      <c r="B71" s="18" t="s">
        <v>181</v>
      </c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1.75" customHeight="1">
      <c r="A72" s="17">
        <f t="shared" si="0"/>
        <v>63</v>
      </c>
      <c r="B72" s="18" t="s">
        <v>182</v>
      </c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1.75" customHeight="1">
      <c r="A73" s="17">
        <f t="shared" si="0"/>
        <v>64</v>
      </c>
      <c r="B73" s="18" t="s">
        <v>183</v>
      </c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1.75" customHeight="1">
      <c r="A74" s="17">
        <f t="shared" si="0"/>
        <v>65</v>
      </c>
      <c r="B74" s="18" t="s">
        <v>184</v>
      </c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1.75" customHeight="1">
      <c r="A75" s="17">
        <f t="shared" si="0"/>
        <v>66</v>
      </c>
      <c r="B75" s="18" t="s">
        <v>185</v>
      </c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1.75" customHeight="1">
      <c r="A76" s="17">
        <f t="shared" ref="A76:A139" si="11">A75+1</f>
        <v>67</v>
      </c>
      <c r="B76" s="18" t="s">
        <v>186</v>
      </c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1.75" customHeight="1">
      <c r="A77" s="17">
        <f t="shared" si="11"/>
        <v>68</v>
      </c>
      <c r="B77" s="18" t="s">
        <v>187</v>
      </c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1.75" customHeight="1">
      <c r="A78" s="17">
        <f t="shared" si="11"/>
        <v>69</v>
      </c>
      <c r="B78" s="18" t="s">
        <v>188</v>
      </c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1.75" customHeight="1">
      <c r="A79" s="17">
        <f t="shared" si="11"/>
        <v>70</v>
      </c>
      <c r="B79" s="18" t="s">
        <v>189</v>
      </c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1.75" customHeight="1">
      <c r="A80" s="17">
        <f t="shared" si="11"/>
        <v>71</v>
      </c>
      <c r="B80" s="18"/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1.75" customHeight="1">
      <c r="A81" s="17">
        <f t="shared" si="11"/>
        <v>72</v>
      </c>
      <c r="B81" s="18"/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1.75" customHeight="1">
      <c r="A82" s="17">
        <f t="shared" si="11"/>
        <v>73</v>
      </c>
      <c r="B82" s="18"/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1.75" customHeight="1">
      <c r="A83" s="17">
        <f t="shared" si="11"/>
        <v>74</v>
      </c>
      <c r="B83" s="18"/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1.75" customHeight="1">
      <c r="A84" s="17">
        <f t="shared" si="11"/>
        <v>75</v>
      </c>
      <c r="B84" s="18"/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1.75" customHeight="1">
      <c r="A85" s="17">
        <f t="shared" si="11"/>
        <v>76</v>
      </c>
      <c r="B85" s="18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1.75" customHeight="1">
      <c r="A86" s="17">
        <f t="shared" si="11"/>
        <v>77</v>
      </c>
      <c r="B86" s="18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1.75" customHeight="1">
      <c r="A87" s="17">
        <f t="shared" si="11"/>
        <v>78</v>
      </c>
      <c r="B87" s="18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1.75" customHeight="1">
      <c r="A88" s="17">
        <f t="shared" si="11"/>
        <v>79</v>
      </c>
      <c r="B88" s="18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1.75" customHeight="1">
      <c r="A89" s="17">
        <f t="shared" si="11"/>
        <v>80</v>
      </c>
      <c r="B89" s="18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1.75" customHeight="1">
      <c r="A90" s="17">
        <f t="shared" si="11"/>
        <v>81</v>
      </c>
      <c r="B90" s="18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1.75" customHeight="1">
      <c r="A91" s="17">
        <f t="shared" si="11"/>
        <v>82</v>
      </c>
      <c r="B91" s="18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1.75" customHeight="1">
      <c r="A92" s="17">
        <f t="shared" si="11"/>
        <v>83</v>
      </c>
      <c r="B92" s="18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1.75" customHeight="1">
      <c r="A93" s="17">
        <f t="shared" si="11"/>
        <v>84</v>
      </c>
      <c r="B93" s="18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1.75" customHeight="1">
      <c r="A94" s="17">
        <f t="shared" si="11"/>
        <v>85</v>
      </c>
      <c r="B94" s="18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1.75" customHeight="1">
      <c r="A95" s="17">
        <f t="shared" si="11"/>
        <v>86</v>
      </c>
      <c r="B95" s="18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1.75" customHeight="1">
      <c r="A96" s="17">
        <f t="shared" si="11"/>
        <v>87</v>
      </c>
      <c r="B96" s="18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1.75" customHeight="1">
      <c r="A97" s="17">
        <f t="shared" si="11"/>
        <v>88</v>
      </c>
      <c r="B97" s="18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1.75" customHeight="1">
      <c r="A98" s="17">
        <f t="shared" si="11"/>
        <v>89</v>
      </c>
      <c r="B98" s="18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1.75" customHeight="1">
      <c r="A99" s="17">
        <f t="shared" si="11"/>
        <v>90</v>
      </c>
      <c r="B99" s="18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1.75" customHeight="1">
      <c r="A100" s="17">
        <f t="shared" si="11"/>
        <v>91</v>
      </c>
      <c r="B100" s="18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1.75" customHeight="1">
      <c r="A101" s="17">
        <f t="shared" si="11"/>
        <v>92</v>
      </c>
      <c r="B101" s="18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21.75" customHeight="1">
      <c r="A102" s="17">
        <f t="shared" si="11"/>
        <v>93</v>
      </c>
      <c r="B102" s="18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1.75" customHeight="1">
      <c r="A103" s="17">
        <f t="shared" si="11"/>
        <v>94</v>
      </c>
      <c r="B103" s="18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21.75" customHeight="1">
      <c r="A104" s="17">
        <f t="shared" si="11"/>
        <v>95</v>
      </c>
      <c r="B104" s="18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1.75" customHeight="1">
      <c r="A105" s="17">
        <f t="shared" si="11"/>
        <v>96</v>
      </c>
      <c r="B105" s="18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1.75" customHeight="1">
      <c r="A106" s="17">
        <f t="shared" si="11"/>
        <v>97</v>
      </c>
      <c r="B106" s="18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1.75" customHeight="1">
      <c r="A107" s="17">
        <f t="shared" si="11"/>
        <v>98</v>
      </c>
      <c r="B107" s="18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21.75" customHeight="1">
      <c r="A108" s="17">
        <f t="shared" si="11"/>
        <v>99</v>
      </c>
      <c r="B108" s="18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21.75" customHeight="1">
      <c r="A109" s="17">
        <f t="shared" si="11"/>
        <v>100</v>
      </c>
      <c r="B109" s="18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21.75" customHeight="1">
      <c r="A110" s="17">
        <f t="shared" si="11"/>
        <v>101</v>
      </c>
      <c r="B110" s="18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1.75" customHeight="1">
      <c r="A111" s="17">
        <f t="shared" si="11"/>
        <v>102</v>
      </c>
      <c r="B111" s="18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21.75" customHeight="1">
      <c r="A112" s="17">
        <f t="shared" si="11"/>
        <v>103</v>
      </c>
      <c r="B112" s="18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21.75" customHeight="1">
      <c r="A113" s="17">
        <f t="shared" si="11"/>
        <v>104</v>
      </c>
      <c r="B113" s="18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1.75" customHeight="1">
      <c r="A114" s="17">
        <f t="shared" si="11"/>
        <v>105</v>
      </c>
      <c r="B114" s="18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21.75" customHeight="1">
      <c r="A115" s="17">
        <f t="shared" si="11"/>
        <v>106</v>
      </c>
      <c r="B115" s="18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.75" customHeight="1">
      <c r="A116" s="17">
        <f t="shared" si="11"/>
        <v>107</v>
      </c>
      <c r="B116" s="18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21.75" customHeight="1">
      <c r="A117" s="17">
        <f t="shared" si="11"/>
        <v>108</v>
      </c>
      <c r="B117" s="18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21.75" customHeight="1">
      <c r="A118" s="17">
        <f t="shared" si="11"/>
        <v>109</v>
      </c>
      <c r="B118" s="18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21.75" customHeight="1">
      <c r="A119" s="17">
        <f t="shared" si="11"/>
        <v>110</v>
      </c>
      <c r="B119" s="18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21.75" customHeight="1">
      <c r="A120" s="17">
        <f t="shared" si="11"/>
        <v>111</v>
      </c>
      <c r="B120" s="18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21.75" customHeight="1">
      <c r="A121" s="17">
        <f t="shared" si="11"/>
        <v>112</v>
      </c>
      <c r="B121" s="18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1.75" customHeight="1">
      <c r="A122" s="17">
        <f t="shared" si="11"/>
        <v>113</v>
      </c>
      <c r="B122" s="18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1.75" customHeight="1">
      <c r="A123" s="17">
        <f t="shared" si="11"/>
        <v>114</v>
      </c>
      <c r="B123" s="18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21.75" customHeight="1">
      <c r="A124" s="17">
        <f t="shared" si="11"/>
        <v>115</v>
      </c>
      <c r="B124" s="18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1.75" customHeight="1">
      <c r="A125" s="17">
        <f t="shared" si="11"/>
        <v>116</v>
      </c>
      <c r="B125" s="18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1.75" customHeight="1">
      <c r="A126" s="17">
        <f t="shared" si="11"/>
        <v>117</v>
      </c>
      <c r="B126" s="18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21.75" customHeight="1">
      <c r="A127" s="17">
        <f t="shared" si="11"/>
        <v>118</v>
      </c>
      <c r="B127" s="18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1.75" customHeight="1">
      <c r="A128" s="17">
        <f t="shared" si="11"/>
        <v>119</v>
      </c>
      <c r="B128" s="18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1.75" customHeight="1">
      <c r="A129" s="17">
        <f t="shared" si="11"/>
        <v>120</v>
      </c>
      <c r="B129" s="18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1.75" customHeight="1">
      <c r="A130" s="17">
        <f t="shared" si="11"/>
        <v>121</v>
      </c>
      <c r="B130" s="18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21.75" customHeight="1">
      <c r="A131" s="17">
        <f t="shared" si="11"/>
        <v>122</v>
      </c>
      <c r="B131" s="18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21.75" customHeight="1">
      <c r="A132" s="17">
        <f t="shared" si="11"/>
        <v>123</v>
      </c>
      <c r="B132" s="18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1.75" customHeight="1">
      <c r="A133" s="17">
        <f t="shared" si="11"/>
        <v>124</v>
      </c>
      <c r="B133" s="18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1.75" customHeight="1">
      <c r="A134" s="17">
        <f t="shared" si="11"/>
        <v>125</v>
      </c>
      <c r="B134" s="18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1.75" customHeight="1">
      <c r="A135" s="17">
        <f t="shared" si="11"/>
        <v>126</v>
      </c>
      <c r="B135" s="18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1.75" customHeight="1">
      <c r="A136" s="17">
        <f t="shared" si="11"/>
        <v>127</v>
      </c>
      <c r="B136" s="18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21.75" customHeight="1">
      <c r="A137" s="17">
        <f t="shared" si="11"/>
        <v>128</v>
      </c>
      <c r="B137" s="18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21.75" customHeight="1">
      <c r="A138" s="17">
        <f t="shared" si="11"/>
        <v>129</v>
      </c>
      <c r="B138" s="18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1.75" customHeight="1">
      <c r="A139" s="17">
        <f t="shared" si="11"/>
        <v>130</v>
      </c>
      <c r="B139" s="18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21.75" customHeight="1">
      <c r="A140" s="17">
        <f t="shared" ref="A140:A203" si="12">A139+1</f>
        <v>131</v>
      </c>
      <c r="B140" s="18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21.75" customHeight="1">
      <c r="A141" s="17">
        <f t="shared" si="12"/>
        <v>132</v>
      </c>
      <c r="B141" s="18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21.75" customHeight="1">
      <c r="A142" s="17">
        <f t="shared" si="12"/>
        <v>133</v>
      </c>
      <c r="B142" s="18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1.75" customHeight="1">
      <c r="A143" s="17">
        <f t="shared" si="12"/>
        <v>134</v>
      </c>
      <c r="B143" s="18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1.75" customHeight="1">
      <c r="A144" s="17">
        <f t="shared" si="12"/>
        <v>135</v>
      </c>
      <c r="B144" s="18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1.75" customHeight="1">
      <c r="A145" s="17">
        <f t="shared" si="12"/>
        <v>136</v>
      </c>
      <c r="B145" s="18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21.75" customHeight="1">
      <c r="A146" s="17">
        <f t="shared" si="12"/>
        <v>137</v>
      </c>
      <c r="B146" s="18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21.75" customHeight="1">
      <c r="A147" s="17">
        <f t="shared" si="12"/>
        <v>138</v>
      </c>
      <c r="B147" s="18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1.75" customHeight="1">
      <c r="A148" s="17">
        <f t="shared" si="12"/>
        <v>139</v>
      </c>
      <c r="B148" s="18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1.75" customHeight="1">
      <c r="A149" s="17">
        <f t="shared" si="12"/>
        <v>140</v>
      </c>
      <c r="B149" s="18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21.75" customHeight="1">
      <c r="A150" s="17">
        <f t="shared" si="12"/>
        <v>141</v>
      </c>
      <c r="B150" s="18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21.75" customHeight="1">
      <c r="A151" s="17">
        <f t="shared" si="12"/>
        <v>142</v>
      </c>
      <c r="B151" s="18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21.75" customHeight="1">
      <c r="A152" s="17">
        <f t="shared" si="12"/>
        <v>143</v>
      </c>
      <c r="B152" s="18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21.75" customHeight="1">
      <c r="A153" s="17">
        <f t="shared" si="12"/>
        <v>144</v>
      </c>
      <c r="B153" s="18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21.75" customHeight="1">
      <c r="A154" s="17">
        <f t="shared" si="12"/>
        <v>145</v>
      </c>
      <c r="B154" s="18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1.75" customHeight="1">
      <c r="A155" s="17">
        <f t="shared" si="12"/>
        <v>146</v>
      </c>
      <c r="B155" s="18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1.75" customHeight="1">
      <c r="A156" s="17">
        <f t="shared" si="12"/>
        <v>147</v>
      </c>
      <c r="B156" s="18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1.75" customHeight="1">
      <c r="A157" s="17">
        <f t="shared" si="12"/>
        <v>148</v>
      </c>
      <c r="B157" s="18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21.75" customHeight="1">
      <c r="A158" s="17">
        <f t="shared" si="12"/>
        <v>149</v>
      </c>
      <c r="B158" s="18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1.75" customHeight="1">
      <c r="A159" s="17">
        <f t="shared" si="12"/>
        <v>150</v>
      </c>
      <c r="B159" s="18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21.75" customHeight="1">
      <c r="A160" s="17">
        <f t="shared" si="12"/>
        <v>151</v>
      </c>
      <c r="B160" s="18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21.75" customHeight="1">
      <c r="A161" s="17">
        <f t="shared" si="12"/>
        <v>152</v>
      </c>
      <c r="B161" s="18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1.75" customHeight="1">
      <c r="A162" s="17">
        <f t="shared" si="12"/>
        <v>153</v>
      </c>
      <c r="B162" s="18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21.75" customHeight="1">
      <c r="A163" s="17">
        <f t="shared" si="12"/>
        <v>154</v>
      </c>
      <c r="B163" s="18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21.75" customHeight="1">
      <c r="A164" s="17">
        <f t="shared" si="12"/>
        <v>155</v>
      </c>
      <c r="B164" s="18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21.75" customHeight="1">
      <c r="A165" s="17">
        <f t="shared" si="12"/>
        <v>156</v>
      </c>
      <c r="B165" s="18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1.75" customHeight="1">
      <c r="A166" s="17">
        <f t="shared" si="12"/>
        <v>157</v>
      </c>
      <c r="B166" s="18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21.75" customHeight="1">
      <c r="A167" s="17">
        <f t="shared" si="12"/>
        <v>158</v>
      </c>
      <c r="B167" s="18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1.75" customHeight="1">
      <c r="A168" s="17">
        <f t="shared" si="12"/>
        <v>159</v>
      </c>
      <c r="B168" s="18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1.75" customHeight="1">
      <c r="A169" s="17">
        <f t="shared" si="12"/>
        <v>160</v>
      </c>
      <c r="B169" s="18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21.75" customHeight="1">
      <c r="A170" s="17">
        <f t="shared" si="12"/>
        <v>161</v>
      </c>
      <c r="B170" s="18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21.75" customHeight="1">
      <c r="A171" s="17">
        <f t="shared" si="12"/>
        <v>162</v>
      </c>
      <c r="B171" s="18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1.75" customHeight="1">
      <c r="A172" s="17">
        <f t="shared" si="12"/>
        <v>163</v>
      </c>
      <c r="B172" s="18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1.75" customHeight="1">
      <c r="A173" s="17">
        <f t="shared" si="12"/>
        <v>164</v>
      </c>
      <c r="B173" s="18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1.75" customHeight="1">
      <c r="A174" s="17">
        <f t="shared" si="12"/>
        <v>165</v>
      </c>
      <c r="B174" s="18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21.75" customHeight="1">
      <c r="A175" s="17">
        <f t="shared" si="12"/>
        <v>166</v>
      </c>
      <c r="B175" s="18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1.75" customHeight="1">
      <c r="A176" s="17">
        <f t="shared" si="12"/>
        <v>167</v>
      </c>
      <c r="B176" s="18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1.75" customHeight="1">
      <c r="A177" s="17">
        <f t="shared" si="12"/>
        <v>168</v>
      </c>
      <c r="B177" s="18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21.75" customHeight="1">
      <c r="A178" s="17">
        <f t="shared" si="12"/>
        <v>169</v>
      </c>
      <c r="B178" s="18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21.75" customHeight="1">
      <c r="A179" s="17">
        <f t="shared" si="12"/>
        <v>170</v>
      </c>
      <c r="B179" s="18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21.75" customHeight="1">
      <c r="A180" s="17">
        <f t="shared" si="12"/>
        <v>171</v>
      </c>
      <c r="B180" s="18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1.75" customHeight="1">
      <c r="A181" s="17">
        <f t="shared" si="12"/>
        <v>172</v>
      </c>
      <c r="B181" s="18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1.75" customHeight="1">
      <c r="A182" s="17">
        <f t="shared" si="12"/>
        <v>173</v>
      </c>
      <c r="B182" s="18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21.75" customHeight="1">
      <c r="A183" s="17">
        <f t="shared" si="12"/>
        <v>174</v>
      </c>
      <c r="B183" s="18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1.75" customHeight="1">
      <c r="A184" s="17">
        <f t="shared" si="12"/>
        <v>175</v>
      </c>
      <c r="B184" s="18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21.75" customHeight="1">
      <c r="A185" s="17">
        <f t="shared" si="12"/>
        <v>176</v>
      </c>
      <c r="B185" s="18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21.75" customHeight="1">
      <c r="A186" s="17">
        <f t="shared" si="12"/>
        <v>177</v>
      </c>
      <c r="B186" s="18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1.75" customHeight="1">
      <c r="A187" s="17">
        <f t="shared" si="12"/>
        <v>178</v>
      </c>
      <c r="B187" s="18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1.75" customHeight="1">
      <c r="A188" s="17">
        <f t="shared" si="12"/>
        <v>179</v>
      </c>
      <c r="B188" s="18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1.75" customHeight="1">
      <c r="A189" s="17">
        <f t="shared" si="12"/>
        <v>180</v>
      </c>
      <c r="B189" s="18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21.75" customHeight="1">
      <c r="A190" s="17">
        <f t="shared" si="12"/>
        <v>181</v>
      </c>
      <c r="B190" s="18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21.75" customHeight="1">
      <c r="A191" s="17">
        <f t="shared" si="12"/>
        <v>182</v>
      </c>
      <c r="B191" s="18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21.75" customHeight="1">
      <c r="A192" s="17">
        <f t="shared" si="12"/>
        <v>183</v>
      </c>
      <c r="B192" s="18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1.75" customHeight="1">
      <c r="A193" s="17">
        <f t="shared" si="12"/>
        <v>184</v>
      </c>
      <c r="B193" s="18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21.75" customHeight="1">
      <c r="A194" s="17">
        <f t="shared" si="12"/>
        <v>185</v>
      </c>
      <c r="B194" s="18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7.25" customHeight="1">
      <c r="A195" s="17">
        <f t="shared" si="12"/>
        <v>186</v>
      </c>
      <c r="B195" s="18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7.25" customHeight="1">
      <c r="A196" s="17">
        <f t="shared" si="12"/>
        <v>187</v>
      </c>
      <c r="B196" s="18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7.25" customHeight="1">
      <c r="A197" s="17">
        <f t="shared" si="12"/>
        <v>188</v>
      </c>
      <c r="B197" s="18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7.25" customHeight="1">
      <c r="A198" s="17">
        <f t="shared" si="12"/>
        <v>189</v>
      </c>
      <c r="B198" s="18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7.25" customHeight="1">
      <c r="A199" s="17">
        <f t="shared" si="12"/>
        <v>190</v>
      </c>
      <c r="B199" s="18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>
      <c r="A200" s="17">
        <f t="shared" si="12"/>
        <v>191</v>
      </c>
      <c r="B200" s="18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>
      <c r="A201" s="17">
        <f t="shared" si="12"/>
        <v>192</v>
      </c>
      <c r="B201" s="18"/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>
      <c r="A202" s="17">
        <f t="shared" si="12"/>
        <v>193</v>
      </c>
      <c r="B202" s="18"/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>
      <c r="A203" s="17">
        <f t="shared" si="12"/>
        <v>194</v>
      </c>
      <c r="B203" s="18"/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>
      <c r="A204" s="17">
        <f t="shared" ref="A204:A267" si="13">A203+1</f>
        <v>195</v>
      </c>
      <c r="B204" s="18"/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>
      <c r="A205" s="17">
        <f t="shared" si="13"/>
        <v>196</v>
      </c>
      <c r="B205" s="18"/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>
      <c r="A206" s="17">
        <f t="shared" si="13"/>
        <v>197</v>
      </c>
      <c r="B206" s="18"/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>
      <c r="A207" s="17">
        <f t="shared" si="13"/>
        <v>198</v>
      </c>
      <c r="B207" s="18"/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>
      <c r="A208" s="17">
        <f t="shared" si="13"/>
        <v>199</v>
      </c>
      <c r="B208" s="18"/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>
      <c r="A209" s="17">
        <f t="shared" si="13"/>
        <v>200</v>
      </c>
      <c r="B209" s="18"/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>
      <c r="A210" s="17">
        <f t="shared" si="13"/>
        <v>201</v>
      </c>
      <c r="B210" s="18"/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>
      <c r="A211" s="17">
        <f t="shared" si="13"/>
        <v>202</v>
      </c>
      <c r="B211" s="18"/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>
      <c r="A212" s="17">
        <f t="shared" si="13"/>
        <v>203</v>
      </c>
      <c r="B212" s="18"/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>
      <c r="A213" s="17">
        <f t="shared" si="13"/>
        <v>204</v>
      </c>
      <c r="B213" s="18"/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>
      <c r="A214" s="17">
        <f t="shared" si="13"/>
        <v>205</v>
      </c>
      <c r="B214" s="18"/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>
      <c r="A215" s="17">
        <f t="shared" si="13"/>
        <v>206</v>
      </c>
      <c r="B215" s="18"/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>
      <c r="A216" s="17">
        <f t="shared" si="13"/>
        <v>207</v>
      </c>
      <c r="B216" s="18"/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>
      <c r="A217" s="17">
        <f t="shared" si="13"/>
        <v>208</v>
      </c>
      <c r="B217" s="18"/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>
      <c r="A218" s="17">
        <f t="shared" si="13"/>
        <v>209</v>
      </c>
      <c r="B218" s="18"/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>
      <c r="A219" s="17">
        <f t="shared" si="13"/>
        <v>210</v>
      </c>
      <c r="B219" s="18"/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>
      <c r="A220" s="17">
        <f t="shared" si="13"/>
        <v>211</v>
      </c>
      <c r="B220" s="18"/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>
      <c r="A221" s="17">
        <f t="shared" si="13"/>
        <v>212</v>
      </c>
      <c r="B221" s="18"/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>
      <c r="A222" s="17">
        <f t="shared" si="13"/>
        <v>213</v>
      </c>
      <c r="B222" s="18"/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>
      <c r="A223" s="17">
        <f t="shared" si="13"/>
        <v>214</v>
      </c>
      <c r="B223" s="18"/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>
      <c r="A224" s="17">
        <f t="shared" si="13"/>
        <v>215</v>
      </c>
      <c r="B224" s="18"/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>
      <c r="A225" s="17">
        <f t="shared" si="13"/>
        <v>216</v>
      </c>
      <c r="B225" s="18"/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>
      <c r="A226" s="17">
        <f t="shared" si="13"/>
        <v>217</v>
      </c>
      <c r="B226" s="18"/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>
      <c r="A227" s="17">
        <f t="shared" si="13"/>
        <v>218</v>
      </c>
      <c r="B227" s="18"/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>
      <c r="A228" s="17">
        <f t="shared" si="13"/>
        <v>219</v>
      </c>
      <c r="B228" s="18"/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>
      <c r="A229" s="17">
        <f t="shared" si="13"/>
        <v>220</v>
      </c>
      <c r="B229" s="18"/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>
      <c r="A230" s="17">
        <f t="shared" si="13"/>
        <v>221</v>
      </c>
      <c r="B230" s="18"/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>
      <c r="A231" s="17">
        <f t="shared" si="13"/>
        <v>222</v>
      </c>
      <c r="B231" s="18"/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>
      <c r="A232" s="17">
        <f t="shared" si="13"/>
        <v>223</v>
      </c>
      <c r="B232" s="18"/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>
      <c r="A233" s="17">
        <f t="shared" si="13"/>
        <v>224</v>
      </c>
      <c r="B233" s="18"/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>
      <c r="A234" s="17">
        <f t="shared" si="13"/>
        <v>225</v>
      </c>
      <c r="B234" s="18"/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>
      <c r="A235" s="17">
        <f t="shared" si="13"/>
        <v>226</v>
      </c>
      <c r="B235" s="18"/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>
      <c r="A236" s="17">
        <f t="shared" si="13"/>
        <v>227</v>
      </c>
      <c r="B236" s="18"/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>
      <c r="A237" s="17">
        <f t="shared" si="13"/>
        <v>228</v>
      </c>
      <c r="B237" s="18"/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>
      <c r="A238" s="17">
        <f t="shared" si="13"/>
        <v>229</v>
      </c>
      <c r="B238" s="18"/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>
      <c r="A239" s="17">
        <f t="shared" si="13"/>
        <v>230</v>
      </c>
      <c r="B239" s="18"/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>
      <c r="A240" s="17">
        <f t="shared" si="13"/>
        <v>231</v>
      </c>
      <c r="B240" s="18"/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>
      <c r="A241" s="17">
        <f t="shared" si="13"/>
        <v>232</v>
      </c>
      <c r="B241" s="18"/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>
      <c r="A242" s="17">
        <f t="shared" si="13"/>
        <v>233</v>
      </c>
      <c r="B242" s="18"/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>
      <c r="A243" s="17">
        <f t="shared" si="13"/>
        <v>234</v>
      </c>
      <c r="B243" s="18"/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>
      <c r="A244" s="17">
        <f t="shared" si="13"/>
        <v>235</v>
      </c>
      <c r="B244" s="18"/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>
      <c r="A245" s="17">
        <f t="shared" si="13"/>
        <v>236</v>
      </c>
      <c r="B245" s="18"/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>
      <c r="A246" s="17">
        <f t="shared" si="13"/>
        <v>237</v>
      </c>
      <c r="B246" s="18"/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>
      <c r="A247" s="17">
        <f t="shared" si="13"/>
        <v>238</v>
      </c>
      <c r="B247" s="18"/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>
      <c r="A248" s="17">
        <f t="shared" si="13"/>
        <v>239</v>
      </c>
      <c r="B248" s="40"/>
      <c r="C248" s="4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>
      <c r="A249" s="17">
        <f t="shared" si="13"/>
        <v>240</v>
      </c>
      <c r="B249" s="42"/>
      <c r="C249" s="4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>
      <c r="A250" s="17">
        <f t="shared" si="13"/>
        <v>241</v>
      </c>
      <c r="B250" s="42"/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>
      <c r="A251" s="17">
        <f t="shared" si="13"/>
        <v>242</v>
      </c>
      <c r="B251" s="42"/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>
      <c r="A252" s="17">
        <f t="shared" si="13"/>
        <v>243</v>
      </c>
      <c r="B252" s="42"/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>
      <c r="A253" s="17">
        <f t="shared" si="13"/>
        <v>244</v>
      </c>
      <c r="B253" s="42"/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>
      <c r="A254" s="17">
        <f t="shared" si="13"/>
        <v>245</v>
      </c>
      <c r="B254" s="42"/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>
      <c r="A255" s="17">
        <f t="shared" si="13"/>
        <v>246</v>
      </c>
      <c r="B255" s="42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>
      <c r="A256" s="17">
        <f t="shared" si="13"/>
        <v>247</v>
      </c>
      <c r="B256" s="42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>
      <c r="A257" s="17">
        <f t="shared" si="13"/>
        <v>248</v>
      </c>
      <c r="B257" s="42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>
      <c r="A258" s="17">
        <f t="shared" si="13"/>
        <v>249</v>
      </c>
      <c r="B258" s="42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>
      <c r="A259" s="17">
        <f t="shared" si="13"/>
        <v>250</v>
      </c>
      <c r="B259" s="42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>
      <c r="A260" s="17">
        <f t="shared" si="13"/>
        <v>251</v>
      </c>
      <c r="B260" s="42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>
      <c r="A261" s="17">
        <f t="shared" si="13"/>
        <v>252</v>
      </c>
      <c r="B261" s="42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>
      <c r="A262" s="17">
        <f t="shared" si="13"/>
        <v>253</v>
      </c>
      <c r="B262" s="42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>
      <c r="A263" s="17">
        <f t="shared" si="13"/>
        <v>254</v>
      </c>
      <c r="B263" s="42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>
      <c r="A264" s="17">
        <f t="shared" si="13"/>
        <v>255</v>
      </c>
      <c r="B264" s="42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>
      <c r="A265" s="17">
        <f t="shared" si="13"/>
        <v>256</v>
      </c>
      <c r="B265" s="42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>
      <c r="A266" s="17">
        <f t="shared" si="13"/>
        <v>257</v>
      </c>
      <c r="B266" s="42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>
      <c r="A267" s="17">
        <f t="shared" si="13"/>
        <v>258</v>
      </c>
      <c r="B267" s="42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>
      <c r="A268" s="17">
        <f t="shared" ref="A268:A331" si="14">A267+1</f>
        <v>259</v>
      </c>
      <c r="B268" s="42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>
      <c r="A269" s="17">
        <f t="shared" si="14"/>
        <v>260</v>
      </c>
      <c r="B269" s="42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>
      <c r="A270" s="17">
        <f t="shared" si="14"/>
        <v>261</v>
      </c>
      <c r="B270" s="42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>
      <c r="A271" s="17">
        <f t="shared" si="14"/>
        <v>262</v>
      </c>
      <c r="B271" s="42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>
      <c r="A272" s="17">
        <f t="shared" si="14"/>
        <v>263</v>
      </c>
      <c r="B272" s="42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>
      <c r="A273" s="17">
        <f t="shared" si="14"/>
        <v>264</v>
      </c>
      <c r="B273" s="42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>
      <c r="A274" s="17">
        <f t="shared" si="14"/>
        <v>265</v>
      </c>
      <c r="B274" s="42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>
      <c r="A275" s="17">
        <f t="shared" si="14"/>
        <v>266</v>
      </c>
      <c r="B275" s="42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>
      <c r="A276" s="17">
        <f t="shared" si="14"/>
        <v>267</v>
      </c>
      <c r="B276" s="42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>
      <c r="A277" s="17">
        <f t="shared" si="14"/>
        <v>268</v>
      </c>
      <c r="B277" s="42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>
      <c r="A278" s="17">
        <f t="shared" si="14"/>
        <v>269</v>
      </c>
      <c r="B278" s="42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>
      <c r="A279" s="17">
        <f t="shared" si="14"/>
        <v>270</v>
      </c>
      <c r="B279" s="42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>
      <c r="A280" s="17">
        <f t="shared" si="14"/>
        <v>271</v>
      </c>
      <c r="B280" s="42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>
      <c r="A281" s="17">
        <f t="shared" si="14"/>
        <v>272</v>
      </c>
      <c r="B281" s="42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>
      <c r="A282" s="17">
        <f t="shared" si="14"/>
        <v>273</v>
      </c>
      <c r="B282" s="42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>
      <c r="A283" s="17">
        <f t="shared" si="14"/>
        <v>274</v>
      </c>
      <c r="B283" s="42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>
      <c r="A284" s="17">
        <f t="shared" si="14"/>
        <v>275</v>
      </c>
      <c r="B284" s="42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>
      <c r="A285" s="17">
        <f t="shared" si="14"/>
        <v>276</v>
      </c>
      <c r="B285" s="42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>
      <c r="A286" s="17">
        <f t="shared" si="14"/>
        <v>277</v>
      </c>
      <c r="B286" s="42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>
      <c r="A287" s="17">
        <f t="shared" si="14"/>
        <v>278</v>
      </c>
      <c r="B287" s="42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>
      <c r="A288" s="17">
        <f t="shared" si="14"/>
        <v>279</v>
      </c>
      <c r="B288" s="42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>
      <c r="A289" s="17">
        <f t="shared" si="14"/>
        <v>280</v>
      </c>
      <c r="B289" s="42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>
      <c r="A290" s="17">
        <f t="shared" si="14"/>
        <v>281</v>
      </c>
      <c r="B290" s="42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>
      <c r="A291" s="17">
        <f t="shared" si="14"/>
        <v>282</v>
      </c>
      <c r="B291" s="42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>
      <c r="A292" s="17">
        <f t="shared" si="14"/>
        <v>283</v>
      </c>
      <c r="B292" s="42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>
      <c r="A293" s="17">
        <f t="shared" si="14"/>
        <v>284</v>
      </c>
      <c r="B293" s="42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>
      <c r="A294" s="17">
        <f t="shared" si="14"/>
        <v>285</v>
      </c>
      <c r="B294" s="42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>
      <c r="A295" s="17">
        <f t="shared" si="14"/>
        <v>286</v>
      </c>
      <c r="B295" s="42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>
      <c r="A296" s="17">
        <f t="shared" si="14"/>
        <v>287</v>
      </c>
      <c r="B296" s="42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>
      <c r="A297" s="17">
        <f t="shared" si="14"/>
        <v>288</v>
      </c>
      <c r="B297" s="42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>
      <c r="A298" s="17">
        <f t="shared" si="14"/>
        <v>289</v>
      </c>
      <c r="B298" s="42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>
      <c r="A299" s="17">
        <f t="shared" si="14"/>
        <v>290</v>
      </c>
      <c r="B299" s="42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>
      <c r="A300" s="17">
        <f t="shared" si="14"/>
        <v>291</v>
      </c>
      <c r="B300" s="42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>
      <c r="A301" s="17">
        <f t="shared" si="14"/>
        <v>292</v>
      </c>
      <c r="B301" s="42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>
      <c r="A302" s="17">
        <f t="shared" si="14"/>
        <v>293</v>
      </c>
      <c r="B302" s="42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>
      <c r="A303" s="17">
        <f t="shared" si="14"/>
        <v>294</v>
      </c>
      <c r="B303" s="42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>
      <c r="A304" s="17">
        <f t="shared" si="14"/>
        <v>295</v>
      </c>
      <c r="B304" s="42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>
      <c r="A305" s="17">
        <f t="shared" si="14"/>
        <v>296</v>
      </c>
      <c r="B305" s="42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>
      <c r="A306" s="17">
        <f t="shared" si="14"/>
        <v>297</v>
      </c>
      <c r="B306" s="42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>
      <c r="A307" s="17">
        <f t="shared" si="14"/>
        <v>298</v>
      </c>
      <c r="B307" s="42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>
      <c r="A308" s="17">
        <f t="shared" si="14"/>
        <v>299</v>
      </c>
      <c r="B308" s="42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>
      <c r="A309" s="17">
        <f t="shared" si="14"/>
        <v>300</v>
      </c>
      <c r="B309" s="42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>
      <c r="A310" s="17">
        <f t="shared" si="14"/>
        <v>301</v>
      </c>
      <c r="B310" s="42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>
      <c r="A311" s="17">
        <f t="shared" si="14"/>
        <v>302</v>
      </c>
      <c r="B311" s="42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>
      <c r="A312" s="17">
        <f t="shared" si="14"/>
        <v>303</v>
      </c>
      <c r="B312" s="42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>
      <c r="A313" s="17">
        <f t="shared" si="14"/>
        <v>304</v>
      </c>
      <c r="B313" s="42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>
      <c r="A314" s="17">
        <f t="shared" si="14"/>
        <v>305</v>
      </c>
      <c r="B314" s="42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>
      <c r="A315" s="17">
        <f t="shared" si="14"/>
        <v>306</v>
      </c>
      <c r="B315" s="42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>
      <c r="A316" s="17">
        <f t="shared" si="14"/>
        <v>307</v>
      </c>
      <c r="B316" s="42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>
      <c r="A317" s="17">
        <f t="shared" si="14"/>
        <v>308</v>
      </c>
      <c r="B317" s="42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>
      <c r="A318" s="17">
        <f t="shared" si="14"/>
        <v>309</v>
      </c>
      <c r="B318" s="42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>
      <c r="A319" s="17">
        <f t="shared" si="14"/>
        <v>310</v>
      </c>
      <c r="B319" s="42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>
      <c r="A320" s="17">
        <f t="shared" si="14"/>
        <v>311</v>
      </c>
      <c r="B320" s="42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>
      <c r="A321" s="17">
        <f t="shared" si="14"/>
        <v>312</v>
      </c>
      <c r="B321" s="42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>
      <c r="A322" s="17">
        <f t="shared" si="14"/>
        <v>313</v>
      </c>
      <c r="B322" s="42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>
      <c r="A323" s="17">
        <f t="shared" si="14"/>
        <v>314</v>
      </c>
      <c r="B323" s="42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>
      <c r="A324" s="17">
        <f t="shared" si="14"/>
        <v>315</v>
      </c>
      <c r="B324" s="42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>
      <c r="A325" s="17">
        <f t="shared" si="14"/>
        <v>316</v>
      </c>
      <c r="B325" s="42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>
      <c r="A326" s="17">
        <f t="shared" si="14"/>
        <v>317</v>
      </c>
      <c r="B326" s="42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>
      <c r="A327" s="17">
        <f t="shared" si="14"/>
        <v>318</v>
      </c>
      <c r="B327" s="42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>
      <c r="A328" s="17">
        <f t="shared" si="14"/>
        <v>319</v>
      </c>
      <c r="B328" s="42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>
      <c r="A329" s="17">
        <f t="shared" si="14"/>
        <v>320</v>
      </c>
      <c r="B329" s="42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>
      <c r="A330" s="17">
        <f t="shared" si="14"/>
        <v>321</v>
      </c>
      <c r="B330" s="42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>
      <c r="A331" s="17">
        <f t="shared" si="14"/>
        <v>322</v>
      </c>
      <c r="B331" s="42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>
      <c r="A332" s="17">
        <f t="shared" ref="A332:A395" si="15">A331+1</f>
        <v>323</v>
      </c>
      <c r="B332" s="42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>
      <c r="A333" s="17">
        <f t="shared" si="15"/>
        <v>324</v>
      </c>
      <c r="B333" s="42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>
      <c r="A334" s="17">
        <f t="shared" si="15"/>
        <v>325</v>
      </c>
      <c r="B334" s="42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>
      <c r="A335" s="17">
        <f t="shared" si="15"/>
        <v>326</v>
      </c>
      <c r="B335" s="42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>
      <c r="A336" s="17">
        <f t="shared" si="15"/>
        <v>327</v>
      </c>
      <c r="B336" s="42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>
      <c r="A337" s="17">
        <f t="shared" si="15"/>
        <v>328</v>
      </c>
      <c r="B337" s="42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>
      <c r="A338" s="17">
        <f t="shared" si="15"/>
        <v>329</v>
      </c>
      <c r="B338" s="42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>
      <c r="A339" s="17">
        <f t="shared" si="15"/>
        <v>330</v>
      </c>
      <c r="B339" s="42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>
      <c r="A340" s="17">
        <f t="shared" si="15"/>
        <v>331</v>
      </c>
      <c r="B340" s="42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>
      <c r="A341" s="17">
        <f t="shared" si="15"/>
        <v>332</v>
      </c>
      <c r="B341" s="42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>
      <c r="A342" s="17">
        <f t="shared" si="15"/>
        <v>333</v>
      </c>
      <c r="B342" s="42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>
      <c r="A343" s="17">
        <f t="shared" si="15"/>
        <v>334</v>
      </c>
      <c r="B343" s="42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>
      <c r="A344" s="17">
        <f t="shared" si="15"/>
        <v>335</v>
      </c>
      <c r="B344" s="42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>
      <c r="A345" s="17">
        <f t="shared" si="15"/>
        <v>336</v>
      </c>
      <c r="B345" s="42"/>
      <c r="C345" s="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>
      <c r="A346" s="17">
        <f t="shared" si="15"/>
        <v>337</v>
      </c>
      <c r="B346" s="42"/>
      <c r="C346" s="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>
      <c r="A347" s="17">
        <f t="shared" si="15"/>
        <v>338</v>
      </c>
      <c r="B347" s="42"/>
      <c r="C347" s="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>
      <c r="A348" s="17">
        <f t="shared" si="15"/>
        <v>339</v>
      </c>
      <c r="B348" s="42"/>
      <c r="C348" s="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>
      <c r="A349" s="17">
        <f t="shared" si="15"/>
        <v>340</v>
      </c>
      <c r="B349" s="42"/>
      <c r="C349" s="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>
      <c r="A350" s="17">
        <f t="shared" si="15"/>
        <v>341</v>
      </c>
      <c r="B350" s="42"/>
      <c r="C350" s="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>
      <c r="A351" s="17">
        <f t="shared" si="15"/>
        <v>342</v>
      </c>
      <c r="B351" s="42"/>
      <c r="C351" s="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>
      <c r="A352" s="17">
        <f t="shared" si="15"/>
        <v>343</v>
      </c>
      <c r="B352" s="42"/>
      <c r="C352" s="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>
      <c r="A353" s="17">
        <f t="shared" si="15"/>
        <v>344</v>
      </c>
      <c r="B353" s="42"/>
      <c r="C353" s="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>
      <c r="A354" s="17">
        <f t="shared" si="15"/>
        <v>345</v>
      </c>
      <c r="B354" s="42"/>
      <c r="C354" s="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>
      <c r="A355" s="17">
        <f t="shared" si="15"/>
        <v>346</v>
      </c>
      <c r="B355" s="42"/>
      <c r="C355" s="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>
      <c r="A356" s="17">
        <f t="shared" si="15"/>
        <v>347</v>
      </c>
      <c r="B356" s="42"/>
      <c r="C356" s="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>
      <c r="A357" s="17">
        <f t="shared" si="15"/>
        <v>348</v>
      </c>
      <c r="B357" s="42"/>
      <c r="C357" s="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>
      <c r="A358" s="17">
        <f t="shared" si="15"/>
        <v>349</v>
      </c>
      <c r="B358" s="42"/>
      <c r="C358" s="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>
      <c r="A359" s="17">
        <f t="shared" si="15"/>
        <v>350</v>
      </c>
      <c r="B359" s="42"/>
      <c r="C359" s="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>
      <c r="A360" s="17">
        <f t="shared" si="15"/>
        <v>351</v>
      </c>
      <c r="B360" s="42"/>
      <c r="C360" s="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>
      <c r="A361" s="17">
        <f t="shared" si="15"/>
        <v>352</v>
      </c>
      <c r="B361" s="42"/>
      <c r="C361" s="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>
      <c r="A362" s="17">
        <f t="shared" si="15"/>
        <v>353</v>
      </c>
      <c r="B362" s="42"/>
      <c r="C362" s="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>
      <c r="A363" s="17">
        <f t="shared" si="15"/>
        <v>354</v>
      </c>
      <c r="B363" s="42"/>
      <c r="C363" s="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>
      <c r="A364" s="17">
        <f t="shared" si="15"/>
        <v>355</v>
      </c>
      <c r="B364" s="42"/>
      <c r="C364" s="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>
      <c r="A365" s="17">
        <f t="shared" si="15"/>
        <v>356</v>
      </c>
      <c r="B365" s="42"/>
      <c r="C365" s="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>
      <c r="A366" s="17">
        <f t="shared" si="15"/>
        <v>357</v>
      </c>
      <c r="B366" s="42"/>
      <c r="C366" s="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>
      <c r="A367" s="17">
        <f t="shared" si="15"/>
        <v>358</v>
      </c>
      <c r="B367" s="42"/>
      <c r="C367" s="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>
      <c r="A368" s="17">
        <f t="shared" si="15"/>
        <v>359</v>
      </c>
      <c r="B368" s="42"/>
      <c r="C368" s="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>
      <c r="A369" s="17">
        <f t="shared" si="15"/>
        <v>360</v>
      </c>
      <c r="B369" s="42"/>
      <c r="C369" s="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>
      <c r="A370" s="17">
        <f t="shared" si="15"/>
        <v>361</v>
      </c>
      <c r="B370" s="42"/>
      <c r="C370" s="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>
      <c r="A371" s="17">
        <f t="shared" si="15"/>
        <v>362</v>
      </c>
      <c r="B371" s="42"/>
      <c r="C371" s="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>
      <c r="A372" s="17">
        <f t="shared" si="15"/>
        <v>363</v>
      </c>
      <c r="B372" s="42"/>
      <c r="C372" s="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>
      <c r="A373" s="17">
        <f t="shared" si="15"/>
        <v>364</v>
      </c>
      <c r="B373" s="42"/>
      <c r="C373" s="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>
      <c r="A374" s="17">
        <f t="shared" si="15"/>
        <v>365</v>
      </c>
      <c r="B374" s="42"/>
      <c r="C374" s="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>
      <c r="A375" s="17">
        <f t="shared" si="15"/>
        <v>366</v>
      </c>
      <c r="B375" s="42"/>
      <c r="C375" s="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>
      <c r="A376" s="17">
        <f t="shared" si="15"/>
        <v>367</v>
      </c>
      <c r="B376" s="42"/>
      <c r="C376" s="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>
      <c r="A377" s="17">
        <f t="shared" si="15"/>
        <v>368</v>
      </c>
      <c r="B377" s="42"/>
      <c r="C377" s="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>
      <c r="A378" s="17">
        <f t="shared" si="15"/>
        <v>369</v>
      </c>
      <c r="B378" s="42"/>
      <c r="C378" s="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>
      <c r="A379" s="17">
        <f t="shared" si="15"/>
        <v>370</v>
      </c>
      <c r="B379" s="42"/>
      <c r="C379" s="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>
      <c r="A380" s="17">
        <f t="shared" si="15"/>
        <v>371</v>
      </c>
      <c r="B380" s="42"/>
      <c r="C380" s="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>
      <c r="A381" s="17">
        <f t="shared" si="15"/>
        <v>372</v>
      </c>
      <c r="B381" s="42"/>
      <c r="C381" s="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>
      <c r="A382" s="17">
        <f t="shared" si="15"/>
        <v>373</v>
      </c>
      <c r="B382" s="42"/>
      <c r="C382" s="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>
      <c r="A383" s="17">
        <f t="shared" si="15"/>
        <v>374</v>
      </c>
      <c r="B383" s="42"/>
      <c r="C383" s="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>
      <c r="A384" s="17">
        <f t="shared" si="15"/>
        <v>375</v>
      </c>
      <c r="B384" s="42"/>
      <c r="C384" s="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>
      <c r="A385" s="17">
        <f t="shared" si="15"/>
        <v>376</v>
      </c>
      <c r="B385" s="42"/>
      <c r="C385" s="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>
      <c r="A386" s="17">
        <f t="shared" si="15"/>
        <v>377</v>
      </c>
      <c r="B386" s="42"/>
      <c r="C386" s="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>
      <c r="A387" s="17">
        <f t="shared" si="15"/>
        <v>378</v>
      </c>
      <c r="B387" s="42"/>
      <c r="C387" s="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>
      <c r="A388" s="17">
        <f t="shared" si="15"/>
        <v>379</v>
      </c>
      <c r="B388" s="42"/>
      <c r="C388" s="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>
      <c r="A389" s="17">
        <f t="shared" si="15"/>
        <v>380</v>
      </c>
      <c r="B389" s="42"/>
      <c r="C389" s="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>
      <c r="A390" s="17">
        <f t="shared" si="15"/>
        <v>381</v>
      </c>
      <c r="B390" s="42"/>
      <c r="C390" s="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>
      <c r="A391" s="17">
        <f t="shared" si="15"/>
        <v>382</v>
      </c>
      <c r="B391" s="42"/>
      <c r="C391" s="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>
      <c r="A392" s="17">
        <f t="shared" si="15"/>
        <v>383</v>
      </c>
      <c r="B392" s="42"/>
      <c r="C392" s="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>
      <c r="A393" s="17">
        <f t="shared" si="15"/>
        <v>384</v>
      </c>
      <c r="B393" s="42"/>
      <c r="C393" s="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>
      <c r="A394" s="17">
        <f t="shared" si="15"/>
        <v>385</v>
      </c>
      <c r="B394" s="42"/>
      <c r="C394" s="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>
      <c r="A395" s="17">
        <f t="shared" si="15"/>
        <v>386</v>
      </c>
      <c r="B395" s="42"/>
      <c r="C395" s="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>
      <c r="A396" s="17">
        <f t="shared" ref="A396:A459" si="16">A395+1</f>
        <v>387</v>
      </c>
      <c r="B396" s="42"/>
      <c r="C396" s="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>
      <c r="A397" s="17">
        <f t="shared" si="16"/>
        <v>388</v>
      </c>
      <c r="B397" s="42"/>
      <c r="C397" s="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>
      <c r="A398" s="17">
        <f t="shared" si="16"/>
        <v>389</v>
      </c>
      <c r="B398" s="42"/>
      <c r="C398" s="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>
      <c r="A399" s="17">
        <f t="shared" si="16"/>
        <v>390</v>
      </c>
      <c r="B399" s="42"/>
      <c r="C399" s="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>
      <c r="A400" s="17">
        <f t="shared" si="16"/>
        <v>391</v>
      </c>
      <c r="B400" s="42"/>
      <c r="C400" s="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>
      <c r="A401" s="17">
        <f t="shared" si="16"/>
        <v>392</v>
      </c>
      <c r="B401" s="42"/>
      <c r="C401" s="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>
      <c r="A402" s="17">
        <f t="shared" si="16"/>
        <v>393</v>
      </c>
      <c r="B402" s="42"/>
      <c r="C402" s="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>
      <c r="A403" s="17">
        <f t="shared" si="16"/>
        <v>394</v>
      </c>
      <c r="B403" s="42"/>
      <c r="C403" s="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>
      <c r="A404" s="17">
        <f t="shared" si="16"/>
        <v>395</v>
      </c>
      <c r="B404" s="42"/>
      <c r="C404" s="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>
      <c r="A405" s="17">
        <f t="shared" si="16"/>
        <v>396</v>
      </c>
      <c r="B405" s="42"/>
      <c r="C405" s="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>
      <c r="A406" s="17">
        <f t="shared" si="16"/>
        <v>397</v>
      </c>
      <c r="B406" s="42"/>
      <c r="C406" s="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>
      <c r="A407" s="17">
        <f t="shared" si="16"/>
        <v>398</v>
      </c>
      <c r="B407" s="42"/>
      <c r="C407" s="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>
      <c r="A408" s="17">
        <f t="shared" si="16"/>
        <v>399</v>
      </c>
      <c r="B408" s="42"/>
      <c r="C408" s="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>
      <c r="A409" s="17">
        <f t="shared" si="16"/>
        <v>400</v>
      </c>
      <c r="B409" s="42"/>
      <c r="C409" s="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>
      <c r="A410" s="17">
        <f t="shared" si="16"/>
        <v>401</v>
      </c>
      <c r="B410" s="42"/>
      <c r="C410" s="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>
      <c r="A411" s="17">
        <f t="shared" si="16"/>
        <v>402</v>
      </c>
      <c r="B411" s="42"/>
      <c r="C411" s="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>
      <c r="A412" s="17">
        <f t="shared" si="16"/>
        <v>403</v>
      </c>
      <c r="B412" s="42"/>
      <c r="C412" s="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>
      <c r="A413" s="17">
        <f t="shared" si="16"/>
        <v>404</v>
      </c>
      <c r="B413" s="42"/>
      <c r="C413" s="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>
      <c r="A414" s="17">
        <f t="shared" si="16"/>
        <v>405</v>
      </c>
      <c r="B414" s="42"/>
      <c r="C414" s="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>
      <c r="A415" s="17">
        <f t="shared" si="16"/>
        <v>406</v>
      </c>
      <c r="B415" s="42"/>
      <c r="C415" s="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>
      <c r="A416" s="17">
        <f t="shared" si="16"/>
        <v>407</v>
      </c>
      <c r="B416" s="42"/>
      <c r="C416" s="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>
      <c r="A417" s="17">
        <f t="shared" si="16"/>
        <v>408</v>
      </c>
      <c r="B417" s="42"/>
      <c r="C417" s="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>
      <c r="A418" s="17">
        <f t="shared" si="16"/>
        <v>409</v>
      </c>
      <c r="B418" s="42"/>
      <c r="C418" s="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>
      <c r="A419" s="17">
        <f t="shared" si="16"/>
        <v>410</v>
      </c>
      <c r="B419" s="42"/>
      <c r="C419" s="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>
      <c r="A420" s="17">
        <f t="shared" si="16"/>
        <v>411</v>
      </c>
      <c r="B420" s="42"/>
      <c r="C420" s="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>
      <c r="A421" s="17">
        <f t="shared" si="16"/>
        <v>412</v>
      </c>
      <c r="B421" s="42"/>
      <c r="C421" s="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>
      <c r="A422" s="17">
        <f t="shared" si="16"/>
        <v>413</v>
      </c>
      <c r="B422" s="42"/>
      <c r="C422" s="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>
      <c r="A423" s="17">
        <f t="shared" si="16"/>
        <v>414</v>
      </c>
      <c r="B423" s="42"/>
      <c r="C423" s="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>
      <c r="A424" s="17">
        <f t="shared" si="16"/>
        <v>415</v>
      </c>
      <c r="B424" s="42"/>
      <c r="C424" s="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>
      <c r="A425" s="17">
        <f t="shared" si="16"/>
        <v>416</v>
      </c>
      <c r="B425" s="42"/>
      <c r="C425" s="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>
      <c r="A426" s="17">
        <f t="shared" si="16"/>
        <v>417</v>
      </c>
      <c r="B426" s="42"/>
      <c r="C426" s="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>
      <c r="A427" s="17">
        <f t="shared" si="16"/>
        <v>418</v>
      </c>
      <c r="B427" s="42"/>
      <c r="C427" s="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>
      <c r="A428" s="17">
        <f t="shared" si="16"/>
        <v>419</v>
      </c>
      <c r="B428" s="42"/>
      <c r="C428" s="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>
      <c r="A429" s="17">
        <f t="shared" si="16"/>
        <v>420</v>
      </c>
      <c r="B429" s="42"/>
      <c r="C429" s="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>
      <c r="A430" s="17">
        <f t="shared" si="16"/>
        <v>421</v>
      </c>
      <c r="B430" s="42"/>
      <c r="C430" s="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>
      <c r="A431" s="17">
        <f t="shared" si="16"/>
        <v>422</v>
      </c>
      <c r="B431" s="42"/>
      <c r="C431" s="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>
      <c r="A432" s="17">
        <f t="shared" si="16"/>
        <v>423</v>
      </c>
      <c r="B432" s="42"/>
      <c r="C432" s="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>
      <c r="A433" s="17">
        <f t="shared" si="16"/>
        <v>424</v>
      </c>
      <c r="B433" s="42"/>
      <c r="C433" s="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>
      <c r="A434" s="17">
        <f t="shared" si="16"/>
        <v>425</v>
      </c>
      <c r="B434" s="42"/>
      <c r="C434" s="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>
      <c r="A435" s="17">
        <f t="shared" si="16"/>
        <v>426</v>
      </c>
      <c r="B435" s="42"/>
      <c r="C435" s="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>
      <c r="A436" s="17">
        <f t="shared" si="16"/>
        <v>427</v>
      </c>
      <c r="B436" s="42"/>
      <c r="C436" s="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>
      <c r="A437" s="17">
        <f t="shared" si="16"/>
        <v>428</v>
      </c>
      <c r="B437" s="42"/>
      <c r="C437" s="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>
      <c r="A438" s="17">
        <f t="shared" si="16"/>
        <v>429</v>
      </c>
      <c r="B438" s="42"/>
      <c r="C438" s="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>
      <c r="A439" s="17">
        <f t="shared" si="16"/>
        <v>430</v>
      </c>
      <c r="B439" s="42"/>
      <c r="C439" s="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>
      <c r="A440" s="17">
        <f t="shared" si="16"/>
        <v>431</v>
      </c>
      <c r="B440" s="42"/>
      <c r="C440" s="44"/>
      <c r="D440" s="7"/>
      <c r="T440" s="7"/>
      <c r="U440" s="7"/>
      <c r="V440" s="7"/>
      <c r="W440" s="7"/>
      <c r="X440" s="7"/>
      <c r="Y440" s="7"/>
    </row>
    <row r="441" spans="1:25" ht="17.25" customHeight="1">
      <c r="A441" s="17">
        <f t="shared" si="16"/>
        <v>432</v>
      </c>
      <c r="B441" s="42"/>
      <c r="C441" s="44"/>
      <c r="D441" s="7"/>
      <c r="T441" s="7"/>
      <c r="U441" s="7"/>
      <c r="V441" s="7"/>
      <c r="W441" s="7"/>
      <c r="X441" s="7"/>
      <c r="Y441" s="7"/>
    </row>
    <row r="442" spans="1:25" ht="17.25" customHeight="1">
      <c r="A442" s="17">
        <f t="shared" si="16"/>
        <v>433</v>
      </c>
      <c r="B442" s="42"/>
      <c r="C442" s="44"/>
      <c r="D442" s="7"/>
      <c r="T442" s="7"/>
      <c r="U442" s="7"/>
      <c r="V442" s="7"/>
      <c r="W442" s="7"/>
      <c r="X442" s="7"/>
      <c r="Y442" s="7"/>
    </row>
    <row r="443" spans="1:25" ht="17.25" customHeight="1">
      <c r="A443" s="17">
        <f t="shared" si="16"/>
        <v>434</v>
      </c>
      <c r="B443" s="42"/>
      <c r="C443" s="44"/>
      <c r="D443" s="7"/>
      <c r="T443" s="7"/>
      <c r="U443" s="7"/>
      <c r="V443" s="7"/>
      <c r="W443" s="7"/>
      <c r="X443" s="7"/>
      <c r="Y443" s="7"/>
    </row>
    <row r="444" spans="1:25" ht="17.25" customHeight="1">
      <c r="A444" s="17">
        <f t="shared" si="16"/>
        <v>435</v>
      </c>
      <c r="B444" s="42"/>
      <c r="C444" s="44"/>
      <c r="D444" s="7"/>
      <c r="T444" s="7"/>
      <c r="U444" s="7"/>
    </row>
    <row r="445" spans="1:25" ht="17.25" customHeight="1">
      <c r="A445" s="17">
        <f t="shared" si="16"/>
        <v>436</v>
      </c>
      <c r="B445" s="42"/>
      <c r="C445" s="44"/>
      <c r="D445" s="7"/>
      <c r="U445" s="7"/>
    </row>
    <row r="446" spans="1:25" ht="17.25" customHeight="1">
      <c r="A446" s="17">
        <f t="shared" si="16"/>
        <v>437</v>
      </c>
      <c r="B446" s="42"/>
      <c r="C446" s="44"/>
      <c r="D446" s="7"/>
      <c r="U446" s="7"/>
    </row>
    <row r="447" spans="1:25" ht="17.25" customHeight="1">
      <c r="A447" s="17">
        <f t="shared" si="16"/>
        <v>438</v>
      </c>
      <c r="B447" s="42"/>
      <c r="C447" s="44"/>
      <c r="D447" s="7"/>
      <c r="U447" s="7"/>
    </row>
    <row r="448" spans="1:25" ht="17.25" customHeight="1">
      <c r="A448" s="17">
        <f t="shared" si="16"/>
        <v>439</v>
      </c>
      <c r="B448" s="42"/>
      <c r="C448" s="44"/>
      <c r="D448" s="7"/>
      <c r="U448" s="7"/>
    </row>
    <row r="449" spans="1:21" ht="17.25" customHeight="1">
      <c r="A449" s="17">
        <f t="shared" si="16"/>
        <v>440</v>
      </c>
      <c r="B449" s="42"/>
      <c r="C449" s="44"/>
      <c r="D449" s="7"/>
      <c r="U449" s="7"/>
    </row>
    <row r="450" spans="1:21" ht="15.75" customHeight="1">
      <c r="A450" s="17">
        <f t="shared" si="16"/>
        <v>441</v>
      </c>
      <c r="B450" s="42"/>
      <c r="C450" s="45"/>
    </row>
    <row r="451" spans="1:21" ht="15.75" customHeight="1">
      <c r="A451" s="17">
        <f t="shared" si="16"/>
        <v>442</v>
      </c>
      <c r="B451" s="42"/>
      <c r="C451" s="45"/>
    </row>
    <row r="452" spans="1:21" ht="15.75" customHeight="1">
      <c r="A452" s="17">
        <f t="shared" si="16"/>
        <v>443</v>
      </c>
      <c r="B452" s="42"/>
      <c r="C452" s="45"/>
    </row>
    <row r="453" spans="1:21" ht="15.75" customHeight="1">
      <c r="A453" s="17">
        <f t="shared" si="16"/>
        <v>444</v>
      </c>
      <c r="B453" s="42"/>
      <c r="C453" s="45"/>
    </row>
    <row r="454" spans="1:21" ht="15.75" customHeight="1">
      <c r="A454" s="17">
        <f t="shared" si="16"/>
        <v>445</v>
      </c>
      <c r="B454" s="42"/>
      <c r="C454" s="45"/>
    </row>
    <row r="455" spans="1:21" ht="15.75" customHeight="1">
      <c r="A455" s="17">
        <f t="shared" si="16"/>
        <v>446</v>
      </c>
      <c r="B455" s="42"/>
      <c r="C455" s="45"/>
    </row>
    <row r="456" spans="1:21" ht="15.75" customHeight="1">
      <c r="A456" s="17">
        <f t="shared" si="16"/>
        <v>447</v>
      </c>
      <c r="B456" s="42"/>
      <c r="C456" s="45"/>
    </row>
    <row r="457" spans="1:21" ht="15.75" customHeight="1">
      <c r="A457" s="17">
        <f t="shared" si="16"/>
        <v>448</v>
      </c>
      <c r="B457" s="42"/>
      <c r="C457" s="45"/>
    </row>
    <row r="458" spans="1:21" ht="15.75" customHeight="1">
      <c r="A458" s="17">
        <f t="shared" si="16"/>
        <v>449</v>
      </c>
      <c r="B458" s="42"/>
      <c r="C458" s="45"/>
    </row>
    <row r="459" spans="1:21" ht="15.75" customHeight="1">
      <c r="A459" s="17">
        <f t="shared" si="16"/>
        <v>450</v>
      </c>
      <c r="B459" s="42"/>
      <c r="C459" s="45"/>
    </row>
    <row r="460" spans="1:21" ht="15.75" customHeight="1">
      <c r="A460" s="46"/>
      <c r="B460" s="46"/>
      <c r="C460" s="46"/>
    </row>
    <row r="461" spans="1:21" ht="15.75" customHeight="1"/>
    <row r="462" spans="1:21" ht="15.75" customHeight="1"/>
    <row r="463" spans="1:21" ht="15.75" customHeight="1"/>
    <row r="464" spans="1:21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sheetProtection password="CC28" sheet="1" objects="1" scenarios="1" insertRows="0" deleteRows="0" selectLockedCells="1"/>
  <protectedRanges>
    <protectedRange sqref="E9:P18 E30:S43" name="Range2"/>
    <protectedRange sqref="A1 A3 A5:C7 E9:P18 E21:S22 E23:E28 E28:T28 E30:S43" name="BAse"/>
  </protectedRanges>
  <mergeCells count="54">
    <mergeCell ref="E16:H18"/>
    <mergeCell ref="I16:I18"/>
    <mergeCell ref="A1:O1"/>
    <mergeCell ref="A2:O2"/>
    <mergeCell ref="A3:O3"/>
    <mergeCell ref="A5:C5"/>
    <mergeCell ref="A6:C6"/>
    <mergeCell ref="D5:F5"/>
    <mergeCell ref="G5:I5"/>
    <mergeCell ref="J5:L5"/>
    <mergeCell ref="M5:O5"/>
    <mergeCell ref="A7:C7"/>
    <mergeCell ref="E9:P9"/>
    <mergeCell ref="O10:P11"/>
    <mergeCell ref="E12:H14"/>
    <mergeCell ref="I12:L14"/>
    <mergeCell ref="Q5:S5"/>
    <mergeCell ref="V5:Z5"/>
    <mergeCell ref="D6:F6"/>
    <mergeCell ref="G6:O6"/>
    <mergeCell ref="P6:P7"/>
    <mergeCell ref="Q6:S7"/>
    <mergeCell ref="D7:G7"/>
    <mergeCell ref="H7:K7"/>
    <mergeCell ref="L7:O7"/>
    <mergeCell ref="M12:N14"/>
    <mergeCell ref="O12:P14"/>
    <mergeCell ref="E10:H11"/>
    <mergeCell ref="I10:L11"/>
    <mergeCell ref="M10:N11"/>
    <mergeCell ref="J16:M18"/>
    <mergeCell ref="N16:P18"/>
    <mergeCell ref="E20:S20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O21:O22"/>
    <mergeCell ref="P21:P22"/>
    <mergeCell ref="Q21:Q22"/>
    <mergeCell ref="R21:R22"/>
    <mergeCell ref="G34:L34"/>
    <mergeCell ref="E36:S36"/>
    <mergeCell ref="S21:S22"/>
    <mergeCell ref="G30:Q30"/>
    <mergeCell ref="G31:L31"/>
    <mergeCell ref="G32:L32"/>
    <mergeCell ref="G33:L33"/>
    <mergeCell ref="N21:N22"/>
  </mergeCells>
  <dataValidations count="3">
    <dataValidation type="list" allowBlank="1" showInputMessage="1" showErrorMessage="1" sqref="T6:U7 Q6">
      <formula1>$AA$6:$AA$8</formula1>
    </dataValidation>
    <dataValidation type="list" allowBlank="1" showErrorMessage="1" sqref="V5">
      <formula1>$AA$6:$AA$8</formula1>
    </dataValidation>
    <dataValidation allowBlank="1" showErrorMessage="1" sqref="P6:P7"/>
  </dataValidations>
  <pageMargins left="0.7" right="0.7" top="0.75" bottom="0.75" header="0.3" footer="0.3"/>
  <pageSetup scale="70" orientation="landscape" r:id="rId1"/>
  <rowBreaks count="1" manualBreakCount="1">
    <brk id="29" max="16383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Z945"/>
  <sheetViews>
    <sheetView zoomScale="70" zoomScaleNormal="70" workbookViewId="0">
      <pane xSplit="1" ySplit="8" topLeftCell="B63" activePane="bottomRight" state="frozen"/>
      <selection activeCell="C93" sqref="C93"/>
      <selection pane="topRight" activeCell="C93" sqref="C93"/>
      <selection pane="bottomLeft" activeCell="C93" sqref="C93"/>
      <selection pane="bottomRight" activeCell="H69" sqref="H69"/>
    </sheetView>
  </sheetViews>
  <sheetFormatPr defaultColWidth="14.42578125" defaultRowHeight="15"/>
  <cols>
    <col min="1" max="1" width="15" customWidth="1"/>
    <col min="2" max="2" width="7.7109375" customWidth="1"/>
    <col min="3" max="17" width="6.42578125" customWidth="1"/>
    <col min="18" max="18" width="10.5703125" customWidth="1"/>
    <col min="19" max="24" width="11.5703125" customWidth="1"/>
  </cols>
  <sheetData>
    <row r="1" spans="1:26" ht="23.25" customHeight="1">
      <c r="A1" s="226" t="str">
        <f>BASE!A1</f>
        <v>KONGU ENGINEERING COLLEGE, ERODE - 638 060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1" t="str">
        <f>BASE!A1</f>
        <v>KONGU ENGINEERING COLLEGE, ERODE - 638 060</v>
      </c>
      <c r="T1" s="222"/>
      <c r="U1" s="222"/>
      <c r="V1" s="222"/>
      <c r="W1" s="222"/>
      <c r="X1" s="222"/>
    </row>
    <row r="2" spans="1:26" ht="23.25" customHeight="1">
      <c r="A2" s="223" t="str">
        <f>BASE!A2</f>
        <v>DEPARTMENT OF ______________________________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1" t="str">
        <f>BASE!A2</f>
        <v>DEPARTMENT OF ______________________________</v>
      </c>
      <c r="T2" s="224"/>
      <c r="U2" s="224"/>
      <c r="V2" s="224"/>
      <c r="W2" s="224"/>
      <c r="X2" s="224"/>
    </row>
    <row r="3" spans="1:26" ht="23.25" customHeight="1">
      <c r="A3" s="225" t="str">
        <f>BASE!A3</f>
        <v>PROJECT WORK  COURSE OUTCOME ANALYSIS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1" t="str">
        <f>BASE!A3</f>
        <v>PROJECT WORK  COURSE OUTCOME ANALYSIS</v>
      </c>
      <c r="T3" s="222"/>
      <c r="U3" s="222"/>
      <c r="V3" s="222"/>
      <c r="W3" s="222"/>
      <c r="X3" s="222"/>
    </row>
    <row r="4" spans="1:26" ht="36.75" customHeight="1">
      <c r="A4" s="48" t="str">
        <f>[1]BASE!A5</f>
        <v>Name of Faculty(s)</v>
      </c>
      <c r="B4" s="49" t="s">
        <v>2</v>
      </c>
      <c r="C4" s="220" t="str">
        <f>[1]BASE!D5</f>
        <v>a</v>
      </c>
      <c r="D4" s="210"/>
      <c r="E4" s="210"/>
      <c r="F4" s="211"/>
      <c r="G4" s="220" t="str">
        <f>[1]BASE!G5</f>
        <v>b</v>
      </c>
      <c r="H4" s="210"/>
      <c r="I4" s="210"/>
      <c r="J4" s="211"/>
      <c r="K4" s="220" t="str">
        <f>[1]BASE!J5</f>
        <v>c</v>
      </c>
      <c r="L4" s="210"/>
      <c r="M4" s="210"/>
      <c r="N4" s="211"/>
      <c r="O4" s="216" t="str">
        <f>[1]BASE!M5</f>
        <v>d</v>
      </c>
      <c r="P4" s="210"/>
      <c r="Q4" s="210"/>
      <c r="R4" s="210"/>
      <c r="S4" s="217" t="s">
        <v>68</v>
      </c>
      <c r="T4" s="207"/>
      <c r="U4" s="218" t="str">
        <f>BASE!D6</f>
        <v>22CDCXX</v>
      </c>
      <c r="V4" s="207"/>
      <c r="W4" s="207"/>
      <c r="X4" s="207"/>
    </row>
    <row r="5" spans="1:26" ht="39" customHeight="1">
      <c r="A5" s="48"/>
      <c r="B5" s="49" t="s">
        <v>2</v>
      </c>
      <c r="C5" s="219" t="str">
        <f>BASE!D6</f>
        <v>22CDCXX</v>
      </c>
      <c r="D5" s="210"/>
      <c r="E5" s="210"/>
      <c r="F5" s="211"/>
      <c r="G5" s="219" t="str">
        <f>BASE!G6</f>
        <v>XXXXXXXX XXXXX XXXXXXXX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130" t="s">
        <v>69</v>
      </c>
      <c r="T5" s="207"/>
      <c r="U5" s="206" t="str">
        <f>BASE!G6</f>
        <v>XXXXXXXX XXXXX XXXXXXXX</v>
      </c>
      <c r="V5" s="207"/>
      <c r="W5" s="207"/>
      <c r="X5" s="207"/>
    </row>
    <row r="6" spans="1:26" ht="51" customHeight="1">
      <c r="A6" s="48" t="str">
        <f>[1]BASE!A7</f>
        <v>Branch / Year / Semester</v>
      </c>
      <c r="B6" s="49" t="s">
        <v>2</v>
      </c>
      <c r="C6" s="208" t="str">
        <f>BASE!D7</f>
        <v>CSD</v>
      </c>
      <c r="D6" s="201"/>
      <c r="E6" s="201"/>
      <c r="F6" s="203"/>
      <c r="G6" s="200">
        <f>BASE!H7</f>
        <v>1</v>
      </c>
      <c r="H6" s="201"/>
      <c r="I6" s="203"/>
      <c r="J6" s="200" t="str">
        <f>BASE!L7</f>
        <v>IV</v>
      </c>
      <c r="K6" s="201"/>
      <c r="L6" s="202" t="s">
        <v>70</v>
      </c>
      <c r="M6" s="201"/>
      <c r="N6" s="201"/>
      <c r="O6" s="201"/>
      <c r="P6" s="203"/>
      <c r="Q6" s="204"/>
      <c r="R6" s="205"/>
      <c r="S6" s="206" t="str">
        <f>[1]BASE!A7</f>
        <v>Branch / Year / Semester</v>
      </c>
      <c r="T6" s="207"/>
      <c r="U6" s="130" t="str">
        <f>BASE!D7</f>
        <v>CSD</v>
      </c>
      <c r="V6" s="207"/>
      <c r="W6" s="1">
        <f>BASE!H7</f>
        <v>1</v>
      </c>
      <c r="X6" s="1" t="str">
        <f>BASE!L7</f>
        <v>IV</v>
      </c>
      <c r="Y6" s="50"/>
    </row>
    <row r="7" spans="1:26" ht="27.75" customHeight="1">
      <c r="A7" s="48" t="s">
        <v>71</v>
      </c>
      <c r="B7" s="51" t="s">
        <v>72</v>
      </c>
      <c r="C7" s="213" t="s">
        <v>84</v>
      </c>
      <c r="D7" s="214"/>
      <c r="E7" s="214"/>
      <c r="F7" s="214"/>
      <c r="G7" s="214"/>
      <c r="H7" s="215"/>
      <c r="I7" s="52"/>
      <c r="J7" s="212" t="s">
        <v>85</v>
      </c>
      <c r="K7" s="212"/>
      <c r="L7" s="212"/>
      <c r="M7" s="212"/>
      <c r="N7" s="212"/>
      <c r="O7" s="53"/>
      <c r="P7" s="53"/>
      <c r="Q7" s="53"/>
      <c r="R7" s="54"/>
      <c r="S7" s="206" t="str">
        <f>A7</f>
        <v>Asssesment</v>
      </c>
      <c r="T7" s="207"/>
      <c r="U7" s="130" t="s">
        <v>86</v>
      </c>
      <c r="V7" s="207"/>
      <c r="W7" s="207"/>
      <c r="X7" s="207"/>
      <c r="Y7" s="50"/>
    </row>
    <row r="8" spans="1:26" ht="18">
      <c r="A8" s="55"/>
      <c r="B8" s="56"/>
      <c r="C8" s="57"/>
      <c r="D8" s="57"/>
      <c r="E8" s="57"/>
      <c r="F8" s="57"/>
      <c r="G8" s="57"/>
      <c r="H8" s="57"/>
      <c r="I8" s="57"/>
      <c r="J8" s="58"/>
      <c r="K8" s="58"/>
      <c r="L8" s="58"/>
      <c r="M8" s="58"/>
      <c r="N8" s="58"/>
      <c r="O8" s="58"/>
      <c r="P8" s="58"/>
      <c r="Q8" s="58"/>
      <c r="R8" s="59"/>
      <c r="S8" s="57"/>
      <c r="T8" s="60"/>
      <c r="U8" s="60"/>
      <c r="V8" s="60"/>
      <c r="W8" s="60"/>
      <c r="X8" s="60"/>
      <c r="Z8" s="50"/>
    </row>
    <row r="9" spans="1:26" ht="22.5" customHeight="1">
      <c r="A9" s="194" t="s">
        <v>73</v>
      </c>
      <c r="B9" s="61" t="s">
        <v>74</v>
      </c>
      <c r="C9" s="62">
        <v>1</v>
      </c>
      <c r="D9" s="62">
        <v>2</v>
      </c>
      <c r="E9" s="62">
        <v>3</v>
      </c>
      <c r="F9" s="62">
        <v>4</v>
      </c>
      <c r="G9" s="62">
        <v>5</v>
      </c>
      <c r="H9" s="62" t="s">
        <v>83</v>
      </c>
      <c r="I9" s="62"/>
      <c r="J9" s="62">
        <v>1</v>
      </c>
      <c r="K9" s="62">
        <v>2</v>
      </c>
      <c r="L9" s="62">
        <v>3</v>
      </c>
      <c r="M9" s="62">
        <v>4</v>
      </c>
      <c r="N9" s="62">
        <v>5</v>
      </c>
      <c r="O9" s="62" t="s">
        <v>83</v>
      </c>
      <c r="P9" s="62"/>
      <c r="Q9" s="63"/>
      <c r="R9" s="197" t="s">
        <v>75</v>
      </c>
      <c r="S9" s="197" t="s">
        <v>29</v>
      </c>
      <c r="T9" s="64" t="s">
        <v>76</v>
      </c>
      <c r="U9" s="64" t="s">
        <v>77</v>
      </c>
      <c r="V9" s="64" t="s">
        <v>78</v>
      </c>
      <c r="W9" s="64" t="s">
        <v>79</v>
      </c>
      <c r="X9" s="64" t="s">
        <v>80</v>
      </c>
    </row>
    <row r="10" spans="1:26" ht="40.5" customHeight="1">
      <c r="A10" s="195"/>
      <c r="B10" s="65" t="s">
        <v>81</v>
      </c>
      <c r="C10" s="64">
        <f>($H$10/5)</f>
        <v>4</v>
      </c>
      <c r="D10" s="64">
        <f t="shared" ref="D10:G10" si="0">($H$10/5)</f>
        <v>4</v>
      </c>
      <c r="E10" s="64">
        <f t="shared" si="0"/>
        <v>4</v>
      </c>
      <c r="F10" s="64">
        <f t="shared" si="0"/>
        <v>4</v>
      </c>
      <c r="G10" s="64">
        <f t="shared" si="0"/>
        <v>4</v>
      </c>
      <c r="H10" s="66">
        <v>20</v>
      </c>
      <c r="I10" s="64"/>
      <c r="J10" s="64">
        <v>6</v>
      </c>
      <c r="K10" s="64">
        <v>6</v>
      </c>
      <c r="L10" s="64">
        <v>6</v>
      </c>
      <c r="M10" s="64">
        <v>6</v>
      </c>
      <c r="N10" s="64">
        <v>6</v>
      </c>
      <c r="O10" s="66">
        <v>30</v>
      </c>
      <c r="P10" s="64"/>
      <c r="Q10" s="67"/>
      <c r="R10" s="198"/>
      <c r="S10" s="198"/>
      <c r="T10" s="62">
        <f>SUMIF($C$11:$Q$11,1,C10:Q10)</f>
        <v>10</v>
      </c>
      <c r="U10" s="62">
        <f>SUMIF($C$11:$Q$11,2,C10:Q10)</f>
        <v>10</v>
      </c>
      <c r="V10" s="62">
        <f>SUMIF($C$11:$Q$11,3,C10:Q10)</f>
        <v>10</v>
      </c>
      <c r="W10" s="62">
        <f>SUMIF($C$11:$Q$11,4,C10:Q10)</f>
        <v>10</v>
      </c>
      <c r="X10" s="62">
        <f>SUMIF($C$11:$Q$11,5,C10:Q10)</f>
        <v>10</v>
      </c>
    </row>
    <row r="11" spans="1:26" ht="22.5" customHeight="1">
      <c r="A11" s="196"/>
      <c r="B11" s="49" t="s">
        <v>82</v>
      </c>
      <c r="C11" s="64">
        <v>1</v>
      </c>
      <c r="D11" s="64">
        <v>2</v>
      </c>
      <c r="E11" s="64">
        <v>3</v>
      </c>
      <c r="F11" s="64">
        <v>4</v>
      </c>
      <c r="G11" s="64">
        <v>5</v>
      </c>
      <c r="H11" s="64"/>
      <c r="I11" s="64"/>
      <c r="J11" s="64">
        <v>1</v>
      </c>
      <c r="K11" s="64">
        <v>2</v>
      </c>
      <c r="L11" s="64">
        <v>3</v>
      </c>
      <c r="M11" s="64">
        <v>4</v>
      </c>
      <c r="N11" s="64">
        <v>5</v>
      </c>
      <c r="O11" s="64"/>
      <c r="P11" s="64"/>
      <c r="Q11" s="67"/>
      <c r="R11" s="199"/>
      <c r="S11" s="199"/>
      <c r="T11" s="209"/>
      <c r="U11" s="210"/>
      <c r="V11" s="210"/>
      <c r="W11" s="210"/>
      <c r="X11" s="211"/>
    </row>
    <row r="12" spans="1:26" ht="18.75" customHeight="1">
      <c r="A12" s="68" t="str">
        <f>IF(BASE!B10="","",BASE!B10)</f>
        <v>20MER074</v>
      </c>
      <c r="B12" s="49" t="s">
        <v>2</v>
      </c>
      <c r="C12" s="69">
        <f>(H12/5)</f>
        <v>0</v>
      </c>
      <c r="D12" s="69">
        <f>(H12/5)</f>
        <v>0</v>
      </c>
      <c r="E12" s="69">
        <f>(H12/5)</f>
        <v>0</v>
      </c>
      <c r="F12" s="69">
        <f>(H12/5)</f>
        <v>0</v>
      </c>
      <c r="G12" s="69">
        <f>(H12/5)</f>
        <v>0</v>
      </c>
      <c r="H12" s="70"/>
      <c r="I12" s="69"/>
      <c r="J12" s="69">
        <f>(O12/5)</f>
        <v>0</v>
      </c>
      <c r="K12" s="69">
        <f>(O12/5)</f>
        <v>0</v>
      </c>
      <c r="L12" s="69">
        <f>(O12/5)</f>
        <v>0</v>
      </c>
      <c r="M12" s="69">
        <f>(O12/5)</f>
        <v>0</v>
      </c>
      <c r="N12" s="69">
        <f>(O12/5)</f>
        <v>0</v>
      </c>
      <c r="O12" s="70"/>
      <c r="P12" s="69"/>
      <c r="Q12" s="71"/>
      <c r="R12" s="49">
        <f>SUM(H12,O12)</f>
        <v>0</v>
      </c>
      <c r="S12" s="49">
        <f>[1]BASE!A10</f>
        <v>1</v>
      </c>
      <c r="T12" s="69">
        <f t="shared" ref="T12:T252" si="1">SUMIF($C$11:$Q$11,1,C12:Q12)</f>
        <v>0</v>
      </c>
      <c r="U12" s="69">
        <f t="shared" ref="U12:U252" si="2">SUMIF($C$11:$Q$11,2,C12:Q12)</f>
        <v>0</v>
      </c>
      <c r="V12" s="69">
        <f t="shared" ref="V12:V252" si="3">SUMIF($C$11:$Q$11,3,C12:Q12)</f>
        <v>0</v>
      </c>
      <c r="W12" s="69">
        <f t="shared" ref="W12:W252" si="4">SUMIF($C$11:$Q$11,4,C12:Q12)</f>
        <v>0</v>
      </c>
      <c r="X12" s="69">
        <f t="shared" ref="X12:X252" si="5">SUMIF($C$11:$Q$11,5,C12:Q12)</f>
        <v>0</v>
      </c>
    </row>
    <row r="13" spans="1:26" ht="18.75" customHeight="1">
      <c r="A13" s="68" t="str">
        <f>IF(BASE!B11="","",BASE!B11)</f>
        <v>21MEL115</v>
      </c>
      <c r="B13" s="49" t="s">
        <v>2</v>
      </c>
      <c r="C13" s="69">
        <f t="shared" ref="C13:C76" si="6">(H13/5)</f>
        <v>0</v>
      </c>
      <c r="D13" s="69">
        <f t="shared" ref="D13:D76" si="7">(H13/5)</f>
        <v>0</v>
      </c>
      <c r="E13" s="69">
        <f t="shared" ref="E13:E76" si="8">(H13/5)</f>
        <v>0</v>
      </c>
      <c r="F13" s="69">
        <f t="shared" ref="F13:F76" si="9">(H13/5)</f>
        <v>0</v>
      </c>
      <c r="G13" s="69">
        <f t="shared" ref="G13:G76" si="10">(H13/5)</f>
        <v>0</v>
      </c>
      <c r="H13" s="70"/>
      <c r="I13" s="69"/>
      <c r="J13" s="69">
        <f t="shared" ref="J13:J76" si="11">(O13/5)</f>
        <v>0</v>
      </c>
      <c r="K13" s="69">
        <f t="shared" ref="K13:K76" si="12">(O13/5)</f>
        <v>0</v>
      </c>
      <c r="L13" s="69">
        <f t="shared" ref="L13:L76" si="13">(O13/5)</f>
        <v>0</v>
      </c>
      <c r="M13" s="69">
        <f t="shared" ref="M13:M76" si="14">(O13/5)</f>
        <v>0</v>
      </c>
      <c r="N13" s="69">
        <f t="shared" ref="N13:N76" si="15">(O13/5)</f>
        <v>0</v>
      </c>
      <c r="O13" s="70"/>
      <c r="P13" s="69"/>
      <c r="Q13" s="71"/>
      <c r="R13" s="49">
        <f t="shared" ref="R13:R76" si="16">SUM(H13,O13)</f>
        <v>0</v>
      </c>
      <c r="S13" s="49">
        <f>[1]BASE!A11</f>
        <v>2</v>
      </c>
      <c r="T13" s="69">
        <f t="shared" si="1"/>
        <v>0</v>
      </c>
      <c r="U13" s="69">
        <f t="shared" si="2"/>
        <v>0</v>
      </c>
      <c r="V13" s="69">
        <f t="shared" si="3"/>
        <v>0</v>
      </c>
      <c r="W13" s="69">
        <f t="shared" si="4"/>
        <v>0</v>
      </c>
      <c r="X13" s="69">
        <f t="shared" si="5"/>
        <v>0</v>
      </c>
    </row>
    <row r="14" spans="1:26" ht="18.75" customHeight="1">
      <c r="A14" s="68" t="str">
        <f>IF(BASE!B12="","",BASE!B12)</f>
        <v>21MEL116</v>
      </c>
      <c r="B14" s="49" t="s">
        <v>2</v>
      </c>
      <c r="C14" s="69">
        <f t="shared" si="6"/>
        <v>0</v>
      </c>
      <c r="D14" s="69">
        <f t="shared" si="7"/>
        <v>0</v>
      </c>
      <c r="E14" s="69">
        <f t="shared" si="8"/>
        <v>0</v>
      </c>
      <c r="F14" s="69">
        <f t="shared" si="9"/>
        <v>0</v>
      </c>
      <c r="G14" s="69">
        <f t="shared" si="10"/>
        <v>0</v>
      </c>
      <c r="H14" s="70"/>
      <c r="I14" s="69"/>
      <c r="J14" s="69">
        <f t="shared" si="11"/>
        <v>0</v>
      </c>
      <c r="K14" s="69">
        <f t="shared" si="12"/>
        <v>0</v>
      </c>
      <c r="L14" s="69">
        <f t="shared" si="13"/>
        <v>0</v>
      </c>
      <c r="M14" s="69">
        <f t="shared" si="14"/>
        <v>0</v>
      </c>
      <c r="N14" s="69">
        <f t="shared" si="15"/>
        <v>0</v>
      </c>
      <c r="O14" s="70"/>
      <c r="P14" s="69"/>
      <c r="Q14" s="71"/>
      <c r="R14" s="49">
        <f t="shared" si="16"/>
        <v>0</v>
      </c>
      <c r="S14" s="49">
        <f>[1]BASE!A12</f>
        <v>3</v>
      </c>
      <c r="T14" s="69">
        <f t="shared" si="1"/>
        <v>0</v>
      </c>
      <c r="U14" s="69">
        <f t="shared" si="2"/>
        <v>0</v>
      </c>
      <c r="V14" s="69">
        <f t="shared" si="3"/>
        <v>0</v>
      </c>
      <c r="W14" s="69">
        <f t="shared" si="4"/>
        <v>0</v>
      </c>
      <c r="X14" s="69">
        <f t="shared" si="5"/>
        <v>0</v>
      </c>
    </row>
    <row r="15" spans="1:26" ht="18.75" customHeight="1">
      <c r="A15" s="68" t="str">
        <f>IF(BASE!B13="","",BASE!B13)</f>
        <v>21MEL117</v>
      </c>
      <c r="B15" s="49" t="s">
        <v>2</v>
      </c>
      <c r="C15" s="69">
        <f t="shared" si="6"/>
        <v>0</v>
      </c>
      <c r="D15" s="69">
        <f t="shared" si="7"/>
        <v>0</v>
      </c>
      <c r="E15" s="69">
        <f t="shared" si="8"/>
        <v>0</v>
      </c>
      <c r="F15" s="69">
        <f t="shared" si="9"/>
        <v>0</v>
      </c>
      <c r="G15" s="69">
        <f t="shared" si="10"/>
        <v>0</v>
      </c>
      <c r="H15" s="70"/>
      <c r="I15" s="69"/>
      <c r="J15" s="69">
        <f t="shared" si="11"/>
        <v>0</v>
      </c>
      <c r="K15" s="69">
        <f t="shared" si="12"/>
        <v>0</v>
      </c>
      <c r="L15" s="69">
        <f t="shared" si="13"/>
        <v>0</v>
      </c>
      <c r="M15" s="69">
        <f t="shared" si="14"/>
        <v>0</v>
      </c>
      <c r="N15" s="69">
        <f t="shared" si="15"/>
        <v>0</v>
      </c>
      <c r="O15" s="70"/>
      <c r="P15" s="69"/>
      <c r="Q15" s="71"/>
      <c r="R15" s="49">
        <f t="shared" si="16"/>
        <v>0</v>
      </c>
      <c r="S15" s="49">
        <f>[1]BASE!A13</f>
        <v>4</v>
      </c>
      <c r="T15" s="69">
        <f t="shared" si="1"/>
        <v>0</v>
      </c>
      <c r="U15" s="69">
        <f t="shared" si="2"/>
        <v>0</v>
      </c>
      <c r="V15" s="69">
        <f t="shared" si="3"/>
        <v>0</v>
      </c>
      <c r="W15" s="69">
        <f t="shared" si="4"/>
        <v>0</v>
      </c>
      <c r="X15" s="69">
        <f t="shared" si="5"/>
        <v>0</v>
      </c>
    </row>
    <row r="16" spans="1:26" ht="18.75" customHeight="1">
      <c r="A16" s="68" t="str">
        <f>IF(BASE!B14="","",BASE!B14)</f>
        <v>21MEL118</v>
      </c>
      <c r="B16" s="49" t="s">
        <v>2</v>
      </c>
      <c r="C16" s="69">
        <f t="shared" si="6"/>
        <v>0</v>
      </c>
      <c r="D16" s="69">
        <f t="shared" si="7"/>
        <v>0</v>
      </c>
      <c r="E16" s="69">
        <f t="shared" si="8"/>
        <v>0</v>
      </c>
      <c r="F16" s="69">
        <f t="shared" si="9"/>
        <v>0</v>
      </c>
      <c r="G16" s="69">
        <f t="shared" si="10"/>
        <v>0</v>
      </c>
      <c r="H16" s="70"/>
      <c r="I16" s="69"/>
      <c r="J16" s="69">
        <f t="shared" si="11"/>
        <v>0</v>
      </c>
      <c r="K16" s="69">
        <f t="shared" si="12"/>
        <v>0</v>
      </c>
      <c r="L16" s="69">
        <f t="shared" si="13"/>
        <v>0</v>
      </c>
      <c r="M16" s="69">
        <f t="shared" si="14"/>
        <v>0</v>
      </c>
      <c r="N16" s="69">
        <f t="shared" si="15"/>
        <v>0</v>
      </c>
      <c r="O16" s="70"/>
      <c r="P16" s="69"/>
      <c r="Q16" s="71"/>
      <c r="R16" s="49">
        <f t="shared" si="16"/>
        <v>0</v>
      </c>
      <c r="S16" s="49">
        <f>[1]BASE!A14</f>
        <v>5</v>
      </c>
      <c r="T16" s="69">
        <f t="shared" si="1"/>
        <v>0</v>
      </c>
      <c r="U16" s="69">
        <f t="shared" si="2"/>
        <v>0</v>
      </c>
      <c r="V16" s="69">
        <f t="shared" si="3"/>
        <v>0</v>
      </c>
      <c r="W16" s="69">
        <f t="shared" si="4"/>
        <v>0</v>
      </c>
      <c r="X16" s="69">
        <f t="shared" si="5"/>
        <v>0</v>
      </c>
    </row>
    <row r="17" spans="1:24" ht="18.75" customHeight="1">
      <c r="A17" s="68" t="str">
        <f>IF(BASE!B15="","",BASE!B15)</f>
        <v>21MEL119</v>
      </c>
      <c r="B17" s="49" t="s">
        <v>2</v>
      </c>
      <c r="C17" s="69">
        <f t="shared" si="6"/>
        <v>0</v>
      </c>
      <c r="D17" s="69">
        <f t="shared" si="7"/>
        <v>0</v>
      </c>
      <c r="E17" s="69">
        <f t="shared" si="8"/>
        <v>0</v>
      </c>
      <c r="F17" s="69">
        <f t="shared" si="9"/>
        <v>0</v>
      </c>
      <c r="G17" s="69">
        <f t="shared" si="10"/>
        <v>0</v>
      </c>
      <c r="H17" s="70"/>
      <c r="I17" s="69"/>
      <c r="J17" s="69">
        <f t="shared" si="11"/>
        <v>0</v>
      </c>
      <c r="K17" s="69">
        <f t="shared" si="12"/>
        <v>0</v>
      </c>
      <c r="L17" s="69">
        <f t="shared" si="13"/>
        <v>0</v>
      </c>
      <c r="M17" s="69">
        <f t="shared" si="14"/>
        <v>0</v>
      </c>
      <c r="N17" s="69">
        <f t="shared" si="15"/>
        <v>0</v>
      </c>
      <c r="O17" s="70"/>
      <c r="P17" s="69"/>
      <c r="Q17" s="71"/>
      <c r="R17" s="49">
        <f t="shared" si="16"/>
        <v>0</v>
      </c>
      <c r="S17" s="49">
        <f>[1]BASE!A15</f>
        <v>6</v>
      </c>
      <c r="T17" s="69">
        <f t="shared" si="1"/>
        <v>0</v>
      </c>
      <c r="U17" s="69">
        <f t="shared" si="2"/>
        <v>0</v>
      </c>
      <c r="V17" s="69">
        <f t="shared" si="3"/>
        <v>0</v>
      </c>
      <c r="W17" s="69">
        <f t="shared" si="4"/>
        <v>0</v>
      </c>
      <c r="X17" s="69">
        <f t="shared" si="5"/>
        <v>0</v>
      </c>
    </row>
    <row r="18" spans="1:24" ht="18.75" customHeight="1">
      <c r="A18" s="68" t="str">
        <f>IF(BASE!B16="","",BASE!B16)</f>
        <v>21MEL120</v>
      </c>
      <c r="B18" s="49" t="s">
        <v>2</v>
      </c>
      <c r="C18" s="69">
        <f t="shared" si="6"/>
        <v>0</v>
      </c>
      <c r="D18" s="69">
        <f t="shared" si="7"/>
        <v>0</v>
      </c>
      <c r="E18" s="69">
        <f t="shared" si="8"/>
        <v>0</v>
      </c>
      <c r="F18" s="69">
        <f t="shared" si="9"/>
        <v>0</v>
      </c>
      <c r="G18" s="69">
        <f t="shared" si="10"/>
        <v>0</v>
      </c>
      <c r="H18" s="70"/>
      <c r="I18" s="69"/>
      <c r="J18" s="69">
        <f t="shared" si="11"/>
        <v>0</v>
      </c>
      <c r="K18" s="69">
        <f t="shared" si="12"/>
        <v>0</v>
      </c>
      <c r="L18" s="69">
        <f t="shared" si="13"/>
        <v>0</v>
      </c>
      <c r="M18" s="69">
        <f t="shared" si="14"/>
        <v>0</v>
      </c>
      <c r="N18" s="69">
        <f t="shared" si="15"/>
        <v>0</v>
      </c>
      <c r="O18" s="70"/>
      <c r="P18" s="69"/>
      <c r="Q18" s="71"/>
      <c r="R18" s="49">
        <f t="shared" si="16"/>
        <v>0</v>
      </c>
      <c r="S18" s="49">
        <f>[1]BASE!A16</f>
        <v>7</v>
      </c>
      <c r="T18" s="69">
        <f t="shared" si="1"/>
        <v>0</v>
      </c>
      <c r="U18" s="69">
        <f t="shared" si="2"/>
        <v>0</v>
      </c>
      <c r="V18" s="69">
        <f t="shared" si="3"/>
        <v>0</v>
      </c>
      <c r="W18" s="69">
        <f t="shared" si="4"/>
        <v>0</v>
      </c>
      <c r="X18" s="69">
        <f t="shared" si="5"/>
        <v>0</v>
      </c>
    </row>
    <row r="19" spans="1:24" ht="18.75" customHeight="1">
      <c r="A19" s="68" t="str">
        <f>IF(BASE!B17="","",BASE!B17)</f>
        <v>21MEL121</v>
      </c>
      <c r="B19" s="49" t="s">
        <v>2</v>
      </c>
      <c r="C19" s="69">
        <f t="shared" si="6"/>
        <v>0</v>
      </c>
      <c r="D19" s="69">
        <f t="shared" si="7"/>
        <v>0</v>
      </c>
      <c r="E19" s="69">
        <f t="shared" si="8"/>
        <v>0</v>
      </c>
      <c r="F19" s="69">
        <f t="shared" si="9"/>
        <v>0</v>
      </c>
      <c r="G19" s="69">
        <f t="shared" si="10"/>
        <v>0</v>
      </c>
      <c r="H19" s="70"/>
      <c r="I19" s="69"/>
      <c r="J19" s="69">
        <f t="shared" si="11"/>
        <v>0</v>
      </c>
      <c r="K19" s="69">
        <f t="shared" si="12"/>
        <v>0</v>
      </c>
      <c r="L19" s="69">
        <f t="shared" si="13"/>
        <v>0</v>
      </c>
      <c r="M19" s="69">
        <f t="shared" si="14"/>
        <v>0</v>
      </c>
      <c r="N19" s="69">
        <f t="shared" si="15"/>
        <v>0</v>
      </c>
      <c r="O19" s="70"/>
      <c r="P19" s="69"/>
      <c r="Q19" s="71"/>
      <c r="R19" s="49">
        <f t="shared" si="16"/>
        <v>0</v>
      </c>
      <c r="S19" s="49">
        <f>[1]BASE!A17</f>
        <v>8</v>
      </c>
      <c r="T19" s="69">
        <f t="shared" si="1"/>
        <v>0</v>
      </c>
      <c r="U19" s="69">
        <f t="shared" si="2"/>
        <v>0</v>
      </c>
      <c r="V19" s="69">
        <f t="shared" si="3"/>
        <v>0</v>
      </c>
      <c r="W19" s="69">
        <f t="shared" si="4"/>
        <v>0</v>
      </c>
      <c r="X19" s="69">
        <f t="shared" si="5"/>
        <v>0</v>
      </c>
    </row>
    <row r="20" spans="1:24" ht="18.75" customHeight="1">
      <c r="A20" s="68" t="str">
        <f>IF(BASE!B18="","",BASE!B18)</f>
        <v>21MEL122</v>
      </c>
      <c r="B20" s="49" t="s">
        <v>2</v>
      </c>
      <c r="C20" s="69">
        <f t="shared" si="6"/>
        <v>0</v>
      </c>
      <c r="D20" s="69">
        <f t="shared" si="7"/>
        <v>0</v>
      </c>
      <c r="E20" s="69">
        <f t="shared" si="8"/>
        <v>0</v>
      </c>
      <c r="F20" s="69">
        <f t="shared" si="9"/>
        <v>0</v>
      </c>
      <c r="G20" s="69">
        <f t="shared" si="10"/>
        <v>0</v>
      </c>
      <c r="H20" s="70"/>
      <c r="I20" s="69"/>
      <c r="J20" s="69">
        <f t="shared" si="11"/>
        <v>0</v>
      </c>
      <c r="K20" s="69">
        <f t="shared" si="12"/>
        <v>0</v>
      </c>
      <c r="L20" s="69">
        <f t="shared" si="13"/>
        <v>0</v>
      </c>
      <c r="M20" s="69">
        <f t="shared" si="14"/>
        <v>0</v>
      </c>
      <c r="N20" s="69">
        <f t="shared" si="15"/>
        <v>0</v>
      </c>
      <c r="O20" s="70"/>
      <c r="P20" s="69"/>
      <c r="Q20" s="71"/>
      <c r="R20" s="49">
        <f t="shared" si="16"/>
        <v>0</v>
      </c>
      <c r="S20" s="49">
        <f>[1]BASE!A18</f>
        <v>9</v>
      </c>
      <c r="T20" s="69">
        <f t="shared" si="1"/>
        <v>0</v>
      </c>
      <c r="U20" s="69">
        <f t="shared" si="2"/>
        <v>0</v>
      </c>
      <c r="V20" s="69">
        <f t="shared" si="3"/>
        <v>0</v>
      </c>
      <c r="W20" s="69">
        <f t="shared" si="4"/>
        <v>0</v>
      </c>
      <c r="X20" s="69">
        <f t="shared" si="5"/>
        <v>0</v>
      </c>
    </row>
    <row r="21" spans="1:24" ht="18.75" customHeight="1">
      <c r="A21" s="68" t="str">
        <f>IF(BASE!B19="","",BASE!B19)</f>
        <v>21MEL123</v>
      </c>
      <c r="B21" s="49" t="s">
        <v>2</v>
      </c>
      <c r="C21" s="69">
        <f t="shared" si="6"/>
        <v>0</v>
      </c>
      <c r="D21" s="69">
        <f t="shared" si="7"/>
        <v>0</v>
      </c>
      <c r="E21" s="69">
        <f t="shared" si="8"/>
        <v>0</v>
      </c>
      <c r="F21" s="69">
        <f t="shared" si="9"/>
        <v>0</v>
      </c>
      <c r="G21" s="69">
        <f t="shared" si="10"/>
        <v>0</v>
      </c>
      <c r="H21" s="70"/>
      <c r="I21" s="69"/>
      <c r="J21" s="69">
        <f t="shared" si="11"/>
        <v>0</v>
      </c>
      <c r="K21" s="69">
        <f t="shared" si="12"/>
        <v>0</v>
      </c>
      <c r="L21" s="69">
        <f t="shared" si="13"/>
        <v>0</v>
      </c>
      <c r="M21" s="69">
        <f t="shared" si="14"/>
        <v>0</v>
      </c>
      <c r="N21" s="69">
        <f t="shared" si="15"/>
        <v>0</v>
      </c>
      <c r="O21" s="70"/>
      <c r="P21" s="69"/>
      <c r="Q21" s="71"/>
      <c r="R21" s="49">
        <f t="shared" si="16"/>
        <v>0</v>
      </c>
      <c r="S21" s="49">
        <f>[1]BASE!A19</f>
        <v>10</v>
      </c>
      <c r="T21" s="69">
        <f t="shared" si="1"/>
        <v>0</v>
      </c>
      <c r="U21" s="69">
        <f t="shared" si="2"/>
        <v>0</v>
      </c>
      <c r="V21" s="69">
        <f t="shared" si="3"/>
        <v>0</v>
      </c>
      <c r="W21" s="69">
        <f t="shared" si="4"/>
        <v>0</v>
      </c>
      <c r="X21" s="69">
        <f t="shared" si="5"/>
        <v>0</v>
      </c>
    </row>
    <row r="22" spans="1:24" ht="18.75" customHeight="1">
      <c r="A22" s="68" t="str">
        <f>IF(BASE!B20="","",BASE!B20)</f>
        <v>21MEL124</v>
      </c>
      <c r="B22" s="49" t="s">
        <v>2</v>
      </c>
      <c r="C22" s="69">
        <f t="shared" si="6"/>
        <v>0</v>
      </c>
      <c r="D22" s="69">
        <f t="shared" si="7"/>
        <v>0</v>
      </c>
      <c r="E22" s="69">
        <f t="shared" si="8"/>
        <v>0</v>
      </c>
      <c r="F22" s="69">
        <f t="shared" si="9"/>
        <v>0</v>
      </c>
      <c r="G22" s="69">
        <f t="shared" si="10"/>
        <v>0</v>
      </c>
      <c r="H22" s="70"/>
      <c r="I22" s="69"/>
      <c r="J22" s="69">
        <f t="shared" si="11"/>
        <v>0</v>
      </c>
      <c r="K22" s="69">
        <f t="shared" si="12"/>
        <v>0</v>
      </c>
      <c r="L22" s="69">
        <f t="shared" si="13"/>
        <v>0</v>
      </c>
      <c r="M22" s="69">
        <f t="shared" si="14"/>
        <v>0</v>
      </c>
      <c r="N22" s="69">
        <f t="shared" si="15"/>
        <v>0</v>
      </c>
      <c r="O22" s="70"/>
      <c r="P22" s="69"/>
      <c r="Q22" s="71"/>
      <c r="R22" s="49">
        <f t="shared" si="16"/>
        <v>0</v>
      </c>
      <c r="S22" s="49">
        <f>[1]BASE!A20</f>
        <v>11</v>
      </c>
      <c r="T22" s="69">
        <f t="shared" si="1"/>
        <v>0</v>
      </c>
      <c r="U22" s="69">
        <f t="shared" si="2"/>
        <v>0</v>
      </c>
      <c r="V22" s="69">
        <f t="shared" si="3"/>
        <v>0</v>
      </c>
      <c r="W22" s="69">
        <f t="shared" si="4"/>
        <v>0</v>
      </c>
      <c r="X22" s="69">
        <f t="shared" si="5"/>
        <v>0</v>
      </c>
    </row>
    <row r="23" spans="1:24" ht="18.75" customHeight="1">
      <c r="A23" s="68" t="str">
        <f>IF(BASE!B21="","",BASE!B21)</f>
        <v>21MEL125</v>
      </c>
      <c r="B23" s="49" t="s">
        <v>2</v>
      </c>
      <c r="C23" s="69">
        <f t="shared" si="6"/>
        <v>0</v>
      </c>
      <c r="D23" s="69">
        <f t="shared" si="7"/>
        <v>0</v>
      </c>
      <c r="E23" s="69">
        <f t="shared" si="8"/>
        <v>0</v>
      </c>
      <c r="F23" s="69">
        <f t="shared" si="9"/>
        <v>0</v>
      </c>
      <c r="G23" s="69">
        <f t="shared" si="10"/>
        <v>0</v>
      </c>
      <c r="H23" s="70"/>
      <c r="I23" s="69"/>
      <c r="J23" s="69">
        <f t="shared" si="11"/>
        <v>0</v>
      </c>
      <c r="K23" s="69">
        <f t="shared" si="12"/>
        <v>0</v>
      </c>
      <c r="L23" s="69">
        <f t="shared" si="13"/>
        <v>0</v>
      </c>
      <c r="M23" s="69">
        <f t="shared" si="14"/>
        <v>0</v>
      </c>
      <c r="N23" s="69">
        <f t="shared" si="15"/>
        <v>0</v>
      </c>
      <c r="O23" s="70"/>
      <c r="P23" s="69"/>
      <c r="Q23" s="71"/>
      <c r="R23" s="49">
        <f t="shared" si="16"/>
        <v>0</v>
      </c>
      <c r="S23" s="49">
        <f>[1]BASE!A21</f>
        <v>12</v>
      </c>
      <c r="T23" s="69">
        <f t="shared" si="1"/>
        <v>0</v>
      </c>
      <c r="U23" s="69">
        <f t="shared" si="2"/>
        <v>0</v>
      </c>
      <c r="V23" s="69">
        <f t="shared" si="3"/>
        <v>0</v>
      </c>
      <c r="W23" s="69">
        <f t="shared" si="4"/>
        <v>0</v>
      </c>
      <c r="X23" s="69">
        <f t="shared" si="5"/>
        <v>0</v>
      </c>
    </row>
    <row r="24" spans="1:24" ht="18.75" customHeight="1">
      <c r="A24" s="68" t="str">
        <f>IF(BASE!B22="","",BASE!B22)</f>
        <v>21MEL126</v>
      </c>
      <c r="B24" s="49" t="s">
        <v>2</v>
      </c>
      <c r="C24" s="69">
        <f t="shared" si="6"/>
        <v>0</v>
      </c>
      <c r="D24" s="69">
        <f t="shared" si="7"/>
        <v>0</v>
      </c>
      <c r="E24" s="69">
        <f t="shared" si="8"/>
        <v>0</v>
      </c>
      <c r="F24" s="69">
        <f t="shared" si="9"/>
        <v>0</v>
      </c>
      <c r="G24" s="69">
        <f t="shared" si="10"/>
        <v>0</v>
      </c>
      <c r="H24" s="70"/>
      <c r="I24" s="69"/>
      <c r="J24" s="69">
        <f t="shared" si="11"/>
        <v>0</v>
      </c>
      <c r="K24" s="69">
        <f t="shared" si="12"/>
        <v>0</v>
      </c>
      <c r="L24" s="69">
        <f t="shared" si="13"/>
        <v>0</v>
      </c>
      <c r="M24" s="69">
        <f t="shared" si="14"/>
        <v>0</v>
      </c>
      <c r="N24" s="69">
        <f t="shared" si="15"/>
        <v>0</v>
      </c>
      <c r="O24" s="70"/>
      <c r="P24" s="69"/>
      <c r="Q24" s="71"/>
      <c r="R24" s="49">
        <f t="shared" si="16"/>
        <v>0</v>
      </c>
      <c r="S24" s="49">
        <f>[1]BASE!A22</f>
        <v>13</v>
      </c>
      <c r="T24" s="69">
        <f t="shared" si="1"/>
        <v>0</v>
      </c>
      <c r="U24" s="69">
        <f t="shared" si="2"/>
        <v>0</v>
      </c>
      <c r="V24" s="69">
        <f t="shared" si="3"/>
        <v>0</v>
      </c>
      <c r="W24" s="69">
        <f t="shared" si="4"/>
        <v>0</v>
      </c>
      <c r="X24" s="69">
        <f t="shared" si="5"/>
        <v>0</v>
      </c>
    </row>
    <row r="25" spans="1:24" ht="18.75" customHeight="1">
      <c r="A25" s="68" t="str">
        <f>IF(BASE!B23="","",BASE!B23)</f>
        <v>21MEL127</v>
      </c>
      <c r="B25" s="49" t="s">
        <v>2</v>
      </c>
      <c r="C25" s="69">
        <f t="shared" si="6"/>
        <v>0</v>
      </c>
      <c r="D25" s="69">
        <f t="shared" si="7"/>
        <v>0</v>
      </c>
      <c r="E25" s="69">
        <f t="shared" si="8"/>
        <v>0</v>
      </c>
      <c r="F25" s="69">
        <f t="shared" si="9"/>
        <v>0</v>
      </c>
      <c r="G25" s="69">
        <f t="shared" si="10"/>
        <v>0</v>
      </c>
      <c r="H25" s="70"/>
      <c r="I25" s="69"/>
      <c r="J25" s="69">
        <f t="shared" si="11"/>
        <v>0</v>
      </c>
      <c r="K25" s="69">
        <f t="shared" si="12"/>
        <v>0</v>
      </c>
      <c r="L25" s="69">
        <f t="shared" si="13"/>
        <v>0</v>
      </c>
      <c r="M25" s="69">
        <f t="shared" si="14"/>
        <v>0</v>
      </c>
      <c r="N25" s="69">
        <f t="shared" si="15"/>
        <v>0</v>
      </c>
      <c r="O25" s="70"/>
      <c r="P25" s="69"/>
      <c r="Q25" s="71"/>
      <c r="R25" s="49">
        <f t="shared" si="16"/>
        <v>0</v>
      </c>
      <c r="S25" s="49">
        <f>[1]BASE!A23</f>
        <v>14</v>
      </c>
      <c r="T25" s="69">
        <f t="shared" si="1"/>
        <v>0</v>
      </c>
      <c r="U25" s="69">
        <f t="shared" si="2"/>
        <v>0</v>
      </c>
      <c r="V25" s="69">
        <f t="shared" si="3"/>
        <v>0</v>
      </c>
      <c r="W25" s="69">
        <f t="shared" si="4"/>
        <v>0</v>
      </c>
      <c r="X25" s="69">
        <f t="shared" si="5"/>
        <v>0</v>
      </c>
    </row>
    <row r="26" spans="1:24" ht="18.75" customHeight="1">
      <c r="A26" s="68" t="str">
        <f>IF(BASE!B24="","",BASE!B24)</f>
        <v>21MEL128</v>
      </c>
      <c r="B26" s="49" t="s">
        <v>2</v>
      </c>
      <c r="C26" s="69">
        <f t="shared" si="6"/>
        <v>0</v>
      </c>
      <c r="D26" s="69">
        <f t="shared" si="7"/>
        <v>0</v>
      </c>
      <c r="E26" s="69">
        <f t="shared" si="8"/>
        <v>0</v>
      </c>
      <c r="F26" s="69">
        <f t="shared" si="9"/>
        <v>0</v>
      </c>
      <c r="G26" s="69">
        <f t="shared" si="10"/>
        <v>0</v>
      </c>
      <c r="H26" s="70"/>
      <c r="I26" s="69"/>
      <c r="J26" s="69">
        <f t="shared" si="11"/>
        <v>0</v>
      </c>
      <c r="K26" s="69">
        <f t="shared" si="12"/>
        <v>0</v>
      </c>
      <c r="L26" s="69">
        <f t="shared" si="13"/>
        <v>0</v>
      </c>
      <c r="M26" s="69">
        <f t="shared" si="14"/>
        <v>0</v>
      </c>
      <c r="N26" s="69">
        <f t="shared" si="15"/>
        <v>0</v>
      </c>
      <c r="O26" s="70"/>
      <c r="P26" s="69"/>
      <c r="Q26" s="71"/>
      <c r="R26" s="49">
        <f t="shared" si="16"/>
        <v>0</v>
      </c>
      <c r="S26" s="49">
        <f>[1]BASE!A24</f>
        <v>15</v>
      </c>
      <c r="T26" s="69">
        <f t="shared" si="1"/>
        <v>0</v>
      </c>
      <c r="U26" s="69">
        <f t="shared" si="2"/>
        <v>0</v>
      </c>
      <c r="V26" s="69">
        <f t="shared" si="3"/>
        <v>0</v>
      </c>
      <c r="W26" s="69">
        <f t="shared" si="4"/>
        <v>0</v>
      </c>
      <c r="X26" s="69">
        <f t="shared" si="5"/>
        <v>0</v>
      </c>
    </row>
    <row r="27" spans="1:24" ht="18.75" customHeight="1">
      <c r="A27" s="68" t="str">
        <f>IF(BASE!B25="","",BASE!B25)</f>
        <v>21MEL129</v>
      </c>
      <c r="B27" s="49" t="s">
        <v>2</v>
      </c>
      <c r="C27" s="69">
        <f t="shared" si="6"/>
        <v>0</v>
      </c>
      <c r="D27" s="69">
        <f t="shared" si="7"/>
        <v>0</v>
      </c>
      <c r="E27" s="69">
        <f t="shared" si="8"/>
        <v>0</v>
      </c>
      <c r="F27" s="69">
        <f t="shared" si="9"/>
        <v>0</v>
      </c>
      <c r="G27" s="69">
        <f t="shared" si="10"/>
        <v>0</v>
      </c>
      <c r="H27" s="70"/>
      <c r="I27" s="69"/>
      <c r="J27" s="69">
        <f t="shared" si="11"/>
        <v>0</v>
      </c>
      <c r="K27" s="69">
        <f t="shared" si="12"/>
        <v>0</v>
      </c>
      <c r="L27" s="69">
        <f t="shared" si="13"/>
        <v>0</v>
      </c>
      <c r="M27" s="69">
        <f t="shared" si="14"/>
        <v>0</v>
      </c>
      <c r="N27" s="69">
        <f t="shared" si="15"/>
        <v>0</v>
      </c>
      <c r="O27" s="70"/>
      <c r="P27" s="69"/>
      <c r="Q27" s="71"/>
      <c r="R27" s="49">
        <f t="shared" si="16"/>
        <v>0</v>
      </c>
      <c r="S27" s="49">
        <f>[1]BASE!A25</f>
        <v>16</v>
      </c>
      <c r="T27" s="69">
        <f t="shared" si="1"/>
        <v>0</v>
      </c>
      <c r="U27" s="69">
        <f t="shared" si="2"/>
        <v>0</v>
      </c>
      <c r="V27" s="69">
        <f t="shared" si="3"/>
        <v>0</v>
      </c>
      <c r="W27" s="69">
        <f t="shared" si="4"/>
        <v>0</v>
      </c>
      <c r="X27" s="69">
        <f t="shared" si="5"/>
        <v>0</v>
      </c>
    </row>
    <row r="28" spans="1:24" ht="18.75" customHeight="1">
      <c r="A28" s="68" t="str">
        <f>IF(BASE!B26="","",BASE!B26)</f>
        <v>21MEL130</v>
      </c>
      <c r="B28" s="49" t="s">
        <v>2</v>
      </c>
      <c r="C28" s="69">
        <f t="shared" si="6"/>
        <v>0</v>
      </c>
      <c r="D28" s="69">
        <f t="shared" si="7"/>
        <v>0</v>
      </c>
      <c r="E28" s="69">
        <f t="shared" si="8"/>
        <v>0</v>
      </c>
      <c r="F28" s="69">
        <f t="shared" si="9"/>
        <v>0</v>
      </c>
      <c r="G28" s="69">
        <f t="shared" si="10"/>
        <v>0</v>
      </c>
      <c r="H28" s="70"/>
      <c r="I28" s="69"/>
      <c r="J28" s="69">
        <f t="shared" si="11"/>
        <v>0</v>
      </c>
      <c r="K28" s="69">
        <f t="shared" si="12"/>
        <v>0</v>
      </c>
      <c r="L28" s="69">
        <f t="shared" si="13"/>
        <v>0</v>
      </c>
      <c r="M28" s="69">
        <f t="shared" si="14"/>
        <v>0</v>
      </c>
      <c r="N28" s="69">
        <f t="shared" si="15"/>
        <v>0</v>
      </c>
      <c r="O28" s="70"/>
      <c r="P28" s="69"/>
      <c r="Q28" s="71"/>
      <c r="R28" s="49">
        <f t="shared" si="16"/>
        <v>0</v>
      </c>
      <c r="S28" s="49">
        <f>[1]BASE!A26</f>
        <v>17</v>
      </c>
      <c r="T28" s="69">
        <f t="shared" si="1"/>
        <v>0</v>
      </c>
      <c r="U28" s="69">
        <f t="shared" si="2"/>
        <v>0</v>
      </c>
      <c r="V28" s="69">
        <f t="shared" si="3"/>
        <v>0</v>
      </c>
      <c r="W28" s="69">
        <f t="shared" si="4"/>
        <v>0</v>
      </c>
      <c r="X28" s="69">
        <f t="shared" si="5"/>
        <v>0</v>
      </c>
    </row>
    <row r="29" spans="1:24" ht="18.75" customHeight="1">
      <c r="A29" s="68" t="str">
        <f>IF(BASE!B27="","",BASE!B27)</f>
        <v>21MEL131</v>
      </c>
      <c r="B29" s="49" t="s">
        <v>2</v>
      </c>
      <c r="C29" s="69">
        <f t="shared" si="6"/>
        <v>0</v>
      </c>
      <c r="D29" s="69">
        <f t="shared" si="7"/>
        <v>0</v>
      </c>
      <c r="E29" s="69">
        <f t="shared" si="8"/>
        <v>0</v>
      </c>
      <c r="F29" s="69">
        <f t="shared" si="9"/>
        <v>0</v>
      </c>
      <c r="G29" s="69">
        <f t="shared" si="10"/>
        <v>0</v>
      </c>
      <c r="H29" s="70"/>
      <c r="I29" s="69"/>
      <c r="J29" s="69">
        <f t="shared" si="11"/>
        <v>0</v>
      </c>
      <c r="K29" s="69">
        <f t="shared" si="12"/>
        <v>0</v>
      </c>
      <c r="L29" s="69">
        <f t="shared" si="13"/>
        <v>0</v>
      </c>
      <c r="M29" s="69">
        <f t="shared" si="14"/>
        <v>0</v>
      </c>
      <c r="N29" s="69">
        <f t="shared" si="15"/>
        <v>0</v>
      </c>
      <c r="O29" s="70"/>
      <c r="P29" s="69"/>
      <c r="Q29" s="71"/>
      <c r="R29" s="49">
        <f t="shared" si="16"/>
        <v>0</v>
      </c>
      <c r="S29" s="49">
        <f>[1]BASE!A27</f>
        <v>18</v>
      </c>
      <c r="T29" s="69">
        <f t="shared" si="1"/>
        <v>0</v>
      </c>
      <c r="U29" s="69">
        <f t="shared" si="2"/>
        <v>0</v>
      </c>
      <c r="V29" s="69">
        <f t="shared" si="3"/>
        <v>0</v>
      </c>
      <c r="W29" s="69">
        <f t="shared" si="4"/>
        <v>0</v>
      </c>
      <c r="X29" s="69">
        <f t="shared" si="5"/>
        <v>0</v>
      </c>
    </row>
    <row r="30" spans="1:24" ht="18.75" customHeight="1">
      <c r="A30" s="68" t="str">
        <f>IF(BASE!B28="","",BASE!B28)</f>
        <v>21MER051</v>
      </c>
      <c r="B30" s="49" t="s">
        <v>2</v>
      </c>
      <c r="C30" s="69">
        <f t="shared" si="6"/>
        <v>0</v>
      </c>
      <c r="D30" s="69">
        <f t="shared" si="7"/>
        <v>0</v>
      </c>
      <c r="E30" s="69">
        <f t="shared" si="8"/>
        <v>0</v>
      </c>
      <c r="F30" s="69">
        <f t="shared" si="9"/>
        <v>0</v>
      </c>
      <c r="G30" s="69">
        <f t="shared" si="10"/>
        <v>0</v>
      </c>
      <c r="H30" s="70"/>
      <c r="I30" s="69"/>
      <c r="J30" s="69">
        <f t="shared" si="11"/>
        <v>0</v>
      </c>
      <c r="K30" s="69">
        <f t="shared" si="12"/>
        <v>0</v>
      </c>
      <c r="L30" s="69">
        <f t="shared" si="13"/>
        <v>0</v>
      </c>
      <c r="M30" s="69">
        <f t="shared" si="14"/>
        <v>0</v>
      </c>
      <c r="N30" s="69">
        <f t="shared" si="15"/>
        <v>0</v>
      </c>
      <c r="O30" s="70"/>
      <c r="P30" s="69"/>
      <c r="Q30" s="71"/>
      <c r="R30" s="49">
        <f t="shared" si="16"/>
        <v>0</v>
      </c>
      <c r="S30" s="49">
        <f>[1]BASE!A28</f>
        <v>19</v>
      </c>
      <c r="T30" s="69">
        <f t="shared" si="1"/>
        <v>0</v>
      </c>
      <c r="U30" s="69">
        <f t="shared" si="2"/>
        <v>0</v>
      </c>
      <c r="V30" s="69">
        <f t="shared" si="3"/>
        <v>0</v>
      </c>
      <c r="W30" s="69">
        <f t="shared" si="4"/>
        <v>0</v>
      </c>
      <c r="X30" s="69">
        <f t="shared" si="5"/>
        <v>0</v>
      </c>
    </row>
    <row r="31" spans="1:24" ht="18.75" customHeight="1">
      <c r="A31" s="68" t="str">
        <f>IF(BASE!B29="","",BASE!B29)</f>
        <v>21MER052</v>
      </c>
      <c r="B31" s="49" t="s">
        <v>2</v>
      </c>
      <c r="C31" s="69">
        <f t="shared" si="6"/>
        <v>0</v>
      </c>
      <c r="D31" s="69">
        <f t="shared" si="7"/>
        <v>0</v>
      </c>
      <c r="E31" s="69">
        <f t="shared" si="8"/>
        <v>0</v>
      </c>
      <c r="F31" s="69">
        <f t="shared" si="9"/>
        <v>0</v>
      </c>
      <c r="G31" s="69">
        <f t="shared" si="10"/>
        <v>0</v>
      </c>
      <c r="H31" s="70"/>
      <c r="I31" s="69"/>
      <c r="J31" s="69">
        <f t="shared" si="11"/>
        <v>0</v>
      </c>
      <c r="K31" s="69">
        <f t="shared" si="12"/>
        <v>0</v>
      </c>
      <c r="L31" s="69">
        <f t="shared" si="13"/>
        <v>0</v>
      </c>
      <c r="M31" s="69">
        <f t="shared" si="14"/>
        <v>0</v>
      </c>
      <c r="N31" s="69">
        <f t="shared" si="15"/>
        <v>0</v>
      </c>
      <c r="O31" s="70"/>
      <c r="P31" s="69"/>
      <c r="Q31" s="71"/>
      <c r="R31" s="49">
        <f t="shared" si="16"/>
        <v>0</v>
      </c>
      <c r="S31" s="49">
        <f>[1]BASE!A29</f>
        <v>20</v>
      </c>
      <c r="T31" s="69">
        <f t="shared" si="1"/>
        <v>0</v>
      </c>
      <c r="U31" s="69">
        <f t="shared" si="2"/>
        <v>0</v>
      </c>
      <c r="V31" s="69">
        <f t="shared" si="3"/>
        <v>0</v>
      </c>
      <c r="W31" s="69">
        <f t="shared" si="4"/>
        <v>0</v>
      </c>
      <c r="X31" s="69">
        <f t="shared" si="5"/>
        <v>0</v>
      </c>
    </row>
    <row r="32" spans="1:24" ht="18.75" customHeight="1">
      <c r="A32" s="68" t="str">
        <f>IF(BASE!B30="","",BASE!B30)</f>
        <v>21MER053</v>
      </c>
      <c r="B32" s="49" t="s">
        <v>2</v>
      </c>
      <c r="C32" s="69">
        <f t="shared" si="6"/>
        <v>0</v>
      </c>
      <c r="D32" s="69">
        <f t="shared" si="7"/>
        <v>0</v>
      </c>
      <c r="E32" s="69">
        <f t="shared" si="8"/>
        <v>0</v>
      </c>
      <c r="F32" s="69">
        <f t="shared" si="9"/>
        <v>0</v>
      </c>
      <c r="G32" s="69">
        <f t="shared" si="10"/>
        <v>0</v>
      </c>
      <c r="H32" s="70"/>
      <c r="I32" s="69"/>
      <c r="J32" s="69">
        <f t="shared" si="11"/>
        <v>0</v>
      </c>
      <c r="K32" s="69">
        <f t="shared" si="12"/>
        <v>0</v>
      </c>
      <c r="L32" s="69">
        <f t="shared" si="13"/>
        <v>0</v>
      </c>
      <c r="M32" s="69">
        <f t="shared" si="14"/>
        <v>0</v>
      </c>
      <c r="N32" s="69">
        <f t="shared" si="15"/>
        <v>0</v>
      </c>
      <c r="O32" s="70"/>
      <c r="P32" s="69"/>
      <c r="Q32" s="71"/>
      <c r="R32" s="49">
        <f t="shared" si="16"/>
        <v>0</v>
      </c>
      <c r="S32" s="49">
        <f>[1]BASE!A30</f>
        <v>21</v>
      </c>
      <c r="T32" s="69">
        <f t="shared" si="1"/>
        <v>0</v>
      </c>
      <c r="U32" s="69">
        <f t="shared" si="2"/>
        <v>0</v>
      </c>
      <c r="V32" s="69">
        <f t="shared" si="3"/>
        <v>0</v>
      </c>
      <c r="W32" s="69">
        <f t="shared" si="4"/>
        <v>0</v>
      </c>
      <c r="X32" s="69">
        <f t="shared" si="5"/>
        <v>0</v>
      </c>
    </row>
    <row r="33" spans="1:24" ht="18.75" customHeight="1">
      <c r="A33" s="68" t="str">
        <f>IF(BASE!B31="","",BASE!B31)</f>
        <v>21MER054</v>
      </c>
      <c r="B33" s="49" t="s">
        <v>2</v>
      </c>
      <c r="C33" s="69">
        <f t="shared" si="6"/>
        <v>0</v>
      </c>
      <c r="D33" s="69">
        <f t="shared" si="7"/>
        <v>0</v>
      </c>
      <c r="E33" s="69">
        <f t="shared" si="8"/>
        <v>0</v>
      </c>
      <c r="F33" s="69">
        <f t="shared" si="9"/>
        <v>0</v>
      </c>
      <c r="G33" s="69">
        <f t="shared" si="10"/>
        <v>0</v>
      </c>
      <c r="H33" s="70"/>
      <c r="I33" s="69"/>
      <c r="J33" s="69">
        <f t="shared" si="11"/>
        <v>0</v>
      </c>
      <c r="K33" s="69">
        <f t="shared" si="12"/>
        <v>0</v>
      </c>
      <c r="L33" s="69">
        <f t="shared" si="13"/>
        <v>0</v>
      </c>
      <c r="M33" s="69">
        <f t="shared" si="14"/>
        <v>0</v>
      </c>
      <c r="N33" s="69">
        <f t="shared" si="15"/>
        <v>0</v>
      </c>
      <c r="O33" s="70"/>
      <c r="P33" s="69"/>
      <c r="Q33" s="71"/>
      <c r="R33" s="49">
        <f t="shared" si="16"/>
        <v>0</v>
      </c>
      <c r="S33" s="49">
        <f>[1]BASE!A31</f>
        <v>22</v>
      </c>
      <c r="T33" s="69">
        <f t="shared" si="1"/>
        <v>0</v>
      </c>
      <c r="U33" s="69">
        <f t="shared" si="2"/>
        <v>0</v>
      </c>
      <c r="V33" s="69">
        <f t="shared" si="3"/>
        <v>0</v>
      </c>
      <c r="W33" s="69">
        <f t="shared" si="4"/>
        <v>0</v>
      </c>
      <c r="X33" s="69">
        <f t="shared" si="5"/>
        <v>0</v>
      </c>
    </row>
    <row r="34" spans="1:24" ht="18.75" customHeight="1">
      <c r="A34" s="68" t="str">
        <f>IF(BASE!B32="","",BASE!B32)</f>
        <v>21MER055</v>
      </c>
      <c r="B34" s="49" t="s">
        <v>2</v>
      </c>
      <c r="C34" s="69">
        <f t="shared" si="6"/>
        <v>0</v>
      </c>
      <c r="D34" s="69">
        <f t="shared" si="7"/>
        <v>0</v>
      </c>
      <c r="E34" s="69">
        <f t="shared" si="8"/>
        <v>0</v>
      </c>
      <c r="F34" s="69">
        <f t="shared" si="9"/>
        <v>0</v>
      </c>
      <c r="G34" s="69">
        <f t="shared" si="10"/>
        <v>0</v>
      </c>
      <c r="H34" s="70"/>
      <c r="I34" s="69"/>
      <c r="J34" s="69">
        <f t="shared" si="11"/>
        <v>0</v>
      </c>
      <c r="K34" s="69">
        <f t="shared" si="12"/>
        <v>0</v>
      </c>
      <c r="L34" s="69">
        <f t="shared" si="13"/>
        <v>0</v>
      </c>
      <c r="M34" s="69">
        <f t="shared" si="14"/>
        <v>0</v>
      </c>
      <c r="N34" s="69">
        <f t="shared" si="15"/>
        <v>0</v>
      </c>
      <c r="O34" s="70"/>
      <c r="P34" s="69"/>
      <c r="Q34" s="71"/>
      <c r="R34" s="49">
        <f t="shared" si="16"/>
        <v>0</v>
      </c>
      <c r="S34" s="49">
        <f>[1]BASE!A32</f>
        <v>23</v>
      </c>
      <c r="T34" s="69">
        <f t="shared" si="1"/>
        <v>0</v>
      </c>
      <c r="U34" s="69">
        <f t="shared" si="2"/>
        <v>0</v>
      </c>
      <c r="V34" s="69">
        <f t="shared" si="3"/>
        <v>0</v>
      </c>
      <c r="W34" s="69">
        <f t="shared" si="4"/>
        <v>0</v>
      </c>
      <c r="X34" s="69">
        <f t="shared" si="5"/>
        <v>0</v>
      </c>
    </row>
    <row r="35" spans="1:24" ht="18.75" customHeight="1">
      <c r="A35" s="68" t="str">
        <f>IF(BASE!B33="","",BASE!B33)</f>
        <v>21MER056</v>
      </c>
      <c r="B35" s="49" t="s">
        <v>2</v>
      </c>
      <c r="C35" s="69">
        <f t="shared" si="6"/>
        <v>0</v>
      </c>
      <c r="D35" s="69">
        <f t="shared" si="7"/>
        <v>0</v>
      </c>
      <c r="E35" s="69">
        <f t="shared" si="8"/>
        <v>0</v>
      </c>
      <c r="F35" s="69">
        <f t="shared" si="9"/>
        <v>0</v>
      </c>
      <c r="G35" s="69">
        <f t="shared" si="10"/>
        <v>0</v>
      </c>
      <c r="H35" s="70"/>
      <c r="I35" s="69"/>
      <c r="J35" s="69">
        <f t="shared" si="11"/>
        <v>0</v>
      </c>
      <c r="K35" s="69">
        <f t="shared" si="12"/>
        <v>0</v>
      </c>
      <c r="L35" s="69">
        <f t="shared" si="13"/>
        <v>0</v>
      </c>
      <c r="M35" s="69">
        <f t="shared" si="14"/>
        <v>0</v>
      </c>
      <c r="N35" s="69">
        <f t="shared" si="15"/>
        <v>0</v>
      </c>
      <c r="O35" s="70"/>
      <c r="P35" s="69"/>
      <c r="Q35" s="71"/>
      <c r="R35" s="49">
        <f t="shared" si="16"/>
        <v>0</v>
      </c>
      <c r="S35" s="49">
        <f>[1]BASE!A33</f>
        <v>24</v>
      </c>
      <c r="T35" s="69">
        <f t="shared" si="1"/>
        <v>0</v>
      </c>
      <c r="U35" s="69">
        <f t="shared" si="2"/>
        <v>0</v>
      </c>
      <c r="V35" s="69">
        <f t="shared" si="3"/>
        <v>0</v>
      </c>
      <c r="W35" s="69">
        <f t="shared" si="4"/>
        <v>0</v>
      </c>
      <c r="X35" s="69">
        <f t="shared" si="5"/>
        <v>0</v>
      </c>
    </row>
    <row r="36" spans="1:24" ht="18.75" customHeight="1">
      <c r="A36" s="68" t="str">
        <f>IF(BASE!B34="","",BASE!B34)</f>
        <v>21MER057</v>
      </c>
      <c r="B36" s="49" t="s">
        <v>2</v>
      </c>
      <c r="C36" s="69">
        <f t="shared" si="6"/>
        <v>0</v>
      </c>
      <c r="D36" s="69">
        <f t="shared" si="7"/>
        <v>0</v>
      </c>
      <c r="E36" s="69">
        <f t="shared" si="8"/>
        <v>0</v>
      </c>
      <c r="F36" s="69">
        <f t="shared" si="9"/>
        <v>0</v>
      </c>
      <c r="G36" s="69">
        <f t="shared" si="10"/>
        <v>0</v>
      </c>
      <c r="H36" s="70"/>
      <c r="I36" s="69"/>
      <c r="J36" s="69">
        <f t="shared" si="11"/>
        <v>0</v>
      </c>
      <c r="K36" s="69">
        <f t="shared" si="12"/>
        <v>0</v>
      </c>
      <c r="L36" s="69">
        <f t="shared" si="13"/>
        <v>0</v>
      </c>
      <c r="M36" s="69">
        <f t="shared" si="14"/>
        <v>0</v>
      </c>
      <c r="N36" s="69">
        <f t="shared" si="15"/>
        <v>0</v>
      </c>
      <c r="O36" s="70"/>
      <c r="P36" s="69"/>
      <c r="Q36" s="71"/>
      <c r="R36" s="49">
        <f t="shared" si="16"/>
        <v>0</v>
      </c>
      <c r="S36" s="49">
        <f>[1]BASE!A34</f>
        <v>25</v>
      </c>
      <c r="T36" s="69">
        <f t="shared" si="1"/>
        <v>0</v>
      </c>
      <c r="U36" s="69">
        <f t="shared" si="2"/>
        <v>0</v>
      </c>
      <c r="V36" s="69">
        <f t="shared" si="3"/>
        <v>0</v>
      </c>
      <c r="W36" s="69">
        <f t="shared" si="4"/>
        <v>0</v>
      </c>
      <c r="X36" s="69">
        <f t="shared" si="5"/>
        <v>0</v>
      </c>
    </row>
    <row r="37" spans="1:24" ht="18.75" customHeight="1">
      <c r="A37" s="68" t="str">
        <f>IF(BASE!B35="","",BASE!B35)</f>
        <v>21MER059</v>
      </c>
      <c r="B37" s="49" t="s">
        <v>2</v>
      </c>
      <c r="C37" s="69">
        <f t="shared" si="6"/>
        <v>0</v>
      </c>
      <c r="D37" s="69">
        <f t="shared" si="7"/>
        <v>0</v>
      </c>
      <c r="E37" s="69">
        <f t="shared" si="8"/>
        <v>0</v>
      </c>
      <c r="F37" s="69">
        <f t="shared" si="9"/>
        <v>0</v>
      </c>
      <c r="G37" s="69">
        <f t="shared" si="10"/>
        <v>0</v>
      </c>
      <c r="H37" s="70"/>
      <c r="I37" s="69"/>
      <c r="J37" s="69">
        <f t="shared" si="11"/>
        <v>0</v>
      </c>
      <c r="K37" s="69">
        <f t="shared" si="12"/>
        <v>0</v>
      </c>
      <c r="L37" s="69">
        <f t="shared" si="13"/>
        <v>0</v>
      </c>
      <c r="M37" s="69">
        <f t="shared" si="14"/>
        <v>0</v>
      </c>
      <c r="N37" s="69">
        <f t="shared" si="15"/>
        <v>0</v>
      </c>
      <c r="O37" s="70"/>
      <c r="P37" s="69"/>
      <c r="Q37" s="71"/>
      <c r="R37" s="49">
        <f t="shared" si="16"/>
        <v>0</v>
      </c>
      <c r="S37" s="49">
        <f>[1]BASE!A35</f>
        <v>26</v>
      </c>
      <c r="T37" s="69">
        <f t="shared" si="1"/>
        <v>0</v>
      </c>
      <c r="U37" s="69">
        <f t="shared" si="2"/>
        <v>0</v>
      </c>
      <c r="V37" s="69">
        <f t="shared" si="3"/>
        <v>0</v>
      </c>
      <c r="W37" s="69">
        <f t="shared" si="4"/>
        <v>0</v>
      </c>
      <c r="X37" s="69">
        <f t="shared" si="5"/>
        <v>0</v>
      </c>
    </row>
    <row r="38" spans="1:24" ht="18.75" customHeight="1">
      <c r="A38" s="68" t="str">
        <f>IF(BASE!B36="","",BASE!B36)</f>
        <v>21MER060</v>
      </c>
      <c r="B38" s="49" t="s">
        <v>2</v>
      </c>
      <c r="C38" s="69">
        <f t="shared" si="6"/>
        <v>0</v>
      </c>
      <c r="D38" s="69">
        <f t="shared" si="7"/>
        <v>0</v>
      </c>
      <c r="E38" s="69">
        <f t="shared" si="8"/>
        <v>0</v>
      </c>
      <c r="F38" s="69">
        <f t="shared" si="9"/>
        <v>0</v>
      </c>
      <c r="G38" s="69">
        <f t="shared" si="10"/>
        <v>0</v>
      </c>
      <c r="H38" s="70"/>
      <c r="I38" s="69"/>
      <c r="J38" s="69">
        <f t="shared" si="11"/>
        <v>0</v>
      </c>
      <c r="K38" s="69">
        <f t="shared" si="12"/>
        <v>0</v>
      </c>
      <c r="L38" s="69">
        <f t="shared" si="13"/>
        <v>0</v>
      </c>
      <c r="M38" s="69">
        <f t="shared" si="14"/>
        <v>0</v>
      </c>
      <c r="N38" s="69">
        <f t="shared" si="15"/>
        <v>0</v>
      </c>
      <c r="O38" s="70"/>
      <c r="P38" s="69"/>
      <c r="Q38" s="71"/>
      <c r="R38" s="49">
        <f t="shared" si="16"/>
        <v>0</v>
      </c>
      <c r="S38" s="49">
        <f>[1]BASE!A36</f>
        <v>27</v>
      </c>
      <c r="T38" s="69">
        <f t="shared" si="1"/>
        <v>0</v>
      </c>
      <c r="U38" s="69">
        <f t="shared" si="2"/>
        <v>0</v>
      </c>
      <c r="V38" s="69">
        <f t="shared" si="3"/>
        <v>0</v>
      </c>
      <c r="W38" s="69">
        <f t="shared" si="4"/>
        <v>0</v>
      </c>
      <c r="X38" s="69">
        <f t="shared" si="5"/>
        <v>0</v>
      </c>
    </row>
    <row r="39" spans="1:24" ht="18.75" customHeight="1">
      <c r="A39" s="68" t="str">
        <f>IF(BASE!B37="","",BASE!B37)</f>
        <v>21MER061</v>
      </c>
      <c r="B39" s="49" t="s">
        <v>2</v>
      </c>
      <c r="C39" s="69">
        <f t="shared" si="6"/>
        <v>0</v>
      </c>
      <c r="D39" s="69">
        <f t="shared" si="7"/>
        <v>0</v>
      </c>
      <c r="E39" s="69">
        <f t="shared" si="8"/>
        <v>0</v>
      </c>
      <c r="F39" s="69">
        <f t="shared" si="9"/>
        <v>0</v>
      </c>
      <c r="G39" s="69">
        <f t="shared" si="10"/>
        <v>0</v>
      </c>
      <c r="H39" s="70"/>
      <c r="I39" s="69"/>
      <c r="J39" s="69">
        <f t="shared" si="11"/>
        <v>0</v>
      </c>
      <c r="K39" s="69">
        <f t="shared" si="12"/>
        <v>0</v>
      </c>
      <c r="L39" s="69">
        <f t="shared" si="13"/>
        <v>0</v>
      </c>
      <c r="M39" s="69">
        <f t="shared" si="14"/>
        <v>0</v>
      </c>
      <c r="N39" s="69">
        <f t="shared" si="15"/>
        <v>0</v>
      </c>
      <c r="O39" s="70"/>
      <c r="P39" s="69"/>
      <c r="Q39" s="71"/>
      <c r="R39" s="49">
        <f t="shared" si="16"/>
        <v>0</v>
      </c>
      <c r="S39" s="49">
        <f>[1]BASE!A37</f>
        <v>28</v>
      </c>
      <c r="T39" s="69">
        <f t="shared" si="1"/>
        <v>0</v>
      </c>
      <c r="U39" s="69">
        <f t="shared" si="2"/>
        <v>0</v>
      </c>
      <c r="V39" s="69">
        <f t="shared" si="3"/>
        <v>0</v>
      </c>
      <c r="W39" s="69">
        <f t="shared" si="4"/>
        <v>0</v>
      </c>
      <c r="X39" s="69">
        <f t="shared" si="5"/>
        <v>0</v>
      </c>
    </row>
    <row r="40" spans="1:24" ht="18.75" customHeight="1">
      <c r="A40" s="68" t="str">
        <f>IF(BASE!B38="","",BASE!B38)</f>
        <v>21MER062</v>
      </c>
      <c r="B40" s="49" t="s">
        <v>2</v>
      </c>
      <c r="C40" s="69">
        <f t="shared" si="6"/>
        <v>0</v>
      </c>
      <c r="D40" s="69">
        <f t="shared" si="7"/>
        <v>0</v>
      </c>
      <c r="E40" s="69">
        <f t="shared" si="8"/>
        <v>0</v>
      </c>
      <c r="F40" s="69">
        <f t="shared" si="9"/>
        <v>0</v>
      </c>
      <c r="G40" s="69">
        <f t="shared" si="10"/>
        <v>0</v>
      </c>
      <c r="H40" s="70"/>
      <c r="I40" s="69"/>
      <c r="J40" s="69">
        <f t="shared" si="11"/>
        <v>0</v>
      </c>
      <c r="K40" s="69">
        <f t="shared" si="12"/>
        <v>0</v>
      </c>
      <c r="L40" s="69">
        <f t="shared" si="13"/>
        <v>0</v>
      </c>
      <c r="M40" s="69">
        <f t="shared" si="14"/>
        <v>0</v>
      </c>
      <c r="N40" s="69">
        <f t="shared" si="15"/>
        <v>0</v>
      </c>
      <c r="O40" s="70"/>
      <c r="P40" s="69"/>
      <c r="Q40" s="71"/>
      <c r="R40" s="49">
        <f t="shared" si="16"/>
        <v>0</v>
      </c>
      <c r="S40" s="49">
        <f>[1]BASE!A38</f>
        <v>29</v>
      </c>
      <c r="T40" s="69">
        <f t="shared" si="1"/>
        <v>0</v>
      </c>
      <c r="U40" s="69">
        <f t="shared" si="2"/>
        <v>0</v>
      </c>
      <c r="V40" s="69">
        <f t="shared" si="3"/>
        <v>0</v>
      </c>
      <c r="W40" s="69">
        <f t="shared" si="4"/>
        <v>0</v>
      </c>
      <c r="X40" s="69">
        <f t="shared" si="5"/>
        <v>0</v>
      </c>
    </row>
    <row r="41" spans="1:24" ht="18.75" customHeight="1">
      <c r="A41" s="68" t="str">
        <f>IF(BASE!B39="","",BASE!B39)</f>
        <v>21MER063</v>
      </c>
      <c r="B41" s="49" t="s">
        <v>2</v>
      </c>
      <c r="C41" s="69">
        <f t="shared" si="6"/>
        <v>0</v>
      </c>
      <c r="D41" s="69">
        <f t="shared" si="7"/>
        <v>0</v>
      </c>
      <c r="E41" s="69">
        <f t="shared" si="8"/>
        <v>0</v>
      </c>
      <c r="F41" s="69">
        <f t="shared" si="9"/>
        <v>0</v>
      </c>
      <c r="G41" s="69">
        <f t="shared" si="10"/>
        <v>0</v>
      </c>
      <c r="H41" s="70"/>
      <c r="I41" s="69"/>
      <c r="J41" s="69">
        <f t="shared" si="11"/>
        <v>0</v>
      </c>
      <c r="K41" s="69">
        <f t="shared" si="12"/>
        <v>0</v>
      </c>
      <c r="L41" s="69">
        <f t="shared" si="13"/>
        <v>0</v>
      </c>
      <c r="M41" s="69">
        <f t="shared" si="14"/>
        <v>0</v>
      </c>
      <c r="N41" s="69">
        <f t="shared" si="15"/>
        <v>0</v>
      </c>
      <c r="O41" s="70"/>
      <c r="P41" s="69"/>
      <c r="Q41" s="71"/>
      <c r="R41" s="49">
        <f t="shared" si="16"/>
        <v>0</v>
      </c>
      <c r="S41" s="49">
        <f>[1]BASE!A39</f>
        <v>30</v>
      </c>
      <c r="T41" s="69">
        <f t="shared" si="1"/>
        <v>0</v>
      </c>
      <c r="U41" s="69">
        <f t="shared" si="2"/>
        <v>0</v>
      </c>
      <c r="V41" s="69">
        <f t="shared" si="3"/>
        <v>0</v>
      </c>
      <c r="W41" s="69">
        <f t="shared" si="4"/>
        <v>0</v>
      </c>
      <c r="X41" s="69">
        <f t="shared" si="5"/>
        <v>0</v>
      </c>
    </row>
    <row r="42" spans="1:24" ht="18.75" customHeight="1">
      <c r="A42" s="68" t="str">
        <f>IF(BASE!B40="","",BASE!B40)</f>
        <v>21MER064</v>
      </c>
      <c r="B42" s="49" t="s">
        <v>2</v>
      </c>
      <c r="C42" s="69">
        <f t="shared" si="6"/>
        <v>0</v>
      </c>
      <c r="D42" s="69">
        <f t="shared" si="7"/>
        <v>0</v>
      </c>
      <c r="E42" s="69">
        <f t="shared" si="8"/>
        <v>0</v>
      </c>
      <c r="F42" s="69">
        <f t="shared" si="9"/>
        <v>0</v>
      </c>
      <c r="G42" s="69">
        <f t="shared" si="10"/>
        <v>0</v>
      </c>
      <c r="H42" s="70"/>
      <c r="I42" s="69"/>
      <c r="J42" s="69">
        <f t="shared" si="11"/>
        <v>0</v>
      </c>
      <c r="K42" s="69">
        <f t="shared" si="12"/>
        <v>0</v>
      </c>
      <c r="L42" s="69">
        <f t="shared" si="13"/>
        <v>0</v>
      </c>
      <c r="M42" s="69">
        <f t="shared" si="14"/>
        <v>0</v>
      </c>
      <c r="N42" s="69">
        <f t="shared" si="15"/>
        <v>0</v>
      </c>
      <c r="O42" s="70"/>
      <c r="P42" s="69"/>
      <c r="Q42" s="71"/>
      <c r="R42" s="49">
        <f t="shared" si="16"/>
        <v>0</v>
      </c>
      <c r="S42" s="49">
        <f>[1]BASE!A40</f>
        <v>31</v>
      </c>
      <c r="T42" s="69">
        <f t="shared" si="1"/>
        <v>0</v>
      </c>
      <c r="U42" s="69">
        <f t="shared" si="2"/>
        <v>0</v>
      </c>
      <c r="V42" s="69">
        <f t="shared" si="3"/>
        <v>0</v>
      </c>
      <c r="W42" s="69">
        <f t="shared" si="4"/>
        <v>0</v>
      </c>
      <c r="X42" s="69">
        <f t="shared" si="5"/>
        <v>0</v>
      </c>
    </row>
    <row r="43" spans="1:24" ht="18.75" customHeight="1">
      <c r="A43" s="68" t="str">
        <f>IF(BASE!B41="","",BASE!B41)</f>
        <v>21MER065</v>
      </c>
      <c r="B43" s="49" t="s">
        <v>2</v>
      </c>
      <c r="C43" s="69">
        <f t="shared" si="6"/>
        <v>0</v>
      </c>
      <c r="D43" s="69">
        <f t="shared" si="7"/>
        <v>0</v>
      </c>
      <c r="E43" s="69">
        <f t="shared" si="8"/>
        <v>0</v>
      </c>
      <c r="F43" s="69">
        <f t="shared" si="9"/>
        <v>0</v>
      </c>
      <c r="G43" s="69">
        <f t="shared" si="10"/>
        <v>0</v>
      </c>
      <c r="H43" s="70"/>
      <c r="I43" s="69"/>
      <c r="J43" s="69">
        <f t="shared" si="11"/>
        <v>0</v>
      </c>
      <c r="K43" s="69">
        <f t="shared" si="12"/>
        <v>0</v>
      </c>
      <c r="L43" s="69">
        <f t="shared" si="13"/>
        <v>0</v>
      </c>
      <c r="M43" s="69">
        <f t="shared" si="14"/>
        <v>0</v>
      </c>
      <c r="N43" s="69">
        <f t="shared" si="15"/>
        <v>0</v>
      </c>
      <c r="O43" s="70"/>
      <c r="P43" s="69"/>
      <c r="Q43" s="71"/>
      <c r="R43" s="49">
        <f t="shared" si="16"/>
        <v>0</v>
      </c>
      <c r="S43" s="49">
        <f>[1]BASE!A41</f>
        <v>32</v>
      </c>
      <c r="T43" s="69">
        <f t="shared" si="1"/>
        <v>0</v>
      </c>
      <c r="U43" s="69">
        <f t="shared" si="2"/>
        <v>0</v>
      </c>
      <c r="V43" s="69">
        <f t="shared" si="3"/>
        <v>0</v>
      </c>
      <c r="W43" s="69">
        <f t="shared" si="4"/>
        <v>0</v>
      </c>
      <c r="X43" s="69">
        <f t="shared" si="5"/>
        <v>0</v>
      </c>
    </row>
    <row r="44" spans="1:24" ht="18.75" customHeight="1">
      <c r="A44" s="68" t="str">
        <f>IF(BASE!B42="","",BASE!B42)</f>
        <v>21MER066</v>
      </c>
      <c r="B44" s="49" t="s">
        <v>2</v>
      </c>
      <c r="C44" s="69">
        <f t="shared" si="6"/>
        <v>0</v>
      </c>
      <c r="D44" s="69">
        <f t="shared" si="7"/>
        <v>0</v>
      </c>
      <c r="E44" s="69">
        <f t="shared" si="8"/>
        <v>0</v>
      </c>
      <c r="F44" s="69">
        <f t="shared" si="9"/>
        <v>0</v>
      </c>
      <c r="G44" s="69">
        <f t="shared" si="10"/>
        <v>0</v>
      </c>
      <c r="H44" s="70"/>
      <c r="I44" s="69"/>
      <c r="J44" s="69">
        <f t="shared" si="11"/>
        <v>0</v>
      </c>
      <c r="K44" s="69">
        <f t="shared" si="12"/>
        <v>0</v>
      </c>
      <c r="L44" s="69">
        <f t="shared" si="13"/>
        <v>0</v>
      </c>
      <c r="M44" s="69">
        <f t="shared" si="14"/>
        <v>0</v>
      </c>
      <c r="N44" s="69">
        <f t="shared" si="15"/>
        <v>0</v>
      </c>
      <c r="O44" s="70"/>
      <c r="P44" s="69"/>
      <c r="Q44" s="71"/>
      <c r="R44" s="49">
        <f t="shared" si="16"/>
        <v>0</v>
      </c>
      <c r="S44" s="49">
        <f>[1]BASE!A42</f>
        <v>33</v>
      </c>
      <c r="T44" s="69">
        <f t="shared" si="1"/>
        <v>0</v>
      </c>
      <c r="U44" s="69">
        <f t="shared" si="2"/>
        <v>0</v>
      </c>
      <c r="V44" s="69">
        <f t="shared" si="3"/>
        <v>0</v>
      </c>
      <c r="W44" s="69">
        <f t="shared" si="4"/>
        <v>0</v>
      </c>
      <c r="X44" s="69">
        <f t="shared" si="5"/>
        <v>0</v>
      </c>
    </row>
    <row r="45" spans="1:24" ht="18.75" customHeight="1">
      <c r="A45" s="68" t="str">
        <f>IF(BASE!B43="","",BASE!B43)</f>
        <v>21MER067</v>
      </c>
      <c r="B45" s="49" t="s">
        <v>2</v>
      </c>
      <c r="C45" s="69">
        <f t="shared" si="6"/>
        <v>0</v>
      </c>
      <c r="D45" s="69">
        <f t="shared" si="7"/>
        <v>0</v>
      </c>
      <c r="E45" s="69">
        <f t="shared" si="8"/>
        <v>0</v>
      </c>
      <c r="F45" s="69">
        <f t="shared" si="9"/>
        <v>0</v>
      </c>
      <c r="G45" s="69">
        <f t="shared" si="10"/>
        <v>0</v>
      </c>
      <c r="H45" s="70"/>
      <c r="I45" s="69"/>
      <c r="J45" s="69">
        <f t="shared" si="11"/>
        <v>0</v>
      </c>
      <c r="K45" s="69">
        <f t="shared" si="12"/>
        <v>0</v>
      </c>
      <c r="L45" s="69">
        <f t="shared" si="13"/>
        <v>0</v>
      </c>
      <c r="M45" s="69">
        <f t="shared" si="14"/>
        <v>0</v>
      </c>
      <c r="N45" s="69">
        <f t="shared" si="15"/>
        <v>0</v>
      </c>
      <c r="O45" s="70"/>
      <c r="P45" s="69"/>
      <c r="Q45" s="71"/>
      <c r="R45" s="49">
        <f t="shared" si="16"/>
        <v>0</v>
      </c>
      <c r="S45" s="49">
        <f>[1]BASE!A43</f>
        <v>34</v>
      </c>
      <c r="T45" s="69">
        <f t="shared" si="1"/>
        <v>0</v>
      </c>
      <c r="U45" s="69">
        <f t="shared" si="2"/>
        <v>0</v>
      </c>
      <c r="V45" s="69">
        <f t="shared" si="3"/>
        <v>0</v>
      </c>
      <c r="W45" s="69">
        <f t="shared" si="4"/>
        <v>0</v>
      </c>
      <c r="X45" s="69">
        <f t="shared" si="5"/>
        <v>0</v>
      </c>
    </row>
    <row r="46" spans="1:24" ht="18.75" customHeight="1">
      <c r="A46" s="68" t="str">
        <f>IF(BASE!B44="","",BASE!B44)</f>
        <v>21MER068</v>
      </c>
      <c r="B46" s="49" t="s">
        <v>2</v>
      </c>
      <c r="C46" s="69">
        <f t="shared" si="6"/>
        <v>0</v>
      </c>
      <c r="D46" s="69">
        <f t="shared" si="7"/>
        <v>0</v>
      </c>
      <c r="E46" s="69">
        <f t="shared" si="8"/>
        <v>0</v>
      </c>
      <c r="F46" s="69">
        <f t="shared" si="9"/>
        <v>0</v>
      </c>
      <c r="G46" s="69">
        <f t="shared" si="10"/>
        <v>0</v>
      </c>
      <c r="H46" s="70"/>
      <c r="I46" s="69"/>
      <c r="J46" s="69">
        <f t="shared" si="11"/>
        <v>0</v>
      </c>
      <c r="K46" s="69">
        <f t="shared" si="12"/>
        <v>0</v>
      </c>
      <c r="L46" s="69">
        <f t="shared" si="13"/>
        <v>0</v>
      </c>
      <c r="M46" s="69">
        <f t="shared" si="14"/>
        <v>0</v>
      </c>
      <c r="N46" s="69">
        <f t="shared" si="15"/>
        <v>0</v>
      </c>
      <c r="O46" s="70"/>
      <c r="P46" s="69"/>
      <c r="Q46" s="71"/>
      <c r="R46" s="49">
        <f t="shared" si="16"/>
        <v>0</v>
      </c>
      <c r="S46" s="49">
        <f>[1]BASE!A44</f>
        <v>35</v>
      </c>
      <c r="T46" s="69">
        <f t="shared" si="1"/>
        <v>0</v>
      </c>
      <c r="U46" s="69">
        <f t="shared" si="2"/>
        <v>0</v>
      </c>
      <c r="V46" s="69">
        <f t="shared" si="3"/>
        <v>0</v>
      </c>
      <c r="W46" s="69">
        <f t="shared" si="4"/>
        <v>0</v>
      </c>
      <c r="X46" s="69">
        <f t="shared" si="5"/>
        <v>0</v>
      </c>
    </row>
    <row r="47" spans="1:24" ht="18.75" customHeight="1">
      <c r="A47" s="68" t="str">
        <f>IF(BASE!B45="","",BASE!B45)</f>
        <v>21MER069</v>
      </c>
      <c r="B47" s="49" t="s">
        <v>2</v>
      </c>
      <c r="C47" s="69">
        <f t="shared" si="6"/>
        <v>0</v>
      </c>
      <c r="D47" s="69">
        <f t="shared" si="7"/>
        <v>0</v>
      </c>
      <c r="E47" s="69">
        <f t="shared" si="8"/>
        <v>0</v>
      </c>
      <c r="F47" s="69">
        <f t="shared" si="9"/>
        <v>0</v>
      </c>
      <c r="G47" s="69">
        <f t="shared" si="10"/>
        <v>0</v>
      </c>
      <c r="H47" s="70"/>
      <c r="I47" s="69"/>
      <c r="J47" s="69">
        <f t="shared" si="11"/>
        <v>0</v>
      </c>
      <c r="K47" s="69">
        <f t="shared" si="12"/>
        <v>0</v>
      </c>
      <c r="L47" s="69">
        <f t="shared" si="13"/>
        <v>0</v>
      </c>
      <c r="M47" s="69">
        <f t="shared" si="14"/>
        <v>0</v>
      </c>
      <c r="N47" s="69">
        <f t="shared" si="15"/>
        <v>0</v>
      </c>
      <c r="O47" s="70"/>
      <c r="P47" s="69"/>
      <c r="Q47" s="71"/>
      <c r="R47" s="49">
        <f t="shared" si="16"/>
        <v>0</v>
      </c>
      <c r="S47" s="49">
        <f>[1]BASE!A45</f>
        <v>36</v>
      </c>
      <c r="T47" s="69">
        <f t="shared" si="1"/>
        <v>0</v>
      </c>
      <c r="U47" s="69">
        <f t="shared" si="2"/>
        <v>0</v>
      </c>
      <c r="V47" s="69">
        <f t="shared" si="3"/>
        <v>0</v>
      </c>
      <c r="W47" s="69">
        <f t="shared" si="4"/>
        <v>0</v>
      </c>
      <c r="X47" s="69">
        <f t="shared" si="5"/>
        <v>0</v>
      </c>
    </row>
    <row r="48" spans="1:24" ht="18.75" customHeight="1">
      <c r="A48" s="68" t="str">
        <f>IF(BASE!B46="","",BASE!B46)</f>
        <v>21MER070</v>
      </c>
      <c r="B48" s="49" t="s">
        <v>2</v>
      </c>
      <c r="C48" s="69">
        <f t="shared" si="6"/>
        <v>0</v>
      </c>
      <c r="D48" s="69">
        <f t="shared" si="7"/>
        <v>0</v>
      </c>
      <c r="E48" s="69">
        <f t="shared" si="8"/>
        <v>0</v>
      </c>
      <c r="F48" s="69">
        <f t="shared" si="9"/>
        <v>0</v>
      </c>
      <c r="G48" s="69">
        <f t="shared" si="10"/>
        <v>0</v>
      </c>
      <c r="H48" s="70"/>
      <c r="I48" s="69"/>
      <c r="J48" s="69">
        <f t="shared" si="11"/>
        <v>0</v>
      </c>
      <c r="K48" s="69">
        <f t="shared" si="12"/>
        <v>0</v>
      </c>
      <c r="L48" s="69">
        <f t="shared" si="13"/>
        <v>0</v>
      </c>
      <c r="M48" s="69">
        <f t="shared" si="14"/>
        <v>0</v>
      </c>
      <c r="N48" s="69">
        <f t="shared" si="15"/>
        <v>0</v>
      </c>
      <c r="O48" s="70"/>
      <c r="P48" s="69"/>
      <c r="Q48" s="71"/>
      <c r="R48" s="49">
        <f t="shared" si="16"/>
        <v>0</v>
      </c>
      <c r="S48" s="49">
        <f>[1]BASE!A46</f>
        <v>37</v>
      </c>
      <c r="T48" s="69">
        <f t="shared" si="1"/>
        <v>0</v>
      </c>
      <c r="U48" s="69">
        <f t="shared" si="2"/>
        <v>0</v>
      </c>
      <c r="V48" s="69">
        <f t="shared" si="3"/>
        <v>0</v>
      </c>
      <c r="W48" s="69">
        <f t="shared" si="4"/>
        <v>0</v>
      </c>
      <c r="X48" s="69">
        <f t="shared" si="5"/>
        <v>0</v>
      </c>
    </row>
    <row r="49" spans="1:24" ht="18.75" customHeight="1">
      <c r="A49" s="68" t="str">
        <f>IF(BASE!B47="","",BASE!B47)</f>
        <v>21MER071</v>
      </c>
      <c r="B49" s="49" t="s">
        <v>2</v>
      </c>
      <c r="C49" s="69">
        <f t="shared" si="6"/>
        <v>0</v>
      </c>
      <c r="D49" s="69">
        <f t="shared" si="7"/>
        <v>0</v>
      </c>
      <c r="E49" s="69">
        <f t="shared" si="8"/>
        <v>0</v>
      </c>
      <c r="F49" s="69">
        <f t="shared" si="9"/>
        <v>0</v>
      </c>
      <c r="G49" s="69">
        <f t="shared" si="10"/>
        <v>0</v>
      </c>
      <c r="H49" s="70"/>
      <c r="I49" s="69"/>
      <c r="J49" s="69">
        <f t="shared" si="11"/>
        <v>0</v>
      </c>
      <c r="K49" s="69">
        <f t="shared" si="12"/>
        <v>0</v>
      </c>
      <c r="L49" s="69">
        <f t="shared" si="13"/>
        <v>0</v>
      </c>
      <c r="M49" s="69">
        <f t="shared" si="14"/>
        <v>0</v>
      </c>
      <c r="N49" s="69">
        <f t="shared" si="15"/>
        <v>0</v>
      </c>
      <c r="O49" s="70"/>
      <c r="P49" s="69"/>
      <c r="Q49" s="71"/>
      <c r="R49" s="49">
        <f t="shared" si="16"/>
        <v>0</v>
      </c>
      <c r="S49" s="49">
        <f>[1]BASE!A47</f>
        <v>38</v>
      </c>
      <c r="T49" s="69">
        <f t="shared" si="1"/>
        <v>0</v>
      </c>
      <c r="U49" s="69">
        <f t="shared" si="2"/>
        <v>0</v>
      </c>
      <c r="V49" s="69">
        <f t="shared" si="3"/>
        <v>0</v>
      </c>
      <c r="W49" s="69">
        <f t="shared" si="4"/>
        <v>0</v>
      </c>
      <c r="X49" s="69">
        <f t="shared" si="5"/>
        <v>0</v>
      </c>
    </row>
    <row r="50" spans="1:24" ht="18.75" customHeight="1">
      <c r="A50" s="68" t="str">
        <f>IF(BASE!B48="","",BASE!B48)</f>
        <v>21MER072</v>
      </c>
      <c r="B50" s="49" t="s">
        <v>2</v>
      </c>
      <c r="C50" s="69">
        <f t="shared" si="6"/>
        <v>0</v>
      </c>
      <c r="D50" s="69">
        <f t="shared" si="7"/>
        <v>0</v>
      </c>
      <c r="E50" s="69">
        <f t="shared" si="8"/>
        <v>0</v>
      </c>
      <c r="F50" s="69">
        <f t="shared" si="9"/>
        <v>0</v>
      </c>
      <c r="G50" s="69">
        <f t="shared" si="10"/>
        <v>0</v>
      </c>
      <c r="H50" s="70"/>
      <c r="I50" s="69"/>
      <c r="J50" s="69">
        <f t="shared" si="11"/>
        <v>0</v>
      </c>
      <c r="K50" s="69">
        <f t="shared" si="12"/>
        <v>0</v>
      </c>
      <c r="L50" s="69">
        <f t="shared" si="13"/>
        <v>0</v>
      </c>
      <c r="M50" s="69">
        <f t="shared" si="14"/>
        <v>0</v>
      </c>
      <c r="N50" s="69">
        <f t="shared" si="15"/>
        <v>0</v>
      </c>
      <c r="O50" s="70"/>
      <c r="P50" s="69"/>
      <c r="Q50" s="71"/>
      <c r="R50" s="49">
        <f t="shared" si="16"/>
        <v>0</v>
      </c>
      <c r="S50" s="49">
        <f>[1]BASE!A48</f>
        <v>39</v>
      </c>
      <c r="T50" s="69">
        <f t="shared" si="1"/>
        <v>0</v>
      </c>
      <c r="U50" s="69">
        <f t="shared" si="2"/>
        <v>0</v>
      </c>
      <c r="V50" s="69">
        <f t="shared" si="3"/>
        <v>0</v>
      </c>
      <c r="W50" s="69">
        <f t="shared" si="4"/>
        <v>0</v>
      </c>
      <c r="X50" s="69">
        <f t="shared" si="5"/>
        <v>0</v>
      </c>
    </row>
    <row r="51" spans="1:24" ht="18.75" customHeight="1">
      <c r="A51" s="68" t="str">
        <f>IF(BASE!B49="","",BASE!B49)</f>
        <v>21MER073</v>
      </c>
      <c r="B51" s="49" t="s">
        <v>2</v>
      </c>
      <c r="C51" s="69">
        <f t="shared" si="6"/>
        <v>0</v>
      </c>
      <c r="D51" s="69">
        <f t="shared" si="7"/>
        <v>0</v>
      </c>
      <c r="E51" s="69">
        <f t="shared" si="8"/>
        <v>0</v>
      </c>
      <c r="F51" s="69">
        <f t="shared" si="9"/>
        <v>0</v>
      </c>
      <c r="G51" s="69">
        <f t="shared" si="10"/>
        <v>0</v>
      </c>
      <c r="H51" s="70"/>
      <c r="I51" s="69"/>
      <c r="J51" s="69">
        <f t="shared" si="11"/>
        <v>0</v>
      </c>
      <c r="K51" s="69">
        <f t="shared" si="12"/>
        <v>0</v>
      </c>
      <c r="L51" s="69">
        <f t="shared" si="13"/>
        <v>0</v>
      </c>
      <c r="M51" s="69">
        <f t="shared" si="14"/>
        <v>0</v>
      </c>
      <c r="N51" s="69">
        <f t="shared" si="15"/>
        <v>0</v>
      </c>
      <c r="O51" s="70"/>
      <c r="P51" s="69"/>
      <c r="Q51" s="71"/>
      <c r="R51" s="49">
        <f t="shared" si="16"/>
        <v>0</v>
      </c>
      <c r="S51" s="49">
        <f>[1]BASE!A49</f>
        <v>40</v>
      </c>
      <c r="T51" s="69">
        <f t="shared" si="1"/>
        <v>0</v>
      </c>
      <c r="U51" s="69">
        <f t="shared" si="2"/>
        <v>0</v>
      </c>
      <c r="V51" s="69">
        <f t="shared" si="3"/>
        <v>0</v>
      </c>
      <c r="W51" s="69">
        <f t="shared" si="4"/>
        <v>0</v>
      </c>
      <c r="X51" s="69">
        <f t="shared" si="5"/>
        <v>0</v>
      </c>
    </row>
    <row r="52" spans="1:24" ht="18.75" customHeight="1">
      <c r="A52" s="68" t="str">
        <f>IF(BASE!B50="","",BASE!B50)</f>
        <v>21MER074</v>
      </c>
      <c r="B52" s="49" t="s">
        <v>2</v>
      </c>
      <c r="C52" s="69">
        <f t="shared" si="6"/>
        <v>0</v>
      </c>
      <c r="D52" s="69">
        <f t="shared" si="7"/>
        <v>0</v>
      </c>
      <c r="E52" s="69">
        <f t="shared" si="8"/>
        <v>0</v>
      </c>
      <c r="F52" s="69">
        <f t="shared" si="9"/>
        <v>0</v>
      </c>
      <c r="G52" s="69">
        <f t="shared" si="10"/>
        <v>0</v>
      </c>
      <c r="H52" s="70"/>
      <c r="I52" s="69"/>
      <c r="J52" s="69">
        <f t="shared" si="11"/>
        <v>0</v>
      </c>
      <c r="K52" s="69">
        <f t="shared" si="12"/>
        <v>0</v>
      </c>
      <c r="L52" s="69">
        <f t="shared" si="13"/>
        <v>0</v>
      </c>
      <c r="M52" s="69">
        <f t="shared" si="14"/>
        <v>0</v>
      </c>
      <c r="N52" s="69">
        <f t="shared" si="15"/>
        <v>0</v>
      </c>
      <c r="O52" s="70"/>
      <c r="P52" s="69"/>
      <c r="Q52" s="71"/>
      <c r="R52" s="49">
        <f t="shared" si="16"/>
        <v>0</v>
      </c>
      <c r="S52" s="49">
        <f>[1]BASE!A50</f>
        <v>41</v>
      </c>
      <c r="T52" s="69">
        <f t="shared" si="1"/>
        <v>0</v>
      </c>
      <c r="U52" s="69">
        <f t="shared" si="2"/>
        <v>0</v>
      </c>
      <c r="V52" s="69">
        <f t="shared" si="3"/>
        <v>0</v>
      </c>
      <c r="W52" s="69">
        <f t="shared" si="4"/>
        <v>0</v>
      </c>
      <c r="X52" s="69">
        <f t="shared" si="5"/>
        <v>0</v>
      </c>
    </row>
    <row r="53" spans="1:24" ht="18.75" customHeight="1">
      <c r="A53" s="68" t="str">
        <f>IF(BASE!B51="","",BASE!B51)</f>
        <v>21MER075</v>
      </c>
      <c r="B53" s="49" t="s">
        <v>2</v>
      </c>
      <c r="C53" s="69">
        <f t="shared" si="6"/>
        <v>0</v>
      </c>
      <c r="D53" s="69">
        <f t="shared" si="7"/>
        <v>0</v>
      </c>
      <c r="E53" s="69">
        <f t="shared" si="8"/>
        <v>0</v>
      </c>
      <c r="F53" s="69">
        <f t="shared" si="9"/>
        <v>0</v>
      </c>
      <c r="G53" s="69">
        <f t="shared" si="10"/>
        <v>0</v>
      </c>
      <c r="H53" s="70"/>
      <c r="I53" s="69"/>
      <c r="J53" s="69">
        <f t="shared" si="11"/>
        <v>0</v>
      </c>
      <c r="K53" s="69">
        <f t="shared" si="12"/>
        <v>0</v>
      </c>
      <c r="L53" s="69">
        <f t="shared" si="13"/>
        <v>0</v>
      </c>
      <c r="M53" s="69">
        <f t="shared" si="14"/>
        <v>0</v>
      </c>
      <c r="N53" s="69">
        <f t="shared" si="15"/>
        <v>0</v>
      </c>
      <c r="O53" s="70"/>
      <c r="P53" s="69"/>
      <c r="Q53" s="71"/>
      <c r="R53" s="49">
        <f t="shared" si="16"/>
        <v>0</v>
      </c>
      <c r="S53" s="49">
        <f>[1]BASE!A51</f>
        <v>42</v>
      </c>
      <c r="T53" s="69">
        <f t="shared" si="1"/>
        <v>0</v>
      </c>
      <c r="U53" s="69">
        <f t="shared" si="2"/>
        <v>0</v>
      </c>
      <c r="V53" s="69">
        <f t="shared" si="3"/>
        <v>0</v>
      </c>
      <c r="W53" s="69">
        <f t="shared" si="4"/>
        <v>0</v>
      </c>
      <c r="X53" s="69">
        <f t="shared" si="5"/>
        <v>0</v>
      </c>
    </row>
    <row r="54" spans="1:24" ht="18.75" customHeight="1">
      <c r="A54" s="68" t="str">
        <f>IF(BASE!B52="","",BASE!B52)</f>
        <v>21MER076</v>
      </c>
      <c r="B54" s="49" t="s">
        <v>2</v>
      </c>
      <c r="C54" s="69">
        <f t="shared" si="6"/>
        <v>0</v>
      </c>
      <c r="D54" s="69">
        <f t="shared" si="7"/>
        <v>0</v>
      </c>
      <c r="E54" s="69">
        <f t="shared" si="8"/>
        <v>0</v>
      </c>
      <c r="F54" s="69">
        <f t="shared" si="9"/>
        <v>0</v>
      </c>
      <c r="G54" s="69">
        <f t="shared" si="10"/>
        <v>0</v>
      </c>
      <c r="H54" s="70"/>
      <c r="I54" s="69"/>
      <c r="J54" s="69">
        <f t="shared" si="11"/>
        <v>0</v>
      </c>
      <c r="K54" s="69">
        <f t="shared" si="12"/>
        <v>0</v>
      </c>
      <c r="L54" s="69">
        <f t="shared" si="13"/>
        <v>0</v>
      </c>
      <c r="M54" s="69">
        <f t="shared" si="14"/>
        <v>0</v>
      </c>
      <c r="N54" s="69">
        <f t="shared" si="15"/>
        <v>0</v>
      </c>
      <c r="O54" s="70"/>
      <c r="P54" s="69"/>
      <c r="Q54" s="71"/>
      <c r="R54" s="49">
        <f t="shared" si="16"/>
        <v>0</v>
      </c>
      <c r="S54" s="49">
        <f>[1]BASE!A52</f>
        <v>43</v>
      </c>
      <c r="T54" s="69">
        <f t="shared" si="1"/>
        <v>0</v>
      </c>
      <c r="U54" s="69">
        <f t="shared" si="2"/>
        <v>0</v>
      </c>
      <c r="V54" s="69">
        <f t="shared" si="3"/>
        <v>0</v>
      </c>
      <c r="W54" s="69">
        <f t="shared" si="4"/>
        <v>0</v>
      </c>
      <c r="X54" s="69">
        <f t="shared" si="5"/>
        <v>0</v>
      </c>
    </row>
    <row r="55" spans="1:24" ht="18.75" customHeight="1">
      <c r="A55" s="68" t="str">
        <f>IF(BASE!B53="","",BASE!B53)</f>
        <v>21MER077</v>
      </c>
      <c r="B55" s="49" t="s">
        <v>2</v>
      </c>
      <c r="C55" s="69">
        <f t="shared" si="6"/>
        <v>0</v>
      </c>
      <c r="D55" s="69">
        <f t="shared" si="7"/>
        <v>0</v>
      </c>
      <c r="E55" s="69">
        <f t="shared" si="8"/>
        <v>0</v>
      </c>
      <c r="F55" s="69">
        <f t="shared" si="9"/>
        <v>0</v>
      </c>
      <c r="G55" s="69">
        <f t="shared" si="10"/>
        <v>0</v>
      </c>
      <c r="H55" s="70"/>
      <c r="I55" s="69"/>
      <c r="J55" s="69">
        <f t="shared" si="11"/>
        <v>0</v>
      </c>
      <c r="K55" s="69">
        <f t="shared" si="12"/>
        <v>0</v>
      </c>
      <c r="L55" s="69">
        <f t="shared" si="13"/>
        <v>0</v>
      </c>
      <c r="M55" s="69">
        <f t="shared" si="14"/>
        <v>0</v>
      </c>
      <c r="N55" s="69">
        <f t="shared" si="15"/>
        <v>0</v>
      </c>
      <c r="O55" s="70"/>
      <c r="P55" s="69"/>
      <c r="Q55" s="71"/>
      <c r="R55" s="49">
        <f t="shared" si="16"/>
        <v>0</v>
      </c>
      <c r="S55" s="49">
        <f>[1]BASE!A53</f>
        <v>44</v>
      </c>
      <c r="T55" s="69">
        <f t="shared" si="1"/>
        <v>0</v>
      </c>
      <c r="U55" s="69">
        <f t="shared" si="2"/>
        <v>0</v>
      </c>
      <c r="V55" s="69">
        <f t="shared" si="3"/>
        <v>0</v>
      </c>
      <c r="W55" s="69">
        <f t="shared" si="4"/>
        <v>0</v>
      </c>
      <c r="X55" s="69">
        <f t="shared" si="5"/>
        <v>0</v>
      </c>
    </row>
    <row r="56" spans="1:24" ht="18.75" customHeight="1">
      <c r="A56" s="68" t="str">
        <f>IF(BASE!B54="","",BASE!B54)</f>
        <v>21MER078</v>
      </c>
      <c r="B56" s="49" t="s">
        <v>2</v>
      </c>
      <c r="C56" s="69">
        <f t="shared" si="6"/>
        <v>0</v>
      </c>
      <c r="D56" s="69">
        <f t="shared" si="7"/>
        <v>0</v>
      </c>
      <c r="E56" s="69">
        <f t="shared" si="8"/>
        <v>0</v>
      </c>
      <c r="F56" s="69">
        <f t="shared" si="9"/>
        <v>0</v>
      </c>
      <c r="G56" s="69">
        <f t="shared" si="10"/>
        <v>0</v>
      </c>
      <c r="H56" s="70"/>
      <c r="I56" s="69"/>
      <c r="J56" s="69">
        <f t="shared" si="11"/>
        <v>0</v>
      </c>
      <c r="K56" s="69">
        <f t="shared" si="12"/>
        <v>0</v>
      </c>
      <c r="L56" s="69">
        <f t="shared" si="13"/>
        <v>0</v>
      </c>
      <c r="M56" s="69">
        <f t="shared" si="14"/>
        <v>0</v>
      </c>
      <c r="N56" s="69">
        <f t="shared" si="15"/>
        <v>0</v>
      </c>
      <c r="O56" s="70"/>
      <c r="P56" s="69"/>
      <c r="Q56" s="71"/>
      <c r="R56" s="49">
        <f t="shared" si="16"/>
        <v>0</v>
      </c>
      <c r="S56" s="49">
        <f>[1]BASE!A54</f>
        <v>45</v>
      </c>
      <c r="T56" s="69">
        <f t="shared" si="1"/>
        <v>0</v>
      </c>
      <c r="U56" s="69">
        <f t="shared" si="2"/>
        <v>0</v>
      </c>
      <c r="V56" s="69">
        <f t="shared" si="3"/>
        <v>0</v>
      </c>
      <c r="W56" s="69">
        <f t="shared" si="4"/>
        <v>0</v>
      </c>
      <c r="X56" s="69">
        <f t="shared" si="5"/>
        <v>0</v>
      </c>
    </row>
    <row r="57" spans="1:24" ht="18.75" customHeight="1">
      <c r="A57" s="68" t="str">
        <f>IF(BASE!B55="","",BASE!B55)</f>
        <v>21MER079</v>
      </c>
      <c r="B57" s="49" t="s">
        <v>2</v>
      </c>
      <c r="C57" s="69">
        <f t="shared" si="6"/>
        <v>0</v>
      </c>
      <c r="D57" s="69">
        <f t="shared" si="7"/>
        <v>0</v>
      </c>
      <c r="E57" s="69">
        <f t="shared" si="8"/>
        <v>0</v>
      </c>
      <c r="F57" s="69">
        <f t="shared" si="9"/>
        <v>0</v>
      </c>
      <c r="G57" s="69">
        <f t="shared" si="10"/>
        <v>0</v>
      </c>
      <c r="H57" s="70"/>
      <c r="I57" s="69"/>
      <c r="J57" s="69">
        <f t="shared" si="11"/>
        <v>0</v>
      </c>
      <c r="K57" s="69">
        <f t="shared" si="12"/>
        <v>0</v>
      </c>
      <c r="L57" s="69">
        <f t="shared" si="13"/>
        <v>0</v>
      </c>
      <c r="M57" s="69">
        <f t="shared" si="14"/>
        <v>0</v>
      </c>
      <c r="N57" s="69">
        <f t="shared" si="15"/>
        <v>0</v>
      </c>
      <c r="O57" s="70"/>
      <c r="P57" s="69"/>
      <c r="Q57" s="71"/>
      <c r="R57" s="49">
        <f t="shared" si="16"/>
        <v>0</v>
      </c>
      <c r="S57" s="49">
        <f>[1]BASE!A55</f>
        <v>46</v>
      </c>
      <c r="T57" s="69">
        <f t="shared" si="1"/>
        <v>0</v>
      </c>
      <c r="U57" s="69">
        <f t="shared" si="2"/>
        <v>0</v>
      </c>
      <c r="V57" s="69">
        <f t="shared" si="3"/>
        <v>0</v>
      </c>
      <c r="W57" s="69">
        <f t="shared" si="4"/>
        <v>0</v>
      </c>
      <c r="X57" s="69">
        <f t="shared" si="5"/>
        <v>0</v>
      </c>
    </row>
    <row r="58" spans="1:24" ht="18.75" customHeight="1">
      <c r="A58" s="68" t="str">
        <f>IF(BASE!B56="","",BASE!B56)</f>
        <v>21MER080</v>
      </c>
      <c r="B58" s="49" t="s">
        <v>2</v>
      </c>
      <c r="C58" s="69">
        <f t="shared" si="6"/>
        <v>0</v>
      </c>
      <c r="D58" s="69">
        <f t="shared" si="7"/>
        <v>0</v>
      </c>
      <c r="E58" s="69">
        <f t="shared" si="8"/>
        <v>0</v>
      </c>
      <c r="F58" s="69">
        <f t="shared" si="9"/>
        <v>0</v>
      </c>
      <c r="G58" s="69">
        <f t="shared" si="10"/>
        <v>0</v>
      </c>
      <c r="H58" s="70"/>
      <c r="I58" s="69"/>
      <c r="J58" s="69">
        <f t="shared" si="11"/>
        <v>0</v>
      </c>
      <c r="K58" s="69">
        <f t="shared" si="12"/>
        <v>0</v>
      </c>
      <c r="L58" s="69">
        <f t="shared" si="13"/>
        <v>0</v>
      </c>
      <c r="M58" s="69">
        <f t="shared" si="14"/>
        <v>0</v>
      </c>
      <c r="N58" s="69">
        <f t="shared" si="15"/>
        <v>0</v>
      </c>
      <c r="O58" s="70"/>
      <c r="P58" s="69"/>
      <c r="Q58" s="71"/>
      <c r="R58" s="49">
        <f t="shared" si="16"/>
        <v>0</v>
      </c>
      <c r="S58" s="49">
        <f>[1]BASE!A56</f>
        <v>47</v>
      </c>
      <c r="T58" s="69">
        <f t="shared" si="1"/>
        <v>0</v>
      </c>
      <c r="U58" s="69">
        <f t="shared" si="2"/>
        <v>0</v>
      </c>
      <c r="V58" s="69">
        <f t="shared" si="3"/>
        <v>0</v>
      </c>
      <c r="W58" s="69">
        <f t="shared" si="4"/>
        <v>0</v>
      </c>
      <c r="X58" s="69">
        <f t="shared" si="5"/>
        <v>0</v>
      </c>
    </row>
    <row r="59" spans="1:24" ht="18.75" customHeight="1">
      <c r="A59" s="68" t="str">
        <f>IF(BASE!B57="","",BASE!B57)</f>
        <v>21MER081</v>
      </c>
      <c r="B59" s="49" t="s">
        <v>2</v>
      </c>
      <c r="C59" s="69">
        <f t="shared" si="6"/>
        <v>0</v>
      </c>
      <c r="D59" s="69">
        <f t="shared" si="7"/>
        <v>0</v>
      </c>
      <c r="E59" s="69">
        <f t="shared" si="8"/>
        <v>0</v>
      </c>
      <c r="F59" s="69">
        <f t="shared" si="9"/>
        <v>0</v>
      </c>
      <c r="G59" s="69">
        <f t="shared" si="10"/>
        <v>0</v>
      </c>
      <c r="H59" s="70"/>
      <c r="I59" s="69"/>
      <c r="J59" s="69">
        <f t="shared" si="11"/>
        <v>0</v>
      </c>
      <c r="K59" s="69">
        <f t="shared" si="12"/>
        <v>0</v>
      </c>
      <c r="L59" s="69">
        <f t="shared" si="13"/>
        <v>0</v>
      </c>
      <c r="M59" s="69">
        <f t="shared" si="14"/>
        <v>0</v>
      </c>
      <c r="N59" s="69">
        <f t="shared" si="15"/>
        <v>0</v>
      </c>
      <c r="O59" s="70"/>
      <c r="P59" s="69"/>
      <c r="Q59" s="71"/>
      <c r="R59" s="49">
        <f t="shared" si="16"/>
        <v>0</v>
      </c>
      <c r="S59" s="49">
        <f>[1]BASE!A57</f>
        <v>48</v>
      </c>
      <c r="T59" s="69">
        <f t="shared" si="1"/>
        <v>0</v>
      </c>
      <c r="U59" s="69">
        <f t="shared" si="2"/>
        <v>0</v>
      </c>
      <c r="V59" s="69">
        <f t="shared" si="3"/>
        <v>0</v>
      </c>
      <c r="W59" s="69">
        <f t="shared" si="4"/>
        <v>0</v>
      </c>
      <c r="X59" s="69">
        <f t="shared" si="5"/>
        <v>0</v>
      </c>
    </row>
    <row r="60" spans="1:24" ht="18.75" customHeight="1">
      <c r="A60" s="68" t="str">
        <f>IF(BASE!B58="","",BASE!B58)</f>
        <v>21MER082</v>
      </c>
      <c r="B60" s="49" t="s">
        <v>2</v>
      </c>
      <c r="C60" s="69">
        <f t="shared" si="6"/>
        <v>0</v>
      </c>
      <c r="D60" s="69">
        <f t="shared" si="7"/>
        <v>0</v>
      </c>
      <c r="E60" s="69">
        <f t="shared" si="8"/>
        <v>0</v>
      </c>
      <c r="F60" s="69">
        <f t="shared" si="9"/>
        <v>0</v>
      </c>
      <c r="G60" s="69">
        <f t="shared" si="10"/>
        <v>0</v>
      </c>
      <c r="H60" s="70"/>
      <c r="I60" s="69"/>
      <c r="J60" s="69">
        <f t="shared" si="11"/>
        <v>0</v>
      </c>
      <c r="K60" s="69">
        <f t="shared" si="12"/>
        <v>0</v>
      </c>
      <c r="L60" s="69">
        <f t="shared" si="13"/>
        <v>0</v>
      </c>
      <c r="M60" s="69">
        <f t="shared" si="14"/>
        <v>0</v>
      </c>
      <c r="N60" s="69">
        <f t="shared" si="15"/>
        <v>0</v>
      </c>
      <c r="O60" s="70"/>
      <c r="P60" s="69"/>
      <c r="Q60" s="71"/>
      <c r="R60" s="49">
        <f t="shared" si="16"/>
        <v>0</v>
      </c>
      <c r="S60" s="49">
        <f>[1]BASE!A58</f>
        <v>49</v>
      </c>
      <c r="T60" s="69">
        <f t="shared" si="1"/>
        <v>0</v>
      </c>
      <c r="U60" s="69">
        <f t="shared" si="2"/>
        <v>0</v>
      </c>
      <c r="V60" s="69">
        <f t="shared" si="3"/>
        <v>0</v>
      </c>
      <c r="W60" s="69">
        <f t="shared" si="4"/>
        <v>0</v>
      </c>
      <c r="X60" s="69">
        <f t="shared" si="5"/>
        <v>0</v>
      </c>
    </row>
    <row r="61" spans="1:24" ht="18.75" customHeight="1">
      <c r="A61" s="68" t="str">
        <f>IF(BASE!B59="","",BASE!B59)</f>
        <v>21MER083</v>
      </c>
      <c r="B61" s="49" t="s">
        <v>2</v>
      </c>
      <c r="C61" s="69">
        <f t="shared" si="6"/>
        <v>0</v>
      </c>
      <c r="D61" s="69">
        <f t="shared" si="7"/>
        <v>0</v>
      </c>
      <c r="E61" s="69">
        <f t="shared" si="8"/>
        <v>0</v>
      </c>
      <c r="F61" s="69">
        <f t="shared" si="9"/>
        <v>0</v>
      </c>
      <c r="G61" s="69">
        <f t="shared" si="10"/>
        <v>0</v>
      </c>
      <c r="H61" s="70"/>
      <c r="I61" s="69"/>
      <c r="J61" s="69">
        <f t="shared" si="11"/>
        <v>0</v>
      </c>
      <c r="K61" s="69">
        <f t="shared" si="12"/>
        <v>0</v>
      </c>
      <c r="L61" s="69">
        <f t="shared" si="13"/>
        <v>0</v>
      </c>
      <c r="M61" s="69">
        <f t="shared" si="14"/>
        <v>0</v>
      </c>
      <c r="N61" s="69">
        <f t="shared" si="15"/>
        <v>0</v>
      </c>
      <c r="O61" s="70"/>
      <c r="P61" s="69"/>
      <c r="Q61" s="71"/>
      <c r="R61" s="49">
        <f t="shared" si="16"/>
        <v>0</v>
      </c>
      <c r="S61" s="49">
        <f>[1]BASE!A59</f>
        <v>50</v>
      </c>
      <c r="T61" s="69">
        <f t="shared" si="1"/>
        <v>0</v>
      </c>
      <c r="U61" s="69">
        <f t="shared" si="2"/>
        <v>0</v>
      </c>
      <c r="V61" s="69">
        <f t="shared" si="3"/>
        <v>0</v>
      </c>
      <c r="W61" s="69">
        <f t="shared" si="4"/>
        <v>0</v>
      </c>
      <c r="X61" s="69">
        <f t="shared" si="5"/>
        <v>0</v>
      </c>
    </row>
    <row r="62" spans="1:24" ht="18.75" customHeight="1">
      <c r="A62" s="68" t="str">
        <f>IF(BASE!B60="","",BASE!B60)</f>
        <v>21MER084</v>
      </c>
      <c r="B62" s="49" t="s">
        <v>2</v>
      </c>
      <c r="C62" s="69">
        <f t="shared" si="6"/>
        <v>0</v>
      </c>
      <c r="D62" s="69">
        <f t="shared" si="7"/>
        <v>0</v>
      </c>
      <c r="E62" s="69">
        <f t="shared" si="8"/>
        <v>0</v>
      </c>
      <c r="F62" s="69">
        <f t="shared" si="9"/>
        <v>0</v>
      </c>
      <c r="G62" s="69">
        <f t="shared" si="10"/>
        <v>0</v>
      </c>
      <c r="H62" s="70"/>
      <c r="I62" s="69"/>
      <c r="J62" s="69">
        <f t="shared" si="11"/>
        <v>0</v>
      </c>
      <c r="K62" s="69">
        <f t="shared" si="12"/>
        <v>0</v>
      </c>
      <c r="L62" s="69">
        <f t="shared" si="13"/>
        <v>0</v>
      </c>
      <c r="M62" s="69">
        <f t="shared" si="14"/>
        <v>0</v>
      </c>
      <c r="N62" s="69">
        <f t="shared" si="15"/>
        <v>0</v>
      </c>
      <c r="O62" s="70"/>
      <c r="P62" s="69"/>
      <c r="Q62" s="71"/>
      <c r="R62" s="49">
        <f t="shared" si="16"/>
        <v>0</v>
      </c>
      <c r="S62" s="49">
        <f>[1]BASE!A60</f>
        <v>51</v>
      </c>
      <c r="T62" s="69">
        <f t="shared" si="1"/>
        <v>0</v>
      </c>
      <c r="U62" s="69">
        <f t="shared" si="2"/>
        <v>0</v>
      </c>
      <c r="V62" s="69">
        <f t="shared" si="3"/>
        <v>0</v>
      </c>
      <c r="W62" s="69">
        <f t="shared" si="4"/>
        <v>0</v>
      </c>
      <c r="X62" s="69">
        <f t="shared" si="5"/>
        <v>0</v>
      </c>
    </row>
    <row r="63" spans="1:24" ht="18.75" customHeight="1">
      <c r="A63" s="68" t="str">
        <f>IF(BASE!B61="","",BASE!B61)</f>
        <v>21MER085</v>
      </c>
      <c r="B63" s="49" t="s">
        <v>2</v>
      </c>
      <c r="C63" s="69">
        <f t="shared" si="6"/>
        <v>0</v>
      </c>
      <c r="D63" s="69">
        <f t="shared" si="7"/>
        <v>0</v>
      </c>
      <c r="E63" s="69">
        <f t="shared" si="8"/>
        <v>0</v>
      </c>
      <c r="F63" s="69">
        <f t="shared" si="9"/>
        <v>0</v>
      </c>
      <c r="G63" s="69">
        <f t="shared" si="10"/>
        <v>0</v>
      </c>
      <c r="H63" s="70"/>
      <c r="I63" s="69"/>
      <c r="J63" s="69">
        <f t="shared" si="11"/>
        <v>0</v>
      </c>
      <c r="K63" s="69">
        <f t="shared" si="12"/>
        <v>0</v>
      </c>
      <c r="L63" s="69">
        <f t="shared" si="13"/>
        <v>0</v>
      </c>
      <c r="M63" s="69">
        <f t="shared" si="14"/>
        <v>0</v>
      </c>
      <c r="N63" s="69">
        <f t="shared" si="15"/>
        <v>0</v>
      </c>
      <c r="O63" s="70"/>
      <c r="P63" s="69"/>
      <c r="Q63" s="71"/>
      <c r="R63" s="49">
        <f t="shared" si="16"/>
        <v>0</v>
      </c>
      <c r="S63" s="49">
        <f>[1]BASE!A61</f>
        <v>52</v>
      </c>
      <c r="T63" s="69">
        <f t="shared" si="1"/>
        <v>0</v>
      </c>
      <c r="U63" s="69">
        <f t="shared" si="2"/>
        <v>0</v>
      </c>
      <c r="V63" s="69">
        <f t="shared" si="3"/>
        <v>0</v>
      </c>
      <c r="W63" s="69">
        <f t="shared" si="4"/>
        <v>0</v>
      </c>
      <c r="X63" s="69">
        <f t="shared" si="5"/>
        <v>0</v>
      </c>
    </row>
    <row r="64" spans="1:24" ht="18.75" customHeight="1">
      <c r="A64" s="68" t="str">
        <f>IF(BASE!B62="","",BASE!B62)</f>
        <v>21MER086</v>
      </c>
      <c r="B64" s="49" t="s">
        <v>2</v>
      </c>
      <c r="C64" s="69">
        <f t="shared" si="6"/>
        <v>0</v>
      </c>
      <c r="D64" s="69">
        <f t="shared" si="7"/>
        <v>0</v>
      </c>
      <c r="E64" s="69">
        <f t="shared" si="8"/>
        <v>0</v>
      </c>
      <c r="F64" s="69">
        <f t="shared" si="9"/>
        <v>0</v>
      </c>
      <c r="G64" s="69">
        <f t="shared" si="10"/>
        <v>0</v>
      </c>
      <c r="H64" s="70"/>
      <c r="I64" s="69"/>
      <c r="J64" s="69">
        <f t="shared" si="11"/>
        <v>0</v>
      </c>
      <c r="K64" s="69">
        <f t="shared" si="12"/>
        <v>0</v>
      </c>
      <c r="L64" s="69">
        <f t="shared" si="13"/>
        <v>0</v>
      </c>
      <c r="M64" s="69">
        <f t="shared" si="14"/>
        <v>0</v>
      </c>
      <c r="N64" s="69">
        <f t="shared" si="15"/>
        <v>0</v>
      </c>
      <c r="O64" s="70"/>
      <c r="P64" s="69"/>
      <c r="Q64" s="71"/>
      <c r="R64" s="49">
        <f t="shared" si="16"/>
        <v>0</v>
      </c>
      <c r="S64" s="49">
        <f>[1]BASE!A62</f>
        <v>53</v>
      </c>
      <c r="T64" s="69">
        <f t="shared" si="1"/>
        <v>0</v>
      </c>
      <c r="U64" s="69">
        <f t="shared" si="2"/>
        <v>0</v>
      </c>
      <c r="V64" s="69">
        <f t="shared" si="3"/>
        <v>0</v>
      </c>
      <c r="W64" s="69">
        <f t="shared" si="4"/>
        <v>0</v>
      </c>
      <c r="X64" s="69">
        <f t="shared" si="5"/>
        <v>0</v>
      </c>
    </row>
    <row r="65" spans="1:24" ht="18.75" customHeight="1">
      <c r="A65" s="68" t="str">
        <f>IF(BASE!B63="","",BASE!B63)</f>
        <v>21MER087</v>
      </c>
      <c r="B65" s="49" t="s">
        <v>2</v>
      </c>
      <c r="C65" s="69">
        <f t="shared" si="6"/>
        <v>0</v>
      </c>
      <c r="D65" s="69">
        <f t="shared" si="7"/>
        <v>0</v>
      </c>
      <c r="E65" s="69">
        <f t="shared" si="8"/>
        <v>0</v>
      </c>
      <c r="F65" s="69">
        <f t="shared" si="9"/>
        <v>0</v>
      </c>
      <c r="G65" s="69">
        <f t="shared" si="10"/>
        <v>0</v>
      </c>
      <c r="H65" s="70"/>
      <c r="I65" s="69"/>
      <c r="J65" s="69">
        <f t="shared" si="11"/>
        <v>0</v>
      </c>
      <c r="K65" s="69">
        <f t="shared" si="12"/>
        <v>0</v>
      </c>
      <c r="L65" s="69">
        <f t="shared" si="13"/>
        <v>0</v>
      </c>
      <c r="M65" s="69">
        <f t="shared" si="14"/>
        <v>0</v>
      </c>
      <c r="N65" s="69">
        <f t="shared" si="15"/>
        <v>0</v>
      </c>
      <c r="O65" s="70"/>
      <c r="P65" s="69"/>
      <c r="Q65" s="71"/>
      <c r="R65" s="49">
        <f t="shared" si="16"/>
        <v>0</v>
      </c>
      <c r="S65" s="49">
        <f>[1]BASE!A63</f>
        <v>54</v>
      </c>
      <c r="T65" s="69">
        <f t="shared" si="1"/>
        <v>0</v>
      </c>
      <c r="U65" s="69">
        <f t="shared" si="2"/>
        <v>0</v>
      </c>
      <c r="V65" s="69">
        <f t="shared" si="3"/>
        <v>0</v>
      </c>
      <c r="W65" s="69">
        <f t="shared" si="4"/>
        <v>0</v>
      </c>
      <c r="X65" s="69">
        <f t="shared" si="5"/>
        <v>0</v>
      </c>
    </row>
    <row r="66" spans="1:24" ht="18.75" customHeight="1">
      <c r="A66" s="68" t="str">
        <f>IF(BASE!B64="","",BASE!B64)</f>
        <v>21MER088</v>
      </c>
      <c r="B66" s="49" t="s">
        <v>2</v>
      </c>
      <c r="C66" s="69">
        <f t="shared" si="6"/>
        <v>0</v>
      </c>
      <c r="D66" s="69">
        <f t="shared" si="7"/>
        <v>0</v>
      </c>
      <c r="E66" s="69">
        <f t="shared" si="8"/>
        <v>0</v>
      </c>
      <c r="F66" s="69">
        <f t="shared" si="9"/>
        <v>0</v>
      </c>
      <c r="G66" s="69">
        <f t="shared" si="10"/>
        <v>0</v>
      </c>
      <c r="H66" s="70"/>
      <c r="I66" s="69"/>
      <c r="J66" s="69">
        <f t="shared" si="11"/>
        <v>0</v>
      </c>
      <c r="K66" s="69">
        <f t="shared" si="12"/>
        <v>0</v>
      </c>
      <c r="L66" s="69">
        <f t="shared" si="13"/>
        <v>0</v>
      </c>
      <c r="M66" s="69">
        <f t="shared" si="14"/>
        <v>0</v>
      </c>
      <c r="N66" s="69">
        <f t="shared" si="15"/>
        <v>0</v>
      </c>
      <c r="O66" s="70"/>
      <c r="P66" s="69"/>
      <c r="Q66" s="71"/>
      <c r="R66" s="49">
        <f t="shared" si="16"/>
        <v>0</v>
      </c>
      <c r="S66" s="49">
        <f>[1]BASE!A64</f>
        <v>55</v>
      </c>
      <c r="T66" s="69">
        <f t="shared" si="1"/>
        <v>0</v>
      </c>
      <c r="U66" s="69">
        <f t="shared" si="2"/>
        <v>0</v>
      </c>
      <c r="V66" s="69">
        <f t="shared" si="3"/>
        <v>0</v>
      </c>
      <c r="W66" s="69">
        <f t="shared" si="4"/>
        <v>0</v>
      </c>
      <c r="X66" s="69">
        <f t="shared" si="5"/>
        <v>0</v>
      </c>
    </row>
    <row r="67" spans="1:24" ht="18.75" customHeight="1">
      <c r="A67" s="68" t="str">
        <f>IF(BASE!B65="","",BASE!B65)</f>
        <v>21MER089</v>
      </c>
      <c r="B67" s="49" t="s">
        <v>2</v>
      </c>
      <c r="C67" s="69">
        <f t="shared" si="6"/>
        <v>0</v>
      </c>
      <c r="D67" s="69">
        <f t="shared" si="7"/>
        <v>0</v>
      </c>
      <c r="E67" s="69">
        <f t="shared" si="8"/>
        <v>0</v>
      </c>
      <c r="F67" s="69">
        <f t="shared" si="9"/>
        <v>0</v>
      </c>
      <c r="G67" s="69">
        <f t="shared" si="10"/>
        <v>0</v>
      </c>
      <c r="H67" s="70"/>
      <c r="I67" s="69"/>
      <c r="J67" s="69">
        <f t="shared" si="11"/>
        <v>0</v>
      </c>
      <c r="K67" s="69">
        <f t="shared" si="12"/>
        <v>0</v>
      </c>
      <c r="L67" s="69">
        <f t="shared" si="13"/>
        <v>0</v>
      </c>
      <c r="M67" s="69">
        <f t="shared" si="14"/>
        <v>0</v>
      </c>
      <c r="N67" s="69">
        <f t="shared" si="15"/>
        <v>0</v>
      </c>
      <c r="O67" s="70"/>
      <c r="P67" s="69"/>
      <c r="Q67" s="71"/>
      <c r="R67" s="49">
        <f t="shared" si="16"/>
        <v>0</v>
      </c>
      <c r="S67" s="49">
        <f>[1]BASE!A65</f>
        <v>56</v>
      </c>
      <c r="T67" s="69">
        <f t="shared" si="1"/>
        <v>0</v>
      </c>
      <c r="U67" s="69">
        <f t="shared" si="2"/>
        <v>0</v>
      </c>
      <c r="V67" s="69">
        <f t="shared" si="3"/>
        <v>0</v>
      </c>
      <c r="W67" s="69">
        <f t="shared" si="4"/>
        <v>0</v>
      </c>
      <c r="X67" s="69">
        <f t="shared" si="5"/>
        <v>0</v>
      </c>
    </row>
    <row r="68" spans="1:24" ht="18.75" customHeight="1">
      <c r="A68" s="68" t="str">
        <f>IF(BASE!B66="","",BASE!B66)</f>
        <v>21MER090</v>
      </c>
      <c r="B68" s="49" t="s">
        <v>2</v>
      </c>
      <c r="C68" s="69">
        <f t="shared" si="6"/>
        <v>0</v>
      </c>
      <c r="D68" s="69">
        <f t="shared" si="7"/>
        <v>0</v>
      </c>
      <c r="E68" s="69">
        <f t="shared" si="8"/>
        <v>0</v>
      </c>
      <c r="F68" s="69">
        <f t="shared" si="9"/>
        <v>0</v>
      </c>
      <c r="G68" s="69">
        <f t="shared" si="10"/>
        <v>0</v>
      </c>
      <c r="H68" s="70"/>
      <c r="I68" s="69"/>
      <c r="J68" s="69">
        <f t="shared" si="11"/>
        <v>0</v>
      </c>
      <c r="K68" s="69">
        <f t="shared" si="12"/>
        <v>0</v>
      </c>
      <c r="L68" s="69">
        <f t="shared" si="13"/>
        <v>0</v>
      </c>
      <c r="M68" s="69">
        <f t="shared" si="14"/>
        <v>0</v>
      </c>
      <c r="N68" s="69">
        <f t="shared" si="15"/>
        <v>0</v>
      </c>
      <c r="O68" s="70"/>
      <c r="P68" s="69"/>
      <c r="Q68" s="71"/>
      <c r="R68" s="49">
        <f t="shared" si="16"/>
        <v>0</v>
      </c>
      <c r="S68" s="49">
        <f>[1]BASE!A66</f>
        <v>57</v>
      </c>
      <c r="T68" s="69">
        <f t="shared" si="1"/>
        <v>0</v>
      </c>
      <c r="U68" s="69">
        <f t="shared" si="2"/>
        <v>0</v>
      </c>
      <c r="V68" s="69">
        <f t="shared" si="3"/>
        <v>0</v>
      </c>
      <c r="W68" s="69">
        <f t="shared" si="4"/>
        <v>0</v>
      </c>
      <c r="X68" s="69">
        <f t="shared" si="5"/>
        <v>0</v>
      </c>
    </row>
    <row r="69" spans="1:24" ht="18.75" customHeight="1">
      <c r="A69" s="68" t="str">
        <f>IF(BASE!B67="","",BASE!B67)</f>
        <v>21MER091</v>
      </c>
      <c r="B69" s="49" t="s">
        <v>2</v>
      </c>
      <c r="C69" s="69">
        <f t="shared" si="6"/>
        <v>0</v>
      </c>
      <c r="D69" s="69">
        <f t="shared" si="7"/>
        <v>0</v>
      </c>
      <c r="E69" s="69">
        <f t="shared" si="8"/>
        <v>0</v>
      </c>
      <c r="F69" s="69">
        <f t="shared" si="9"/>
        <v>0</v>
      </c>
      <c r="G69" s="69">
        <f t="shared" si="10"/>
        <v>0</v>
      </c>
      <c r="H69" s="70"/>
      <c r="I69" s="69"/>
      <c r="J69" s="69">
        <f t="shared" si="11"/>
        <v>0</v>
      </c>
      <c r="K69" s="69">
        <f t="shared" si="12"/>
        <v>0</v>
      </c>
      <c r="L69" s="69">
        <f t="shared" si="13"/>
        <v>0</v>
      </c>
      <c r="M69" s="69">
        <f t="shared" si="14"/>
        <v>0</v>
      </c>
      <c r="N69" s="69">
        <f t="shared" si="15"/>
        <v>0</v>
      </c>
      <c r="O69" s="70"/>
      <c r="P69" s="69"/>
      <c r="Q69" s="71"/>
      <c r="R69" s="49">
        <f t="shared" si="16"/>
        <v>0</v>
      </c>
      <c r="S69" s="49">
        <f>[1]BASE!A67</f>
        <v>58</v>
      </c>
      <c r="T69" s="69">
        <f t="shared" si="1"/>
        <v>0</v>
      </c>
      <c r="U69" s="69">
        <f t="shared" si="2"/>
        <v>0</v>
      </c>
      <c r="V69" s="69">
        <f t="shared" si="3"/>
        <v>0</v>
      </c>
      <c r="W69" s="69">
        <f t="shared" si="4"/>
        <v>0</v>
      </c>
      <c r="X69" s="69">
        <f t="shared" si="5"/>
        <v>0</v>
      </c>
    </row>
    <row r="70" spans="1:24" ht="18.75" customHeight="1">
      <c r="A70" s="68" t="str">
        <f>IF(BASE!B68="","",BASE!B68)</f>
        <v>21MER092</v>
      </c>
      <c r="B70" s="49" t="s">
        <v>2</v>
      </c>
      <c r="C70" s="69">
        <f t="shared" si="6"/>
        <v>0</v>
      </c>
      <c r="D70" s="69">
        <f t="shared" si="7"/>
        <v>0</v>
      </c>
      <c r="E70" s="69">
        <f t="shared" si="8"/>
        <v>0</v>
      </c>
      <c r="F70" s="69">
        <f t="shared" si="9"/>
        <v>0</v>
      </c>
      <c r="G70" s="69">
        <f t="shared" si="10"/>
        <v>0</v>
      </c>
      <c r="H70" s="70"/>
      <c r="I70" s="69"/>
      <c r="J70" s="69">
        <f t="shared" si="11"/>
        <v>0</v>
      </c>
      <c r="K70" s="69">
        <f t="shared" si="12"/>
        <v>0</v>
      </c>
      <c r="L70" s="69">
        <f t="shared" si="13"/>
        <v>0</v>
      </c>
      <c r="M70" s="69">
        <f t="shared" si="14"/>
        <v>0</v>
      </c>
      <c r="N70" s="69">
        <f t="shared" si="15"/>
        <v>0</v>
      </c>
      <c r="O70" s="70"/>
      <c r="P70" s="69"/>
      <c r="Q70" s="71"/>
      <c r="R70" s="49">
        <f t="shared" si="16"/>
        <v>0</v>
      </c>
      <c r="S70" s="49">
        <f>[1]BASE!A68</f>
        <v>59</v>
      </c>
      <c r="T70" s="69">
        <f t="shared" si="1"/>
        <v>0</v>
      </c>
      <c r="U70" s="69">
        <f t="shared" si="2"/>
        <v>0</v>
      </c>
      <c r="V70" s="69">
        <f t="shared" si="3"/>
        <v>0</v>
      </c>
      <c r="W70" s="69">
        <f t="shared" si="4"/>
        <v>0</v>
      </c>
      <c r="X70" s="69">
        <f t="shared" si="5"/>
        <v>0</v>
      </c>
    </row>
    <row r="71" spans="1:24" ht="18.75" customHeight="1">
      <c r="A71" s="68" t="str">
        <f>IF(BASE!B69="","",BASE!B69)</f>
        <v>21MER093</v>
      </c>
      <c r="B71" s="49" t="s">
        <v>2</v>
      </c>
      <c r="C71" s="69">
        <f t="shared" si="6"/>
        <v>0</v>
      </c>
      <c r="D71" s="69">
        <f t="shared" si="7"/>
        <v>0</v>
      </c>
      <c r="E71" s="69">
        <f t="shared" si="8"/>
        <v>0</v>
      </c>
      <c r="F71" s="69">
        <f t="shared" si="9"/>
        <v>0</v>
      </c>
      <c r="G71" s="69">
        <f t="shared" si="10"/>
        <v>0</v>
      </c>
      <c r="H71" s="70"/>
      <c r="I71" s="69"/>
      <c r="J71" s="69">
        <f t="shared" si="11"/>
        <v>0</v>
      </c>
      <c r="K71" s="69">
        <f t="shared" si="12"/>
        <v>0</v>
      </c>
      <c r="L71" s="69">
        <f t="shared" si="13"/>
        <v>0</v>
      </c>
      <c r="M71" s="69">
        <f t="shared" si="14"/>
        <v>0</v>
      </c>
      <c r="N71" s="69">
        <f t="shared" si="15"/>
        <v>0</v>
      </c>
      <c r="O71" s="70"/>
      <c r="P71" s="69"/>
      <c r="Q71" s="71"/>
      <c r="R71" s="49">
        <f t="shared" si="16"/>
        <v>0</v>
      </c>
      <c r="S71" s="49">
        <f>[1]BASE!A69</f>
        <v>60</v>
      </c>
      <c r="T71" s="69">
        <f t="shared" si="1"/>
        <v>0</v>
      </c>
      <c r="U71" s="69">
        <f t="shared" si="2"/>
        <v>0</v>
      </c>
      <c r="V71" s="69">
        <f t="shared" si="3"/>
        <v>0</v>
      </c>
      <c r="W71" s="69">
        <f t="shared" si="4"/>
        <v>0</v>
      </c>
      <c r="X71" s="69">
        <f t="shared" si="5"/>
        <v>0</v>
      </c>
    </row>
    <row r="72" spans="1:24" ht="18.75" customHeight="1">
      <c r="A72" s="68" t="str">
        <f>IF(BASE!B70="","",BASE!B70)</f>
        <v>21MER094</v>
      </c>
      <c r="B72" s="49" t="s">
        <v>2</v>
      </c>
      <c r="C72" s="69">
        <f t="shared" si="6"/>
        <v>0</v>
      </c>
      <c r="D72" s="69">
        <f t="shared" si="7"/>
        <v>0</v>
      </c>
      <c r="E72" s="69">
        <f t="shared" si="8"/>
        <v>0</v>
      </c>
      <c r="F72" s="69">
        <f t="shared" si="9"/>
        <v>0</v>
      </c>
      <c r="G72" s="69">
        <f t="shared" si="10"/>
        <v>0</v>
      </c>
      <c r="H72" s="70"/>
      <c r="I72" s="69"/>
      <c r="J72" s="69">
        <f t="shared" si="11"/>
        <v>0</v>
      </c>
      <c r="K72" s="69">
        <f t="shared" si="12"/>
        <v>0</v>
      </c>
      <c r="L72" s="69">
        <f t="shared" si="13"/>
        <v>0</v>
      </c>
      <c r="M72" s="69">
        <f t="shared" si="14"/>
        <v>0</v>
      </c>
      <c r="N72" s="69">
        <f t="shared" si="15"/>
        <v>0</v>
      </c>
      <c r="O72" s="70"/>
      <c r="P72" s="69"/>
      <c r="Q72" s="71"/>
      <c r="R72" s="49">
        <f t="shared" si="16"/>
        <v>0</v>
      </c>
      <c r="S72" s="49">
        <f>[1]BASE!A70</f>
        <v>61</v>
      </c>
      <c r="T72" s="69">
        <f t="shared" si="1"/>
        <v>0</v>
      </c>
      <c r="U72" s="69">
        <f t="shared" si="2"/>
        <v>0</v>
      </c>
      <c r="V72" s="69">
        <f t="shared" si="3"/>
        <v>0</v>
      </c>
      <c r="W72" s="69">
        <f t="shared" si="4"/>
        <v>0</v>
      </c>
      <c r="X72" s="69">
        <f t="shared" si="5"/>
        <v>0</v>
      </c>
    </row>
    <row r="73" spans="1:24" ht="18.75" customHeight="1">
      <c r="A73" s="68" t="str">
        <f>IF(BASE!B71="","",BASE!B71)</f>
        <v>21MER095</v>
      </c>
      <c r="B73" s="49" t="s">
        <v>2</v>
      </c>
      <c r="C73" s="69">
        <f t="shared" si="6"/>
        <v>0</v>
      </c>
      <c r="D73" s="69">
        <f t="shared" si="7"/>
        <v>0</v>
      </c>
      <c r="E73" s="69">
        <f t="shared" si="8"/>
        <v>0</v>
      </c>
      <c r="F73" s="69">
        <f t="shared" si="9"/>
        <v>0</v>
      </c>
      <c r="G73" s="69">
        <f t="shared" si="10"/>
        <v>0</v>
      </c>
      <c r="H73" s="70"/>
      <c r="I73" s="69"/>
      <c r="J73" s="69">
        <f t="shared" si="11"/>
        <v>0</v>
      </c>
      <c r="K73" s="69">
        <f t="shared" si="12"/>
        <v>0</v>
      </c>
      <c r="L73" s="69">
        <f t="shared" si="13"/>
        <v>0</v>
      </c>
      <c r="M73" s="69">
        <f t="shared" si="14"/>
        <v>0</v>
      </c>
      <c r="N73" s="69">
        <f t="shared" si="15"/>
        <v>0</v>
      </c>
      <c r="O73" s="70"/>
      <c r="P73" s="69"/>
      <c r="Q73" s="71"/>
      <c r="R73" s="49">
        <f t="shared" si="16"/>
        <v>0</v>
      </c>
      <c r="S73" s="49">
        <f>[1]BASE!A71</f>
        <v>62</v>
      </c>
      <c r="T73" s="69">
        <f t="shared" si="1"/>
        <v>0</v>
      </c>
      <c r="U73" s="69">
        <f t="shared" si="2"/>
        <v>0</v>
      </c>
      <c r="V73" s="69">
        <f t="shared" si="3"/>
        <v>0</v>
      </c>
      <c r="W73" s="69">
        <f t="shared" si="4"/>
        <v>0</v>
      </c>
      <c r="X73" s="69">
        <f t="shared" si="5"/>
        <v>0</v>
      </c>
    </row>
    <row r="74" spans="1:24" ht="18.75" customHeight="1">
      <c r="A74" s="68" t="str">
        <f>IF(BASE!B72="","",BASE!B72)</f>
        <v>21MER096</v>
      </c>
      <c r="B74" s="49" t="s">
        <v>2</v>
      </c>
      <c r="C74" s="69">
        <f t="shared" si="6"/>
        <v>0</v>
      </c>
      <c r="D74" s="69">
        <f t="shared" si="7"/>
        <v>0</v>
      </c>
      <c r="E74" s="69">
        <f t="shared" si="8"/>
        <v>0</v>
      </c>
      <c r="F74" s="69">
        <f t="shared" si="9"/>
        <v>0</v>
      </c>
      <c r="G74" s="69">
        <f t="shared" si="10"/>
        <v>0</v>
      </c>
      <c r="H74" s="70"/>
      <c r="I74" s="69"/>
      <c r="J74" s="69">
        <f t="shared" si="11"/>
        <v>0</v>
      </c>
      <c r="K74" s="69">
        <f t="shared" si="12"/>
        <v>0</v>
      </c>
      <c r="L74" s="69">
        <f t="shared" si="13"/>
        <v>0</v>
      </c>
      <c r="M74" s="69">
        <f t="shared" si="14"/>
        <v>0</v>
      </c>
      <c r="N74" s="69">
        <f t="shared" si="15"/>
        <v>0</v>
      </c>
      <c r="O74" s="70"/>
      <c r="P74" s="69"/>
      <c r="Q74" s="71"/>
      <c r="R74" s="49">
        <f t="shared" si="16"/>
        <v>0</v>
      </c>
      <c r="S74" s="49">
        <f>[1]BASE!A72</f>
        <v>63</v>
      </c>
      <c r="T74" s="69">
        <f t="shared" si="1"/>
        <v>0</v>
      </c>
      <c r="U74" s="69">
        <f t="shared" si="2"/>
        <v>0</v>
      </c>
      <c r="V74" s="69">
        <f t="shared" si="3"/>
        <v>0</v>
      </c>
      <c r="W74" s="69">
        <f t="shared" si="4"/>
        <v>0</v>
      </c>
      <c r="X74" s="69">
        <f t="shared" si="5"/>
        <v>0</v>
      </c>
    </row>
    <row r="75" spans="1:24" ht="18.75" customHeight="1">
      <c r="A75" s="68" t="str">
        <f>IF(BASE!B73="","",BASE!B73)</f>
        <v>21MER097</v>
      </c>
      <c r="B75" s="49" t="s">
        <v>2</v>
      </c>
      <c r="C75" s="69">
        <f t="shared" si="6"/>
        <v>0</v>
      </c>
      <c r="D75" s="69">
        <f t="shared" si="7"/>
        <v>0</v>
      </c>
      <c r="E75" s="69">
        <f t="shared" si="8"/>
        <v>0</v>
      </c>
      <c r="F75" s="69">
        <f t="shared" si="9"/>
        <v>0</v>
      </c>
      <c r="G75" s="69">
        <f t="shared" si="10"/>
        <v>0</v>
      </c>
      <c r="H75" s="70"/>
      <c r="I75" s="69"/>
      <c r="J75" s="69">
        <f t="shared" si="11"/>
        <v>0</v>
      </c>
      <c r="K75" s="69">
        <f t="shared" si="12"/>
        <v>0</v>
      </c>
      <c r="L75" s="69">
        <f t="shared" si="13"/>
        <v>0</v>
      </c>
      <c r="M75" s="69">
        <f t="shared" si="14"/>
        <v>0</v>
      </c>
      <c r="N75" s="69">
        <f t="shared" si="15"/>
        <v>0</v>
      </c>
      <c r="O75" s="70"/>
      <c r="P75" s="69"/>
      <c r="Q75" s="71"/>
      <c r="R75" s="49">
        <f t="shared" si="16"/>
        <v>0</v>
      </c>
      <c r="S75" s="49">
        <f>[1]BASE!A73</f>
        <v>64</v>
      </c>
      <c r="T75" s="69">
        <f t="shared" si="1"/>
        <v>0</v>
      </c>
      <c r="U75" s="69">
        <f t="shared" si="2"/>
        <v>0</v>
      </c>
      <c r="V75" s="69">
        <f t="shared" si="3"/>
        <v>0</v>
      </c>
      <c r="W75" s="69">
        <f t="shared" si="4"/>
        <v>0</v>
      </c>
      <c r="X75" s="69">
        <f t="shared" si="5"/>
        <v>0</v>
      </c>
    </row>
    <row r="76" spans="1:24" ht="18.75" customHeight="1">
      <c r="A76" s="68" t="str">
        <f>IF(BASE!B74="","",BASE!B74)</f>
        <v>21MER098</v>
      </c>
      <c r="B76" s="49" t="s">
        <v>2</v>
      </c>
      <c r="C76" s="69">
        <f t="shared" si="6"/>
        <v>0</v>
      </c>
      <c r="D76" s="69">
        <f t="shared" si="7"/>
        <v>0</v>
      </c>
      <c r="E76" s="69">
        <f t="shared" si="8"/>
        <v>0</v>
      </c>
      <c r="F76" s="69">
        <f t="shared" si="9"/>
        <v>0</v>
      </c>
      <c r="G76" s="69">
        <f t="shared" si="10"/>
        <v>0</v>
      </c>
      <c r="H76" s="70"/>
      <c r="I76" s="69"/>
      <c r="J76" s="69">
        <f t="shared" si="11"/>
        <v>0</v>
      </c>
      <c r="K76" s="69">
        <f t="shared" si="12"/>
        <v>0</v>
      </c>
      <c r="L76" s="69">
        <f t="shared" si="13"/>
        <v>0</v>
      </c>
      <c r="M76" s="69">
        <f t="shared" si="14"/>
        <v>0</v>
      </c>
      <c r="N76" s="69">
        <f t="shared" si="15"/>
        <v>0</v>
      </c>
      <c r="O76" s="70"/>
      <c r="P76" s="69"/>
      <c r="Q76" s="71"/>
      <c r="R76" s="49">
        <f t="shared" si="16"/>
        <v>0</v>
      </c>
      <c r="S76" s="49">
        <f>[1]BASE!A74</f>
        <v>65</v>
      </c>
      <c r="T76" s="69">
        <f t="shared" si="1"/>
        <v>0</v>
      </c>
      <c r="U76" s="69">
        <f t="shared" si="2"/>
        <v>0</v>
      </c>
      <c r="V76" s="69">
        <f t="shared" si="3"/>
        <v>0</v>
      </c>
      <c r="W76" s="69">
        <f t="shared" si="4"/>
        <v>0</v>
      </c>
      <c r="X76" s="69">
        <f t="shared" si="5"/>
        <v>0</v>
      </c>
    </row>
    <row r="77" spans="1:24" ht="18.75" customHeight="1">
      <c r="A77" s="68" t="str">
        <f>IF(BASE!B75="","",BASE!B75)</f>
        <v>21MER099</v>
      </c>
      <c r="B77" s="49" t="s">
        <v>2</v>
      </c>
      <c r="C77" s="69">
        <f t="shared" ref="C77:C140" si="17">(H77/5)</f>
        <v>0</v>
      </c>
      <c r="D77" s="69">
        <f t="shared" ref="D77:D140" si="18">(H77/5)</f>
        <v>0</v>
      </c>
      <c r="E77" s="69">
        <f t="shared" ref="E77:E140" si="19">(H77/5)</f>
        <v>0</v>
      </c>
      <c r="F77" s="69">
        <f t="shared" ref="F77:F140" si="20">(H77/5)</f>
        <v>0</v>
      </c>
      <c r="G77" s="69">
        <f t="shared" ref="G77:G140" si="21">(H77/5)</f>
        <v>0</v>
      </c>
      <c r="H77" s="70"/>
      <c r="I77" s="69"/>
      <c r="J77" s="69">
        <f t="shared" ref="J77:J140" si="22">(O77/5)</f>
        <v>0</v>
      </c>
      <c r="K77" s="69">
        <f t="shared" ref="K77:K140" si="23">(O77/5)</f>
        <v>0</v>
      </c>
      <c r="L77" s="69">
        <f t="shared" ref="L77:L140" si="24">(O77/5)</f>
        <v>0</v>
      </c>
      <c r="M77" s="69">
        <f t="shared" ref="M77:M140" si="25">(O77/5)</f>
        <v>0</v>
      </c>
      <c r="N77" s="69">
        <f t="shared" ref="N77:N140" si="26">(O77/5)</f>
        <v>0</v>
      </c>
      <c r="O77" s="70"/>
      <c r="P77" s="69"/>
      <c r="Q77" s="71"/>
      <c r="R77" s="49">
        <f t="shared" ref="R77:R140" si="27">SUM(H77,O77)</f>
        <v>0</v>
      </c>
      <c r="S77" s="49">
        <f>[1]BASE!A75</f>
        <v>66</v>
      </c>
      <c r="T77" s="69">
        <f t="shared" si="1"/>
        <v>0</v>
      </c>
      <c r="U77" s="69">
        <f t="shared" si="2"/>
        <v>0</v>
      </c>
      <c r="V77" s="69">
        <f t="shared" si="3"/>
        <v>0</v>
      </c>
      <c r="W77" s="69">
        <f t="shared" si="4"/>
        <v>0</v>
      </c>
      <c r="X77" s="69">
        <f t="shared" si="5"/>
        <v>0</v>
      </c>
    </row>
    <row r="78" spans="1:24" ht="18.75" customHeight="1">
      <c r="A78" s="68" t="str">
        <f>IF(BASE!B76="","",BASE!B76)</f>
        <v>21MER100</v>
      </c>
      <c r="B78" s="49" t="s">
        <v>2</v>
      </c>
      <c r="C78" s="69">
        <f t="shared" si="17"/>
        <v>0</v>
      </c>
      <c r="D78" s="69">
        <f t="shared" si="18"/>
        <v>0</v>
      </c>
      <c r="E78" s="69">
        <f t="shared" si="19"/>
        <v>0</v>
      </c>
      <c r="F78" s="69">
        <f t="shared" si="20"/>
        <v>0</v>
      </c>
      <c r="G78" s="69">
        <f t="shared" si="21"/>
        <v>0</v>
      </c>
      <c r="H78" s="70"/>
      <c r="I78" s="69"/>
      <c r="J78" s="69">
        <f t="shared" si="22"/>
        <v>0</v>
      </c>
      <c r="K78" s="69">
        <f t="shared" si="23"/>
        <v>0</v>
      </c>
      <c r="L78" s="69">
        <f t="shared" si="24"/>
        <v>0</v>
      </c>
      <c r="M78" s="69">
        <f t="shared" si="25"/>
        <v>0</v>
      </c>
      <c r="N78" s="69">
        <f t="shared" si="26"/>
        <v>0</v>
      </c>
      <c r="O78" s="70"/>
      <c r="P78" s="69"/>
      <c r="Q78" s="71"/>
      <c r="R78" s="49">
        <f t="shared" si="27"/>
        <v>0</v>
      </c>
      <c r="S78" s="49">
        <f>[1]BASE!A76</f>
        <v>67</v>
      </c>
      <c r="T78" s="69">
        <f t="shared" si="1"/>
        <v>0</v>
      </c>
      <c r="U78" s="69">
        <f t="shared" si="2"/>
        <v>0</v>
      </c>
      <c r="V78" s="69">
        <f t="shared" si="3"/>
        <v>0</v>
      </c>
      <c r="W78" s="69">
        <f t="shared" si="4"/>
        <v>0</v>
      </c>
      <c r="X78" s="69">
        <f t="shared" si="5"/>
        <v>0</v>
      </c>
    </row>
    <row r="79" spans="1:24" ht="20.25" customHeight="1">
      <c r="A79" s="68" t="str">
        <f>IF(BASE!B77="","",BASE!B77)</f>
        <v>21MER101</v>
      </c>
      <c r="B79" s="49" t="s">
        <v>2</v>
      </c>
      <c r="C79" s="69">
        <f t="shared" si="17"/>
        <v>0</v>
      </c>
      <c r="D79" s="69">
        <f t="shared" si="18"/>
        <v>0</v>
      </c>
      <c r="E79" s="69">
        <f t="shared" si="19"/>
        <v>0</v>
      </c>
      <c r="F79" s="69">
        <f t="shared" si="20"/>
        <v>0</v>
      </c>
      <c r="G79" s="69">
        <f t="shared" si="21"/>
        <v>0</v>
      </c>
      <c r="H79" s="70"/>
      <c r="I79" s="69"/>
      <c r="J79" s="69">
        <f t="shared" si="22"/>
        <v>0</v>
      </c>
      <c r="K79" s="69">
        <f t="shared" si="23"/>
        <v>0</v>
      </c>
      <c r="L79" s="69">
        <f t="shared" si="24"/>
        <v>0</v>
      </c>
      <c r="M79" s="69">
        <f t="shared" si="25"/>
        <v>0</v>
      </c>
      <c r="N79" s="69">
        <f t="shared" si="26"/>
        <v>0</v>
      </c>
      <c r="O79" s="70"/>
      <c r="P79" s="69"/>
      <c r="Q79" s="71"/>
      <c r="R79" s="49">
        <f t="shared" si="27"/>
        <v>0</v>
      </c>
      <c r="S79" s="49">
        <f>[1]BASE!A77</f>
        <v>68</v>
      </c>
      <c r="T79" s="69">
        <f t="shared" si="1"/>
        <v>0</v>
      </c>
      <c r="U79" s="69">
        <f t="shared" si="2"/>
        <v>0</v>
      </c>
      <c r="V79" s="69">
        <f t="shared" si="3"/>
        <v>0</v>
      </c>
      <c r="W79" s="69">
        <f t="shared" si="4"/>
        <v>0</v>
      </c>
      <c r="X79" s="69">
        <f t="shared" si="5"/>
        <v>0</v>
      </c>
    </row>
    <row r="80" spans="1:24" ht="20.25" customHeight="1">
      <c r="A80" s="68" t="str">
        <f>IF(BASE!B78="","",BASE!B78)</f>
        <v>21MER102</v>
      </c>
      <c r="B80" s="49" t="s">
        <v>2</v>
      </c>
      <c r="C80" s="69">
        <f t="shared" si="17"/>
        <v>0</v>
      </c>
      <c r="D80" s="69">
        <f t="shared" si="18"/>
        <v>0</v>
      </c>
      <c r="E80" s="69">
        <f t="shared" si="19"/>
        <v>0</v>
      </c>
      <c r="F80" s="69">
        <f t="shared" si="20"/>
        <v>0</v>
      </c>
      <c r="G80" s="69">
        <f t="shared" si="21"/>
        <v>0</v>
      </c>
      <c r="H80" s="70"/>
      <c r="I80" s="69"/>
      <c r="J80" s="69">
        <f t="shared" si="22"/>
        <v>0</v>
      </c>
      <c r="K80" s="69">
        <f t="shared" si="23"/>
        <v>0</v>
      </c>
      <c r="L80" s="69">
        <f t="shared" si="24"/>
        <v>0</v>
      </c>
      <c r="M80" s="69">
        <f t="shared" si="25"/>
        <v>0</v>
      </c>
      <c r="N80" s="69">
        <f t="shared" si="26"/>
        <v>0</v>
      </c>
      <c r="O80" s="70"/>
      <c r="P80" s="69"/>
      <c r="Q80" s="71"/>
      <c r="R80" s="49">
        <f t="shared" si="27"/>
        <v>0</v>
      </c>
      <c r="S80" s="49">
        <f>[1]BASE!A78</f>
        <v>69</v>
      </c>
      <c r="T80" s="69">
        <f t="shared" si="1"/>
        <v>0</v>
      </c>
      <c r="U80" s="69">
        <f t="shared" si="2"/>
        <v>0</v>
      </c>
      <c r="V80" s="69">
        <f t="shared" si="3"/>
        <v>0</v>
      </c>
      <c r="W80" s="69">
        <f t="shared" si="4"/>
        <v>0</v>
      </c>
      <c r="X80" s="69">
        <f t="shared" si="5"/>
        <v>0</v>
      </c>
    </row>
    <row r="81" spans="1:24" ht="20.25" customHeight="1">
      <c r="A81" s="68" t="str">
        <f>IF(BASE!B79="","",BASE!B79)</f>
        <v>21MER103</v>
      </c>
      <c r="B81" s="49" t="s">
        <v>2</v>
      </c>
      <c r="C81" s="69">
        <f t="shared" si="17"/>
        <v>0</v>
      </c>
      <c r="D81" s="69">
        <f t="shared" si="18"/>
        <v>0</v>
      </c>
      <c r="E81" s="69">
        <f t="shared" si="19"/>
        <v>0</v>
      </c>
      <c r="F81" s="69">
        <f t="shared" si="20"/>
        <v>0</v>
      </c>
      <c r="G81" s="69">
        <f t="shared" si="21"/>
        <v>0</v>
      </c>
      <c r="H81" s="70"/>
      <c r="I81" s="69"/>
      <c r="J81" s="69">
        <f t="shared" si="22"/>
        <v>0</v>
      </c>
      <c r="K81" s="69">
        <f t="shared" si="23"/>
        <v>0</v>
      </c>
      <c r="L81" s="69">
        <f t="shared" si="24"/>
        <v>0</v>
      </c>
      <c r="M81" s="69">
        <f t="shared" si="25"/>
        <v>0</v>
      </c>
      <c r="N81" s="69">
        <f t="shared" si="26"/>
        <v>0</v>
      </c>
      <c r="O81" s="70"/>
      <c r="P81" s="69"/>
      <c r="Q81" s="71"/>
      <c r="R81" s="49">
        <f t="shared" si="27"/>
        <v>0</v>
      </c>
      <c r="S81" s="49">
        <f>[1]BASE!A79</f>
        <v>70</v>
      </c>
      <c r="T81" s="69">
        <f t="shared" si="1"/>
        <v>0</v>
      </c>
      <c r="U81" s="69">
        <f t="shared" si="2"/>
        <v>0</v>
      </c>
      <c r="V81" s="69">
        <f t="shared" si="3"/>
        <v>0</v>
      </c>
      <c r="W81" s="69">
        <f t="shared" si="4"/>
        <v>0</v>
      </c>
      <c r="X81" s="69">
        <f t="shared" si="5"/>
        <v>0</v>
      </c>
    </row>
    <row r="82" spans="1:24" ht="20.25" customHeight="1">
      <c r="A82" s="68" t="str">
        <f>IF(BASE!B80="","",BASE!B80)</f>
        <v/>
      </c>
      <c r="B82" s="49" t="s">
        <v>2</v>
      </c>
      <c r="C82" s="69">
        <f t="shared" si="17"/>
        <v>0</v>
      </c>
      <c r="D82" s="69">
        <f t="shared" si="18"/>
        <v>0</v>
      </c>
      <c r="E82" s="69">
        <f t="shared" si="19"/>
        <v>0</v>
      </c>
      <c r="F82" s="69">
        <f t="shared" si="20"/>
        <v>0</v>
      </c>
      <c r="G82" s="69">
        <f t="shared" si="21"/>
        <v>0</v>
      </c>
      <c r="H82" s="70"/>
      <c r="I82" s="69"/>
      <c r="J82" s="69">
        <f t="shared" si="22"/>
        <v>0</v>
      </c>
      <c r="K82" s="69">
        <f t="shared" si="23"/>
        <v>0</v>
      </c>
      <c r="L82" s="69">
        <f t="shared" si="24"/>
        <v>0</v>
      </c>
      <c r="M82" s="69">
        <f t="shared" si="25"/>
        <v>0</v>
      </c>
      <c r="N82" s="69">
        <f t="shared" si="26"/>
        <v>0</v>
      </c>
      <c r="O82" s="70"/>
      <c r="P82" s="69"/>
      <c r="Q82" s="71"/>
      <c r="R82" s="49">
        <f t="shared" si="27"/>
        <v>0</v>
      </c>
      <c r="S82" s="49">
        <f>[1]BASE!A80</f>
        <v>71</v>
      </c>
      <c r="T82" s="69">
        <f t="shared" si="1"/>
        <v>0</v>
      </c>
      <c r="U82" s="69">
        <f t="shared" si="2"/>
        <v>0</v>
      </c>
      <c r="V82" s="69">
        <f t="shared" si="3"/>
        <v>0</v>
      </c>
      <c r="W82" s="69">
        <f t="shared" si="4"/>
        <v>0</v>
      </c>
      <c r="X82" s="69">
        <f t="shared" si="5"/>
        <v>0</v>
      </c>
    </row>
    <row r="83" spans="1:24" ht="20.25" customHeight="1">
      <c r="A83" s="68" t="str">
        <f>IF(BASE!B81="","",BASE!B81)</f>
        <v/>
      </c>
      <c r="B83" s="49" t="s">
        <v>2</v>
      </c>
      <c r="C83" s="69">
        <f t="shared" si="17"/>
        <v>0</v>
      </c>
      <c r="D83" s="69">
        <f t="shared" si="18"/>
        <v>0</v>
      </c>
      <c r="E83" s="69">
        <f t="shared" si="19"/>
        <v>0</v>
      </c>
      <c r="F83" s="69">
        <f t="shared" si="20"/>
        <v>0</v>
      </c>
      <c r="G83" s="69">
        <f t="shared" si="21"/>
        <v>0</v>
      </c>
      <c r="H83" s="70"/>
      <c r="I83" s="69"/>
      <c r="J83" s="69">
        <f t="shared" si="22"/>
        <v>0</v>
      </c>
      <c r="K83" s="69">
        <f t="shared" si="23"/>
        <v>0</v>
      </c>
      <c r="L83" s="69">
        <f t="shared" si="24"/>
        <v>0</v>
      </c>
      <c r="M83" s="69">
        <f t="shared" si="25"/>
        <v>0</v>
      </c>
      <c r="N83" s="69">
        <f t="shared" si="26"/>
        <v>0</v>
      </c>
      <c r="O83" s="70"/>
      <c r="P83" s="69"/>
      <c r="Q83" s="71"/>
      <c r="R83" s="49">
        <f t="shared" si="27"/>
        <v>0</v>
      </c>
      <c r="S83" s="49">
        <f>[1]BASE!A81</f>
        <v>72</v>
      </c>
      <c r="T83" s="69">
        <f t="shared" si="1"/>
        <v>0</v>
      </c>
      <c r="U83" s="69">
        <f t="shared" si="2"/>
        <v>0</v>
      </c>
      <c r="V83" s="69">
        <f t="shared" si="3"/>
        <v>0</v>
      </c>
      <c r="W83" s="69">
        <f t="shared" si="4"/>
        <v>0</v>
      </c>
      <c r="X83" s="69">
        <f t="shared" si="5"/>
        <v>0</v>
      </c>
    </row>
    <row r="84" spans="1:24" ht="20.25" customHeight="1">
      <c r="A84" s="68" t="str">
        <f>IF(BASE!B82="","",BASE!B82)</f>
        <v/>
      </c>
      <c r="B84" s="49" t="s">
        <v>2</v>
      </c>
      <c r="C84" s="69">
        <f t="shared" si="17"/>
        <v>0</v>
      </c>
      <c r="D84" s="69">
        <f t="shared" si="18"/>
        <v>0</v>
      </c>
      <c r="E84" s="69">
        <f t="shared" si="19"/>
        <v>0</v>
      </c>
      <c r="F84" s="69">
        <f t="shared" si="20"/>
        <v>0</v>
      </c>
      <c r="G84" s="69">
        <f t="shared" si="21"/>
        <v>0</v>
      </c>
      <c r="H84" s="70"/>
      <c r="I84" s="69"/>
      <c r="J84" s="69">
        <f t="shared" si="22"/>
        <v>0</v>
      </c>
      <c r="K84" s="69">
        <f t="shared" si="23"/>
        <v>0</v>
      </c>
      <c r="L84" s="69">
        <f t="shared" si="24"/>
        <v>0</v>
      </c>
      <c r="M84" s="69">
        <f t="shared" si="25"/>
        <v>0</v>
      </c>
      <c r="N84" s="69">
        <f t="shared" si="26"/>
        <v>0</v>
      </c>
      <c r="O84" s="70"/>
      <c r="P84" s="69"/>
      <c r="Q84" s="71"/>
      <c r="R84" s="49">
        <f t="shared" si="27"/>
        <v>0</v>
      </c>
      <c r="S84" s="49">
        <f>[1]BASE!A82</f>
        <v>73</v>
      </c>
      <c r="T84" s="69">
        <f t="shared" si="1"/>
        <v>0</v>
      </c>
      <c r="U84" s="69">
        <f t="shared" si="2"/>
        <v>0</v>
      </c>
      <c r="V84" s="69">
        <f t="shared" si="3"/>
        <v>0</v>
      </c>
      <c r="W84" s="69">
        <f t="shared" si="4"/>
        <v>0</v>
      </c>
      <c r="X84" s="69">
        <f t="shared" si="5"/>
        <v>0</v>
      </c>
    </row>
    <row r="85" spans="1:24" ht="20.25" customHeight="1">
      <c r="A85" s="68" t="str">
        <f>IF(BASE!B83="","",BASE!B83)</f>
        <v/>
      </c>
      <c r="B85" s="49" t="s">
        <v>2</v>
      </c>
      <c r="C85" s="69">
        <f t="shared" si="17"/>
        <v>0</v>
      </c>
      <c r="D85" s="69">
        <f t="shared" si="18"/>
        <v>0</v>
      </c>
      <c r="E85" s="69">
        <f t="shared" si="19"/>
        <v>0</v>
      </c>
      <c r="F85" s="69">
        <f t="shared" si="20"/>
        <v>0</v>
      </c>
      <c r="G85" s="69">
        <f t="shared" si="21"/>
        <v>0</v>
      </c>
      <c r="H85" s="70"/>
      <c r="I85" s="69"/>
      <c r="J85" s="69">
        <f t="shared" si="22"/>
        <v>0</v>
      </c>
      <c r="K85" s="69">
        <f t="shared" si="23"/>
        <v>0</v>
      </c>
      <c r="L85" s="69">
        <f t="shared" si="24"/>
        <v>0</v>
      </c>
      <c r="M85" s="69">
        <f t="shared" si="25"/>
        <v>0</v>
      </c>
      <c r="N85" s="69">
        <f t="shared" si="26"/>
        <v>0</v>
      </c>
      <c r="O85" s="70"/>
      <c r="P85" s="69"/>
      <c r="Q85" s="71"/>
      <c r="R85" s="49">
        <f t="shared" si="27"/>
        <v>0</v>
      </c>
      <c r="S85" s="49">
        <f>[1]BASE!A83</f>
        <v>74</v>
      </c>
      <c r="T85" s="69">
        <f t="shared" si="1"/>
        <v>0</v>
      </c>
      <c r="U85" s="69">
        <f t="shared" si="2"/>
        <v>0</v>
      </c>
      <c r="V85" s="69">
        <f t="shared" si="3"/>
        <v>0</v>
      </c>
      <c r="W85" s="69">
        <f t="shared" si="4"/>
        <v>0</v>
      </c>
      <c r="X85" s="69">
        <f t="shared" si="5"/>
        <v>0</v>
      </c>
    </row>
    <row r="86" spans="1:24" ht="20.25" customHeight="1">
      <c r="A86" s="68" t="str">
        <f>IF(BASE!B84="","",BASE!B84)</f>
        <v/>
      </c>
      <c r="B86" s="49" t="s">
        <v>2</v>
      </c>
      <c r="C86" s="69">
        <f t="shared" si="17"/>
        <v>0</v>
      </c>
      <c r="D86" s="69">
        <f t="shared" si="18"/>
        <v>0</v>
      </c>
      <c r="E86" s="69">
        <f t="shared" si="19"/>
        <v>0</v>
      </c>
      <c r="F86" s="69">
        <f t="shared" si="20"/>
        <v>0</v>
      </c>
      <c r="G86" s="69">
        <f t="shared" si="21"/>
        <v>0</v>
      </c>
      <c r="H86" s="70"/>
      <c r="I86" s="69"/>
      <c r="J86" s="69">
        <f t="shared" si="22"/>
        <v>0</v>
      </c>
      <c r="K86" s="69">
        <f t="shared" si="23"/>
        <v>0</v>
      </c>
      <c r="L86" s="69">
        <f t="shared" si="24"/>
        <v>0</v>
      </c>
      <c r="M86" s="69">
        <f t="shared" si="25"/>
        <v>0</v>
      </c>
      <c r="N86" s="69">
        <f t="shared" si="26"/>
        <v>0</v>
      </c>
      <c r="O86" s="70"/>
      <c r="P86" s="69"/>
      <c r="Q86" s="71"/>
      <c r="R86" s="49">
        <f t="shared" si="27"/>
        <v>0</v>
      </c>
      <c r="S86" s="49">
        <f>[1]BASE!A84</f>
        <v>75</v>
      </c>
      <c r="T86" s="69">
        <f t="shared" si="1"/>
        <v>0</v>
      </c>
      <c r="U86" s="69">
        <f t="shared" si="2"/>
        <v>0</v>
      </c>
      <c r="V86" s="69">
        <f t="shared" si="3"/>
        <v>0</v>
      </c>
      <c r="W86" s="69">
        <f t="shared" si="4"/>
        <v>0</v>
      </c>
      <c r="X86" s="69">
        <f t="shared" si="5"/>
        <v>0</v>
      </c>
    </row>
    <row r="87" spans="1:24" ht="20.25" customHeight="1">
      <c r="A87" s="68" t="str">
        <f>IF(BASE!B85="","",BASE!B85)</f>
        <v/>
      </c>
      <c r="B87" s="49" t="s">
        <v>2</v>
      </c>
      <c r="C87" s="69">
        <f t="shared" si="17"/>
        <v>0</v>
      </c>
      <c r="D87" s="69">
        <f t="shared" si="18"/>
        <v>0</v>
      </c>
      <c r="E87" s="69">
        <f t="shared" si="19"/>
        <v>0</v>
      </c>
      <c r="F87" s="69">
        <f t="shared" si="20"/>
        <v>0</v>
      </c>
      <c r="G87" s="69">
        <f t="shared" si="21"/>
        <v>0</v>
      </c>
      <c r="H87" s="70"/>
      <c r="I87" s="69"/>
      <c r="J87" s="69">
        <f t="shared" si="22"/>
        <v>0</v>
      </c>
      <c r="K87" s="69">
        <f t="shared" si="23"/>
        <v>0</v>
      </c>
      <c r="L87" s="69">
        <f t="shared" si="24"/>
        <v>0</v>
      </c>
      <c r="M87" s="69">
        <f t="shared" si="25"/>
        <v>0</v>
      </c>
      <c r="N87" s="69">
        <f t="shared" si="26"/>
        <v>0</v>
      </c>
      <c r="O87" s="70"/>
      <c r="P87" s="69"/>
      <c r="Q87" s="71"/>
      <c r="R87" s="49">
        <f t="shared" si="27"/>
        <v>0</v>
      </c>
      <c r="S87" s="49">
        <f>[1]BASE!A85</f>
        <v>76</v>
      </c>
      <c r="T87" s="69">
        <f t="shared" si="1"/>
        <v>0</v>
      </c>
      <c r="U87" s="69">
        <f t="shared" si="2"/>
        <v>0</v>
      </c>
      <c r="V87" s="69">
        <f t="shared" si="3"/>
        <v>0</v>
      </c>
      <c r="W87" s="69">
        <f t="shared" si="4"/>
        <v>0</v>
      </c>
      <c r="X87" s="69">
        <f t="shared" si="5"/>
        <v>0</v>
      </c>
    </row>
    <row r="88" spans="1:24" ht="20.25" customHeight="1">
      <c r="A88" s="68" t="str">
        <f>IF(BASE!B86="","",BASE!B86)</f>
        <v/>
      </c>
      <c r="B88" s="49" t="s">
        <v>2</v>
      </c>
      <c r="C88" s="69">
        <f t="shared" si="17"/>
        <v>0</v>
      </c>
      <c r="D88" s="69">
        <f t="shared" si="18"/>
        <v>0</v>
      </c>
      <c r="E88" s="69">
        <f t="shared" si="19"/>
        <v>0</v>
      </c>
      <c r="F88" s="69">
        <f t="shared" si="20"/>
        <v>0</v>
      </c>
      <c r="G88" s="69">
        <f t="shared" si="21"/>
        <v>0</v>
      </c>
      <c r="H88" s="70"/>
      <c r="I88" s="69"/>
      <c r="J88" s="69">
        <f t="shared" si="22"/>
        <v>0</v>
      </c>
      <c r="K88" s="69">
        <f t="shared" si="23"/>
        <v>0</v>
      </c>
      <c r="L88" s="69">
        <f t="shared" si="24"/>
        <v>0</v>
      </c>
      <c r="M88" s="69">
        <f t="shared" si="25"/>
        <v>0</v>
      </c>
      <c r="N88" s="69">
        <f t="shared" si="26"/>
        <v>0</v>
      </c>
      <c r="O88" s="70"/>
      <c r="P88" s="69"/>
      <c r="Q88" s="71"/>
      <c r="R88" s="49">
        <f t="shared" si="27"/>
        <v>0</v>
      </c>
      <c r="S88" s="49">
        <f>[1]BASE!A86</f>
        <v>77</v>
      </c>
      <c r="T88" s="69">
        <f t="shared" si="1"/>
        <v>0</v>
      </c>
      <c r="U88" s="69">
        <f t="shared" si="2"/>
        <v>0</v>
      </c>
      <c r="V88" s="69">
        <f t="shared" si="3"/>
        <v>0</v>
      </c>
      <c r="W88" s="69">
        <f t="shared" si="4"/>
        <v>0</v>
      </c>
      <c r="X88" s="69">
        <f t="shared" si="5"/>
        <v>0</v>
      </c>
    </row>
    <row r="89" spans="1:24" ht="20.25" customHeight="1">
      <c r="A89" s="68" t="str">
        <f>IF(BASE!B87="","",BASE!B87)</f>
        <v/>
      </c>
      <c r="B89" s="49" t="s">
        <v>2</v>
      </c>
      <c r="C89" s="69">
        <f t="shared" si="17"/>
        <v>0</v>
      </c>
      <c r="D89" s="69">
        <f t="shared" si="18"/>
        <v>0</v>
      </c>
      <c r="E89" s="69">
        <f t="shared" si="19"/>
        <v>0</v>
      </c>
      <c r="F89" s="69">
        <f t="shared" si="20"/>
        <v>0</v>
      </c>
      <c r="G89" s="69">
        <f t="shared" si="21"/>
        <v>0</v>
      </c>
      <c r="H89" s="70"/>
      <c r="I89" s="69"/>
      <c r="J89" s="69">
        <f t="shared" si="22"/>
        <v>0</v>
      </c>
      <c r="K89" s="69">
        <f t="shared" si="23"/>
        <v>0</v>
      </c>
      <c r="L89" s="69">
        <f t="shared" si="24"/>
        <v>0</v>
      </c>
      <c r="M89" s="69">
        <f t="shared" si="25"/>
        <v>0</v>
      </c>
      <c r="N89" s="69">
        <f t="shared" si="26"/>
        <v>0</v>
      </c>
      <c r="O89" s="70"/>
      <c r="P89" s="69"/>
      <c r="Q89" s="71"/>
      <c r="R89" s="49">
        <f t="shared" si="27"/>
        <v>0</v>
      </c>
      <c r="S89" s="49">
        <f>[1]BASE!A87</f>
        <v>78</v>
      </c>
      <c r="T89" s="69">
        <f t="shared" si="1"/>
        <v>0</v>
      </c>
      <c r="U89" s="69">
        <f t="shared" si="2"/>
        <v>0</v>
      </c>
      <c r="V89" s="69">
        <f t="shared" si="3"/>
        <v>0</v>
      </c>
      <c r="W89" s="69">
        <f t="shared" si="4"/>
        <v>0</v>
      </c>
      <c r="X89" s="69">
        <f t="shared" si="5"/>
        <v>0</v>
      </c>
    </row>
    <row r="90" spans="1:24" ht="20.25" customHeight="1">
      <c r="A90" s="68" t="str">
        <f>IF(BASE!B88="","",BASE!B88)</f>
        <v/>
      </c>
      <c r="B90" s="49" t="s">
        <v>2</v>
      </c>
      <c r="C90" s="69">
        <f t="shared" si="17"/>
        <v>0</v>
      </c>
      <c r="D90" s="69">
        <f t="shared" si="18"/>
        <v>0</v>
      </c>
      <c r="E90" s="69">
        <f t="shared" si="19"/>
        <v>0</v>
      </c>
      <c r="F90" s="69">
        <f t="shared" si="20"/>
        <v>0</v>
      </c>
      <c r="G90" s="69">
        <f t="shared" si="21"/>
        <v>0</v>
      </c>
      <c r="H90" s="70"/>
      <c r="I90" s="69"/>
      <c r="J90" s="69">
        <f t="shared" si="22"/>
        <v>0</v>
      </c>
      <c r="K90" s="69">
        <f t="shared" si="23"/>
        <v>0</v>
      </c>
      <c r="L90" s="69">
        <f t="shared" si="24"/>
        <v>0</v>
      </c>
      <c r="M90" s="69">
        <f t="shared" si="25"/>
        <v>0</v>
      </c>
      <c r="N90" s="69">
        <f t="shared" si="26"/>
        <v>0</v>
      </c>
      <c r="O90" s="70"/>
      <c r="P90" s="69"/>
      <c r="Q90" s="71"/>
      <c r="R90" s="49">
        <f t="shared" si="27"/>
        <v>0</v>
      </c>
      <c r="S90" s="49">
        <f>[1]BASE!A88</f>
        <v>79</v>
      </c>
      <c r="T90" s="69">
        <f t="shared" si="1"/>
        <v>0</v>
      </c>
      <c r="U90" s="69">
        <f t="shared" si="2"/>
        <v>0</v>
      </c>
      <c r="V90" s="69">
        <f t="shared" si="3"/>
        <v>0</v>
      </c>
      <c r="W90" s="69">
        <f t="shared" si="4"/>
        <v>0</v>
      </c>
      <c r="X90" s="69">
        <f t="shared" si="5"/>
        <v>0</v>
      </c>
    </row>
    <row r="91" spans="1:24" ht="20.25" customHeight="1">
      <c r="A91" s="68" t="str">
        <f>IF(BASE!B89="","",BASE!B89)</f>
        <v/>
      </c>
      <c r="B91" s="49" t="s">
        <v>2</v>
      </c>
      <c r="C91" s="69">
        <f t="shared" si="17"/>
        <v>0</v>
      </c>
      <c r="D91" s="69">
        <f t="shared" si="18"/>
        <v>0</v>
      </c>
      <c r="E91" s="69">
        <f t="shared" si="19"/>
        <v>0</v>
      </c>
      <c r="F91" s="69">
        <f t="shared" si="20"/>
        <v>0</v>
      </c>
      <c r="G91" s="69">
        <f t="shared" si="21"/>
        <v>0</v>
      </c>
      <c r="H91" s="70"/>
      <c r="I91" s="69"/>
      <c r="J91" s="69">
        <f t="shared" si="22"/>
        <v>0</v>
      </c>
      <c r="K91" s="69">
        <f t="shared" si="23"/>
        <v>0</v>
      </c>
      <c r="L91" s="69">
        <f t="shared" si="24"/>
        <v>0</v>
      </c>
      <c r="M91" s="69">
        <f t="shared" si="25"/>
        <v>0</v>
      </c>
      <c r="N91" s="69">
        <f t="shared" si="26"/>
        <v>0</v>
      </c>
      <c r="O91" s="70"/>
      <c r="P91" s="69"/>
      <c r="Q91" s="71"/>
      <c r="R91" s="49">
        <f t="shared" si="27"/>
        <v>0</v>
      </c>
      <c r="S91" s="49">
        <f>[1]BASE!A89</f>
        <v>80</v>
      </c>
      <c r="T91" s="69">
        <f t="shared" si="1"/>
        <v>0</v>
      </c>
      <c r="U91" s="69">
        <f t="shared" si="2"/>
        <v>0</v>
      </c>
      <c r="V91" s="69">
        <f t="shared" si="3"/>
        <v>0</v>
      </c>
      <c r="W91" s="69">
        <f t="shared" si="4"/>
        <v>0</v>
      </c>
      <c r="X91" s="69">
        <f t="shared" si="5"/>
        <v>0</v>
      </c>
    </row>
    <row r="92" spans="1:24" ht="20.25" customHeight="1">
      <c r="A92" s="68" t="str">
        <f>IF(BASE!B90="","",BASE!B90)</f>
        <v/>
      </c>
      <c r="B92" s="49" t="s">
        <v>2</v>
      </c>
      <c r="C92" s="69">
        <f t="shared" si="17"/>
        <v>0</v>
      </c>
      <c r="D92" s="69">
        <f t="shared" si="18"/>
        <v>0</v>
      </c>
      <c r="E92" s="69">
        <f t="shared" si="19"/>
        <v>0</v>
      </c>
      <c r="F92" s="69">
        <f t="shared" si="20"/>
        <v>0</v>
      </c>
      <c r="G92" s="69">
        <f t="shared" si="21"/>
        <v>0</v>
      </c>
      <c r="H92" s="70"/>
      <c r="I92" s="69"/>
      <c r="J92" s="69">
        <f t="shared" si="22"/>
        <v>0</v>
      </c>
      <c r="K92" s="69">
        <f t="shared" si="23"/>
        <v>0</v>
      </c>
      <c r="L92" s="69">
        <f t="shared" si="24"/>
        <v>0</v>
      </c>
      <c r="M92" s="69">
        <f t="shared" si="25"/>
        <v>0</v>
      </c>
      <c r="N92" s="69">
        <f t="shared" si="26"/>
        <v>0</v>
      </c>
      <c r="O92" s="70"/>
      <c r="P92" s="69"/>
      <c r="Q92" s="71"/>
      <c r="R92" s="49">
        <f t="shared" si="27"/>
        <v>0</v>
      </c>
      <c r="S92" s="49">
        <f>[1]BASE!A90</f>
        <v>81</v>
      </c>
      <c r="T92" s="69">
        <f t="shared" si="1"/>
        <v>0</v>
      </c>
      <c r="U92" s="69">
        <f t="shared" si="2"/>
        <v>0</v>
      </c>
      <c r="V92" s="69">
        <f t="shared" si="3"/>
        <v>0</v>
      </c>
      <c r="W92" s="69">
        <f t="shared" si="4"/>
        <v>0</v>
      </c>
      <c r="X92" s="69">
        <f t="shared" si="5"/>
        <v>0</v>
      </c>
    </row>
    <row r="93" spans="1:24" ht="20.25" customHeight="1">
      <c r="A93" s="68" t="str">
        <f>IF(BASE!B91="","",BASE!B91)</f>
        <v/>
      </c>
      <c r="B93" s="49" t="s">
        <v>2</v>
      </c>
      <c r="C93" s="69">
        <f t="shared" si="17"/>
        <v>0</v>
      </c>
      <c r="D93" s="69">
        <f t="shared" si="18"/>
        <v>0</v>
      </c>
      <c r="E93" s="69">
        <f t="shared" si="19"/>
        <v>0</v>
      </c>
      <c r="F93" s="69">
        <f t="shared" si="20"/>
        <v>0</v>
      </c>
      <c r="G93" s="69">
        <f t="shared" si="21"/>
        <v>0</v>
      </c>
      <c r="H93" s="70"/>
      <c r="I93" s="69"/>
      <c r="J93" s="69">
        <f t="shared" si="22"/>
        <v>0</v>
      </c>
      <c r="K93" s="69">
        <f t="shared" si="23"/>
        <v>0</v>
      </c>
      <c r="L93" s="69">
        <f t="shared" si="24"/>
        <v>0</v>
      </c>
      <c r="M93" s="69">
        <f t="shared" si="25"/>
        <v>0</v>
      </c>
      <c r="N93" s="69">
        <f t="shared" si="26"/>
        <v>0</v>
      </c>
      <c r="O93" s="70"/>
      <c r="P93" s="69"/>
      <c r="Q93" s="71"/>
      <c r="R93" s="49">
        <f t="shared" si="27"/>
        <v>0</v>
      </c>
      <c r="S93" s="49">
        <f>[1]BASE!A91</f>
        <v>82</v>
      </c>
      <c r="T93" s="69">
        <f t="shared" si="1"/>
        <v>0</v>
      </c>
      <c r="U93" s="69">
        <f t="shared" si="2"/>
        <v>0</v>
      </c>
      <c r="V93" s="69">
        <f t="shared" si="3"/>
        <v>0</v>
      </c>
      <c r="W93" s="69">
        <f t="shared" si="4"/>
        <v>0</v>
      </c>
      <c r="X93" s="69">
        <f t="shared" si="5"/>
        <v>0</v>
      </c>
    </row>
    <row r="94" spans="1:24" ht="20.25" customHeight="1">
      <c r="A94" s="68" t="str">
        <f>IF(BASE!B92="","",BASE!B92)</f>
        <v/>
      </c>
      <c r="B94" s="49" t="s">
        <v>2</v>
      </c>
      <c r="C94" s="69">
        <f t="shared" si="17"/>
        <v>0</v>
      </c>
      <c r="D94" s="69">
        <f t="shared" si="18"/>
        <v>0</v>
      </c>
      <c r="E94" s="69">
        <f t="shared" si="19"/>
        <v>0</v>
      </c>
      <c r="F94" s="69">
        <f t="shared" si="20"/>
        <v>0</v>
      </c>
      <c r="G94" s="69">
        <f t="shared" si="21"/>
        <v>0</v>
      </c>
      <c r="H94" s="70"/>
      <c r="I94" s="69"/>
      <c r="J94" s="69">
        <f t="shared" si="22"/>
        <v>0</v>
      </c>
      <c r="K94" s="69">
        <f t="shared" si="23"/>
        <v>0</v>
      </c>
      <c r="L94" s="69">
        <f t="shared" si="24"/>
        <v>0</v>
      </c>
      <c r="M94" s="69">
        <f t="shared" si="25"/>
        <v>0</v>
      </c>
      <c r="N94" s="69">
        <f t="shared" si="26"/>
        <v>0</v>
      </c>
      <c r="O94" s="70"/>
      <c r="P94" s="69"/>
      <c r="Q94" s="71"/>
      <c r="R94" s="49">
        <f t="shared" si="27"/>
        <v>0</v>
      </c>
      <c r="S94" s="49">
        <f>[1]BASE!A92</f>
        <v>83</v>
      </c>
      <c r="T94" s="69">
        <f t="shared" si="1"/>
        <v>0</v>
      </c>
      <c r="U94" s="69">
        <f t="shared" si="2"/>
        <v>0</v>
      </c>
      <c r="V94" s="69">
        <f t="shared" si="3"/>
        <v>0</v>
      </c>
      <c r="W94" s="69">
        <f t="shared" si="4"/>
        <v>0</v>
      </c>
      <c r="X94" s="69">
        <f t="shared" si="5"/>
        <v>0</v>
      </c>
    </row>
    <row r="95" spans="1:24" ht="20.25" customHeight="1">
      <c r="A95" s="68" t="str">
        <f>IF(BASE!B93="","",BASE!B93)</f>
        <v/>
      </c>
      <c r="B95" s="49" t="s">
        <v>2</v>
      </c>
      <c r="C95" s="69">
        <f t="shared" si="17"/>
        <v>0</v>
      </c>
      <c r="D95" s="69">
        <f t="shared" si="18"/>
        <v>0</v>
      </c>
      <c r="E95" s="69">
        <f t="shared" si="19"/>
        <v>0</v>
      </c>
      <c r="F95" s="69">
        <f t="shared" si="20"/>
        <v>0</v>
      </c>
      <c r="G95" s="69">
        <f t="shared" si="21"/>
        <v>0</v>
      </c>
      <c r="H95" s="70"/>
      <c r="I95" s="69"/>
      <c r="J95" s="69">
        <f t="shared" si="22"/>
        <v>0</v>
      </c>
      <c r="K95" s="69">
        <f t="shared" si="23"/>
        <v>0</v>
      </c>
      <c r="L95" s="69">
        <f t="shared" si="24"/>
        <v>0</v>
      </c>
      <c r="M95" s="69">
        <f t="shared" si="25"/>
        <v>0</v>
      </c>
      <c r="N95" s="69">
        <f t="shared" si="26"/>
        <v>0</v>
      </c>
      <c r="O95" s="70"/>
      <c r="P95" s="69"/>
      <c r="Q95" s="71"/>
      <c r="R95" s="49">
        <f t="shared" si="27"/>
        <v>0</v>
      </c>
      <c r="S95" s="49">
        <f>[1]BASE!A93</f>
        <v>84</v>
      </c>
      <c r="T95" s="69">
        <f t="shared" si="1"/>
        <v>0</v>
      </c>
      <c r="U95" s="69">
        <f t="shared" si="2"/>
        <v>0</v>
      </c>
      <c r="V95" s="69">
        <f t="shared" si="3"/>
        <v>0</v>
      </c>
      <c r="W95" s="69">
        <f t="shared" si="4"/>
        <v>0</v>
      </c>
      <c r="X95" s="69">
        <f t="shared" si="5"/>
        <v>0</v>
      </c>
    </row>
    <row r="96" spans="1:24" ht="20.25" customHeight="1">
      <c r="A96" s="68" t="str">
        <f>IF(BASE!B94="","",BASE!B94)</f>
        <v/>
      </c>
      <c r="B96" s="49" t="s">
        <v>2</v>
      </c>
      <c r="C96" s="69">
        <f t="shared" si="17"/>
        <v>0</v>
      </c>
      <c r="D96" s="69">
        <f t="shared" si="18"/>
        <v>0</v>
      </c>
      <c r="E96" s="69">
        <f t="shared" si="19"/>
        <v>0</v>
      </c>
      <c r="F96" s="69">
        <f t="shared" si="20"/>
        <v>0</v>
      </c>
      <c r="G96" s="69">
        <f t="shared" si="21"/>
        <v>0</v>
      </c>
      <c r="H96" s="70"/>
      <c r="I96" s="69"/>
      <c r="J96" s="69">
        <f t="shared" si="22"/>
        <v>0</v>
      </c>
      <c r="K96" s="69">
        <f t="shared" si="23"/>
        <v>0</v>
      </c>
      <c r="L96" s="69">
        <f t="shared" si="24"/>
        <v>0</v>
      </c>
      <c r="M96" s="69">
        <f t="shared" si="25"/>
        <v>0</v>
      </c>
      <c r="N96" s="69">
        <f t="shared" si="26"/>
        <v>0</v>
      </c>
      <c r="O96" s="70"/>
      <c r="P96" s="69"/>
      <c r="Q96" s="71"/>
      <c r="R96" s="49">
        <f t="shared" si="27"/>
        <v>0</v>
      </c>
      <c r="S96" s="49">
        <f>[1]BASE!A94</f>
        <v>85</v>
      </c>
      <c r="T96" s="69">
        <f t="shared" si="1"/>
        <v>0</v>
      </c>
      <c r="U96" s="69">
        <f t="shared" si="2"/>
        <v>0</v>
      </c>
      <c r="V96" s="69">
        <f t="shared" si="3"/>
        <v>0</v>
      </c>
      <c r="W96" s="69">
        <f t="shared" si="4"/>
        <v>0</v>
      </c>
      <c r="X96" s="69">
        <f t="shared" si="5"/>
        <v>0</v>
      </c>
    </row>
    <row r="97" spans="1:24" ht="20.25" customHeight="1">
      <c r="A97" s="68" t="str">
        <f>IF(BASE!B95="","",BASE!B95)</f>
        <v/>
      </c>
      <c r="B97" s="49" t="s">
        <v>2</v>
      </c>
      <c r="C97" s="69">
        <f t="shared" si="17"/>
        <v>0</v>
      </c>
      <c r="D97" s="69">
        <f t="shared" si="18"/>
        <v>0</v>
      </c>
      <c r="E97" s="69">
        <f t="shared" si="19"/>
        <v>0</v>
      </c>
      <c r="F97" s="69">
        <f t="shared" si="20"/>
        <v>0</v>
      </c>
      <c r="G97" s="69">
        <f t="shared" si="21"/>
        <v>0</v>
      </c>
      <c r="H97" s="70"/>
      <c r="I97" s="69"/>
      <c r="J97" s="69">
        <f t="shared" si="22"/>
        <v>0</v>
      </c>
      <c r="K97" s="69">
        <f t="shared" si="23"/>
        <v>0</v>
      </c>
      <c r="L97" s="69">
        <f t="shared" si="24"/>
        <v>0</v>
      </c>
      <c r="M97" s="69">
        <f t="shared" si="25"/>
        <v>0</v>
      </c>
      <c r="N97" s="69">
        <f t="shared" si="26"/>
        <v>0</v>
      </c>
      <c r="O97" s="70"/>
      <c r="P97" s="69"/>
      <c r="Q97" s="71"/>
      <c r="R97" s="49">
        <f t="shared" si="27"/>
        <v>0</v>
      </c>
      <c r="S97" s="49">
        <f>[1]BASE!A95</f>
        <v>86</v>
      </c>
      <c r="T97" s="69">
        <f t="shared" si="1"/>
        <v>0</v>
      </c>
      <c r="U97" s="69">
        <f t="shared" si="2"/>
        <v>0</v>
      </c>
      <c r="V97" s="69">
        <f t="shared" si="3"/>
        <v>0</v>
      </c>
      <c r="W97" s="69">
        <f t="shared" si="4"/>
        <v>0</v>
      </c>
      <c r="X97" s="69">
        <f t="shared" si="5"/>
        <v>0</v>
      </c>
    </row>
    <row r="98" spans="1:24" ht="20.25" customHeight="1">
      <c r="A98" s="68" t="str">
        <f>IF(BASE!B96="","",BASE!B96)</f>
        <v/>
      </c>
      <c r="B98" s="49" t="s">
        <v>2</v>
      </c>
      <c r="C98" s="69">
        <f t="shared" si="17"/>
        <v>0</v>
      </c>
      <c r="D98" s="69">
        <f t="shared" si="18"/>
        <v>0</v>
      </c>
      <c r="E98" s="69">
        <f t="shared" si="19"/>
        <v>0</v>
      </c>
      <c r="F98" s="69">
        <f t="shared" si="20"/>
        <v>0</v>
      </c>
      <c r="G98" s="69">
        <f t="shared" si="21"/>
        <v>0</v>
      </c>
      <c r="H98" s="70"/>
      <c r="I98" s="69"/>
      <c r="J98" s="69">
        <f t="shared" si="22"/>
        <v>0</v>
      </c>
      <c r="K98" s="69">
        <f t="shared" si="23"/>
        <v>0</v>
      </c>
      <c r="L98" s="69">
        <f t="shared" si="24"/>
        <v>0</v>
      </c>
      <c r="M98" s="69">
        <f t="shared" si="25"/>
        <v>0</v>
      </c>
      <c r="N98" s="69">
        <f t="shared" si="26"/>
        <v>0</v>
      </c>
      <c r="O98" s="70"/>
      <c r="P98" s="69"/>
      <c r="Q98" s="71"/>
      <c r="R98" s="49">
        <f t="shared" si="27"/>
        <v>0</v>
      </c>
      <c r="S98" s="49">
        <f>[1]BASE!A96</f>
        <v>87</v>
      </c>
      <c r="T98" s="69">
        <f t="shared" si="1"/>
        <v>0</v>
      </c>
      <c r="U98" s="69">
        <f t="shared" si="2"/>
        <v>0</v>
      </c>
      <c r="V98" s="69">
        <f t="shared" si="3"/>
        <v>0</v>
      </c>
      <c r="W98" s="69">
        <f t="shared" si="4"/>
        <v>0</v>
      </c>
      <c r="X98" s="69">
        <f t="shared" si="5"/>
        <v>0</v>
      </c>
    </row>
    <row r="99" spans="1:24" ht="20.25" customHeight="1">
      <c r="A99" s="68" t="str">
        <f>IF(BASE!B97="","",BASE!B97)</f>
        <v/>
      </c>
      <c r="B99" s="49" t="s">
        <v>2</v>
      </c>
      <c r="C99" s="69">
        <f t="shared" si="17"/>
        <v>0</v>
      </c>
      <c r="D99" s="69">
        <f t="shared" si="18"/>
        <v>0</v>
      </c>
      <c r="E99" s="69">
        <f t="shared" si="19"/>
        <v>0</v>
      </c>
      <c r="F99" s="69">
        <f t="shared" si="20"/>
        <v>0</v>
      </c>
      <c r="G99" s="69">
        <f t="shared" si="21"/>
        <v>0</v>
      </c>
      <c r="H99" s="70"/>
      <c r="I99" s="69"/>
      <c r="J99" s="69">
        <f t="shared" si="22"/>
        <v>0</v>
      </c>
      <c r="K99" s="69">
        <f t="shared" si="23"/>
        <v>0</v>
      </c>
      <c r="L99" s="69">
        <f t="shared" si="24"/>
        <v>0</v>
      </c>
      <c r="M99" s="69">
        <f t="shared" si="25"/>
        <v>0</v>
      </c>
      <c r="N99" s="69">
        <f t="shared" si="26"/>
        <v>0</v>
      </c>
      <c r="O99" s="70"/>
      <c r="P99" s="69"/>
      <c r="Q99" s="71"/>
      <c r="R99" s="49">
        <f t="shared" si="27"/>
        <v>0</v>
      </c>
      <c r="S99" s="49">
        <f>[1]BASE!A97</f>
        <v>88</v>
      </c>
      <c r="T99" s="69">
        <f t="shared" si="1"/>
        <v>0</v>
      </c>
      <c r="U99" s="69">
        <f t="shared" si="2"/>
        <v>0</v>
      </c>
      <c r="V99" s="69">
        <f t="shared" si="3"/>
        <v>0</v>
      </c>
      <c r="W99" s="69">
        <f t="shared" si="4"/>
        <v>0</v>
      </c>
      <c r="X99" s="69">
        <f t="shared" si="5"/>
        <v>0</v>
      </c>
    </row>
    <row r="100" spans="1:24" ht="20.25" customHeight="1">
      <c r="A100" s="68" t="str">
        <f>IF(BASE!B98="","",BASE!B98)</f>
        <v/>
      </c>
      <c r="B100" s="49" t="s">
        <v>2</v>
      </c>
      <c r="C100" s="69">
        <f t="shared" si="17"/>
        <v>0</v>
      </c>
      <c r="D100" s="69">
        <f t="shared" si="18"/>
        <v>0</v>
      </c>
      <c r="E100" s="69">
        <f t="shared" si="19"/>
        <v>0</v>
      </c>
      <c r="F100" s="69">
        <f t="shared" si="20"/>
        <v>0</v>
      </c>
      <c r="G100" s="69">
        <f t="shared" si="21"/>
        <v>0</v>
      </c>
      <c r="H100" s="70"/>
      <c r="I100" s="69"/>
      <c r="J100" s="69">
        <f t="shared" si="22"/>
        <v>0</v>
      </c>
      <c r="K100" s="69">
        <f t="shared" si="23"/>
        <v>0</v>
      </c>
      <c r="L100" s="69">
        <f t="shared" si="24"/>
        <v>0</v>
      </c>
      <c r="M100" s="69">
        <f t="shared" si="25"/>
        <v>0</v>
      </c>
      <c r="N100" s="69">
        <f t="shared" si="26"/>
        <v>0</v>
      </c>
      <c r="O100" s="70"/>
      <c r="P100" s="69"/>
      <c r="Q100" s="71"/>
      <c r="R100" s="49">
        <f t="shared" si="27"/>
        <v>0</v>
      </c>
      <c r="S100" s="49">
        <f>[1]BASE!A98</f>
        <v>89</v>
      </c>
      <c r="T100" s="69">
        <f t="shared" si="1"/>
        <v>0</v>
      </c>
      <c r="U100" s="69">
        <f t="shared" si="2"/>
        <v>0</v>
      </c>
      <c r="V100" s="69">
        <f t="shared" si="3"/>
        <v>0</v>
      </c>
      <c r="W100" s="69">
        <f t="shared" si="4"/>
        <v>0</v>
      </c>
      <c r="X100" s="69">
        <f t="shared" si="5"/>
        <v>0</v>
      </c>
    </row>
    <row r="101" spans="1:24" ht="20.25" customHeight="1">
      <c r="A101" s="68" t="str">
        <f>IF(BASE!B99="","",BASE!B99)</f>
        <v/>
      </c>
      <c r="B101" s="49" t="s">
        <v>2</v>
      </c>
      <c r="C101" s="69">
        <f t="shared" si="17"/>
        <v>0</v>
      </c>
      <c r="D101" s="69">
        <f t="shared" si="18"/>
        <v>0</v>
      </c>
      <c r="E101" s="69">
        <f t="shared" si="19"/>
        <v>0</v>
      </c>
      <c r="F101" s="69">
        <f t="shared" si="20"/>
        <v>0</v>
      </c>
      <c r="G101" s="69">
        <f t="shared" si="21"/>
        <v>0</v>
      </c>
      <c r="H101" s="70"/>
      <c r="I101" s="69"/>
      <c r="J101" s="69">
        <f t="shared" si="22"/>
        <v>0</v>
      </c>
      <c r="K101" s="69">
        <f t="shared" si="23"/>
        <v>0</v>
      </c>
      <c r="L101" s="69">
        <f t="shared" si="24"/>
        <v>0</v>
      </c>
      <c r="M101" s="69">
        <f t="shared" si="25"/>
        <v>0</v>
      </c>
      <c r="N101" s="69">
        <f t="shared" si="26"/>
        <v>0</v>
      </c>
      <c r="O101" s="70"/>
      <c r="P101" s="69"/>
      <c r="Q101" s="71"/>
      <c r="R101" s="49">
        <f t="shared" si="27"/>
        <v>0</v>
      </c>
      <c r="S101" s="49">
        <f>[1]BASE!A99</f>
        <v>90</v>
      </c>
      <c r="T101" s="69">
        <f t="shared" si="1"/>
        <v>0</v>
      </c>
      <c r="U101" s="69">
        <f t="shared" si="2"/>
        <v>0</v>
      </c>
      <c r="V101" s="69">
        <f t="shared" si="3"/>
        <v>0</v>
      </c>
      <c r="W101" s="69">
        <f t="shared" si="4"/>
        <v>0</v>
      </c>
      <c r="X101" s="69">
        <f t="shared" si="5"/>
        <v>0</v>
      </c>
    </row>
    <row r="102" spans="1:24" ht="20.25" customHeight="1">
      <c r="A102" s="68" t="str">
        <f>IF(BASE!B100="","",BASE!B100)</f>
        <v/>
      </c>
      <c r="B102" s="49" t="s">
        <v>2</v>
      </c>
      <c r="C102" s="69">
        <f t="shared" si="17"/>
        <v>0</v>
      </c>
      <c r="D102" s="69">
        <f t="shared" si="18"/>
        <v>0</v>
      </c>
      <c r="E102" s="69">
        <f t="shared" si="19"/>
        <v>0</v>
      </c>
      <c r="F102" s="69">
        <f t="shared" si="20"/>
        <v>0</v>
      </c>
      <c r="G102" s="69">
        <f t="shared" si="21"/>
        <v>0</v>
      </c>
      <c r="H102" s="70"/>
      <c r="I102" s="69"/>
      <c r="J102" s="69">
        <f t="shared" si="22"/>
        <v>0</v>
      </c>
      <c r="K102" s="69">
        <f t="shared" si="23"/>
        <v>0</v>
      </c>
      <c r="L102" s="69">
        <f t="shared" si="24"/>
        <v>0</v>
      </c>
      <c r="M102" s="69">
        <f t="shared" si="25"/>
        <v>0</v>
      </c>
      <c r="N102" s="69">
        <f t="shared" si="26"/>
        <v>0</v>
      </c>
      <c r="O102" s="70"/>
      <c r="P102" s="69"/>
      <c r="Q102" s="71"/>
      <c r="R102" s="49">
        <f t="shared" si="27"/>
        <v>0</v>
      </c>
      <c r="S102" s="49">
        <f>[1]BASE!A100</f>
        <v>91</v>
      </c>
      <c r="T102" s="69">
        <f t="shared" si="1"/>
        <v>0</v>
      </c>
      <c r="U102" s="69">
        <f t="shared" si="2"/>
        <v>0</v>
      </c>
      <c r="V102" s="69">
        <f t="shared" si="3"/>
        <v>0</v>
      </c>
      <c r="W102" s="69">
        <f t="shared" si="4"/>
        <v>0</v>
      </c>
      <c r="X102" s="69">
        <f t="shared" si="5"/>
        <v>0</v>
      </c>
    </row>
    <row r="103" spans="1:24" ht="20.25" customHeight="1">
      <c r="A103" s="68" t="str">
        <f>IF(BASE!B101="","",BASE!B101)</f>
        <v/>
      </c>
      <c r="B103" s="49" t="s">
        <v>2</v>
      </c>
      <c r="C103" s="69">
        <f t="shared" si="17"/>
        <v>0</v>
      </c>
      <c r="D103" s="69">
        <f t="shared" si="18"/>
        <v>0</v>
      </c>
      <c r="E103" s="69">
        <f t="shared" si="19"/>
        <v>0</v>
      </c>
      <c r="F103" s="69">
        <f t="shared" si="20"/>
        <v>0</v>
      </c>
      <c r="G103" s="69">
        <f t="shared" si="21"/>
        <v>0</v>
      </c>
      <c r="H103" s="70"/>
      <c r="I103" s="69"/>
      <c r="J103" s="69">
        <f t="shared" si="22"/>
        <v>0</v>
      </c>
      <c r="K103" s="69">
        <f t="shared" si="23"/>
        <v>0</v>
      </c>
      <c r="L103" s="69">
        <f t="shared" si="24"/>
        <v>0</v>
      </c>
      <c r="M103" s="69">
        <f t="shared" si="25"/>
        <v>0</v>
      </c>
      <c r="N103" s="69">
        <f t="shared" si="26"/>
        <v>0</v>
      </c>
      <c r="O103" s="70"/>
      <c r="P103" s="69"/>
      <c r="Q103" s="71"/>
      <c r="R103" s="49">
        <f t="shared" si="27"/>
        <v>0</v>
      </c>
      <c r="S103" s="49">
        <f>[1]BASE!A101</f>
        <v>92</v>
      </c>
      <c r="T103" s="69">
        <f t="shared" si="1"/>
        <v>0</v>
      </c>
      <c r="U103" s="69">
        <f t="shared" si="2"/>
        <v>0</v>
      </c>
      <c r="V103" s="69">
        <f t="shared" si="3"/>
        <v>0</v>
      </c>
      <c r="W103" s="69">
        <f t="shared" si="4"/>
        <v>0</v>
      </c>
      <c r="X103" s="69">
        <f t="shared" si="5"/>
        <v>0</v>
      </c>
    </row>
    <row r="104" spans="1:24" ht="20.25" customHeight="1">
      <c r="A104" s="68" t="str">
        <f>IF(BASE!B102="","",BASE!B102)</f>
        <v/>
      </c>
      <c r="B104" s="49" t="s">
        <v>2</v>
      </c>
      <c r="C104" s="69">
        <f t="shared" si="17"/>
        <v>0</v>
      </c>
      <c r="D104" s="69">
        <f t="shared" si="18"/>
        <v>0</v>
      </c>
      <c r="E104" s="69">
        <f t="shared" si="19"/>
        <v>0</v>
      </c>
      <c r="F104" s="69">
        <f t="shared" si="20"/>
        <v>0</v>
      </c>
      <c r="G104" s="69">
        <f t="shared" si="21"/>
        <v>0</v>
      </c>
      <c r="H104" s="70"/>
      <c r="I104" s="69"/>
      <c r="J104" s="69">
        <f t="shared" si="22"/>
        <v>0</v>
      </c>
      <c r="K104" s="69">
        <f t="shared" si="23"/>
        <v>0</v>
      </c>
      <c r="L104" s="69">
        <f t="shared" si="24"/>
        <v>0</v>
      </c>
      <c r="M104" s="69">
        <f t="shared" si="25"/>
        <v>0</v>
      </c>
      <c r="N104" s="69">
        <f t="shared" si="26"/>
        <v>0</v>
      </c>
      <c r="O104" s="70"/>
      <c r="P104" s="69"/>
      <c r="Q104" s="71"/>
      <c r="R104" s="49">
        <f t="shared" si="27"/>
        <v>0</v>
      </c>
      <c r="S104" s="49">
        <f>[1]BASE!A102</f>
        <v>93</v>
      </c>
      <c r="T104" s="69">
        <f t="shared" si="1"/>
        <v>0</v>
      </c>
      <c r="U104" s="69">
        <f t="shared" si="2"/>
        <v>0</v>
      </c>
      <c r="V104" s="69">
        <f t="shared" si="3"/>
        <v>0</v>
      </c>
      <c r="W104" s="69">
        <f t="shared" si="4"/>
        <v>0</v>
      </c>
      <c r="X104" s="69">
        <f t="shared" si="5"/>
        <v>0</v>
      </c>
    </row>
    <row r="105" spans="1:24" ht="20.25" customHeight="1">
      <c r="A105" s="68" t="str">
        <f>IF(BASE!B103="","",BASE!B103)</f>
        <v/>
      </c>
      <c r="B105" s="49" t="s">
        <v>2</v>
      </c>
      <c r="C105" s="69">
        <f t="shared" si="17"/>
        <v>0</v>
      </c>
      <c r="D105" s="69">
        <f t="shared" si="18"/>
        <v>0</v>
      </c>
      <c r="E105" s="69">
        <f t="shared" si="19"/>
        <v>0</v>
      </c>
      <c r="F105" s="69">
        <f t="shared" si="20"/>
        <v>0</v>
      </c>
      <c r="G105" s="69">
        <f t="shared" si="21"/>
        <v>0</v>
      </c>
      <c r="H105" s="70"/>
      <c r="I105" s="69"/>
      <c r="J105" s="69">
        <f t="shared" si="22"/>
        <v>0</v>
      </c>
      <c r="K105" s="69">
        <f t="shared" si="23"/>
        <v>0</v>
      </c>
      <c r="L105" s="69">
        <f t="shared" si="24"/>
        <v>0</v>
      </c>
      <c r="M105" s="69">
        <f t="shared" si="25"/>
        <v>0</v>
      </c>
      <c r="N105" s="69">
        <f t="shared" si="26"/>
        <v>0</v>
      </c>
      <c r="O105" s="70"/>
      <c r="P105" s="69"/>
      <c r="Q105" s="71"/>
      <c r="R105" s="49">
        <f t="shared" si="27"/>
        <v>0</v>
      </c>
      <c r="S105" s="49">
        <f>[1]BASE!A103</f>
        <v>94</v>
      </c>
      <c r="T105" s="69">
        <f t="shared" si="1"/>
        <v>0</v>
      </c>
      <c r="U105" s="69">
        <f t="shared" si="2"/>
        <v>0</v>
      </c>
      <c r="V105" s="69">
        <f t="shared" si="3"/>
        <v>0</v>
      </c>
      <c r="W105" s="69">
        <f t="shared" si="4"/>
        <v>0</v>
      </c>
      <c r="X105" s="69">
        <f t="shared" si="5"/>
        <v>0</v>
      </c>
    </row>
    <row r="106" spans="1:24" ht="20.25" customHeight="1">
      <c r="A106" s="68" t="str">
        <f>IF(BASE!B104="","",BASE!B104)</f>
        <v/>
      </c>
      <c r="B106" s="49" t="s">
        <v>2</v>
      </c>
      <c r="C106" s="69">
        <f t="shared" si="17"/>
        <v>0</v>
      </c>
      <c r="D106" s="69">
        <f t="shared" si="18"/>
        <v>0</v>
      </c>
      <c r="E106" s="69">
        <f t="shared" si="19"/>
        <v>0</v>
      </c>
      <c r="F106" s="69">
        <f t="shared" si="20"/>
        <v>0</v>
      </c>
      <c r="G106" s="69">
        <f t="shared" si="21"/>
        <v>0</v>
      </c>
      <c r="H106" s="70"/>
      <c r="I106" s="69"/>
      <c r="J106" s="69">
        <f t="shared" si="22"/>
        <v>0</v>
      </c>
      <c r="K106" s="69">
        <f t="shared" si="23"/>
        <v>0</v>
      </c>
      <c r="L106" s="69">
        <f t="shared" si="24"/>
        <v>0</v>
      </c>
      <c r="M106" s="69">
        <f t="shared" si="25"/>
        <v>0</v>
      </c>
      <c r="N106" s="69">
        <f t="shared" si="26"/>
        <v>0</v>
      </c>
      <c r="O106" s="70"/>
      <c r="P106" s="69"/>
      <c r="Q106" s="71"/>
      <c r="R106" s="49">
        <f t="shared" si="27"/>
        <v>0</v>
      </c>
      <c r="S106" s="49">
        <f>[1]BASE!A104</f>
        <v>95</v>
      </c>
      <c r="T106" s="69">
        <f t="shared" si="1"/>
        <v>0</v>
      </c>
      <c r="U106" s="69">
        <f t="shared" si="2"/>
        <v>0</v>
      </c>
      <c r="V106" s="69">
        <f t="shared" si="3"/>
        <v>0</v>
      </c>
      <c r="W106" s="69">
        <f t="shared" si="4"/>
        <v>0</v>
      </c>
      <c r="X106" s="69">
        <f t="shared" si="5"/>
        <v>0</v>
      </c>
    </row>
    <row r="107" spans="1:24" ht="20.25" customHeight="1">
      <c r="A107" s="68" t="str">
        <f>IF(BASE!B105="","",BASE!B105)</f>
        <v/>
      </c>
      <c r="B107" s="49" t="s">
        <v>2</v>
      </c>
      <c r="C107" s="69">
        <f t="shared" si="17"/>
        <v>0</v>
      </c>
      <c r="D107" s="69">
        <f t="shared" si="18"/>
        <v>0</v>
      </c>
      <c r="E107" s="69">
        <f t="shared" si="19"/>
        <v>0</v>
      </c>
      <c r="F107" s="69">
        <f t="shared" si="20"/>
        <v>0</v>
      </c>
      <c r="G107" s="69">
        <f t="shared" si="21"/>
        <v>0</v>
      </c>
      <c r="H107" s="70"/>
      <c r="I107" s="69"/>
      <c r="J107" s="69">
        <f t="shared" si="22"/>
        <v>0</v>
      </c>
      <c r="K107" s="69">
        <f t="shared" si="23"/>
        <v>0</v>
      </c>
      <c r="L107" s="69">
        <f t="shared" si="24"/>
        <v>0</v>
      </c>
      <c r="M107" s="69">
        <f t="shared" si="25"/>
        <v>0</v>
      </c>
      <c r="N107" s="69">
        <f t="shared" si="26"/>
        <v>0</v>
      </c>
      <c r="O107" s="70"/>
      <c r="P107" s="69"/>
      <c r="Q107" s="71"/>
      <c r="R107" s="49">
        <f t="shared" si="27"/>
        <v>0</v>
      </c>
      <c r="S107" s="49">
        <f>[1]BASE!A105</f>
        <v>96</v>
      </c>
      <c r="T107" s="69">
        <f t="shared" si="1"/>
        <v>0</v>
      </c>
      <c r="U107" s="69">
        <f t="shared" si="2"/>
        <v>0</v>
      </c>
      <c r="V107" s="69">
        <f t="shared" si="3"/>
        <v>0</v>
      </c>
      <c r="W107" s="69">
        <f t="shared" si="4"/>
        <v>0</v>
      </c>
      <c r="X107" s="69">
        <f t="shared" si="5"/>
        <v>0</v>
      </c>
    </row>
    <row r="108" spans="1:24" ht="20.25" customHeight="1">
      <c r="A108" s="68" t="str">
        <f>IF(BASE!B106="","",BASE!B106)</f>
        <v/>
      </c>
      <c r="B108" s="49" t="s">
        <v>2</v>
      </c>
      <c r="C108" s="69">
        <f t="shared" si="17"/>
        <v>0</v>
      </c>
      <c r="D108" s="69">
        <f t="shared" si="18"/>
        <v>0</v>
      </c>
      <c r="E108" s="69">
        <f t="shared" si="19"/>
        <v>0</v>
      </c>
      <c r="F108" s="69">
        <f t="shared" si="20"/>
        <v>0</v>
      </c>
      <c r="G108" s="69">
        <f t="shared" si="21"/>
        <v>0</v>
      </c>
      <c r="H108" s="70"/>
      <c r="I108" s="69"/>
      <c r="J108" s="69">
        <f t="shared" si="22"/>
        <v>0</v>
      </c>
      <c r="K108" s="69">
        <f t="shared" si="23"/>
        <v>0</v>
      </c>
      <c r="L108" s="69">
        <f t="shared" si="24"/>
        <v>0</v>
      </c>
      <c r="M108" s="69">
        <f t="shared" si="25"/>
        <v>0</v>
      </c>
      <c r="N108" s="69">
        <f t="shared" si="26"/>
        <v>0</v>
      </c>
      <c r="O108" s="70"/>
      <c r="P108" s="69"/>
      <c r="Q108" s="71"/>
      <c r="R108" s="49">
        <f t="shared" si="27"/>
        <v>0</v>
      </c>
      <c r="S108" s="49">
        <f>[1]BASE!A106</f>
        <v>97</v>
      </c>
      <c r="T108" s="69">
        <f t="shared" si="1"/>
        <v>0</v>
      </c>
      <c r="U108" s="69">
        <f t="shared" si="2"/>
        <v>0</v>
      </c>
      <c r="V108" s="69">
        <f t="shared" si="3"/>
        <v>0</v>
      </c>
      <c r="W108" s="69">
        <f t="shared" si="4"/>
        <v>0</v>
      </c>
      <c r="X108" s="69">
        <f t="shared" si="5"/>
        <v>0</v>
      </c>
    </row>
    <row r="109" spans="1:24" ht="20.25" customHeight="1">
      <c r="A109" s="68" t="str">
        <f>IF(BASE!B107="","",BASE!B107)</f>
        <v/>
      </c>
      <c r="B109" s="49" t="s">
        <v>2</v>
      </c>
      <c r="C109" s="69">
        <f t="shared" si="17"/>
        <v>0</v>
      </c>
      <c r="D109" s="69">
        <f t="shared" si="18"/>
        <v>0</v>
      </c>
      <c r="E109" s="69">
        <f t="shared" si="19"/>
        <v>0</v>
      </c>
      <c r="F109" s="69">
        <f t="shared" si="20"/>
        <v>0</v>
      </c>
      <c r="G109" s="69">
        <f t="shared" si="21"/>
        <v>0</v>
      </c>
      <c r="H109" s="70"/>
      <c r="I109" s="69"/>
      <c r="J109" s="69">
        <f t="shared" si="22"/>
        <v>0</v>
      </c>
      <c r="K109" s="69">
        <f t="shared" si="23"/>
        <v>0</v>
      </c>
      <c r="L109" s="69">
        <f t="shared" si="24"/>
        <v>0</v>
      </c>
      <c r="M109" s="69">
        <f t="shared" si="25"/>
        <v>0</v>
      </c>
      <c r="N109" s="69">
        <f t="shared" si="26"/>
        <v>0</v>
      </c>
      <c r="O109" s="70"/>
      <c r="P109" s="69"/>
      <c r="Q109" s="71"/>
      <c r="R109" s="49">
        <f t="shared" si="27"/>
        <v>0</v>
      </c>
      <c r="S109" s="49">
        <f>[1]BASE!A107</f>
        <v>98</v>
      </c>
      <c r="T109" s="69">
        <f t="shared" si="1"/>
        <v>0</v>
      </c>
      <c r="U109" s="69">
        <f t="shared" si="2"/>
        <v>0</v>
      </c>
      <c r="V109" s="69">
        <f t="shared" si="3"/>
        <v>0</v>
      </c>
      <c r="W109" s="69">
        <f t="shared" si="4"/>
        <v>0</v>
      </c>
      <c r="X109" s="69">
        <f t="shared" si="5"/>
        <v>0</v>
      </c>
    </row>
    <row r="110" spans="1:24" ht="20.25" customHeight="1">
      <c r="A110" s="68" t="str">
        <f>IF(BASE!B108="","",BASE!B108)</f>
        <v/>
      </c>
      <c r="B110" s="49" t="s">
        <v>2</v>
      </c>
      <c r="C110" s="69">
        <f t="shared" si="17"/>
        <v>0</v>
      </c>
      <c r="D110" s="69">
        <f t="shared" si="18"/>
        <v>0</v>
      </c>
      <c r="E110" s="69">
        <f t="shared" si="19"/>
        <v>0</v>
      </c>
      <c r="F110" s="69">
        <f t="shared" si="20"/>
        <v>0</v>
      </c>
      <c r="G110" s="69">
        <f t="shared" si="21"/>
        <v>0</v>
      </c>
      <c r="H110" s="70"/>
      <c r="I110" s="69"/>
      <c r="J110" s="69">
        <f t="shared" si="22"/>
        <v>0</v>
      </c>
      <c r="K110" s="69">
        <f t="shared" si="23"/>
        <v>0</v>
      </c>
      <c r="L110" s="69">
        <f t="shared" si="24"/>
        <v>0</v>
      </c>
      <c r="M110" s="69">
        <f t="shared" si="25"/>
        <v>0</v>
      </c>
      <c r="N110" s="69">
        <f t="shared" si="26"/>
        <v>0</v>
      </c>
      <c r="O110" s="70"/>
      <c r="P110" s="69"/>
      <c r="Q110" s="71"/>
      <c r="R110" s="49">
        <f t="shared" si="27"/>
        <v>0</v>
      </c>
      <c r="S110" s="49">
        <f>[1]BASE!A108</f>
        <v>99</v>
      </c>
      <c r="T110" s="69">
        <f t="shared" si="1"/>
        <v>0</v>
      </c>
      <c r="U110" s="69">
        <f t="shared" si="2"/>
        <v>0</v>
      </c>
      <c r="V110" s="69">
        <f t="shared" si="3"/>
        <v>0</v>
      </c>
      <c r="W110" s="69">
        <f t="shared" si="4"/>
        <v>0</v>
      </c>
      <c r="X110" s="69">
        <f t="shared" si="5"/>
        <v>0</v>
      </c>
    </row>
    <row r="111" spans="1:24" ht="20.25" customHeight="1">
      <c r="A111" s="68" t="str">
        <f>IF(BASE!B109="","",BASE!B109)</f>
        <v/>
      </c>
      <c r="B111" s="49" t="s">
        <v>2</v>
      </c>
      <c r="C111" s="69">
        <f t="shared" si="17"/>
        <v>0</v>
      </c>
      <c r="D111" s="69">
        <f t="shared" si="18"/>
        <v>0</v>
      </c>
      <c r="E111" s="69">
        <f t="shared" si="19"/>
        <v>0</v>
      </c>
      <c r="F111" s="69">
        <f t="shared" si="20"/>
        <v>0</v>
      </c>
      <c r="G111" s="69">
        <f t="shared" si="21"/>
        <v>0</v>
      </c>
      <c r="H111" s="70"/>
      <c r="I111" s="69"/>
      <c r="J111" s="69">
        <f t="shared" si="22"/>
        <v>0</v>
      </c>
      <c r="K111" s="69">
        <f t="shared" si="23"/>
        <v>0</v>
      </c>
      <c r="L111" s="69">
        <f t="shared" si="24"/>
        <v>0</v>
      </c>
      <c r="M111" s="69">
        <f t="shared" si="25"/>
        <v>0</v>
      </c>
      <c r="N111" s="69">
        <f t="shared" si="26"/>
        <v>0</v>
      </c>
      <c r="O111" s="70"/>
      <c r="P111" s="69"/>
      <c r="Q111" s="71"/>
      <c r="R111" s="49">
        <f t="shared" si="27"/>
        <v>0</v>
      </c>
      <c r="S111" s="49">
        <f>[1]BASE!A109</f>
        <v>100</v>
      </c>
      <c r="T111" s="69">
        <f t="shared" si="1"/>
        <v>0</v>
      </c>
      <c r="U111" s="69">
        <f t="shared" si="2"/>
        <v>0</v>
      </c>
      <c r="V111" s="69">
        <f t="shared" si="3"/>
        <v>0</v>
      </c>
      <c r="W111" s="69">
        <f t="shared" si="4"/>
        <v>0</v>
      </c>
      <c r="X111" s="69">
        <f t="shared" si="5"/>
        <v>0</v>
      </c>
    </row>
    <row r="112" spans="1:24" ht="20.25" customHeight="1">
      <c r="A112" s="68" t="str">
        <f>IF(BASE!B110="","",BASE!B110)</f>
        <v/>
      </c>
      <c r="B112" s="49" t="s">
        <v>2</v>
      </c>
      <c r="C112" s="69">
        <f t="shared" si="17"/>
        <v>0</v>
      </c>
      <c r="D112" s="69">
        <f t="shared" si="18"/>
        <v>0</v>
      </c>
      <c r="E112" s="69">
        <f t="shared" si="19"/>
        <v>0</v>
      </c>
      <c r="F112" s="69">
        <f t="shared" si="20"/>
        <v>0</v>
      </c>
      <c r="G112" s="69">
        <f t="shared" si="21"/>
        <v>0</v>
      </c>
      <c r="H112" s="70"/>
      <c r="I112" s="69"/>
      <c r="J112" s="69">
        <f t="shared" si="22"/>
        <v>0</v>
      </c>
      <c r="K112" s="69">
        <f t="shared" si="23"/>
        <v>0</v>
      </c>
      <c r="L112" s="69">
        <f t="shared" si="24"/>
        <v>0</v>
      </c>
      <c r="M112" s="69">
        <f t="shared" si="25"/>
        <v>0</v>
      </c>
      <c r="N112" s="69">
        <f t="shared" si="26"/>
        <v>0</v>
      </c>
      <c r="O112" s="70"/>
      <c r="P112" s="69"/>
      <c r="Q112" s="71"/>
      <c r="R112" s="49">
        <f t="shared" si="27"/>
        <v>0</v>
      </c>
      <c r="S112" s="49">
        <f>[1]BASE!A110</f>
        <v>101</v>
      </c>
      <c r="T112" s="69">
        <f t="shared" si="1"/>
        <v>0</v>
      </c>
      <c r="U112" s="69">
        <f t="shared" si="2"/>
        <v>0</v>
      </c>
      <c r="V112" s="69">
        <f t="shared" si="3"/>
        <v>0</v>
      </c>
      <c r="W112" s="69">
        <f t="shared" si="4"/>
        <v>0</v>
      </c>
      <c r="X112" s="69">
        <f t="shared" si="5"/>
        <v>0</v>
      </c>
    </row>
    <row r="113" spans="1:24" ht="20.25" customHeight="1">
      <c r="A113" s="68" t="str">
        <f>IF(BASE!B111="","",BASE!B111)</f>
        <v/>
      </c>
      <c r="B113" s="49" t="s">
        <v>2</v>
      </c>
      <c r="C113" s="69">
        <f t="shared" si="17"/>
        <v>0</v>
      </c>
      <c r="D113" s="69">
        <f t="shared" si="18"/>
        <v>0</v>
      </c>
      <c r="E113" s="69">
        <f t="shared" si="19"/>
        <v>0</v>
      </c>
      <c r="F113" s="69">
        <f t="shared" si="20"/>
        <v>0</v>
      </c>
      <c r="G113" s="69">
        <f t="shared" si="21"/>
        <v>0</v>
      </c>
      <c r="H113" s="70"/>
      <c r="I113" s="69"/>
      <c r="J113" s="69">
        <f t="shared" si="22"/>
        <v>0</v>
      </c>
      <c r="K113" s="69">
        <f t="shared" si="23"/>
        <v>0</v>
      </c>
      <c r="L113" s="69">
        <f t="shared" si="24"/>
        <v>0</v>
      </c>
      <c r="M113" s="69">
        <f t="shared" si="25"/>
        <v>0</v>
      </c>
      <c r="N113" s="69">
        <f t="shared" si="26"/>
        <v>0</v>
      </c>
      <c r="O113" s="70"/>
      <c r="P113" s="69"/>
      <c r="Q113" s="71"/>
      <c r="R113" s="49">
        <f t="shared" si="27"/>
        <v>0</v>
      </c>
      <c r="S113" s="49">
        <f>[1]BASE!A111</f>
        <v>102</v>
      </c>
      <c r="T113" s="69">
        <f t="shared" si="1"/>
        <v>0</v>
      </c>
      <c r="U113" s="69">
        <f t="shared" si="2"/>
        <v>0</v>
      </c>
      <c r="V113" s="69">
        <f t="shared" si="3"/>
        <v>0</v>
      </c>
      <c r="W113" s="69">
        <f t="shared" si="4"/>
        <v>0</v>
      </c>
      <c r="X113" s="69">
        <f t="shared" si="5"/>
        <v>0</v>
      </c>
    </row>
    <row r="114" spans="1:24" ht="20.25" customHeight="1">
      <c r="A114" s="68" t="str">
        <f>IF(BASE!B112="","",BASE!B112)</f>
        <v/>
      </c>
      <c r="B114" s="49" t="s">
        <v>2</v>
      </c>
      <c r="C114" s="69">
        <f t="shared" si="17"/>
        <v>0</v>
      </c>
      <c r="D114" s="69">
        <f t="shared" si="18"/>
        <v>0</v>
      </c>
      <c r="E114" s="69">
        <f t="shared" si="19"/>
        <v>0</v>
      </c>
      <c r="F114" s="69">
        <f t="shared" si="20"/>
        <v>0</v>
      </c>
      <c r="G114" s="69">
        <f t="shared" si="21"/>
        <v>0</v>
      </c>
      <c r="H114" s="70"/>
      <c r="I114" s="69"/>
      <c r="J114" s="69">
        <f t="shared" si="22"/>
        <v>0</v>
      </c>
      <c r="K114" s="69">
        <f t="shared" si="23"/>
        <v>0</v>
      </c>
      <c r="L114" s="69">
        <f t="shared" si="24"/>
        <v>0</v>
      </c>
      <c r="M114" s="69">
        <f t="shared" si="25"/>
        <v>0</v>
      </c>
      <c r="N114" s="69">
        <f t="shared" si="26"/>
        <v>0</v>
      </c>
      <c r="O114" s="70"/>
      <c r="P114" s="69"/>
      <c r="Q114" s="71"/>
      <c r="R114" s="49">
        <f t="shared" si="27"/>
        <v>0</v>
      </c>
      <c r="S114" s="49">
        <f>[1]BASE!A112</f>
        <v>103</v>
      </c>
      <c r="T114" s="69">
        <f t="shared" si="1"/>
        <v>0</v>
      </c>
      <c r="U114" s="69">
        <f t="shared" si="2"/>
        <v>0</v>
      </c>
      <c r="V114" s="69">
        <f t="shared" si="3"/>
        <v>0</v>
      </c>
      <c r="W114" s="69">
        <f t="shared" si="4"/>
        <v>0</v>
      </c>
      <c r="X114" s="69">
        <f t="shared" si="5"/>
        <v>0</v>
      </c>
    </row>
    <row r="115" spans="1:24" ht="20.25" customHeight="1">
      <c r="A115" s="68" t="str">
        <f>IF(BASE!B113="","",BASE!B113)</f>
        <v/>
      </c>
      <c r="B115" s="49" t="s">
        <v>2</v>
      </c>
      <c r="C115" s="69">
        <f t="shared" si="17"/>
        <v>0</v>
      </c>
      <c r="D115" s="69">
        <f t="shared" si="18"/>
        <v>0</v>
      </c>
      <c r="E115" s="69">
        <f t="shared" si="19"/>
        <v>0</v>
      </c>
      <c r="F115" s="69">
        <f t="shared" si="20"/>
        <v>0</v>
      </c>
      <c r="G115" s="69">
        <f t="shared" si="21"/>
        <v>0</v>
      </c>
      <c r="H115" s="70"/>
      <c r="I115" s="69"/>
      <c r="J115" s="69">
        <f t="shared" si="22"/>
        <v>0</v>
      </c>
      <c r="K115" s="69">
        <f t="shared" si="23"/>
        <v>0</v>
      </c>
      <c r="L115" s="69">
        <f t="shared" si="24"/>
        <v>0</v>
      </c>
      <c r="M115" s="69">
        <f t="shared" si="25"/>
        <v>0</v>
      </c>
      <c r="N115" s="69">
        <f t="shared" si="26"/>
        <v>0</v>
      </c>
      <c r="O115" s="70"/>
      <c r="P115" s="69"/>
      <c r="Q115" s="71"/>
      <c r="R115" s="49">
        <f t="shared" si="27"/>
        <v>0</v>
      </c>
      <c r="S115" s="49">
        <f>[1]BASE!A113</f>
        <v>104</v>
      </c>
      <c r="T115" s="69">
        <f t="shared" si="1"/>
        <v>0</v>
      </c>
      <c r="U115" s="69">
        <f t="shared" si="2"/>
        <v>0</v>
      </c>
      <c r="V115" s="69">
        <f t="shared" si="3"/>
        <v>0</v>
      </c>
      <c r="W115" s="69">
        <f t="shared" si="4"/>
        <v>0</v>
      </c>
      <c r="X115" s="69">
        <f t="shared" si="5"/>
        <v>0</v>
      </c>
    </row>
    <row r="116" spans="1:24" ht="20.25" customHeight="1">
      <c r="A116" s="68" t="str">
        <f>IF(BASE!B114="","",BASE!B114)</f>
        <v/>
      </c>
      <c r="B116" s="49" t="s">
        <v>2</v>
      </c>
      <c r="C116" s="69">
        <f t="shared" si="17"/>
        <v>0</v>
      </c>
      <c r="D116" s="69">
        <f t="shared" si="18"/>
        <v>0</v>
      </c>
      <c r="E116" s="69">
        <f t="shared" si="19"/>
        <v>0</v>
      </c>
      <c r="F116" s="69">
        <f t="shared" si="20"/>
        <v>0</v>
      </c>
      <c r="G116" s="69">
        <f t="shared" si="21"/>
        <v>0</v>
      </c>
      <c r="H116" s="70"/>
      <c r="I116" s="69"/>
      <c r="J116" s="69">
        <f t="shared" si="22"/>
        <v>0</v>
      </c>
      <c r="K116" s="69">
        <f t="shared" si="23"/>
        <v>0</v>
      </c>
      <c r="L116" s="69">
        <f t="shared" si="24"/>
        <v>0</v>
      </c>
      <c r="M116" s="69">
        <f t="shared" si="25"/>
        <v>0</v>
      </c>
      <c r="N116" s="69">
        <f t="shared" si="26"/>
        <v>0</v>
      </c>
      <c r="O116" s="70"/>
      <c r="P116" s="69"/>
      <c r="Q116" s="71"/>
      <c r="R116" s="49">
        <f t="shared" si="27"/>
        <v>0</v>
      </c>
      <c r="S116" s="49">
        <f>[1]BASE!A114</f>
        <v>105</v>
      </c>
      <c r="T116" s="69">
        <f t="shared" si="1"/>
        <v>0</v>
      </c>
      <c r="U116" s="69">
        <f t="shared" si="2"/>
        <v>0</v>
      </c>
      <c r="V116" s="69">
        <f t="shared" si="3"/>
        <v>0</v>
      </c>
      <c r="W116" s="69">
        <f t="shared" si="4"/>
        <v>0</v>
      </c>
      <c r="X116" s="69">
        <f t="shared" si="5"/>
        <v>0</v>
      </c>
    </row>
    <row r="117" spans="1:24" ht="20.25" customHeight="1">
      <c r="A117" s="68" t="str">
        <f>IF(BASE!B115="","",BASE!B115)</f>
        <v/>
      </c>
      <c r="B117" s="49" t="s">
        <v>2</v>
      </c>
      <c r="C117" s="69">
        <f t="shared" si="17"/>
        <v>0</v>
      </c>
      <c r="D117" s="69">
        <f t="shared" si="18"/>
        <v>0</v>
      </c>
      <c r="E117" s="69">
        <f t="shared" si="19"/>
        <v>0</v>
      </c>
      <c r="F117" s="69">
        <f t="shared" si="20"/>
        <v>0</v>
      </c>
      <c r="G117" s="69">
        <f t="shared" si="21"/>
        <v>0</v>
      </c>
      <c r="H117" s="70"/>
      <c r="I117" s="69"/>
      <c r="J117" s="69">
        <f t="shared" si="22"/>
        <v>0</v>
      </c>
      <c r="K117" s="69">
        <f t="shared" si="23"/>
        <v>0</v>
      </c>
      <c r="L117" s="69">
        <f t="shared" si="24"/>
        <v>0</v>
      </c>
      <c r="M117" s="69">
        <f t="shared" si="25"/>
        <v>0</v>
      </c>
      <c r="N117" s="69">
        <f t="shared" si="26"/>
        <v>0</v>
      </c>
      <c r="O117" s="70"/>
      <c r="P117" s="69"/>
      <c r="Q117" s="71"/>
      <c r="R117" s="49">
        <f t="shared" si="27"/>
        <v>0</v>
      </c>
      <c r="S117" s="49">
        <f>[1]BASE!A115</f>
        <v>106</v>
      </c>
      <c r="T117" s="69">
        <f t="shared" si="1"/>
        <v>0</v>
      </c>
      <c r="U117" s="69">
        <f t="shared" si="2"/>
        <v>0</v>
      </c>
      <c r="V117" s="69">
        <f t="shared" si="3"/>
        <v>0</v>
      </c>
      <c r="W117" s="69">
        <f t="shared" si="4"/>
        <v>0</v>
      </c>
      <c r="X117" s="69">
        <f t="shared" si="5"/>
        <v>0</v>
      </c>
    </row>
    <row r="118" spans="1:24" ht="20.25" customHeight="1">
      <c r="A118" s="68" t="str">
        <f>IF(BASE!B116="","",BASE!B116)</f>
        <v/>
      </c>
      <c r="B118" s="49" t="s">
        <v>2</v>
      </c>
      <c r="C118" s="69">
        <f t="shared" si="17"/>
        <v>0</v>
      </c>
      <c r="D118" s="69">
        <f t="shared" si="18"/>
        <v>0</v>
      </c>
      <c r="E118" s="69">
        <f t="shared" si="19"/>
        <v>0</v>
      </c>
      <c r="F118" s="69">
        <f t="shared" si="20"/>
        <v>0</v>
      </c>
      <c r="G118" s="69">
        <f t="shared" si="21"/>
        <v>0</v>
      </c>
      <c r="H118" s="70"/>
      <c r="I118" s="69"/>
      <c r="J118" s="69">
        <f t="shared" si="22"/>
        <v>0</v>
      </c>
      <c r="K118" s="69">
        <f t="shared" si="23"/>
        <v>0</v>
      </c>
      <c r="L118" s="69">
        <f t="shared" si="24"/>
        <v>0</v>
      </c>
      <c r="M118" s="69">
        <f t="shared" si="25"/>
        <v>0</v>
      </c>
      <c r="N118" s="69">
        <f t="shared" si="26"/>
        <v>0</v>
      </c>
      <c r="O118" s="70"/>
      <c r="P118" s="69"/>
      <c r="Q118" s="71"/>
      <c r="R118" s="49">
        <f t="shared" si="27"/>
        <v>0</v>
      </c>
      <c r="S118" s="49">
        <f>[1]BASE!A116</f>
        <v>107</v>
      </c>
      <c r="T118" s="69">
        <f t="shared" si="1"/>
        <v>0</v>
      </c>
      <c r="U118" s="69">
        <f t="shared" si="2"/>
        <v>0</v>
      </c>
      <c r="V118" s="69">
        <f t="shared" si="3"/>
        <v>0</v>
      </c>
      <c r="W118" s="69">
        <f t="shared" si="4"/>
        <v>0</v>
      </c>
      <c r="X118" s="69">
        <f t="shared" si="5"/>
        <v>0</v>
      </c>
    </row>
    <row r="119" spans="1:24" ht="20.25" customHeight="1">
      <c r="A119" s="68" t="str">
        <f>IF(BASE!B117="","",BASE!B117)</f>
        <v/>
      </c>
      <c r="B119" s="49" t="s">
        <v>2</v>
      </c>
      <c r="C119" s="69">
        <f t="shared" si="17"/>
        <v>0</v>
      </c>
      <c r="D119" s="69">
        <f t="shared" si="18"/>
        <v>0</v>
      </c>
      <c r="E119" s="69">
        <f t="shared" si="19"/>
        <v>0</v>
      </c>
      <c r="F119" s="69">
        <f t="shared" si="20"/>
        <v>0</v>
      </c>
      <c r="G119" s="69">
        <f t="shared" si="21"/>
        <v>0</v>
      </c>
      <c r="H119" s="70"/>
      <c r="I119" s="69"/>
      <c r="J119" s="69">
        <f t="shared" si="22"/>
        <v>0</v>
      </c>
      <c r="K119" s="69">
        <f t="shared" si="23"/>
        <v>0</v>
      </c>
      <c r="L119" s="69">
        <f t="shared" si="24"/>
        <v>0</v>
      </c>
      <c r="M119" s="69">
        <f t="shared" si="25"/>
        <v>0</v>
      </c>
      <c r="N119" s="69">
        <f t="shared" si="26"/>
        <v>0</v>
      </c>
      <c r="O119" s="70"/>
      <c r="P119" s="69"/>
      <c r="Q119" s="71"/>
      <c r="R119" s="49">
        <f t="shared" si="27"/>
        <v>0</v>
      </c>
      <c r="S119" s="49">
        <f>[1]BASE!A117</f>
        <v>108</v>
      </c>
      <c r="T119" s="69">
        <f t="shared" si="1"/>
        <v>0</v>
      </c>
      <c r="U119" s="69">
        <f t="shared" si="2"/>
        <v>0</v>
      </c>
      <c r="V119" s="69">
        <f t="shared" si="3"/>
        <v>0</v>
      </c>
      <c r="W119" s="69">
        <f t="shared" si="4"/>
        <v>0</v>
      </c>
      <c r="X119" s="69">
        <f t="shared" si="5"/>
        <v>0</v>
      </c>
    </row>
    <row r="120" spans="1:24" ht="20.25" customHeight="1">
      <c r="A120" s="68" t="str">
        <f>IF(BASE!B118="","",BASE!B118)</f>
        <v/>
      </c>
      <c r="B120" s="49" t="s">
        <v>2</v>
      </c>
      <c r="C120" s="69">
        <f t="shared" si="17"/>
        <v>0</v>
      </c>
      <c r="D120" s="69">
        <f t="shared" si="18"/>
        <v>0</v>
      </c>
      <c r="E120" s="69">
        <f t="shared" si="19"/>
        <v>0</v>
      </c>
      <c r="F120" s="69">
        <f t="shared" si="20"/>
        <v>0</v>
      </c>
      <c r="G120" s="69">
        <f t="shared" si="21"/>
        <v>0</v>
      </c>
      <c r="H120" s="70"/>
      <c r="I120" s="69"/>
      <c r="J120" s="69">
        <f t="shared" si="22"/>
        <v>0</v>
      </c>
      <c r="K120" s="69">
        <f t="shared" si="23"/>
        <v>0</v>
      </c>
      <c r="L120" s="69">
        <f t="shared" si="24"/>
        <v>0</v>
      </c>
      <c r="M120" s="69">
        <f t="shared" si="25"/>
        <v>0</v>
      </c>
      <c r="N120" s="69">
        <f t="shared" si="26"/>
        <v>0</v>
      </c>
      <c r="O120" s="70"/>
      <c r="P120" s="69"/>
      <c r="Q120" s="71"/>
      <c r="R120" s="49">
        <f t="shared" si="27"/>
        <v>0</v>
      </c>
      <c r="S120" s="49">
        <f>[1]BASE!A118</f>
        <v>109</v>
      </c>
      <c r="T120" s="69">
        <f t="shared" si="1"/>
        <v>0</v>
      </c>
      <c r="U120" s="69">
        <f t="shared" si="2"/>
        <v>0</v>
      </c>
      <c r="V120" s="69">
        <f t="shared" si="3"/>
        <v>0</v>
      </c>
      <c r="W120" s="69">
        <f t="shared" si="4"/>
        <v>0</v>
      </c>
      <c r="X120" s="69">
        <f t="shared" si="5"/>
        <v>0</v>
      </c>
    </row>
    <row r="121" spans="1:24" ht="20.25" customHeight="1">
      <c r="A121" s="68" t="str">
        <f>IF(BASE!B119="","",BASE!B119)</f>
        <v/>
      </c>
      <c r="B121" s="49" t="s">
        <v>2</v>
      </c>
      <c r="C121" s="69">
        <f t="shared" si="17"/>
        <v>0</v>
      </c>
      <c r="D121" s="69">
        <f t="shared" si="18"/>
        <v>0</v>
      </c>
      <c r="E121" s="69">
        <f t="shared" si="19"/>
        <v>0</v>
      </c>
      <c r="F121" s="69">
        <f t="shared" si="20"/>
        <v>0</v>
      </c>
      <c r="G121" s="69">
        <f t="shared" si="21"/>
        <v>0</v>
      </c>
      <c r="H121" s="70"/>
      <c r="I121" s="69"/>
      <c r="J121" s="69">
        <f t="shared" si="22"/>
        <v>0</v>
      </c>
      <c r="K121" s="69">
        <f t="shared" si="23"/>
        <v>0</v>
      </c>
      <c r="L121" s="69">
        <f t="shared" si="24"/>
        <v>0</v>
      </c>
      <c r="M121" s="69">
        <f t="shared" si="25"/>
        <v>0</v>
      </c>
      <c r="N121" s="69">
        <f t="shared" si="26"/>
        <v>0</v>
      </c>
      <c r="O121" s="70"/>
      <c r="P121" s="69"/>
      <c r="Q121" s="71"/>
      <c r="R121" s="49">
        <f t="shared" si="27"/>
        <v>0</v>
      </c>
      <c r="S121" s="49">
        <f>[1]BASE!A119</f>
        <v>110</v>
      </c>
      <c r="T121" s="69">
        <f t="shared" si="1"/>
        <v>0</v>
      </c>
      <c r="U121" s="69">
        <f t="shared" si="2"/>
        <v>0</v>
      </c>
      <c r="V121" s="69">
        <f t="shared" si="3"/>
        <v>0</v>
      </c>
      <c r="W121" s="69">
        <f t="shared" si="4"/>
        <v>0</v>
      </c>
      <c r="X121" s="69">
        <f t="shared" si="5"/>
        <v>0</v>
      </c>
    </row>
    <row r="122" spans="1:24" ht="20.25" customHeight="1">
      <c r="A122" s="68" t="str">
        <f>IF(BASE!B120="","",BASE!B120)</f>
        <v/>
      </c>
      <c r="B122" s="49" t="s">
        <v>2</v>
      </c>
      <c r="C122" s="69">
        <f t="shared" si="17"/>
        <v>0</v>
      </c>
      <c r="D122" s="69">
        <f t="shared" si="18"/>
        <v>0</v>
      </c>
      <c r="E122" s="69">
        <f t="shared" si="19"/>
        <v>0</v>
      </c>
      <c r="F122" s="69">
        <f t="shared" si="20"/>
        <v>0</v>
      </c>
      <c r="G122" s="69">
        <f t="shared" si="21"/>
        <v>0</v>
      </c>
      <c r="H122" s="70"/>
      <c r="I122" s="69"/>
      <c r="J122" s="69">
        <f t="shared" si="22"/>
        <v>0</v>
      </c>
      <c r="K122" s="69">
        <f t="shared" si="23"/>
        <v>0</v>
      </c>
      <c r="L122" s="69">
        <f t="shared" si="24"/>
        <v>0</v>
      </c>
      <c r="M122" s="69">
        <f t="shared" si="25"/>
        <v>0</v>
      </c>
      <c r="N122" s="69">
        <f t="shared" si="26"/>
        <v>0</v>
      </c>
      <c r="O122" s="70"/>
      <c r="P122" s="69"/>
      <c r="Q122" s="71"/>
      <c r="R122" s="49">
        <f t="shared" si="27"/>
        <v>0</v>
      </c>
      <c r="S122" s="49">
        <f>[1]BASE!A120</f>
        <v>111</v>
      </c>
      <c r="T122" s="69">
        <f t="shared" si="1"/>
        <v>0</v>
      </c>
      <c r="U122" s="69">
        <f t="shared" si="2"/>
        <v>0</v>
      </c>
      <c r="V122" s="69">
        <f t="shared" si="3"/>
        <v>0</v>
      </c>
      <c r="W122" s="69">
        <f t="shared" si="4"/>
        <v>0</v>
      </c>
      <c r="X122" s="69">
        <f t="shared" si="5"/>
        <v>0</v>
      </c>
    </row>
    <row r="123" spans="1:24" ht="20.25" customHeight="1">
      <c r="A123" s="68" t="str">
        <f>IF(BASE!B121="","",BASE!B121)</f>
        <v/>
      </c>
      <c r="B123" s="49" t="s">
        <v>2</v>
      </c>
      <c r="C123" s="69">
        <f t="shared" si="17"/>
        <v>0</v>
      </c>
      <c r="D123" s="69">
        <f t="shared" si="18"/>
        <v>0</v>
      </c>
      <c r="E123" s="69">
        <f t="shared" si="19"/>
        <v>0</v>
      </c>
      <c r="F123" s="69">
        <f t="shared" si="20"/>
        <v>0</v>
      </c>
      <c r="G123" s="69">
        <f t="shared" si="21"/>
        <v>0</v>
      </c>
      <c r="H123" s="70"/>
      <c r="I123" s="69"/>
      <c r="J123" s="69">
        <f t="shared" si="22"/>
        <v>0</v>
      </c>
      <c r="K123" s="69">
        <f t="shared" si="23"/>
        <v>0</v>
      </c>
      <c r="L123" s="69">
        <f t="shared" si="24"/>
        <v>0</v>
      </c>
      <c r="M123" s="69">
        <f t="shared" si="25"/>
        <v>0</v>
      </c>
      <c r="N123" s="69">
        <f t="shared" si="26"/>
        <v>0</v>
      </c>
      <c r="O123" s="70"/>
      <c r="P123" s="69"/>
      <c r="Q123" s="71"/>
      <c r="R123" s="49">
        <f t="shared" si="27"/>
        <v>0</v>
      </c>
      <c r="S123" s="49">
        <f>[1]BASE!A121</f>
        <v>112</v>
      </c>
      <c r="T123" s="69">
        <f t="shared" si="1"/>
        <v>0</v>
      </c>
      <c r="U123" s="69">
        <f t="shared" si="2"/>
        <v>0</v>
      </c>
      <c r="V123" s="69">
        <f t="shared" si="3"/>
        <v>0</v>
      </c>
      <c r="W123" s="69">
        <f t="shared" si="4"/>
        <v>0</v>
      </c>
      <c r="X123" s="69">
        <f t="shared" si="5"/>
        <v>0</v>
      </c>
    </row>
    <row r="124" spans="1:24" ht="20.25" customHeight="1">
      <c r="A124" s="68" t="str">
        <f>IF(BASE!B122="","",BASE!B122)</f>
        <v/>
      </c>
      <c r="B124" s="49" t="s">
        <v>2</v>
      </c>
      <c r="C124" s="69">
        <f t="shared" si="17"/>
        <v>0</v>
      </c>
      <c r="D124" s="69">
        <f t="shared" si="18"/>
        <v>0</v>
      </c>
      <c r="E124" s="69">
        <f t="shared" si="19"/>
        <v>0</v>
      </c>
      <c r="F124" s="69">
        <f t="shared" si="20"/>
        <v>0</v>
      </c>
      <c r="G124" s="69">
        <f t="shared" si="21"/>
        <v>0</v>
      </c>
      <c r="H124" s="70"/>
      <c r="I124" s="69"/>
      <c r="J124" s="69">
        <f t="shared" si="22"/>
        <v>0</v>
      </c>
      <c r="K124" s="69">
        <f t="shared" si="23"/>
        <v>0</v>
      </c>
      <c r="L124" s="69">
        <f t="shared" si="24"/>
        <v>0</v>
      </c>
      <c r="M124" s="69">
        <f t="shared" si="25"/>
        <v>0</v>
      </c>
      <c r="N124" s="69">
        <f t="shared" si="26"/>
        <v>0</v>
      </c>
      <c r="O124" s="70"/>
      <c r="P124" s="69"/>
      <c r="Q124" s="71"/>
      <c r="R124" s="49">
        <f t="shared" si="27"/>
        <v>0</v>
      </c>
      <c r="S124" s="49">
        <f>[1]BASE!A122</f>
        <v>113</v>
      </c>
      <c r="T124" s="69">
        <f t="shared" si="1"/>
        <v>0</v>
      </c>
      <c r="U124" s="69">
        <f t="shared" si="2"/>
        <v>0</v>
      </c>
      <c r="V124" s="69">
        <f t="shared" si="3"/>
        <v>0</v>
      </c>
      <c r="W124" s="69">
        <f t="shared" si="4"/>
        <v>0</v>
      </c>
      <c r="X124" s="69">
        <f t="shared" si="5"/>
        <v>0</v>
      </c>
    </row>
    <row r="125" spans="1:24" ht="20.25" customHeight="1">
      <c r="A125" s="68" t="str">
        <f>IF(BASE!B123="","",BASE!B123)</f>
        <v/>
      </c>
      <c r="B125" s="49" t="s">
        <v>2</v>
      </c>
      <c r="C125" s="69">
        <f t="shared" si="17"/>
        <v>0</v>
      </c>
      <c r="D125" s="69">
        <f t="shared" si="18"/>
        <v>0</v>
      </c>
      <c r="E125" s="69">
        <f t="shared" si="19"/>
        <v>0</v>
      </c>
      <c r="F125" s="69">
        <f t="shared" si="20"/>
        <v>0</v>
      </c>
      <c r="G125" s="69">
        <f t="shared" si="21"/>
        <v>0</v>
      </c>
      <c r="H125" s="70"/>
      <c r="I125" s="69"/>
      <c r="J125" s="69">
        <f t="shared" si="22"/>
        <v>0</v>
      </c>
      <c r="K125" s="69">
        <f t="shared" si="23"/>
        <v>0</v>
      </c>
      <c r="L125" s="69">
        <f t="shared" si="24"/>
        <v>0</v>
      </c>
      <c r="M125" s="69">
        <f t="shared" si="25"/>
        <v>0</v>
      </c>
      <c r="N125" s="69">
        <f t="shared" si="26"/>
        <v>0</v>
      </c>
      <c r="O125" s="70"/>
      <c r="P125" s="69"/>
      <c r="Q125" s="71"/>
      <c r="R125" s="49">
        <f t="shared" si="27"/>
        <v>0</v>
      </c>
      <c r="S125" s="49">
        <f>[1]BASE!A123</f>
        <v>114</v>
      </c>
      <c r="T125" s="69">
        <f t="shared" si="1"/>
        <v>0</v>
      </c>
      <c r="U125" s="69">
        <f t="shared" si="2"/>
        <v>0</v>
      </c>
      <c r="V125" s="69">
        <f t="shared" si="3"/>
        <v>0</v>
      </c>
      <c r="W125" s="69">
        <f t="shared" si="4"/>
        <v>0</v>
      </c>
      <c r="X125" s="69">
        <f t="shared" si="5"/>
        <v>0</v>
      </c>
    </row>
    <row r="126" spans="1:24" ht="20.25" customHeight="1">
      <c r="A126" s="68" t="str">
        <f>IF(BASE!B124="","",BASE!B124)</f>
        <v/>
      </c>
      <c r="B126" s="49" t="s">
        <v>2</v>
      </c>
      <c r="C126" s="69">
        <f t="shared" si="17"/>
        <v>0</v>
      </c>
      <c r="D126" s="69">
        <f t="shared" si="18"/>
        <v>0</v>
      </c>
      <c r="E126" s="69">
        <f t="shared" si="19"/>
        <v>0</v>
      </c>
      <c r="F126" s="69">
        <f t="shared" si="20"/>
        <v>0</v>
      </c>
      <c r="G126" s="69">
        <f t="shared" si="21"/>
        <v>0</v>
      </c>
      <c r="H126" s="70"/>
      <c r="I126" s="69"/>
      <c r="J126" s="69">
        <f t="shared" si="22"/>
        <v>0</v>
      </c>
      <c r="K126" s="69">
        <f t="shared" si="23"/>
        <v>0</v>
      </c>
      <c r="L126" s="69">
        <f t="shared" si="24"/>
        <v>0</v>
      </c>
      <c r="M126" s="69">
        <f t="shared" si="25"/>
        <v>0</v>
      </c>
      <c r="N126" s="69">
        <f t="shared" si="26"/>
        <v>0</v>
      </c>
      <c r="O126" s="70"/>
      <c r="P126" s="69"/>
      <c r="Q126" s="71"/>
      <c r="R126" s="49">
        <f t="shared" si="27"/>
        <v>0</v>
      </c>
      <c r="S126" s="49">
        <f>[1]BASE!A124</f>
        <v>115</v>
      </c>
      <c r="T126" s="69">
        <f t="shared" si="1"/>
        <v>0</v>
      </c>
      <c r="U126" s="69">
        <f t="shared" si="2"/>
        <v>0</v>
      </c>
      <c r="V126" s="69">
        <f t="shared" si="3"/>
        <v>0</v>
      </c>
      <c r="W126" s="69">
        <f t="shared" si="4"/>
        <v>0</v>
      </c>
      <c r="X126" s="69">
        <f t="shared" si="5"/>
        <v>0</v>
      </c>
    </row>
    <row r="127" spans="1:24" ht="20.25" customHeight="1">
      <c r="A127" s="68" t="str">
        <f>IF(BASE!B125="","",BASE!B125)</f>
        <v/>
      </c>
      <c r="B127" s="49" t="s">
        <v>2</v>
      </c>
      <c r="C127" s="69">
        <f t="shared" si="17"/>
        <v>0</v>
      </c>
      <c r="D127" s="69">
        <f t="shared" si="18"/>
        <v>0</v>
      </c>
      <c r="E127" s="69">
        <f t="shared" si="19"/>
        <v>0</v>
      </c>
      <c r="F127" s="69">
        <f t="shared" si="20"/>
        <v>0</v>
      </c>
      <c r="G127" s="69">
        <f t="shared" si="21"/>
        <v>0</v>
      </c>
      <c r="H127" s="70"/>
      <c r="I127" s="69"/>
      <c r="J127" s="69">
        <f t="shared" si="22"/>
        <v>0</v>
      </c>
      <c r="K127" s="69">
        <f t="shared" si="23"/>
        <v>0</v>
      </c>
      <c r="L127" s="69">
        <f t="shared" si="24"/>
        <v>0</v>
      </c>
      <c r="M127" s="69">
        <f t="shared" si="25"/>
        <v>0</v>
      </c>
      <c r="N127" s="69">
        <f t="shared" si="26"/>
        <v>0</v>
      </c>
      <c r="O127" s="70"/>
      <c r="P127" s="69"/>
      <c r="Q127" s="71"/>
      <c r="R127" s="49">
        <f t="shared" si="27"/>
        <v>0</v>
      </c>
      <c r="S127" s="49">
        <f>[1]BASE!A125</f>
        <v>116</v>
      </c>
      <c r="T127" s="69">
        <f t="shared" si="1"/>
        <v>0</v>
      </c>
      <c r="U127" s="69">
        <f t="shared" si="2"/>
        <v>0</v>
      </c>
      <c r="V127" s="69">
        <f t="shared" si="3"/>
        <v>0</v>
      </c>
      <c r="W127" s="69">
        <f t="shared" si="4"/>
        <v>0</v>
      </c>
      <c r="X127" s="69">
        <f t="shared" si="5"/>
        <v>0</v>
      </c>
    </row>
    <row r="128" spans="1:24" ht="20.25" customHeight="1">
      <c r="A128" s="68" t="str">
        <f>IF(BASE!B126="","",BASE!B126)</f>
        <v/>
      </c>
      <c r="B128" s="49" t="s">
        <v>2</v>
      </c>
      <c r="C128" s="69">
        <f t="shared" si="17"/>
        <v>0</v>
      </c>
      <c r="D128" s="69">
        <f t="shared" si="18"/>
        <v>0</v>
      </c>
      <c r="E128" s="69">
        <f t="shared" si="19"/>
        <v>0</v>
      </c>
      <c r="F128" s="69">
        <f t="shared" si="20"/>
        <v>0</v>
      </c>
      <c r="G128" s="69">
        <f t="shared" si="21"/>
        <v>0</v>
      </c>
      <c r="H128" s="70"/>
      <c r="I128" s="69"/>
      <c r="J128" s="69">
        <f t="shared" si="22"/>
        <v>0</v>
      </c>
      <c r="K128" s="69">
        <f t="shared" si="23"/>
        <v>0</v>
      </c>
      <c r="L128" s="69">
        <f t="shared" si="24"/>
        <v>0</v>
      </c>
      <c r="M128" s="69">
        <f t="shared" si="25"/>
        <v>0</v>
      </c>
      <c r="N128" s="69">
        <f t="shared" si="26"/>
        <v>0</v>
      </c>
      <c r="O128" s="70"/>
      <c r="P128" s="69"/>
      <c r="Q128" s="71"/>
      <c r="R128" s="49">
        <f t="shared" si="27"/>
        <v>0</v>
      </c>
      <c r="S128" s="49">
        <f>[1]BASE!A126</f>
        <v>117</v>
      </c>
      <c r="T128" s="69">
        <f t="shared" si="1"/>
        <v>0</v>
      </c>
      <c r="U128" s="69">
        <f t="shared" si="2"/>
        <v>0</v>
      </c>
      <c r="V128" s="69">
        <f t="shared" si="3"/>
        <v>0</v>
      </c>
      <c r="W128" s="69">
        <f t="shared" si="4"/>
        <v>0</v>
      </c>
      <c r="X128" s="69">
        <f t="shared" si="5"/>
        <v>0</v>
      </c>
    </row>
    <row r="129" spans="1:24" ht="20.25" customHeight="1">
      <c r="A129" s="68" t="str">
        <f>IF(BASE!B127="","",BASE!B127)</f>
        <v/>
      </c>
      <c r="B129" s="49" t="s">
        <v>2</v>
      </c>
      <c r="C129" s="69">
        <f t="shared" si="17"/>
        <v>0</v>
      </c>
      <c r="D129" s="69">
        <f t="shared" si="18"/>
        <v>0</v>
      </c>
      <c r="E129" s="69">
        <f t="shared" si="19"/>
        <v>0</v>
      </c>
      <c r="F129" s="69">
        <f t="shared" si="20"/>
        <v>0</v>
      </c>
      <c r="G129" s="69">
        <f t="shared" si="21"/>
        <v>0</v>
      </c>
      <c r="H129" s="70"/>
      <c r="I129" s="69"/>
      <c r="J129" s="69">
        <f t="shared" si="22"/>
        <v>0</v>
      </c>
      <c r="K129" s="69">
        <f t="shared" si="23"/>
        <v>0</v>
      </c>
      <c r="L129" s="69">
        <f t="shared" si="24"/>
        <v>0</v>
      </c>
      <c r="M129" s="69">
        <f t="shared" si="25"/>
        <v>0</v>
      </c>
      <c r="N129" s="69">
        <f t="shared" si="26"/>
        <v>0</v>
      </c>
      <c r="O129" s="70"/>
      <c r="P129" s="69"/>
      <c r="Q129" s="71"/>
      <c r="R129" s="49">
        <f t="shared" si="27"/>
        <v>0</v>
      </c>
      <c r="S129" s="49">
        <f>[1]BASE!A127</f>
        <v>118</v>
      </c>
      <c r="T129" s="69">
        <f t="shared" si="1"/>
        <v>0</v>
      </c>
      <c r="U129" s="69">
        <f t="shared" si="2"/>
        <v>0</v>
      </c>
      <c r="V129" s="69">
        <f t="shared" si="3"/>
        <v>0</v>
      </c>
      <c r="W129" s="69">
        <f t="shared" si="4"/>
        <v>0</v>
      </c>
      <c r="X129" s="69">
        <f t="shared" si="5"/>
        <v>0</v>
      </c>
    </row>
    <row r="130" spans="1:24" ht="20.25" customHeight="1">
      <c r="A130" s="68" t="str">
        <f>IF(BASE!B128="","",BASE!B128)</f>
        <v/>
      </c>
      <c r="B130" s="49" t="s">
        <v>2</v>
      </c>
      <c r="C130" s="69">
        <f t="shared" si="17"/>
        <v>0</v>
      </c>
      <c r="D130" s="69">
        <f t="shared" si="18"/>
        <v>0</v>
      </c>
      <c r="E130" s="69">
        <f t="shared" si="19"/>
        <v>0</v>
      </c>
      <c r="F130" s="69">
        <f t="shared" si="20"/>
        <v>0</v>
      </c>
      <c r="G130" s="69">
        <f t="shared" si="21"/>
        <v>0</v>
      </c>
      <c r="H130" s="70"/>
      <c r="I130" s="69"/>
      <c r="J130" s="69">
        <f t="shared" si="22"/>
        <v>0</v>
      </c>
      <c r="K130" s="69">
        <f t="shared" si="23"/>
        <v>0</v>
      </c>
      <c r="L130" s="69">
        <f t="shared" si="24"/>
        <v>0</v>
      </c>
      <c r="M130" s="69">
        <f t="shared" si="25"/>
        <v>0</v>
      </c>
      <c r="N130" s="69">
        <f t="shared" si="26"/>
        <v>0</v>
      </c>
      <c r="O130" s="70"/>
      <c r="P130" s="69"/>
      <c r="Q130" s="71"/>
      <c r="R130" s="49">
        <f t="shared" si="27"/>
        <v>0</v>
      </c>
      <c r="S130" s="49">
        <f>[1]BASE!A128</f>
        <v>119</v>
      </c>
      <c r="T130" s="69">
        <f t="shared" si="1"/>
        <v>0</v>
      </c>
      <c r="U130" s="69">
        <f t="shared" si="2"/>
        <v>0</v>
      </c>
      <c r="V130" s="69">
        <f t="shared" si="3"/>
        <v>0</v>
      </c>
      <c r="W130" s="69">
        <f t="shared" si="4"/>
        <v>0</v>
      </c>
      <c r="X130" s="69">
        <f t="shared" si="5"/>
        <v>0</v>
      </c>
    </row>
    <row r="131" spans="1:24" ht="20.25" customHeight="1">
      <c r="A131" s="68" t="str">
        <f>IF(BASE!B129="","",BASE!B129)</f>
        <v/>
      </c>
      <c r="B131" s="49" t="s">
        <v>2</v>
      </c>
      <c r="C131" s="69">
        <f t="shared" si="17"/>
        <v>0</v>
      </c>
      <c r="D131" s="69">
        <f t="shared" si="18"/>
        <v>0</v>
      </c>
      <c r="E131" s="69">
        <f t="shared" si="19"/>
        <v>0</v>
      </c>
      <c r="F131" s="69">
        <f t="shared" si="20"/>
        <v>0</v>
      </c>
      <c r="G131" s="69">
        <f t="shared" si="21"/>
        <v>0</v>
      </c>
      <c r="H131" s="70"/>
      <c r="I131" s="69"/>
      <c r="J131" s="69">
        <f t="shared" si="22"/>
        <v>0</v>
      </c>
      <c r="K131" s="69">
        <f t="shared" si="23"/>
        <v>0</v>
      </c>
      <c r="L131" s="69">
        <f t="shared" si="24"/>
        <v>0</v>
      </c>
      <c r="M131" s="69">
        <f t="shared" si="25"/>
        <v>0</v>
      </c>
      <c r="N131" s="69">
        <f t="shared" si="26"/>
        <v>0</v>
      </c>
      <c r="O131" s="70"/>
      <c r="P131" s="69"/>
      <c r="Q131" s="71"/>
      <c r="R131" s="49">
        <f t="shared" si="27"/>
        <v>0</v>
      </c>
      <c r="S131" s="49">
        <f>[1]BASE!A129</f>
        <v>120</v>
      </c>
      <c r="T131" s="69">
        <f t="shared" si="1"/>
        <v>0</v>
      </c>
      <c r="U131" s="69">
        <f t="shared" si="2"/>
        <v>0</v>
      </c>
      <c r="V131" s="69">
        <f t="shared" si="3"/>
        <v>0</v>
      </c>
      <c r="W131" s="69">
        <f t="shared" si="4"/>
        <v>0</v>
      </c>
      <c r="X131" s="69">
        <f t="shared" si="5"/>
        <v>0</v>
      </c>
    </row>
    <row r="132" spans="1:24" ht="20.25" customHeight="1">
      <c r="A132" s="68" t="str">
        <f>IF(BASE!B130="","",BASE!B130)</f>
        <v/>
      </c>
      <c r="B132" s="49" t="s">
        <v>2</v>
      </c>
      <c r="C132" s="69">
        <f t="shared" si="17"/>
        <v>0</v>
      </c>
      <c r="D132" s="69">
        <f t="shared" si="18"/>
        <v>0</v>
      </c>
      <c r="E132" s="69">
        <f t="shared" si="19"/>
        <v>0</v>
      </c>
      <c r="F132" s="69">
        <f t="shared" si="20"/>
        <v>0</v>
      </c>
      <c r="G132" s="69">
        <f t="shared" si="21"/>
        <v>0</v>
      </c>
      <c r="H132" s="70"/>
      <c r="I132" s="69"/>
      <c r="J132" s="69">
        <f t="shared" si="22"/>
        <v>0</v>
      </c>
      <c r="K132" s="69">
        <f t="shared" si="23"/>
        <v>0</v>
      </c>
      <c r="L132" s="69">
        <f t="shared" si="24"/>
        <v>0</v>
      </c>
      <c r="M132" s="69">
        <f t="shared" si="25"/>
        <v>0</v>
      </c>
      <c r="N132" s="69">
        <f t="shared" si="26"/>
        <v>0</v>
      </c>
      <c r="O132" s="70"/>
      <c r="P132" s="69"/>
      <c r="Q132" s="71"/>
      <c r="R132" s="49">
        <f t="shared" si="27"/>
        <v>0</v>
      </c>
      <c r="S132" s="49">
        <f>[1]BASE!A130</f>
        <v>121</v>
      </c>
      <c r="T132" s="69">
        <f t="shared" si="1"/>
        <v>0</v>
      </c>
      <c r="U132" s="69">
        <f t="shared" si="2"/>
        <v>0</v>
      </c>
      <c r="V132" s="69">
        <f t="shared" si="3"/>
        <v>0</v>
      </c>
      <c r="W132" s="69">
        <f t="shared" si="4"/>
        <v>0</v>
      </c>
      <c r="X132" s="69">
        <f t="shared" si="5"/>
        <v>0</v>
      </c>
    </row>
    <row r="133" spans="1:24" ht="20.25" customHeight="1">
      <c r="A133" s="68" t="str">
        <f>IF(BASE!B131="","",BASE!B131)</f>
        <v/>
      </c>
      <c r="B133" s="49" t="s">
        <v>2</v>
      </c>
      <c r="C133" s="69">
        <f t="shared" si="17"/>
        <v>0</v>
      </c>
      <c r="D133" s="69">
        <f t="shared" si="18"/>
        <v>0</v>
      </c>
      <c r="E133" s="69">
        <f t="shared" si="19"/>
        <v>0</v>
      </c>
      <c r="F133" s="69">
        <f t="shared" si="20"/>
        <v>0</v>
      </c>
      <c r="G133" s="69">
        <f t="shared" si="21"/>
        <v>0</v>
      </c>
      <c r="H133" s="70"/>
      <c r="I133" s="69"/>
      <c r="J133" s="69">
        <f t="shared" si="22"/>
        <v>0</v>
      </c>
      <c r="K133" s="69">
        <f t="shared" si="23"/>
        <v>0</v>
      </c>
      <c r="L133" s="69">
        <f t="shared" si="24"/>
        <v>0</v>
      </c>
      <c r="M133" s="69">
        <f t="shared" si="25"/>
        <v>0</v>
      </c>
      <c r="N133" s="69">
        <f t="shared" si="26"/>
        <v>0</v>
      </c>
      <c r="O133" s="70"/>
      <c r="P133" s="69"/>
      <c r="Q133" s="71"/>
      <c r="R133" s="49">
        <f t="shared" si="27"/>
        <v>0</v>
      </c>
      <c r="S133" s="49">
        <f>[1]BASE!A131</f>
        <v>122</v>
      </c>
      <c r="T133" s="69">
        <f t="shared" si="1"/>
        <v>0</v>
      </c>
      <c r="U133" s="69">
        <f t="shared" si="2"/>
        <v>0</v>
      </c>
      <c r="V133" s="69">
        <f t="shared" si="3"/>
        <v>0</v>
      </c>
      <c r="W133" s="69">
        <f t="shared" si="4"/>
        <v>0</v>
      </c>
      <c r="X133" s="69">
        <f t="shared" si="5"/>
        <v>0</v>
      </c>
    </row>
    <row r="134" spans="1:24" ht="20.25" customHeight="1">
      <c r="A134" s="68" t="str">
        <f>IF(BASE!B132="","",BASE!B132)</f>
        <v/>
      </c>
      <c r="B134" s="49" t="s">
        <v>2</v>
      </c>
      <c r="C134" s="69">
        <f t="shared" si="17"/>
        <v>0</v>
      </c>
      <c r="D134" s="69">
        <f t="shared" si="18"/>
        <v>0</v>
      </c>
      <c r="E134" s="69">
        <f t="shared" si="19"/>
        <v>0</v>
      </c>
      <c r="F134" s="69">
        <f t="shared" si="20"/>
        <v>0</v>
      </c>
      <c r="G134" s="69">
        <f t="shared" si="21"/>
        <v>0</v>
      </c>
      <c r="H134" s="70"/>
      <c r="I134" s="69"/>
      <c r="J134" s="69">
        <f t="shared" si="22"/>
        <v>0</v>
      </c>
      <c r="K134" s="69">
        <f t="shared" si="23"/>
        <v>0</v>
      </c>
      <c r="L134" s="69">
        <f t="shared" si="24"/>
        <v>0</v>
      </c>
      <c r="M134" s="69">
        <f t="shared" si="25"/>
        <v>0</v>
      </c>
      <c r="N134" s="69">
        <f t="shared" si="26"/>
        <v>0</v>
      </c>
      <c r="O134" s="70"/>
      <c r="P134" s="69"/>
      <c r="Q134" s="71"/>
      <c r="R134" s="49">
        <f t="shared" si="27"/>
        <v>0</v>
      </c>
      <c r="S134" s="49">
        <f>[1]BASE!A132</f>
        <v>123</v>
      </c>
      <c r="T134" s="69">
        <f t="shared" si="1"/>
        <v>0</v>
      </c>
      <c r="U134" s="69">
        <f t="shared" si="2"/>
        <v>0</v>
      </c>
      <c r="V134" s="69">
        <f t="shared" si="3"/>
        <v>0</v>
      </c>
      <c r="W134" s="69">
        <f t="shared" si="4"/>
        <v>0</v>
      </c>
      <c r="X134" s="69">
        <f t="shared" si="5"/>
        <v>0</v>
      </c>
    </row>
    <row r="135" spans="1:24" ht="20.25" customHeight="1">
      <c r="A135" s="68" t="str">
        <f>IF(BASE!B133="","",BASE!B133)</f>
        <v/>
      </c>
      <c r="B135" s="49" t="s">
        <v>2</v>
      </c>
      <c r="C135" s="69">
        <f t="shared" si="17"/>
        <v>0</v>
      </c>
      <c r="D135" s="69">
        <f t="shared" si="18"/>
        <v>0</v>
      </c>
      <c r="E135" s="69">
        <f t="shared" si="19"/>
        <v>0</v>
      </c>
      <c r="F135" s="69">
        <f t="shared" si="20"/>
        <v>0</v>
      </c>
      <c r="G135" s="69">
        <f t="shared" si="21"/>
        <v>0</v>
      </c>
      <c r="H135" s="70"/>
      <c r="I135" s="69"/>
      <c r="J135" s="69">
        <f t="shared" si="22"/>
        <v>0</v>
      </c>
      <c r="K135" s="69">
        <f t="shared" si="23"/>
        <v>0</v>
      </c>
      <c r="L135" s="69">
        <f t="shared" si="24"/>
        <v>0</v>
      </c>
      <c r="M135" s="69">
        <f t="shared" si="25"/>
        <v>0</v>
      </c>
      <c r="N135" s="69">
        <f t="shared" si="26"/>
        <v>0</v>
      </c>
      <c r="O135" s="70"/>
      <c r="P135" s="69"/>
      <c r="Q135" s="71"/>
      <c r="R135" s="49">
        <f t="shared" si="27"/>
        <v>0</v>
      </c>
      <c r="S135" s="49">
        <f>[1]BASE!A133</f>
        <v>124</v>
      </c>
      <c r="T135" s="69">
        <f t="shared" si="1"/>
        <v>0</v>
      </c>
      <c r="U135" s="69">
        <f t="shared" si="2"/>
        <v>0</v>
      </c>
      <c r="V135" s="69">
        <f t="shared" si="3"/>
        <v>0</v>
      </c>
      <c r="W135" s="69">
        <f t="shared" si="4"/>
        <v>0</v>
      </c>
      <c r="X135" s="69">
        <f t="shared" si="5"/>
        <v>0</v>
      </c>
    </row>
    <row r="136" spans="1:24" ht="20.25" customHeight="1">
      <c r="A136" s="68" t="str">
        <f>IF(BASE!B134="","",BASE!B134)</f>
        <v/>
      </c>
      <c r="B136" s="49" t="s">
        <v>2</v>
      </c>
      <c r="C136" s="69">
        <f t="shared" si="17"/>
        <v>0</v>
      </c>
      <c r="D136" s="69">
        <f t="shared" si="18"/>
        <v>0</v>
      </c>
      <c r="E136" s="69">
        <f t="shared" si="19"/>
        <v>0</v>
      </c>
      <c r="F136" s="69">
        <f t="shared" si="20"/>
        <v>0</v>
      </c>
      <c r="G136" s="69">
        <f t="shared" si="21"/>
        <v>0</v>
      </c>
      <c r="H136" s="70"/>
      <c r="I136" s="69"/>
      <c r="J136" s="69">
        <f t="shared" si="22"/>
        <v>0</v>
      </c>
      <c r="K136" s="69">
        <f t="shared" si="23"/>
        <v>0</v>
      </c>
      <c r="L136" s="69">
        <f t="shared" si="24"/>
        <v>0</v>
      </c>
      <c r="M136" s="69">
        <f t="shared" si="25"/>
        <v>0</v>
      </c>
      <c r="N136" s="69">
        <f t="shared" si="26"/>
        <v>0</v>
      </c>
      <c r="O136" s="70"/>
      <c r="P136" s="69"/>
      <c r="Q136" s="71"/>
      <c r="R136" s="49">
        <f t="shared" si="27"/>
        <v>0</v>
      </c>
      <c r="S136" s="49">
        <f>[1]BASE!A134</f>
        <v>125</v>
      </c>
      <c r="T136" s="69">
        <f t="shared" si="1"/>
        <v>0</v>
      </c>
      <c r="U136" s="69">
        <f t="shared" si="2"/>
        <v>0</v>
      </c>
      <c r="V136" s="69">
        <f t="shared" si="3"/>
        <v>0</v>
      </c>
      <c r="W136" s="69">
        <f t="shared" si="4"/>
        <v>0</v>
      </c>
      <c r="X136" s="69">
        <f t="shared" si="5"/>
        <v>0</v>
      </c>
    </row>
    <row r="137" spans="1:24" ht="20.25" customHeight="1">
      <c r="A137" s="68" t="str">
        <f>IF(BASE!B135="","",BASE!B135)</f>
        <v/>
      </c>
      <c r="B137" s="49" t="s">
        <v>2</v>
      </c>
      <c r="C137" s="69">
        <f t="shared" si="17"/>
        <v>0</v>
      </c>
      <c r="D137" s="69">
        <f t="shared" si="18"/>
        <v>0</v>
      </c>
      <c r="E137" s="69">
        <f t="shared" si="19"/>
        <v>0</v>
      </c>
      <c r="F137" s="69">
        <f t="shared" si="20"/>
        <v>0</v>
      </c>
      <c r="G137" s="69">
        <f t="shared" si="21"/>
        <v>0</v>
      </c>
      <c r="H137" s="70"/>
      <c r="I137" s="69"/>
      <c r="J137" s="69">
        <f t="shared" si="22"/>
        <v>0</v>
      </c>
      <c r="K137" s="69">
        <f t="shared" si="23"/>
        <v>0</v>
      </c>
      <c r="L137" s="69">
        <f t="shared" si="24"/>
        <v>0</v>
      </c>
      <c r="M137" s="69">
        <f t="shared" si="25"/>
        <v>0</v>
      </c>
      <c r="N137" s="69">
        <f t="shared" si="26"/>
        <v>0</v>
      </c>
      <c r="O137" s="70"/>
      <c r="P137" s="69"/>
      <c r="Q137" s="71"/>
      <c r="R137" s="49">
        <f t="shared" si="27"/>
        <v>0</v>
      </c>
      <c r="S137" s="49">
        <f>[1]BASE!A135</f>
        <v>126</v>
      </c>
      <c r="T137" s="69">
        <f t="shared" si="1"/>
        <v>0</v>
      </c>
      <c r="U137" s="69">
        <f t="shared" si="2"/>
        <v>0</v>
      </c>
      <c r="V137" s="69">
        <f t="shared" si="3"/>
        <v>0</v>
      </c>
      <c r="W137" s="69">
        <f t="shared" si="4"/>
        <v>0</v>
      </c>
      <c r="X137" s="69">
        <f t="shared" si="5"/>
        <v>0</v>
      </c>
    </row>
    <row r="138" spans="1:24" ht="20.25" customHeight="1">
      <c r="A138" s="68" t="str">
        <f>IF(BASE!B136="","",BASE!B136)</f>
        <v/>
      </c>
      <c r="B138" s="49" t="s">
        <v>2</v>
      </c>
      <c r="C138" s="69">
        <f t="shared" si="17"/>
        <v>0</v>
      </c>
      <c r="D138" s="69">
        <f t="shared" si="18"/>
        <v>0</v>
      </c>
      <c r="E138" s="69">
        <f t="shared" si="19"/>
        <v>0</v>
      </c>
      <c r="F138" s="69">
        <f t="shared" si="20"/>
        <v>0</v>
      </c>
      <c r="G138" s="69">
        <f t="shared" si="21"/>
        <v>0</v>
      </c>
      <c r="H138" s="70"/>
      <c r="I138" s="69"/>
      <c r="J138" s="69">
        <f t="shared" si="22"/>
        <v>0</v>
      </c>
      <c r="K138" s="69">
        <f t="shared" si="23"/>
        <v>0</v>
      </c>
      <c r="L138" s="69">
        <f t="shared" si="24"/>
        <v>0</v>
      </c>
      <c r="M138" s="69">
        <f t="shared" si="25"/>
        <v>0</v>
      </c>
      <c r="N138" s="69">
        <f t="shared" si="26"/>
        <v>0</v>
      </c>
      <c r="O138" s="70"/>
      <c r="P138" s="69"/>
      <c r="Q138" s="71"/>
      <c r="R138" s="49">
        <f t="shared" si="27"/>
        <v>0</v>
      </c>
      <c r="S138" s="49">
        <f>[1]BASE!A136</f>
        <v>127</v>
      </c>
      <c r="T138" s="69">
        <f t="shared" si="1"/>
        <v>0</v>
      </c>
      <c r="U138" s="69">
        <f t="shared" si="2"/>
        <v>0</v>
      </c>
      <c r="V138" s="69">
        <f t="shared" si="3"/>
        <v>0</v>
      </c>
      <c r="W138" s="69">
        <f t="shared" si="4"/>
        <v>0</v>
      </c>
      <c r="X138" s="69">
        <f t="shared" si="5"/>
        <v>0</v>
      </c>
    </row>
    <row r="139" spans="1:24" ht="20.25" customHeight="1">
      <c r="A139" s="68" t="str">
        <f>IF(BASE!B137="","",BASE!B137)</f>
        <v/>
      </c>
      <c r="B139" s="49" t="s">
        <v>2</v>
      </c>
      <c r="C139" s="69">
        <f t="shared" si="17"/>
        <v>0</v>
      </c>
      <c r="D139" s="69">
        <f t="shared" si="18"/>
        <v>0</v>
      </c>
      <c r="E139" s="69">
        <f t="shared" si="19"/>
        <v>0</v>
      </c>
      <c r="F139" s="69">
        <f t="shared" si="20"/>
        <v>0</v>
      </c>
      <c r="G139" s="69">
        <f t="shared" si="21"/>
        <v>0</v>
      </c>
      <c r="H139" s="70"/>
      <c r="I139" s="69"/>
      <c r="J139" s="69">
        <f t="shared" si="22"/>
        <v>0</v>
      </c>
      <c r="K139" s="69">
        <f t="shared" si="23"/>
        <v>0</v>
      </c>
      <c r="L139" s="69">
        <f t="shared" si="24"/>
        <v>0</v>
      </c>
      <c r="M139" s="69">
        <f t="shared" si="25"/>
        <v>0</v>
      </c>
      <c r="N139" s="69">
        <f t="shared" si="26"/>
        <v>0</v>
      </c>
      <c r="O139" s="70"/>
      <c r="P139" s="69"/>
      <c r="Q139" s="71"/>
      <c r="R139" s="49">
        <f t="shared" si="27"/>
        <v>0</v>
      </c>
      <c r="S139" s="49">
        <f>[1]BASE!A137</f>
        <v>128</v>
      </c>
      <c r="T139" s="69">
        <f t="shared" si="1"/>
        <v>0</v>
      </c>
      <c r="U139" s="69">
        <f t="shared" si="2"/>
        <v>0</v>
      </c>
      <c r="V139" s="69">
        <f t="shared" si="3"/>
        <v>0</v>
      </c>
      <c r="W139" s="69">
        <f t="shared" si="4"/>
        <v>0</v>
      </c>
      <c r="X139" s="69">
        <f t="shared" si="5"/>
        <v>0</v>
      </c>
    </row>
    <row r="140" spans="1:24" ht="20.25" customHeight="1">
      <c r="A140" s="68" t="str">
        <f>IF(BASE!B138="","",BASE!B138)</f>
        <v/>
      </c>
      <c r="B140" s="49" t="s">
        <v>2</v>
      </c>
      <c r="C140" s="69">
        <f t="shared" si="17"/>
        <v>0</v>
      </c>
      <c r="D140" s="69">
        <f t="shared" si="18"/>
        <v>0</v>
      </c>
      <c r="E140" s="69">
        <f t="shared" si="19"/>
        <v>0</v>
      </c>
      <c r="F140" s="69">
        <f t="shared" si="20"/>
        <v>0</v>
      </c>
      <c r="G140" s="69">
        <f t="shared" si="21"/>
        <v>0</v>
      </c>
      <c r="H140" s="70"/>
      <c r="I140" s="69"/>
      <c r="J140" s="69">
        <f t="shared" si="22"/>
        <v>0</v>
      </c>
      <c r="K140" s="69">
        <f t="shared" si="23"/>
        <v>0</v>
      </c>
      <c r="L140" s="69">
        <f t="shared" si="24"/>
        <v>0</v>
      </c>
      <c r="M140" s="69">
        <f t="shared" si="25"/>
        <v>0</v>
      </c>
      <c r="N140" s="69">
        <f t="shared" si="26"/>
        <v>0</v>
      </c>
      <c r="O140" s="70"/>
      <c r="P140" s="69"/>
      <c r="Q140" s="71"/>
      <c r="R140" s="49">
        <f t="shared" si="27"/>
        <v>0</v>
      </c>
      <c r="S140" s="49">
        <f>[1]BASE!A138</f>
        <v>129</v>
      </c>
      <c r="T140" s="69">
        <f t="shared" si="1"/>
        <v>0</v>
      </c>
      <c r="U140" s="69">
        <f t="shared" si="2"/>
        <v>0</v>
      </c>
      <c r="V140" s="69">
        <f t="shared" si="3"/>
        <v>0</v>
      </c>
      <c r="W140" s="69">
        <f t="shared" si="4"/>
        <v>0</v>
      </c>
      <c r="X140" s="69">
        <f t="shared" si="5"/>
        <v>0</v>
      </c>
    </row>
    <row r="141" spans="1:24" ht="20.25" customHeight="1">
      <c r="A141" s="68" t="str">
        <f>IF(BASE!B139="","",BASE!B139)</f>
        <v/>
      </c>
      <c r="B141" s="49" t="s">
        <v>2</v>
      </c>
      <c r="C141" s="69">
        <f t="shared" ref="C141:C204" si="28">(H141/5)</f>
        <v>0</v>
      </c>
      <c r="D141" s="69">
        <f t="shared" ref="D141:D204" si="29">(H141/5)</f>
        <v>0</v>
      </c>
      <c r="E141" s="69">
        <f t="shared" ref="E141:E204" si="30">(H141/5)</f>
        <v>0</v>
      </c>
      <c r="F141" s="69">
        <f t="shared" ref="F141:F204" si="31">(H141/5)</f>
        <v>0</v>
      </c>
      <c r="G141" s="69">
        <f t="shared" ref="G141:G204" si="32">(H141/5)</f>
        <v>0</v>
      </c>
      <c r="H141" s="70"/>
      <c r="I141" s="69"/>
      <c r="J141" s="69">
        <f t="shared" ref="J141:J204" si="33">(O141/5)</f>
        <v>0</v>
      </c>
      <c r="K141" s="69">
        <f t="shared" ref="K141:K204" si="34">(O141/5)</f>
        <v>0</v>
      </c>
      <c r="L141" s="69">
        <f t="shared" ref="L141:L204" si="35">(O141/5)</f>
        <v>0</v>
      </c>
      <c r="M141" s="69">
        <f t="shared" ref="M141:M204" si="36">(O141/5)</f>
        <v>0</v>
      </c>
      <c r="N141" s="69">
        <f t="shared" ref="N141:N204" si="37">(O141/5)</f>
        <v>0</v>
      </c>
      <c r="O141" s="70"/>
      <c r="P141" s="69"/>
      <c r="Q141" s="71"/>
      <c r="R141" s="49">
        <f t="shared" ref="R141:R204" si="38">SUM(H141,O141)</f>
        <v>0</v>
      </c>
      <c r="S141" s="49">
        <f>[1]BASE!A139</f>
        <v>130</v>
      </c>
      <c r="T141" s="69">
        <f t="shared" si="1"/>
        <v>0</v>
      </c>
      <c r="U141" s="69">
        <f t="shared" si="2"/>
        <v>0</v>
      </c>
      <c r="V141" s="69">
        <f t="shared" si="3"/>
        <v>0</v>
      </c>
      <c r="W141" s="69">
        <f t="shared" si="4"/>
        <v>0</v>
      </c>
      <c r="X141" s="69">
        <f t="shared" si="5"/>
        <v>0</v>
      </c>
    </row>
    <row r="142" spans="1:24" ht="20.25" customHeight="1">
      <c r="A142" s="68" t="str">
        <f>IF(BASE!B140="","",BASE!B140)</f>
        <v/>
      </c>
      <c r="B142" s="49" t="s">
        <v>2</v>
      </c>
      <c r="C142" s="69">
        <f t="shared" si="28"/>
        <v>0</v>
      </c>
      <c r="D142" s="69">
        <f t="shared" si="29"/>
        <v>0</v>
      </c>
      <c r="E142" s="69">
        <f t="shared" si="30"/>
        <v>0</v>
      </c>
      <c r="F142" s="69">
        <f t="shared" si="31"/>
        <v>0</v>
      </c>
      <c r="G142" s="69">
        <f t="shared" si="32"/>
        <v>0</v>
      </c>
      <c r="H142" s="70"/>
      <c r="I142" s="69"/>
      <c r="J142" s="69">
        <f t="shared" si="33"/>
        <v>0</v>
      </c>
      <c r="K142" s="69">
        <f t="shared" si="34"/>
        <v>0</v>
      </c>
      <c r="L142" s="69">
        <f t="shared" si="35"/>
        <v>0</v>
      </c>
      <c r="M142" s="69">
        <f t="shared" si="36"/>
        <v>0</v>
      </c>
      <c r="N142" s="69">
        <f t="shared" si="37"/>
        <v>0</v>
      </c>
      <c r="O142" s="70"/>
      <c r="P142" s="69"/>
      <c r="Q142" s="71"/>
      <c r="R142" s="49">
        <f t="shared" si="38"/>
        <v>0</v>
      </c>
      <c r="S142" s="49">
        <f>[1]BASE!A140</f>
        <v>131</v>
      </c>
      <c r="T142" s="69">
        <f t="shared" si="1"/>
        <v>0</v>
      </c>
      <c r="U142" s="69">
        <f t="shared" si="2"/>
        <v>0</v>
      </c>
      <c r="V142" s="69">
        <f t="shared" si="3"/>
        <v>0</v>
      </c>
      <c r="W142" s="69">
        <f t="shared" si="4"/>
        <v>0</v>
      </c>
      <c r="X142" s="69">
        <f t="shared" si="5"/>
        <v>0</v>
      </c>
    </row>
    <row r="143" spans="1:24" ht="20.25" customHeight="1">
      <c r="A143" s="68" t="str">
        <f>IF(BASE!B141="","",BASE!B141)</f>
        <v/>
      </c>
      <c r="B143" s="49" t="s">
        <v>2</v>
      </c>
      <c r="C143" s="69">
        <f t="shared" si="28"/>
        <v>0</v>
      </c>
      <c r="D143" s="69">
        <f t="shared" si="29"/>
        <v>0</v>
      </c>
      <c r="E143" s="69">
        <f t="shared" si="30"/>
        <v>0</v>
      </c>
      <c r="F143" s="69">
        <f t="shared" si="31"/>
        <v>0</v>
      </c>
      <c r="G143" s="69">
        <f t="shared" si="32"/>
        <v>0</v>
      </c>
      <c r="H143" s="70"/>
      <c r="I143" s="69"/>
      <c r="J143" s="69">
        <f t="shared" si="33"/>
        <v>0</v>
      </c>
      <c r="K143" s="69">
        <f t="shared" si="34"/>
        <v>0</v>
      </c>
      <c r="L143" s="69">
        <f t="shared" si="35"/>
        <v>0</v>
      </c>
      <c r="M143" s="69">
        <f t="shared" si="36"/>
        <v>0</v>
      </c>
      <c r="N143" s="69">
        <f t="shared" si="37"/>
        <v>0</v>
      </c>
      <c r="O143" s="70"/>
      <c r="P143" s="69"/>
      <c r="Q143" s="71"/>
      <c r="R143" s="49">
        <f t="shared" si="38"/>
        <v>0</v>
      </c>
      <c r="S143" s="49">
        <f>[1]BASE!A141</f>
        <v>132</v>
      </c>
      <c r="T143" s="69">
        <f t="shared" si="1"/>
        <v>0</v>
      </c>
      <c r="U143" s="69">
        <f t="shared" si="2"/>
        <v>0</v>
      </c>
      <c r="V143" s="69">
        <f t="shared" si="3"/>
        <v>0</v>
      </c>
      <c r="W143" s="69">
        <f t="shared" si="4"/>
        <v>0</v>
      </c>
      <c r="X143" s="69">
        <f t="shared" si="5"/>
        <v>0</v>
      </c>
    </row>
    <row r="144" spans="1:24" ht="20.25" customHeight="1">
      <c r="A144" s="68" t="str">
        <f>IF(BASE!B142="","",BASE!B142)</f>
        <v/>
      </c>
      <c r="B144" s="49" t="s">
        <v>2</v>
      </c>
      <c r="C144" s="69">
        <f t="shared" si="28"/>
        <v>0</v>
      </c>
      <c r="D144" s="69">
        <f t="shared" si="29"/>
        <v>0</v>
      </c>
      <c r="E144" s="69">
        <f t="shared" si="30"/>
        <v>0</v>
      </c>
      <c r="F144" s="69">
        <f t="shared" si="31"/>
        <v>0</v>
      </c>
      <c r="G144" s="69">
        <f t="shared" si="32"/>
        <v>0</v>
      </c>
      <c r="H144" s="70"/>
      <c r="I144" s="69"/>
      <c r="J144" s="69">
        <f t="shared" si="33"/>
        <v>0</v>
      </c>
      <c r="K144" s="69">
        <f t="shared" si="34"/>
        <v>0</v>
      </c>
      <c r="L144" s="69">
        <f t="shared" si="35"/>
        <v>0</v>
      </c>
      <c r="M144" s="69">
        <f t="shared" si="36"/>
        <v>0</v>
      </c>
      <c r="N144" s="69">
        <f t="shared" si="37"/>
        <v>0</v>
      </c>
      <c r="O144" s="70"/>
      <c r="P144" s="69"/>
      <c r="Q144" s="71"/>
      <c r="R144" s="49">
        <f t="shared" si="38"/>
        <v>0</v>
      </c>
      <c r="S144" s="49">
        <f>[1]BASE!A142</f>
        <v>133</v>
      </c>
      <c r="T144" s="69">
        <f t="shared" si="1"/>
        <v>0</v>
      </c>
      <c r="U144" s="69">
        <f t="shared" si="2"/>
        <v>0</v>
      </c>
      <c r="V144" s="69">
        <f t="shared" si="3"/>
        <v>0</v>
      </c>
      <c r="W144" s="69">
        <f t="shared" si="4"/>
        <v>0</v>
      </c>
      <c r="X144" s="69">
        <f t="shared" si="5"/>
        <v>0</v>
      </c>
    </row>
    <row r="145" spans="1:24" ht="20.25" customHeight="1">
      <c r="A145" s="68" t="str">
        <f>IF(BASE!B143="","",BASE!B143)</f>
        <v/>
      </c>
      <c r="B145" s="49" t="s">
        <v>2</v>
      </c>
      <c r="C145" s="69">
        <f t="shared" si="28"/>
        <v>0</v>
      </c>
      <c r="D145" s="69">
        <f t="shared" si="29"/>
        <v>0</v>
      </c>
      <c r="E145" s="69">
        <f t="shared" si="30"/>
        <v>0</v>
      </c>
      <c r="F145" s="69">
        <f t="shared" si="31"/>
        <v>0</v>
      </c>
      <c r="G145" s="69">
        <f t="shared" si="32"/>
        <v>0</v>
      </c>
      <c r="H145" s="70"/>
      <c r="I145" s="69"/>
      <c r="J145" s="69">
        <f t="shared" si="33"/>
        <v>0</v>
      </c>
      <c r="K145" s="69">
        <f t="shared" si="34"/>
        <v>0</v>
      </c>
      <c r="L145" s="69">
        <f t="shared" si="35"/>
        <v>0</v>
      </c>
      <c r="M145" s="69">
        <f t="shared" si="36"/>
        <v>0</v>
      </c>
      <c r="N145" s="69">
        <f t="shared" si="37"/>
        <v>0</v>
      </c>
      <c r="O145" s="70"/>
      <c r="P145" s="69"/>
      <c r="Q145" s="71"/>
      <c r="R145" s="49">
        <f t="shared" si="38"/>
        <v>0</v>
      </c>
      <c r="S145" s="49">
        <f>[1]BASE!A143</f>
        <v>134</v>
      </c>
      <c r="T145" s="69">
        <f t="shared" si="1"/>
        <v>0</v>
      </c>
      <c r="U145" s="69">
        <f t="shared" si="2"/>
        <v>0</v>
      </c>
      <c r="V145" s="69">
        <f t="shared" si="3"/>
        <v>0</v>
      </c>
      <c r="W145" s="69">
        <f t="shared" si="4"/>
        <v>0</v>
      </c>
      <c r="X145" s="69">
        <f t="shared" si="5"/>
        <v>0</v>
      </c>
    </row>
    <row r="146" spans="1:24" ht="20.25" customHeight="1">
      <c r="A146" s="68" t="str">
        <f>IF(BASE!B144="","",BASE!B144)</f>
        <v/>
      </c>
      <c r="B146" s="49" t="s">
        <v>2</v>
      </c>
      <c r="C146" s="69">
        <f t="shared" si="28"/>
        <v>0</v>
      </c>
      <c r="D146" s="69">
        <f t="shared" si="29"/>
        <v>0</v>
      </c>
      <c r="E146" s="69">
        <f t="shared" si="30"/>
        <v>0</v>
      </c>
      <c r="F146" s="69">
        <f t="shared" si="31"/>
        <v>0</v>
      </c>
      <c r="G146" s="69">
        <f t="shared" si="32"/>
        <v>0</v>
      </c>
      <c r="H146" s="70"/>
      <c r="I146" s="69"/>
      <c r="J146" s="69">
        <f t="shared" si="33"/>
        <v>0</v>
      </c>
      <c r="K146" s="69">
        <f t="shared" si="34"/>
        <v>0</v>
      </c>
      <c r="L146" s="69">
        <f t="shared" si="35"/>
        <v>0</v>
      </c>
      <c r="M146" s="69">
        <f t="shared" si="36"/>
        <v>0</v>
      </c>
      <c r="N146" s="69">
        <f t="shared" si="37"/>
        <v>0</v>
      </c>
      <c r="O146" s="70"/>
      <c r="P146" s="69"/>
      <c r="Q146" s="71"/>
      <c r="R146" s="49">
        <f t="shared" si="38"/>
        <v>0</v>
      </c>
      <c r="S146" s="49">
        <f>[1]BASE!A144</f>
        <v>135</v>
      </c>
      <c r="T146" s="69">
        <f t="shared" si="1"/>
        <v>0</v>
      </c>
      <c r="U146" s="69">
        <f t="shared" si="2"/>
        <v>0</v>
      </c>
      <c r="V146" s="69">
        <f t="shared" si="3"/>
        <v>0</v>
      </c>
      <c r="W146" s="69">
        <f t="shared" si="4"/>
        <v>0</v>
      </c>
      <c r="X146" s="69">
        <f t="shared" si="5"/>
        <v>0</v>
      </c>
    </row>
    <row r="147" spans="1:24" ht="20.25" customHeight="1">
      <c r="A147" s="68" t="str">
        <f>IF(BASE!B145="","",BASE!B145)</f>
        <v/>
      </c>
      <c r="B147" s="49" t="s">
        <v>2</v>
      </c>
      <c r="C147" s="69">
        <f t="shared" si="28"/>
        <v>0</v>
      </c>
      <c r="D147" s="69">
        <f t="shared" si="29"/>
        <v>0</v>
      </c>
      <c r="E147" s="69">
        <f t="shared" si="30"/>
        <v>0</v>
      </c>
      <c r="F147" s="69">
        <f t="shared" si="31"/>
        <v>0</v>
      </c>
      <c r="G147" s="69">
        <f t="shared" si="32"/>
        <v>0</v>
      </c>
      <c r="H147" s="70"/>
      <c r="I147" s="69"/>
      <c r="J147" s="69">
        <f t="shared" si="33"/>
        <v>0</v>
      </c>
      <c r="K147" s="69">
        <f t="shared" si="34"/>
        <v>0</v>
      </c>
      <c r="L147" s="69">
        <f t="shared" si="35"/>
        <v>0</v>
      </c>
      <c r="M147" s="69">
        <f t="shared" si="36"/>
        <v>0</v>
      </c>
      <c r="N147" s="69">
        <f t="shared" si="37"/>
        <v>0</v>
      </c>
      <c r="O147" s="70"/>
      <c r="P147" s="69"/>
      <c r="Q147" s="71"/>
      <c r="R147" s="49">
        <f t="shared" si="38"/>
        <v>0</v>
      </c>
      <c r="S147" s="49">
        <f>[1]BASE!A145</f>
        <v>136</v>
      </c>
      <c r="T147" s="69">
        <f t="shared" si="1"/>
        <v>0</v>
      </c>
      <c r="U147" s="69">
        <f t="shared" si="2"/>
        <v>0</v>
      </c>
      <c r="V147" s="69">
        <f t="shared" si="3"/>
        <v>0</v>
      </c>
      <c r="W147" s="69">
        <f t="shared" si="4"/>
        <v>0</v>
      </c>
      <c r="X147" s="69">
        <f t="shared" si="5"/>
        <v>0</v>
      </c>
    </row>
    <row r="148" spans="1:24" ht="20.25" customHeight="1">
      <c r="A148" s="68" t="str">
        <f>IF(BASE!B146="","",BASE!B146)</f>
        <v/>
      </c>
      <c r="B148" s="49" t="s">
        <v>2</v>
      </c>
      <c r="C148" s="69">
        <f t="shared" si="28"/>
        <v>0</v>
      </c>
      <c r="D148" s="69">
        <f t="shared" si="29"/>
        <v>0</v>
      </c>
      <c r="E148" s="69">
        <f t="shared" si="30"/>
        <v>0</v>
      </c>
      <c r="F148" s="69">
        <f t="shared" si="31"/>
        <v>0</v>
      </c>
      <c r="G148" s="69">
        <f t="shared" si="32"/>
        <v>0</v>
      </c>
      <c r="H148" s="70"/>
      <c r="I148" s="69"/>
      <c r="J148" s="69">
        <f t="shared" si="33"/>
        <v>0</v>
      </c>
      <c r="K148" s="69">
        <f t="shared" si="34"/>
        <v>0</v>
      </c>
      <c r="L148" s="69">
        <f t="shared" si="35"/>
        <v>0</v>
      </c>
      <c r="M148" s="69">
        <f t="shared" si="36"/>
        <v>0</v>
      </c>
      <c r="N148" s="69">
        <f t="shared" si="37"/>
        <v>0</v>
      </c>
      <c r="O148" s="70"/>
      <c r="P148" s="69"/>
      <c r="Q148" s="71"/>
      <c r="R148" s="49">
        <f t="shared" si="38"/>
        <v>0</v>
      </c>
      <c r="S148" s="49">
        <f>[1]BASE!A146</f>
        <v>137</v>
      </c>
      <c r="T148" s="69">
        <f t="shared" si="1"/>
        <v>0</v>
      </c>
      <c r="U148" s="69">
        <f t="shared" si="2"/>
        <v>0</v>
      </c>
      <c r="V148" s="69">
        <f t="shared" si="3"/>
        <v>0</v>
      </c>
      <c r="W148" s="69">
        <f t="shared" si="4"/>
        <v>0</v>
      </c>
      <c r="X148" s="69">
        <f t="shared" si="5"/>
        <v>0</v>
      </c>
    </row>
    <row r="149" spans="1:24" ht="20.25" customHeight="1">
      <c r="A149" s="68" t="str">
        <f>IF(BASE!B147="","",BASE!B147)</f>
        <v/>
      </c>
      <c r="B149" s="49" t="s">
        <v>2</v>
      </c>
      <c r="C149" s="69">
        <f t="shared" si="28"/>
        <v>0</v>
      </c>
      <c r="D149" s="69">
        <f t="shared" si="29"/>
        <v>0</v>
      </c>
      <c r="E149" s="69">
        <f t="shared" si="30"/>
        <v>0</v>
      </c>
      <c r="F149" s="69">
        <f t="shared" si="31"/>
        <v>0</v>
      </c>
      <c r="G149" s="69">
        <f t="shared" si="32"/>
        <v>0</v>
      </c>
      <c r="H149" s="70"/>
      <c r="I149" s="69"/>
      <c r="J149" s="69">
        <f t="shared" si="33"/>
        <v>0</v>
      </c>
      <c r="K149" s="69">
        <f t="shared" si="34"/>
        <v>0</v>
      </c>
      <c r="L149" s="69">
        <f t="shared" si="35"/>
        <v>0</v>
      </c>
      <c r="M149" s="69">
        <f t="shared" si="36"/>
        <v>0</v>
      </c>
      <c r="N149" s="69">
        <f t="shared" si="37"/>
        <v>0</v>
      </c>
      <c r="O149" s="70"/>
      <c r="P149" s="69"/>
      <c r="Q149" s="71"/>
      <c r="R149" s="49">
        <f t="shared" si="38"/>
        <v>0</v>
      </c>
      <c r="S149" s="49">
        <f>[1]BASE!A147</f>
        <v>138</v>
      </c>
      <c r="T149" s="69">
        <f t="shared" si="1"/>
        <v>0</v>
      </c>
      <c r="U149" s="69">
        <f t="shared" si="2"/>
        <v>0</v>
      </c>
      <c r="V149" s="69">
        <f t="shared" si="3"/>
        <v>0</v>
      </c>
      <c r="W149" s="69">
        <f t="shared" si="4"/>
        <v>0</v>
      </c>
      <c r="X149" s="69">
        <f t="shared" si="5"/>
        <v>0</v>
      </c>
    </row>
    <row r="150" spans="1:24" ht="20.25" customHeight="1">
      <c r="A150" s="68" t="str">
        <f>IF(BASE!B148="","",BASE!B148)</f>
        <v/>
      </c>
      <c r="B150" s="49" t="s">
        <v>2</v>
      </c>
      <c r="C150" s="69">
        <f t="shared" si="28"/>
        <v>0</v>
      </c>
      <c r="D150" s="69">
        <f t="shared" si="29"/>
        <v>0</v>
      </c>
      <c r="E150" s="69">
        <f t="shared" si="30"/>
        <v>0</v>
      </c>
      <c r="F150" s="69">
        <f t="shared" si="31"/>
        <v>0</v>
      </c>
      <c r="G150" s="69">
        <f t="shared" si="32"/>
        <v>0</v>
      </c>
      <c r="H150" s="70"/>
      <c r="I150" s="69"/>
      <c r="J150" s="69">
        <f t="shared" si="33"/>
        <v>0</v>
      </c>
      <c r="K150" s="69">
        <f t="shared" si="34"/>
        <v>0</v>
      </c>
      <c r="L150" s="69">
        <f t="shared" si="35"/>
        <v>0</v>
      </c>
      <c r="M150" s="69">
        <f t="shared" si="36"/>
        <v>0</v>
      </c>
      <c r="N150" s="69">
        <f t="shared" si="37"/>
        <v>0</v>
      </c>
      <c r="O150" s="70"/>
      <c r="P150" s="69"/>
      <c r="Q150" s="71"/>
      <c r="R150" s="49">
        <f t="shared" si="38"/>
        <v>0</v>
      </c>
      <c r="S150" s="49">
        <f>[1]BASE!A148</f>
        <v>139</v>
      </c>
      <c r="T150" s="69">
        <f t="shared" si="1"/>
        <v>0</v>
      </c>
      <c r="U150" s="69">
        <f t="shared" si="2"/>
        <v>0</v>
      </c>
      <c r="V150" s="69">
        <f t="shared" si="3"/>
        <v>0</v>
      </c>
      <c r="W150" s="69">
        <f t="shared" si="4"/>
        <v>0</v>
      </c>
      <c r="X150" s="69">
        <f t="shared" si="5"/>
        <v>0</v>
      </c>
    </row>
    <row r="151" spans="1:24" ht="20.25" customHeight="1">
      <c r="A151" s="68" t="str">
        <f>IF(BASE!B149="","",BASE!B149)</f>
        <v/>
      </c>
      <c r="B151" s="49" t="s">
        <v>2</v>
      </c>
      <c r="C151" s="69">
        <f t="shared" si="28"/>
        <v>0</v>
      </c>
      <c r="D151" s="69">
        <f t="shared" si="29"/>
        <v>0</v>
      </c>
      <c r="E151" s="69">
        <f t="shared" si="30"/>
        <v>0</v>
      </c>
      <c r="F151" s="69">
        <f t="shared" si="31"/>
        <v>0</v>
      </c>
      <c r="G151" s="69">
        <f t="shared" si="32"/>
        <v>0</v>
      </c>
      <c r="H151" s="70"/>
      <c r="I151" s="69"/>
      <c r="J151" s="69">
        <f t="shared" si="33"/>
        <v>0</v>
      </c>
      <c r="K151" s="69">
        <f t="shared" si="34"/>
        <v>0</v>
      </c>
      <c r="L151" s="69">
        <f t="shared" si="35"/>
        <v>0</v>
      </c>
      <c r="M151" s="69">
        <f t="shared" si="36"/>
        <v>0</v>
      </c>
      <c r="N151" s="69">
        <f t="shared" si="37"/>
        <v>0</v>
      </c>
      <c r="O151" s="70"/>
      <c r="P151" s="69"/>
      <c r="Q151" s="71"/>
      <c r="R151" s="49">
        <f t="shared" si="38"/>
        <v>0</v>
      </c>
      <c r="S151" s="49">
        <f>[1]BASE!A149</f>
        <v>140</v>
      </c>
      <c r="T151" s="69">
        <f t="shared" si="1"/>
        <v>0</v>
      </c>
      <c r="U151" s="69">
        <f t="shared" si="2"/>
        <v>0</v>
      </c>
      <c r="V151" s="69">
        <f t="shared" si="3"/>
        <v>0</v>
      </c>
      <c r="W151" s="69">
        <f t="shared" si="4"/>
        <v>0</v>
      </c>
      <c r="X151" s="69">
        <f t="shared" si="5"/>
        <v>0</v>
      </c>
    </row>
    <row r="152" spans="1:24" ht="20.25" customHeight="1">
      <c r="A152" s="68" t="str">
        <f>IF(BASE!B150="","",BASE!B150)</f>
        <v/>
      </c>
      <c r="B152" s="49" t="s">
        <v>2</v>
      </c>
      <c r="C152" s="69">
        <f t="shared" si="28"/>
        <v>0</v>
      </c>
      <c r="D152" s="69">
        <f t="shared" si="29"/>
        <v>0</v>
      </c>
      <c r="E152" s="69">
        <f t="shared" si="30"/>
        <v>0</v>
      </c>
      <c r="F152" s="69">
        <f t="shared" si="31"/>
        <v>0</v>
      </c>
      <c r="G152" s="69">
        <f t="shared" si="32"/>
        <v>0</v>
      </c>
      <c r="H152" s="70"/>
      <c r="I152" s="69"/>
      <c r="J152" s="69">
        <f t="shared" si="33"/>
        <v>0</v>
      </c>
      <c r="K152" s="69">
        <f t="shared" si="34"/>
        <v>0</v>
      </c>
      <c r="L152" s="69">
        <f t="shared" si="35"/>
        <v>0</v>
      </c>
      <c r="M152" s="69">
        <f t="shared" si="36"/>
        <v>0</v>
      </c>
      <c r="N152" s="69">
        <f t="shared" si="37"/>
        <v>0</v>
      </c>
      <c r="O152" s="70"/>
      <c r="P152" s="69"/>
      <c r="Q152" s="71"/>
      <c r="R152" s="49">
        <f t="shared" si="38"/>
        <v>0</v>
      </c>
      <c r="S152" s="49">
        <f>[1]BASE!A150</f>
        <v>141</v>
      </c>
      <c r="T152" s="69">
        <f t="shared" si="1"/>
        <v>0</v>
      </c>
      <c r="U152" s="69">
        <f t="shared" si="2"/>
        <v>0</v>
      </c>
      <c r="V152" s="69">
        <f t="shared" si="3"/>
        <v>0</v>
      </c>
      <c r="W152" s="69">
        <f t="shared" si="4"/>
        <v>0</v>
      </c>
      <c r="X152" s="69">
        <f t="shared" si="5"/>
        <v>0</v>
      </c>
    </row>
    <row r="153" spans="1:24" ht="20.25" customHeight="1">
      <c r="A153" s="68" t="str">
        <f>IF(BASE!B151="","",BASE!B151)</f>
        <v/>
      </c>
      <c r="B153" s="49" t="s">
        <v>2</v>
      </c>
      <c r="C153" s="69">
        <f t="shared" si="28"/>
        <v>0</v>
      </c>
      <c r="D153" s="69">
        <f t="shared" si="29"/>
        <v>0</v>
      </c>
      <c r="E153" s="69">
        <f t="shared" si="30"/>
        <v>0</v>
      </c>
      <c r="F153" s="69">
        <f t="shared" si="31"/>
        <v>0</v>
      </c>
      <c r="G153" s="69">
        <f t="shared" si="32"/>
        <v>0</v>
      </c>
      <c r="H153" s="70"/>
      <c r="I153" s="69"/>
      <c r="J153" s="69">
        <f t="shared" si="33"/>
        <v>0</v>
      </c>
      <c r="K153" s="69">
        <f t="shared" si="34"/>
        <v>0</v>
      </c>
      <c r="L153" s="69">
        <f t="shared" si="35"/>
        <v>0</v>
      </c>
      <c r="M153" s="69">
        <f t="shared" si="36"/>
        <v>0</v>
      </c>
      <c r="N153" s="69">
        <f t="shared" si="37"/>
        <v>0</v>
      </c>
      <c r="O153" s="70"/>
      <c r="P153" s="69"/>
      <c r="Q153" s="71"/>
      <c r="R153" s="49">
        <f t="shared" si="38"/>
        <v>0</v>
      </c>
      <c r="S153" s="49">
        <f>[1]BASE!A151</f>
        <v>142</v>
      </c>
      <c r="T153" s="69">
        <f t="shared" si="1"/>
        <v>0</v>
      </c>
      <c r="U153" s="69">
        <f t="shared" si="2"/>
        <v>0</v>
      </c>
      <c r="V153" s="69">
        <f t="shared" si="3"/>
        <v>0</v>
      </c>
      <c r="W153" s="69">
        <f t="shared" si="4"/>
        <v>0</v>
      </c>
      <c r="X153" s="69">
        <f t="shared" si="5"/>
        <v>0</v>
      </c>
    </row>
    <row r="154" spans="1:24" ht="20.25" customHeight="1">
      <c r="A154" s="68" t="str">
        <f>IF(BASE!B152="","",BASE!B152)</f>
        <v/>
      </c>
      <c r="B154" s="49" t="s">
        <v>2</v>
      </c>
      <c r="C154" s="69">
        <f t="shared" si="28"/>
        <v>0</v>
      </c>
      <c r="D154" s="69">
        <f t="shared" si="29"/>
        <v>0</v>
      </c>
      <c r="E154" s="69">
        <f t="shared" si="30"/>
        <v>0</v>
      </c>
      <c r="F154" s="69">
        <f t="shared" si="31"/>
        <v>0</v>
      </c>
      <c r="G154" s="69">
        <f t="shared" si="32"/>
        <v>0</v>
      </c>
      <c r="H154" s="70"/>
      <c r="I154" s="69"/>
      <c r="J154" s="69">
        <f t="shared" si="33"/>
        <v>0</v>
      </c>
      <c r="K154" s="69">
        <f t="shared" si="34"/>
        <v>0</v>
      </c>
      <c r="L154" s="69">
        <f t="shared" si="35"/>
        <v>0</v>
      </c>
      <c r="M154" s="69">
        <f t="shared" si="36"/>
        <v>0</v>
      </c>
      <c r="N154" s="69">
        <f t="shared" si="37"/>
        <v>0</v>
      </c>
      <c r="O154" s="70"/>
      <c r="P154" s="69"/>
      <c r="Q154" s="71"/>
      <c r="R154" s="49">
        <f t="shared" si="38"/>
        <v>0</v>
      </c>
      <c r="S154" s="49">
        <f>[1]BASE!A152</f>
        <v>143</v>
      </c>
      <c r="T154" s="69">
        <f t="shared" si="1"/>
        <v>0</v>
      </c>
      <c r="U154" s="69">
        <f t="shared" si="2"/>
        <v>0</v>
      </c>
      <c r="V154" s="69">
        <f t="shared" si="3"/>
        <v>0</v>
      </c>
      <c r="W154" s="69">
        <f t="shared" si="4"/>
        <v>0</v>
      </c>
      <c r="X154" s="69">
        <f t="shared" si="5"/>
        <v>0</v>
      </c>
    </row>
    <row r="155" spans="1:24" ht="20.25" customHeight="1">
      <c r="A155" s="68" t="str">
        <f>IF(BASE!B153="","",BASE!B153)</f>
        <v/>
      </c>
      <c r="B155" s="49" t="s">
        <v>2</v>
      </c>
      <c r="C155" s="69">
        <f t="shared" si="28"/>
        <v>0</v>
      </c>
      <c r="D155" s="69">
        <f t="shared" si="29"/>
        <v>0</v>
      </c>
      <c r="E155" s="69">
        <f t="shared" si="30"/>
        <v>0</v>
      </c>
      <c r="F155" s="69">
        <f t="shared" si="31"/>
        <v>0</v>
      </c>
      <c r="G155" s="69">
        <f t="shared" si="32"/>
        <v>0</v>
      </c>
      <c r="H155" s="70"/>
      <c r="I155" s="69"/>
      <c r="J155" s="69">
        <f t="shared" si="33"/>
        <v>0</v>
      </c>
      <c r="K155" s="69">
        <f t="shared" si="34"/>
        <v>0</v>
      </c>
      <c r="L155" s="69">
        <f t="shared" si="35"/>
        <v>0</v>
      </c>
      <c r="M155" s="69">
        <f t="shared" si="36"/>
        <v>0</v>
      </c>
      <c r="N155" s="69">
        <f t="shared" si="37"/>
        <v>0</v>
      </c>
      <c r="O155" s="70"/>
      <c r="P155" s="69"/>
      <c r="Q155" s="71"/>
      <c r="R155" s="49">
        <f t="shared" si="38"/>
        <v>0</v>
      </c>
      <c r="S155" s="49">
        <f>[1]BASE!A153</f>
        <v>144</v>
      </c>
      <c r="T155" s="69">
        <f t="shared" si="1"/>
        <v>0</v>
      </c>
      <c r="U155" s="69">
        <f t="shared" si="2"/>
        <v>0</v>
      </c>
      <c r="V155" s="69">
        <f t="shared" si="3"/>
        <v>0</v>
      </c>
      <c r="W155" s="69">
        <f t="shared" si="4"/>
        <v>0</v>
      </c>
      <c r="X155" s="69">
        <f t="shared" si="5"/>
        <v>0</v>
      </c>
    </row>
    <row r="156" spans="1:24" ht="20.25" customHeight="1">
      <c r="A156" s="68" t="str">
        <f>IF(BASE!B154="","",BASE!B154)</f>
        <v/>
      </c>
      <c r="B156" s="49" t="s">
        <v>2</v>
      </c>
      <c r="C156" s="69">
        <f t="shared" si="28"/>
        <v>0</v>
      </c>
      <c r="D156" s="69">
        <f t="shared" si="29"/>
        <v>0</v>
      </c>
      <c r="E156" s="69">
        <f t="shared" si="30"/>
        <v>0</v>
      </c>
      <c r="F156" s="69">
        <f t="shared" si="31"/>
        <v>0</v>
      </c>
      <c r="G156" s="69">
        <f t="shared" si="32"/>
        <v>0</v>
      </c>
      <c r="H156" s="70"/>
      <c r="I156" s="69"/>
      <c r="J156" s="69">
        <f t="shared" si="33"/>
        <v>0</v>
      </c>
      <c r="K156" s="69">
        <f t="shared" si="34"/>
        <v>0</v>
      </c>
      <c r="L156" s="69">
        <f t="shared" si="35"/>
        <v>0</v>
      </c>
      <c r="M156" s="69">
        <f t="shared" si="36"/>
        <v>0</v>
      </c>
      <c r="N156" s="69">
        <f t="shared" si="37"/>
        <v>0</v>
      </c>
      <c r="O156" s="70"/>
      <c r="P156" s="69"/>
      <c r="Q156" s="71"/>
      <c r="R156" s="49">
        <f t="shared" si="38"/>
        <v>0</v>
      </c>
      <c r="S156" s="49">
        <f>[1]BASE!A154</f>
        <v>145</v>
      </c>
      <c r="T156" s="69">
        <f t="shared" si="1"/>
        <v>0</v>
      </c>
      <c r="U156" s="69">
        <f t="shared" si="2"/>
        <v>0</v>
      </c>
      <c r="V156" s="69">
        <f t="shared" si="3"/>
        <v>0</v>
      </c>
      <c r="W156" s="69">
        <f t="shared" si="4"/>
        <v>0</v>
      </c>
      <c r="X156" s="69">
        <f t="shared" si="5"/>
        <v>0</v>
      </c>
    </row>
    <row r="157" spans="1:24" ht="20.25" customHeight="1">
      <c r="A157" s="68" t="str">
        <f>IF(BASE!B155="","",BASE!B155)</f>
        <v/>
      </c>
      <c r="B157" s="49" t="s">
        <v>2</v>
      </c>
      <c r="C157" s="69">
        <f t="shared" si="28"/>
        <v>0</v>
      </c>
      <c r="D157" s="69">
        <f t="shared" si="29"/>
        <v>0</v>
      </c>
      <c r="E157" s="69">
        <f t="shared" si="30"/>
        <v>0</v>
      </c>
      <c r="F157" s="69">
        <f t="shared" si="31"/>
        <v>0</v>
      </c>
      <c r="G157" s="69">
        <f t="shared" si="32"/>
        <v>0</v>
      </c>
      <c r="H157" s="70"/>
      <c r="I157" s="69"/>
      <c r="J157" s="69">
        <f t="shared" si="33"/>
        <v>0</v>
      </c>
      <c r="K157" s="69">
        <f t="shared" si="34"/>
        <v>0</v>
      </c>
      <c r="L157" s="69">
        <f t="shared" si="35"/>
        <v>0</v>
      </c>
      <c r="M157" s="69">
        <f t="shared" si="36"/>
        <v>0</v>
      </c>
      <c r="N157" s="69">
        <f t="shared" si="37"/>
        <v>0</v>
      </c>
      <c r="O157" s="70"/>
      <c r="P157" s="69"/>
      <c r="Q157" s="71"/>
      <c r="R157" s="49">
        <f t="shared" si="38"/>
        <v>0</v>
      </c>
      <c r="S157" s="49">
        <f>[1]BASE!A155</f>
        <v>146</v>
      </c>
      <c r="T157" s="69">
        <f t="shared" si="1"/>
        <v>0</v>
      </c>
      <c r="U157" s="69">
        <f t="shared" si="2"/>
        <v>0</v>
      </c>
      <c r="V157" s="69">
        <f t="shared" si="3"/>
        <v>0</v>
      </c>
      <c r="W157" s="69">
        <f t="shared" si="4"/>
        <v>0</v>
      </c>
      <c r="X157" s="69">
        <f t="shared" si="5"/>
        <v>0</v>
      </c>
    </row>
    <row r="158" spans="1:24" ht="20.25" customHeight="1">
      <c r="A158" s="68" t="str">
        <f>IF(BASE!B156="","",BASE!B156)</f>
        <v/>
      </c>
      <c r="B158" s="49" t="s">
        <v>2</v>
      </c>
      <c r="C158" s="69">
        <f t="shared" si="28"/>
        <v>0</v>
      </c>
      <c r="D158" s="69">
        <f t="shared" si="29"/>
        <v>0</v>
      </c>
      <c r="E158" s="69">
        <f t="shared" si="30"/>
        <v>0</v>
      </c>
      <c r="F158" s="69">
        <f t="shared" si="31"/>
        <v>0</v>
      </c>
      <c r="G158" s="69">
        <f t="shared" si="32"/>
        <v>0</v>
      </c>
      <c r="H158" s="70"/>
      <c r="I158" s="69"/>
      <c r="J158" s="69">
        <f t="shared" si="33"/>
        <v>0</v>
      </c>
      <c r="K158" s="69">
        <f t="shared" si="34"/>
        <v>0</v>
      </c>
      <c r="L158" s="69">
        <f t="shared" si="35"/>
        <v>0</v>
      </c>
      <c r="M158" s="69">
        <f t="shared" si="36"/>
        <v>0</v>
      </c>
      <c r="N158" s="69">
        <f t="shared" si="37"/>
        <v>0</v>
      </c>
      <c r="O158" s="70"/>
      <c r="P158" s="69"/>
      <c r="Q158" s="71"/>
      <c r="R158" s="49">
        <f t="shared" si="38"/>
        <v>0</v>
      </c>
      <c r="S158" s="49">
        <f>[1]BASE!A156</f>
        <v>147</v>
      </c>
      <c r="T158" s="69">
        <f t="shared" si="1"/>
        <v>0</v>
      </c>
      <c r="U158" s="69">
        <f t="shared" si="2"/>
        <v>0</v>
      </c>
      <c r="V158" s="69">
        <f t="shared" si="3"/>
        <v>0</v>
      </c>
      <c r="W158" s="69">
        <f t="shared" si="4"/>
        <v>0</v>
      </c>
      <c r="X158" s="69">
        <f t="shared" si="5"/>
        <v>0</v>
      </c>
    </row>
    <row r="159" spans="1:24" ht="20.25" customHeight="1">
      <c r="A159" s="68" t="str">
        <f>IF(BASE!B157="","",BASE!B157)</f>
        <v/>
      </c>
      <c r="B159" s="49" t="s">
        <v>2</v>
      </c>
      <c r="C159" s="69">
        <f t="shared" si="28"/>
        <v>0</v>
      </c>
      <c r="D159" s="69">
        <f t="shared" si="29"/>
        <v>0</v>
      </c>
      <c r="E159" s="69">
        <f t="shared" si="30"/>
        <v>0</v>
      </c>
      <c r="F159" s="69">
        <f t="shared" si="31"/>
        <v>0</v>
      </c>
      <c r="G159" s="69">
        <f t="shared" si="32"/>
        <v>0</v>
      </c>
      <c r="H159" s="70"/>
      <c r="I159" s="69"/>
      <c r="J159" s="69">
        <f t="shared" si="33"/>
        <v>0</v>
      </c>
      <c r="K159" s="69">
        <f t="shared" si="34"/>
        <v>0</v>
      </c>
      <c r="L159" s="69">
        <f t="shared" si="35"/>
        <v>0</v>
      </c>
      <c r="M159" s="69">
        <f t="shared" si="36"/>
        <v>0</v>
      </c>
      <c r="N159" s="69">
        <f t="shared" si="37"/>
        <v>0</v>
      </c>
      <c r="O159" s="70"/>
      <c r="P159" s="69"/>
      <c r="Q159" s="71"/>
      <c r="R159" s="49">
        <f t="shared" si="38"/>
        <v>0</v>
      </c>
      <c r="S159" s="49">
        <f>[1]BASE!A157</f>
        <v>148</v>
      </c>
      <c r="T159" s="69">
        <f t="shared" si="1"/>
        <v>0</v>
      </c>
      <c r="U159" s="69">
        <f t="shared" si="2"/>
        <v>0</v>
      </c>
      <c r="V159" s="69">
        <f t="shared" si="3"/>
        <v>0</v>
      </c>
      <c r="W159" s="69">
        <f t="shared" si="4"/>
        <v>0</v>
      </c>
      <c r="X159" s="69">
        <f t="shared" si="5"/>
        <v>0</v>
      </c>
    </row>
    <row r="160" spans="1:24" ht="20.25" customHeight="1">
      <c r="A160" s="68" t="str">
        <f>IF(BASE!B158="","",BASE!B158)</f>
        <v/>
      </c>
      <c r="B160" s="49" t="s">
        <v>2</v>
      </c>
      <c r="C160" s="69">
        <f t="shared" si="28"/>
        <v>0</v>
      </c>
      <c r="D160" s="69">
        <f t="shared" si="29"/>
        <v>0</v>
      </c>
      <c r="E160" s="69">
        <f t="shared" si="30"/>
        <v>0</v>
      </c>
      <c r="F160" s="69">
        <f t="shared" si="31"/>
        <v>0</v>
      </c>
      <c r="G160" s="69">
        <f t="shared" si="32"/>
        <v>0</v>
      </c>
      <c r="H160" s="70"/>
      <c r="I160" s="69"/>
      <c r="J160" s="69">
        <f t="shared" si="33"/>
        <v>0</v>
      </c>
      <c r="K160" s="69">
        <f t="shared" si="34"/>
        <v>0</v>
      </c>
      <c r="L160" s="69">
        <f t="shared" si="35"/>
        <v>0</v>
      </c>
      <c r="M160" s="69">
        <f t="shared" si="36"/>
        <v>0</v>
      </c>
      <c r="N160" s="69">
        <f t="shared" si="37"/>
        <v>0</v>
      </c>
      <c r="O160" s="70"/>
      <c r="P160" s="69"/>
      <c r="Q160" s="71"/>
      <c r="R160" s="49">
        <f t="shared" si="38"/>
        <v>0</v>
      </c>
      <c r="S160" s="49">
        <f>[1]BASE!A158</f>
        <v>149</v>
      </c>
      <c r="T160" s="69">
        <f t="shared" si="1"/>
        <v>0</v>
      </c>
      <c r="U160" s="69">
        <f t="shared" si="2"/>
        <v>0</v>
      </c>
      <c r="V160" s="69">
        <f t="shared" si="3"/>
        <v>0</v>
      </c>
      <c r="W160" s="69">
        <f t="shared" si="4"/>
        <v>0</v>
      </c>
      <c r="X160" s="69">
        <f t="shared" si="5"/>
        <v>0</v>
      </c>
    </row>
    <row r="161" spans="1:24" ht="20.25" customHeight="1" thickBot="1">
      <c r="A161" s="68" t="str">
        <f>IF(BASE!B159="","",BASE!B159)</f>
        <v/>
      </c>
      <c r="B161" s="72" t="s">
        <v>2</v>
      </c>
      <c r="C161" s="69">
        <f t="shared" si="28"/>
        <v>0</v>
      </c>
      <c r="D161" s="69">
        <f t="shared" si="29"/>
        <v>0</v>
      </c>
      <c r="E161" s="69">
        <f t="shared" si="30"/>
        <v>0</v>
      </c>
      <c r="F161" s="69">
        <f t="shared" si="31"/>
        <v>0</v>
      </c>
      <c r="G161" s="69">
        <f t="shared" si="32"/>
        <v>0</v>
      </c>
      <c r="H161" s="70"/>
      <c r="I161" s="69"/>
      <c r="J161" s="69">
        <f t="shared" si="33"/>
        <v>0</v>
      </c>
      <c r="K161" s="69">
        <f t="shared" si="34"/>
        <v>0</v>
      </c>
      <c r="L161" s="69">
        <f t="shared" si="35"/>
        <v>0</v>
      </c>
      <c r="M161" s="69">
        <f t="shared" si="36"/>
        <v>0</v>
      </c>
      <c r="N161" s="69">
        <f t="shared" si="37"/>
        <v>0</v>
      </c>
      <c r="O161" s="70"/>
      <c r="P161" s="73"/>
      <c r="Q161" s="74"/>
      <c r="R161" s="49">
        <f t="shared" si="38"/>
        <v>0</v>
      </c>
      <c r="S161" s="49">
        <f>[1]BASE!A159</f>
        <v>150</v>
      </c>
      <c r="T161" s="69">
        <f t="shared" si="1"/>
        <v>0</v>
      </c>
      <c r="U161" s="69">
        <f t="shared" si="2"/>
        <v>0</v>
      </c>
      <c r="V161" s="69">
        <f t="shared" si="3"/>
        <v>0</v>
      </c>
      <c r="W161" s="69">
        <f t="shared" si="4"/>
        <v>0</v>
      </c>
      <c r="X161" s="69">
        <f t="shared" si="5"/>
        <v>0</v>
      </c>
    </row>
    <row r="162" spans="1:24" ht="17.25" customHeight="1">
      <c r="A162" s="68" t="str">
        <f>IF(BASE!B160="","",BASE!B160)</f>
        <v/>
      </c>
      <c r="B162" s="75" t="s">
        <v>2</v>
      </c>
      <c r="C162" s="69">
        <f t="shared" si="28"/>
        <v>0</v>
      </c>
      <c r="D162" s="69">
        <f t="shared" si="29"/>
        <v>0</v>
      </c>
      <c r="E162" s="69">
        <f t="shared" si="30"/>
        <v>0</v>
      </c>
      <c r="F162" s="69">
        <f t="shared" si="31"/>
        <v>0</v>
      </c>
      <c r="G162" s="69">
        <f t="shared" si="32"/>
        <v>0</v>
      </c>
      <c r="H162" s="70"/>
      <c r="I162" s="69"/>
      <c r="J162" s="69">
        <f t="shared" si="33"/>
        <v>0</v>
      </c>
      <c r="K162" s="69">
        <f t="shared" si="34"/>
        <v>0</v>
      </c>
      <c r="L162" s="69">
        <f t="shared" si="35"/>
        <v>0</v>
      </c>
      <c r="M162" s="69">
        <f t="shared" si="36"/>
        <v>0</v>
      </c>
      <c r="N162" s="69">
        <f t="shared" si="37"/>
        <v>0</v>
      </c>
      <c r="O162" s="70"/>
      <c r="P162" s="76"/>
      <c r="Q162" s="77"/>
      <c r="R162" s="49">
        <f t="shared" si="38"/>
        <v>0</v>
      </c>
      <c r="S162" s="49">
        <f>[1]BASE!A160</f>
        <v>151</v>
      </c>
      <c r="T162" s="69">
        <f t="shared" si="1"/>
        <v>0</v>
      </c>
      <c r="U162" s="69">
        <f t="shared" si="2"/>
        <v>0</v>
      </c>
      <c r="V162" s="69">
        <f t="shared" si="3"/>
        <v>0</v>
      </c>
      <c r="W162" s="69">
        <f t="shared" si="4"/>
        <v>0</v>
      </c>
      <c r="X162" s="69">
        <f t="shared" si="5"/>
        <v>0</v>
      </c>
    </row>
    <row r="163" spans="1:24" ht="17.25" customHeight="1">
      <c r="A163" s="68" t="str">
        <f>IF(BASE!B161="","",BASE!B161)</f>
        <v/>
      </c>
      <c r="B163" s="49" t="s">
        <v>2</v>
      </c>
      <c r="C163" s="69">
        <f t="shared" si="28"/>
        <v>0</v>
      </c>
      <c r="D163" s="69">
        <f t="shared" si="29"/>
        <v>0</v>
      </c>
      <c r="E163" s="69">
        <f t="shared" si="30"/>
        <v>0</v>
      </c>
      <c r="F163" s="69">
        <f t="shared" si="31"/>
        <v>0</v>
      </c>
      <c r="G163" s="69">
        <f t="shared" si="32"/>
        <v>0</v>
      </c>
      <c r="H163" s="70"/>
      <c r="I163" s="69"/>
      <c r="J163" s="69">
        <f t="shared" si="33"/>
        <v>0</v>
      </c>
      <c r="K163" s="69">
        <f t="shared" si="34"/>
        <v>0</v>
      </c>
      <c r="L163" s="69">
        <f t="shared" si="35"/>
        <v>0</v>
      </c>
      <c r="M163" s="69">
        <f t="shared" si="36"/>
        <v>0</v>
      </c>
      <c r="N163" s="69">
        <f t="shared" si="37"/>
        <v>0</v>
      </c>
      <c r="O163" s="70"/>
      <c r="P163" s="69"/>
      <c r="Q163" s="71"/>
      <c r="R163" s="49">
        <f t="shared" si="38"/>
        <v>0</v>
      </c>
      <c r="S163" s="49">
        <f>[1]BASE!A161</f>
        <v>152</v>
      </c>
      <c r="T163" s="69">
        <f t="shared" si="1"/>
        <v>0</v>
      </c>
      <c r="U163" s="69">
        <f t="shared" si="2"/>
        <v>0</v>
      </c>
      <c r="V163" s="69">
        <f t="shared" si="3"/>
        <v>0</v>
      </c>
      <c r="W163" s="69">
        <f t="shared" si="4"/>
        <v>0</v>
      </c>
      <c r="X163" s="69">
        <f t="shared" si="5"/>
        <v>0</v>
      </c>
    </row>
    <row r="164" spans="1:24" ht="17.25" customHeight="1">
      <c r="A164" s="68" t="str">
        <f>IF(BASE!B162="","",BASE!B162)</f>
        <v/>
      </c>
      <c r="B164" s="49" t="s">
        <v>2</v>
      </c>
      <c r="C164" s="69">
        <f t="shared" si="28"/>
        <v>0</v>
      </c>
      <c r="D164" s="69">
        <f t="shared" si="29"/>
        <v>0</v>
      </c>
      <c r="E164" s="69">
        <f t="shared" si="30"/>
        <v>0</v>
      </c>
      <c r="F164" s="69">
        <f t="shared" si="31"/>
        <v>0</v>
      </c>
      <c r="G164" s="69">
        <f t="shared" si="32"/>
        <v>0</v>
      </c>
      <c r="H164" s="70"/>
      <c r="I164" s="69"/>
      <c r="J164" s="69">
        <f t="shared" si="33"/>
        <v>0</v>
      </c>
      <c r="K164" s="69">
        <f t="shared" si="34"/>
        <v>0</v>
      </c>
      <c r="L164" s="69">
        <f t="shared" si="35"/>
        <v>0</v>
      </c>
      <c r="M164" s="69">
        <f t="shared" si="36"/>
        <v>0</v>
      </c>
      <c r="N164" s="69">
        <f t="shared" si="37"/>
        <v>0</v>
      </c>
      <c r="O164" s="70"/>
      <c r="P164" s="69"/>
      <c r="Q164" s="71"/>
      <c r="R164" s="49">
        <f t="shared" si="38"/>
        <v>0</v>
      </c>
      <c r="S164" s="49">
        <f>[1]BASE!A162</f>
        <v>153</v>
      </c>
      <c r="T164" s="69">
        <f t="shared" si="1"/>
        <v>0</v>
      </c>
      <c r="U164" s="69">
        <f t="shared" si="2"/>
        <v>0</v>
      </c>
      <c r="V164" s="69">
        <f t="shared" si="3"/>
        <v>0</v>
      </c>
      <c r="W164" s="69">
        <f t="shared" si="4"/>
        <v>0</v>
      </c>
      <c r="X164" s="69">
        <f t="shared" si="5"/>
        <v>0</v>
      </c>
    </row>
    <row r="165" spans="1:24" ht="17.25" customHeight="1">
      <c r="A165" s="68" t="str">
        <f>IF(BASE!B163="","",BASE!B163)</f>
        <v/>
      </c>
      <c r="B165" s="49" t="s">
        <v>2</v>
      </c>
      <c r="C165" s="69">
        <f t="shared" si="28"/>
        <v>0</v>
      </c>
      <c r="D165" s="69">
        <f t="shared" si="29"/>
        <v>0</v>
      </c>
      <c r="E165" s="69">
        <f t="shared" si="30"/>
        <v>0</v>
      </c>
      <c r="F165" s="69">
        <f t="shared" si="31"/>
        <v>0</v>
      </c>
      <c r="G165" s="69">
        <f t="shared" si="32"/>
        <v>0</v>
      </c>
      <c r="H165" s="70"/>
      <c r="I165" s="69"/>
      <c r="J165" s="69">
        <f t="shared" si="33"/>
        <v>0</v>
      </c>
      <c r="K165" s="69">
        <f t="shared" si="34"/>
        <v>0</v>
      </c>
      <c r="L165" s="69">
        <f t="shared" si="35"/>
        <v>0</v>
      </c>
      <c r="M165" s="69">
        <f t="shared" si="36"/>
        <v>0</v>
      </c>
      <c r="N165" s="69">
        <f t="shared" si="37"/>
        <v>0</v>
      </c>
      <c r="O165" s="70"/>
      <c r="P165" s="69"/>
      <c r="Q165" s="71"/>
      <c r="R165" s="49">
        <f t="shared" si="38"/>
        <v>0</v>
      </c>
      <c r="S165" s="49">
        <f>[1]BASE!A163</f>
        <v>154</v>
      </c>
      <c r="T165" s="69">
        <f t="shared" si="1"/>
        <v>0</v>
      </c>
      <c r="U165" s="69">
        <f t="shared" si="2"/>
        <v>0</v>
      </c>
      <c r="V165" s="69">
        <f t="shared" si="3"/>
        <v>0</v>
      </c>
      <c r="W165" s="69">
        <f t="shared" si="4"/>
        <v>0</v>
      </c>
      <c r="X165" s="69">
        <f t="shared" si="5"/>
        <v>0</v>
      </c>
    </row>
    <row r="166" spans="1:24" ht="17.25" customHeight="1">
      <c r="A166" s="68" t="str">
        <f>IF(BASE!B164="","",BASE!B164)</f>
        <v/>
      </c>
      <c r="B166" s="49" t="s">
        <v>2</v>
      </c>
      <c r="C166" s="69">
        <f t="shared" si="28"/>
        <v>0</v>
      </c>
      <c r="D166" s="69">
        <f t="shared" si="29"/>
        <v>0</v>
      </c>
      <c r="E166" s="69">
        <f t="shared" si="30"/>
        <v>0</v>
      </c>
      <c r="F166" s="69">
        <f t="shared" si="31"/>
        <v>0</v>
      </c>
      <c r="G166" s="69">
        <f t="shared" si="32"/>
        <v>0</v>
      </c>
      <c r="H166" s="70"/>
      <c r="I166" s="69"/>
      <c r="J166" s="69">
        <f t="shared" si="33"/>
        <v>0</v>
      </c>
      <c r="K166" s="69">
        <f t="shared" si="34"/>
        <v>0</v>
      </c>
      <c r="L166" s="69">
        <f t="shared" si="35"/>
        <v>0</v>
      </c>
      <c r="M166" s="69">
        <f t="shared" si="36"/>
        <v>0</v>
      </c>
      <c r="N166" s="69">
        <f t="shared" si="37"/>
        <v>0</v>
      </c>
      <c r="O166" s="70"/>
      <c r="P166" s="69"/>
      <c r="Q166" s="71"/>
      <c r="R166" s="49">
        <f t="shared" si="38"/>
        <v>0</v>
      </c>
      <c r="S166" s="49">
        <f>[1]BASE!A164</f>
        <v>155</v>
      </c>
      <c r="T166" s="69">
        <f t="shared" si="1"/>
        <v>0</v>
      </c>
      <c r="U166" s="69">
        <f t="shared" si="2"/>
        <v>0</v>
      </c>
      <c r="V166" s="69">
        <f t="shared" si="3"/>
        <v>0</v>
      </c>
      <c r="W166" s="69">
        <f t="shared" si="4"/>
        <v>0</v>
      </c>
      <c r="X166" s="69">
        <f t="shared" si="5"/>
        <v>0</v>
      </c>
    </row>
    <row r="167" spans="1:24" ht="17.25" customHeight="1">
      <c r="A167" s="68" t="str">
        <f>IF(BASE!B165="","",BASE!B165)</f>
        <v/>
      </c>
      <c r="B167" s="49" t="s">
        <v>2</v>
      </c>
      <c r="C167" s="69">
        <f t="shared" si="28"/>
        <v>0</v>
      </c>
      <c r="D167" s="69">
        <f t="shared" si="29"/>
        <v>0</v>
      </c>
      <c r="E167" s="69">
        <f t="shared" si="30"/>
        <v>0</v>
      </c>
      <c r="F167" s="69">
        <f t="shared" si="31"/>
        <v>0</v>
      </c>
      <c r="G167" s="69">
        <f t="shared" si="32"/>
        <v>0</v>
      </c>
      <c r="H167" s="70"/>
      <c r="I167" s="69"/>
      <c r="J167" s="69">
        <f t="shared" si="33"/>
        <v>0</v>
      </c>
      <c r="K167" s="69">
        <f t="shared" si="34"/>
        <v>0</v>
      </c>
      <c r="L167" s="69">
        <f t="shared" si="35"/>
        <v>0</v>
      </c>
      <c r="M167" s="69">
        <f t="shared" si="36"/>
        <v>0</v>
      </c>
      <c r="N167" s="69">
        <f t="shared" si="37"/>
        <v>0</v>
      </c>
      <c r="O167" s="70"/>
      <c r="P167" s="69"/>
      <c r="Q167" s="71"/>
      <c r="R167" s="49">
        <f t="shared" si="38"/>
        <v>0</v>
      </c>
      <c r="S167" s="49">
        <f>[1]BASE!A165</f>
        <v>156</v>
      </c>
      <c r="T167" s="69">
        <f t="shared" si="1"/>
        <v>0</v>
      </c>
      <c r="U167" s="69">
        <f t="shared" si="2"/>
        <v>0</v>
      </c>
      <c r="V167" s="69">
        <f t="shared" si="3"/>
        <v>0</v>
      </c>
      <c r="W167" s="69">
        <f t="shared" si="4"/>
        <v>0</v>
      </c>
      <c r="X167" s="69">
        <f t="shared" si="5"/>
        <v>0</v>
      </c>
    </row>
    <row r="168" spans="1:24" ht="17.25" customHeight="1">
      <c r="A168" s="68" t="str">
        <f>IF(BASE!B166="","",BASE!B166)</f>
        <v/>
      </c>
      <c r="B168" s="49" t="s">
        <v>2</v>
      </c>
      <c r="C168" s="69">
        <f t="shared" si="28"/>
        <v>0</v>
      </c>
      <c r="D168" s="69">
        <f t="shared" si="29"/>
        <v>0</v>
      </c>
      <c r="E168" s="69">
        <f t="shared" si="30"/>
        <v>0</v>
      </c>
      <c r="F168" s="69">
        <f t="shared" si="31"/>
        <v>0</v>
      </c>
      <c r="G168" s="69">
        <f t="shared" si="32"/>
        <v>0</v>
      </c>
      <c r="H168" s="70"/>
      <c r="I168" s="69"/>
      <c r="J168" s="69">
        <f t="shared" si="33"/>
        <v>0</v>
      </c>
      <c r="K168" s="69">
        <f t="shared" si="34"/>
        <v>0</v>
      </c>
      <c r="L168" s="69">
        <f t="shared" si="35"/>
        <v>0</v>
      </c>
      <c r="M168" s="69">
        <f t="shared" si="36"/>
        <v>0</v>
      </c>
      <c r="N168" s="69">
        <f t="shared" si="37"/>
        <v>0</v>
      </c>
      <c r="O168" s="70"/>
      <c r="P168" s="69"/>
      <c r="Q168" s="71"/>
      <c r="R168" s="49">
        <f t="shared" si="38"/>
        <v>0</v>
      </c>
      <c r="S168" s="49">
        <f>[1]BASE!A166</f>
        <v>157</v>
      </c>
      <c r="T168" s="69">
        <f t="shared" si="1"/>
        <v>0</v>
      </c>
      <c r="U168" s="69">
        <f t="shared" si="2"/>
        <v>0</v>
      </c>
      <c r="V168" s="69">
        <f t="shared" si="3"/>
        <v>0</v>
      </c>
      <c r="W168" s="69">
        <f t="shared" si="4"/>
        <v>0</v>
      </c>
      <c r="X168" s="69">
        <f t="shared" si="5"/>
        <v>0</v>
      </c>
    </row>
    <row r="169" spans="1:24" ht="17.25" customHeight="1">
      <c r="A169" s="68" t="str">
        <f>IF(BASE!B167="","",BASE!B167)</f>
        <v/>
      </c>
      <c r="B169" s="49" t="s">
        <v>2</v>
      </c>
      <c r="C169" s="69">
        <f t="shared" si="28"/>
        <v>0</v>
      </c>
      <c r="D169" s="69">
        <f t="shared" si="29"/>
        <v>0</v>
      </c>
      <c r="E169" s="69">
        <f t="shared" si="30"/>
        <v>0</v>
      </c>
      <c r="F169" s="69">
        <f t="shared" si="31"/>
        <v>0</v>
      </c>
      <c r="G169" s="69">
        <f t="shared" si="32"/>
        <v>0</v>
      </c>
      <c r="H169" s="70"/>
      <c r="I169" s="69"/>
      <c r="J169" s="69">
        <f t="shared" si="33"/>
        <v>0</v>
      </c>
      <c r="K169" s="69">
        <f t="shared" si="34"/>
        <v>0</v>
      </c>
      <c r="L169" s="69">
        <f t="shared" si="35"/>
        <v>0</v>
      </c>
      <c r="M169" s="69">
        <f t="shared" si="36"/>
        <v>0</v>
      </c>
      <c r="N169" s="69">
        <f t="shared" si="37"/>
        <v>0</v>
      </c>
      <c r="O169" s="70"/>
      <c r="P169" s="69"/>
      <c r="Q169" s="71"/>
      <c r="R169" s="49">
        <f t="shared" si="38"/>
        <v>0</v>
      </c>
      <c r="S169" s="49">
        <f>[1]BASE!A167</f>
        <v>158</v>
      </c>
      <c r="T169" s="69">
        <f t="shared" si="1"/>
        <v>0</v>
      </c>
      <c r="U169" s="69">
        <f t="shared" si="2"/>
        <v>0</v>
      </c>
      <c r="V169" s="69">
        <f t="shared" si="3"/>
        <v>0</v>
      </c>
      <c r="W169" s="69">
        <f t="shared" si="4"/>
        <v>0</v>
      </c>
      <c r="X169" s="69">
        <f t="shared" si="5"/>
        <v>0</v>
      </c>
    </row>
    <row r="170" spans="1:24" ht="17.25" customHeight="1">
      <c r="A170" s="68" t="str">
        <f>IF(BASE!B168="","",BASE!B168)</f>
        <v/>
      </c>
      <c r="B170" s="49" t="s">
        <v>2</v>
      </c>
      <c r="C170" s="69">
        <f t="shared" si="28"/>
        <v>0</v>
      </c>
      <c r="D170" s="69">
        <f t="shared" si="29"/>
        <v>0</v>
      </c>
      <c r="E170" s="69">
        <f t="shared" si="30"/>
        <v>0</v>
      </c>
      <c r="F170" s="69">
        <f t="shared" si="31"/>
        <v>0</v>
      </c>
      <c r="G170" s="69">
        <f t="shared" si="32"/>
        <v>0</v>
      </c>
      <c r="H170" s="70"/>
      <c r="I170" s="69"/>
      <c r="J170" s="69">
        <f t="shared" si="33"/>
        <v>0</v>
      </c>
      <c r="K170" s="69">
        <f t="shared" si="34"/>
        <v>0</v>
      </c>
      <c r="L170" s="69">
        <f t="shared" si="35"/>
        <v>0</v>
      </c>
      <c r="M170" s="69">
        <f t="shared" si="36"/>
        <v>0</v>
      </c>
      <c r="N170" s="69">
        <f t="shared" si="37"/>
        <v>0</v>
      </c>
      <c r="O170" s="70"/>
      <c r="P170" s="69"/>
      <c r="Q170" s="71"/>
      <c r="R170" s="49">
        <f t="shared" si="38"/>
        <v>0</v>
      </c>
      <c r="S170" s="49">
        <f>[1]BASE!A168</f>
        <v>159</v>
      </c>
      <c r="T170" s="69">
        <f t="shared" si="1"/>
        <v>0</v>
      </c>
      <c r="U170" s="69">
        <f t="shared" si="2"/>
        <v>0</v>
      </c>
      <c r="V170" s="69">
        <f t="shared" si="3"/>
        <v>0</v>
      </c>
      <c r="W170" s="69">
        <f t="shared" si="4"/>
        <v>0</v>
      </c>
      <c r="X170" s="69">
        <f t="shared" si="5"/>
        <v>0</v>
      </c>
    </row>
    <row r="171" spans="1:24" ht="17.25" customHeight="1">
      <c r="A171" s="68" t="str">
        <f>IF(BASE!B169="","",BASE!B169)</f>
        <v/>
      </c>
      <c r="B171" s="49" t="s">
        <v>2</v>
      </c>
      <c r="C171" s="69">
        <f t="shared" si="28"/>
        <v>0</v>
      </c>
      <c r="D171" s="69">
        <f t="shared" si="29"/>
        <v>0</v>
      </c>
      <c r="E171" s="69">
        <f t="shared" si="30"/>
        <v>0</v>
      </c>
      <c r="F171" s="69">
        <f t="shared" si="31"/>
        <v>0</v>
      </c>
      <c r="G171" s="69">
        <f t="shared" si="32"/>
        <v>0</v>
      </c>
      <c r="H171" s="70"/>
      <c r="I171" s="69"/>
      <c r="J171" s="69">
        <f t="shared" si="33"/>
        <v>0</v>
      </c>
      <c r="K171" s="69">
        <f t="shared" si="34"/>
        <v>0</v>
      </c>
      <c r="L171" s="69">
        <f t="shared" si="35"/>
        <v>0</v>
      </c>
      <c r="M171" s="69">
        <f t="shared" si="36"/>
        <v>0</v>
      </c>
      <c r="N171" s="69">
        <f t="shared" si="37"/>
        <v>0</v>
      </c>
      <c r="O171" s="70"/>
      <c r="P171" s="69"/>
      <c r="Q171" s="71"/>
      <c r="R171" s="49">
        <f t="shared" si="38"/>
        <v>0</v>
      </c>
      <c r="S171" s="49">
        <f>[1]BASE!A169</f>
        <v>160</v>
      </c>
      <c r="T171" s="69">
        <f t="shared" si="1"/>
        <v>0</v>
      </c>
      <c r="U171" s="69">
        <f t="shared" si="2"/>
        <v>0</v>
      </c>
      <c r="V171" s="69">
        <f t="shared" si="3"/>
        <v>0</v>
      </c>
      <c r="W171" s="69">
        <f t="shared" si="4"/>
        <v>0</v>
      </c>
      <c r="X171" s="69">
        <f t="shared" si="5"/>
        <v>0</v>
      </c>
    </row>
    <row r="172" spans="1:24" ht="17.25" customHeight="1">
      <c r="A172" s="68" t="str">
        <f>IF(BASE!B170="","",BASE!B170)</f>
        <v/>
      </c>
      <c r="B172" s="49" t="s">
        <v>2</v>
      </c>
      <c r="C172" s="69">
        <f t="shared" si="28"/>
        <v>0</v>
      </c>
      <c r="D172" s="69">
        <f t="shared" si="29"/>
        <v>0</v>
      </c>
      <c r="E172" s="69">
        <f t="shared" si="30"/>
        <v>0</v>
      </c>
      <c r="F172" s="69">
        <f t="shared" si="31"/>
        <v>0</v>
      </c>
      <c r="G172" s="69">
        <f t="shared" si="32"/>
        <v>0</v>
      </c>
      <c r="H172" s="70"/>
      <c r="I172" s="69"/>
      <c r="J172" s="69">
        <f t="shared" si="33"/>
        <v>0</v>
      </c>
      <c r="K172" s="69">
        <f t="shared" si="34"/>
        <v>0</v>
      </c>
      <c r="L172" s="69">
        <f t="shared" si="35"/>
        <v>0</v>
      </c>
      <c r="M172" s="69">
        <f t="shared" si="36"/>
        <v>0</v>
      </c>
      <c r="N172" s="69">
        <f t="shared" si="37"/>
        <v>0</v>
      </c>
      <c r="O172" s="70"/>
      <c r="P172" s="69"/>
      <c r="Q172" s="71"/>
      <c r="R172" s="49">
        <f t="shared" si="38"/>
        <v>0</v>
      </c>
      <c r="S172" s="49">
        <f>[1]BASE!A170</f>
        <v>161</v>
      </c>
      <c r="T172" s="69">
        <f t="shared" si="1"/>
        <v>0</v>
      </c>
      <c r="U172" s="69">
        <f t="shared" si="2"/>
        <v>0</v>
      </c>
      <c r="V172" s="69">
        <f t="shared" si="3"/>
        <v>0</v>
      </c>
      <c r="W172" s="69">
        <f t="shared" si="4"/>
        <v>0</v>
      </c>
      <c r="X172" s="69">
        <f t="shared" si="5"/>
        <v>0</v>
      </c>
    </row>
    <row r="173" spans="1:24" ht="17.25" customHeight="1">
      <c r="A173" s="68" t="str">
        <f>IF(BASE!B171="","",BASE!B171)</f>
        <v/>
      </c>
      <c r="B173" s="49" t="s">
        <v>2</v>
      </c>
      <c r="C173" s="69">
        <f t="shared" si="28"/>
        <v>0</v>
      </c>
      <c r="D173" s="69">
        <f t="shared" si="29"/>
        <v>0</v>
      </c>
      <c r="E173" s="69">
        <f t="shared" si="30"/>
        <v>0</v>
      </c>
      <c r="F173" s="69">
        <f t="shared" si="31"/>
        <v>0</v>
      </c>
      <c r="G173" s="69">
        <f t="shared" si="32"/>
        <v>0</v>
      </c>
      <c r="H173" s="70"/>
      <c r="I173" s="69"/>
      <c r="J173" s="69">
        <f t="shared" si="33"/>
        <v>0</v>
      </c>
      <c r="K173" s="69">
        <f t="shared" si="34"/>
        <v>0</v>
      </c>
      <c r="L173" s="69">
        <f t="shared" si="35"/>
        <v>0</v>
      </c>
      <c r="M173" s="69">
        <f t="shared" si="36"/>
        <v>0</v>
      </c>
      <c r="N173" s="69">
        <f t="shared" si="37"/>
        <v>0</v>
      </c>
      <c r="O173" s="70"/>
      <c r="P173" s="69"/>
      <c r="Q173" s="71"/>
      <c r="R173" s="49">
        <f t="shared" si="38"/>
        <v>0</v>
      </c>
      <c r="S173" s="49">
        <f>[1]BASE!A171</f>
        <v>162</v>
      </c>
      <c r="T173" s="69">
        <f t="shared" si="1"/>
        <v>0</v>
      </c>
      <c r="U173" s="69">
        <f t="shared" si="2"/>
        <v>0</v>
      </c>
      <c r="V173" s="69">
        <f t="shared" si="3"/>
        <v>0</v>
      </c>
      <c r="W173" s="69">
        <f t="shared" si="4"/>
        <v>0</v>
      </c>
      <c r="X173" s="69">
        <f t="shared" si="5"/>
        <v>0</v>
      </c>
    </row>
    <row r="174" spans="1:24" ht="17.25" customHeight="1">
      <c r="A174" s="68" t="str">
        <f>IF(BASE!B172="","",BASE!B172)</f>
        <v/>
      </c>
      <c r="B174" s="49" t="s">
        <v>2</v>
      </c>
      <c r="C174" s="69">
        <f t="shared" si="28"/>
        <v>0</v>
      </c>
      <c r="D174" s="69">
        <f t="shared" si="29"/>
        <v>0</v>
      </c>
      <c r="E174" s="69">
        <f t="shared" si="30"/>
        <v>0</v>
      </c>
      <c r="F174" s="69">
        <f t="shared" si="31"/>
        <v>0</v>
      </c>
      <c r="G174" s="69">
        <f t="shared" si="32"/>
        <v>0</v>
      </c>
      <c r="H174" s="70"/>
      <c r="I174" s="69"/>
      <c r="J174" s="69">
        <f t="shared" si="33"/>
        <v>0</v>
      </c>
      <c r="K174" s="69">
        <f t="shared" si="34"/>
        <v>0</v>
      </c>
      <c r="L174" s="69">
        <f t="shared" si="35"/>
        <v>0</v>
      </c>
      <c r="M174" s="69">
        <f t="shared" si="36"/>
        <v>0</v>
      </c>
      <c r="N174" s="69">
        <f t="shared" si="37"/>
        <v>0</v>
      </c>
      <c r="O174" s="70"/>
      <c r="P174" s="69"/>
      <c r="Q174" s="71"/>
      <c r="R174" s="49">
        <f t="shared" si="38"/>
        <v>0</v>
      </c>
      <c r="S174" s="49">
        <f>[1]BASE!A172</f>
        <v>163</v>
      </c>
      <c r="T174" s="69">
        <f t="shared" si="1"/>
        <v>0</v>
      </c>
      <c r="U174" s="69">
        <f t="shared" si="2"/>
        <v>0</v>
      </c>
      <c r="V174" s="69">
        <f t="shared" si="3"/>
        <v>0</v>
      </c>
      <c r="W174" s="69">
        <f t="shared" si="4"/>
        <v>0</v>
      </c>
      <c r="X174" s="69">
        <f t="shared" si="5"/>
        <v>0</v>
      </c>
    </row>
    <row r="175" spans="1:24" ht="17.25" customHeight="1">
      <c r="A175" s="68" t="str">
        <f>IF(BASE!B173="","",BASE!B173)</f>
        <v/>
      </c>
      <c r="B175" s="49" t="s">
        <v>2</v>
      </c>
      <c r="C175" s="69">
        <f t="shared" si="28"/>
        <v>0</v>
      </c>
      <c r="D175" s="69">
        <f t="shared" si="29"/>
        <v>0</v>
      </c>
      <c r="E175" s="69">
        <f t="shared" si="30"/>
        <v>0</v>
      </c>
      <c r="F175" s="69">
        <f t="shared" si="31"/>
        <v>0</v>
      </c>
      <c r="G175" s="69">
        <f t="shared" si="32"/>
        <v>0</v>
      </c>
      <c r="H175" s="70"/>
      <c r="I175" s="69"/>
      <c r="J175" s="69">
        <f t="shared" si="33"/>
        <v>0</v>
      </c>
      <c r="K175" s="69">
        <f t="shared" si="34"/>
        <v>0</v>
      </c>
      <c r="L175" s="69">
        <f t="shared" si="35"/>
        <v>0</v>
      </c>
      <c r="M175" s="69">
        <f t="shared" si="36"/>
        <v>0</v>
      </c>
      <c r="N175" s="69">
        <f t="shared" si="37"/>
        <v>0</v>
      </c>
      <c r="O175" s="70"/>
      <c r="P175" s="69"/>
      <c r="Q175" s="71"/>
      <c r="R175" s="49">
        <f t="shared" si="38"/>
        <v>0</v>
      </c>
      <c r="S175" s="49">
        <f>[1]BASE!A173</f>
        <v>164</v>
      </c>
      <c r="T175" s="69">
        <f t="shared" si="1"/>
        <v>0</v>
      </c>
      <c r="U175" s="69">
        <f t="shared" si="2"/>
        <v>0</v>
      </c>
      <c r="V175" s="69">
        <f t="shared" si="3"/>
        <v>0</v>
      </c>
      <c r="W175" s="69">
        <f t="shared" si="4"/>
        <v>0</v>
      </c>
      <c r="X175" s="69">
        <f t="shared" si="5"/>
        <v>0</v>
      </c>
    </row>
    <row r="176" spans="1:24" ht="17.25" customHeight="1">
      <c r="A176" s="68" t="str">
        <f>IF(BASE!B174="","",BASE!B174)</f>
        <v/>
      </c>
      <c r="B176" s="49" t="s">
        <v>2</v>
      </c>
      <c r="C176" s="69">
        <f t="shared" si="28"/>
        <v>0</v>
      </c>
      <c r="D176" s="69">
        <f t="shared" si="29"/>
        <v>0</v>
      </c>
      <c r="E176" s="69">
        <f t="shared" si="30"/>
        <v>0</v>
      </c>
      <c r="F176" s="69">
        <f t="shared" si="31"/>
        <v>0</v>
      </c>
      <c r="G176" s="69">
        <f t="shared" si="32"/>
        <v>0</v>
      </c>
      <c r="H176" s="70"/>
      <c r="I176" s="69"/>
      <c r="J176" s="69">
        <f t="shared" si="33"/>
        <v>0</v>
      </c>
      <c r="K176" s="69">
        <f t="shared" si="34"/>
        <v>0</v>
      </c>
      <c r="L176" s="69">
        <f t="shared" si="35"/>
        <v>0</v>
      </c>
      <c r="M176" s="69">
        <f t="shared" si="36"/>
        <v>0</v>
      </c>
      <c r="N176" s="69">
        <f t="shared" si="37"/>
        <v>0</v>
      </c>
      <c r="O176" s="70"/>
      <c r="P176" s="69"/>
      <c r="Q176" s="71"/>
      <c r="R176" s="49">
        <f t="shared" si="38"/>
        <v>0</v>
      </c>
      <c r="S176" s="49">
        <f>[1]BASE!A174</f>
        <v>165</v>
      </c>
      <c r="T176" s="69">
        <f t="shared" si="1"/>
        <v>0</v>
      </c>
      <c r="U176" s="69">
        <f t="shared" si="2"/>
        <v>0</v>
      </c>
      <c r="V176" s="69">
        <f t="shared" si="3"/>
        <v>0</v>
      </c>
      <c r="W176" s="69">
        <f t="shared" si="4"/>
        <v>0</v>
      </c>
      <c r="X176" s="69">
        <f t="shared" si="5"/>
        <v>0</v>
      </c>
    </row>
    <row r="177" spans="1:24" ht="17.25" customHeight="1">
      <c r="A177" s="68" t="str">
        <f>IF(BASE!B175="","",BASE!B175)</f>
        <v/>
      </c>
      <c r="B177" s="49" t="s">
        <v>2</v>
      </c>
      <c r="C177" s="69">
        <f t="shared" si="28"/>
        <v>0</v>
      </c>
      <c r="D177" s="69">
        <f t="shared" si="29"/>
        <v>0</v>
      </c>
      <c r="E177" s="69">
        <f t="shared" si="30"/>
        <v>0</v>
      </c>
      <c r="F177" s="69">
        <f t="shared" si="31"/>
        <v>0</v>
      </c>
      <c r="G177" s="69">
        <f t="shared" si="32"/>
        <v>0</v>
      </c>
      <c r="H177" s="70"/>
      <c r="I177" s="69"/>
      <c r="J177" s="69">
        <f t="shared" si="33"/>
        <v>0</v>
      </c>
      <c r="K177" s="69">
        <f t="shared" si="34"/>
        <v>0</v>
      </c>
      <c r="L177" s="69">
        <f t="shared" si="35"/>
        <v>0</v>
      </c>
      <c r="M177" s="69">
        <f t="shared" si="36"/>
        <v>0</v>
      </c>
      <c r="N177" s="69">
        <f t="shared" si="37"/>
        <v>0</v>
      </c>
      <c r="O177" s="70"/>
      <c r="P177" s="69"/>
      <c r="Q177" s="71"/>
      <c r="R177" s="49">
        <f t="shared" si="38"/>
        <v>0</v>
      </c>
      <c r="S177" s="49">
        <f>[1]BASE!A175</f>
        <v>166</v>
      </c>
      <c r="T177" s="69">
        <f t="shared" si="1"/>
        <v>0</v>
      </c>
      <c r="U177" s="69">
        <f t="shared" si="2"/>
        <v>0</v>
      </c>
      <c r="V177" s="69">
        <f t="shared" si="3"/>
        <v>0</v>
      </c>
      <c r="W177" s="69">
        <f t="shared" si="4"/>
        <v>0</v>
      </c>
      <c r="X177" s="69">
        <f t="shared" si="5"/>
        <v>0</v>
      </c>
    </row>
    <row r="178" spans="1:24" ht="17.25" customHeight="1">
      <c r="A178" s="68" t="str">
        <f>IF(BASE!B176="","",BASE!B176)</f>
        <v/>
      </c>
      <c r="B178" s="49" t="s">
        <v>2</v>
      </c>
      <c r="C178" s="69">
        <f t="shared" si="28"/>
        <v>0</v>
      </c>
      <c r="D178" s="69">
        <f t="shared" si="29"/>
        <v>0</v>
      </c>
      <c r="E178" s="69">
        <f t="shared" si="30"/>
        <v>0</v>
      </c>
      <c r="F178" s="69">
        <f t="shared" si="31"/>
        <v>0</v>
      </c>
      <c r="G178" s="69">
        <f t="shared" si="32"/>
        <v>0</v>
      </c>
      <c r="H178" s="70"/>
      <c r="I178" s="69"/>
      <c r="J178" s="69">
        <f t="shared" si="33"/>
        <v>0</v>
      </c>
      <c r="K178" s="69">
        <f t="shared" si="34"/>
        <v>0</v>
      </c>
      <c r="L178" s="69">
        <f t="shared" si="35"/>
        <v>0</v>
      </c>
      <c r="M178" s="69">
        <f t="shared" si="36"/>
        <v>0</v>
      </c>
      <c r="N178" s="69">
        <f t="shared" si="37"/>
        <v>0</v>
      </c>
      <c r="O178" s="70"/>
      <c r="P178" s="69"/>
      <c r="Q178" s="71"/>
      <c r="R178" s="49">
        <f t="shared" si="38"/>
        <v>0</v>
      </c>
      <c r="S178" s="49">
        <f>[1]BASE!A176</f>
        <v>167</v>
      </c>
      <c r="T178" s="69">
        <f t="shared" si="1"/>
        <v>0</v>
      </c>
      <c r="U178" s="69">
        <f t="shared" si="2"/>
        <v>0</v>
      </c>
      <c r="V178" s="69">
        <f t="shared" si="3"/>
        <v>0</v>
      </c>
      <c r="W178" s="69">
        <f t="shared" si="4"/>
        <v>0</v>
      </c>
      <c r="X178" s="69">
        <f t="shared" si="5"/>
        <v>0</v>
      </c>
    </row>
    <row r="179" spans="1:24" ht="17.25" customHeight="1">
      <c r="A179" s="68" t="str">
        <f>IF(BASE!B177="","",BASE!B177)</f>
        <v/>
      </c>
      <c r="B179" s="49" t="s">
        <v>2</v>
      </c>
      <c r="C179" s="69">
        <f t="shared" si="28"/>
        <v>0</v>
      </c>
      <c r="D179" s="69">
        <f t="shared" si="29"/>
        <v>0</v>
      </c>
      <c r="E179" s="69">
        <f t="shared" si="30"/>
        <v>0</v>
      </c>
      <c r="F179" s="69">
        <f t="shared" si="31"/>
        <v>0</v>
      </c>
      <c r="G179" s="69">
        <f t="shared" si="32"/>
        <v>0</v>
      </c>
      <c r="H179" s="70"/>
      <c r="I179" s="69"/>
      <c r="J179" s="69">
        <f t="shared" si="33"/>
        <v>0</v>
      </c>
      <c r="K179" s="69">
        <f t="shared" si="34"/>
        <v>0</v>
      </c>
      <c r="L179" s="69">
        <f t="shared" si="35"/>
        <v>0</v>
      </c>
      <c r="M179" s="69">
        <f t="shared" si="36"/>
        <v>0</v>
      </c>
      <c r="N179" s="69">
        <f t="shared" si="37"/>
        <v>0</v>
      </c>
      <c r="O179" s="70"/>
      <c r="P179" s="69"/>
      <c r="Q179" s="71"/>
      <c r="R179" s="49">
        <f t="shared" si="38"/>
        <v>0</v>
      </c>
      <c r="S179" s="49">
        <f>[1]BASE!A177</f>
        <v>168</v>
      </c>
      <c r="T179" s="69">
        <f t="shared" si="1"/>
        <v>0</v>
      </c>
      <c r="U179" s="69">
        <f t="shared" si="2"/>
        <v>0</v>
      </c>
      <c r="V179" s="69">
        <f t="shared" si="3"/>
        <v>0</v>
      </c>
      <c r="W179" s="69">
        <f t="shared" si="4"/>
        <v>0</v>
      </c>
      <c r="X179" s="69">
        <f t="shared" si="5"/>
        <v>0</v>
      </c>
    </row>
    <row r="180" spans="1:24" ht="17.25" customHeight="1">
      <c r="A180" s="68" t="str">
        <f>IF(BASE!B178="","",BASE!B178)</f>
        <v/>
      </c>
      <c r="B180" s="49" t="s">
        <v>2</v>
      </c>
      <c r="C180" s="69">
        <f t="shared" si="28"/>
        <v>0</v>
      </c>
      <c r="D180" s="69">
        <f t="shared" si="29"/>
        <v>0</v>
      </c>
      <c r="E180" s="69">
        <f t="shared" si="30"/>
        <v>0</v>
      </c>
      <c r="F180" s="69">
        <f t="shared" si="31"/>
        <v>0</v>
      </c>
      <c r="G180" s="69">
        <f t="shared" si="32"/>
        <v>0</v>
      </c>
      <c r="H180" s="70"/>
      <c r="I180" s="69"/>
      <c r="J180" s="69">
        <f t="shared" si="33"/>
        <v>0</v>
      </c>
      <c r="K180" s="69">
        <f t="shared" si="34"/>
        <v>0</v>
      </c>
      <c r="L180" s="69">
        <f t="shared" si="35"/>
        <v>0</v>
      </c>
      <c r="M180" s="69">
        <f t="shared" si="36"/>
        <v>0</v>
      </c>
      <c r="N180" s="69">
        <f t="shared" si="37"/>
        <v>0</v>
      </c>
      <c r="O180" s="70"/>
      <c r="P180" s="69"/>
      <c r="Q180" s="71"/>
      <c r="R180" s="49">
        <f t="shared" si="38"/>
        <v>0</v>
      </c>
      <c r="S180" s="49">
        <f>[1]BASE!A178</f>
        <v>169</v>
      </c>
      <c r="T180" s="69">
        <f t="shared" si="1"/>
        <v>0</v>
      </c>
      <c r="U180" s="69">
        <f t="shared" si="2"/>
        <v>0</v>
      </c>
      <c r="V180" s="69">
        <f t="shared" si="3"/>
        <v>0</v>
      </c>
      <c r="W180" s="69">
        <f t="shared" si="4"/>
        <v>0</v>
      </c>
      <c r="X180" s="69">
        <f t="shared" si="5"/>
        <v>0</v>
      </c>
    </row>
    <row r="181" spans="1:24" ht="17.25" customHeight="1">
      <c r="A181" s="68" t="str">
        <f>IF(BASE!B179="","",BASE!B179)</f>
        <v/>
      </c>
      <c r="B181" s="49" t="s">
        <v>2</v>
      </c>
      <c r="C181" s="69">
        <f t="shared" si="28"/>
        <v>0</v>
      </c>
      <c r="D181" s="69">
        <f t="shared" si="29"/>
        <v>0</v>
      </c>
      <c r="E181" s="69">
        <f t="shared" si="30"/>
        <v>0</v>
      </c>
      <c r="F181" s="69">
        <f t="shared" si="31"/>
        <v>0</v>
      </c>
      <c r="G181" s="69">
        <f t="shared" si="32"/>
        <v>0</v>
      </c>
      <c r="H181" s="70"/>
      <c r="I181" s="69"/>
      <c r="J181" s="69">
        <f t="shared" si="33"/>
        <v>0</v>
      </c>
      <c r="K181" s="69">
        <f t="shared" si="34"/>
        <v>0</v>
      </c>
      <c r="L181" s="69">
        <f t="shared" si="35"/>
        <v>0</v>
      </c>
      <c r="M181" s="69">
        <f t="shared" si="36"/>
        <v>0</v>
      </c>
      <c r="N181" s="69">
        <f t="shared" si="37"/>
        <v>0</v>
      </c>
      <c r="O181" s="70"/>
      <c r="P181" s="69"/>
      <c r="Q181" s="71"/>
      <c r="R181" s="49">
        <f t="shared" si="38"/>
        <v>0</v>
      </c>
      <c r="S181" s="49">
        <f>[1]BASE!A179</f>
        <v>170</v>
      </c>
      <c r="T181" s="69">
        <f t="shared" si="1"/>
        <v>0</v>
      </c>
      <c r="U181" s="69">
        <f t="shared" si="2"/>
        <v>0</v>
      </c>
      <c r="V181" s="69">
        <f t="shared" si="3"/>
        <v>0</v>
      </c>
      <c r="W181" s="69">
        <f t="shared" si="4"/>
        <v>0</v>
      </c>
      <c r="X181" s="69">
        <f t="shared" si="5"/>
        <v>0</v>
      </c>
    </row>
    <row r="182" spans="1:24" ht="17.25" customHeight="1">
      <c r="A182" s="68" t="str">
        <f>IF(BASE!B180="","",BASE!B180)</f>
        <v/>
      </c>
      <c r="B182" s="49" t="s">
        <v>2</v>
      </c>
      <c r="C182" s="69">
        <f t="shared" si="28"/>
        <v>0</v>
      </c>
      <c r="D182" s="69">
        <f t="shared" si="29"/>
        <v>0</v>
      </c>
      <c r="E182" s="69">
        <f t="shared" si="30"/>
        <v>0</v>
      </c>
      <c r="F182" s="69">
        <f t="shared" si="31"/>
        <v>0</v>
      </c>
      <c r="G182" s="69">
        <f t="shared" si="32"/>
        <v>0</v>
      </c>
      <c r="H182" s="70"/>
      <c r="I182" s="69"/>
      <c r="J182" s="69">
        <f t="shared" si="33"/>
        <v>0</v>
      </c>
      <c r="K182" s="69">
        <f t="shared" si="34"/>
        <v>0</v>
      </c>
      <c r="L182" s="69">
        <f t="shared" si="35"/>
        <v>0</v>
      </c>
      <c r="M182" s="69">
        <f t="shared" si="36"/>
        <v>0</v>
      </c>
      <c r="N182" s="69">
        <f t="shared" si="37"/>
        <v>0</v>
      </c>
      <c r="O182" s="70"/>
      <c r="P182" s="69"/>
      <c r="Q182" s="71"/>
      <c r="R182" s="49">
        <f t="shared" si="38"/>
        <v>0</v>
      </c>
      <c r="S182" s="49">
        <f>[1]BASE!A180</f>
        <v>171</v>
      </c>
      <c r="T182" s="69">
        <f t="shared" si="1"/>
        <v>0</v>
      </c>
      <c r="U182" s="69">
        <f t="shared" si="2"/>
        <v>0</v>
      </c>
      <c r="V182" s="69">
        <f t="shared" si="3"/>
        <v>0</v>
      </c>
      <c r="W182" s="69">
        <f t="shared" si="4"/>
        <v>0</v>
      </c>
      <c r="X182" s="69">
        <f t="shared" si="5"/>
        <v>0</v>
      </c>
    </row>
    <row r="183" spans="1:24" ht="17.25" customHeight="1">
      <c r="A183" s="68" t="str">
        <f>IF(BASE!B181="","",BASE!B181)</f>
        <v/>
      </c>
      <c r="B183" s="49" t="s">
        <v>2</v>
      </c>
      <c r="C183" s="69">
        <f t="shared" si="28"/>
        <v>0</v>
      </c>
      <c r="D183" s="69">
        <f t="shared" si="29"/>
        <v>0</v>
      </c>
      <c r="E183" s="69">
        <f t="shared" si="30"/>
        <v>0</v>
      </c>
      <c r="F183" s="69">
        <f t="shared" si="31"/>
        <v>0</v>
      </c>
      <c r="G183" s="69">
        <f t="shared" si="32"/>
        <v>0</v>
      </c>
      <c r="H183" s="70"/>
      <c r="I183" s="69"/>
      <c r="J183" s="69">
        <f t="shared" si="33"/>
        <v>0</v>
      </c>
      <c r="K183" s="69">
        <f t="shared" si="34"/>
        <v>0</v>
      </c>
      <c r="L183" s="69">
        <f t="shared" si="35"/>
        <v>0</v>
      </c>
      <c r="M183" s="69">
        <f t="shared" si="36"/>
        <v>0</v>
      </c>
      <c r="N183" s="69">
        <f t="shared" si="37"/>
        <v>0</v>
      </c>
      <c r="O183" s="70"/>
      <c r="P183" s="69"/>
      <c r="Q183" s="71"/>
      <c r="R183" s="49">
        <f t="shared" si="38"/>
        <v>0</v>
      </c>
      <c r="S183" s="49">
        <f>[1]BASE!A181</f>
        <v>172</v>
      </c>
      <c r="T183" s="69">
        <f t="shared" si="1"/>
        <v>0</v>
      </c>
      <c r="U183" s="69">
        <f t="shared" si="2"/>
        <v>0</v>
      </c>
      <c r="V183" s="69">
        <f t="shared" si="3"/>
        <v>0</v>
      </c>
      <c r="W183" s="69">
        <f t="shared" si="4"/>
        <v>0</v>
      </c>
      <c r="X183" s="69">
        <f t="shared" si="5"/>
        <v>0</v>
      </c>
    </row>
    <row r="184" spans="1:24" ht="17.25" customHeight="1">
      <c r="A184" s="68" t="str">
        <f>IF(BASE!B182="","",BASE!B182)</f>
        <v/>
      </c>
      <c r="B184" s="49" t="s">
        <v>2</v>
      </c>
      <c r="C184" s="69">
        <f t="shared" si="28"/>
        <v>0</v>
      </c>
      <c r="D184" s="69">
        <f t="shared" si="29"/>
        <v>0</v>
      </c>
      <c r="E184" s="69">
        <f t="shared" si="30"/>
        <v>0</v>
      </c>
      <c r="F184" s="69">
        <f t="shared" si="31"/>
        <v>0</v>
      </c>
      <c r="G184" s="69">
        <f t="shared" si="32"/>
        <v>0</v>
      </c>
      <c r="H184" s="70"/>
      <c r="I184" s="69"/>
      <c r="J184" s="69">
        <f t="shared" si="33"/>
        <v>0</v>
      </c>
      <c r="K184" s="69">
        <f t="shared" si="34"/>
        <v>0</v>
      </c>
      <c r="L184" s="69">
        <f t="shared" si="35"/>
        <v>0</v>
      </c>
      <c r="M184" s="69">
        <f t="shared" si="36"/>
        <v>0</v>
      </c>
      <c r="N184" s="69">
        <f t="shared" si="37"/>
        <v>0</v>
      </c>
      <c r="O184" s="70"/>
      <c r="P184" s="69"/>
      <c r="Q184" s="71"/>
      <c r="R184" s="49">
        <f t="shared" si="38"/>
        <v>0</v>
      </c>
      <c r="S184" s="49">
        <f>[1]BASE!A182</f>
        <v>173</v>
      </c>
      <c r="T184" s="69">
        <f t="shared" si="1"/>
        <v>0</v>
      </c>
      <c r="U184" s="69">
        <f t="shared" si="2"/>
        <v>0</v>
      </c>
      <c r="V184" s="69">
        <f t="shared" si="3"/>
        <v>0</v>
      </c>
      <c r="W184" s="69">
        <f t="shared" si="4"/>
        <v>0</v>
      </c>
      <c r="X184" s="69">
        <f t="shared" si="5"/>
        <v>0</v>
      </c>
    </row>
    <row r="185" spans="1:24" ht="17.25" customHeight="1">
      <c r="A185" s="68" t="str">
        <f>IF(BASE!B183="","",BASE!B183)</f>
        <v/>
      </c>
      <c r="B185" s="49" t="s">
        <v>2</v>
      </c>
      <c r="C185" s="69">
        <f t="shared" si="28"/>
        <v>0</v>
      </c>
      <c r="D185" s="69">
        <f t="shared" si="29"/>
        <v>0</v>
      </c>
      <c r="E185" s="69">
        <f t="shared" si="30"/>
        <v>0</v>
      </c>
      <c r="F185" s="69">
        <f t="shared" si="31"/>
        <v>0</v>
      </c>
      <c r="G185" s="69">
        <f t="shared" si="32"/>
        <v>0</v>
      </c>
      <c r="H185" s="70"/>
      <c r="I185" s="69"/>
      <c r="J185" s="69">
        <f t="shared" si="33"/>
        <v>0</v>
      </c>
      <c r="K185" s="69">
        <f t="shared" si="34"/>
        <v>0</v>
      </c>
      <c r="L185" s="69">
        <f t="shared" si="35"/>
        <v>0</v>
      </c>
      <c r="M185" s="69">
        <f t="shared" si="36"/>
        <v>0</v>
      </c>
      <c r="N185" s="69">
        <f t="shared" si="37"/>
        <v>0</v>
      </c>
      <c r="O185" s="70"/>
      <c r="P185" s="69"/>
      <c r="Q185" s="71"/>
      <c r="R185" s="49">
        <f t="shared" si="38"/>
        <v>0</v>
      </c>
      <c r="S185" s="49">
        <f>[1]BASE!A183</f>
        <v>174</v>
      </c>
      <c r="T185" s="69">
        <f t="shared" si="1"/>
        <v>0</v>
      </c>
      <c r="U185" s="69">
        <f t="shared" si="2"/>
        <v>0</v>
      </c>
      <c r="V185" s="69">
        <f t="shared" si="3"/>
        <v>0</v>
      </c>
      <c r="W185" s="69">
        <f t="shared" si="4"/>
        <v>0</v>
      </c>
      <c r="X185" s="69">
        <f t="shared" si="5"/>
        <v>0</v>
      </c>
    </row>
    <row r="186" spans="1:24" ht="17.25" customHeight="1">
      <c r="A186" s="68" t="str">
        <f>IF(BASE!B184="","",BASE!B184)</f>
        <v/>
      </c>
      <c r="B186" s="49" t="s">
        <v>2</v>
      </c>
      <c r="C186" s="69">
        <f t="shared" si="28"/>
        <v>0</v>
      </c>
      <c r="D186" s="69">
        <f t="shared" si="29"/>
        <v>0</v>
      </c>
      <c r="E186" s="69">
        <f t="shared" si="30"/>
        <v>0</v>
      </c>
      <c r="F186" s="69">
        <f t="shared" si="31"/>
        <v>0</v>
      </c>
      <c r="G186" s="69">
        <f t="shared" si="32"/>
        <v>0</v>
      </c>
      <c r="H186" s="70"/>
      <c r="I186" s="69"/>
      <c r="J186" s="69">
        <f t="shared" si="33"/>
        <v>0</v>
      </c>
      <c r="K186" s="69">
        <f t="shared" si="34"/>
        <v>0</v>
      </c>
      <c r="L186" s="69">
        <f t="shared" si="35"/>
        <v>0</v>
      </c>
      <c r="M186" s="69">
        <f t="shared" si="36"/>
        <v>0</v>
      </c>
      <c r="N186" s="69">
        <f t="shared" si="37"/>
        <v>0</v>
      </c>
      <c r="O186" s="70"/>
      <c r="P186" s="69"/>
      <c r="Q186" s="71"/>
      <c r="R186" s="49">
        <f t="shared" si="38"/>
        <v>0</v>
      </c>
      <c r="S186" s="49">
        <f>[1]BASE!A184</f>
        <v>175</v>
      </c>
      <c r="T186" s="69">
        <f t="shared" si="1"/>
        <v>0</v>
      </c>
      <c r="U186" s="69">
        <f t="shared" si="2"/>
        <v>0</v>
      </c>
      <c r="V186" s="69">
        <f t="shared" si="3"/>
        <v>0</v>
      </c>
      <c r="W186" s="69">
        <f t="shared" si="4"/>
        <v>0</v>
      </c>
      <c r="X186" s="69">
        <f t="shared" si="5"/>
        <v>0</v>
      </c>
    </row>
    <row r="187" spans="1:24" ht="17.25" customHeight="1">
      <c r="A187" s="68" t="str">
        <f>IF(BASE!B185="","",BASE!B185)</f>
        <v/>
      </c>
      <c r="B187" s="49" t="s">
        <v>2</v>
      </c>
      <c r="C187" s="69">
        <f t="shared" si="28"/>
        <v>0</v>
      </c>
      <c r="D187" s="69">
        <f t="shared" si="29"/>
        <v>0</v>
      </c>
      <c r="E187" s="69">
        <f t="shared" si="30"/>
        <v>0</v>
      </c>
      <c r="F187" s="69">
        <f t="shared" si="31"/>
        <v>0</v>
      </c>
      <c r="G187" s="69">
        <f t="shared" si="32"/>
        <v>0</v>
      </c>
      <c r="H187" s="70"/>
      <c r="I187" s="69"/>
      <c r="J187" s="69">
        <f t="shared" si="33"/>
        <v>0</v>
      </c>
      <c r="K187" s="69">
        <f t="shared" si="34"/>
        <v>0</v>
      </c>
      <c r="L187" s="69">
        <f t="shared" si="35"/>
        <v>0</v>
      </c>
      <c r="M187" s="69">
        <f t="shared" si="36"/>
        <v>0</v>
      </c>
      <c r="N187" s="69">
        <f t="shared" si="37"/>
        <v>0</v>
      </c>
      <c r="O187" s="70"/>
      <c r="P187" s="69"/>
      <c r="Q187" s="71"/>
      <c r="R187" s="49">
        <f t="shared" si="38"/>
        <v>0</v>
      </c>
      <c r="S187" s="49">
        <f>[1]BASE!A185</f>
        <v>176</v>
      </c>
      <c r="T187" s="69">
        <f t="shared" si="1"/>
        <v>0</v>
      </c>
      <c r="U187" s="69">
        <f t="shared" si="2"/>
        <v>0</v>
      </c>
      <c r="V187" s="69">
        <f t="shared" si="3"/>
        <v>0</v>
      </c>
      <c r="W187" s="69">
        <f t="shared" si="4"/>
        <v>0</v>
      </c>
      <c r="X187" s="69">
        <f t="shared" si="5"/>
        <v>0</v>
      </c>
    </row>
    <row r="188" spans="1:24" ht="17.25" customHeight="1">
      <c r="A188" s="68" t="str">
        <f>IF(BASE!B186="","",BASE!B186)</f>
        <v/>
      </c>
      <c r="B188" s="49" t="s">
        <v>2</v>
      </c>
      <c r="C188" s="69">
        <f t="shared" si="28"/>
        <v>0</v>
      </c>
      <c r="D188" s="69">
        <f t="shared" si="29"/>
        <v>0</v>
      </c>
      <c r="E188" s="69">
        <f t="shared" si="30"/>
        <v>0</v>
      </c>
      <c r="F188" s="69">
        <f t="shared" si="31"/>
        <v>0</v>
      </c>
      <c r="G188" s="69">
        <f t="shared" si="32"/>
        <v>0</v>
      </c>
      <c r="H188" s="70"/>
      <c r="I188" s="69"/>
      <c r="J188" s="69">
        <f t="shared" si="33"/>
        <v>0</v>
      </c>
      <c r="K188" s="69">
        <f t="shared" si="34"/>
        <v>0</v>
      </c>
      <c r="L188" s="69">
        <f t="shared" si="35"/>
        <v>0</v>
      </c>
      <c r="M188" s="69">
        <f t="shared" si="36"/>
        <v>0</v>
      </c>
      <c r="N188" s="69">
        <f t="shared" si="37"/>
        <v>0</v>
      </c>
      <c r="O188" s="70"/>
      <c r="P188" s="69"/>
      <c r="Q188" s="71"/>
      <c r="R188" s="49">
        <f t="shared" si="38"/>
        <v>0</v>
      </c>
      <c r="S188" s="49">
        <f>[1]BASE!A186</f>
        <v>177</v>
      </c>
      <c r="T188" s="69">
        <f t="shared" si="1"/>
        <v>0</v>
      </c>
      <c r="U188" s="69">
        <f t="shared" si="2"/>
        <v>0</v>
      </c>
      <c r="V188" s="69">
        <f t="shared" si="3"/>
        <v>0</v>
      </c>
      <c r="W188" s="69">
        <f t="shared" si="4"/>
        <v>0</v>
      </c>
      <c r="X188" s="69">
        <f t="shared" si="5"/>
        <v>0</v>
      </c>
    </row>
    <row r="189" spans="1:24" ht="17.25" customHeight="1">
      <c r="A189" s="68" t="str">
        <f>IF(BASE!B187="","",BASE!B187)</f>
        <v/>
      </c>
      <c r="B189" s="49" t="s">
        <v>2</v>
      </c>
      <c r="C189" s="69">
        <f t="shared" si="28"/>
        <v>0</v>
      </c>
      <c r="D189" s="69">
        <f t="shared" si="29"/>
        <v>0</v>
      </c>
      <c r="E189" s="69">
        <f t="shared" si="30"/>
        <v>0</v>
      </c>
      <c r="F189" s="69">
        <f t="shared" si="31"/>
        <v>0</v>
      </c>
      <c r="G189" s="69">
        <f t="shared" si="32"/>
        <v>0</v>
      </c>
      <c r="H189" s="70"/>
      <c r="I189" s="69"/>
      <c r="J189" s="69">
        <f t="shared" si="33"/>
        <v>0</v>
      </c>
      <c r="K189" s="69">
        <f t="shared" si="34"/>
        <v>0</v>
      </c>
      <c r="L189" s="69">
        <f t="shared" si="35"/>
        <v>0</v>
      </c>
      <c r="M189" s="69">
        <f t="shared" si="36"/>
        <v>0</v>
      </c>
      <c r="N189" s="69">
        <f t="shared" si="37"/>
        <v>0</v>
      </c>
      <c r="O189" s="70"/>
      <c r="P189" s="69"/>
      <c r="Q189" s="71"/>
      <c r="R189" s="49">
        <f t="shared" si="38"/>
        <v>0</v>
      </c>
      <c r="S189" s="49">
        <f>[1]BASE!A187</f>
        <v>178</v>
      </c>
      <c r="T189" s="69">
        <f t="shared" si="1"/>
        <v>0</v>
      </c>
      <c r="U189" s="69">
        <f t="shared" si="2"/>
        <v>0</v>
      </c>
      <c r="V189" s="69">
        <f t="shared" si="3"/>
        <v>0</v>
      </c>
      <c r="W189" s="69">
        <f t="shared" si="4"/>
        <v>0</v>
      </c>
      <c r="X189" s="69">
        <f t="shared" si="5"/>
        <v>0</v>
      </c>
    </row>
    <row r="190" spans="1:24" ht="17.25" customHeight="1">
      <c r="A190" s="68" t="str">
        <f>IF(BASE!B188="","",BASE!B188)</f>
        <v/>
      </c>
      <c r="B190" s="49" t="s">
        <v>2</v>
      </c>
      <c r="C190" s="69">
        <f t="shared" si="28"/>
        <v>0</v>
      </c>
      <c r="D190" s="69">
        <f t="shared" si="29"/>
        <v>0</v>
      </c>
      <c r="E190" s="69">
        <f t="shared" si="30"/>
        <v>0</v>
      </c>
      <c r="F190" s="69">
        <f t="shared" si="31"/>
        <v>0</v>
      </c>
      <c r="G190" s="69">
        <f t="shared" si="32"/>
        <v>0</v>
      </c>
      <c r="H190" s="70"/>
      <c r="I190" s="69"/>
      <c r="J190" s="69">
        <f t="shared" si="33"/>
        <v>0</v>
      </c>
      <c r="K190" s="69">
        <f t="shared" si="34"/>
        <v>0</v>
      </c>
      <c r="L190" s="69">
        <f t="shared" si="35"/>
        <v>0</v>
      </c>
      <c r="M190" s="69">
        <f t="shared" si="36"/>
        <v>0</v>
      </c>
      <c r="N190" s="69">
        <f t="shared" si="37"/>
        <v>0</v>
      </c>
      <c r="O190" s="70"/>
      <c r="P190" s="69"/>
      <c r="Q190" s="71"/>
      <c r="R190" s="49">
        <f t="shared" si="38"/>
        <v>0</v>
      </c>
      <c r="S190" s="49">
        <f>[1]BASE!A188</f>
        <v>179</v>
      </c>
      <c r="T190" s="69">
        <f t="shared" si="1"/>
        <v>0</v>
      </c>
      <c r="U190" s="69">
        <f t="shared" si="2"/>
        <v>0</v>
      </c>
      <c r="V190" s="69">
        <f t="shared" si="3"/>
        <v>0</v>
      </c>
      <c r="W190" s="69">
        <f t="shared" si="4"/>
        <v>0</v>
      </c>
      <c r="X190" s="69">
        <f t="shared" si="5"/>
        <v>0</v>
      </c>
    </row>
    <row r="191" spans="1:24" ht="17.25" customHeight="1">
      <c r="A191" s="68" t="str">
        <f>IF(BASE!B189="","",BASE!B189)</f>
        <v/>
      </c>
      <c r="B191" s="49" t="s">
        <v>2</v>
      </c>
      <c r="C191" s="69">
        <f t="shared" si="28"/>
        <v>0</v>
      </c>
      <c r="D191" s="69">
        <f t="shared" si="29"/>
        <v>0</v>
      </c>
      <c r="E191" s="69">
        <f t="shared" si="30"/>
        <v>0</v>
      </c>
      <c r="F191" s="69">
        <f t="shared" si="31"/>
        <v>0</v>
      </c>
      <c r="G191" s="69">
        <f t="shared" si="32"/>
        <v>0</v>
      </c>
      <c r="H191" s="70"/>
      <c r="I191" s="69"/>
      <c r="J191" s="69">
        <f t="shared" si="33"/>
        <v>0</v>
      </c>
      <c r="K191" s="69">
        <f t="shared" si="34"/>
        <v>0</v>
      </c>
      <c r="L191" s="69">
        <f t="shared" si="35"/>
        <v>0</v>
      </c>
      <c r="M191" s="69">
        <f t="shared" si="36"/>
        <v>0</v>
      </c>
      <c r="N191" s="69">
        <f t="shared" si="37"/>
        <v>0</v>
      </c>
      <c r="O191" s="70"/>
      <c r="P191" s="69"/>
      <c r="Q191" s="71"/>
      <c r="R191" s="49">
        <f t="shared" si="38"/>
        <v>0</v>
      </c>
      <c r="S191" s="49">
        <f>[1]BASE!A189</f>
        <v>180</v>
      </c>
      <c r="T191" s="69">
        <f t="shared" si="1"/>
        <v>0</v>
      </c>
      <c r="U191" s="69">
        <f t="shared" si="2"/>
        <v>0</v>
      </c>
      <c r="V191" s="69">
        <f t="shared" si="3"/>
        <v>0</v>
      </c>
      <c r="W191" s="69">
        <f t="shared" si="4"/>
        <v>0</v>
      </c>
      <c r="X191" s="69">
        <f t="shared" si="5"/>
        <v>0</v>
      </c>
    </row>
    <row r="192" spans="1:24" ht="17.25" customHeight="1">
      <c r="A192" s="68" t="str">
        <f>IF(BASE!B190="","",BASE!B190)</f>
        <v/>
      </c>
      <c r="B192" s="49" t="s">
        <v>2</v>
      </c>
      <c r="C192" s="69">
        <f t="shared" si="28"/>
        <v>0</v>
      </c>
      <c r="D192" s="69">
        <f t="shared" si="29"/>
        <v>0</v>
      </c>
      <c r="E192" s="69">
        <f t="shared" si="30"/>
        <v>0</v>
      </c>
      <c r="F192" s="69">
        <f t="shared" si="31"/>
        <v>0</v>
      </c>
      <c r="G192" s="69">
        <f t="shared" si="32"/>
        <v>0</v>
      </c>
      <c r="H192" s="70"/>
      <c r="I192" s="69"/>
      <c r="J192" s="69">
        <f t="shared" si="33"/>
        <v>0</v>
      </c>
      <c r="K192" s="69">
        <f t="shared" si="34"/>
        <v>0</v>
      </c>
      <c r="L192" s="69">
        <f t="shared" si="35"/>
        <v>0</v>
      </c>
      <c r="M192" s="69">
        <f t="shared" si="36"/>
        <v>0</v>
      </c>
      <c r="N192" s="69">
        <f t="shared" si="37"/>
        <v>0</v>
      </c>
      <c r="O192" s="70"/>
      <c r="P192" s="69"/>
      <c r="Q192" s="71"/>
      <c r="R192" s="49">
        <f t="shared" si="38"/>
        <v>0</v>
      </c>
      <c r="S192" s="49">
        <f>[1]BASE!A190</f>
        <v>181</v>
      </c>
      <c r="T192" s="69">
        <f t="shared" si="1"/>
        <v>0</v>
      </c>
      <c r="U192" s="69">
        <f t="shared" si="2"/>
        <v>0</v>
      </c>
      <c r="V192" s="69">
        <f t="shared" si="3"/>
        <v>0</v>
      </c>
      <c r="W192" s="69">
        <f t="shared" si="4"/>
        <v>0</v>
      </c>
      <c r="X192" s="69">
        <f t="shared" si="5"/>
        <v>0</v>
      </c>
    </row>
    <row r="193" spans="1:24" ht="17.25" customHeight="1">
      <c r="A193" s="68" t="str">
        <f>IF(BASE!B191="","",BASE!B191)</f>
        <v/>
      </c>
      <c r="B193" s="49" t="s">
        <v>2</v>
      </c>
      <c r="C193" s="69">
        <f t="shared" si="28"/>
        <v>0</v>
      </c>
      <c r="D193" s="69">
        <f t="shared" si="29"/>
        <v>0</v>
      </c>
      <c r="E193" s="69">
        <f t="shared" si="30"/>
        <v>0</v>
      </c>
      <c r="F193" s="69">
        <f t="shared" si="31"/>
        <v>0</v>
      </c>
      <c r="G193" s="69">
        <f t="shared" si="32"/>
        <v>0</v>
      </c>
      <c r="H193" s="70"/>
      <c r="I193" s="69"/>
      <c r="J193" s="69">
        <f t="shared" si="33"/>
        <v>0</v>
      </c>
      <c r="K193" s="69">
        <f t="shared" si="34"/>
        <v>0</v>
      </c>
      <c r="L193" s="69">
        <f t="shared" si="35"/>
        <v>0</v>
      </c>
      <c r="M193" s="69">
        <f t="shared" si="36"/>
        <v>0</v>
      </c>
      <c r="N193" s="69">
        <f t="shared" si="37"/>
        <v>0</v>
      </c>
      <c r="O193" s="70"/>
      <c r="P193" s="69"/>
      <c r="Q193" s="71"/>
      <c r="R193" s="49">
        <f t="shared" si="38"/>
        <v>0</v>
      </c>
      <c r="S193" s="49">
        <f>[1]BASE!A191</f>
        <v>182</v>
      </c>
      <c r="T193" s="69">
        <f t="shared" si="1"/>
        <v>0</v>
      </c>
      <c r="U193" s="69">
        <f t="shared" si="2"/>
        <v>0</v>
      </c>
      <c r="V193" s="69">
        <f t="shared" si="3"/>
        <v>0</v>
      </c>
      <c r="W193" s="69">
        <f t="shared" si="4"/>
        <v>0</v>
      </c>
      <c r="X193" s="69">
        <f t="shared" si="5"/>
        <v>0</v>
      </c>
    </row>
    <row r="194" spans="1:24" ht="17.25" customHeight="1">
      <c r="A194" s="68" t="str">
        <f>IF(BASE!B192="","",BASE!B192)</f>
        <v/>
      </c>
      <c r="B194" s="49" t="s">
        <v>2</v>
      </c>
      <c r="C194" s="69">
        <f t="shared" si="28"/>
        <v>0</v>
      </c>
      <c r="D194" s="69">
        <f t="shared" si="29"/>
        <v>0</v>
      </c>
      <c r="E194" s="69">
        <f t="shared" si="30"/>
        <v>0</v>
      </c>
      <c r="F194" s="69">
        <f t="shared" si="31"/>
        <v>0</v>
      </c>
      <c r="G194" s="69">
        <f t="shared" si="32"/>
        <v>0</v>
      </c>
      <c r="H194" s="70"/>
      <c r="I194" s="69"/>
      <c r="J194" s="69">
        <f t="shared" si="33"/>
        <v>0</v>
      </c>
      <c r="K194" s="69">
        <f t="shared" si="34"/>
        <v>0</v>
      </c>
      <c r="L194" s="69">
        <f t="shared" si="35"/>
        <v>0</v>
      </c>
      <c r="M194" s="69">
        <f t="shared" si="36"/>
        <v>0</v>
      </c>
      <c r="N194" s="69">
        <f t="shared" si="37"/>
        <v>0</v>
      </c>
      <c r="O194" s="70"/>
      <c r="P194" s="69"/>
      <c r="Q194" s="71"/>
      <c r="R194" s="49">
        <f t="shared" si="38"/>
        <v>0</v>
      </c>
      <c r="S194" s="49">
        <f>[1]BASE!A192</f>
        <v>183</v>
      </c>
      <c r="T194" s="69">
        <f t="shared" si="1"/>
        <v>0</v>
      </c>
      <c r="U194" s="69">
        <f t="shared" si="2"/>
        <v>0</v>
      </c>
      <c r="V194" s="69">
        <f t="shared" si="3"/>
        <v>0</v>
      </c>
      <c r="W194" s="69">
        <f t="shared" si="4"/>
        <v>0</v>
      </c>
      <c r="X194" s="69">
        <f t="shared" si="5"/>
        <v>0</v>
      </c>
    </row>
    <row r="195" spans="1:24" ht="17.25" customHeight="1">
      <c r="A195" s="68" t="str">
        <f>IF(BASE!B193="","",BASE!B193)</f>
        <v/>
      </c>
      <c r="B195" s="49" t="s">
        <v>2</v>
      </c>
      <c r="C195" s="69">
        <f t="shared" si="28"/>
        <v>0</v>
      </c>
      <c r="D195" s="69">
        <f t="shared" si="29"/>
        <v>0</v>
      </c>
      <c r="E195" s="69">
        <f t="shared" si="30"/>
        <v>0</v>
      </c>
      <c r="F195" s="69">
        <f t="shared" si="31"/>
        <v>0</v>
      </c>
      <c r="G195" s="69">
        <f t="shared" si="32"/>
        <v>0</v>
      </c>
      <c r="H195" s="70"/>
      <c r="I195" s="69"/>
      <c r="J195" s="69">
        <f t="shared" si="33"/>
        <v>0</v>
      </c>
      <c r="K195" s="69">
        <f t="shared" si="34"/>
        <v>0</v>
      </c>
      <c r="L195" s="69">
        <f t="shared" si="35"/>
        <v>0</v>
      </c>
      <c r="M195" s="69">
        <f t="shared" si="36"/>
        <v>0</v>
      </c>
      <c r="N195" s="69">
        <f t="shared" si="37"/>
        <v>0</v>
      </c>
      <c r="O195" s="70"/>
      <c r="P195" s="69"/>
      <c r="Q195" s="71"/>
      <c r="R195" s="49">
        <f t="shared" si="38"/>
        <v>0</v>
      </c>
      <c r="S195" s="49">
        <f>[1]BASE!A193</f>
        <v>184</v>
      </c>
      <c r="T195" s="69">
        <f t="shared" si="1"/>
        <v>0</v>
      </c>
      <c r="U195" s="69">
        <f t="shared" si="2"/>
        <v>0</v>
      </c>
      <c r="V195" s="69">
        <f t="shared" si="3"/>
        <v>0</v>
      </c>
      <c r="W195" s="69">
        <f t="shared" si="4"/>
        <v>0</v>
      </c>
      <c r="X195" s="69">
        <f t="shared" si="5"/>
        <v>0</v>
      </c>
    </row>
    <row r="196" spans="1:24" ht="17.25" customHeight="1">
      <c r="A196" s="68" t="str">
        <f>IF(BASE!B194="","",BASE!B194)</f>
        <v/>
      </c>
      <c r="B196" s="49" t="s">
        <v>2</v>
      </c>
      <c r="C196" s="69">
        <f t="shared" si="28"/>
        <v>0</v>
      </c>
      <c r="D196" s="69">
        <f t="shared" si="29"/>
        <v>0</v>
      </c>
      <c r="E196" s="69">
        <f t="shared" si="30"/>
        <v>0</v>
      </c>
      <c r="F196" s="69">
        <f t="shared" si="31"/>
        <v>0</v>
      </c>
      <c r="G196" s="69">
        <f t="shared" si="32"/>
        <v>0</v>
      </c>
      <c r="H196" s="70"/>
      <c r="I196" s="69"/>
      <c r="J196" s="69">
        <f t="shared" si="33"/>
        <v>0</v>
      </c>
      <c r="K196" s="69">
        <f t="shared" si="34"/>
        <v>0</v>
      </c>
      <c r="L196" s="69">
        <f t="shared" si="35"/>
        <v>0</v>
      </c>
      <c r="M196" s="69">
        <f t="shared" si="36"/>
        <v>0</v>
      </c>
      <c r="N196" s="69">
        <f t="shared" si="37"/>
        <v>0</v>
      </c>
      <c r="O196" s="70"/>
      <c r="P196" s="69"/>
      <c r="Q196" s="71"/>
      <c r="R196" s="49">
        <f t="shared" si="38"/>
        <v>0</v>
      </c>
      <c r="S196" s="49">
        <f>[1]BASE!A194</f>
        <v>185</v>
      </c>
      <c r="T196" s="69">
        <f t="shared" si="1"/>
        <v>0</v>
      </c>
      <c r="U196" s="69">
        <f t="shared" si="2"/>
        <v>0</v>
      </c>
      <c r="V196" s="69">
        <f t="shared" si="3"/>
        <v>0</v>
      </c>
      <c r="W196" s="69">
        <f t="shared" si="4"/>
        <v>0</v>
      </c>
      <c r="X196" s="69">
        <f t="shared" si="5"/>
        <v>0</v>
      </c>
    </row>
    <row r="197" spans="1:24" ht="17.25" customHeight="1">
      <c r="A197" s="68" t="str">
        <f>IF(BASE!B195="","",BASE!B195)</f>
        <v/>
      </c>
      <c r="B197" s="49" t="s">
        <v>2</v>
      </c>
      <c r="C197" s="69">
        <f t="shared" si="28"/>
        <v>0</v>
      </c>
      <c r="D197" s="69">
        <f t="shared" si="29"/>
        <v>0</v>
      </c>
      <c r="E197" s="69">
        <f t="shared" si="30"/>
        <v>0</v>
      </c>
      <c r="F197" s="69">
        <f t="shared" si="31"/>
        <v>0</v>
      </c>
      <c r="G197" s="69">
        <f t="shared" si="32"/>
        <v>0</v>
      </c>
      <c r="H197" s="70"/>
      <c r="I197" s="69"/>
      <c r="J197" s="69">
        <f t="shared" si="33"/>
        <v>0</v>
      </c>
      <c r="K197" s="69">
        <f t="shared" si="34"/>
        <v>0</v>
      </c>
      <c r="L197" s="69">
        <f t="shared" si="35"/>
        <v>0</v>
      </c>
      <c r="M197" s="69">
        <f t="shared" si="36"/>
        <v>0</v>
      </c>
      <c r="N197" s="69">
        <f t="shared" si="37"/>
        <v>0</v>
      </c>
      <c r="O197" s="70"/>
      <c r="P197" s="69"/>
      <c r="Q197" s="71"/>
      <c r="R197" s="49">
        <f t="shared" si="38"/>
        <v>0</v>
      </c>
      <c r="S197" s="49">
        <f>[1]BASE!A195</f>
        <v>186</v>
      </c>
      <c r="T197" s="69">
        <f t="shared" si="1"/>
        <v>0</v>
      </c>
      <c r="U197" s="69">
        <f t="shared" si="2"/>
        <v>0</v>
      </c>
      <c r="V197" s="69">
        <f t="shared" si="3"/>
        <v>0</v>
      </c>
      <c r="W197" s="69">
        <f t="shared" si="4"/>
        <v>0</v>
      </c>
      <c r="X197" s="69">
        <f t="shared" si="5"/>
        <v>0</v>
      </c>
    </row>
    <row r="198" spans="1:24" ht="17.25" customHeight="1">
      <c r="A198" s="68" t="str">
        <f>IF(BASE!B196="","",BASE!B196)</f>
        <v/>
      </c>
      <c r="B198" s="49" t="s">
        <v>2</v>
      </c>
      <c r="C198" s="69">
        <f t="shared" si="28"/>
        <v>0</v>
      </c>
      <c r="D198" s="69">
        <f t="shared" si="29"/>
        <v>0</v>
      </c>
      <c r="E198" s="69">
        <f t="shared" si="30"/>
        <v>0</v>
      </c>
      <c r="F198" s="69">
        <f t="shared" si="31"/>
        <v>0</v>
      </c>
      <c r="G198" s="69">
        <f t="shared" si="32"/>
        <v>0</v>
      </c>
      <c r="H198" s="70"/>
      <c r="I198" s="69"/>
      <c r="J198" s="69">
        <f t="shared" si="33"/>
        <v>0</v>
      </c>
      <c r="K198" s="69">
        <f t="shared" si="34"/>
        <v>0</v>
      </c>
      <c r="L198" s="69">
        <f t="shared" si="35"/>
        <v>0</v>
      </c>
      <c r="M198" s="69">
        <f t="shared" si="36"/>
        <v>0</v>
      </c>
      <c r="N198" s="69">
        <f t="shared" si="37"/>
        <v>0</v>
      </c>
      <c r="O198" s="70"/>
      <c r="P198" s="69"/>
      <c r="Q198" s="71"/>
      <c r="R198" s="49">
        <f t="shared" si="38"/>
        <v>0</v>
      </c>
      <c r="S198" s="49">
        <f>[1]BASE!A196</f>
        <v>187</v>
      </c>
      <c r="T198" s="69">
        <f t="shared" si="1"/>
        <v>0</v>
      </c>
      <c r="U198" s="69">
        <f t="shared" si="2"/>
        <v>0</v>
      </c>
      <c r="V198" s="69">
        <f t="shared" si="3"/>
        <v>0</v>
      </c>
      <c r="W198" s="69">
        <f t="shared" si="4"/>
        <v>0</v>
      </c>
      <c r="X198" s="69">
        <f t="shared" si="5"/>
        <v>0</v>
      </c>
    </row>
    <row r="199" spans="1:24" ht="17.25" customHeight="1">
      <c r="A199" s="68" t="str">
        <f>IF(BASE!B197="","",BASE!B197)</f>
        <v/>
      </c>
      <c r="B199" s="49" t="s">
        <v>2</v>
      </c>
      <c r="C199" s="69">
        <f t="shared" si="28"/>
        <v>0</v>
      </c>
      <c r="D199" s="69">
        <f t="shared" si="29"/>
        <v>0</v>
      </c>
      <c r="E199" s="69">
        <f t="shared" si="30"/>
        <v>0</v>
      </c>
      <c r="F199" s="69">
        <f t="shared" si="31"/>
        <v>0</v>
      </c>
      <c r="G199" s="69">
        <f t="shared" si="32"/>
        <v>0</v>
      </c>
      <c r="H199" s="70"/>
      <c r="I199" s="69"/>
      <c r="J199" s="69">
        <f t="shared" si="33"/>
        <v>0</v>
      </c>
      <c r="K199" s="69">
        <f t="shared" si="34"/>
        <v>0</v>
      </c>
      <c r="L199" s="69">
        <f t="shared" si="35"/>
        <v>0</v>
      </c>
      <c r="M199" s="69">
        <f t="shared" si="36"/>
        <v>0</v>
      </c>
      <c r="N199" s="69">
        <f t="shared" si="37"/>
        <v>0</v>
      </c>
      <c r="O199" s="70"/>
      <c r="P199" s="69"/>
      <c r="Q199" s="71"/>
      <c r="R199" s="49">
        <f t="shared" si="38"/>
        <v>0</v>
      </c>
      <c r="S199" s="49">
        <f>[1]BASE!A197</f>
        <v>188</v>
      </c>
      <c r="T199" s="69">
        <f t="shared" si="1"/>
        <v>0</v>
      </c>
      <c r="U199" s="69">
        <f t="shared" si="2"/>
        <v>0</v>
      </c>
      <c r="V199" s="69">
        <f t="shared" si="3"/>
        <v>0</v>
      </c>
      <c r="W199" s="69">
        <f t="shared" si="4"/>
        <v>0</v>
      </c>
      <c r="X199" s="69">
        <f t="shared" si="5"/>
        <v>0</v>
      </c>
    </row>
    <row r="200" spans="1:24" ht="17.25" customHeight="1">
      <c r="A200" s="68" t="str">
        <f>IF(BASE!B198="","",BASE!B198)</f>
        <v/>
      </c>
      <c r="B200" s="49" t="s">
        <v>2</v>
      </c>
      <c r="C200" s="69">
        <f t="shared" si="28"/>
        <v>0</v>
      </c>
      <c r="D200" s="69">
        <f t="shared" si="29"/>
        <v>0</v>
      </c>
      <c r="E200" s="69">
        <f t="shared" si="30"/>
        <v>0</v>
      </c>
      <c r="F200" s="69">
        <f t="shared" si="31"/>
        <v>0</v>
      </c>
      <c r="G200" s="69">
        <f t="shared" si="32"/>
        <v>0</v>
      </c>
      <c r="H200" s="70"/>
      <c r="I200" s="69"/>
      <c r="J200" s="69">
        <f t="shared" si="33"/>
        <v>0</v>
      </c>
      <c r="K200" s="69">
        <f t="shared" si="34"/>
        <v>0</v>
      </c>
      <c r="L200" s="69">
        <f t="shared" si="35"/>
        <v>0</v>
      </c>
      <c r="M200" s="69">
        <f t="shared" si="36"/>
        <v>0</v>
      </c>
      <c r="N200" s="69">
        <f t="shared" si="37"/>
        <v>0</v>
      </c>
      <c r="O200" s="70"/>
      <c r="P200" s="69"/>
      <c r="Q200" s="71"/>
      <c r="R200" s="49">
        <f t="shared" si="38"/>
        <v>0</v>
      </c>
      <c r="S200" s="49">
        <f>[1]BASE!A198</f>
        <v>189</v>
      </c>
      <c r="T200" s="69">
        <f t="shared" si="1"/>
        <v>0</v>
      </c>
      <c r="U200" s="69">
        <f t="shared" si="2"/>
        <v>0</v>
      </c>
      <c r="V200" s="69">
        <f t="shared" si="3"/>
        <v>0</v>
      </c>
      <c r="W200" s="69">
        <f t="shared" si="4"/>
        <v>0</v>
      </c>
      <c r="X200" s="69">
        <f t="shared" si="5"/>
        <v>0</v>
      </c>
    </row>
    <row r="201" spans="1:24" ht="17.25" customHeight="1">
      <c r="A201" s="68" t="str">
        <f>IF(BASE!B199="","",BASE!B199)</f>
        <v/>
      </c>
      <c r="B201" s="49" t="s">
        <v>2</v>
      </c>
      <c r="C201" s="69">
        <f t="shared" si="28"/>
        <v>0</v>
      </c>
      <c r="D201" s="69">
        <f t="shared" si="29"/>
        <v>0</v>
      </c>
      <c r="E201" s="69">
        <f t="shared" si="30"/>
        <v>0</v>
      </c>
      <c r="F201" s="69">
        <f t="shared" si="31"/>
        <v>0</v>
      </c>
      <c r="G201" s="69">
        <f t="shared" si="32"/>
        <v>0</v>
      </c>
      <c r="H201" s="70"/>
      <c r="I201" s="69"/>
      <c r="J201" s="69">
        <f t="shared" si="33"/>
        <v>0</v>
      </c>
      <c r="K201" s="69">
        <f t="shared" si="34"/>
        <v>0</v>
      </c>
      <c r="L201" s="69">
        <f t="shared" si="35"/>
        <v>0</v>
      </c>
      <c r="M201" s="69">
        <f t="shared" si="36"/>
        <v>0</v>
      </c>
      <c r="N201" s="69">
        <f t="shared" si="37"/>
        <v>0</v>
      </c>
      <c r="O201" s="70"/>
      <c r="P201" s="69"/>
      <c r="Q201" s="71"/>
      <c r="R201" s="49">
        <f t="shared" si="38"/>
        <v>0</v>
      </c>
      <c r="S201" s="49">
        <f>[1]BASE!A199</f>
        <v>190</v>
      </c>
      <c r="T201" s="69">
        <f t="shared" si="1"/>
        <v>0</v>
      </c>
      <c r="U201" s="69">
        <f t="shared" si="2"/>
        <v>0</v>
      </c>
      <c r="V201" s="69">
        <f t="shared" si="3"/>
        <v>0</v>
      </c>
      <c r="W201" s="69">
        <f t="shared" si="4"/>
        <v>0</v>
      </c>
      <c r="X201" s="69">
        <f t="shared" si="5"/>
        <v>0</v>
      </c>
    </row>
    <row r="202" spans="1:24" ht="17.25" customHeight="1">
      <c r="A202" s="68" t="str">
        <f>IF(BASE!B200="","",BASE!B200)</f>
        <v/>
      </c>
      <c r="B202" s="49" t="s">
        <v>2</v>
      </c>
      <c r="C202" s="69">
        <f t="shared" si="28"/>
        <v>0</v>
      </c>
      <c r="D202" s="69">
        <f t="shared" si="29"/>
        <v>0</v>
      </c>
      <c r="E202" s="69">
        <f t="shared" si="30"/>
        <v>0</v>
      </c>
      <c r="F202" s="69">
        <f t="shared" si="31"/>
        <v>0</v>
      </c>
      <c r="G202" s="69">
        <f t="shared" si="32"/>
        <v>0</v>
      </c>
      <c r="H202" s="70"/>
      <c r="I202" s="69"/>
      <c r="J202" s="69">
        <f t="shared" si="33"/>
        <v>0</v>
      </c>
      <c r="K202" s="69">
        <f t="shared" si="34"/>
        <v>0</v>
      </c>
      <c r="L202" s="69">
        <f t="shared" si="35"/>
        <v>0</v>
      </c>
      <c r="M202" s="69">
        <f t="shared" si="36"/>
        <v>0</v>
      </c>
      <c r="N202" s="69">
        <f t="shared" si="37"/>
        <v>0</v>
      </c>
      <c r="O202" s="70"/>
      <c r="P202" s="69"/>
      <c r="Q202" s="71"/>
      <c r="R202" s="49">
        <f t="shared" si="38"/>
        <v>0</v>
      </c>
      <c r="S202" s="49">
        <f>[1]BASE!A200</f>
        <v>191</v>
      </c>
      <c r="T202" s="69">
        <f t="shared" si="1"/>
        <v>0</v>
      </c>
      <c r="U202" s="69">
        <f t="shared" si="2"/>
        <v>0</v>
      </c>
      <c r="V202" s="69">
        <f t="shared" si="3"/>
        <v>0</v>
      </c>
      <c r="W202" s="69">
        <f t="shared" si="4"/>
        <v>0</v>
      </c>
      <c r="X202" s="69">
        <f t="shared" si="5"/>
        <v>0</v>
      </c>
    </row>
    <row r="203" spans="1:24" ht="17.25" customHeight="1">
      <c r="A203" s="68" t="str">
        <f>IF(BASE!B201="","",BASE!B201)</f>
        <v/>
      </c>
      <c r="B203" s="49" t="s">
        <v>2</v>
      </c>
      <c r="C203" s="69">
        <f t="shared" si="28"/>
        <v>0</v>
      </c>
      <c r="D203" s="69">
        <f t="shared" si="29"/>
        <v>0</v>
      </c>
      <c r="E203" s="69">
        <f t="shared" si="30"/>
        <v>0</v>
      </c>
      <c r="F203" s="69">
        <f t="shared" si="31"/>
        <v>0</v>
      </c>
      <c r="G203" s="69">
        <f t="shared" si="32"/>
        <v>0</v>
      </c>
      <c r="H203" s="70"/>
      <c r="I203" s="69"/>
      <c r="J203" s="69">
        <f t="shared" si="33"/>
        <v>0</v>
      </c>
      <c r="K203" s="69">
        <f t="shared" si="34"/>
        <v>0</v>
      </c>
      <c r="L203" s="69">
        <f t="shared" si="35"/>
        <v>0</v>
      </c>
      <c r="M203" s="69">
        <f t="shared" si="36"/>
        <v>0</v>
      </c>
      <c r="N203" s="69">
        <f t="shared" si="37"/>
        <v>0</v>
      </c>
      <c r="O203" s="70"/>
      <c r="P203" s="69"/>
      <c r="Q203" s="71"/>
      <c r="R203" s="49">
        <f t="shared" si="38"/>
        <v>0</v>
      </c>
      <c r="S203" s="49">
        <f>[1]BASE!A201</f>
        <v>192</v>
      </c>
      <c r="T203" s="69">
        <f t="shared" si="1"/>
        <v>0</v>
      </c>
      <c r="U203" s="69">
        <f t="shared" si="2"/>
        <v>0</v>
      </c>
      <c r="V203" s="69">
        <f t="shared" si="3"/>
        <v>0</v>
      </c>
      <c r="W203" s="69">
        <f t="shared" si="4"/>
        <v>0</v>
      </c>
      <c r="X203" s="69">
        <f t="shared" si="5"/>
        <v>0</v>
      </c>
    </row>
    <row r="204" spans="1:24" ht="17.25" customHeight="1">
      <c r="A204" s="68" t="str">
        <f>IF(BASE!B202="","",BASE!B202)</f>
        <v/>
      </c>
      <c r="B204" s="49" t="s">
        <v>2</v>
      </c>
      <c r="C204" s="69">
        <f t="shared" si="28"/>
        <v>0</v>
      </c>
      <c r="D204" s="69">
        <f t="shared" si="29"/>
        <v>0</v>
      </c>
      <c r="E204" s="69">
        <f t="shared" si="30"/>
        <v>0</v>
      </c>
      <c r="F204" s="69">
        <f t="shared" si="31"/>
        <v>0</v>
      </c>
      <c r="G204" s="69">
        <f t="shared" si="32"/>
        <v>0</v>
      </c>
      <c r="H204" s="70"/>
      <c r="I204" s="69"/>
      <c r="J204" s="69">
        <f t="shared" si="33"/>
        <v>0</v>
      </c>
      <c r="K204" s="69">
        <f t="shared" si="34"/>
        <v>0</v>
      </c>
      <c r="L204" s="69">
        <f t="shared" si="35"/>
        <v>0</v>
      </c>
      <c r="M204" s="69">
        <f t="shared" si="36"/>
        <v>0</v>
      </c>
      <c r="N204" s="69">
        <f t="shared" si="37"/>
        <v>0</v>
      </c>
      <c r="O204" s="70"/>
      <c r="P204" s="69"/>
      <c r="Q204" s="71"/>
      <c r="R204" s="49">
        <f t="shared" si="38"/>
        <v>0</v>
      </c>
      <c r="S204" s="49">
        <f>[1]BASE!A202</f>
        <v>193</v>
      </c>
      <c r="T204" s="69">
        <f t="shared" si="1"/>
        <v>0</v>
      </c>
      <c r="U204" s="69">
        <f t="shared" si="2"/>
        <v>0</v>
      </c>
      <c r="V204" s="69">
        <f t="shared" si="3"/>
        <v>0</v>
      </c>
      <c r="W204" s="69">
        <f t="shared" si="4"/>
        <v>0</v>
      </c>
      <c r="X204" s="69">
        <f t="shared" si="5"/>
        <v>0</v>
      </c>
    </row>
    <row r="205" spans="1:24" ht="17.25" customHeight="1">
      <c r="A205" s="68" t="str">
        <f>IF(BASE!B203="","",BASE!B203)</f>
        <v/>
      </c>
      <c r="B205" s="49" t="s">
        <v>2</v>
      </c>
      <c r="C205" s="69">
        <f t="shared" ref="C205:C268" si="39">(H205/5)</f>
        <v>0</v>
      </c>
      <c r="D205" s="69">
        <f t="shared" ref="D205:D268" si="40">(H205/5)</f>
        <v>0</v>
      </c>
      <c r="E205" s="69">
        <f t="shared" ref="E205:E268" si="41">(H205/5)</f>
        <v>0</v>
      </c>
      <c r="F205" s="69">
        <f t="shared" ref="F205:F268" si="42">(H205/5)</f>
        <v>0</v>
      </c>
      <c r="G205" s="69">
        <f t="shared" ref="G205:G268" si="43">(H205/5)</f>
        <v>0</v>
      </c>
      <c r="H205" s="70"/>
      <c r="I205" s="69"/>
      <c r="J205" s="69">
        <f t="shared" ref="J205:J268" si="44">(O205/5)</f>
        <v>0</v>
      </c>
      <c r="K205" s="69">
        <f t="shared" ref="K205:K268" si="45">(O205/5)</f>
        <v>0</v>
      </c>
      <c r="L205" s="69">
        <f t="shared" ref="L205:L268" si="46">(O205/5)</f>
        <v>0</v>
      </c>
      <c r="M205" s="69">
        <f t="shared" ref="M205:M268" si="47">(O205/5)</f>
        <v>0</v>
      </c>
      <c r="N205" s="69">
        <f t="shared" ref="N205:N268" si="48">(O205/5)</f>
        <v>0</v>
      </c>
      <c r="O205" s="70"/>
      <c r="P205" s="69"/>
      <c r="Q205" s="71"/>
      <c r="R205" s="49">
        <f t="shared" ref="R205:R268" si="49">SUM(H205,O205)</f>
        <v>0</v>
      </c>
      <c r="S205" s="49">
        <f>[1]BASE!A203</f>
        <v>194</v>
      </c>
      <c r="T205" s="69">
        <f t="shared" si="1"/>
        <v>0</v>
      </c>
      <c r="U205" s="69">
        <f t="shared" si="2"/>
        <v>0</v>
      </c>
      <c r="V205" s="69">
        <f t="shared" si="3"/>
        <v>0</v>
      </c>
      <c r="W205" s="69">
        <f t="shared" si="4"/>
        <v>0</v>
      </c>
      <c r="X205" s="69">
        <f t="shared" si="5"/>
        <v>0</v>
      </c>
    </row>
    <row r="206" spans="1:24" ht="17.25" customHeight="1">
      <c r="A206" s="68" t="str">
        <f>IF(BASE!B204="","",BASE!B204)</f>
        <v/>
      </c>
      <c r="B206" s="49" t="s">
        <v>2</v>
      </c>
      <c r="C206" s="69">
        <f t="shared" si="39"/>
        <v>0</v>
      </c>
      <c r="D206" s="69">
        <f t="shared" si="40"/>
        <v>0</v>
      </c>
      <c r="E206" s="69">
        <f t="shared" si="41"/>
        <v>0</v>
      </c>
      <c r="F206" s="69">
        <f t="shared" si="42"/>
        <v>0</v>
      </c>
      <c r="G206" s="69">
        <f t="shared" si="43"/>
        <v>0</v>
      </c>
      <c r="H206" s="70"/>
      <c r="I206" s="69"/>
      <c r="J206" s="69">
        <f t="shared" si="44"/>
        <v>0</v>
      </c>
      <c r="K206" s="69">
        <f t="shared" si="45"/>
        <v>0</v>
      </c>
      <c r="L206" s="69">
        <f t="shared" si="46"/>
        <v>0</v>
      </c>
      <c r="M206" s="69">
        <f t="shared" si="47"/>
        <v>0</v>
      </c>
      <c r="N206" s="69">
        <f t="shared" si="48"/>
        <v>0</v>
      </c>
      <c r="O206" s="70"/>
      <c r="P206" s="69"/>
      <c r="Q206" s="71"/>
      <c r="R206" s="49">
        <f t="shared" si="49"/>
        <v>0</v>
      </c>
      <c r="S206" s="49">
        <f>[1]BASE!A204</f>
        <v>195</v>
      </c>
      <c r="T206" s="69">
        <f t="shared" si="1"/>
        <v>0</v>
      </c>
      <c r="U206" s="69">
        <f t="shared" si="2"/>
        <v>0</v>
      </c>
      <c r="V206" s="69">
        <f t="shared" si="3"/>
        <v>0</v>
      </c>
      <c r="W206" s="69">
        <f t="shared" si="4"/>
        <v>0</v>
      </c>
      <c r="X206" s="69">
        <f t="shared" si="5"/>
        <v>0</v>
      </c>
    </row>
    <row r="207" spans="1:24" ht="17.25" customHeight="1">
      <c r="A207" s="68" t="str">
        <f>IF(BASE!B205="","",BASE!B205)</f>
        <v/>
      </c>
      <c r="B207" s="49" t="s">
        <v>2</v>
      </c>
      <c r="C207" s="69">
        <f t="shared" si="39"/>
        <v>0</v>
      </c>
      <c r="D207" s="69">
        <f t="shared" si="40"/>
        <v>0</v>
      </c>
      <c r="E207" s="69">
        <f t="shared" si="41"/>
        <v>0</v>
      </c>
      <c r="F207" s="69">
        <f t="shared" si="42"/>
        <v>0</v>
      </c>
      <c r="G207" s="69">
        <f t="shared" si="43"/>
        <v>0</v>
      </c>
      <c r="H207" s="70"/>
      <c r="I207" s="69"/>
      <c r="J207" s="69">
        <f t="shared" si="44"/>
        <v>0</v>
      </c>
      <c r="K207" s="69">
        <f t="shared" si="45"/>
        <v>0</v>
      </c>
      <c r="L207" s="69">
        <f t="shared" si="46"/>
        <v>0</v>
      </c>
      <c r="M207" s="69">
        <f t="shared" si="47"/>
        <v>0</v>
      </c>
      <c r="N207" s="69">
        <f t="shared" si="48"/>
        <v>0</v>
      </c>
      <c r="O207" s="70"/>
      <c r="P207" s="69"/>
      <c r="Q207" s="71"/>
      <c r="R207" s="49">
        <f t="shared" si="49"/>
        <v>0</v>
      </c>
      <c r="S207" s="49">
        <f>[1]BASE!A205</f>
        <v>196</v>
      </c>
      <c r="T207" s="69">
        <f t="shared" si="1"/>
        <v>0</v>
      </c>
      <c r="U207" s="69">
        <f t="shared" si="2"/>
        <v>0</v>
      </c>
      <c r="V207" s="69">
        <f t="shared" si="3"/>
        <v>0</v>
      </c>
      <c r="W207" s="69">
        <f t="shared" si="4"/>
        <v>0</v>
      </c>
      <c r="X207" s="69">
        <f t="shared" si="5"/>
        <v>0</v>
      </c>
    </row>
    <row r="208" spans="1:24" ht="17.25" customHeight="1">
      <c r="A208" s="68" t="str">
        <f>IF(BASE!B206="","",BASE!B206)</f>
        <v/>
      </c>
      <c r="B208" s="49" t="s">
        <v>2</v>
      </c>
      <c r="C208" s="69">
        <f t="shared" si="39"/>
        <v>0</v>
      </c>
      <c r="D208" s="69">
        <f t="shared" si="40"/>
        <v>0</v>
      </c>
      <c r="E208" s="69">
        <f t="shared" si="41"/>
        <v>0</v>
      </c>
      <c r="F208" s="69">
        <f t="shared" si="42"/>
        <v>0</v>
      </c>
      <c r="G208" s="69">
        <f t="shared" si="43"/>
        <v>0</v>
      </c>
      <c r="H208" s="70"/>
      <c r="I208" s="69"/>
      <c r="J208" s="69">
        <f t="shared" si="44"/>
        <v>0</v>
      </c>
      <c r="K208" s="69">
        <f t="shared" si="45"/>
        <v>0</v>
      </c>
      <c r="L208" s="69">
        <f t="shared" si="46"/>
        <v>0</v>
      </c>
      <c r="M208" s="69">
        <f t="shared" si="47"/>
        <v>0</v>
      </c>
      <c r="N208" s="69">
        <f t="shared" si="48"/>
        <v>0</v>
      </c>
      <c r="O208" s="70"/>
      <c r="P208" s="69"/>
      <c r="Q208" s="71"/>
      <c r="R208" s="49">
        <f t="shared" si="49"/>
        <v>0</v>
      </c>
      <c r="S208" s="49">
        <f>[1]BASE!A206</f>
        <v>197</v>
      </c>
      <c r="T208" s="69">
        <f t="shared" si="1"/>
        <v>0</v>
      </c>
      <c r="U208" s="69">
        <f t="shared" si="2"/>
        <v>0</v>
      </c>
      <c r="V208" s="69">
        <f t="shared" si="3"/>
        <v>0</v>
      </c>
      <c r="W208" s="69">
        <f t="shared" si="4"/>
        <v>0</v>
      </c>
      <c r="X208" s="69">
        <f t="shared" si="5"/>
        <v>0</v>
      </c>
    </row>
    <row r="209" spans="1:24" ht="17.25" customHeight="1">
      <c r="A209" s="68" t="str">
        <f>IF(BASE!B207="","",BASE!B207)</f>
        <v/>
      </c>
      <c r="B209" s="49" t="s">
        <v>2</v>
      </c>
      <c r="C209" s="69">
        <f t="shared" si="39"/>
        <v>0</v>
      </c>
      <c r="D209" s="69">
        <f t="shared" si="40"/>
        <v>0</v>
      </c>
      <c r="E209" s="69">
        <f t="shared" si="41"/>
        <v>0</v>
      </c>
      <c r="F209" s="69">
        <f t="shared" si="42"/>
        <v>0</v>
      </c>
      <c r="G209" s="69">
        <f t="shared" si="43"/>
        <v>0</v>
      </c>
      <c r="H209" s="70"/>
      <c r="I209" s="69"/>
      <c r="J209" s="69">
        <f t="shared" si="44"/>
        <v>0</v>
      </c>
      <c r="K209" s="69">
        <f t="shared" si="45"/>
        <v>0</v>
      </c>
      <c r="L209" s="69">
        <f t="shared" si="46"/>
        <v>0</v>
      </c>
      <c r="M209" s="69">
        <f t="shared" si="47"/>
        <v>0</v>
      </c>
      <c r="N209" s="69">
        <f t="shared" si="48"/>
        <v>0</v>
      </c>
      <c r="O209" s="70"/>
      <c r="P209" s="69"/>
      <c r="Q209" s="71"/>
      <c r="R209" s="49">
        <f t="shared" si="49"/>
        <v>0</v>
      </c>
      <c r="S209" s="49">
        <f>[1]BASE!A207</f>
        <v>198</v>
      </c>
      <c r="T209" s="69">
        <f t="shared" si="1"/>
        <v>0</v>
      </c>
      <c r="U209" s="69">
        <f t="shared" si="2"/>
        <v>0</v>
      </c>
      <c r="V209" s="69">
        <f t="shared" si="3"/>
        <v>0</v>
      </c>
      <c r="W209" s="69">
        <f t="shared" si="4"/>
        <v>0</v>
      </c>
      <c r="X209" s="69">
        <f t="shared" si="5"/>
        <v>0</v>
      </c>
    </row>
    <row r="210" spans="1:24" ht="17.25" customHeight="1">
      <c r="A210" s="68" t="str">
        <f>IF(BASE!B208="","",BASE!B208)</f>
        <v/>
      </c>
      <c r="B210" s="49" t="s">
        <v>2</v>
      </c>
      <c r="C210" s="69">
        <f t="shared" si="39"/>
        <v>0</v>
      </c>
      <c r="D210" s="69">
        <f t="shared" si="40"/>
        <v>0</v>
      </c>
      <c r="E210" s="69">
        <f t="shared" si="41"/>
        <v>0</v>
      </c>
      <c r="F210" s="69">
        <f t="shared" si="42"/>
        <v>0</v>
      </c>
      <c r="G210" s="69">
        <f t="shared" si="43"/>
        <v>0</v>
      </c>
      <c r="H210" s="70"/>
      <c r="I210" s="69"/>
      <c r="J210" s="69">
        <f t="shared" si="44"/>
        <v>0</v>
      </c>
      <c r="K210" s="69">
        <f t="shared" si="45"/>
        <v>0</v>
      </c>
      <c r="L210" s="69">
        <f t="shared" si="46"/>
        <v>0</v>
      </c>
      <c r="M210" s="69">
        <f t="shared" si="47"/>
        <v>0</v>
      </c>
      <c r="N210" s="69">
        <f t="shared" si="48"/>
        <v>0</v>
      </c>
      <c r="O210" s="70"/>
      <c r="P210" s="69"/>
      <c r="Q210" s="71"/>
      <c r="R210" s="49">
        <f t="shared" si="49"/>
        <v>0</v>
      </c>
      <c r="S210" s="49">
        <f>[1]BASE!A208</f>
        <v>199</v>
      </c>
      <c r="T210" s="69">
        <f t="shared" si="1"/>
        <v>0</v>
      </c>
      <c r="U210" s="69">
        <f t="shared" si="2"/>
        <v>0</v>
      </c>
      <c r="V210" s="69">
        <f t="shared" si="3"/>
        <v>0</v>
      </c>
      <c r="W210" s="69">
        <f t="shared" si="4"/>
        <v>0</v>
      </c>
      <c r="X210" s="69">
        <f t="shared" si="5"/>
        <v>0</v>
      </c>
    </row>
    <row r="211" spans="1:24" ht="17.25" customHeight="1">
      <c r="A211" s="68" t="str">
        <f>IF(BASE!B209="","",BASE!B209)</f>
        <v/>
      </c>
      <c r="B211" s="49" t="s">
        <v>2</v>
      </c>
      <c r="C211" s="69">
        <f t="shared" si="39"/>
        <v>0</v>
      </c>
      <c r="D211" s="69">
        <f t="shared" si="40"/>
        <v>0</v>
      </c>
      <c r="E211" s="69">
        <f t="shared" si="41"/>
        <v>0</v>
      </c>
      <c r="F211" s="69">
        <f t="shared" si="42"/>
        <v>0</v>
      </c>
      <c r="G211" s="69">
        <f t="shared" si="43"/>
        <v>0</v>
      </c>
      <c r="H211" s="70"/>
      <c r="I211" s="69"/>
      <c r="J211" s="69">
        <f t="shared" si="44"/>
        <v>0</v>
      </c>
      <c r="K211" s="69">
        <f t="shared" si="45"/>
        <v>0</v>
      </c>
      <c r="L211" s="69">
        <f t="shared" si="46"/>
        <v>0</v>
      </c>
      <c r="M211" s="69">
        <f t="shared" si="47"/>
        <v>0</v>
      </c>
      <c r="N211" s="69">
        <f t="shared" si="48"/>
        <v>0</v>
      </c>
      <c r="O211" s="70"/>
      <c r="P211" s="69"/>
      <c r="Q211" s="71"/>
      <c r="R211" s="49">
        <f t="shared" si="49"/>
        <v>0</v>
      </c>
      <c r="S211" s="49">
        <f>[1]BASE!A209</f>
        <v>200</v>
      </c>
      <c r="T211" s="69">
        <f t="shared" si="1"/>
        <v>0</v>
      </c>
      <c r="U211" s="69">
        <f t="shared" si="2"/>
        <v>0</v>
      </c>
      <c r="V211" s="69">
        <f t="shared" si="3"/>
        <v>0</v>
      </c>
      <c r="W211" s="69">
        <f t="shared" si="4"/>
        <v>0</v>
      </c>
      <c r="X211" s="69">
        <f t="shared" si="5"/>
        <v>0</v>
      </c>
    </row>
    <row r="212" spans="1:24" ht="17.25" customHeight="1">
      <c r="A212" s="68" t="str">
        <f>IF(BASE!B210="","",BASE!B210)</f>
        <v/>
      </c>
      <c r="B212" s="49" t="s">
        <v>2</v>
      </c>
      <c r="C212" s="69">
        <f t="shared" si="39"/>
        <v>0</v>
      </c>
      <c r="D212" s="69">
        <f t="shared" si="40"/>
        <v>0</v>
      </c>
      <c r="E212" s="69">
        <f t="shared" si="41"/>
        <v>0</v>
      </c>
      <c r="F212" s="69">
        <f t="shared" si="42"/>
        <v>0</v>
      </c>
      <c r="G212" s="69">
        <f t="shared" si="43"/>
        <v>0</v>
      </c>
      <c r="H212" s="70"/>
      <c r="I212" s="69"/>
      <c r="J212" s="69">
        <f t="shared" si="44"/>
        <v>0</v>
      </c>
      <c r="K212" s="69">
        <f t="shared" si="45"/>
        <v>0</v>
      </c>
      <c r="L212" s="69">
        <f t="shared" si="46"/>
        <v>0</v>
      </c>
      <c r="M212" s="69">
        <f t="shared" si="47"/>
        <v>0</v>
      </c>
      <c r="N212" s="69">
        <f t="shared" si="48"/>
        <v>0</v>
      </c>
      <c r="O212" s="70"/>
      <c r="P212" s="69"/>
      <c r="Q212" s="71"/>
      <c r="R212" s="49">
        <f t="shared" si="49"/>
        <v>0</v>
      </c>
      <c r="S212" s="49">
        <f>[1]BASE!A210</f>
        <v>201</v>
      </c>
      <c r="T212" s="69">
        <f t="shared" si="1"/>
        <v>0</v>
      </c>
      <c r="U212" s="69">
        <f t="shared" si="2"/>
        <v>0</v>
      </c>
      <c r="V212" s="69">
        <f t="shared" si="3"/>
        <v>0</v>
      </c>
      <c r="W212" s="69">
        <f t="shared" si="4"/>
        <v>0</v>
      </c>
      <c r="X212" s="69">
        <f t="shared" si="5"/>
        <v>0</v>
      </c>
    </row>
    <row r="213" spans="1:24" ht="17.25" customHeight="1">
      <c r="A213" s="68" t="str">
        <f>IF(BASE!B211="","",BASE!B211)</f>
        <v/>
      </c>
      <c r="B213" s="49" t="s">
        <v>2</v>
      </c>
      <c r="C213" s="69">
        <f t="shared" si="39"/>
        <v>0</v>
      </c>
      <c r="D213" s="69">
        <f t="shared" si="40"/>
        <v>0</v>
      </c>
      <c r="E213" s="69">
        <f t="shared" si="41"/>
        <v>0</v>
      </c>
      <c r="F213" s="69">
        <f t="shared" si="42"/>
        <v>0</v>
      </c>
      <c r="G213" s="69">
        <f t="shared" si="43"/>
        <v>0</v>
      </c>
      <c r="H213" s="70"/>
      <c r="I213" s="69"/>
      <c r="J213" s="69">
        <f t="shared" si="44"/>
        <v>0</v>
      </c>
      <c r="K213" s="69">
        <f t="shared" si="45"/>
        <v>0</v>
      </c>
      <c r="L213" s="69">
        <f t="shared" si="46"/>
        <v>0</v>
      </c>
      <c r="M213" s="69">
        <f t="shared" si="47"/>
        <v>0</v>
      </c>
      <c r="N213" s="69">
        <f t="shared" si="48"/>
        <v>0</v>
      </c>
      <c r="O213" s="70"/>
      <c r="P213" s="69"/>
      <c r="Q213" s="71"/>
      <c r="R213" s="49">
        <f t="shared" si="49"/>
        <v>0</v>
      </c>
      <c r="S213" s="49">
        <f>[1]BASE!A211</f>
        <v>202</v>
      </c>
      <c r="T213" s="69">
        <f t="shared" si="1"/>
        <v>0</v>
      </c>
      <c r="U213" s="69">
        <f t="shared" si="2"/>
        <v>0</v>
      </c>
      <c r="V213" s="69">
        <f t="shared" si="3"/>
        <v>0</v>
      </c>
      <c r="W213" s="69">
        <f t="shared" si="4"/>
        <v>0</v>
      </c>
      <c r="X213" s="69">
        <f t="shared" si="5"/>
        <v>0</v>
      </c>
    </row>
    <row r="214" spans="1:24" ht="17.25" customHeight="1">
      <c r="A214" s="68" t="str">
        <f>IF(BASE!B212="","",BASE!B212)</f>
        <v/>
      </c>
      <c r="B214" s="49" t="s">
        <v>2</v>
      </c>
      <c r="C214" s="69">
        <f t="shared" si="39"/>
        <v>0</v>
      </c>
      <c r="D214" s="69">
        <f t="shared" si="40"/>
        <v>0</v>
      </c>
      <c r="E214" s="69">
        <f t="shared" si="41"/>
        <v>0</v>
      </c>
      <c r="F214" s="69">
        <f t="shared" si="42"/>
        <v>0</v>
      </c>
      <c r="G214" s="69">
        <f t="shared" si="43"/>
        <v>0</v>
      </c>
      <c r="H214" s="70"/>
      <c r="I214" s="69"/>
      <c r="J214" s="69">
        <f t="shared" si="44"/>
        <v>0</v>
      </c>
      <c r="K214" s="69">
        <f t="shared" si="45"/>
        <v>0</v>
      </c>
      <c r="L214" s="69">
        <f t="shared" si="46"/>
        <v>0</v>
      </c>
      <c r="M214" s="69">
        <f t="shared" si="47"/>
        <v>0</v>
      </c>
      <c r="N214" s="69">
        <f t="shared" si="48"/>
        <v>0</v>
      </c>
      <c r="O214" s="70"/>
      <c r="P214" s="69"/>
      <c r="Q214" s="71"/>
      <c r="R214" s="49">
        <f t="shared" si="49"/>
        <v>0</v>
      </c>
      <c r="S214" s="49">
        <f>[1]BASE!A212</f>
        <v>203</v>
      </c>
      <c r="T214" s="69">
        <f t="shared" si="1"/>
        <v>0</v>
      </c>
      <c r="U214" s="69">
        <f t="shared" si="2"/>
        <v>0</v>
      </c>
      <c r="V214" s="69">
        <f t="shared" si="3"/>
        <v>0</v>
      </c>
      <c r="W214" s="69">
        <f t="shared" si="4"/>
        <v>0</v>
      </c>
      <c r="X214" s="69">
        <f t="shared" si="5"/>
        <v>0</v>
      </c>
    </row>
    <row r="215" spans="1:24" ht="17.25" customHeight="1">
      <c r="A215" s="68" t="str">
        <f>IF(BASE!B213="","",BASE!B213)</f>
        <v/>
      </c>
      <c r="B215" s="49" t="s">
        <v>2</v>
      </c>
      <c r="C215" s="69">
        <f t="shared" si="39"/>
        <v>0</v>
      </c>
      <c r="D215" s="69">
        <f t="shared" si="40"/>
        <v>0</v>
      </c>
      <c r="E215" s="69">
        <f t="shared" si="41"/>
        <v>0</v>
      </c>
      <c r="F215" s="69">
        <f t="shared" si="42"/>
        <v>0</v>
      </c>
      <c r="G215" s="69">
        <f t="shared" si="43"/>
        <v>0</v>
      </c>
      <c r="H215" s="70"/>
      <c r="I215" s="69"/>
      <c r="J215" s="69">
        <f t="shared" si="44"/>
        <v>0</v>
      </c>
      <c r="K215" s="69">
        <f t="shared" si="45"/>
        <v>0</v>
      </c>
      <c r="L215" s="69">
        <f t="shared" si="46"/>
        <v>0</v>
      </c>
      <c r="M215" s="69">
        <f t="shared" si="47"/>
        <v>0</v>
      </c>
      <c r="N215" s="69">
        <f t="shared" si="48"/>
        <v>0</v>
      </c>
      <c r="O215" s="70"/>
      <c r="P215" s="69"/>
      <c r="Q215" s="71"/>
      <c r="R215" s="49">
        <f t="shared" si="49"/>
        <v>0</v>
      </c>
      <c r="S215" s="49">
        <f>[1]BASE!A213</f>
        <v>204</v>
      </c>
      <c r="T215" s="69">
        <f t="shared" si="1"/>
        <v>0</v>
      </c>
      <c r="U215" s="69">
        <f t="shared" si="2"/>
        <v>0</v>
      </c>
      <c r="V215" s="69">
        <f t="shared" si="3"/>
        <v>0</v>
      </c>
      <c r="W215" s="69">
        <f t="shared" si="4"/>
        <v>0</v>
      </c>
      <c r="X215" s="69">
        <f t="shared" si="5"/>
        <v>0</v>
      </c>
    </row>
    <row r="216" spans="1:24" ht="17.25" customHeight="1">
      <c r="A216" s="68" t="str">
        <f>IF(BASE!B214="","",BASE!B214)</f>
        <v/>
      </c>
      <c r="B216" s="49" t="s">
        <v>2</v>
      </c>
      <c r="C216" s="69">
        <f t="shared" si="39"/>
        <v>0</v>
      </c>
      <c r="D216" s="69">
        <f t="shared" si="40"/>
        <v>0</v>
      </c>
      <c r="E216" s="69">
        <f t="shared" si="41"/>
        <v>0</v>
      </c>
      <c r="F216" s="69">
        <f t="shared" si="42"/>
        <v>0</v>
      </c>
      <c r="G216" s="69">
        <f t="shared" si="43"/>
        <v>0</v>
      </c>
      <c r="H216" s="70"/>
      <c r="I216" s="69"/>
      <c r="J216" s="69">
        <f t="shared" si="44"/>
        <v>0</v>
      </c>
      <c r="K216" s="69">
        <f t="shared" si="45"/>
        <v>0</v>
      </c>
      <c r="L216" s="69">
        <f t="shared" si="46"/>
        <v>0</v>
      </c>
      <c r="M216" s="69">
        <f t="shared" si="47"/>
        <v>0</v>
      </c>
      <c r="N216" s="69">
        <f t="shared" si="48"/>
        <v>0</v>
      </c>
      <c r="O216" s="70"/>
      <c r="P216" s="69"/>
      <c r="Q216" s="71"/>
      <c r="R216" s="49">
        <f t="shared" si="49"/>
        <v>0</v>
      </c>
      <c r="S216" s="49">
        <f>[1]BASE!A214</f>
        <v>205</v>
      </c>
      <c r="T216" s="69">
        <f t="shared" si="1"/>
        <v>0</v>
      </c>
      <c r="U216" s="69">
        <f t="shared" si="2"/>
        <v>0</v>
      </c>
      <c r="V216" s="69">
        <f t="shared" si="3"/>
        <v>0</v>
      </c>
      <c r="W216" s="69">
        <f t="shared" si="4"/>
        <v>0</v>
      </c>
      <c r="X216" s="69">
        <f t="shared" si="5"/>
        <v>0</v>
      </c>
    </row>
    <row r="217" spans="1:24" ht="17.25" customHeight="1">
      <c r="A217" s="68" t="str">
        <f>IF(BASE!B215="","",BASE!B215)</f>
        <v/>
      </c>
      <c r="B217" s="49" t="s">
        <v>2</v>
      </c>
      <c r="C217" s="69">
        <f t="shared" si="39"/>
        <v>0</v>
      </c>
      <c r="D217" s="69">
        <f t="shared" si="40"/>
        <v>0</v>
      </c>
      <c r="E217" s="69">
        <f t="shared" si="41"/>
        <v>0</v>
      </c>
      <c r="F217" s="69">
        <f t="shared" si="42"/>
        <v>0</v>
      </c>
      <c r="G217" s="69">
        <f t="shared" si="43"/>
        <v>0</v>
      </c>
      <c r="H217" s="70"/>
      <c r="I217" s="69"/>
      <c r="J217" s="69">
        <f t="shared" si="44"/>
        <v>0</v>
      </c>
      <c r="K217" s="69">
        <f t="shared" si="45"/>
        <v>0</v>
      </c>
      <c r="L217" s="69">
        <f t="shared" si="46"/>
        <v>0</v>
      </c>
      <c r="M217" s="69">
        <f t="shared" si="47"/>
        <v>0</v>
      </c>
      <c r="N217" s="69">
        <f t="shared" si="48"/>
        <v>0</v>
      </c>
      <c r="O217" s="70"/>
      <c r="P217" s="69"/>
      <c r="Q217" s="71"/>
      <c r="R217" s="49">
        <f t="shared" si="49"/>
        <v>0</v>
      </c>
      <c r="S217" s="49">
        <f>[1]BASE!A215</f>
        <v>206</v>
      </c>
      <c r="T217" s="69">
        <f t="shared" si="1"/>
        <v>0</v>
      </c>
      <c r="U217" s="69">
        <f t="shared" si="2"/>
        <v>0</v>
      </c>
      <c r="V217" s="69">
        <f t="shared" si="3"/>
        <v>0</v>
      </c>
      <c r="W217" s="69">
        <f t="shared" si="4"/>
        <v>0</v>
      </c>
      <c r="X217" s="69">
        <f t="shared" si="5"/>
        <v>0</v>
      </c>
    </row>
    <row r="218" spans="1:24" ht="17.25" customHeight="1">
      <c r="A218" s="68" t="str">
        <f>IF(BASE!B216="","",BASE!B216)</f>
        <v/>
      </c>
      <c r="B218" s="49" t="s">
        <v>2</v>
      </c>
      <c r="C218" s="69">
        <f t="shared" si="39"/>
        <v>0</v>
      </c>
      <c r="D218" s="69">
        <f t="shared" si="40"/>
        <v>0</v>
      </c>
      <c r="E218" s="69">
        <f t="shared" si="41"/>
        <v>0</v>
      </c>
      <c r="F218" s="69">
        <f t="shared" si="42"/>
        <v>0</v>
      </c>
      <c r="G218" s="69">
        <f t="shared" si="43"/>
        <v>0</v>
      </c>
      <c r="H218" s="70"/>
      <c r="I218" s="69"/>
      <c r="J218" s="69">
        <f t="shared" si="44"/>
        <v>0</v>
      </c>
      <c r="K218" s="69">
        <f t="shared" si="45"/>
        <v>0</v>
      </c>
      <c r="L218" s="69">
        <f t="shared" si="46"/>
        <v>0</v>
      </c>
      <c r="M218" s="69">
        <f t="shared" si="47"/>
        <v>0</v>
      </c>
      <c r="N218" s="69">
        <f t="shared" si="48"/>
        <v>0</v>
      </c>
      <c r="O218" s="70"/>
      <c r="P218" s="69"/>
      <c r="Q218" s="71"/>
      <c r="R218" s="49">
        <f t="shared" si="49"/>
        <v>0</v>
      </c>
      <c r="S218" s="49">
        <f>[1]BASE!A216</f>
        <v>207</v>
      </c>
      <c r="T218" s="69">
        <f t="shared" si="1"/>
        <v>0</v>
      </c>
      <c r="U218" s="69">
        <f t="shared" si="2"/>
        <v>0</v>
      </c>
      <c r="V218" s="69">
        <f t="shared" si="3"/>
        <v>0</v>
      </c>
      <c r="W218" s="69">
        <f t="shared" si="4"/>
        <v>0</v>
      </c>
      <c r="X218" s="69">
        <f t="shared" si="5"/>
        <v>0</v>
      </c>
    </row>
    <row r="219" spans="1:24" ht="17.25" customHeight="1">
      <c r="A219" s="68" t="str">
        <f>IF(BASE!B217="","",BASE!B217)</f>
        <v/>
      </c>
      <c r="B219" s="49" t="s">
        <v>2</v>
      </c>
      <c r="C219" s="69">
        <f t="shared" si="39"/>
        <v>0</v>
      </c>
      <c r="D219" s="69">
        <f t="shared" si="40"/>
        <v>0</v>
      </c>
      <c r="E219" s="69">
        <f t="shared" si="41"/>
        <v>0</v>
      </c>
      <c r="F219" s="69">
        <f t="shared" si="42"/>
        <v>0</v>
      </c>
      <c r="G219" s="69">
        <f t="shared" si="43"/>
        <v>0</v>
      </c>
      <c r="H219" s="70"/>
      <c r="I219" s="69"/>
      <c r="J219" s="69">
        <f t="shared" si="44"/>
        <v>0</v>
      </c>
      <c r="K219" s="69">
        <f t="shared" si="45"/>
        <v>0</v>
      </c>
      <c r="L219" s="69">
        <f t="shared" si="46"/>
        <v>0</v>
      </c>
      <c r="M219" s="69">
        <f t="shared" si="47"/>
        <v>0</v>
      </c>
      <c r="N219" s="69">
        <f t="shared" si="48"/>
        <v>0</v>
      </c>
      <c r="O219" s="70"/>
      <c r="P219" s="69"/>
      <c r="Q219" s="71"/>
      <c r="R219" s="49">
        <f t="shared" si="49"/>
        <v>0</v>
      </c>
      <c r="S219" s="49">
        <f>[1]BASE!A217</f>
        <v>208</v>
      </c>
      <c r="T219" s="69">
        <f t="shared" si="1"/>
        <v>0</v>
      </c>
      <c r="U219" s="69">
        <f t="shared" si="2"/>
        <v>0</v>
      </c>
      <c r="V219" s="69">
        <f t="shared" si="3"/>
        <v>0</v>
      </c>
      <c r="W219" s="69">
        <f t="shared" si="4"/>
        <v>0</v>
      </c>
      <c r="X219" s="69">
        <f t="shared" si="5"/>
        <v>0</v>
      </c>
    </row>
    <row r="220" spans="1:24" ht="17.25" customHeight="1">
      <c r="A220" s="68" t="str">
        <f>IF(BASE!B218="","",BASE!B218)</f>
        <v/>
      </c>
      <c r="B220" s="49" t="s">
        <v>2</v>
      </c>
      <c r="C220" s="69">
        <f t="shared" si="39"/>
        <v>0</v>
      </c>
      <c r="D220" s="69">
        <f t="shared" si="40"/>
        <v>0</v>
      </c>
      <c r="E220" s="69">
        <f t="shared" si="41"/>
        <v>0</v>
      </c>
      <c r="F220" s="69">
        <f t="shared" si="42"/>
        <v>0</v>
      </c>
      <c r="G220" s="69">
        <f t="shared" si="43"/>
        <v>0</v>
      </c>
      <c r="H220" s="70"/>
      <c r="I220" s="69"/>
      <c r="J220" s="69">
        <f t="shared" si="44"/>
        <v>0</v>
      </c>
      <c r="K220" s="69">
        <f t="shared" si="45"/>
        <v>0</v>
      </c>
      <c r="L220" s="69">
        <f t="shared" si="46"/>
        <v>0</v>
      </c>
      <c r="M220" s="69">
        <f t="shared" si="47"/>
        <v>0</v>
      </c>
      <c r="N220" s="69">
        <f t="shared" si="48"/>
        <v>0</v>
      </c>
      <c r="O220" s="70"/>
      <c r="P220" s="69"/>
      <c r="Q220" s="71"/>
      <c r="R220" s="49">
        <f t="shared" si="49"/>
        <v>0</v>
      </c>
      <c r="S220" s="49">
        <f>[1]BASE!A218</f>
        <v>209</v>
      </c>
      <c r="T220" s="69">
        <f t="shared" si="1"/>
        <v>0</v>
      </c>
      <c r="U220" s="69">
        <f t="shared" si="2"/>
        <v>0</v>
      </c>
      <c r="V220" s="69">
        <f t="shared" si="3"/>
        <v>0</v>
      </c>
      <c r="W220" s="69">
        <f t="shared" si="4"/>
        <v>0</v>
      </c>
      <c r="X220" s="69">
        <f t="shared" si="5"/>
        <v>0</v>
      </c>
    </row>
    <row r="221" spans="1:24" ht="17.25" customHeight="1">
      <c r="A221" s="68" t="str">
        <f>IF(BASE!B219="","",BASE!B219)</f>
        <v/>
      </c>
      <c r="B221" s="49" t="s">
        <v>2</v>
      </c>
      <c r="C221" s="69">
        <f t="shared" si="39"/>
        <v>0</v>
      </c>
      <c r="D221" s="69">
        <f t="shared" si="40"/>
        <v>0</v>
      </c>
      <c r="E221" s="69">
        <f t="shared" si="41"/>
        <v>0</v>
      </c>
      <c r="F221" s="69">
        <f t="shared" si="42"/>
        <v>0</v>
      </c>
      <c r="G221" s="69">
        <f t="shared" si="43"/>
        <v>0</v>
      </c>
      <c r="H221" s="70"/>
      <c r="I221" s="69"/>
      <c r="J221" s="69">
        <f t="shared" si="44"/>
        <v>0</v>
      </c>
      <c r="K221" s="69">
        <f t="shared" si="45"/>
        <v>0</v>
      </c>
      <c r="L221" s="69">
        <f t="shared" si="46"/>
        <v>0</v>
      </c>
      <c r="M221" s="69">
        <f t="shared" si="47"/>
        <v>0</v>
      </c>
      <c r="N221" s="69">
        <f t="shared" si="48"/>
        <v>0</v>
      </c>
      <c r="O221" s="70"/>
      <c r="P221" s="69"/>
      <c r="Q221" s="71"/>
      <c r="R221" s="49">
        <f t="shared" si="49"/>
        <v>0</v>
      </c>
      <c r="S221" s="49">
        <f>[1]BASE!A219</f>
        <v>210</v>
      </c>
      <c r="T221" s="69">
        <f t="shared" si="1"/>
        <v>0</v>
      </c>
      <c r="U221" s="69">
        <f t="shared" si="2"/>
        <v>0</v>
      </c>
      <c r="V221" s="69">
        <f t="shared" si="3"/>
        <v>0</v>
      </c>
      <c r="W221" s="69">
        <f t="shared" si="4"/>
        <v>0</v>
      </c>
      <c r="X221" s="69">
        <f t="shared" si="5"/>
        <v>0</v>
      </c>
    </row>
    <row r="222" spans="1:24" ht="17.25" customHeight="1">
      <c r="A222" s="68" t="str">
        <f>IF(BASE!B220="","",BASE!B220)</f>
        <v/>
      </c>
      <c r="B222" s="49" t="s">
        <v>2</v>
      </c>
      <c r="C222" s="69">
        <f t="shared" si="39"/>
        <v>0</v>
      </c>
      <c r="D222" s="69">
        <f t="shared" si="40"/>
        <v>0</v>
      </c>
      <c r="E222" s="69">
        <f t="shared" si="41"/>
        <v>0</v>
      </c>
      <c r="F222" s="69">
        <f t="shared" si="42"/>
        <v>0</v>
      </c>
      <c r="G222" s="69">
        <f t="shared" si="43"/>
        <v>0</v>
      </c>
      <c r="H222" s="70"/>
      <c r="I222" s="69"/>
      <c r="J222" s="69">
        <f t="shared" si="44"/>
        <v>0</v>
      </c>
      <c r="K222" s="69">
        <f t="shared" si="45"/>
        <v>0</v>
      </c>
      <c r="L222" s="69">
        <f t="shared" si="46"/>
        <v>0</v>
      </c>
      <c r="M222" s="69">
        <f t="shared" si="47"/>
        <v>0</v>
      </c>
      <c r="N222" s="69">
        <f t="shared" si="48"/>
        <v>0</v>
      </c>
      <c r="O222" s="70"/>
      <c r="P222" s="69"/>
      <c r="Q222" s="71"/>
      <c r="R222" s="49">
        <f t="shared" si="49"/>
        <v>0</v>
      </c>
      <c r="S222" s="49">
        <f>[1]BASE!A220</f>
        <v>211</v>
      </c>
      <c r="T222" s="69">
        <f t="shared" si="1"/>
        <v>0</v>
      </c>
      <c r="U222" s="69">
        <f t="shared" si="2"/>
        <v>0</v>
      </c>
      <c r="V222" s="69">
        <f t="shared" si="3"/>
        <v>0</v>
      </c>
      <c r="W222" s="69">
        <f t="shared" si="4"/>
        <v>0</v>
      </c>
      <c r="X222" s="69">
        <f t="shared" si="5"/>
        <v>0</v>
      </c>
    </row>
    <row r="223" spans="1:24" ht="17.25" customHeight="1">
      <c r="A223" s="68" t="str">
        <f>IF(BASE!B221="","",BASE!B221)</f>
        <v/>
      </c>
      <c r="B223" s="49" t="s">
        <v>2</v>
      </c>
      <c r="C223" s="69">
        <f t="shared" si="39"/>
        <v>0</v>
      </c>
      <c r="D223" s="69">
        <f t="shared" si="40"/>
        <v>0</v>
      </c>
      <c r="E223" s="69">
        <f t="shared" si="41"/>
        <v>0</v>
      </c>
      <c r="F223" s="69">
        <f t="shared" si="42"/>
        <v>0</v>
      </c>
      <c r="G223" s="69">
        <f t="shared" si="43"/>
        <v>0</v>
      </c>
      <c r="H223" s="70"/>
      <c r="I223" s="69"/>
      <c r="J223" s="69">
        <f t="shared" si="44"/>
        <v>0</v>
      </c>
      <c r="K223" s="69">
        <f t="shared" si="45"/>
        <v>0</v>
      </c>
      <c r="L223" s="69">
        <f t="shared" si="46"/>
        <v>0</v>
      </c>
      <c r="M223" s="69">
        <f t="shared" si="47"/>
        <v>0</v>
      </c>
      <c r="N223" s="69">
        <f t="shared" si="48"/>
        <v>0</v>
      </c>
      <c r="O223" s="70"/>
      <c r="P223" s="69"/>
      <c r="Q223" s="71"/>
      <c r="R223" s="49">
        <f t="shared" si="49"/>
        <v>0</v>
      </c>
      <c r="S223" s="49">
        <f>[1]BASE!A221</f>
        <v>212</v>
      </c>
      <c r="T223" s="69">
        <f t="shared" si="1"/>
        <v>0</v>
      </c>
      <c r="U223" s="69">
        <f t="shared" si="2"/>
        <v>0</v>
      </c>
      <c r="V223" s="69">
        <f t="shared" si="3"/>
        <v>0</v>
      </c>
      <c r="W223" s="69">
        <f t="shared" si="4"/>
        <v>0</v>
      </c>
      <c r="X223" s="69">
        <f t="shared" si="5"/>
        <v>0</v>
      </c>
    </row>
    <row r="224" spans="1:24" ht="17.25" customHeight="1">
      <c r="A224" s="68" t="str">
        <f>IF(BASE!B222="","",BASE!B222)</f>
        <v/>
      </c>
      <c r="B224" s="49" t="s">
        <v>2</v>
      </c>
      <c r="C224" s="69">
        <f t="shared" si="39"/>
        <v>0</v>
      </c>
      <c r="D224" s="69">
        <f t="shared" si="40"/>
        <v>0</v>
      </c>
      <c r="E224" s="69">
        <f t="shared" si="41"/>
        <v>0</v>
      </c>
      <c r="F224" s="69">
        <f t="shared" si="42"/>
        <v>0</v>
      </c>
      <c r="G224" s="69">
        <f t="shared" si="43"/>
        <v>0</v>
      </c>
      <c r="H224" s="70"/>
      <c r="I224" s="69"/>
      <c r="J224" s="69">
        <f t="shared" si="44"/>
        <v>0</v>
      </c>
      <c r="K224" s="69">
        <f t="shared" si="45"/>
        <v>0</v>
      </c>
      <c r="L224" s="69">
        <f t="shared" si="46"/>
        <v>0</v>
      </c>
      <c r="M224" s="69">
        <f t="shared" si="47"/>
        <v>0</v>
      </c>
      <c r="N224" s="69">
        <f t="shared" si="48"/>
        <v>0</v>
      </c>
      <c r="O224" s="70"/>
      <c r="P224" s="69"/>
      <c r="Q224" s="71"/>
      <c r="R224" s="49">
        <f t="shared" si="49"/>
        <v>0</v>
      </c>
      <c r="S224" s="49">
        <f>[1]BASE!A222</f>
        <v>213</v>
      </c>
      <c r="T224" s="69">
        <f t="shared" si="1"/>
        <v>0</v>
      </c>
      <c r="U224" s="69">
        <f t="shared" si="2"/>
        <v>0</v>
      </c>
      <c r="V224" s="69">
        <f t="shared" si="3"/>
        <v>0</v>
      </c>
      <c r="W224" s="69">
        <f t="shared" si="4"/>
        <v>0</v>
      </c>
      <c r="X224" s="69">
        <f t="shared" si="5"/>
        <v>0</v>
      </c>
    </row>
    <row r="225" spans="1:24" ht="17.25" customHeight="1">
      <c r="A225" s="68" t="str">
        <f>IF(BASE!B223="","",BASE!B223)</f>
        <v/>
      </c>
      <c r="B225" s="49" t="s">
        <v>2</v>
      </c>
      <c r="C225" s="69">
        <f t="shared" si="39"/>
        <v>0</v>
      </c>
      <c r="D225" s="69">
        <f t="shared" si="40"/>
        <v>0</v>
      </c>
      <c r="E225" s="69">
        <f t="shared" si="41"/>
        <v>0</v>
      </c>
      <c r="F225" s="69">
        <f t="shared" si="42"/>
        <v>0</v>
      </c>
      <c r="G225" s="69">
        <f t="shared" si="43"/>
        <v>0</v>
      </c>
      <c r="H225" s="70"/>
      <c r="I225" s="69"/>
      <c r="J225" s="69">
        <f t="shared" si="44"/>
        <v>0</v>
      </c>
      <c r="K225" s="69">
        <f t="shared" si="45"/>
        <v>0</v>
      </c>
      <c r="L225" s="69">
        <f t="shared" si="46"/>
        <v>0</v>
      </c>
      <c r="M225" s="69">
        <f t="shared" si="47"/>
        <v>0</v>
      </c>
      <c r="N225" s="69">
        <f t="shared" si="48"/>
        <v>0</v>
      </c>
      <c r="O225" s="70"/>
      <c r="P225" s="69"/>
      <c r="Q225" s="71"/>
      <c r="R225" s="49">
        <f t="shared" si="49"/>
        <v>0</v>
      </c>
      <c r="S225" s="49">
        <f>[1]BASE!A223</f>
        <v>214</v>
      </c>
      <c r="T225" s="69">
        <f t="shared" si="1"/>
        <v>0</v>
      </c>
      <c r="U225" s="69">
        <f t="shared" si="2"/>
        <v>0</v>
      </c>
      <c r="V225" s="69">
        <f t="shared" si="3"/>
        <v>0</v>
      </c>
      <c r="W225" s="69">
        <f t="shared" si="4"/>
        <v>0</v>
      </c>
      <c r="X225" s="69">
        <f t="shared" si="5"/>
        <v>0</v>
      </c>
    </row>
    <row r="226" spans="1:24" ht="17.25" customHeight="1">
      <c r="A226" s="68" t="str">
        <f>IF(BASE!B224="","",BASE!B224)</f>
        <v/>
      </c>
      <c r="B226" s="49" t="s">
        <v>2</v>
      </c>
      <c r="C226" s="69">
        <f t="shared" si="39"/>
        <v>0</v>
      </c>
      <c r="D226" s="69">
        <f t="shared" si="40"/>
        <v>0</v>
      </c>
      <c r="E226" s="69">
        <f t="shared" si="41"/>
        <v>0</v>
      </c>
      <c r="F226" s="69">
        <f t="shared" si="42"/>
        <v>0</v>
      </c>
      <c r="G226" s="69">
        <f t="shared" si="43"/>
        <v>0</v>
      </c>
      <c r="H226" s="70"/>
      <c r="I226" s="69"/>
      <c r="J226" s="69">
        <f t="shared" si="44"/>
        <v>0</v>
      </c>
      <c r="K226" s="69">
        <f t="shared" si="45"/>
        <v>0</v>
      </c>
      <c r="L226" s="69">
        <f t="shared" si="46"/>
        <v>0</v>
      </c>
      <c r="M226" s="69">
        <f t="shared" si="47"/>
        <v>0</v>
      </c>
      <c r="N226" s="69">
        <f t="shared" si="48"/>
        <v>0</v>
      </c>
      <c r="O226" s="70"/>
      <c r="P226" s="69"/>
      <c r="Q226" s="71"/>
      <c r="R226" s="49">
        <f t="shared" si="49"/>
        <v>0</v>
      </c>
      <c r="S226" s="49">
        <f>[1]BASE!A224</f>
        <v>215</v>
      </c>
      <c r="T226" s="69">
        <f t="shared" si="1"/>
        <v>0</v>
      </c>
      <c r="U226" s="69">
        <f t="shared" si="2"/>
        <v>0</v>
      </c>
      <c r="V226" s="69">
        <f t="shared" si="3"/>
        <v>0</v>
      </c>
      <c r="W226" s="69">
        <f t="shared" si="4"/>
        <v>0</v>
      </c>
      <c r="X226" s="69">
        <f t="shared" si="5"/>
        <v>0</v>
      </c>
    </row>
    <row r="227" spans="1:24" ht="17.25" customHeight="1">
      <c r="A227" s="68" t="str">
        <f>IF(BASE!B225="","",BASE!B225)</f>
        <v/>
      </c>
      <c r="B227" s="49" t="s">
        <v>2</v>
      </c>
      <c r="C227" s="69">
        <f t="shared" si="39"/>
        <v>0</v>
      </c>
      <c r="D227" s="69">
        <f t="shared" si="40"/>
        <v>0</v>
      </c>
      <c r="E227" s="69">
        <f t="shared" si="41"/>
        <v>0</v>
      </c>
      <c r="F227" s="69">
        <f t="shared" si="42"/>
        <v>0</v>
      </c>
      <c r="G227" s="69">
        <f t="shared" si="43"/>
        <v>0</v>
      </c>
      <c r="H227" s="70"/>
      <c r="I227" s="69"/>
      <c r="J227" s="69">
        <f t="shared" si="44"/>
        <v>0</v>
      </c>
      <c r="K227" s="69">
        <f t="shared" si="45"/>
        <v>0</v>
      </c>
      <c r="L227" s="69">
        <f t="shared" si="46"/>
        <v>0</v>
      </c>
      <c r="M227" s="69">
        <f t="shared" si="47"/>
        <v>0</v>
      </c>
      <c r="N227" s="69">
        <f t="shared" si="48"/>
        <v>0</v>
      </c>
      <c r="O227" s="70"/>
      <c r="P227" s="69"/>
      <c r="Q227" s="71"/>
      <c r="R227" s="49">
        <f t="shared" si="49"/>
        <v>0</v>
      </c>
      <c r="S227" s="49">
        <f>[1]BASE!A225</f>
        <v>216</v>
      </c>
      <c r="T227" s="69">
        <f t="shared" si="1"/>
        <v>0</v>
      </c>
      <c r="U227" s="69">
        <f t="shared" si="2"/>
        <v>0</v>
      </c>
      <c r="V227" s="69">
        <f t="shared" si="3"/>
        <v>0</v>
      </c>
      <c r="W227" s="69">
        <f t="shared" si="4"/>
        <v>0</v>
      </c>
      <c r="X227" s="69">
        <f t="shared" si="5"/>
        <v>0</v>
      </c>
    </row>
    <row r="228" spans="1:24" ht="17.25" customHeight="1">
      <c r="A228" s="68" t="str">
        <f>IF(BASE!B226="","",BASE!B226)</f>
        <v/>
      </c>
      <c r="B228" s="49" t="s">
        <v>2</v>
      </c>
      <c r="C228" s="69">
        <f t="shared" si="39"/>
        <v>0</v>
      </c>
      <c r="D228" s="69">
        <f t="shared" si="40"/>
        <v>0</v>
      </c>
      <c r="E228" s="69">
        <f t="shared" si="41"/>
        <v>0</v>
      </c>
      <c r="F228" s="69">
        <f t="shared" si="42"/>
        <v>0</v>
      </c>
      <c r="G228" s="69">
        <f t="shared" si="43"/>
        <v>0</v>
      </c>
      <c r="H228" s="70"/>
      <c r="I228" s="69"/>
      <c r="J228" s="69">
        <f t="shared" si="44"/>
        <v>0</v>
      </c>
      <c r="K228" s="69">
        <f t="shared" si="45"/>
        <v>0</v>
      </c>
      <c r="L228" s="69">
        <f t="shared" si="46"/>
        <v>0</v>
      </c>
      <c r="M228" s="69">
        <f t="shared" si="47"/>
        <v>0</v>
      </c>
      <c r="N228" s="69">
        <f t="shared" si="48"/>
        <v>0</v>
      </c>
      <c r="O228" s="70"/>
      <c r="P228" s="69"/>
      <c r="Q228" s="71"/>
      <c r="R228" s="49">
        <f t="shared" si="49"/>
        <v>0</v>
      </c>
      <c r="S228" s="49">
        <f>[1]BASE!A226</f>
        <v>217</v>
      </c>
      <c r="T228" s="69">
        <f t="shared" si="1"/>
        <v>0</v>
      </c>
      <c r="U228" s="69">
        <f t="shared" si="2"/>
        <v>0</v>
      </c>
      <c r="V228" s="69">
        <f t="shared" si="3"/>
        <v>0</v>
      </c>
      <c r="W228" s="69">
        <f t="shared" si="4"/>
        <v>0</v>
      </c>
      <c r="X228" s="69">
        <f t="shared" si="5"/>
        <v>0</v>
      </c>
    </row>
    <row r="229" spans="1:24" ht="17.25" customHeight="1">
      <c r="A229" s="68" t="str">
        <f>IF(BASE!B227="","",BASE!B227)</f>
        <v/>
      </c>
      <c r="B229" s="49" t="s">
        <v>2</v>
      </c>
      <c r="C229" s="69">
        <f t="shared" si="39"/>
        <v>0</v>
      </c>
      <c r="D229" s="69">
        <f t="shared" si="40"/>
        <v>0</v>
      </c>
      <c r="E229" s="69">
        <f t="shared" si="41"/>
        <v>0</v>
      </c>
      <c r="F229" s="69">
        <f t="shared" si="42"/>
        <v>0</v>
      </c>
      <c r="G229" s="69">
        <f t="shared" si="43"/>
        <v>0</v>
      </c>
      <c r="H229" s="70"/>
      <c r="I229" s="69"/>
      <c r="J229" s="69">
        <f t="shared" si="44"/>
        <v>0</v>
      </c>
      <c r="K229" s="69">
        <f t="shared" si="45"/>
        <v>0</v>
      </c>
      <c r="L229" s="69">
        <f t="shared" si="46"/>
        <v>0</v>
      </c>
      <c r="M229" s="69">
        <f t="shared" si="47"/>
        <v>0</v>
      </c>
      <c r="N229" s="69">
        <f t="shared" si="48"/>
        <v>0</v>
      </c>
      <c r="O229" s="70"/>
      <c r="P229" s="69"/>
      <c r="Q229" s="71"/>
      <c r="R229" s="49">
        <f t="shared" si="49"/>
        <v>0</v>
      </c>
      <c r="S229" s="49">
        <f>[1]BASE!A227</f>
        <v>218</v>
      </c>
      <c r="T229" s="69">
        <f t="shared" si="1"/>
        <v>0</v>
      </c>
      <c r="U229" s="69">
        <f t="shared" si="2"/>
        <v>0</v>
      </c>
      <c r="V229" s="69">
        <f t="shared" si="3"/>
        <v>0</v>
      </c>
      <c r="W229" s="69">
        <f t="shared" si="4"/>
        <v>0</v>
      </c>
      <c r="X229" s="69">
        <f t="shared" si="5"/>
        <v>0</v>
      </c>
    </row>
    <row r="230" spans="1:24" ht="17.25" customHeight="1">
      <c r="A230" s="68" t="str">
        <f>IF(BASE!B228="","",BASE!B228)</f>
        <v/>
      </c>
      <c r="B230" s="49" t="s">
        <v>2</v>
      </c>
      <c r="C230" s="69">
        <f t="shared" si="39"/>
        <v>0</v>
      </c>
      <c r="D230" s="69">
        <f t="shared" si="40"/>
        <v>0</v>
      </c>
      <c r="E230" s="69">
        <f t="shared" si="41"/>
        <v>0</v>
      </c>
      <c r="F230" s="69">
        <f t="shared" si="42"/>
        <v>0</v>
      </c>
      <c r="G230" s="69">
        <f t="shared" si="43"/>
        <v>0</v>
      </c>
      <c r="H230" s="70"/>
      <c r="I230" s="69"/>
      <c r="J230" s="69">
        <f t="shared" si="44"/>
        <v>0</v>
      </c>
      <c r="K230" s="69">
        <f t="shared" si="45"/>
        <v>0</v>
      </c>
      <c r="L230" s="69">
        <f t="shared" si="46"/>
        <v>0</v>
      </c>
      <c r="M230" s="69">
        <f t="shared" si="47"/>
        <v>0</v>
      </c>
      <c r="N230" s="69">
        <f t="shared" si="48"/>
        <v>0</v>
      </c>
      <c r="O230" s="70"/>
      <c r="P230" s="69"/>
      <c r="Q230" s="71"/>
      <c r="R230" s="49">
        <f t="shared" si="49"/>
        <v>0</v>
      </c>
      <c r="S230" s="49">
        <f>[1]BASE!A228</f>
        <v>219</v>
      </c>
      <c r="T230" s="69">
        <f t="shared" si="1"/>
        <v>0</v>
      </c>
      <c r="U230" s="69">
        <f t="shared" si="2"/>
        <v>0</v>
      </c>
      <c r="V230" s="69">
        <f t="shared" si="3"/>
        <v>0</v>
      </c>
      <c r="W230" s="69">
        <f t="shared" si="4"/>
        <v>0</v>
      </c>
      <c r="X230" s="69">
        <f t="shared" si="5"/>
        <v>0</v>
      </c>
    </row>
    <row r="231" spans="1:24" ht="17.25" customHeight="1">
      <c r="A231" s="68" t="str">
        <f>IF(BASE!B229="","",BASE!B229)</f>
        <v/>
      </c>
      <c r="B231" s="49" t="s">
        <v>2</v>
      </c>
      <c r="C231" s="69">
        <f t="shared" si="39"/>
        <v>0</v>
      </c>
      <c r="D231" s="69">
        <f t="shared" si="40"/>
        <v>0</v>
      </c>
      <c r="E231" s="69">
        <f t="shared" si="41"/>
        <v>0</v>
      </c>
      <c r="F231" s="69">
        <f t="shared" si="42"/>
        <v>0</v>
      </c>
      <c r="G231" s="69">
        <f t="shared" si="43"/>
        <v>0</v>
      </c>
      <c r="H231" s="70"/>
      <c r="I231" s="69"/>
      <c r="J231" s="69">
        <f t="shared" si="44"/>
        <v>0</v>
      </c>
      <c r="K231" s="69">
        <f t="shared" si="45"/>
        <v>0</v>
      </c>
      <c r="L231" s="69">
        <f t="shared" si="46"/>
        <v>0</v>
      </c>
      <c r="M231" s="69">
        <f t="shared" si="47"/>
        <v>0</v>
      </c>
      <c r="N231" s="69">
        <f t="shared" si="48"/>
        <v>0</v>
      </c>
      <c r="O231" s="70"/>
      <c r="P231" s="69"/>
      <c r="Q231" s="71"/>
      <c r="R231" s="49">
        <f t="shared" si="49"/>
        <v>0</v>
      </c>
      <c r="S231" s="49">
        <f>[1]BASE!A229</f>
        <v>220</v>
      </c>
      <c r="T231" s="69">
        <f t="shared" si="1"/>
        <v>0</v>
      </c>
      <c r="U231" s="69">
        <f t="shared" si="2"/>
        <v>0</v>
      </c>
      <c r="V231" s="69">
        <f t="shared" si="3"/>
        <v>0</v>
      </c>
      <c r="W231" s="69">
        <f t="shared" si="4"/>
        <v>0</v>
      </c>
      <c r="X231" s="69">
        <f t="shared" si="5"/>
        <v>0</v>
      </c>
    </row>
    <row r="232" spans="1:24" ht="17.25" customHeight="1">
      <c r="A232" s="68" t="str">
        <f>IF(BASE!B230="","",BASE!B230)</f>
        <v/>
      </c>
      <c r="B232" s="49" t="s">
        <v>2</v>
      </c>
      <c r="C232" s="69">
        <f t="shared" si="39"/>
        <v>0</v>
      </c>
      <c r="D232" s="69">
        <f t="shared" si="40"/>
        <v>0</v>
      </c>
      <c r="E232" s="69">
        <f t="shared" si="41"/>
        <v>0</v>
      </c>
      <c r="F232" s="69">
        <f t="shared" si="42"/>
        <v>0</v>
      </c>
      <c r="G232" s="69">
        <f t="shared" si="43"/>
        <v>0</v>
      </c>
      <c r="H232" s="70"/>
      <c r="I232" s="69"/>
      <c r="J232" s="69">
        <f t="shared" si="44"/>
        <v>0</v>
      </c>
      <c r="K232" s="69">
        <f t="shared" si="45"/>
        <v>0</v>
      </c>
      <c r="L232" s="69">
        <f t="shared" si="46"/>
        <v>0</v>
      </c>
      <c r="M232" s="69">
        <f t="shared" si="47"/>
        <v>0</v>
      </c>
      <c r="N232" s="69">
        <f t="shared" si="48"/>
        <v>0</v>
      </c>
      <c r="O232" s="70"/>
      <c r="P232" s="69"/>
      <c r="Q232" s="71"/>
      <c r="R232" s="49">
        <f t="shared" si="49"/>
        <v>0</v>
      </c>
      <c r="S232" s="49">
        <f>[1]BASE!A230</f>
        <v>221</v>
      </c>
      <c r="T232" s="69">
        <f t="shared" si="1"/>
        <v>0</v>
      </c>
      <c r="U232" s="69">
        <f t="shared" si="2"/>
        <v>0</v>
      </c>
      <c r="V232" s="69">
        <f t="shared" si="3"/>
        <v>0</v>
      </c>
      <c r="W232" s="69">
        <f t="shared" si="4"/>
        <v>0</v>
      </c>
      <c r="X232" s="69">
        <f t="shared" si="5"/>
        <v>0</v>
      </c>
    </row>
    <row r="233" spans="1:24" ht="17.25" customHeight="1">
      <c r="A233" s="68" t="str">
        <f>IF(BASE!B231="","",BASE!B231)</f>
        <v/>
      </c>
      <c r="B233" s="49" t="s">
        <v>2</v>
      </c>
      <c r="C233" s="69">
        <f t="shared" si="39"/>
        <v>0</v>
      </c>
      <c r="D233" s="69">
        <f t="shared" si="40"/>
        <v>0</v>
      </c>
      <c r="E233" s="69">
        <f t="shared" si="41"/>
        <v>0</v>
      </c>
      <c r="F233" s="69">
        <f t="shared" si="42"/>
        <v>0</v>
      </c>
      <c r="G233" s="69">
        <f t="shared" si="43"/>
        <v>0</v>
      </c>
      <c r="H233" s="70"/>
      <c r="I233" s="69"/>
      <c r="J233" s="69">
        <f t="shared" si="44"/>
        <v>0</v>
      </c>
      <c r="K233" s="69">
        <f t="shared" si="45"/>
        <v>0</v>
      </c>
      <c r="L233" s="69">
        <f t="shared" si="46"/>
        <v>0</v>
      </c>
      <c r="M233" s="69">
        <f t="shared" si="47"/>
        <v>0</v>
      </c>
      <c r="N233" s="69">
        <f t="shared" si="48"/>
        <v>0</v>
      </c>
      <c r="O233" s="70"/>
      <c r="P233" s="69"/>
      <c r="Q233" s="71"/>
      <c r="R233" s="49">
        <f t="shared" si="49"/>
        <v>0</v>
      </c>
      <c r="S233" s="49">
        <f>[1]BASE!A231</f>
        <v>222</v>
      </c>
      <c r="T233" s="69">
        <f t="shared" si="1"/>
        <v>0</v>
      </c>
      <c r="U233" s="69">
        <f t="shared" si="2"/>
        <v>0</v>
      </c>
      <c r="V233" s="69">
        <f t="shared" si="3"/>
        <v>0</v>
      </c>
      <c r="W233" s="69">
        <f t="shared" si="4"/>
        <v>0</v>
      </c>
      <c r="X233" s="69">
        <f t="shared" si="5"/>
        <v>0</v>
      </c>
    </row>
    <row r="234" spans="1:24" ht="17.25" customHeight="1">
      <c r="A234" s="68" t="str">
        <f>IF(BASE!B232="","",BASE!B232)</f>
        <v/>
      </c>
      <c r="B234" s="49" t="s">
        <v>2</v>
      </c>
      <c r="C234" s="69">
        <f t="shared" si="39"/>
        <v>0</v>
      </c>
      <c r="D234" s="69">
        <f t="shared" si="40"/>
        <v>0</v>
      </c>
      <c r="E234" s="69">
        <f t="shared" si="41"/>
        <v>0</v>
      </c>
      <c r="F234" s="69">
        <f t="shared" si="42"/>
        <v>0</v>
      </c>
      <c r="G234" s="69">
        <f t="shared" si="43"/>
        <v>0</v>
      </c>
      <c r="H234" s="70"/>
      <c r="I234" s="69"/>
      <c r="J234" s="69">
        <f t="shared" si="44"/>
        <v>0</v>
      </c>
      <c r="K234" s="69">
        <f t="shared" si="45"/>
        <v>0</v>
      </c>
      <c r="L234" s="69">
        <f t="shared" si="46"/>
        <v>0</v>
      </c>
      <c r="M234" s="69">
        <f t="shared" si="47"/>
        <v>0</v>
      </c>
      <c r="N234" s="69">
        <f t="shared" si="48"/>
        <v>0</v>
      </c>
      <c r="O234" s="70"/>
      <c r="P234" s="69"/>
      <c r="Q234" s="71"/>
      <c r="R234" s="49">
        <f t="shared" si="49"/>
        <v>0</v>
      </c>
      <c r="S234" s="49">
        <f>[1]BASE!A232</f>
        <v>223</v>
      </c>
      <c r="T234" s="69">
        <f t="shared" si="1"/>
        <v>0</v>
      </c>
      <c r="U234" s="69">
        <f t="shared" si="2"/>
        <v>0</v>
      </c>
      <c r="V234" s="69">
        <f t="shared" si="3"/>
        <v>0</v>
      </c>
      <c r="W234" s="69">
        <f t="shared" si="4"/>
        <v>0</v>
      </c>
      <c r="X234" s="69">
        <f t="shared" si="5"/>
        <v>0</v>
      </c>
    </row>
    <row r="235" spans="1:24" ht="17.25" customHeight="1">
      <c r="A235" s="68" t="str">
        <f>IF(BASE!B233="","",BASE!B233)</f>
        <v/>
      </c>
      <c r="B235" s="49" t="s">
        <v>2</v>
      </c>
      <c r="C235" s="69">
        <f t="shared" si="39"/>
        <v>0</v>
      </c>
      <c r="D235" s="69">
        <f t="shared" si="40"/>
        <v>0</v>
      </c>
      <c r="E235" s="69">
        <f t="shared" si="41"/>
        <v>0</v>
      </c>
      <c r="F235" s="69">
        <f t="shared" si="42"/>
        <v>0</v>
      </c>
      <c r="G235" s="69">
        <f t="shared" si="43"/>
        <v>0</v>
      </c>
      <c r="H235" s="70"/>
      <c r="I235" s="69"/>
      <c r="J235" s="69">
        <f t="shared" si="44"/>
        <v>0</v>
      </c>
      <c r="K235" s="69">
        <f t="shared" si="45"/>
        <v>0</v>
      </c>
      <c r="L235" s="69">
        <f t="shared" si="46"/>
        <v>0</v>
      </c>
      <c r="M235" s="69">
        <f t="shared" si="47"/>
        <v>0</v>
      </c>
      <c r="N235" s="69">
        <f t="shared" si="48"/>
        <v>0</v>
      </c>
      <c r="O235" s="70"/>
      <c r="P235" s="69"/>
      <c r="Q235" s="71"/>
      <c r="R235" s="49">
        <f t="shared" si="49"/>
        <v>0</v>
      </c>
      <c r="S235" s="49">
        <f>[1]BASE!A233</f>
        <v>224</v>
      </c>
      <c r="T235" s="69">
        <f t="shared" si="1"/>
        <v>0</v>
      </c>
      <c r="U235" s="69">
        <f t="shared" si="2"/>
        <v>0</v>
      </c>
      <c r="V235" s="69">
        <f t="shared" si="3"/>
        <v>0</v>
      </c>
      <c r="W235" s="69">
        <f t="shared" si="4"/>
        <v>0</v>
      </c>
      <c r="X235" s="69">
        <f t="shared" si="5"/>
        <v>0</v>
      </c>
    </row>
    <row r="236" spans="1:24" ht="17.25" customHeight="1">
      <c r="A236" s="68" t="str">
        <f>IF(BASE!B234="","",BASE!B234)</f>
        <v/>
      </c>
      <c r="B236" s="49" t="s">
        <v>2</v>
      </c>
      <c r="C236" s="69">
        <f t="shared" si="39"/>
        <v>0</v>
      </c>
      <c r="D236" s="69">
        <f t="shared" si="40"/>
        <v>0</v>
      </c>
      <c r="E236" s="69">
        <f t="shared" si="41"/>
        <v>0</v>
      </c>
      <c r="F236" s="69">
        <f t="shared" si="42"/>
        <v>0</v>
      </c>
      <c r="G236" s="69">
        <f t="shared" si="43"/>
        <v>0</v>
      </c>
      <c r="H236" s="70"/>
      <c r="I236" s="69"/>
      <c r="J236" s="69">
        <f t="shared" si="44"/>
        <v>0</v>
      </c>
      <c r="K236" s="69">
        <f t="shared" si="45"/>
        <v>0</v>
      </c>
      <c r="L236" s="69">
        <f t="shared" si="46"/>
        <v>0</v>
      </c>
      <c r="M236" s="69">
        <f t="shared" si="47"/>
        <v>0</v>
      </c>
      <c r="N236" s="69">
        <f t="shared" si="48"/>
        <v>0</v>
      </c>
      <c r="O236" s="70"/>
      <c r="P236" s="69"/>
      <c r="Q236" s="71"/>
      <c r="R236" s="49">
        <f t="shared" si="49"/>
        <v>0</v>
      </c>
      <c r="S236" s="49">
        <f>[1]BASE!A234</f>
        <v>225</v>
      </c>
      <c r="T236" s="69">
        <f t="shared" si="1"/>
        <v>0</v>
      </c>
      <c r="U236" s="69">
        <f t="shared" si="2"/>
        <v>0</v>
      </c>
      <c r="V236" s="69">
        <f t="shared" si="3"/>
        <v>0</v>
      </c>
      <c r="W236" s="69">
        <f t="shared" si="4"/>
        <v>0</v>
      </c>
      <c r="X236" s="69">
        <f t="shared" si="5"/>
        <v>0</v>
      </c>
    </row>
    <row r="237" spans="1:24" ht="17.25" customHeight="1">
      <c r="A237" s="68" t="str">
        <f>IF(BASE!B235="","",BASE!B235)</f>
        <v/>
      </c>
      <c r="B237" s="49" t="s">
        <v>2</v>
      </c>
      <c r="C237" s="69">
        <f t="shared" si="39"/>
        <v>0</v>
      </c>
      <c r="D237" s="69">
        <f t="shared" si="40"/>
        <v>0</v>
      </c>
      <c r="E237" s="69">
        <f t="shared" si="41"/>
        <v>0</v>
      </c>
      <c r="F237" s="69">
        <f t="shared" si="42"/>
        <v>0</v>
      </c>
      <c r="G237" s="69">
        <f t="shared" si="43"/>
        <v>0</v>
      </c>
      <c r="H237" s="70"/>
      <c r="I237" s="69"/>
      <c r="J237" s="69">
        <f t="shared" si="44"/>
        <v>0</v>
      </c>
      <c r="K237" s="69">
        <f t="shared" si="45"/>
        <v>0</v>
      </c>
      <c r="L237" s="69">
        <f t="shared" si="46"/>
        <v>0</v>
      </c>
      <c r="M237" s="69">
        <f t="shared" si="47"/>
        <v>0</v>
      </c>
      <c r="N237" s="69">
        <f t="shared" si="48"/>
        <v>0</v>
      </c>
      <c r="O237" s="70"/>
      <c r="P237" s="69"/>
      <c r="Q237" s="71"/>
      <c r="R237" s="49">
        <f t="shared" si="49"/>
        <v>0</v>
      </c>
      <c r="S237" s="49">
        <f>[1]BASE!A235</f>
        <v>226</v>
      </c>
      <c r="T237" s="69">
        <f t="shared" si="1"/>
        <v>0</v>
      </c>
      <c r="U237" s="69">
        <f t="shared" si="2"/>
        <v>0</v>
      </c>
      <c r="V237" s="69">
        <f t="shared" si="3"/>
        <v>0</v>
      </c>
      <c r="W237" s="69">
        <f t="shared" si="4"/>
        <v>0</v>
      </c>
      <c r="X237" s="69">
        <f t="shared" si="5"/>
        <v>0</v>
      </c>
    </row>
    <row r="238" spans="1:24" ht="17.25" customHeight="1">
      <c r="A238" s="68" t="str">
        <f>IF(BASE!B236="","",BASE!B236)</f>
        <v/>
      </c>
      <c r="B238" s="49" t="s">
        <v>2</v>
      </c>
      <c r="C238" s="69">
        <f t="shared" si="39"/>
        <v>0</v>
      </c>
      <c r="D238" s="69">
        <f t="shared" si="40"/>
        <v>0</v>
      </c>
      <c r="E238" s="69">
        <f t="shared" si="41"/>
        <v>0</v>
      </c>
      <c r="F238" s="69">
        <f t="shared" si="42"/>
        <v>0</v>
      </c>
      <c r="G238" s="69">
        <f t="shared" si="43"/>
        <v>0</v>
      </c>
      <c r="H238" s="70"/>
      <c r="I238" s="69"/>
      <c r="J238" s="69">
        <f t="shared" si="44"/>
        <v>0</v>
      </c>
      <c r="K238" s="69">
        <f t="shared" si="45"/>
        <v>0</v>
      </c>
      <c r="L238" s="69">
        <f t="shared" si="46"/>
        <v>0</v>
      </c>
      <c r="M238" s="69">
        <f t="shared" si="47"/>
        <v>0</v>
      </c>
      <c r="N238" s="69">
        <f t="shared" si="48"/>
        <v>0</v>
      </c>
      <c r="O238" s="70"/>
      <c r="P238" s="69"/>
      <c r="Q238" s="71"/>
      <c r="R238" s="49">
        <f t="shared" si="49"/>
        <v>0</v>
      </c>
      <c r="S238" s="49">
        <f>[1]BASE!A236</f>
        <v>227</v>
      </c>
      <c r="T238" s="69">
        <f t="shared" si="1"/>
        <v>0</v>
      </c>
      <c r="U238" s="69">
        <f t="shared" si="2"/>
        <v>0</v>
      </c>
      <c r="V238" s="69">
        <f t="shared" si="3"/>
        <v>0</v>
      </c>
      <c r="W238" s="69">
        <f t="shared" si="4"/>
        <v>0</v>
      </c>
      <c r="X238" s="69">
        <f t="shared" si="5"/>
        <v>0</v>
      </c>
    </row>
    <row r="239" spans="1:24" ht="17.25" customHeight="1">
      <c r="A239" s="68" t="str">
        <f>IF(BASE!B237="","",BASE!B237)</f>
        <v/>
      </c>
      <c r="B239" s="49" t="s">
        <v>2</v>
      </c>
      <c r="C239" s="69">
        <f t="shared" si="39"/>
        <v>0</v>
      </c>
      <c r="D239" s="69">
        <f t="shared" si="40"/>
        <v>0</v>
      </c>
      <c r="E239" s="69">
        <f t="shared" si="41"/>
        <v>0</v>
      </c>
      <c r="F239" s="69">
        <f t="shared" si="42"/>
        <v>0</v>
      </c>
      <c r="G239" s="69">
        <f t="shared" si="43"/>
        <v>0</v>
      </c>
      <c r="H239" s="70"/>
      <c r="I239" s="69"/>
      <c r="J239" s="69">
        <f t="shared" si="44"/>
        <v>0</v>
      </c>
      <c r="K239" s="69">
        <f t="shared" si="45"/>
        <v>0</v>
      </c>
      <c r="L239" s="69">
        <f t="shared" si="46"/>
        <v>0</v>
      </c>
      <c r="M239" s="69">
        <f t="shared" si="47"/>
        <v>0</v>
      </c>
      <c r="N239" s="69">
        <f t="shared" si="48"/>
        <v>0</v>
      </c>
      <c r="O239" s="70"/>
      <c r="P239" s="69"/>
      <c r="Q239" s="71"/>
      <c r="R239" s="49">
        <f t="shared" si="49"/>
        <v>0</v>
      </c>
      <c r="S239" s="49">
        <f>[1]BASE!A237</f>
        <v>228</v>
      </c>
      <c r="T239" s="69">
        <f t="shared" si="1"/>
        <v>0</v>
      </c>
      <c r="U239" s="69">
        <f t="shared" si="2"/>
        <v>0</v>
      </c>
      <c r="V239" s="69">
        <f t="shared" si="3"/>
        <v>0</v>
      </c>
      <c r="W239" s="69">
        <f t="shared" si="4"/>
        <v>0</v>
      </c>
      <c r="X239" s="69">
        <f t="shared" si="5"/>
        <v>0</v>
      </c>
    </row>
    <row r="240" spans="1:24" ht="17.25" customHeight="1">
      <c r="A240" s="68" t="str">
        <f>IF(BASE!B238="","",BASE!B238)</f>
        <v/>
      </c>
      <c r="B240" s="49" t="s">
        <v>2</v>
      </c>
      <c r="C240" s="69">
        <f t="shared" si="39"/>
        <v>0</v>
      </c>
      <c r="D240" s="69">
        <f t="shared" si="40"/>
        <v>0</v>
      </c>
      <c r="E240" s="69">
        <f t="shared" si="41"/>
        <v>0</v>
      </c>
      <c r="F240" s="69">
        <f t="shared" si="42"/>
        <v>0</v>
      </c>
      <c r="G240" s="69">
        <f t="shared" si="43"/>
        <v>0</v>
      </c>
      <c r="H240" s="70"/>
      <c r="I240" s="69"/>
      <c r="J240" s="69">
        <f t="shared" si="44"/>
        <v>0</v>
      </c>
      <c r="K240" s="69">
        <f t="shared" si="45"/>
        <v>0</v>
      </c>
      <c r="L240" s="69">
        <f t="shared" si="46"/>
        <v>0</v>
      </c>
      <c r="M240" s="69">
        <f t="shared" si="47"/>
        <v>0</v>
      </c>
      <c r="N240" s="69">
        <f t="shared" si="48"/>
        <v>0</v>
      </c>
      <c r="O240" s="70"/>
      <c r="P240" s="69"/>
      <c r="Q240" s="71"/>
      <c r="R240" s="49">
        <f t="shared" si="49"/>
        <v>0</v>
      </c>
      <c r="S240" s="49">
        <f>[1]BASE!A238</f>
        <v>229</v>
      </c>
      <c r="T240" s="69">
        <f t="shared" si="1"/>
        <v>0</v>
      </c>
      <c r="U240" s="69">
        <f t="shared" si="2"/>
        <v>0</v>
      </c>
      <c r="V240" s="69">
        <f t="shared" si="3"/>
        <v>0</v>
      </c>
      <c r="W240" s="69">
        <f t="shared" si="4"/>
        <v>0</v>
      </c>
      <c r="X240" s="69">
        <f t="shared" si="5"/>
        <v>0</v>
      </c>
    </row>
    <row r="241" spans="1:24" ht="17.25" customHeight="1">
      <c r="A241" s="68" t="str">
        <f>IF(BASE!B239="","",BASE!B239)</f>
        <v/>
      </c>
      <c r="B241" s="49" t="s">
        <v>2</v>
      </c>
      <c r="C241" s="69">
        <f t="shared" si="39"/>
        <v>0</v>
      </c>
      <c r="D241" s="69">
        <f t="shared" si="40"/>
        <v>0</v>
      </c>
      <c r="E241" s="69">
        <f t="shared" si="41"/>
        <v>0</v>
      </c>
      <c r="F241" s="69">
        <f t="shared" si="42"/>
        <v>0</v>
      </c>
      <c r="G241" s="69">
        <f t="shared" si="43"/>
        <v>0</v>
      </c>
      <c r="H241" s="70"/>
      <c r="I241" s="69"/>
      <c r="J241" s="69">
        <f t="shared" si="44"/>
        <v>0</v>
      </c>
      <c r="K241" s="69">
        <f t="shared" si="45"/>
        <v>0</v>
      </c>
      <c r="L241" s="69">
        <f t="shared" si="46"/>
        <v>0</v>
      </c>
      <c r="M241" s="69">
        <f t="shared" si="47"/>
        <v>0</v>
      </c>
      <c r="N241" s="69">
        <f t="shared" si="48"/>
        <v>0</v>
      </c>
      <c r="O241" s="70"/>
      <c r="P241" s="69"/>
      <c r="Q241" s="71"/>
      <c r="R241" s="49">
        <f t="shared" si="49"/>
        <v>0</v>
      </c>
      <c r="S241" s="49">
        <f>[1]BASE!A239</f>
        <v>230</v>
      </c>
      <c r="T241" s="69">
        <f t="shared" si="1"/>
        <v>0</v>
      </c>
      <c r="U241" s="69">
        <f t="shared" si="2"/>
        <v>0</v>
      </c>
      <c r="V241" s="69">
        <f t="shared" si="3"/>
        <v>0</v>
      </c>
      <c r="W241" s="69">
        <f t="shared" si="4"/>
        <v>0</v>
      </c>
      <c r="X241" s="69">
        <f t="shared" si="5"/>
        <v>0</v>
      </c>
    </row>
    <row r="242" spans="1:24" ht="17.25" customHeight="1">
      <c r="A242" s="68" t="str">
        <f>IF(BASE!B240="","",BASE!B240)</f>
        <v/>
      </c>
      <c r="B242" s="49" t="s">
        <v>2</v>
      </c>
      <c r="C242" s="69">
        <f t="shared" si="39"/>
        <v>0</v>
      </c>
      <c r="D242" s="69">
        <f t="shared" si="40"/>
        <v>0</v>
      </c>
      <c r="E242" s="69">
        <f t="shared" si="41"/>
        <v>0</v>
      </c>
      <c r="F242" s="69">
        <f t="shared" si="42"/>
        <v>0</v>
      </c>
      <c r="G242" s="69">
        <f t="shared" si="43"/>
        <v>0</v>
      </c>
      <c r="H242" s="70"/>
      <c r="I242" s="69"/>
      <c r="J242" s="69">
        <f t="shared" si="44"/>
        <v>0</v>
      </c>
      <c r="K242" s="69">
        <f t="shared" si="45"/>
        <v>0</v>
      </c>
      <c r="L242" s="69">
        <f t="shared" si="46"/>
        <v>0</v>
      </c>
      <c r="M242" s="69">
        <f t="shared" si="47"/>
        <v>0</v>
      </c>
      <c r="N242" s="69">
        <f t="shared" si="48"/>
        <v>0</v>
      </c>
      <c r="O242" s="70"/>
      <c r="P242" s="69"/>
      <c r="Q242" s="71"/>
      <c r="R242" s="49">
        <f t="shared" si="49"/>
        <v>0</v>
      </c>
      <c r="S242" s="49">
        <f>[1]BASE!A240</f>
        <v>231</v>
      </c>
      <c r="T242" s="69">
        <f t="shared" si="1"/>
        <v>0</v>
      </c>
      <c r="U242" s="69">
        <f t="shared" si="2"/>
        <v>0</v>
      </c>
      <c r="V242" s="69">
        <f t="shared" si="3"/>
        <v>0</v>
      </c>
      <c r="W242" s="69">
        <f t="shared" si="4"/>
        <v>0</v>
      </c>
      <c r="X242" s="69">
        <f t="shared" si="5"/>
        <v>0</v>
      </c>
    </row>
    <row r="243" spans="1:24" ht="17.25" customHeight="1">
      <c r="A243" s="68" t="str">
        <f>IF(BASE!B241="","",BASE!B241)</f>
        <v/>
      </c>
      <c r="B243" s="49" t="s">
        <v>2</v>
      </c>
      <c r="C243" s="69">
        <f t="shared" si="39"/>
        <v>0</v>
      </c>
      <c r="D243" s="69">
        <f t="shared" si="40"/>
        <v>0</v>
      </c>
      <c r="E243" s="69">
        <f t="shared" si="41"/>
        <v>0</v>
      </c>
      <c r="F243" s="69">
        <f t="shared" si="42"/>
        <v>0</v>
      </c>
      <c r="G243" s="69">
        <f t="shared" si="43"/>
        <v>0</v>
      </c>
      <c r="H243" s="70"/>
      <c r="I243" s="69"/>
      <c r="J243" s="69">
        <f t="shared" si="44"/>
        <v>0</v>
      </c>
      <c r="K243" s="69">
        <f t="shared" si="45"/>
        <v>0</v>
      </c>
      <c r="L243" s="69">
        <f t="shared" si="46"/>
        <v>0</v>
      </c>
      <c r="M243" s="69">
        <f t="shared" si="47"/>
        <v>0</v>
      </c>
      <c r="N243" s="69">
        <f t="shared" si="48"/>
        <v>0</v>
      </c>
      <c r="O243" s="70"/>
      <c r="P243" s="69"/>
      <c r="Q243" s="71"/>
      <c r="R243" s="49">
        <f t="shared" si="49"/>
        <v>0</v>
      </c>
      <c r="S243" s="49">
        <f>[1]BASE!A241</f>
        <v>232</v>
      </c>
      <c r="T243" s="69">
        <f t="shared" si="1"/>
        <v>0</v>
      </c>
      <c r="U243" s="69">
        <f t="shared" si="2"/>
        <v>0</v>
      </c>
      <c r="V243" s="69">
        <f t="shared" si="3"/>
        <v>0</v>
      </c>
      <c r="W243" s="69">
        <f t="shared" si="4"/>
        <v>0</v>
      </c>
      <c r="X243" s="69">
        <f t="shared" si="5"/>
        <v>0</v>
      </c>
    </row>
    <row r="244" spans="1:24" ht="17.25" customHeight="1">
      <c r="A244" s="68" t="str">
        <f>IF(BASE!B242="","",BASE!B242)</f>
        <v/>
      </c>
      <c r="B244" s="49" t="s">
        <v>2</v>
      </c>
      <c r="C244" s="69">
        <f t="shared" si="39"/>
        <v>0</v>
      </c>
      <c r="D244" s="69">
        <f t="shared" si="40"/>
        <v>0</v>
      </c>
      <c r="E244" s="69">
        <f t="shared" si="41"/>
        <v>0</v>
      </c>
      <c r="F244" s="69">
        <f t="shared" si="42"/>
        <v>0</v>
      </c>
      <c r="G244" s="69">
        <f t="shared" si="43"/>
        <v>0</v>
      </c>
      <c r="H244" s="70"/>
      <c r="I244" s="69"/>
      <c r="J244" s="69">
        <f t="shared" si="44"/>
        <v>0</v>
      </c>
      <c r="K244" s="69">
        <f t="shared" si="45"/>
        <v>0</v>
      </c>
      <c r="L244" s="69">
        <f t="shared" si="46"/>
        <v>0</v>
      </c>
      <c r="M244" s="69">
        <f t="shared" si="47"/>
        <v>0</v>
      </c>
      <c r="N244" s="69">
        <f t="shared" si="48"/>
        <v>0</v>
      </c>
      <c r="O244" s="70"/>
      <c r="P244" s="69"/>
      <c r="Q244" s="71"/>
      <c r="R244" s="49">
        <f t="shared" si="49"/>
        <v>0</v>
      </c>
      <c r="S244" s="49">
        <f>[1]BASE!A242</f>
        <v>233</v>
      </c>
      <c r="T244" s="69">
        <f t="shared" si="1"/>
        <v>0</v>
      </c>
      <c r="U244" s="69">
        <f t="shared" si="2"/>
        <v>0</v>
      </c>
      <c r="V244" s="69">
        <f t="shared" si="3"/>
        <v>0</v>
      </c>
      <c r="W244" s="69">
        <f t="shared" si="4"/>
        <v>0</v>
      </c>
      <c r="X244" s="69">
        <f t="shared" si="5"/>
        <v>0</v>
      </c>
    </row>
    <row r="245" spans="1:24" ht="17.25" customHeight="1">
      <c r="A245" s="68" t="str">
        <f>IF(BASE!B243="","",BASE!B243)</f>
        <v/>
      </c>
      <c r="B245" s="49" t="s">
        <v>2</v>
      </c>
      <c r="C245" s="69">
        <f t="shared" si="39"/>
        <v>0</v>
      </c>
      <c r="D245" s="69">
        <f t="shared" si="40"/>
        <v>0</v>
      </c>
      <c r="E245" s="69">
        <f t="shared" si="41"/>
        <v>0</v>
      </c>
      <c r="F245" s="69">
        <f t="shared" si="42"/>
        <v>0</v>
      </c>
      <c r="G245" s="69">
        <f t="shared" si="43"/>
        <v>0</v>
      </c>
      <c r="H245" s="70"/>
      <c r="I245" s="69"/>
      <c r="J245" s="69">
        <f t="shared" si="44"/>
        <v>0</v>
      </c>
      <c r="K245" s="69">
        <f t="shared" si="45"/>
        <v>0</v>
      </c>
      <c r="L245" s="69">
        <f t="shared" si="46"/>
        <v>0</v>
      </c>
      <c r="M245" s="69">
        <f t="shared" si="47"/>
        <v>0</v>
      </c>
      <c r="N245" s="69">
        <f t="shared" si="48"/>
        <v>0</v>
      </c>
      <c r="O245" s="70"/>
      <c r="P245" s="69"/>
      <c r="Q245" s="71"/>
      <c r="R245" s="49">
        <f t="shared" si="49"/>
        <v>0</v>
      </c>
      <c r="S245" s="49">
        <f>[1]BASE!A243</f>
        <v>234</v>
      </c>
      <c r="T245" s="69">
        <f t="shared" si="1"/>
        <v>0</v>
      </c>
      <c r="U245" s="69">
        <f t="shared" si="2"/>
        <v>0</v>
      </c>
      <c r="V245" s="69">
        <f t="shared" si="3"/>
        <v>0</v>
      </c>
      <c r="W245" s="69">
        <f t="shared" si="4"/>
        <v>0</v>
      </c>
      <c r="X245" s="69">
        <f t="shared" si="5"/>
        <v>0</v>
      </c>
    </row>
    <row r="246" spans="1:24" ht="17.25" customHeight="1">
      <c r="A246" s="68" t="str">
        <f>IF(BASE!B244="","",BASE!B244)</f>
        <v/>
      </c>
      <c r="B246" s="49" t="s">
        <v>2</v>
      </c>
      <c r="C246" s="69">
        <f t="shared" si="39"/>
        <v>0</v>
      </c>
      <c r="D246" s="69">
        <f t="shared" si="40"/>
        <v>0</v>
      </c>
      <c r="E246" s="69">
        <f t="shared" si="41"/>
        <v>0</v>
      </c>
      <c r="F246" s="69">
        <f t="shared" si="42"/>
        <v>0</v>
      </c>
      <c r="G246" s="69">
        <f t="shared" si="43"/>
        <v>0</v>
      </c>
      <c r="H246" s="70"/>
      <c r="I246" s="69"/>
      <c r="J246" s="69">
        <f t="shared" si="44"/>
        <v>0</v>
      </c>
      <c r="K246" s="69">
        <f t="shared" si="45"/>
        <v>0</v>
      </c>
      <c r="L246" s="69">
        <f t="shared" si="46"/>
        <v>0</v>
      </c>
      <c r="M246" s="69">
        <f t="shared" si="47"/>
        <v>0</v>
      </c>
      <c r="N246" s="69">
        <f t="shared" si="48"/>
        <v>0</v>
      </c>
      <c r="O246" s="70"/>
      <c r="P246" s="69"/>
      <c r="Q246" s="71"/>
      <c r="R246" s="49">
        <f t="shared" si="49"/>
        <v>0</v>
      </c>
      <c r="S246" s="49">
        <f>[1]BASE!A244</f>
        <v>235</v>
      </c>
      <c r="T246" s="69">
        <f t="shared" si="1"/>
        <v>0</v>
      </c>
      <c r="U246" s="69">
        <f t="shared" si="2"/>
        <v>0</v>
      </c>
      <c r="V246" s="69">
        <f t="shared" si="3"/>
        <v>0</v>
      </c>
      <c r="W246" s="69">
        <f t="shared" si="4"/>
        <v>0</v>
      </c>
      <c r="X246" s="69">
        <f t="shared" si="5"/>
        <v>0</v>
      </c>
    </row>
    <row r="247" spans="1:24" ht="17.25" customHeight="1">
      <c r="A247" s="68" t="str">
        <f>IF(BASE!B245="","",BASE!B245)</f>
        <v/>
      </c>
      <c r="B247" s="49" t="s">
        <v>2</v>
      </c>
      <c r="C247" s="69">
        <f t="shared" si="39"/>
        <v>0</v>
      </c>
      <c r="D247" s="69">
        <f t="shared" si="40"/>
        <v>0</v>
      </c>
      <c r="E247" s="69">
        <f t="shared" si="41"/>
        <v>0</v>
      </c>
      <c r="F247" s="69">
        <f t="shared" si="42"/>
        <v>0</v>
      </c>
      <c r="G247" s="69">
        <f t="shared" si="43"/>
        <v>0</v>
      </c>
      <c r="H247" s="70"/>
      <c r="I247" s="69"/>
      <c r="J247" s="69">
        <f t="shared" si="44"/>
        <v>0</v>
      </c>
      <c r="K247" s="69">
        <f t="shared" si="45"/>
        <v>0</v>
      </c>
      <c r="L247" s="69">
        <f t="shared" si="46"/>
        <v>0</v>
      </c>
      <c r="M247" s="69">
        <f t="shared" si="47"/>
        <v>0</v>
      </c>
      <c r="N247" s="69">
        <f t="shared" si="48"/>
        <v>0</v>
      </c>
      <c r="O247" s="70"/>
      <c r="P247" s="69"/>
      <c r="Q247" s="71"/>
      <c r="R247" s="49">
        <f t="shared" si="49"/>
        <v>0</v>
      </c>
      <c r="S247" s="49">
        <f>[1]BASE!A245</f>
        <v>236</v>
      </c>
      <c r="T247" s="69">
        <f t="shared" si="1"/>
        <v>0</v>
      </c>
      <c r="U247" s="69">
        <f t="shared" si="2"/>
        <v>0</v>
      </c>
      <c r="V247" s="69">
        <f t="shared" si="3"/>
        <v>0</v>
      </c>
      <c r="W247" s="69">
        <f t="shared" si="4"/>
        <v>0</v>
      </c>
      <c r="X247" s="69">
        <f t="shared" si="5"/>
        <v>0</v>
      </c>
    </row>
    <row r="248" spans="1:24" ht="17.25" customHeight="1">
      <c r="A248" s="68" t="str">
        <f>IF(BASE!B246="","",BASE!B246)</f>
        <v/>
      </c>
      <c r="B248" s="49" t="s">
        <v>2</v>
      </c>
      <c r="C248" s="69">
        <f t="shared" si="39"/>
        <v>0</v>
      </c>
      <c r="D248" s="69">
        <f t="shared" si="40"/>
        <v>0</v>
      </c>
      <c r="E248" s="69">
        <f t="shared" si="41"/>
        <v>0</v>
      </c>
      <c r="F248" s="69">
        <f t="shared" si="42"/>
        <v>0</v>
      </c>
      <c r="G248" s="69">
        <f t="shared" si="43"/>
        <v>0</v>
      </c>
      <c r="H248" s="70"/>
      <c r="I248" s="69"/>
      <c r="J248" s="69">
        <f t="shared" si="44"/>
        <v>0</v>
      </c>
      <c r="K248" s="69">
        <f t="shared" si="45"/>
        <v>0</v>
      </c>
      <c r="L248" s="69">
        <f t="shared" si="46"/>
        <v>0</v>
      </c>
      <c r="M248" s="69">
        <f t="shared" si="47"/>
        <v>0</v>
      </c>
      <c r="N248" s="69">
        <f t="shared" si="48"/>
        <v>0</v>
      </c>
      <c r="O248" s="70"/>
      <c r="P248" s="69"/>
      <c r="Q248" s="71"/>
      <c r="R248" s="49">
        <f t="shared" si="49"/>
        <v>0</v>
      </c>
      <c r="S248" s="49">
        <f>[1]BASE!A246</f>
        <v>237</v>
      </c>
      <c r="T248" s="69">
        <f t="shared" si="1"/>
        <v>0</v>
      </c>
      <c r="U248" s="69">
        <f t="shared" si="2"/>
        <v>0</v>
      </c>
      <c r="V248" s="69">
        <f t="shared" si="3"/>
        <v>0</v>
      </c>
      <c r="W248" s="69">
        <f t="shared" si="4"/>
        <v>0</v>
      </c>
      <c r="X248" s="69">
        <f t="shared" si="5"/>
        <v>0</v>
      </c>
    </row>
    <row r="249" spans="1:24" ht="17.25" customHeight="1">
      <c r="A249" s="68" t="str">
        <f>IF(BASE!B247="","",BASE!B247)</f>
        <v/>
      </c>
      <c r="B249" s="49" t="s">
        <v>2</v>
      </c>
      <c r="C249" s="69">
        <f t="shared" si="39"/>
        <v>0</v>
      </c>
      <c r="D249" s="69">
        <f t="shared" si="40"/>
        <v>0</v>
      </c>
      <c r="E249" s="69">
        <f t="shared" si="41"/>
        <v>0</v>
      </c>
      <c r="F249" s="69">
        <f t="shared" si="42"/>
        <v>0</v>
      </c>
      <c r="G249" s="69">
        <f t="shared" si="43"/>
        <v>0</v>
      </c>
      <c r="H249" s="70"/>
      <c r="I249" s="69"/>
      <c r="J249" s="69">
        <f t="shared" si="44"/>
        <v>0</v>
      </c>
      <c r="K249" s="69">
        <f t="shared" si="45"/>
        <v>0</v>
      </c>
      <c r="L249" s="69">
        <f t="shared" si="46"/>
        <v>0</v>
      </c>
      <c r="M249" s="69">
        <f t="shared" si="47"/>
        <v>0</v>
      </c>
      <c r="N249" s="69">
        <f t="shared" si="48"/>
        <v>0</v>
      </c>
      <c r="O249" s="70"/>
      <c r="P249" s="69"/>
      <c r="Q249" s="71"/>
      <c r="R249" s="49">
        <f t="shared" si="49"/>
        <v>0</v>
      </c>
      <c r="S249" s="49">
        <f>[1]BASE!A247</f>
        <v>238</v>
      </c>
      <c r="T249" s="69">
        <f t="shared" si="1"/>
        <v>0</v>
      </c>
      <c r="U249" s="69">
        <f t="shared" si="2"/>
        <v>0</v>
      </c>
      <c r="V249" s="69">
        <f t="shared" si="3"/>
        <v>0</v>
      </c>
      <c r="W249" s="69">
        <f t="shared" si="4"/>
        <v>0</v>
      </c>
      <c r="X249" s="69">
        <f t="shared" si="5"/>
        <v>0</v>
      </c>
    </row>
    <row r="250" spans="1:24" ht="17.25" customHeight="1">
      <c r="A250" s="68" t="str">
        <f>IF(BASE!B248="","",BASE!B248)</f>
        <v/>
      </c>
      <c r="B250" s="49" t="s">
        <v>2</v>
      </c>
      <c r="C250" s="69">
        <f t="shared" si="39"/>
        <v>0</v>
      </c>
      <c r="D250" s="69">
        <f t="shared" si="40"/>
        <v>0</v>
      </c>
      <c r="E250" s="69">
        <f t="shared" si="41"/>
        <v>0</v>
      </c>
      <c r="F250" s="69">
        <f t="shared" si="42"/>
        <v>0</v>
      </c>
      <c r="G250" s="69">
        <f t="shared" si="43"/>
        <v>0</v>
      </c>
      <c r="H250" s="70"/>
      <c r="I250" s="69"/>
      <c r="J250" s="69">
        <f t="shared" si="44"/>
        <v>0</v>
      </c>
      <c r="K250" s="69">
        <f t="shared" si="45"/>
        <v>0</v>
      </c>
      <c r="L250" s="69">
        <f t="shared" si="46"/>
        <v>0</v>
      </c>
      <c r="M250" s="69">
        <f t="shared" si="47"/>
        <v>0</v>
      </c>
      <c r="N250" s="69">
        <f t="shared" si="48"/>
        <v>0</v>
      </c>
      <c r="O250" s="70"/>
      <c r="P250" s="69"/>
      <c r="Q250" s="71"/>
      <c r="R250" s="49">
        <f t="shared" si="49"/>
        <v>0</v>
      </c>
      <c r="S250" s="49">
        <f>[1]BASE!A248</f>
        <v>239</v>
      </c>
      <c r="T250" s="69">
        <f t="shared" si="1"/>
        <v>0</v>
      </c>
      <c r="U250" s="69">
        <f t="shared" si="2"/>
        <v>0</v>
      </c>
      <c r="V250" s="69">
        <f t="shared" si="3"/>
        <v>0</v>
      </c>
      <c r="W250" s="69">
        <f t="shared" si="4"/>
        <v>0</v>
      </c>
      <c r="X250" s="69">
        <f t="shared" si="5"/>
        <v>0</v>
      </c>
    </row>
    <row r="251" spans="1:24" ht="17.25" customHeight="1">
      <c r="A251" s="68" t="str">
        <f>IF(BASE!B249="","",BASE!B249)</f>
        <v/>
      </c>
      <c r="B251" s="49" t="s">
        <v>2</v>
      </c>
      <c r="C251" s="69">
        <f t="shared" si="39"/>
        <v>0</v>
      </c>
      <c r="D251" s="69">
        <f t="shared" si="40"/>
        <v>0</v>
      </c>
      <c r="E251" s="69">
        <f t="shared" si="41"/>
        <v>0</v>
      </c>
      <c r="F251" s="69">
        <f t="shared" si="42"/>
        <v>0</v>
      </c>
      <c r="G251" s="69">
        <f t="shared" si="43"/>
        <v>0</v>
      </c>
      <c r="H251" s="70"/>
      <c r="I251" s="73"/>
      <c r="J251" s="69">
        <f t="shared" si="44"/>
        <v>0</v>
      </c>
      <c r="K251" s="69">
        <f t="shared" si="45"/>
        <v>0</v>
      </c>
      <c r="L251" s="69">
        <f t="shared" si="46"/>
        <v>0</v>
      </c>
      <c r="M251" s="69">
        <f t="shared" si="47"/>
        <v>0</v>
      </c>
      <c r="N251" s="69">
        <f t="shared" si="48"/>
        <v>0</v>
      </c>
      <c r="O251" s="70"/>
      <c r="P251" s="73"/>
      <c r="Q251" s="78"/>
      <c r="R251" s="49">
        <f t="shared" si="49"/>
        <v>0</v>
      </c>
      <c r="S251" s="49">
        <f>[1]BASE!A249</f>
        <v>240</v>
      </c>
      <c r="T251" s="69">
        <f t="shared" si="1"/>
        <v>0</v>
      </c>
      <c r="U251" s="69">
        <f t="shared" si="2"/>
        <v>0</v>
      </c>
      <c r="V251" s="69">
        <f t="shared" si="3"/>
        <v>0</v>
      </c>
      <c r="W251" s="69">
        <f t="shared" si="4"/>
        <v>0</v>
      </c>
      <c r="X251" s="69">
        <f t="shared" si="5"/>
        <v>0</v>
      </c>
    </row>
    <row r="252" spans="1:24" ht="17.25" customHeight="1">
      <c r="A252" s="68" t="str">
        <f>IF(BASE!B250="","",BASE!B250)</f>
        <v/>
      </c>
      <c r="B252" s="49" t="s">
        <v>2</v>
      </c>
      <c r="C252" s="69">
        <f t="shared" si="39"/>
        <v>0</v>
      </c>
      <c r="D252" s="69">
        <f t="shared" si="40"/>
        <v>0</v>
      </c>
      <c r="E252" s="69">
        <f t="shared" si="41"/>
        <v>0</v>
      </c>
      <c r="F252" s="69">
        <f t="shared" si="42"/>
        <v>0</v>
      </c>
      <c r="G252" s="69">
        <f t="shared" si="43"/>
        <v>0</v>
      </c>
      <c r="H252" s="70"/>
      <c r="I252" s="79"/>
      <c r="J252" s="69">
        <f t="shared" si="44"/>
        <v>0</v>
      </c>
      <c r="K252" s="69">
        <f t="shared" si="45"/>
        <v>0</v>
      </c>
      <c r="L252" s="69">
        <f t="shared" si="46"/>
        <v>0</v>
      </c>
      <c r="M252" s="69">
        <f t="shared" si="47"/>
        <v>0</v>
      </c>
      <c r="N252" s="69">
        <f t="shared" si="48"/>
        <v>0</v>
      </c>
      <c r="O252" s="70"/>
      <c r="P252" s="79"/>
      <c r="Q252" s="79"/>
      <c r="R252" s="49">
        <f t="shared" si="49"/>
        <v>0</v>
      </c>
      <c r="S252" s="49">
        <f>[1]BASE!A250</f>
        <v>241</v>
      </c>
      <c r="T252" s="69">
        <f t="shared" si="1"/>
        <v>0</v>
      </c>
      <c r="U252" s="69">
        <f t="shared" si="2"/>
        <v>0</v>
      </c>
      <c r="V252" s="69">
        <f t="shared" si="3"/>
        <v>0</v>
      </c>
      <c r="W252" s="69">
        <f t="shared" si="4"/>
        <v>0</v>
      </c>
      <c r="X252" s="69">
        <f t="shared" si="5"/>
        <v>0</v>
      </c>
    </row>
    <row r="253" spans="1:24" ht="17.25" customHeight="1">
      <c r="A253" s="68" t="str">
        <f>IF(BASE!B251="","",BASE!B251)</f>
        <v/>
      </c>
      <c r="B253" s="49" t="s">
        <v>2</v>
      </c>
      <c r="C253" s="69">
        <f t="shared" si="39"/>
        <v>0</v>
      </c>
      <c r="D253" s="69">
        <f t="shared" si="40"/>
        <v>0</v>
      </c>
      <c r="E253" s="69">
        <f t="shared" si="41"/>
        <v>0</v>
      </c>
      <c r="F253" s="69">
        <f t="shared" si="42"/>
        <v>0</v>
      </c>
      <c r="G253" s="69">
        <f t="shared" si="43"/>
        <v>0</v>
      </c>
      <c r="H253" s="70"/>
      <c r="I253" s="79"/>
      <c r="J253" s="69">
        <f t="shared" si="44"/>
        <v>0</v>
      </c>
      <c r="K253" s="69">
        <f t="shared" si="45"/>
        <v>0</v>
      </c>
      <c r="L253" s="69">
        <f t="shared" si="46"/>
        <v>0</v>
      </c>
      <c r="M253" s="69">
        <f t="shared" si="47"/>
        <v>0</v>
      </c>
      <c r="N253" s="69">
        <f t="shared" si="48"/>
        <v>0</v>
      </c>
      <c r="O253" s="70"/>
      <c r="P253" s="79"/>
      <c r="Q253" s="79"/>
      <c r="R253" s="49">
        <f t="shared" si="49"/>
        <v>0</v>
      </c>
      <c r="S253" s="49">
        <f>[1]BASE!A251</f>
        <v>242</v>
      </c>
      <c r="T253" s="69">
        <f t="shared" ref="T253:T316" si="50">SUMIF($C$11:$Q$11,1,C253:Q253)</f>
        <v>0</v>
      </c>
      <c r="U253" s="69">
        <f t="shared" ref="U253:U316" si="51">SUMIF($C$11:$Q$11,2,C253:Q253)</f>
        <v>0</v>
      </c>
      <c r="V253" s="69">
        <f t="shared" ref="V253:V316" si="52">SUMIF($C$11:$Q$11,3,C253:Q253)</f>
        <v>0</v>
      </c>
      <c r="W253" s="69">
        <f t="shared" ref="W253:W316" si="53">SUMIF($C$11:$Q$11,4,C253:Q253)</f>
        <v>0</v>
      </c>
      <c r="X253" s="69">
        <f t="shared" ref="X253:X316" si="54">SUMIF($C$11:$Q$11,5,C253:Q253)</f>
        <v>0</v>
      </c>
    </row>
    <row r="254" spans="1:24" ht="17.25" customHeight="1">
      <c r="A254" s="68" t="str">
        <f>IF(BASE!B252="","",BASE!B252)</f>
        <v/>
      </c>
      <c r="B254" s="49" t="s">
        <v>2</v>
      </c>
      <c r="C254" s="69">
        <f t="shared" si="39"/>
        <v>0</v>
      </c>
      <c r="D254" s="69">
        <f t="shared" si="40"/>
        <v>0</v>
      </c>
      <c r="E254" s="69">
        <f t="shared" si="41"/>
        <v>0</v>
      </c>
      <c r="F254" s="69">
        <f t="shared" si="42"/>
        <v>0</v>
      </c>
      <c r="G254" s="69">
        <f t="shared" si="43"/>
        <v>0</v>
      </c>
      <c r="H254" s="70"/>
      <c r="I254" s="79"/>
      <c r="J254" s="69">
        <f t="shared" si="44"/>
        <v>0</v>
      </c>
      <c r="K254" s="69">
        <f t="shared" si="45"/>
        <v>0</v>
      </c>
      <c r="L254" s="69">
        <f t="shared" si="46"/>
        <v>0</v>
      </c>
      <c r="M254" s="69">
        <f t="shared" si="47"/>
        <v>0</v>
      </c>
      <c r="N254" s="69">
        <f t="shared" si="48"/>
        <v>0</v>
      </c>
      <c r="O254" s="70"/>
      <c r="P254" s="79"/>
      <c r="Q254" s="79"/>
      <c r="R254" s="49">
        <f t="shared" si="49"/>
        <v>0</v>
      </c>
      <c r="S254" s="49">
        <f>[1]BASE!A252</f>
        <v>243</v>
      </c>
      <c r="T254" s="69">
        <f t="shared" si="50"/>
        <v>0</v>
      </c>
      <c r="U254" s="69">
        <f t="shared" si="51"/>
        <v>0</v>
      </c>
      <c r="V254" s="69">
        <f t="shared" si="52"/>
        <v>0</v>
      </c>
      <c r="W254" s="69">
        <f t="shared" si="53"/>
        <v>0</v>
      </c>
      <c r="X254" s="69">
        <f t="shared" si="54"/>
        <v>0</v>
      </c>
    </row>
    <row r="255" spans="1:24" ht="17.25" customHeight="1">
      <c r="A255" s="68" t="str">
        <f>IF(BASE!B253="","",BASE!B253)</f>
        <v/>
      </c>
      <c r="B255" s="49" t="s">
        <v>2</v>
      </c>
      <c r="C255" s="69">
        <f t="shared" si="39"/>
        <v>0</v>
      </c>
      <c r="D255" s="69">
        <f t="shared" si="40"/>
        <v>0</v>
      </c>
      <c r="E255" s="69">
        <f t="shared" si="41"/>
        <v>0</v>
      </c>
      <c r="F255" s="69">
        <f t="shared" si="42"/>
        <v>0</v>
      </c>
      <c r="G255" s="69">
        <f t="shared" si="43"/>
        <v>0</v>
      </c>
      <c r="H255" s="70"/>
      <c r="I255" s="79"/>
      <c r="J255" s="69">
        <f t="shared" si="44"/>
        <v>0</v>
      </c>
      <c r="K255" s="69">
        <f t="shared" si="45"/>
        <v>0</v>
      </c>
      <c r="L255" s="69">
        <f t="shared" si="46"/>
        <v>0</v>
      </c>
      <c r="M255" s="69">
        <f t="shared" si="47"/>
        <v>0</v>
      </c>
      <c r="N255" s="69">
        <f t="shared" si="48"/>
        <v>0</v>
      </c>
      <c r="O255" s="70"/>
      <c r="P255" s="79"/>
      <c r="Q255" s="79"/>
      <c r="R255" s="49">
        <f t="shared" si="49"/>
        <v>0</v>
      </c>
      <c r="S255" s="49">
        <f>[1]BASE!A253</f>
        <v>244</v>
      </c>
      <c r="T255" s="69">
        <f t="shared" si="50"/>
        <v>0</v>
      </c>
      <c r="U255" s="69">
        <f t="shared" si="51"/>
        <v>0</v>
      </c>
      <c r="V255" s="69">
        <f t="shared" si="52"/>
        <v>0</v>
      </c>
      <c r="W255" s="69">
        <f t="shared" si="53"/>
        <v>0</v>
      </c>
      <c r="X255" s="69">
        <f t="shared" si="54"/>
        <v>0</v>
      </c>
    </row>
    <row r="256" spans="1:24" ht="17.25" customHeight="1">
      <c r="A256" s="68" t="str">
        <f>IF(BASE!B254="","",BASE!B254)</f>
        <v/>
      </c>
      <c r="B256" s="49" t="s">
        <v>2</v>
      </c>
      <c r="C256" s="69">
        <f t="shared" si="39"/>
        <v>0</v>
      </c>
      <c r="D256" s="69">
        <f t="shared" si="40"/>
        <v>0</v>
      </c>
      <c r="E256" s="69">
        <f t="shared" si="41"/>
        <v>0</v>
      </c>
      <c r="F256" s="69">
        <f t="shared" si="42"/>
        <v>0</v>
      </c>
      <c r="G256" s="69">
        <f t="shared" si="43"/>
        <v>0</v>
      </c>
      <c r="H256" s="70"/>
      <c r="I256" s="79"/>
      <c r="J256" s="69">
        <f t="shared" si="44"/>
        <v>0</v>
      </c>
      <c r="K256" s="69">
        <f t="shared" si="45"/>
        <v>0</v>
      </c>
      <c r="L256" s="69">
        <f t="shared" si="46"/>
        <v>0</v>
      </c>
      <c r="M256" s="69">
        <f t="shared" si="47"/>
        <v>0</v>
      </c>
      <c r="N256" s="69">
        <f t="shared" si="48"/>
        <v>0</v>
      </c>
      <c r="O256" s="70"/>
      <c r="P256" s="79"/>
      <c r="Q256" s="79"/>
      <c r="R256" s="49">
        <f t="shared" si="49"/>
        <v>0</v>
      </c>
      <c r="S256" s="49">
        <f>[1]BASE!A254</f>
        <v>245</v>
      </c>
      <c r="T256" s="69">
        <f t="shared" si="50"/>
        <v>0</v>
      </c>
      <c r="U256" s="69">
        <f t="shared" si="51"/>
        <v>0</v>
      </c>
      <c r="V256" s="69">
        <f t="shared" si="52"/>
        <v>0</v>
      </c>
      <c r="W256" s="69">
        <f t="shared" si="53"/>
        <v>0</v>
      </c>
      <c r="X256" s="69">
        <f t="shared" si="54"/>
        <v>0</v>
      </c>
    </row>
    <row r="257" spans="1:24" ht="17.25" customHeight="1">
      <c r="A257" s="68" t="str">
        <f>IF(BASE!B255="","",BASE!B255)</f>
        <v/>
      </c>
      <c r="B257" s="49" t="s">
        <v>2</v>
      </c>
      <c r="C257" s="69">
        <f t="shared" si="39"/>
        <v>0</v>
      </c>
      <c r="D257" s="69">
        <f t="shared" si="40"/>
        <v>0</v>
      </c>
      <c r="E257" s="69">
        <f t="shared" si="41"/>
        <v>0</v>
      </c>
      <c r="F257" s="69">
        <f t="shared" si="42"/>
        <v>0</v>
      </c>
      <c r="G257" s="69">
        <f t="shared" si="43"/>
        <v>0</v>
      </c>
      <c r="H257" s="70"/>
      <c r="I257" s="79"/>
      <c r="J257" s="69">
        <f t="shared" si="44"/>
        <v>0</v>
      </c>
      <c r="K257" s="69">
        <f t="shared" si="45"/>
        <v>0</v>
      </c>
      <c r="L257" s="69">
        <f t="shared" si="46"/>
        <v>0</v>
      </c>
      <c r="M257" s="69">
        <f t="shared" si="47"/>
        <v>0</v>
      </c>
      <c r="N257" s="69">
        <f t="shared" si="48"/>
        <v>0</v>
      </c>
      <c r="O257" s="70"/>
      <c r="P257" s="79"/>
      <c r="Q257" s="79"/>
      <c r="R257" s="49">
        <f t="shared" si="49"/>
        <v>0</v>
      </c>
      <c r="S257" s="49">
        <f>[1]BASE!A255</f>
        <v>246</v>
      </c>
      <c r="T257" s="69">
        <f t="shared" si="50"/>
        <v>0</v>
      </c>
      <c r="U257" s="69">
        <f t="shared" si="51"/>
        <v>0</v>
      </c>
      <c r="V257" s="69">
        <f t="shared" si="52"/>
        <v>0</v>
      </c>
      <c r="W257" s="69">
        <f t="shared" si="53"/>
        <v>0</v>
      </c>
      <c r="X257" s="69">
        <f t="shared" si="54"/>
        <v>0</v>
      </c>
    </row>
    <row r="258" spans="1:24" ht="17.25" customHeight="1">
      <c r="A258" s="68" t="str">
        <f>IF(BASE!B256="","",BASE!B256)</f>
        <v/>
      </c>
      <c r="B258" s="49" t="s">
        <v>2</v>
      </c>
      <c r="C258" s="69">
        <f t="shared" si="39"/>
        <v>0</v>
      </c>
      <c r="D258" s="69">
        <f t="shared" si="40"/>
        <v>0</v>
      </c>
      <c r="E258" s="69">
        <f t="shared" si="41"/>
        <v>0</v>
      </c>
      <c r="F258" s="69">
        <f t="shared" si="42"/>
        <v>0</v>
      </c>
      <c r="G258" s="69">
        <f t="shared" si="43"/>
        <v>0</v>
      </c>
      <c r="H258" s="70"/>
      <c r="I258" s="79"/>
      <c r="J258" s="69">
        <f t="shared" si="44"/>
        <v>0</v>
      </c>
      <c r="K258" s="69">
        <f t="shared" si="45"/>
        <v>0</v>
      </c>
      <c r="L258" s="69">
        <f t="shared" si="46"/>
        <v>0</v>
      </c>
      <c r="M258" s="69">
        <f t="shared" si="47"/>
        <v>0</v>
      </c>
      <c r="N258" s="69">
        <f t="shared" si="48"/>
        <v>0</v>
      </c>
      <c r="O258" s="70"/>
      <c r="P258" s="79"/>
      <c r="Q258" s="79"/>
      <c r="R258" s="49">
        <f t="shared" si="49"/>
        <v>0</v>
      </c>
      <c r="S258" s="49">
        <f>[1]BASE!A256</f>
        <v>247</v>
      </c>
      <c r="T258" s="69">
        <f t="shared" si="50"/>
        <v>0</v>
      </c>
      <c r="U258" s="69">
        <f t="shared" si="51"/>
        <v>0</v>
      </c>
      <c r="V258" s="69">
        <f t="shared" si="52"/>
        <v>0</v>
      </c>
      <c r="W258" s="69">
        <f t="shared" si="53"/>
        <v>0</v>
      </c>
      <c r="X258" s="69">
        <f t="shared" si="54"/>
        <v>0</v>
      </c>
    </row>
    <row r="259" spans="1:24" ht="17.25" customHeight="1">
      <c r="A259" s="68" t="str">
        <f>IF(BASE!B257="","",BASE!B257)</f>
        <v/>
      </c>
      <c r="B259" s="49" t="s">
        <v>2</v>
      </c>
      <c r="C259" s="69">
        <f t="shared" si="39"/>
        <v>0</v>
      </c>
      <c r="D259" s="69">
        <f t="shared" si="40"/>
        <v>0</v>
      </c>
      <c r="E259" s="69">
        <f t="shared" si="41"/>
        <v>0</v>
      </c>
      <c r="F259" s="69">
        <f t="shared" si="42"/>
        <v>0</v>
      </c>
      <c r="G259" s="69">
        <f t="shared" si="43"/>
        <v>0</v>
      </c>
      <c r="H259" s="70"/>
      <c r="I259" s="79"/>
      <c r="J259" s="69">
        <f t="shared" si="44"/>
        <v>0</v>
      </c>
      <c r="K259" s="69">
        <f t="shared" si="45"/>
        <v>0</v>
      </c>
      <c r="L259" s="69">
        <f t="shared" si="46"/>
        <v>0</v>
      </c>
      <c r="M259" s="69">
        <f t="shared" si="47"/>
        <v>0</v>
      </c>
      <c r="N259" s="69">
        <f t="shared" si="48"/>
        <v>0</v>
      </c>
      <c r="O259" s="70"/>
      <c r="P259" s="79"/>
      <c r="Q259" s="79"/>
      <c r="R259" s="49">
        <f t="shared" si="49"/>
        <v>0</v>
      </c>
      <c r="S259" s="49">
        <f>[1]BASE!A257</f>
        <v>248</v>
      </c>
      <c r="T259" s="69">
        <f t="shared" si="50"/>
        <v>0</v>
      </c>
      <c r="U259" s="69">
        <f t="shared" si="51"/>
        <v>0</v>
      </c>
      <c r="V259" s="69">
        <f t="shared" si="52"/>
        <v>0</v>
      </c>
      <c r="W259" s="69">
        <f t="shared" si="53"/>
        <v>0</v>
      </c>
      <c r="X259" s="69">
        <f t="shared" si="54"/>
        <v>0</v>
      </c>
    </row>
    <row r="260" spans="1:24" ht="17.25" customHeight="1">
      <c r="A260" s="68" t="str">
        <f>IF(BASE!B258="","",BASE!B258)</f>
        <v/>
      </c>
      <c r="B260" s="49" t="s">
        <v>2</v>
      </c>
      <c r="C260" s="69">
        <f t="shared" si="39"/>
        <v>0</v>
      </c>
      <c r="D260" s="69">
        <f t="shared" si="40"/>
        <v>0</v>
      </c>
      <c r="E260" s="69">
        <f t="shared" si="41"/>
        <v>0</v>
      </c>
      <c r="F260" s="69">
        <f t="shared" si="42"/>
        <v>0</v>
      </c>
      <c r="G260" s="69">
        <f t="shared" si="43"/>
        <v>0</v>
      </c>
      <c r="H260" s="70"/>
      <c r="I260" s="79"/>
      <c r="J260" s="69">
        <f t="shared" si="44"/>
        <v>0</v>
      </c>
      <c r="K260" s="69">
        <f t="shared" si="45"/>
        <v>0</v>
      </c>
      <c r="L260" s="69">
        <f t="shared" si="46"/>
        <v>0</v>
      </c>
      <c r="M260" s="69">
        <f t="shared" si="47"/>
        <v>0</v>
      </c>
      <c r="N260" s="69">
        <f t="shared" si="48"/>
        <v>0</v>
      </c>
      <c r="O260" s="70"/>
      <c r="P260" s="79"/>
      <c r="Q260" s="79"/>
      <c r="R260" s="49">
        <f t="shared" si="49"/>
        <v>0</v>
      </c>
      <c r="S260" s="49">
        <f>[1]BASE!A258</f>
        <v>249</v>
      </c>
      <c r="T260" s="69">
        <f t="shared" si="50"/>
        <v>0</v>
      </c>
      <c r="U260" s="69">
        <f t="shared" si="51"/>
        <v>0</v>
      </c>
      <c r="V260" s="69">
        <f t="shared" si="52"/>
        <v>0</v>
      </c>
      <c r="W260" s="69">
        <f t="shared" si="53"/>
        <v>0</v>
      </c>
      <c r="X260" s="69">
        <f t="shared" si="54"/>
        <v>0</v>
      </c>
    </row>
    <row r="261" spans="1:24" ht="17.25" customHeight="1">
      <c r="A261" s="68" t="str">
        <f>IF(BASE!B259="","",BASE!B259)</f>
        <v/>
      </c>
      <c r="B261" s="49" t="s">
        <v>2</v>
      </c>
      <c r="C261" s="69">
        <f t="shared" si="39"/>
        <v>0</v>
      </c>
      <c r="D261" s="69">
        <f t="shared" si="40"/>
        <v>0</v>
      </c>
      <c r="E261" s="69">
        <f t="shared" si="41"/>
        <v>0</v>
      </c>
      <c r="F261" s="69">
        <f t="shared" si="42"/>
        <v>0</v>
      </c>
      <c r="G261" s="69">
        <f t="shared" si="43"/>
        <v>0</v>
      </c>
      <c r="H261" s="70"/>
      <c r="I261" s="79"/>
      <c r="J261" s="69">
        <f t="shared" si="44"/>
        <v>0</v>
      </c>
      <c r="K261" s="69">
        <f t="shared" si="45"/>
        <v>0</v>
      </c>
      <c r="L261" s="69">
        <f t="shared" si="46"/>
        <v>0</v>
      </c>
      <c r="M261" s="69">
        <f t="shared" si="47"/>
        <v>0</v>
      </c>
      <c r="N261" s="69">
        <f t="shared" si="48"/>
        <v>0</v>
      </c>
      <c r="O261" s="70"/>
      <c r="P261" s="79"/>
      <c r="Q261" s="79"/>
      <c r="R261" s="49">
        <f t="shared" si="49"/>
        <v>0</v>
      </c>
      <c r="S261" s="49">
        <f>[1]BASE!A259</f>
        <v>250</v>
      </c>
      <c r="T261" s="69">
        <f t="shared" si="50"/>
        <v>0</v>
      </c>
      <c r="U261" s="69">
        <f t="shared" si="51"/>
        <v>0</v>
      </c>
      <c r="V261" s="69">
        <f t="shared" si="52"/>
        <v>0</v>
      </c>
      <c r="W261" s="69">
        <f t="shared" si="53"/>
        <v>0</v>
      </c>
      <c r="X261" s="69">
        <f t="shared" si="54"/>
        <v>0</v>
      </c>
    </row>
    <row r="262" spans="1:24" ht="17.25" customHeight="1">
      <c r="A262" s="68" t="str">
        <f>IF(BASE!B260="","",BASE!B260)</f>
        <v/>
      </c>
      <c r="B262" s="49" t="s">
        <v>2</v>
      </c>
      <c r="C262" s="69">
        <f t="shared" si="39"/>
        <v>0</v>
      </c>
      <c r="D262" s="69">
        <f t="shared" si="40"/>
        <v>0</v>
      </c>
      <c r="E262" s="69">
        <f t="shared" si="41"/>
        <v>0</v>
      </c>
      <c r="F262" s="69">
        <f t="shared" si="42"/>
        <v>0</v>
      </c>
      <c r="G262" s="69">
        <f t="shared" si="43"/>
        <v>0</v>
      </c>
      <c r="H262" s="70"/>
      <c r="I262" s="79"/>
      <c r="J262" s="69">
        <f t="shared" si="44"/>
        <v>0</v>
      </c>
      <c r="K262" s="69">
        <f t="shared" si="45"/>
        <v>0</v>
      </c>
      <c r="L262" s="69">
        <f t="shared" si="46"/>
        <v>0</v>
      </c>
      <c r="M262" s="69">
        <f t="shared" si="47"/>
        <v>0</v>
      </c>
      <c r="N262" s="69">
        <f t="shared" si="48"/>
        <v>0</v>
      </c>
      <c r="O262" s="70"/>
      <c r="P262" s="79"/>
      <c r="Q262" s="79"/>
      <c r="R262" s="49">
        <f t="shared" si="49"/>
        <v>0</v>
      </c>
      <c r="S262" s="49">
        <f>[1]BASE!A260</f>
        <v>251</v>
      </c>
      <c r="T262" s="69">
        <f t="shared" si="50"/>
        <v>0</v>
      </c>
      <c r="U262" s="69">
        <f t="shared" si="51"/>
        <v>0</v>
      </c>
      <c r="V262" s="69">
        <f t="shared" si="52"/>
        <v>0</v>
      </c>
      <c r="W262" s="69">
        <f t="shared" si="53"/>
        <v>0</v>
      </c>
      <c r="X262" s="69">
        <f t="shared" si="54"/>
        <v>0</v>
      </c>
    </row>
    <row r="263" spans="1:24" ht="17.25" customHeight="1">
      <c r="A263" s="68" t="str">
        <f>IF(BASE!B261="","",BASE!B261)</f>
        <v/>
      </c>
      <c r="B263" s="49" t="s">
        <v>2</v>
      </c>
      <c r="C263" s="69">
        <f t="shared" si="39"/>
        <v>0</v>
      </c>
      <c r="D263" s="69">
        <f t="shared" si="40"/>
        <v>0</v>
      </c>
      <c r="E263" s="69">
        <f t="shared" si="41"/>
        <v>0</v>
      </c>
      <c r="F263" s="69">
        <f t="shared" si="42"/>
        <v>0</v>
      </c>
      <c r="G263" s="69">
        <f t="shared" si="43"/>
        <v>0</v>
      </c>
      <c r="H263" s="70"/>
      <c r="I263" s="79"/>
      <c r="J263" s="69">
        <f t="shared" si="44"/>
        <v>0</v>
      </c>
      <c r="K263" s="69">
        <f t="shared" si="45"/>
        <v>0</v>
      </c>
      <c r="L263" s="69">
        <f t="shared" si="46"/>
        <v>0</v>
      </c>
      <c r="M263" s="69">
        <f t="shared" si="47"/>
        <v>0</v>
      </c>
      <c r="N263" s="69">
        <f t="shared" si="48"/>
        <v>0</v>
      </c>
      <c r="O263" s="70"/>
      <c r="P263" s="79"/>
      <c r="Q263" s="79"/>
      <c r="R263" s="49">
        <f t="shared" si="49"/>
        <v>0</v>
      </c>
      <c r="S263" s="49">
        <f>[1]BASE!A261</f>
        <v>252</v>
      </c>
      <c r="T263" s="69">
        <f t="shared" si="50"/>
        <v>0</v>
      </c>
      <c r="U263" s="69">
        <f t="shared" si="51"/>
        <v>0</v>
      </c>
      <c r="V263" s="69">
        <f t="shared" si="52"/>
        <v>0</v>
      </c>
      <c r="W263" s="69">
        <f t="shared" si="53"/>
        <v>0</v>
      </c>
      <c r="X263" s="69">
        <f t="shared" si="54"/>
        <v>0</v>
      </c>
    </row>
    <row r="264" spans="1:24" ht="17.25" customHeight="1">
      <c r="A264" s="68" t="str">
        <f>IF(BASE!B262="","",BASE!B262)</f>
        <v/>
      </c>
      <c r="B264" s="49" t="s">
        <v>2</v>
      </c>
      <c r="C264" s="69">
        <f t="shared" si="39"/>
        <v>0</v>
      </c>
      <c r="D264" s="69">
        <f t="shared" si="40"/>
        <v>0</v>
      </c>
      <c r="E264" s="69">
        <f t="shared" si="41"/>
        <v>0</v>
      </c>
      <c r="F264" s="69">
        <f t="shared" si="42"/>
        <v>0</v>
      </c>
      <c r="G264" s="69">
        <f t="shared" si="43"/>
        <v>0</v>
      </c>
      <c r="H264" s="70"/>
      <c r="I264" s="79"/>
      <c r="J264" s="69">
        <f t="shared" si="44"/>
        <v>0</v>
      </c>
      <c r="K264" s="69">
        <f t="shared" si="45"/>
        <v>0</v>
      </c>
      <c r="L264" s="69">
        <f t="shared" si="46"/>
        <v>0</v>
      </c>
      <c r="M264" s="69">
        <f t="shared" si="47"/>
        <v>0</v>
      </c>
      <c r="N264" s="69">
        <f t="shared" si="48"/>
        <v>0</v>
      </c>
      <c r="O264" s="70"/>
      <c r="P264" s="79"/>
      <c r="Q264" s="79"/>
      <c r="R264" s="49">
        <f t="shared" si="49"/>
        <v>0</v>
      </c>
      <c r="S264" s="49">
        <f>[1]BASE!A262</f>
        <v>253</v>
      </c>
      <c r="T264" s="69">
        <f t="shared" si="50"/>
        <v>0</v>
      </c>
      <c r="U264" s="69">
        <f t="shared" si="51"/>
        <v>0</v>
      </c>
      <c r="V264" s="69">
        <f t="shared" si="52"/>
        <v>0</v>
      </c>
      <c r="W264" s="69">
        <f t="shared" si="53"/>
        <v>0</v>
      </c>
      <c r="X264" s="69">
        <f t="shared" si="54"/>
        <v>0</v>
      </c>
    </row>
    <row r="265" spans="1:24" ht="17.25" customHeight="1">
      <c r="A265" s="68" t="str">
        <f>IF(BASE!B263="","",BASE!B263)</f>
        <v/>
      </c>
      <c r="B265" s="49" t="s">
        <v>2</v>
      </c>
      <c r="C265" s="69">
        <f t="shared" si="39"/>
        <v>0</v>
      </c>
      <c r="D265" s="69">
        <f t="shared" si="40"/>
        <v>0</v>
      </c>
      <c r="E265" s="69">
        <f t="shared" si="41"/>
        <v>0</v>
      </c>
      <c r="F265" s="69">
        <f t="shared" si="42"/>
        <v>0</v>
      </c>
      <c r="G265" s="69">
        <f t="shared" si="43"/>
        <v>0</v>
      </c>
      <c r="H265" s="70"/>
      <c r="I265" s="79"/>
      <c r="J265" s="69">
        <f t="shared" si="44"/>
        <v>0</v>
      </c>
      <c r="K265" s="69">
        <f t="shared" si="45"/>
        <v>0</v>
      </c>
      <c r="L265" s="69">
        <f t="shared" si="46"/>
        <v>0</v>
      </c>
      <c r="M265" s="69">
        <f t="shared" si="47"/>
        <v>0</v>
      </c>
      <c r="N265" s="69">
        <f t="shared" si="48"/>
        <v>0</v>
      </c>
      <c r="O265" s="70"/>
      <c r="P265" s="79"/>
      <c r="Q265" s="79"/>
      <c r="R265" s="49">
        <f t="shared" si="49"/>
        <v>0</v>
      </c>
      <c r="S265" s="49">
        <f>[1]BASE!A263</f>
        <v>254</v>
      </c>
      <c r="T265" s="69">
        <f t="shared" si="50"/>
        <v>0</v>
      </c>
      <c r="U265" s="69">
        <f t="shared" si="51"/>
        <v>0</v>
      </c>
      <c r="V265" s="69">
        <f t="shared" si="52"/>
        <v>0</v>
      </c>
      <c r="W265" s="69">
        <f t="shared" si="53"/>
        <v>0</v>
      </c>
      <c r="X265" s="69">
        <f t="shared" si="54"/>
        <v>0</v>
      </c>
    </row>
    <row r="266" spans="1:24" ht="17.25" customHeight="1">
      <c r="A266" s="68" t="str">
        <f>IF(BASE!B264="","",BASE!B264)</f>
        <v/>
      </c>
      <c r="B266" s="49" t="s">
        <v>2</v>
      </c>
      <c r="C266" s="69">
        <f t="shared" si="39"/>
        <v>0</v>
      </c>
      <c r="D266" s="69">
        <f t="shared" si="40"/>
        <v>0</v>
      </c>
      <c r="E266" s="69">
        <f t="shared" si="41"/>
        <v>0</v>
      </c>
      <c r="F266" s="69">
        <f t="shared" si="42"/>
        <v>0</v>
      </c>
      <c r="G266" s="69">
        <f t="shared" si="43"/>
        <v>0</v>
      </c>
      <c r="H266" s="70"/>
      <c r="I266" s="79"/>
      <c r="J266" s="69">
        <f t="shared" si="44"/>
        <v>0</v>
      </c>
      <c r="K266" s="69">
        <f t="shared" si="45"/>
        <v>0</v>
      </c>
      <c r="L266" s="69">
        <f t="shared" si="46"/>
        <v>0</v>
      </c>
      <c r="M266" s="69">
        <f t="shared" si="47"/>
        <v>0</v>
      </c>
      <c r="N266" s="69">
        <f t="shared" si="48"/>
        <v>0</v>
      </c>
      <c r="O266" s="70"/>
      <c r="P266" s="79"/>
      <c r="Q266" s="79"/>
      <c r="R266" s="49">
        <f t="shared" si="49"/>
        <v>0</v>
      </c>
      <c r="S266" s="49">
        <f>[1]BASE!A264</f>
        <v>255</v>
      </c>
      <c r="T266" s="69">
        <f t="shared" si="50"/>
        <v>0</v>
      </c>
      <c r="U266" s="69">
        <f t="shared" si="51"/>
        <v>0</v>
      </c>
      <c r="V266" s="69">
        <f t="shared" si="52"/>
        <v>0</v>
      </c>
      <c r="W266" s="69">
        <f t="shared" si="53"/>
        <v>0</v>
      </c>
      <c r="X266" s="69">
        <f t="shared" si="54"/>
        <v>0</v>
      </c>
    </row>
    <row r="267" spans="1:24" ht="17.25" customHeight="1">
      <c r="A267" s="68" t="str">
        <f>IF(BASE!B265="","",BASE!B265)</f>
        <v/>
      </c>
      <c r="B267" s="49" t="s">
        <v>2</v>
      </c>
      <c r="C267" s="69">
        <f t="shared" si="39"/>
        <v>0</v>
      </c>
      <c r="D267" s="69">
        <f t="shared" si="40"/>
        <v>0</v>
      </c>
      <c r="E267" s="69">
        <f t="shared" si="41"/>
        <v>0</v>
      </c>
      <c r="F267" s="69">
        <f t="shared" si="42"/>
        <v>0</v>
      </c>
      <c r="G267" s="69">
        <f t="shared" si="43"/>
        <v>0</v>
      </c>
      <c r="H267" s="70"/>
      <c r="I267" s="79"/>
      <c r="J267" s="69">
        <f t="shared" si="44"/>
        <v>0</v>
      </c>
      <c r="K267" s="69">
        <f t="shared" si="45"/>
        <v>0</v>
      </c>
      <c r="L267" s="69">
        <f t="shared" si="46"/>
        <v>0</v>
      </c>
      <c r="M267" s="69">
        <f t="shared" si="47"/>
        <v>0</v>
      </c>
      <c r="N267" s="69">
        <f t="shared" si="48"/>
        <v>0</v>
      </c>
      <c r="O267" s="70"/>
      <c r="P267" s="79"/>
      <c r="Q267" s="79"/>
      <c r="R267" s="49">
        <f t="shared" si="49"/>
        <v>0</v>
      </c>
      <c r="S267" s="49">
        <f>[1]BASE!A265</f>
        <v>256</v>
      </c>
      <c r="T267" s="69">
        <f t="shared" si="50"/>
        <v>0</v>
      </c>
      <c r="U267" s="69">
        <f t="shared" si="51"/>
        <v>0</v>
      </c>
      <c r="V267" s="69">
        <f t="shared" si="52"/>
        <v>0</v>
      </c>
      <c r="W267" s="69">
        <f t="shared" si="53"/>
        <v>0</v>
      </c>
      <c r="X267" s="69">
        <f t="shared" si="54"/>
        <v>0</v>
      </c>
    </row>
    <row r="268" spans="1:24" ht="17.25" customHeight="1">
      <c r="A268" s="68" t="str">
        <f>IF(BASE!B266="","",BASE!B266)</f>
        <v/>
      </c>
      <c r="B268" s="49" t="s">
        <v>2</v>
      </c>
      <c r="C268" s="69">
        <f t="shared" si="39"/>
        <v>0</v>
      </c>
      <c r="D268" s="69">
        <f t="shared" si="40"/>
        <v>0</v>
      </c>
      <c r="E268" s="69">
        <f t="shared" si="41"/>
        <v>0</v>
      </c>
      <c r="F268" s="69">
        <f t="shared" si="42"/>
        <v>0</v>
      </c>
      <c r="G268" s="69">
        <f t="shared" si="43"/>
        <v>0</v>
      </c>
      <c r="H268" s="70"/>
      <c r="I268" s="79"/>
      <c r="J268" s="69">
        <f t="shared" si="44"/>
        <v>0</v>
      </c>
      <c r="K268" s="69">
        <f t="shared" si="45"/>
        <v>0</v>
      </c>
      <c r="L268" s="69">
        <f t="shared" si="46"/>
        <v>0</v>
      </c>
      <c r="M268" s="69">
        <f t="shared" si="47"/>
        <v>0</v>
      </c>
      <c r="N268" s="69">
        <f t="shared" si="48"/>
        <v>0</v>
      </c>
      <c r="O268" s="70"/>
      <c r="P268" s="79"/>
      <c r="Q268" s="79"/>
      <c r="R268" s="49">
        <f t="shared" si="49"/>
        <v>0</v>
      </c>
      <c r="S268" s="49">
        <f>[1]BASE!A266</f>
        <v>257</v>
      </c>
      <c r="T268" s="69">
        <f t="shared" si="50"/>
        <v>0</v>
      </c>
      <c r="U268" s="69">
        <f t="shared" si="51"/>
        <v>0</v>
      </c>
      <c r="V268" s="69">
        <f t="shared" si="52"/>
        <v>0</v>
      </c>
      <c r="W268" s="69">
        <f t="shared" si="53"/>
        <v>0</v>
      </c>
      <c r="X268" s="69">
        <f t="shared" si="54"/>
        <v>0</v>
      </c>
    </row>
    <row r="269" spans="1:24" ht="17.25" customHeight="1">
      <c r="A269" s="68" t="str">
        <f>IF(BASE!B267="","",BASE!B267)</f>
        <v/>
      </c>
      <c r="B269" s="49" t="s">
        <v>2</v>
      </c>
      <c r="C269" s="69">
        <f t="shared" ref="C269:C332" si="55">(H269/5)</f>
        <v>0</v>
      </c>
      <c r="D269" s="69">
        <f t="shared" ref="D269:D332" si="56">(H269/5)</f>
        <v>0</v>
      </c>
      <c r="E269" s="69">
        <f t="shared" ref="E269:E332" si="57">(H269/5)</f>
        <v>0</v>
      </c>
      <c r="F269" s="69">
        <f t="shared" ref="F269:F332" si="58">(H269/5)</f>
        <v>0</v>
      </c>
      <c r="G269" s="69">
        <f t="shared" ref="G269:G332" si="59">(H269/5)</f>
        <v>0</v>
      </c>
      <c r="H269" s="70"/>
      <c r="I269" s="79"/>
      <c r="J269" s="69">
        <f t="shared" ref="J269:J332" si="60">(O269/5)</f>
        <v>0</v>
      </c>
      <c r="K269" s="69">
        <f t="shared" ref="K269:K332" si="61">(O269/5)</f>
        <v>0</v>
      </c>
      <c r="L269" s="69">
        <f t="shared" ref="L269:L332" si="62">(O269/5)</f>
        <v>0</v>
      </c>
      <c r="M269" s="69">
        <f t="shared" ref="M269:M332" si="63">(O269/5)</f>
        <v>0</v>
      </c>
      <c r="N269" s="69">
        <f t="shared" ref="N269:N332" si="64">(O269/5)</f>
        <v>0</v>
      </c>
      <c r="O269" s="70"/>
      <c r="P269" s="79"/>
      <c r="Q269" s="79"/>
      <c r="R269" s="49">
        <f t="shared" ref="R269:R332" si="65">SUM(H269,O269)</f>
        <v>0</v>
      </c>
      <c r="S269" s="49">
        <f>[1]BASE!A267</f>
        <v>258</v>
      </c>
      <c r="T269" s="69">
        <f t="shared" si="50"/>
        <v>0</v>
      </c>
      <c r="U269" s="69">
        <f t="shared" si="51"/>
        <v>0</v>
      </c>
      <c r="V269" s="69">
        <f t="shared" si="52"/>
        <v>0</v>
      </c>
      <c r="W269" s="69">
        <f t="shared" si="53"/>
        <v>0</v>
      </c>
      <c r="X269" s="69">
        <f t="shared" si="54"/>
        <v>0</v>
      </c>
    </row>
    <row r="270" spans="1:24" ht="17.25" customHeight="1">
      <c r="A270" s="68" t="str">
        <f>IF(BASE!B268="","",BASE!B268)</f>
        <v/>
      </c>
      <c r="B270" s="49" t="s">
        <v>2</v>
      </c>
      <c r="C270" s="69">
        <f t="shared" si="55"/>
        <v>0</v>
      </c>
      <c r="D270" s="69">
        <f t="shared" si="56"/>
        <v>0</v>
      </c>
      <c r="E270" s="69">
        <f t="shared" si="57"/>
        <v>0</v>
      </c>
      <c r="F270" s="69">
        <f t="shared" si="58"/>
        <v>0</v>
      </c>
      <c r="G270" s="69">
        <f t="shared" si="59"/>
        <v>0</v>
      </c>
      <c r="H270" s="70"/>
      <c r="I270" s="79"/>
      <c r="J270" s="69">
        <f t="shared" si="60"/>
        <v>0</v>
      </c>
      <c r="K270" s="69">
        <f t="shared" si="61"/>
        <v>0</v>
      </c>
      <c r="L270" s="69">
        <f t="shared" si="62"/>
        <v>0</v>
      </c>
      <c r="M270" s="69">
        <f t="shared" si="63"/>
        <v>0</v>
      </c>
      <c r="N270" s="69">
        <f t="shared" si="64"/>
        <v>0</v>
      </c>
      <c r="O270" s="70"/>
      <c r="P270" s="79"/>
      <c r="Q270" s="79"/>
      <c r="R270" s="49">
        <f t="shared" si="65"/>
        <v>0</v>
      </c>
      <c r="S270" s="49">
        <f>[1]BASE!A268</f>
        <v>259</v>
      </c>
      <c r="T270" s="69">
        <f t="shared" si="50"/>
        <v>0</v>
      </c>
      <c r="U270" s="69">
        <f t="shared" si="51"/>
        <v>0</v>
      </c>
      <c r="V270" s="69">
        <f t="shared" si="52"/>
        <v>0</v>
      </c>
      <c r="W270" s="69">
        <f t="shared" si="53"/>
        <v>0</v>
      </c>
      <c r="X270" s="69">
        <f t="shared" si="54"/>
        <v>0</v>
      </c>
    </row>
    <row r="271" spans="1:24" ht="17.25" customHeight="1">
      <c r="A271" s="68" t="str">
        <f>IF(BASE!B269="","",BASE!B269)</f>
        <v/>
      </c>
      <c r="B271" s="49" t="s">
        <v>2</v>
      </c>
      <c r="C271" s="69">
        <f t="shared" si="55"/>
        <v>0</v>
      </c>
      <c r="D271" s="69">
        <f t="shared" si="56"/>
        <v>0</v>
      </c>
      <c r="E271" s="69">
        <f t="shared" si="57"/>
        <v>0</v>
      </c>
      <c r="F271" s="69">
        <f t="shared" si="58"/>
        <v>0</v>
      </c>
      <c r="G271" s="69">
        <f t="shared" si="59"/>
        <v>0</v>
      </c>
      <c r="H271" s="70"/>
      <c r="I271" s="79"/>
      <c r="J271" s="69">
        <f t="shared" si="60"/>
        <v>0</v>
      </c>
      <c r="K271" s="69">
        <f t="shared" si="61"/>
        <v>0</v>
      </c>
      <c r="L271" s="69">
        <f t="shared" si="62"/>
        <v>0</v>
      </c>
      <c r="M271" s="69">
        <f t="shared" si="63"/>
        <v>0</v>
      </c>
      <c r="N271" s="69">
        <f t="shared" si="64"/>
        <v>0</v>
      </c>
      <c r="O271" s="70"/>
      <c r="P271" s="79"/>
      <c r="Q271" s="79"/>
      <c r="R271" s="49">
        <f t="shared" si="65"/>
        <v>0</v>
      </c>
      <c r="S271" s="49">
        <f>[1]BASE!A269</f>
        <v>260</v>
      </c>
      <c r="T271" s="69">
        <f t="shared" si="50"/>
        <v>0</v>
      </c>
      <c r="U271" s="69">
        <f t="shared" si="51"/>
        <v>0</v>
      </c>
      <c r="V271" s="69">
        <f t="shared" si="52"/>
        <v>0</v>
      </c>
      <c r="W271" s="69">
        <f t="shared" si="53"/>
        <v>0</v>
      </c>
      <c r="X271" s="69">
        <f t="shared" si="54"/>
        <v>0</v>
      </c>
    </row>
    <row r="272" spans="1:24" ht="17.25" customHeight="1">
      <c r="A272" s="68" t="str">
        <f>IF(BASE!B270="","",BASE!B270)</f>
        <v/>
      </c>
      <c r="B272" s="49" t="s">
        <v>2</v>
      </c>
      <c r="C272" s="69">
        <f t="shared" si="55"/>
        <v>0</v>
      </c>
      <c r="D272" s="69">
        <f t="shared" si="56"/>
        <v>0</v>
      </c>
      <c r="E272" s="69">
        <f t="shared" si="57"/>
        <v>0</v>
      </c>
      <c r="F272" s="69">
        <f t="shared" si="58"/>
        <v>0</v>
      </c>
      <c r="G272" s="69">
        <f t="shared" si="59"/>
        <v>0</v>
      </c>
      <c r="H272" s="70"/>
      <c r="I272" s="79"/>
      <c r="J272" s="69">
        <f t="shared" si="60"/>
        <v>0</v>
      </c>
      <c r="K272" s="69">
        <f t="shared" si="61"/>
        <v>0</v>
      </c>
      <c r="L272" s="69">
        <f t="shared" si="62"/>
        <v>0</v>
      </c>
      <c r="M272" s="69">
        <f t="shared" si="63"/>
        <v>0</v>
      </c>
      <c r="N272" s="69">
        <f t="shared" si="64"/>
        <v>0</v>
      </c>
      <c r="O272" s="70"/>
      <c r="P272" s="79"/>
      <c r="Q272" s="79"/>
      <c r="R272" s="49">
        <f t="shared" si="65"/>
        <v>0</v>
      </c>
      <c r="S272" s="49">
        <f>[1]BASE!A270</f>
        <v>261</v>
      </c>
      <c r="T272" s="69">
        <f t="shared" si="50"/>
        <v>0</v>
      </c>
      <c r="U272" s="69">
        <f t="shared" si="51"/>
        <v>0</v>
      </c>
      <c r="V272" s="69">
        <f t="shared" si="52"/>
        <v>0</v>
      </c>
      <c r="W272" s="69">
        <f t="shared" si="53"/>
        <v>0</v>
      </c>
      <c r="X272" s="69">
        <f t="shared" si="54"/>
        <v>0</v>
      </c>
    </row>
    <row r="273" spans="1:24" ht="17.25" customHeight="1">
      <c r="A273" s="68" t="str">
        <f>IF(BASE!B271="","",BASE!B271)</f>
        <v/>
      </c>
      <c r="B273" s="49" t="s">
        <v>2</v>
      </c>
      <c r="C273" s="69">
        <f t="shared" si="55"/>
        <v>0</v>
      </c>
      <c r="D273" s="69">
        <f t="shared" si="56"/>
        <v>0</v>
      </c>
      <c r="E273" s="69">
        <f t="shared" si="57"/>
        <v>0</v>
      </c>
      <c r="F273" s="69">
        <f t="shared" si="58"/>
        <v>0</v>
      </c>
      <c r="G273" s="69">
        <f t="shared" si="59"/>
        <v>0</v>
      </c>
      <c r="H273" s="70"/>
      <c r="I273" s="79"/>
      <c r="J273" s="69">
        <f t="shared" si="60"/>
        <v>0</v>
      </c>
      <c r="K273" s="69">
        <f t="shared" si="61"/>
        <v>0</v>
      </c>
      <c r="L273" s="69">
        <f t="shared" si="62"/>
        <v>0</v>
      </c>
      <c r="M273" s="69">
        <f t="shared" si="63"/>
        <v>0</v>
      </c>
      <c r="N273" s="69">
        <f t="shared" si="64"/>
        <v>0</v>
      </c>
      <c r="O273" s="70"/>
      <c r="P273" s="79"/>
      <c r="Q273" s="79"/>
      <c r="R273" s="49">
        <f t="shared" si="65"/>
        <v>0</v>
      </c>
      <c r="S273" s="49">
        <f>[1]BASE!A271</f>
        <v>262</v>
      </c>
      <c r="T273" s="69">
        <f t="shared" si="50"/>
        <v>0</v>
      </c>
      <c r="U273" s="69">
        <f t="shared" si="51"/>
        <v>0</v>
      </c>
      <c r="V273" s="69">
        <f t="shared" si="52"/>
        <v>0</v>
      </c>
      <c r="W273" s="69">
        <f t="shared" si="53"/>
        <v>0</v>
      </c>
      <c r="X273" s="69">
        <f t="shared" si="54"/>
        <v>0</v>
      </c>
    </row>
    <row r="274" spans="1:24" ht="17.25" customHeight="1">
      <c r="A274" s="68" t="str">
        <f>IF(BASE!B272="","",BASE!B272)</f>
        <v/>
      </c>
      <c r="B274" s="49" t="s">
        <v>2</v>
      </c>
      <c r="C274" s="69">
        <f t="shared" si="55"/>
        <v>0</v>
      </c>
      <c r="D274" s="69">
        <f t="shared" si="56"/>
        <v>0</v>
      </c>
      <c r="E274" s="69">
        <f t="shared" si="57"/>
        <v>0</v>
      </c>
      <c r="F274" s="69">
        <f t="shared" si="58"/>
        <v>0</v>
      </c>
      <c r="G274" s="69">
        <f t="shared" si="59"/>
        <v>0</v>
      </c>
      <c r="H274" s="70"/>
      <c r="I274" s="79"/>
      <c r="J274" s="69">
        <f t="shared" si="60"/>
        <v>0</v>
      </c>
      <c r="K274" s="69">
        <f t="shared" si="61"/>
        <v>0</v>
      </c>
      <c r="L274" s="69">
        <f t="shared" si="62"/>
        <v>0</v>
      </c>
      <c r="M274" s="69">
        <f t="shared" si="63"/>
        <v>0</v>
      </c>
      <c r="N274" s="69">
        <f t="shared" si="64"/>
        <v>0</v>
      </c>
      <c r="O274" s="70"/>
      <c r="P274" s="79"/>
      <c r="Q274" s="79"/>
      <c r="R274" s="49">
        <f t="shared" si="65"/>
        <v>0</v>
      </c>
      <c r="S274" s="49">
        <f>[1]BASE!A272</f>
        <v>263</v>
      </c>
      <c r="T274" s="69">
        <f t="shared" si="50"/>
        <v>0</v>
      </c>
      <c r="U274" s="69">
        <f t="shared" si="51"/>
        <v>0</v>
      </c>
      <c r="V274" s="69">
        <f t="shared" si="52"/>
        <v>0</v>
      </c>
      <c r="W274" s="69">
        <f t="shared" si="53"/>
        <v>0</v>
      </c>
      <c r="X274" s="69">
        <f t="shared" si="54"/>
        <v>0</v>
      </c>
    </row>
    <row r="275" spans="1:24" ht="17.25" customHeight="1">
      <c r="A275" s="68" t="str">
        <f>IF(BASE!B273="","",BASE!B273)</f>
        <v/>
      </c>
      <c r="B275" s="49" t="s">
        <v>2</v>
      </c>
      <c r="C275" s="69">
        <f t="shared" si="55"/>
        <v>0</v>
      </c>
      <c r="D275" s="69">
        <f t="shared" si="56"/>
        <v>0</v>
      </c>
      <c r="E275" s="69">
        <f t="shared" si="57"/>
        <v>0</v>
      </c>
      <c r="F275" s="69">
        <f t="shared" si="58"/>
        <v>0</v>
      </c>
      <c r="G275" s="69">
        <f t="shared" si="59"/>
        <v>0</v>
      </c>
      <c r="H275" s="70"/>
      <c r="I275" s="79"/>
      <c r="J275" s="69">
        <f t="shared" si="60"/>
        <v>0</v>
      </c>
      <c r="K275" s="69">
        <f t="shared" si="61"/>
        <v>0</v>
      </c>
      <c r="L275" s="69">
        <f t="shared" si="62"/>
        <v>0</v>
      </c>
      <c r="M275" s="69">
        <f t="shared" si="63"/>
        <v>0</v>
      </c>
      <c r="N275" s="69">
        <f t="shared" si="64"/>
        <v>0</v>
      </c>
      <c r="O275" s="70"/>
      <c r="P275" s="79"/>
      <c r="Q275" s="79"/>
      <c r="R275" s="49">
        <f t="shared" si="65"/>
        <v>0</v>
      </c>
      <c r="S275" s="49">
        <f>[1]BASE!A273</f>
        <v>264</v>
      </c>
      <c r="T275" s="69">
        <f t="shared" si="50"/>
        <v>0</v>
      </c>
      <c r="U275" s="69">
        <f t="shared" si="51"/>
        <v>0</v>
      </c>
      <c r="V275" s="69">
        <f t="shared" si="52"/>
        <v>0</v>
      </c>
      <c r="W275" s="69">
        <f t="shared" si="53"/>
        <v>0</v>
      </c>
      <c r="X275" s="69">
        <f t="shared" si="54"/>
        <v>0</v>
      </c>
    </row>
    <row r="276" spans="1:24" ht="17.25" customHeight="1">
      <c r="A276" s="68" t="str">
        <f>IF(BASE!B274="","",BASE!B274)</f>
        <v/>
      </c>
      <c r="B276" s="49" t="s">
        <v>2</v>
      </c>
      <c r="C276" s="69">
        <f t="shared" si="55"/>
        <v>0</v>
      </c>
      <c r="D276" s="69">
        <f t="shared" si="56"/>
        <v>0</v>
      </c>
      <c r="E276" s="69">
        <f t="shared" si="57"/>
        <v>0</v>
      </c>
      <c r="F276" s="69">
        <f t="shared" si="58"/>
        <v>0</v>
      </c>
      <c r="G276" s="69">
        <f t="shared" si="59"/>
        <v>0</v>
      </c>
      <c r="H276" s="70"/>
      <c r="I276" s="79"/>
      <c r="J276" s="69">
        <f t="shared" si="60"/>
        <v>0</v>
      </c>
      <c r="K276" s="69">
        <f t="shared" si="61"/>
        <v>0</v>
      </c>
      <c r="L276" s="69">
        <f t="shared" si="62"/>
        <v>0</v>
      </c>
      <c r="M276" s="69">
        <f t="shared" si="63"/>
        <v>0</v>
      </c>
      <c r="N276" s="69">
        <f t="shared" si="64"/>
        <v>0</v>
      </c>
      <c r="O276" s="70"/>
      <c r="P276" s="79"/>
      <c r="Q276" s="79"/>
      <c r="R276" s="49">
        <f t="shared" si="65"/>
        <v>0</v>
      </c>
      <c r="S276" s="49">
        <f>[1]BASE!A274</f>
        <v>265</v>
      </c>
      <c r="T276" s="69">
        <f t="shared" si="50"/>
        <v>0</v>
      </c>
      <c r="U276" s="69">
        <f t="shared" si="51"/>
        <v>0</v>
      </c>
      <c r="V276" s="69">
        <f t="shared" si="52"/>
        <v>0</v>
      </c>
      <c r="W276" s="69">
        <f t="shared" si="53"/>
        <v>0</v>
      </c>
      <c r="X276" s="69">
        <f t="shared" si="54"/>
        <v>0</v>
      </c>
    </row>
    <row r="277" spans="1:24" ht="17.25" customHeight="1">
      <c r="A277" s="68" t="str">
        <f>IF(BASE!B275="","",BASE!B275)</f>
        <v/>
      </c>
      <c r="B277" s="49" t="s">
        <v>2</v>
      </c>
      <c r="C277" s="69">
        <f t="shared" si="55"/>
        <v>0</v>
      </c>
      <c r="D277" s="69">
        <f t="shared" si="56"/>
        <v>0</v>
      </c>
      <c r="E277" s="69">
        <f t="shared" si="57"/>
        <v>0</v>
      </c>
      <c r="F277" s="69">
        <f t="shared" si="58"/>
        <v>0</v>
      </c>
      <c r="G277" s="69">
        <f t="shared" si="59"/>
        <v>0</v>
      </c>
      <c r="H277" s="70"/>
      <c r="I277" s="79"/>
      <c r="J277" s="69">
        <f t="shared" si="60"/>
        <v>0</v>
      </c>
      <c r="K277" s="69">
        <f t="shared" si="61"/>
        <v>0</v>
      </c>
      <c r="L277" s="69">
        <f t="shared" si="62"/>
        <v>0</v>
      </c>
      <c r="M277" s="69">
        <f t="shared" si="63"/>
        <v>0</v>
      </c>
      <c r="N277" s="69">
        <f t="shared" si="64"/>
        <v>0</v>
      </c>
      <c r="O277" s="70"/>
      <c r="P277" s="79"/>
      <c r="Q277" s="79"/>
      <c r="R277" s="49">
        <f t="shared" si="65"/>
        <v>0</v>
      </c>
      <c r="S277" s="49">
        <f>[1]BASE!A275</f>
        <v>266</v>
      </c>
      <c r="T277" s="69">
        <f t="shared" si="50"/>
        <v>0</v>
      </c>
      <c r="U277" s="69">
        <f t="shared" si="51"/>
        <v>0</v>
      </c>
      <c r="V277" s="69">
        <f t="shared" si="52"/>
        <v>0</v>
      </c>
      <c r="W277" s="69">
        <f t="shared" si="53"/>
        <v>0</v>
      </c>
      <c r="X277" s="69">
        <f t="shared" si="54"/>
        <v>0</v>
      </c>
    </row>
    <row r="278" spans="1:24" ht="17.25" customHeight="1">
      <c r="A278" s="68" t="str">
        <f>IF(BASE!B276="","",BASE!B276)</f>
        <v/>
      </c>
      <c r="B278" s="49" t="s">
        <v>2</v>
      </c>
      <c r="C278" s="69">
        <f t="shared" si="55"/>
        <v>0</v>
      </c>
      <c r="D278" s="69">
        <f t="shared" si="56"/>
        <v>0</v>
      </c>
      <c r="E278" s="69">
        <f t="shared" si="57"/>
        <v>0</v>
      </c>
      <c r="F278" s="69">
        <f t="shared" si="58"/>
        <v>0</v>
      </c>
      <c r="G278" s="69">
        <f t="shared" si="59"/>
        <v>0</v>
      </c>
      <c r="H278" s="70"/>
      <c r="I278" s="79"/>
      <c r="J278" s="69">
        <f t="shared" si="60"/>
        <v>0</v>
      </c>
      <c r="K278" s="69">
        <f t="shared" si="61"/>
        <v>0</v>
      </c>
      <c r="L278" s="69">
        <f t="shared" si="62"/>
        <v>0</v>
      </c>
      <c r="M278" s="69">
        <f t="shared" si="63"/>
        <v>0</v>
      </c>
      <c r="N278" s="69">
        <f t="shared" si="64"/>
        <v>0</v>
      </c>
      <c r="O278" s="70"/>
      <c r="P278" s="79"/>
      <c r="Q278" s="79"/>
      <c r="R278" s="49">
        <f t="shared" si="65"/>
        <v>0</v>
      </c>
      <c r="S278" s="49">
        <f>[1]BASE!A276</f>
        <v>267</v>
      </c>
      <c r="T278" s="69">
        <f t="shared" si="50"/>
        <v>0</v>
      </c>
      <c r="U278" s="69">
        <f t="shared" si="51"/>
        <v>0</v>
      </c>
      <c r="V278" s="69">
        <f t="shared" si="52"/>
        <v>0</v>
      </c>
      <c r="W278" s="69">
        <f t="shared" si="53"/>
        <v>0</v>
      </c>
      <c r="X278" s="69">
        <f t="shared" si="54"/>
        <v>0</v>
      </c>
    </row>
    <row r="279" spans="1:24" ht="17.25" customHeight="1">
      <c r="A279" s="68" t="str">
        <f>IF(BASE!B277="","",BASE!B277)</f>
        <v/>
      </c>
      <c r="B279" s="49" t="s">
        <v>2</v>
      </c>
      <c r="C279" s="69">
        <f t="shared" si="55"/>
        <v>0</v>
      </c>
      <c r="D279" s="69">
        <f t="shared" si="56"/>
        <v>0</v>
      </c>
      <c r="E279" s="69">
        <f t="shared" si="57"/>
        <v>0</v>
      </c>
      <c r="F279" s="69">
        <f t="shared" si="58"/>
        <v>0</v>
      </c>
      <c r="G279" s="69">
        <f t="shared" si="59"/>
        <v>0</v>
      </c>
      <c r="H279" s="70"/>
      <c r="I279" s="79"/>
      <c r="J279" s="69">
        <f t="shared" si="60"/>
        <v>0</v>
      </c>
      <c r="K279" s="69">
        <f t="shared" si="61"/>
        <v>0</v>
      </c>
      <c r="L279" s="69">
        <f t="shared" si="62"/>
        <v>0</v>
      </c>
      <c r="M279" s="69">
        <f t="shared" si="63"/>
        <v>0</v>
      </c>
      <c r="N279" s="69">
        <f t="shared" si="64"/>
        <v>0</v>
      </c>
      <c r="O279" s="70"/>
      <c r="P279" s="79"/>
      <c r="Q279" s="79"/>
      <c r="R279" s="49">
        <f t="shared" si="65"/>
        <v>0</v>
      </c>
      <c r="S279" s="49">
        <f>[1]BASE!A277</f>
        <v>268</v>
      </c>
      <c r="T279" s="69">
        <f t="shared" si="50"/>
        <v>0</v>
      </c>
      <c r="U279" s="69">
        <f t="shared" si="51"/>
        <v>0</v>
      </c>
      <c r="V279" s="69">
        <f t="shared" si="52"/>
        <v>0</v>
      </c>
      <c r="W279" s="69">
        <f t="shared" si="53"/>
        <v>0</v>
      </c>
      <c r="X279" s="69">
        <f t="shared" si="54"/>
        <v>0</v>
      </c>
    </row>
    <row r="280" spans="1:24" ht="17.25" customHeight="1">
      <c r="A280" s="68" t="str">
        <f>IF(BASE!B278="","",BASE!B278)</f>
        <v/>
      </c>
      <c r="B280" s="49" t="s">
        <v>2</v>
      </c>
      <c r="C280" s="69">
        <f t="shared" si="55"/>
        <v>0</v>
      </c>
      <c r="D280" s="69">
        <f t="shared" si="56"/>
        <v>0</v>
      </c>
      <c r="E280" s="69">
        <f t="shared" si="57"/>
        <v>0</v>
      </c>
      <c r="F280" s="69">
        <f t="shared" si="58"/>
        <v>0</v>
      </c>
      <c r="G280" s="69">
        <f t="shared" si="59"/>
        <v>0</v>
      </c>
      <c r="H280" s="70"/>
      <c r="I280" s="79"/>
      <c r="J280" s="69">
        <f t="shared" si="60"/>
        <v>0</v>
      </c>
      <c r="K280" s="69">
        <f t="shared" si="61"/>
        <v>0</v>
      </c>
      <c r="L280" s="69">
        <f t="shared" si="62"/>
        <v>0</v>
      </c>
      <c r="M280" s="69">
        <f t="shared" si="63"/>
        <v>0</v>
      </c>
      <c r="N280" s="69">
        <f t="shared" si="64"/>
        <v>0</v>
      </c>
      <c r="O280" s="70"/>
      <c r="P280" s="79"/>
      <c r="Q280" s="79"/>
      <c r="R280" s="49">
        <f t="shared" si="65"/>
        <v>0</v>
      </c>
      <c r="S280" s="49">
        <f>[1]BASE!A278</f>
        <v>269</v>
      </c>
      <c r="T280" s="69">
        <f t="shared" si="50"/>
        <v>0</v>
      </c>
      <c r="U280" s="69">
        <f t="shared" si="51"/>
        <v>0</v>
      </c>
      <c r="V280" s="69">
        <f t="shared" si="52"/>
        <v>0</v>
      </c>
      <c r="W280" s="69">
        <f t="shared" si="53"/>
        <v>0</v>
      </c>
      <c r="X280" s="69">
        <f t="shared" si="54"/>
        <v>0</v>
      </c>
    </row>
    <row r="281" spans="1:24" ht="17.25" customHeight="1">
      <c r="A281" s="68" t="str">
        <f>IF(BASE!B279="","",BASE!B279)</f>
        <v/>
      </c>
      <c r="B281" s="49" t="s">
        <v>2</v>
      </c>
      <c r="C281" s="69">
        <f t="shared" si="55"/>
        <v>0</v>
      </c>
      <c r="D281" s="69">
        <f t="shared" si="56"/>
        <v>0</v>
      </c>
      <c r="E281" s="69">
        <f t="shared" si="57"/>
        <v>0</v>
      </c>
      <c r="F281" s="69">
        <f t="shared" si="58"/>
        <v>0</v>
      </c>
      <c r="G281" s="69">
        <f t="shared" si="59"/>
        <v>0</v>
      </c>
      <c r="H281" s="70"/>
      <c r="I281" s="79"/>
      <c r="J281" s="69">
        <f t="shared" si="60"/>
        <v>0</v>
      </c>
      <c r="K281" s="69">
        <f t="shared" si="61"/>
        <v>0</v>
      </c>
      <c r="L281" s="69">
        <f t="shared" si="62"/>
        <v>0</v>
      </c>
      <c r="M281" s="69">
        <f t="shared" si="63"/>
        <v>0</v>
      </c>
      <c r="N281" s="69">
        <f t="shared" si="64"/>
        <v>0</v>
      </c>
      <c r="O281" s="70"/>
      <c r="P281" s="79"/>
      <c r="Q281" s="79"/>
      <c r="R281" s="49">
        <f t="shared" si="65"/>
        <v>0</v>
      </c>
      <c r="S281" s="49">
        <f>[1]BASE!A279</f>
        <v>270</v>
      </c>
      <c r="T281" s="69">
        <f t="shared" si="50"/>
        <v>0</v>
      </c>
      <c r="U281" s="69">
        <f t="shared" si="51"/>
        <v>0</v>
      </c>
      <c r="V281" s="69">
        <f t="shared" si="52"/>
        <v>0</v>
      </c>
      <c r="W281" s="69">
        <f t="shared" si="53"/>
        <v>0</v>
      </c>
      <c r="X281" s="69">
        <f t="shared" si="54"/>
        <v>0</v>
      </c>
    </row>
    <row r="282" spans="1:24" ht="17.25" customHeight="1">
      <c r="A282" s="68" t="str">
        <f>IF(BASE!B280="","",BASE!B280)</f>
        <v/>
      </c>
      <c r="B282" s="49" t="s">
        <v>2</v>
      </c>
      <c r="C282" s="69">
        <f t="shared" si="55"/>
        <v>0</v>
      </c>
      <c r="D282" s="69">
        <f t="shared" si="56"/>
        <v>0</v>
      </c>
      <c r="E282" s="69">
        <f t="shared" si="57"/>
        <v>0</v>
      </c>
      <c r="F282" s="69">
        <f t="shared" si="58"/>
        <v>0</v>
      </c>
      <c r="G282" s="69">
        <f t="shared" si="59"/>
        <v>0</v>
      </c>
      <c r="H282" s="70"/>
      <c r="I282" s="79"/>
      <c r="J282" s="69">
        <f t="shared" si="60"/>
        <v>0</v>
      </c>
      <c r="K282" s="69">
        <f t="shared" si="61"/>
        <v>0</v>
      </c>
      <c r="L282" s="69">
        <f t="shared" si="62"/>
        <v>0</v>
      </c>
      <c r="M282" s="69">
        <f t="shared" si="63"/>
        <v>0</v>
      </c>
      <c r="N282" s="69">
        <f t="shared" si="64"/>
        <v>0</v>
      </c>
      <c r="O282" s="70"/>
      <c r="P282" s="79"/>
      <c r="Q282" s="79"/>
      <c r="R282" s="49">
        <f t="shared" si="65"/>
        <v>0</v>
      </c>
      <c r="S282" s="49">
        <f>[1]BASE!A280</f>
        <v>271</v>
      </c>
      <c r="T282" s="69">
        <f t="shared" si="50"/>
        <v>0</v>
      </c>
      <c r="U282" s="69">
        <f t="shared" si="51"/>
        <v>0</v>
      </c>
      <c r="V282" s="69">
        <f t="shared" si="52"/>
        <v>0</v>
      </c>
      <c r="W282" s="69">
        <f t="shared" si="53"/>
        <v>0</v>
      </c>
      <c r="X282" s="69">
        <f t="shared" si="54"/>
        <v>0</v>
      </c>
    </row>
    <row r="283" spans="1:24" ht="17.25" customHeight="1">
      <c r="A283" s="68" t="str">
        <f>IF(BASE!B281="","",BASE!B281)</f>
        <v/>
      </c>
      <c r="B283" s="49" t="s">
        <v>2</v>
      </c>
      <c r="C283" s="69">
        <f t="shared" si="55"/>
        <v>0</v>
      </c>
      <c r="D283" s="69">
        <f t="shared" si="56"/>
        <v>0</v>
      </c>
      <c r="E283" s="69">
        <f t="shared" si="57"/>
        <v>0</v>
      </c>
      <c r="F283" s="69">
        <f t="shared" si="58"/>
        <v>0</v>
      </c>
      <c r="G283" s="69">
        <f t="shared" si="59"/>
        <v>0</v>
      </c>
      <c r="H283" s="70"/>
      <c r="I283" s="79"/>
      <c r="J283" s="69">
        <f t="shared" si="60"/>
        <v>0</v>
      </c>
      <c r="K283" s="69">
        <f t="shared" si="61"/>
        <v>0</v>
      </c>
      <c r="L283" s="69">
        <f t="shared" si="62"/>
        <v>0</v>
      </c>
      <c r="M283" s="69">
        <f t="shared" si="63"/>
        <v>0</v>
      </c>
      <c r="N283" s="69">
        <f t="shared" si="64"/>
        <v>0</v>
      </c>
      <c r="O283" s="70"/>
      <c r="P283" s="79"/>
      <c r="Q283" s="79"/>
      <c r="R283" s="49">
        <f t="shared" si="65"/>
        <v>0</v>
      </c>
      <c r="S283" s="49">
        <f>[1]BASE!A281</f>
        <v>272</v>
      </c>
      <c r="T283" s="69">
        <f t="shared" si="50"/>
        <v>0</v>
      </c>
      <c r="U283" s="69">
        <f t="shared" si="51"/>
        <v>0</v>
      </c>
      <c r="V283" s="69">
        <f t="shared" si="52"/>
        <v>0</v>
      </c>
      <c r="W283" s="69">
        <f t="shared" si="53"/>
        <v>0</v>
      </c>
      <c r="X283" s="69">
        <f t="shared" si="54"/>
        <v>0</v>
      </c>
    </row>
    <row r="284" spans="1:24" ht="17.25" customHeight="1">
      <c r="A284" s="68" t="str">
        <f>IF(BASE!B282="","",BASE!B282)</f>
        <v/>
      </c>
      <c r="B284" s="49" t="s">
        <v>2</v>
      </c>
      <c r="C284" s="69">
        <f t="shared" si="55"/>
        <v>0</v>
      </c>
      <c r="D284" s="69">
        <f t="shared" si="56"/>
        <v>0</v>
      </c>
      <c r="E284" s="69">
        <f t="shared" si="57"/>
        <v>0</v>
      </c>
      <c r="F284" s="69">
        <f t="shared" si="58"/>
        <v>0</v>
      </c>
      <c r="G284" s="69">
        <f t="shared" si="59"/>
        <v>0</v>
      </c>
      <c r="H284" s="70"/>
      <c r="I284" s="79"/>
      <c r="J284" s="69">
        <f t="shared" si="60"/>
        <v>0</v>
      </c>
      <c r="K284" s="69">
        <f t="shared" si="61"/>
        <v>0</v>
      </c>
      <c r="L284" s="69">
        <f t="shared" si="62"/>
        <v>0</v>
      </c>
      <c r="M284" s="69">
        <f t="shared" si="63"/>
        <v>0</v>
      </c>
      <c r="N284" s="69">
        <f t="shared" si="64"/>
        <v>0</v>
      </c>
      <c r="O284" s="70"/>
      <c r="P284" s="79"/>
      <c r="Q284" s="79"/>
      <c r="R284" s="49">
        <f t="shared" si="65"/>
        <v>0</v>
      </c>
      <c r="S284" s="49">
        <f>[1]BASE!A282</f>
        <v>273</v>
      </c>
      <c r="T284" s="69">
        <f t="shared" si="50"/>
        <v>0</v>
      </c>
      <c r="U284" s="69">
        <f t="shared" si="51"/>
        <v>0</v>
      </c>
      <c r="V284" s="69">
        <f t="shared" si="52"/>
        <v>0</v>
      </c>
      <c r="W284" s="69">
        <f t="shared" si="53"/>
        <v>0</v>
      </c>
      <c r="X284" s="69">
        <f t="shared" si="54"/>
        <v>0</v>
      </c>
    </row>
    <row r="285" spans="1:24" ht="17.25" customHeight="1">
      <c r="A285" s="68" t="str">
        <f>IF(BASE!B283="","",BASE!B283)</f>
        <v/>
      </c>
      <c r="B285" s="49" t="s">
        <v>2</v>
      </c>
      <c r="C285" s="69">
        <f t="shared" si="55"/>
        <v>0</v>
      </c>
      <c r="D285" s="69">
        <f t="shared" si="56"/>
        <v>0</v>
      </c>
      <c r="E285" s="69">
        <f t="shared" si="57"/>
        <v>0</v>
      </c>
      <c r="F285" s="69">
        <f t="shared" si="58"/>
        <v>0</v>
      </c>
      <c r="G285" s="69">
        <f t="shared" si="59"/>
        <v>0</v>
      </c>
      <c r="H285" s="70"/>
      <c r="I285" s="79"/>
      <c r="J285" s="69">
        <f t="shared" si="60"/>
        <v>0</v>
      </c>
      <c r="K285" s="69">
        <f t="shared" si="61"/>
        <v>0</v>
      </c>
      <c r="L285" s="69">
        <f t="shared" si="62"/>
        <v>0</v>
      </c>
      <c r="M285" s="69">
        <f t="shared" si="63"/>
        <v>0</v>
      </c>
      <c r="N285" s="69">
        <f t="shared" si="64"/>
        <v>0</v>
      </c>
      <c r="O285" s="70"/>
      <c r="P285" s="79"/>
      <c r="Q285" s="79"/>
      <c r="R285" s="49">
        <f t="shared" si="65"/>
        <v>0</v>
      </c>
      <c r="S285" s="49">
        <f>[1]BASE!A283</f>
        <v>274</v>
      </c>
      <c r="T285" s="69">
        <f t="shared" si="50"/>
        <v>0</v>
      </c>
      <c r="U285" s="69">
        <f t="shared" si="51"/>
        <v>0</v>
      </c>
      <c r="V285" s="69">
        <f t="shared" si="52"/>
        <v>0</v>
      </c>
      <c r="W285" s="69">
        <f t="shared" si="53"/>
        <v>0</v>
      </c>
      <c r="X285" s="69">
        <f t="shared" si="54"/>
        <v>0</v>
      </c>
    </row>
    <row r="286" spans="1:24" ht="17.25" customHeight="1">
      <c r="A286" s="68" t="str">
        <f>IF(BASE!B284="","",BASE!B284)</f>
        <v/>
      </c>
      <c r="B286" s="49" t="s">
        <v>2</v>
      </c>
      <c r="C286" s="69">
        <f t="shared" si="55"/>
        <v>0</v>
      </c>
      <c r="D286" s="69">
        <f t="shared" si="56"/>
        <v>0</v>
      </c>
      <c r="E286" s="69">
        <f t="shared" si="57"/>
        <v>0</v>
      </c>
      <c r="F286" s="69">
        <f t="shared" si="58"/>
        <v>0</v>
      </c>
      <c r="G286" s="69">
        <f t="shared" si="59"/>
        <v>0</v>
      </c>
      <c r="H286" s="70"/>
      <c r="I286" s="79"/>
      <c r="J286" s="69">
        <f t="shared" si="60"/>
        <v>0</v>
      </c>
      <c r="K286" s="69">
        <f t="shared" si="61"/>
        <v>0</v>
      </c>
      <c r="L286" s="69">
        <f t="shared" si="62"/>
        <v>0</v>
      </c>
      <c r="M286" s="69">
        <f t="shared" si="63"/>
        <v>0</v>
      </c>
      <c r="N286" s="69">
        <f t="shared" si="64"/>
        <v>0</v>
      </c>
      <c r="O286" s="70"/>
      <c r="P286" s="79"/>
      <c r="Q286" s="79"/>
      <c r="R286" s="49">
        <f t="shared" si="65"/>
        <v>0</v>
      </c>
      <c r="S286" s="49">
        <f>[1]BASE!A284</f>
        <v>275</v>
      </c>
      <c r="T286" s="69">
        <f t="shared" si="50"/>
        <v>0</v>
      </c>
      <c r="U286" s="69">
        <f t="shared" si="51"/>
        <v>0</v>
      </c>
      <c r="V286" s="69">
        <f t="shared" si="52"/>
        <v>0</v>
      </c>
      <c r="W286" s="69">
        <f t="shared" si="53"/>
        <v>0</v>
      </c>
      <c r="X286" s="69">
        <f t="shared" si="54"/>
        <v>0</v>
      </c>
    </row>
    <row r="287" spans="1:24" ht="17.25" customHeight="1">
      <c r="A287" s="68" t="str">
        <f>IF(BASE!B285="","",BASE!B285)</f>
        <v/>
      </c>
      <c r="B287" s="49" t="s">
        <v>2</v>
      </c>
      <c r="C287" s="69">
        <f t="shared" si="55"/>
        <v>0</v>
      </c>
      <c r="D287" s="69">
        <f t="shared" si="56"/>
        <v>0</v>
      </c>
      <c r="E287" s="69">
        <f t="shared" si="57"/>
        <v>0</v>
      </c>
      <c r="F287" s="69">
        <f t="shared" si="58"/>
        <v>0</v>
      </c>
      <c r="G287" s="69">
        <f t="shared" si="59"/>
        <v>0</v>
      </c>
      <c r="H287" s="70"/>
      <c r="I287" s="79"/>
      <c r="J287" s="69">
        <f t="shared" si="60"/>
        <v>0</v>
      </c>
      <c r="K287" s="69">
        <f t="shared" si="61"/>
        <v>0</v>
      </c>
      <c r="L287" s="69">
        <f t="shared" si="62"/>
        <v>0</v>
      </c>
      <c r="M287" s="69">
        <f t="shared" si="63"/>
        <v>0</v>
      </c>
      <c r="N287" s="69">
        <f t="shared" si="64"/>
        <v>0</v>
      </c>
      <c r="O287" s="70"/>
      <c r="P287" s="79"/>
      <c r="Q287" s="79"/>
      <c r="R287" s="49">
        <f t="shared" si="65"/>
        <v>0</v>
      </c>
      <c r="S287" s="49">
        <f>[1]BASE!A285</f>
        <v>276</v>
      </c>
      <c r="T287" s="69">
        <f t="shared" si="50"/>
        <v>0</v>
      </c>
      <c r="U287" s="69">
        <f t="shared" si="51"/>
        <v>0</v>
      </c>
      <c r="V287" s="69">
        <f t="shared" si="52"/>
        <v>0</v>
      </c>
      <c r="W287" s="69">
        <f t="shared" si="53"/>
        <v>0</v>
      </c>
      <c r="X287" s="69">
        <f t="shared" si="54"/>
        <v>0</v>
      </c>
    </row>
    <row r="288" spans="1:24" ht="17.25" customHeight="1">
      <c r="A288" s="68" t="str">
        <f>IF(BASE!B286="","",BASE!B286)</f>
        <v/>
      </c>
      <c r="B288" s="49" t="s">
        <v>2</v>
      </c>
      <c r="C288" s="69">
        <f t="shared" si="55"/>
        <v>0</v>
      </c>
      <c r="D288" s="69">
        <f t="shared" si="56"/>
        <v>0</v>
      </c>
      <c r="E288" s="69">
        <f t="shared" si="57"/>
        <v>0</v>
      </c>
      <c r="F288" s="69">
        <f t="shared" si="58"/>
        <v>0</v>
      </c>
      <c r="G288" s="69">
        <f t="shared" si="59"/>
        <v>0</v>
      </c>
      <c r="H288" s="70"/>
      <c r="I288" s="79"/>
      <c r="J288" s="69">
        <f t="shared" si="60"/>
        <v>0</v>
      </c>
      <c r="K288" s="69">
        <f t="shared" si="61"/>
        <v>0</v>
      </c>
      <c r="L288" s="69">
        <f t="shared" si="62"/>
        <v>0</v>
      </c>
      <c r="M288" s="69">
        <f t="shared" si="63"/>
        <v>0</v>
      </c>
      <c r="N288" s="69">
        <f t="shared" si="64"/>
        <v>0</v>
      </c>
      <c r="O288" s="70"/>
      <c r="P288" s="79"/>
      <c r="Q288" s="79"/>
      <c r="R288" s="49">
        <f t="shared" si="65"/>
        <v>0</v>
      </c>
      <c r="S288" s="49">
        <f>[1]BASE!A286</f>
        <v>277</v>
      </c>
      <c r="T288" s="69">
        <f t="shared" si="50"/>
        <v>0</v>
      </c>
      <c r="U288" s="69">
        <f t="shared" si="51"/>
        <v>0</v>
      </c>
      <c r="V288" s="69">
        <f t="shared" si="52"/>
        <v>0</v>
      </c>
      <c r="W288" s="69">
        <f t="shared" si="53"/>
        <v>0</v>
      </c>
      <c r="X288" s="69">
        <f t="shared" si="54"/>
        <v>0</v>
      </c>
    </row>
    <row r="289" spans="1:24" ht="17.25" customHeight="1">
      <c r="A289" s="68" t="str">
        <f>IF(BASE!B287="","",BASE!B287)</f>
        <v/>
      </c>
      <c r="B289" s="49" t="s">
        <v>2</v>
      </c>
      <c r="C289" s="69">
        <f t="shared" si="55"/>
        <v>0</v>
      </c>
      <c r="D289" s="69">
        <f t="shared" si="56"/>
        <v>0</v>
      </c>
      <c r="E289" s="69">
        <f t="shared" si="57"/>
        <v>0</v>
      </c>
      <c r="F289" s="69">
        <f t="shared" si="58"/>
        <v>0</v>
      </c>
      <c r="G289" s="69">
        <f t="shared" si="59"/>
        <v>0</v>
      </c>
      <c r="H289" s="70"/>
      <c r="I289" s="79"/>
      <c r="J289" s="69">
        <f t="shared" si="60"/>
        <v>0</v>
      </c>
      <c r="K289" s="69">
        <f t="shared" si="61"/>
        <v>0</v>
      </c>
      <c r="L289" s="69">
        <f t="shared" si="62"/>
        <v>0</v>
      </c>
      <c r="M289" s="69">
        <f t="shared" si="63"/>
        <v>0</v>
      </c>
      <c r="N289" s="69">
        <f t="shared" si="64"/>
        <v>0</v>
      </c>
      <c r="O289" s="70"/>
      <c r="P289" s="79"/>
      <c r="Q289" s="79"/>
      <c r="R289" s="49">
        <f t="shared" si="65"/>
        <v>0</v>
      </c>
      <c r="S289" s="49">
        <f>[1]BASE!A287</f>
        <v>278</v>
      </c>
      <c r="T289" s="69">
        <f t="shared" si="50"/>
        <v>0</v>
      </c>
      <c r="U289" s="69">
        <f t="shared" si="51"/>
        <v>0</v>
      </c>
      <c r="V289" s="69">
        <f t="shared" si="52"/>
        <v>0</v>
      </c>
      <c r="W289" s="69">
        <f t="shared" si="53"/>
        <v>0</v>
      </c>
      <c r="X289" s="69">
        <f t="shared" si="54"/>
        <v>0</v>
      </c>
    </row>
    <row r="290" spans="1:24" ht="17.25" customHeight="1">
      <c r="A290" s="68" t="str">
        <f>IF(BASE!B288="","",BASE!B288)</f>
        <v/>
      </c>
      <c r="B290" s="49" t="s">
        <v>2</v>
      </c>
      <c r="C290" s="69">
        <f t="shared" si="55"/>
        <v>0</v>
      </c>
      <c r="D290" s="69">
        <f t="shared" si="56"/>
        <v>0</v>
      </c>
      <c r="E290" s="69">
        <f t="shared" si="57"/>
        <v>0</v>
      </c>
      <c r="F290" s="69">
        <f t="shared" si="58"/>
        <v>0</v>
      </c>
      <c r="G290" s="69">
        <f t="shared" si="59"/>
        <v>0</v>
      </c>
      <c r="H290" s="70"/>
      <c r="I290" s="79"/>
      <c r="J290" s="69">
        <f t="shared" si="60"/>
        <v>0</v>
      </c>
      <c r="K290" s="69">
        <f t="shared" si="61"/>
        <v>0</v>
      </c>
      <c r="L290" s="69">
        <f t="shared" si="62"/>
        <v>0</v>
      </c>
      <c r="M290" s="69">
        <f t="shared" si="63"/>
        <v>0</v>
      </c>
      <c r="N290" s="69">
        <f t="shared" si="64"/>
        <v>0</v>
      </c>
      <c r="O290" s="70"/>
      <c r="P290" s="79"/>
      <c r="Q290" s="79"/>
      <c r="R290" s="49">
        <f t="shared" si="65"/>
        <v>0</v>
      </c>
      <c r="S290" s="49">
        <f>[1]BASE!A288</f>
        <v>279</v>
      </c>
      <c r="T290" s="69">
        <f t="shared" si="50"/>
        <v>0</v>
      </c>
      <c r="U290" s="69">
        <f t="shared" si="51"/>
        <v>0</v>
      </c>
      <c r="V290" s="69">
        <f t="shared" si="52"/>
        <v>0</v>
      </c>
      <c r="W290" s="69">
        <f t="shared" si="53"/>
        <v>0</v>
      </c>
      <c r="X290" s="69">
        <f t="shared" si="54"/>
        <v>0</v>
      </c>
    </row>
    <row r="291" spans="1:24" ht="17.25" customHeight="1">
      <c r="A291" s="68" t="str">
        <f>IF(BASE!B289="","",BASE!B289)</f>
        <v/>
      </c>
      <c r="B291" s="49" t="s">
        <v>2</v>
      </c>
      <c r="C291" s="69">
        <f t="shared" si="55"/>
        <v>0</v>
      </c>
      <c r="D291" s="69">
        <f t="shared" si="56"/>
        <v>0</v>
      </c>
      <c r="E291" s="69">
        <f t="shared" si="57"/>
        <v>0</v>
      </c>
      <c r="F291" s="69">
        <f t="shared" si="58"/>
        <v>0</v>
      </c>
      <c r="G291" s="69">
        <f t="shared" si="59"/>
        <v>0</v>
      </c>
      <c r="H291" s="70"/>
      <c r="I291" s="79"/>
      <c r="J291" s="69">
        <f t="shared" si="60"/>
        <v>0</v>
      </c>
      <c r="K291" s="69">
        <f t="shared" si="61"/>
        <v>0</v>
      </c>
      <c r="L291" s="69">
        <f t="shared" si="62"/>
        <v>0</v>
      </c>
      <c r="M291" s="69">
        <f t="shared" si="63"/>
        <v>0</v>
      </c>
      <c r="N291" s="69">
        <f t="shared" si="64"/>
        <v>0</v>
      </c>
      <c r="O291" s="70"/>
      <c r="P291" s="79"/>
      <c r="Q291" s="79"/>
      <c r="R291" s="49">
        <f t="shared" si="65"/>
        <v>0</v>
      </c>
      <c r="S291" s="49">
        <f>[1]BASE!A289</f>
        <v>280</v>
      </c>
      <c r="T291" s="69">
        <f t="shared" si="50"/>
        <v>0</v>
      </c>
      <c r="U291" s="69">
        <f t="shared" si="51"/>
        <v>0</v>
      </c>
      <c r="V291" s="69">
        <f t="shared" si="52"/>
        <v>0</v>
      </c>
      <c r="W291" s="69">
        <f t="shared" si="53"/>
        <v>0</v>
      </c>
      <c r="X291" s="69">
        <f t="shared" si="54"/>
        <v>0</v>
      </c>
    </row>
    <row r="292" spans="1:24" ht="17.25" customHeight="1">
      <c r="A292" s="68" t="str">
        <f>IF(BASE!B290="","",BASE!B290)</f>
        <v/>
      </c>
      <c r="B292" s="49" t="s">
        <v>2</v>
      </c>
      <c r="C292" s="69">
        <f t="shared" si="55"/>
        <v>0</v>
      </c>
      <c r="D292" s="69">
        <f t="shared" si="56"/>
        <v>0</v>
      </c>
      <c r="E292" s="69">
        <f t="shared" si="57"/>
        <v>0</v>
      </c>
      <c r="F292" s="69">
        <f t="shared" si="58"/>
        <v>0</v>
      </c>
      <c r="G292" s="69">
        <f t="shared" si="59"/>
        <v>0</v>
      </c>
      <c r="H292" s="70"/>
      <c r="I292" s="79"/>
      <c r="J292" s="69">
        <f t="shared" si="60"/>
        <v>0</v>
      </c>
      <c r="K292" s="69">
        <f t="shared" si="61"/>
        <v>0</v>
      </c>
      <c r="L292" s="69">
        <f t="shared" si="62"/>
        <v>0</v>
      </c>
      <c r="M292" s="69">
        <f t="shared" si="63"/>
        <v>0</v>
      </c>
      <c r="N292" s="69">
        <f t="shared" si="64"/>
        <v>0</v>
      </c>
      <c r="O292" s="70"/>
      <c r="P292" s="79"/>
      <c r="Q292" s="79"/>
      <c r="R292" s="49">
        <f t="shared" si="65"/>
        <v>0</v>
      </c>
      <c r="S292" s="49">
        <f>[1]BASE!A290</f>
        <v>281</v>
      </c>
      <c r="T292" s="69">
        <f t="shared" si="50"/>
        <v>0</v>
      </c>
      <c r="U292" s="69">
        <f t="shared" si="51"/>
        <v>0</v>
      </c>
      <c r="V292" s="69">
        <f t="shared" si="52"/>
        <v>0</v>
      </c>
      <c r="W292" s="69">
        <f t="shared" si="53"/>
        <v>0</v>
      </c>
      <c r="X292" s="69">
        <f t="shared" si="54"/>
        <v>0</v>
      </c>
    </row>
    <row r="293" spans="1:24" ht="17.25" customHeight="1">
      <c r="A293" s="68" t="str">
        <f>IF(BASE!B291="","",BASE!B291)</f>
        <v/>
      </c>
      <c r="B293" s="49" t="s">
        <v>2</v>
      </c>
      <c r="C293" s="69">
        <f t="shared" si="55"/>
        <v>0</v>
      </c>
      <c r="D293" s="69">
        <f t="shared" si="56"/>
        <v>0</v>
      </c>
      <c r="E293" s="69">
        <f t="shared" si="57"/>
        <v>0</v>
      </c>
      <c r="F293" s="69">
        <f t="shared" si="58"/>
        <v>0</v>
      </c>
      <c r="G293" s="69">
        <f t="shared" si="59"/>
        <v>0</v>
      </c>
      <c r="H293" s="70"/>
      <c r="I293" s="79"/>
      <c r="J293" s="69">
        <f t="shared" si="60"/>
        <v>0</v>
      </c>
      <c r="K293" s="69">
        <f t="shared" si="61"/>
        <v>0</v>
      </c>
      <c r="L293" s="69">
        <f t="shared" si="62"/>
        <v>0</v>
      </c>
      <c r="M293" s="69">
        <f t="shared" si="63"/>
        <v>0</v>
      </c>
      <c r="N293" s="69">
        <f t="shared" si="64"/>
        <v>0</v>
      </c>
      <c r="O293" s="70"/>
      <c r="P293" s="79"/>
      <c r="Q293" s="79"/>
      <c r="R293" s="49">
        <f t="shared" si="65"/>
        <v>0</v>
      </c>
      <c r="S293" s="49">
        <f>[1]BASE!A291</f>
        <v>282</v>
      </c>
      <c r="T293" s="69">
        <f t="shared" si="50"/>
        <v>0</v>
      </c>
      <c r="U293" s="69">
        <f t="shared" si="51"/>
        <v>0</v>
      </c>
      <c r="V293" s="69">
        <f t="shared" si="52"/>
        <v>0</v>
      </c>
      <c r="W293" s="69">
        <f t="shared" si="53"/>
        <v>0</v>
      </c>
      <c r="X293" s="69">
        <f t="shared" si="54"/>
        <v>0</v>
      </c>
    </row>
    <row r="294" spans="1:24" ht="17.25" customHeight="1">
      <c r="A294" s="68" t="str">
        <f>IF(BASE!B292="","",BASE!B292)</f>
        <v/>
      </c>
      <c r="B294" s="49" t="s">
        <v>2</v>
      </c>
      <c r="C294" s="69">
        <f t="shared" si="55"/>
        <v>0</v>
      </c>
      <c r="D294" s="69">
        <f t="shared" si="56"/>
        <v>0</v>
      </c>
      <c r="E294" s="69">
        <f t="shared" si="57"/>
        <v>0</v>
      </c>
      <c r="F294" s="69">
        <f t="shared" si="58"/>
        <v>0</v>
      </c>
      <c r="G294" s="69">
        <f t="shared" si="59"/>
        <v>0</v>
      </c>
      <c r="H294" s="70"/>
      <c r="I294" s="79"/>
      <c r="J294" s="69">
        <f t="shared" si="60"/>
        <v>0</v>
      </c>
      <c r="K294" s="69">
        <f t="shared" si="61"/>
        <v>0</v>
      </c>
      <c r="L294" s="69">
        <f t="shared" si="62"/>
        <v>0</v>
      </c>
      <c r="M294" s="69">
        <f t="shared" si="63"/>
        <v>0</v>
      </c>
      <c r="N294" s="69">
        <f t="shared" si="64"/>
        <v>0</v>
      </c>
      <c r="O294" s="70"/>
      <c r="P294" s="79"/>
      <c r="Q294" s="79"/>
      <c r="R294" s="49">
        <f t="shared" si="65"/>
        <v>0</v>
      </c>
      <c r="S294" s="49">
        <f>[1]BASE!A292</f>
        <v>283</v>
      </c>
      <c r="T294" s="69">
        <f t="shared" si="50"/>
        <v>0</v>
      </c>
      <c r="U294" s="69">
        <f t="shared" si="51"/>
        <v>0</v>
      </c>
      <c r="V294" s="69">
        <f t="shared" si="52"/>
        <v>0</v>
      </c>
      <c r="W294" s="69">
        <f t="shared" si="53"/>
        <v>0</v>
      </c>
      <c r="X294" s="69">
        <f t="shared" si="54"/>
        <v>0</v>
      </c>
    </row>
    <row r="295" spans="1:24" ht="17.25" customHeight="1">
      <c r="A295" s="68" t="str">
        <f>IF(BASE!B293="","",BASE!B293)</f>
        <v/>
      </c>
      <c r="B295" s="49" t="s">
        <v>2</v>
      </c>
      <c r="C295" s="69">
        <f t="shared" si="55"/>
        <v>0</v>
      </c>
      <c r="D295" s="69">
        <f t="shared" si="56"/>
        <v>0</v>
      </c>
      <c r="E295" s="69">
        <f t="shared" si="57"/>
        <v>0</v>
      </c>
      <c r="F295" s="69">
        <f t="shared" si="58"/>
        <v>0</v>
      </c>
      <c r="G295" s="69">
        <f t="shared" si="59"/>
        <v>0</v>
      </c>
      <c r="H295" s="70"/>
      <c r="I295" s="79"/>
      <c r="J295" s="69">
        <f t="shared" si="60"/>
        <v>0</v>
      </c>
      <c r="K295" s="69">
        <f t="shared" si="61"/>
        <v>0</v>
      </c>
      <c r="L295" s="69">
        <f t="shared" si="62"/>
        <v>0</v>
      </c>
      <c r="M295" s="69">
        <f t="shared" si="63"/>
        <v>0</v>
      </c>
      <c r="N295" s="69">
        <f t="shared" si="64"/>
        <v>0</v>
      </c>
      <c r="O295" s="70"/>
      <c r="P295" s="79"/>
      <c r="Q295" s="79"/>
      <c r="R295" s="49">
        <f t="shared" si="65"/>
        <v>0</v>
      </c>
      <c r="S295" s="49">
        <f>[1]BASE!A293</f>
        <v>284</v>
      </c>
      <c r="T295" s="69">
        <f t="shared" si="50"/>
        <v>0</v>
      </c>
      <c r="U295" s="69">
        <f t="shared" si="51"/>
        <v>0</v>
      </c>
      <c r="V295" s="69">
        <f t="shared" si="52"/>
        <v>0</v>
      </c>
      <c r="W295" s="69">
        <f t="shared" si="53"/>
        <v>0</v>
      </c>
      <c r="X295" s="69">
        <f t="shared" si="54"/>
        <v>0</v>
      </c>
    </row>
    <row r="296" spans="1:24" ht="17.25" customHeight="1">
      <c r="A296" s="68" t="str">
        <f>IF(BASE!B294="","",BASE!B294)</f>
        <v/>
      </c>
      <c r="B296" s="49" t="s">
        <v>2</v>
      </c>
      <c r="C296" s="69">
        <f t="shared" si="55"/>
        <v>0</v>
      </c>
      <c r="D296" s="69">
        <f t="shared" si="56"/>
        <v>0</v>
      </c>
      <c r="E296" s="69">
        <f t="shared" si="57"/>
        <v>0</v>
      </c>
      <c r="F296" s="69">
        <f t="shared" si="58"/>
        <v>0</v>
      </c>
      <c r="G296" s="69">
        <f t="shared" si="59"/>
        <v>0</v>
      </c>
      <c r="H296" s="70"/>
      <c r="I296" s="79"/>
      <c r="J296" s="69">
        <f t="shared" si="60"/>
        <v>0</v>
      </c>
      <c r="K296" s="69">
        <f t="shared" si="61"/>
        <v>0</v>
      </c>
      <c r="L296" s="69">
        <f t="shared" si="62"/>
        <v>0</v>
      </c>
      <c r="M296" s="69">
        <f t="shared" si="63"/>
        <v>0</v>
      </c>
      <c r="N296" s="69">
        <f t="shared" si="64"/>
        <v>0</v>
      </c>
      <c r="O296" s="70"/>
      <c r="P296" s="79"/>
      <c r="Q296" s="79"/>
      <c r="R296" s="49">
        <f t="shared" si="65"/>
        <v>0</v>
      </c>
      <c r="S296" s="49">
        <f>[1]BASE!A294</f>
        <v>285</v>
      </c>
      <c r="T296" s="69">
        <f t="shared" si="50"/>
        <v>0</v>
      </c>
      <c r="U296" s="69">
        <f t="shared" si="51"/>
        <v>0</v>
      </c>
      <c r="V296" s="69">
        <f t="shared" si="52"/>
        <v>0</v>
      </c>
      <c r="W296" s="69">
        <f t="shared" si="53"/>
        <v>0</v>
      </c>
      <c r="X296" s="69">
        <f t="shared" si="54"/>
        <v>0</v>
      </c>
    </row>
    <row r="297" spans="1:24" ht="17.25" customHeight="1">
      <c r="A297" s="68" t="str">
        <f>IF(BASE!B295="","",BASE!B295)</f>
        <v/>
      </c>
      <c r="B297" s="49" t="s">
        <v>2</v>
      </c>
      <c r="C297" s="69">
        <f t="shared" si="55"/>
        <v>0</v>
      </c>
      <c r="D297" s="69">
        <f t="shared" si="56"/>
        <v>0</v>
      </c>
      <c r="E297" s="69">
        <f t="shared" si="57"/>
        <v>0</v>
      </c>
      <c r="F297" s="69">
        <f t="shared" si="58"/>
        <v>0</v>
      </c>
      <c r="G297" s="69">
        <f t="shared" si="59"/>
        <v>0</v>
      </c>
      <c r="H297" s="70"/>
      <c r="I297" s="79"/>
      <c r="J297" s="69">
        <f t="shared" si="60"/>
        <v>0</v>
      </c>
      <c r="K297" s="69">
        <f t="shared" si="61"/>
        <v>0</v>
      </c>
      <c r="L297" s="69">
        <f t="shared" si="62"/>
        <v>0</v>
      </c>
      <c r="M297" s="69">
        <f t="shared" si="63"/>
        <v>0</v>
      </c>
      <c r="N297" s="69">
        <f t="shared" si="64"/>
        <v>0</v>
      </c>
      <c r="O297" s="70"/>
      <c r="P297" s="79"/>
      <c r="Q297" s="79"/>
      <c r="R297" s="49">
        <f t="shared" si="65"/>
        <v>0</v>
      </c>
      <c r="S297" s="49">
        <f>[1]BASE!A295</f>
        <v>286</v>
      </c>
      <c r="T297" s="69">
        <f t="shared" si="50"/>
        <v>0</v>
      </c>
      <c r="U297" s="69">
        <f t="shared" si="51"/>
        <v>0</v>
      </c>
      <c r="V297" s="69">
        <f t="shared" si="52"/>
        <v>0</v>
      </c>
      <c r="W297" s="69">
        <f t="shared" si="53"/>
        <v>0</v>
      </c>
      <c r="X297" s="69">
        <f t="shared" si="54"/>
        <v>0</v>
      </c>
    </row>
    <row r="298" spans="1:24" ht="17.25" customHeight="1">
      <c r="A298" s="68" t="str">
        <f>IF(BASE!B296="","",BASE!B296)</f>
        <v/>
      </c>
      <c r="B298" s="49" t="s">
        <v>2</v>
      </c>
      <c r="C298" s="69">
        <f t="shared" si="55"/>
        <v>0</v>
      </c>
      <c r="D298" s="69">
        <f t="shared" si="56"/>
        <v>0</v>
      </c>
      <c r="E298" s="69">
        <f t="shared" si="57"/>
        <v>0</v>
      </c>
      <c r="F298" s="69">
        <f t="shared" si="58"/>
        <v>0</v>
      </c>
      <c r="G298" s="69">
        <f t="shared" si="59"/>
        <v>0</v>
      </c>
      <c r="H298" s="70"/>
      <c r="I298" s="79"/>
      <c r="J298" s="69">
        <f t="shared" si="60"/>
        <v>0</v>
      </c>
      <c r="K298" s="69">
        <f t="shared" si="61"/>
        <v>0</v>
      </c>
      <c r="L298" s="69">
        <f t="shared" si="62"/>
        <v>0</v>
      </c>
      <c r="M298" s="69">
        <f t="shared" si="63"/>
        <v>0</v>
      </c>
      <c r="N298" s="69">
        <f t="shared" si="64"/>
        <v>0</v>
      </c>
      <c r="O298" s="70"/>
      <c r="P298" s="79"/>
      <c r="Q298" s="79"/>
      <c r="R298" s="49">
        <f t="shared" si="65"/>
        <v>0</v>
      </c>
      <c r="S298" s="49">
        <f>[1]BASE!A296</f>
        <v>287</v>
      </c>
      <c r="T298" s="69">
        <f t="shared" si="50"/>
        <v>0</v>
      </c>
      <c r="U298" s="69">
        <f t="shared" si="51"/>
        <v>0</v>
      </c>
      <c r="V298" s="69">
        <f t="shared" si="52"/>
        <v>0</v>
      </c>
      <c r="W298" s="69">
        <f t="shared" si="53"/>
        <v>0</v>
      </c>
      <c r="X298" s="69">
        <f t="shared" si="54"/>
        <v>0</v>
      </c>
    </row>
    <row r="299" spans="1:24" ht="17.25" customHeight="1">
      <c r="A299" s="68" t="str">
        <f>IF(BASE!B297="","",BASE!B297)</f>
        <v/>
      </c>
      <c r="B299" s="49" t="s">
        <v>2</v>
      </c>
      <c r="C299" s="69">
        <f t="shared" si="55"/>
        <v>0</v>
      </c>
      <c r="D299" s="69">
        <f t="shared" si="56"/>
        <v>0</v>
      </c>
      <c r="E299" s="69">
        <f t="shared" si="57"/>
        <v>0</v>
      </c>
      <c r="F299" s="69">
        <f t="shared" si="58"/>
        <v>0</v>
      </c>
      <c r="G299" s="69">
        <f t="shared" si="59"/>
        <v>0</v>
      </c>
      <c r="H299" s="70"/>
      <c r="I299" s="79"/>
      <c r="J299" s="69">
        <f t="shared" si="60"/>
        <v>0</v>
      </c>
      <c r="K299" s="69">
        <f t="shared" si="61"/>
        <v>0</v>
      </c>
      <c r="L299" s="69">
        <f t="shared" si="62"/>
        <v>0</v>
      </c>
      <c r="M299" s="69">
        <f t="shared" si="63"/>
        <v>0</v>
      </c>
      <c r="N299" s="69">
        <f t="shared" si="64"/>
        <v>0</v>
      </c>
      <c r="O299" s="70"/>
      <c r="P299" s="79"/>
      <c r="Q299" s="79"/>
      <c r="R299" s="49">
        <f t="shared" si="65"/>
        <v>0</v>
      </c>
      <c r="S299" s="49">
        <f>[1]BASE!A297</f>
        <v>288</v>
      </c>
      <c r="T299" s="69">
        <f t="shared" si="50"/>
        <v>0</v>
      </c>
      <c r="U299" s="69">
        <f t="shared" si="51"/>
        <v>0</v>
      </c>
      <c r="V299" s="69">
        <f t="shared" si="52"/>
        <v>0</v>
      </c>
      <c r="W299" s="69">
        <f t="shared" si="53"/>
        <v>0</v>
      </c>
      <c r="X299" s="69">
        <f t="shared" si="54"/>
        <v>0</v>
      </c>
    </row>
    <row r="300" spans="1:24" ht="17.25" customHeight="1">
      <c r="A300" s="68" t="str">
        <f>IF(BASE!B298="","",BASE!B298)</f>
        <v/>
      </c>
      <c r="B300" s="49" t="s">
        <v>2</v>
      </c>
      <c r="C300" s="69">
        <f t="shared" si="55"/>
        <v>0</v>
      </c>
      <c r="D300" s="69">
        <f t="shared" si="56"/>
        <v>0</v>
      </c>
      <c r="E300" s="69">
        <f t="shared" si="57"/>
        <v>0</v>
      </c>
      <c r="F300" s="69">
        <f t="shared" si="58"/>
        <v>0</v>
      </c>
      <c r="G300" s="69">
        <f t="shared" si="59"/>
        <v>0</v>
      </c>
      <c r="H300" s="70"/>
      <c r="I300" s="79"/>
      <c r="J300" s="69">
        <f t="shared" si="60"/>
        <v>0</v>
      </c>
      <c r="K300" s="69">
        <f t="shared" si="61"/>
        <v>0</v>
      </c>
      <c r="L300" s="69">
        <f t="shared" si="62"/>
        <v>0</v>
      </c>
      <c r="M300" s="69">
        <f t="shared" si="63"/>
        <v>0</v>
      </c>
      <c r="N300" s="69">
        <f t="shared" si="64"/>
        <v>0</v>
      </c>
      <c r="O300" s="70"/>
      <c r="P300" s="79"/>
      <c r="Q300" s="79"/>
      <c r="R300" s="49">
        <f t="shared" si="65"/>
        <v>0</v>
      </c>
      <c r="S300" s="49">
        <f>[1]BASE!A298</f>
        <v>289</v>
      </c>
      <c r="T300" s="69">
        <f t="shared" si="50"/>
        <v>0</v>
      </c>
      <c r="U300" s="69">
        <f t="shared" si="51"/>
        <v>0</v>
      </c>
      <c r="V300" s="69">
        <f t="shared" si="52"/>
        <v>0</v>
      </c>
      <c r="W300" s="69">
        <f t="shared" si="53"/>
        <v>0</v>
      </c>
      <c r="X300" s="69">
        <f t="shared" si="54"/>
        <v>0</v>
      </c>
    </row>
    <row r="301" spans="1:24" ht="17.25" customHeight="1">
      <c r="A301" s="68" t="str">
        <f>IF(BASE!B299="","",BASE!B299)</f>
        <v/>
      </c>
      <c r="B301" s="49" t="s">
        <v>2</v>
      </c>
      <c r="C301" s="69">
        <f t="shared" si="55"/>
        <v>0</v>
      </c>
      <c r="D301" s="69">
        <f t="shared" si="56"/>
        <v>0</v>
      </c>
      <c r="E301" s="69">
        <f t="shared" si="57"/>
        <v>0</v>
      </c>
      <c r="F301" s="69">
        <f t="shared" si="58"/>
        <v>0</v>
      </c>
      <c r="G301" s="69">
        <f t="shared" si="59"/>
        <v>0</v>
      </c>
      <c r="H301" s="70"/>
      <c r="I301" s="79"/>
      <c r="J301" s="69">
        <f t="shared" si="60"/>
        <v>0</v>
      </c>
      <c r="K301" s="69">
        <f t="shared" si="61"/>
        <v>0</v>
      </c>
      <c r="L301" s="69">
        <f t="shared" si="62"/>
        <v>0</v>
      </c>
      <c r="M301" s="69">
        <f t="shared" si="63"/>
        <v>0</v>
      </c>
      <c r="N301" s="69">
        <f t="shared" si="64"/>
        <v>0</v>
      </c>
      <c r="O301" s="70"/>
      <c r="P301" s="79"/>
      <c r="Q301" s="79"/>
      <c r="R301" s="49">
        <f t="shared" si="65"/>
        <v>0</v>
      </c>
      <c r="S301" s="49">
        <f>[1]BASE!A299</f>
        <v>290</v>
      </c>
      <c r="T301" s="69">
        <f t="shared" si="50"/>
        <v>0</v>
      </c>
      <c r="U301" s="69">
        <f t="shared" si="51"/>
        <v>0</v>
      </c>
      <c r="V301" s="69">
        <f t="shared" si="52"/>
        <v>0</v>
      </c>
      <c r="W301" s="69">
        <f t="shared" si="53"/>
        <v>0</v>
      </c>
      <c r="X301" s="69">
        <f t="shared" si="54"/>
        <v>0</v>
      </c>
    </row>
    <row r="302" spans="1:24" ht="17.25" customHeight="1">
      <c r="A302" s="68" t="str">
        <f>IF(BASE!B300="","",BASE!B300)</f>
        <v/>
      </c>
      <c r="B302" s="49" t="s">
        <v>2</v>
      </c>
      <c r="C302" s="69">
        <f t="shared" si="55"/>
        <v>0</v>
      </c>
      <c r="D302" s="69">
        <f t="shared" si="56"/>
        <v>0</v>
      </c>
      <c r="E302" s="69">
        <f t="shared" si="57"/>
        <v>0</v>
      </c>
      <c r="F302" s="69">
        <f t="shared" si="58"/>
        <v>0</v>
      </c>
      <c r="G302" s="69">
        <f t="shared" si="59"/>
        <v>0</v>
      </c>
      <c r="H302" s="70"/>
      <c r="I302" s="79"/>
      <c r="J302" s="69">
        <f t="shared" si="60"/>
        <v>0</v>
      </c>
      <c r="K302" s="69">
        <f t="shared" si="61"/>
        <v>0</v>
      </c>
      <c r="L302" s="69">
        <f t="shared" si="62"/>
        <v>0</v>
      </c>
      <c r="M302" s="69">
        <f t="shared" si="63"/>
        <v>0</v>
      </c>
      <c r="N302" s="69">
        <f t="shared" si="64"/>
        <v>0</v>
      </c>
      <c r="O302" s="70"/>
      <c r="P302" s="79"/>
      <c r="Q302" s="79"/>
      <c r="R302" s="49">
        <f t="shared" si="65"/>
        <v>0</v>
      </c>
      <c r="S302" s="49">
        <f>[1]BASE!A300</f>
        <v>291</v>
      </c>
      <c r="T302" s="69">
        <f t="shared" si="50"/>
        <v>0</v>
      </c>
      <c r="U302" s="69">
        <f t="shared" si="51"/>
        <v>0</v>
      </c>
      <c r="V302" s="69">
        <f t="shared" si="52"/>
        <v>0</v>
      </c>
      <c r="W302" s="69">
        <f t="shared" si="53"/>
        <v>0</v>
      </c>
      <c r="X302" s="69">
        <f t="shared" si="54"/>
        <v>0</v>
      </c>
    </row>
    <row r="303" spans="1:24" ht="17.25" customHeight="1">
      <c r="A303" s="68" t="str">
        <f>IF(BASE!B301="","",BASE!B301)</f>
        <v/>
      </c>
      <c r="B303" s="49" t="s">
        <v>2</v>
      </c>
      <c r="C303" s="69">
        <f t="shared" si="55"/>
        <v>0</v>
      </c>
      <c r="D303" s="69">
        <f t="shared" si="56"/>
        <v>0</v>
      </c>
      <c r="E303" s="69">
        <f t="shared" si="57"/>
        <v>0</v>
      </c>
      <c r="F303" s="69">
        <f t="shared" si="58"/>
        <v>0</v>
      </c>
      <c r="G303" s="69">
        <f t="shared" si="59"/>
        <v>0</v>
      </c>
      <c r="H303" s="70"/>
      <c r="I303" s="79"/>
      <c r="J303" s="69">
        <f t="shared" si="60"/>
        <v>0</v>
      </c>
      <c r="K303" s="69">
        <f t="shared" si="61"/>
        <v>0</v>
      </c>
      <c r="L303" s="69">
        <f t="shared" si="62"/>
        <v>0</v>
      </c>
      <c r="M303" s="69">
        <f t="shared" si="63"/>
        <v>0</v>
      </c>
      <c r="N303" s="69">
        <f t="shared" si="64"/>
        <v>0</v>
      </c>
      <c r="O303" s="70"/>
      <c r="P303" s="79"/>
      <c r="Q303" s="79"/>
      <c r="R303" s="49">
        <f t="shared" si="65"/>
        <v>0</v>
      </c>
      <c r="S303" s="49">
        <f>[1]BASE!A301</f>
        <v>292</v>
      </c>
      <c r="T303" s="69">
        <f t="shared" si="50"/>
        <v>0</v>
      </c>
      <c r="U303" s="69">
        <f t="shared" si="51"/>
        <v>0</v>
      </c>
      <c r="V303" s="69">
        <f t="shared" si="52"/>
        <v>0</v>
      </c>
      <c r="W303" s="69">
        <f t="shared" si="53"/>
        <v>0</v>
      </c>
      <c r="X303" s="69">
        <f t="shared" si="54"/>
        <v>0</v>
      </c>
    </row>
    <row r="304" spans="1:24" ht="17.25" customHeight="1">
      <c r="A304" s="68" t="str">
        <f>IF(BASE!B302="","",BASE!B302)</f>
        <v/>
      </c>
      <c r="B304" s="49" t="s">
        <v>2</v>
      </c>
      <c r="C304" s="69">
        <f t="shared" si="55"/>
        <v>0</v>
      </c>
      <c r="D304" s="69">
        <f t="shared" si="56"/>
        <v>0</v>
      </c>
      <c r="E304" s="69">
        <f t="shared" si="57"/>
        <v>0</v>
      </c>
      <c r="F304" s="69">
        <f t="shared" si="58"/>
        <v>0</v>
      </c>
      <c r="G304" s="69">
        <f t="shared" si="59"/>
        <v>0</v>
      </c>
      <c r="H304" s="70"/>
      <c r="I304" s="79"/>
      <c r="J304" s="69">
        <f t="shared" si="60"/>
        <v>0</v>
      </c>
      <c r="K304" s="69">
        <f t="shared" si="61"/>
        <v>0</v>
      </c>
      <c r="L304" s="69">
        <f t="shared" si="62"/>
        <v>0</v>
      </c>
      <c r="M304" s="69">
        <f t="shared" si="63"/>
        <v>0</v>
      </c>
      <c r="N304" s="69">
        <f t="shared" si="64"/>
        <v>0</v>
      </c>
      <c r="O304" s="70"/>
      <c r="P304" s="79"/>
      <c r="Q304" s="79"/>
      <c r="R304" s="49">
        <f t="shared" si="65"/>
        <v>0</v>
      </c>
      <c r="S304" s="49">
        <f>[1]BASE!A302</f>
        <v>293</v>
      </c>
      <c r="T304" s="69">
        <f t="shared" si="50"/>
        <v>0</v>
      </c>
      <c r="U304" s="69">
        <f t="shared" si="51"/>
        <v>0</v>
      </c>
      <c r="V304" s="69">
        <f t="shared" si="52"/>
        <v>0</v>
      </c>
      <c r="W304" s="69">
        <f t="shared" si="53"/>
        <v>0</v>
      </c>
      <c r="X304" s="69">
        <f t="shared" si="54"/>
        <v>0</v>
      </c>
    </row>
    <row r="305" spans="1:24" ht="17.25" customHeight="1">
      <c r="A305" s="68" t="str">
        <f>IF(BASE!B303="","",BASE!B303)</f>
        <v/>
      </c>
      <c r="B305" s="49" t="s">
        <v>2</v>
      </c>
      <c r="C305" s="69">
        <f t="shared" si="55"/>
        <v>0</v>
      </c>
      <c r="D305" s="69">
        <f t="shared" si="56"/>
        <v>0</v>
      </c>
      <c r="E305" s="69">
        <f t="shared" si="57"/>
        <v>0</v>
      </c>
      <c r="F305" s="69">
        <f t="shared" si="58"/>
        <v>0</v>
      </c>
      <c r="G305" s="69">
        <f t="shared" si="59"/>
        <v>0</v>
      </c>
      <c r="H305" s="70"/>
      <c r="I305" s="79"/>
      <c r="J305" s="69">
        <f t="shared" si="60"/>
        <v>0</v>
      </c>
      <c r="K305" s="69">
        <f t="shared" si="61"/>
        <v>0</v>
      </c>
      <c r="L305" s="69">
        <f t="shared" si="62"/>
        <v>0</v>
      </c>
      <c r="M305" s="69">
        <f t="shared" si="63"/>
        <v>0</v>
      </c>
      <c r="N305" s="69">
        <f t="shared" si="64"/>
        <v>0</v>
      </c>
      <c r="O305" s="70"/>
      <c r="P305" s="79"/>
      <c r="Q305" s="79"/>
      <c r="R305" s="49">
        <f t="shared" si="65"/>
        <v>0</v>
      </c>
      <c r="S305" s="49">
        <f>[1]BASE!A303</f>
        <v>294</v>
      </c>
      <c r="T305" s="69">
        <f t="shared" si="50"/>
        <v>0</v>
      </c>
      <c r="U305" s="69">
        <f t="shared" si="51"/>
        <v>0</v>
      </c>
      <c r="V305" s="69">
        <f t="shared" si="52"/>
        <v>0</v>
      </c>
      <c r="W305" s="69">
        <f t="shared" si="53"/>
        <v>0</v>
      </c>
      <c r="X305" s="69">
        <f t="shared" si="54"/>
        <v>0</v>
      </c>
    </row>
    <row r="306" spans="1:24" ht="17.25" customHeight="1">
      <c r="A306" s="68" t="str">
        <f>IF(BASE!B304="","",BASE!B304)</f>
        <v/>
      </c>
      <c r="B306" s="49" t="s">
        <v>2</v>
      </c>
      <c r="C306" s="69">
        <f t="shared" si="55"/>
        <v>0</v>
      </c>
      <c r="D306" s="69">
        <f t="shared" si="56"/>
        <v>0</v>
      </c>
      <c r="E306" s="69">
        <f t="shared" si="57"/>
        <v>0</v>
      </c>
      <c r="F306" s="69">
        <f t="shared" si="58"/>
        <v>0</v>
      </c>
      <c r="G306" s="69">
        <f t="shared" si="59"/>
        <v>0</v>
      </c>
      <c r="H306" s="70"/>
      <c r="I306" s="79"/>
      <c r="J306" s="69">
        <f t="shared" si="60"/>
        <v>0</v>
      </c>
      <c r="K306" s="69">
        <f t="shared" si="61"/>
        <v>0</v>
      </c>
      <c r="L306" s="69">
        <f t="shared" si="62"/>
        <v>0</v>
      </c>
      <c r="M306" s="69">
        <f t="shared" si="63"/>
        <v>0</v>
      </c>
      <c r="N306" s="69">
        <f t="shared" si="64"/>
        <v>0</v>
      </c>
      <c r="O306" s="70"/>
      <c r="P306" s="79"/>
      <c r="Q306" s="79"/>
      <c r="R306" s="49">
        <f t="shared" si="65"/>
        <v>0</v>
      </c>
      <c r="S306" s="49">
        <f>[1]BASE!A304</f>
        <v>295</v>
      </c>
      <c r="T306" s="69">
        <f t="shared" si="50"/>
        <v>0</v>
      </c>
      <c r="U306" s="69">
        <f t="shared" si="51"/>
        <v>0</v>
      </c>
      <c r="V306" s="69">
        <f t="shared" si="52"/>
        <v>0</v>
      </c>
      <c r="W306" s="69">
        <f t="shared" si="53"/>
        <v>0</v>
      </c>
      <c r="X306" s="69">
        <f t="shared" si="54"/>
        <v>0</v>
      </c>
    </row>
    <row r="307" spans="1:24" ht="17.25" customHeight="1">
      <c r="A307" s="68" t="str">
        <f>IF(BASE!B305="","",BASE!B305)</f>
        <v/>
      </c>
      <c r="B307" s="49" t="s">
        <v>2</v>
      </c>
      <c r="C307" s="69">
        <f t="shared" si="55"/>
        <v>0</v>
      </c>
      <c r="D307" s="69">
        <f t="shared" si="56"/>
        <v>0</v>
      </c>
      <c r="E307" s="69">
        <f t="shared" si="57"/>
        <v>0</v>
      </c>
      <c r="F307" s="69">
        <f t="shared" si="58"/>
        <v>0</v>
      </c>
      <c r="G307" s="69">
        <f t="shared" si="59"/>
        <v>0</v>
      </c>
      <c r="H307" s="70"/>
      <c r="I307" s="79"/>
      <c r="J307" s="69">
        <f t="shared" si="60"/>
        <v>0</v>
      </c>
      <c r="K307" s="69">
        <f t="shared" si="61"/>
        <v>0</v>
      </c>
      <c r="L307" s="69">
        <f t="shared" si="62"/>
        <v>0</v>
      </c>
      <c r="M307" s="69">
        <f t="shared" si="63"/>
        <v>0</v>
      </c>
      <c r="N307" s="69">
        <f t="shared" si="64"/>
        <v>0</v>
      </c>
      <c r="O307" s="70"/>
      <c r="P307" s="79"/>
      <c r="Q307" s="79"/>
      <c r="R307" s="49">
        <f t="shared" si="65"/>
        <v>0</v>
      </c>
      <c r="S307" s="49">
        <f>[1]BASE!A305</f>
        <v>296</v>
      </c>
      <c r="T307" s="69">
        <f t="shared" si="50"/>
        <v>0</v>
      </c>
      <c r="U307" s="69">
        <f t="shared" si="51"/>
        <v>0</v>
      </c>
      <c r="V307" s="69">
        <f t="shared" si="52"/>
        <v>0</v>
      </c>
      <c r="W307" s="69">
        <f t="shared" si="53"/>
        <v>0</v>
      </c>
      <c r="X307" s="69">
        <f t="shared" si="54"/>
        <v>0</v>
      </c>
    </row>
    <row r="308" spans="1:24" ht="17.25" customHeight="1">
      <c r="A308" s="68" t="str">
        <f>IF(BASE!B306="","",BASE!B306)</f>
        <v/>
      </c>
      <c r="B308" s="49" t="s">
        <v>2</v>
      </c>
      <c r="C308" s="69">
        <f t="shared" si="55"/>
        <v>0</v>
      </c>
      <c r="D308" s="69">
        <f t="shared" si="56"/>
        <v>0</v>
      </c>
      <c r="E308" s="69">
        <f t="shared" si="57"/>
        <v>0</v>
      </c>
      <c r="F308" s="69">
        <f t="shared" si="58"/>
        <v>0</v>
      </c>
      <c r="G308" s="69">
        <f t="shared" si="59"/>
        <v>0</v>
      </c>
      <c r="H308" s="70"/>
      <c r="I308" s="79"/>
      <c r="J308" s="69">
        <f t="shared" si="60"/>
        <v>0</v>
      </c>
      <c r="K308" s="69">
        <f t="shared" si="61"/>
        <v>0</v>
      </c>
      <c r="L308" s="69">
        <f t="shared" si="62"/>
        <v>0</v>
      </c>
      <c r="M308" s="69">
        <f t="shared" si="63"/>
        <v>0</v>
      </c>
      <c r="N308" s="69">
        <f t="shared" si="64"/>
        <v>0</v>
      </c>
      <c r="O308" s="70"/>
      <c r="P308" s="79"/>
      <c r="Q308" s="79"/>
      <c r="R308" s="49">
        <f t="shared" si="65"/>
        <v>0</v>
      </c>
      <c r="S308" s="49">
        <f>[1]BASE!A306</f>
        <v>297</v>
      </c>
      <c r="T308" s="69">
        <f t="shared" si="50"/>
        <v>0</v>
      </c>
      <c r="U308" s="69">
        <f t="shared" si="51"/>
        <v>0</v>
      </c>
      <c r="V308" s="69">
        <f t="shared" si="52"/>
        <v>0</v>
      </c>
      <c r="W308" s="69">
        <f t="shared" si="53"/>
        <v>0</v>
      </c>
      <c r="X308" s="69">
        <f t="shared" si="54"/>
        <v>0</v>
      </c>
    </row>
    <row r="309" spans="1:24" ht="17.25" customHeight="1">
      <c r="A309" s="68" t="str">
        <f>IF(BASE!B307="","",BASE!B307)</f>
        <v/>
      </c>
      <c r="B309" s="49" t="s">
        <v>2</v>
      </c>
      <c r="C309" s="69">
        <f t="shared" si="55"/>
        <v>0</v>
      </c>
      <c r="D309" s="69">
        <f t="shared" si="56"/>
        <v>0</v>
      </c>
      <c r="E309" s="69">
        <f t="shared" si="57"/>
        <v>0</v>
      </c>
      <c r="F309" s="69">
        <f t="shared" si="58"/>
        <v>0</v>
      </c>
      <c r="G309" s="69">
        <f t="shared" si="59"/>
        <v>0</v>
      </c>
      <c r="H309" s="70"/>
      <c r="I309" s="79"/>
      <c r="J309" s="69">
        <f t="shared" si="60"/>
        <v>0</v>
      </c>
      <c r="K309" s="69">
        <f t="shared" si="61"/>
        <v>0</v>
      </c>
      <c r="L309" s="69">
        <f t="shared" si="62"/>
        <v>0</v>
      </c>
      <c r="M309" s="69">
        <f t="shared" si="63"/>
        <v>0</v>
      </c>
      <c r="N309" s="69">
        <f t="shared" si="64"/>
        <v>0</v>
      </c>
      <c r="O309" s="70"/>
      <c r="P309" s="79"/>
      <c r="Q309" s="79"/>
      <c r="R309" s="49">
        <f t="shared" si="65"/>
        <v>0</v>
      </c>
      <c r="S309" s="49">
        <f>[1]BASE!A307</f>
        <v>298</v>
      </c>
      <c r="T309" s="69">
        <f t="shared" si="50"/>
        <v>0</v>
      </c>
      <c r="U309" s="69">
        <f t="shared" si="51"/>
        <v>0</v>
      </c>
      <c r="V309" s="69">
        <f t="shared" si="52"/>
        <v>0</v>
      </c>
      <c r="W309" s="69">
        <f t="shared" si="53"/>
        <v>0</v>
      </c>
      <c r="X309" s="69">
        <f t="shared" si="54"/>
        <v>0</v>
      </c>
    </row>
    <row r="310" spans="1:24" ht="17.25" customHeight="1">
      <c r="A310" s="68" t="str">
        <f>IF(BASE!B308="","",BASE!B308)</f>
        <v/>
      </c>
      <c r="B310" s="49" t="s">
        <v>2</v>
      </c>
      <c r="C310" s="69">
        <f t="shared" si="55"/>
        <v>0</v>
      </c>
      <c r="D310" s="69">
        <f t="shared" si="56"/>
        <v>0</v>
      </c>
      <c r="E310" s="69">
        <f t="shared" si="57"/>
        <v>0</v>
      </c>
      <c r="F310" s="69">
        <f t="shared" si="58"/>
        <v>0</v>
      </c>
      <c r="G310" s="69">
        <f t="shared" si="59"/>
        <v>0</v>
      </c>
      <c r="H310" s="70"/>
      <c r="I310" s="79"/>
      <c r="J310" s="69">
        <f t="shared" si="60"/>
        <v>0</v>
      </c>
      <c r="K310" s="69">
        <f t="shared" si="61"/>
        <v>0</v>
      </c>
      <c r="L310" s="69">
        <f t="shared" si="62"/>
        <v>0</v>
      </c>
      <c r="M310" s="69">
        <f t="shared" si="63"/>
        <v>0</v>
      </c>
      <c r="N310" s="69">
        <f t="shared" si="64"/>
        <v>0</v>
      </c>
      <c r="O310" s="70"/>
      <c r="P310" s="79"/>
      <c r="Q310" s="79"/>
      <c r="R310" s="49">
        <f t="shared" si="65"/>
        <v>0</v>
      </c>
      <c r="S310" s="49">
        <f>[1]BASE!A308</f>
        <v>299</v>
      </c>
      <c r="T310" s="69">
        <f t="shared" si="50"/>
        <v>0</v>
      </c>
      <c r="U310" s="69">
        <f t="shared" si="51"/>
        <v>0</v>
      </c>
      <c r="V310" s="69">
        <f t="shared" si="52"/>
        <v>0</v>
      </c>
      <c r="W310" s="69">
        <f t="shared" si="53"/>
        <v>0</v>
      </c>
      <c r="X310" s="69">
        <f t="shared" si="54"/>
        <v>0</v>
      </c>
    </row>
    <row r="311" spans="1:24" ht="17.25" customHeight="1">
      <c r="A311" s="68" t="str">
        <f>IF(BASE!B309="","",BASE!B309)</f>
        <v/>
      </c>
      <c r="B311" s="49" t="s">
        <v>2</v>
      </c>
      <c r="C311" s="69">
        <f t="shared" si="55"/>
        <v>0</v>
      </c>
      <c r="D311" s="69">
        <f t="shared" si="56"/>
        <v>0</v>
      </c>
      <c r="E311" s="69">
        <f t="shared" si="57"/>
        <v>0</v>
      </c>
      <c r="F311" s="69">
        <f t="shared" si="58"/>
        <v>0</v>
      </c>
      <c r="G311" s="69">
        <f t="shared" si="59"/>
        <v>0</v>
      </c>
      <c r="H311" s="70"/>
      <c r="I311" s="79"/>
      <c r="J311" s="69">
        <f t="shared" si="60"/>
        <v>0</v>
      </c>
      <c r="K311" s="69">
        <f t="shared" si="61"/>
        <v>0</v>
      </c>
      <c r="L311" s="69">
        <f t="shared" si="62"/>
        <v>0</v>
      </c>
      <c r="M311" s="69">
        <f t="shared" si="63"/>
        <v>0</v>
      </c>
      <c r="N311" s="69">
        <f t="shared" si="64"/>
        <v>0</v>
      </c>
      <c r="O311" s="70"/>
      <c r="P311" s="79"/>
      <c r="Q311" s="79"/>
      <c r="R311" s="49">
        <f t="shared" si="65"/>
        <v>0</v>
      </c>
      <c r="S311" s="49">
        <f>[1]BASE!A309</f>
        <v>300</v>
      </c>
      <c r="T311" s="69">
        <f t="shared" si="50"/>
        <v>0</v>
      </c>
      <c r="U311" s="69">
        <f t="shared" si="51"/>
        <v>0</v>
      </c>
      <c r="V311" s="69">
        <f t="shared" si="52"/>
        <v>0</v>
      </c>
      <c r="W311" s="69">
        <f t="shared" si="53"/>
        <v>0</v>
      </c>
      <c r="X311" s="69">
        <f t="shared" si="54"/>
        <v>0</v>
      </c>
    </row>
    <row r="312" spans="1:24" ht="17.25" customHeight="1">
      <c r="A312" s="68" t="str">
        <f>IF(BASE!B310="","",BASE!B310)</f>
        <v/>
      </c>
      <c r="B312" s="49" t="s">
        <v>2</v>
      </c>
      <c r="C312" s="69">
        <f t="shared" si="55"/>
        <v>0</v>
      </c>
      <c r="D312" s="69">
        <f t="shared" si="56"/>
        <v>0</v>
      </c>
      <c r="E312" s="69">
        <f t="shared" si="57"/>
        <v>0</v>
      </c>
      <c r="F312" s="69">
        <f t="shared" si="58"/>
        <v>0</v>
      </c>
      <c r="G312" s="69">
        <f t="shared" si="59"/>
        <v>0</v>
      </c>
      <c r="H312" s="70"/>
      <c r="I312" s="79"/>
      <c r="J312" s="69">
        <f t="shared" si="60"/>
        <v>0</v>
      </c>
      <c r="K312" s="69">
        <f t="shared" si="61"/>
        <v>0</v>
      </c>
      <c r="L312" s="69">
        <f t="shared" si="62"/>
        <v>0</v>
      </c>
      <c r="M312" s="69">
        <f t="shared" si="63"/>
        <v>0</v>
      </c>
      <c r="N312" s="69">
        <f t="shared" si="64"/>
        <v>0</v>
      </c>
      <c r="O312" s="70"/>
      <c r="P312" s="79"/>
      <c r="Q312" s="79"/>
      <c r="R312" s="49">
        <f t="shared" si="65"/>
        <v>0</v>
      </c>
      <c r="S312" s="49">
        <f>[1]BASE!A310</f>
        <v>301</v>
      </c>
      <c r="T312" s="69">
        <f t="shared" si="50"/>
        <v>0</v>
      </c>
      <c r="U312" s="69">
        <f t="shared" si="51"/>
        <v>0</v>
      </c>
      <c r="V312" s="69">
        <f t="shared" si="52"/>
        <v>0</v>
      </c>
      <c r="W312" s="69">
        <f t="shared" si="53"/>
        <v>0</v>
      </c>
      <c r="X312" s="69">
        <f t="shared" si="54"/>
        <v>0</v>
      </c>
    </row>
    <row r="313" spans="1:24" ht="17.25" customHeight="1">
      <c r="A313" s="68" t="str">
        <f>IF(BASE!B311="","",BASE!B311)</f>
        <v/>
      </c>
      <c r="B313" s="49" t="s">
        <v>2</v>
      </c>
      <c r="C313" s="69">
        <f t="shared" si="55"/>
        <v>0</v>
      </c>
      <c r="D313" s="69">
        <f t="shared" si="56"/>
        <v>0</v>
      </c>
      <c r="E313" s="69">
        <f t="shared" si="57"/>
        <v>0</v>
      </c>
      <c r="F313" s="69">
        <f t="shared" si="58"/>
        <v>0</v>
      </c>
      <c r="G313" s="69">
        <f t="shared" si="59"/>
        <v>0</v>
      </c>
      <c r="H313" s="70"/>
      <c r="I313" s="79"/>
      <c r="J313" s="69">
        <f t="shared" si="60"/>
        <v>0</v>
      </c>
      <c r="K313" s="69">
        <f t="shared" si="61"/>
        <v>0</v>
      </c>
      <c r="L313" s="69">
        <f t="shared" si="62"/>
        <v>0</v>
      </c>
      <c r="M313" s="69">
        <f t="shared" si="63"/>
        <v>0</v>
      </c>
      <c r="N313" s="69">
        <f t="shared" si="64"/>
        <v>0</v>
      </c>
      <c r="O313" s="70"/>
      <c r="P313" s="79"/>
      <c r="Q313" s="79"/>
      <c r="R313" s="49">
        <f t="shared" si="65"/>
        <v>0</v>
      </c>
      <c r="S313" s="49">
        <f>[1]BASE!A311</f>
        <v>302</v>
      </c>
      <c r="T313" s="69">
        <f t="shared" si="50"/>
        <v>0</v>
      </c>
      <c r="U313" s="69">
        <f t="shared" si="51"/>
        <v>0</v>
      </c>
      <c r="V313" s="69">
        <f t="shared" si="52"/>
        <v>0</v>
      </c>
      <c r="W313" s="69">
        <f t="shared" si="53"/>
        <v>0</v>
      </c>
      <c r="X313" s="69">
        <f t="shared" si="54"/>
        <v>0</v>
      </c>
    </row>
    <row r="314" spans="1:24" ht="17.25" customHeight="1">
      <c r="A314" s="68" t="str">
        <f>IF(BASE!B312="","",BASE!B312)</f>
        <v/>
      </c>
      <c r="B314" s="49" t="s">
        <v>2</v>
      </c>
      <c r="C314" s="69">
        <f t="shared" si="55"/>
        <v>0</v>
      </c>
      <c r="D314" s="69">
        <f t="shared" si="56"/>
        <v>0</v>
      </c>
      <c r="E314" s="69">
        <f t="shared" si="57"/>
        <v>0</v>
      </c>
      <c r="F314" s="69">
        <f t="shared" si="58"/>
        <v>0</v>
      </c>
      <c r="G314" s="69">
        <f t="shared" si="59"/>
        <v>0</v>
      </c>
      <c r="H314" s="70"/>
      <c r="I314" s="79"/>
      <c r="J314" s="69">
        <f t="shared" si="60"/>
        <v>0</v>
      </c>
      <c r="K314" s="69">
        <f t="shared" si="61"/>
        <v>0</v>
      </c>
      <c r="L314" s="69">
        <f t="shared" si="62"/>
        <v>0</v>
      </c>
      <c r="M314" s="69">
        <f t="shared" si="63"/>
        <v>0</v>
      </c>
      <c r="N314" s="69">
        <f t="shared" si="64"/>
        <v>0</v>
      </c>
      <c r="O314" s="70"/>
      <c r="P314" s="79"/>
      <c r="Q314" s="79"/>
      <c r="R314" s="49">
        <f t="shared" si="65"/>
        <v>0</v>
      </c>
      <c r="S314" s="49">
        <f>[1]BASE!A312</f>
        <v>303</v>
      </c>
      <c r="T314" s="69">
        <f t="shared" si="50"/>
        <v>0</v>
      </c>
      <c r="U314" s="69">
        <f t="shared" si="51"/>
        <v>0</v>
      </c>
      <c r="V314" s="69">
        <f t="shared" si="52"/>
        <v>0</v>
      </c>
      <c r="W314" s="69">
        <f t="shared" si="53"/>
        <v>0</v>
      </c>
      <c r="X314" s="69">
        <f t="shared" si="54"/>
        <v>0</v>
      </c>
    </row>
    <row r="315" spans="1:24" ht="17.25" customHeight="1">
      <c r="A315" s="68" t="str">
        <f>IF(BASE!B313="","",BASE!B313)</f>
        <v/>
      </c>
      <c r="B315" s="49" t="s">
        <v>2</v>
      </c>
      <c r="C315" s="69">
        <f t="shared" si="55"/>
        <v>0</v>
      </c>
      <c r="D315" s="69">
        <f t="shared" si="56"/>
        <v>0</v>
      </c>
      <c r="E315" s="69">
        <f t="shared" si="57"/>
        <v>0</v>
      </c>
      <c r="F315" s="69">
        <f t="shared" si="58"/>
        <v>0</v>
      </c>
      <c r="G315" s="69">
        <f t="shared" si="59"/>
        <v>0</v>
      </c>
      <c r="H315" s="70"/>
      <c r="I315" s="79"/>
      <c r="J315" s="69">
        <f t="shared" si="60"/>
        <v>0</v>
      </c>
      <c r="K315" s="69">
        <f t="shared" si="61"/>
        <v>0</v>
      </c>
      <c r="L315" s="69">
        <f t="shared" si="62"/>
        <v>0</v>
      </c>
      <c r="M315" s="69">
        <f t="shared" si="63"/>
        <v>0</v>
      </c>
      <c r="N315" s="69">
        <f t="shared" si="64"/>
        <v>0</v>
      </c>
      <c r="O315" s="70"/>
      <c r="P315" s="79"/>
      <c r="Q315" s="79"/>
      <c r="R315" s="49">
        <f t="shared" si="65"/>
        <v>0</v>
      </c>
      <c r="S315" s="49">
        <f>[1]BASE!A313</f>
        <v>304</v>
      </c>
      <c r="T315" s="69">
        <f t="shared" si="50"/>
        <v>0</v>
      </c>
      <c r="U315" s="69">
        <f t="shared" si="51"/>
        <v>0</v>
      </c>
      <c r="V315" s="69">
        <f t="shared" si="52"/>
        <v>0</v>
      </c>
      <c r="W315" s="69">
        <f t="shared" si="53"/>
        <v>0</v>
      </c>
      <c r="X315" s="69">
        <f t="shared" si="54"/>
        <v>0</v>
      </c>
    </row>
    <row r="316" spans="1:24" ht="17.25" customHeight="1">
      <c r="A316" s="68" t="str">
        <f>IF(BASE!B314="","",BASE!B314)</f>
        <v/>
      </c>
      <c r="B316" s="49" t="s">
        <v>2</v>
      </c>
      <c r="C316" s="69">
        <f t="shared" si="55"/>
        <v>0</v>
      </c>
      <c r="D316" s="69">
        <f t="shared" si="56"/>
        <v>0</v>
      </c>
      <c r="E316" s="69">
        <f t="shared" si="57"/>
        <v>0</v>
      </c>
      <c r="F316" s="69">
        <f t="shared" si="58"/>
        <v>0</v>
      </c>
      <c r="G316" s="69">
        <f t="shared" si="59"/>
        <v>0</v>
      </c>
      <c r="H316" s="70"/>
      <c r="I316" s="79"/>
      <c r="J316" s="69">
        <f t="shared" si="60"/>
        <v>0</v>
      </c>
      <c r="K316" s="69">
        <f t="shared" si="61"/>
        <v>0</v>
      </c>
      <c r="L316" s="69">
        <f t="shared" si="62"/>
        <v>0</v>
      </c>
      <c r="M316" s="69">
        <f t="shared" si="63"/>
        <v>0</v>
      </c>
      <c r="N316" s="69">
        <f t="shared" si="64"/>
        <v>0</v>
      </c>
      <c r="O316" s="70"/>
      <c r="P316" s="79"/>
      <c r="Q316" s="79"/>
      <c r="R316" s="49">
        <f t="shared" si="65"/>
        <v>0</v>
      </c>
      <c r="S316" s="49">
        <f>[1]BASE!A314</f>
        <v>305</v>
      </c>
      <c r="T316" s="69">
        <f t="shared" si="50"/>
        <v>0</v>
      </c>
      <c r="U316" s="69">
        <f t="shared" si="51"/>
        <v>0</v>
      </c>
      <c r="V316" s="69">
        <f t="shared" si="52"/>
        <v>0</v>
      </c>
      <c r="W316" s="69">
        <f t="shared" si="53"/>
        <v>0</v>
      </c>
      <c r="X316" s="69">
        <f t="shared" si="54"/>
        <v>0</v>
      </c>
    </row>
    <row r="317" spans="1:24" ht="17.25" customHeight="1">
      <c r="A317" s="68" t="str">
        <f>IF(BASE!B315="","",BASE!B315)</f>
        <v/>
      </c>
      <c r="B317" s="49" t="s">
        <v>2</v>
      </c>
      <c r="C317" s="69">
        <f t="shared" si="55"/>
        <v>0</v>
      </c>
      <c r="D317" s="69">
        <f t="shared" si="56"/>
        <v>0</v>
      </c>
      <c r="E317" s="69">
        <f t="shared" si="57"/>
        <v>0</v>
      </c>
      <c r="F317" s="69">
        <f t="shared" si="58"/>
        <v>0</v>
      </c>
      <c r="G317" s="69">
        <f t="shared" si="59"/>
        <v>0</v>
      </c>
      <c r="H317" s="70"/>
      <c r="I317" s="79"/>
      <c r="J317" s="69">
        <f t="shared" si="60"/>
        <v>0</v>
      </c>
      <c r="K317" s="69">
        <f t="shared" si="61"/>
        <v>0</v>
      </c>
      <c r="L317" s="69">
        <f t="shared" si="62"/>
        <v>0</v>
      </c>
      <c r="M317" s="69">
        <f t="shared" si="63"/>
        <v>0</v>
      </c>
      <c r="N317" s="69">
        <f t="shared" si="64"/>
        <v>0</v>
      </c>
      <c r="O317" s="70"/>
      <c r="P317" s="79"/>
      <c r="Q317" s="79"/>
      <c r="R317" s="49">
        <f t="shared" si="65"/>
        <v>0</v>
      </c>
      <c r="S317" s="49">
        <f>[1]BASE!A315</f>
        <v>306</v>
      </c>
      <c r="T317" s="69">
        <f t="shared" ref="T317:T380" si="66">SUMIF($C$11:$Q$11,1,C317:Q317)</f>
        <v>0</v>
      </c>
      <c r="U317" s="69">
        <f t="shared" ref="U317:U380" si="67">SUMIF($C$11:$Q$11,2,C317:Q317)</f>
        <v>0</v>
      </c>
      <c r="V317" s="69">
        <f t="shared" ref="V317:V380" si="68">SUMIF($C$11:$Q$11,3,C317:Q317)</f>
        <v>0</v>
      </c>
      <c r="W317" s="69">
        <f t="shared" ref="W317:W380" si="69">SUMIF($C$11:$Q$11,4,C317:Q317)</f>
        <v>0</v>
      </c>
      <c r="X317" s="69">
        <f t="shared" ref="X317:X380" si="70">SUMIF($C$11:$Q$11,5,C317:Q317)</f>
        <v>0</v>
      </c>
    </row>
    <row r="318" spans="1:24" ht="17.25" customHeight="1">
      <c r="A318" s="68" t="str">
        <f>IF(BASE!B316="","",BASE!B316)</f>
        <v/>
      </c>
      <c r="B318" s="49" t="s">
        <v>2</v>
      </c>
      <c r="C318" s="69">
        <f t="shared" si="55"/>
        <v>0</v>
      </c>
      <c r="D318" s="69">
        <f t="shared" si="56"/>
        <v>0</v>
      </c>
      <c r="E318" s="69">
        <f t="shared" si="57"/>
        <v>0</v>
      </c>
      <c r="F318" s="69">
        <f t="shared" si="58"/>
        <v>0</v>
      </c>
      <c r="G318" s="69">
        <f t="shared" si="59"/>
        <v>0</v>
      </c>
      <c r="H318" s="70"/>
      <c r="I318" s="79"/>
      <c r="J318" s="69">
        <f t="shared" si="60"/>
        <v>0</v>
      </c>
      <c r="K318" s="69">
        <f t="shared" si="61"/>
        <v>0</v>
      </c>
      <c r="L318" s="69">
        <f t="shared" si="62"/>
        <v>0</v>
      </c>
      <c r="M318" s="69">
        <f t="shared" si="63"/>
        <v>0</v>
      </c>
      <c r="N318" s="69">
        <f t="shared" si="64"/>
        <v>0</v>
      </c>
      <c r="O318" s="70"/>
      <c r="P318" s="79"/>
      <c r="Q318" s="79"/>
      <c r="R318" s="49">
        <f t="shared" si="65"/>
        <v>0</v>
      </c>
      <c r="S318" s="49">
        <f>[1]BASE!A316</f>
        <v>307</v>
      </c>
      <c r="T318" s="69">
        <f t="shared" si="66"/>
        <v>0</v>
      </c>
      <c r="U318" s="69">
        <f t="shared" si="67"/>
        <v>0</v>
      </c>
      <c r="V318" s="69">
        <f t="shared" si="68"/>
        <v>0</v>
      </c>
      <c r="W318" s="69">
        <f t="shared" si="69"/>
        <v>0</v>
      </c>
      <c r="X318" s="69">
        <f t="shared" si="70"/>
        <v>0</v>
      </c>
    </row>
    <row r="319" spans="1:24" ht="17.25" customHeight="1">
      <c r="A319" s="68" t="str">
        <f>IF(BASE!B317="","",BASE!B317)</f>
        <v/>
      </c>
      <c r="B319" s="49" t="s">
        <v>2</v>
      </c>
      <c r="C319" s="69">
        <f t="shared" si="55"/>
        <v>0</v>
      </c>
      <c r="D319" s="69">
        <f t="shared" si="56"/>
        <v>0</v>
      </c>
      <c r="E319" s="69">
        <f t="shared" si="57"/>
        <v>0</v>
      </c>
      <c r="F319" s="69">
        <f t="shared" si="58"/>
        <v>0</v>
      </c>
      <c r="G319" s="69">
        <f t="shared" si="59"/>
        <v>0</v>
      </c>
      <c r="H319" s="70"/>
      <c r="I319" s="79"/>
      <c r="J319" s="69">
        <f t="shared" si="60"/>
        <v>0</v>
      </c>
      <c r="K319" s="69">
        <f t="shared" si="61"/>
        <v>0</v>
      </c>
      <c r="L319" s="69">
        <f t="shared" si="62"/>
        <v>0</v>
      </c>
      <c r="M319" s="69">
        <f t="shared" si="63"/>
        <v>0</v>
      </c>
      <c r="N319" s="69">
        <f t="shared" si="64"/>
        <v>0</v>
      </c>
      <c r="O319" s="70"/>
      <c r="P319" s="79"/>
      <c r="Q319" s="79"/>
      <c r="R319" s="49">
        <f t="shared" si="65"/>
        <v>0</v>
      </c>
      <c r="S319" s="49">
        <f>[1]BASE!A317</f>
        <v>308</v>
      </c>
      <c r="T319" s="69">
        <f t="shared" si="66"/>
        <v>0</v>
      </c>
      <c r="U319" s="69">
        <f t="shared" si="67"/>
        <v>0</v>
      </c>
      <c r="V319" s="69">
        <f t="shared" si="68"/>
        <v>0</v>
      </c>
      <c r="W319" s="69">
        <f t="shared" si="69"/>
        <v>0</v>
      </c>
      <c r="X319" s="69">
        <f t="shared" si="70"/>
        <v>0</v>
      </c>
    </row>
    <row r="320" spans="1:24" ht="17.25" customHeight="1">
      <c r="A320" s="68" t="str">
        <f>IF(BASE!B318="","",BASE!B318)</f>
        <v/>
      </c>
      <c r="B320" s="49" t="s">
        <v>2</v>
      </c>
      <c r="C320" s="69">
        <f t="shared" si="55"/>
        <v>0</v>
      </c>
      <c r="D320" s="69">
        <f t="shared" si="56"/>
        <v>0</v>
      </c>
      <c r="E320" s="69">
        <f t="shared" si="57"/>
        <v>0</v>
      </c>
      <c r="F320" s="69">
        <f t="shared" si="58"/>
        <v>0</v>
      </c>
      <c r="G320" s="69">
        <f t="shared" si="59"/>
        <v>0</v>
      </c>
      <c r="H320" s="70"/>
      <c r="I320" s="79"/>
      <c r="J320" s="69">
        <f t="shared" si="60"/>
        <v>0</v>
      </c>
      <c r="K320" s="69">
        <f t="shared" si="61"/>
        <v>0</v>
      </c>
      <c r="L320" s="69">
        <f t="shared" si="62"/>
        <v>0</v>
      </c>
      <c r="M320" s="69">
        <f t="shared" si="63"/>
        <v>0</v>
      </c>
      <c r="N320" s="69">
        <f t="shared" si="64"/>
        <v>0</v>
      </c>
      <c r="O320" s="70"/>
      <c r="P320" s="79"/>
      <c r="Q320" s="79"/>
      <c r="R320" s="49">
        <f t="shared" si="65"/>
        <v>0</v>
      </c>
      <c r="S320" s="49">
        <f>[1]BASE!A318</f>
        <v>309</v>
      </c>
      <c r="T320" s="69">
        <f t="shared" si="66"/>
        <v>0</v>
      </c>
      <c r="U320" s="69">
        <f t="shared" si="67"/>
        <v>0</v>
      </c>
      <c r="V320" s="69">
        <f t="shared" si="68"/>
        <v>0</v>
      </c>
      <c r="W320" s="69">
        <f t="shared" si="69"/>
        <v>0</v>
      </c>
      <c r="X320" s="69">
        <f t="shared" si="70"/>
        <v>0</v>
      </c>
    </row>
    <row r="321" spans="1:24" ht="17.25" customHeight="1">
      <c r="A321" s="68" t="str">
        <f>IF(BASE!B319="","",BASE!B319)</f>
        <v/>
      </c>
      <c r="B321" s="49" t="s">
        <v>2</v>
      </c>
      <c r="C321" s="69">
        <f t="shared" si="55"/>
        <v>0</v>
      </c>
      <c r="D321" s="69">
        <f t="shared" si="56"/>
        <v>0</v>
      </c>
      <c r="E321" s="69">
        <f t="shared" si="57"/>
        <v>0</v>
      </c>
      <c r="F321" s="69">
        <f t="shared" si="58"/>
        <v>0</v>
      </c>
      <c r="G321" s="69">
        <f t="shared" si="59"/>
        <v>0</v>
      </c>
      <c r="H321" s="70"/>
      <c r="I321" s="79"/>
      <c r="J321" s="69">
        <f t="shared" si="60"/>
        <v>0</v>
      </c>
      <c r="K321" s="69">
        <f t="shared" si="61"/>
        <v>0</v>
      </c>
      <c r="L321" s="69">
        <f t="shared" si="62"/>
        <v>0</v>
      </c>
      <c r="M321" s="69">
        <f t="shared" si="63"/>
        <v>0</v>
      </c>
      <c r="N321" s="69">
        <f t="shared" si="64"/>
        <v>0</v>
      </c>
      <c r="O321" s="70"/>
      <c r="P321" s="79"/>
      <c r="Q321" s="79"/>
      <c r="R321" s="49">
        <f t="shared" si="65"/>
        <v>0</v>
      </c>
      <c r="S321" s="49">
        <f>[1]BASE!A319</f>
        <v>310</v>
      </c>
      <c r="T321" s="69">
        <f t="shared" si="66"/>
        <v>0</v>
      </c>
      <c r="U321" s="69">
        <f t="shared" si="67"/>
        <v>0</v>
      </c>
      <c r="V321" s="69">
        <f t="shared" si="68"/>
        <v>0</v>
      </c>
      <c r="W321" s="69">
        <f t="shared" si="69"/>
        <v>0</v>
      </c>
      <c r="X321" s="69">
        <f t="shared" si="70"/>
        <v>0</v>
      </c>
    </row>
    <row r="322" spans="1:24" ht="17.25" customHeight="1">
      <c r="A322" s="68" t="str">
        <f>IF(BASE!B320="","",BASE!B320)</f>
        <v/>
      </c>
      <c r="B322" s="49" t="s">
        <v>2</v>
      </c>
      <c r="C322" s="69">
        <f t="shared" si="55"/>
        <v>0</v>
      </c>
      <c r="D322" s="69">
        <f t="shared" si="56"/>
        <v>0</v>
      </c>
      <c r="E322" s="69">
        <f t="shared" si="57"/>
        <v>0</v>
      </c>
      <c r="F322" s="69">
        <f t="shared" si="58"/>
        <v>0</v>
      </c>
      <c r="G322" s="69">
        <f t="shared" si="59"/>
        <v>0</v>
      </c>
      <c r="H322" s="70"/>
      <c r="I322" s="79"/>
      <c r="J322" s="69">
        <f t="shared" si="60"/>
        <v>0</v>
      </c>
      <c r="K322" s="69">
        <f t="shared" si="61"/>
        <v>0</v>
      </c>
      <c r="L322" s="69">
        <f t="shared" si="62"/>
        <v>0</v>
      </c>
      <c r="M322" s="69">
        <f t="shared" si="63"/>
        <v>0</v>
      </c>
      <c r="N322" s="69">
        <f t="shared" si="64"/>
        <v>0</v>
      </c>
      <c r="O322" s="70"/>
      <c r="P322" s="79"/>
      <c r="Q322" s="79"/>
      <c r="R322" s="49">
        <f t="shared" si="65"/>
        <v>0</v>
      </c>
      <c r="S322" s="49">
        <f>[1]BASE!A320</f>
        <v>311</v>
      </c>
      <c r="T322" s="69">
        <f t="shared" si="66"/>
        <v>0</v>
      </c>
      <c r="U322" s="69">
        <f t="shared" si="67"/>
        <v>0</v>
      </c>
      <c r="V322" s="69">
        <f t="shared" si="68"/>
        <v>0</v>
      </c>
      <c r="W322" s="69">
        <f t="shared" si="69"/>
        <v>0</v>
      </c>
      <c r="X322" s="69">
        <f t="shared" si="70"/>
        <v>0</v>
      </c>
    </row>
    <row r="323" spans="1:24" ht="17.25" customHeight="1">
      <c r="A323" s="68" t="str">
        <f>IF(BASE!B321="","",BASE!B321)</f>
        <v/>
      </c>
      <c r="B323" s="49" t="s">
        <v>2</v>
      </c>
      <c r="C323" s="69">
        <f t="shared" si="55"/>
        <v>0</v>
      </c>
      <c r="D323" s="69">
        <f t="shared" si="56"/>
        <v>0</v>
      </c>
      <c r="E323" s="69">
        <f t="shared" si="57"/>
        <v>0</v>
      </c>
      <c r="F323" s="69">
        <f t="shared" si="58"/>
        <v>0</v>
      </c>
      <c r="G323" s="69">
        <f t="shared" si="59"/>
        <v>0</v>
      </c>
      <c r="H323" s="70"/>
      <c r="I323" s="79"/>
      <c r="J323" s="69">
        <f t="shared" si="60"/>
        <v>0</v>
      </c>
      <c r="K323" s="69">
        <f t="shared" si="61"/>
        <v>0</v>
      </c>
      <c r="L323" s="69">
        <f t="shared" si="62"/>
        <v>0</v>
      </c>
      <c r="M323" s="69">
        <f t="shared" si="63"/>
        <v>0</v>
      </c>
      <c r="N323" s="69">
        <f t="shared" si="64"/>
        <v>0</v>
      </c>
      <c r="O323" s="70"/>
      <c r="P323" s="79"/>
      <c r="Q323" s="79"/>
      <c r="R323" s="49">
        <f t="shared" si="65"/>
        <v>0</v>
      </c>
      <c r="S323" s="49">
        <f>[1]BASE!A321</f>
        <v>312</v>
      </c>
      <c r="T323" s="69">
        <f t="shared" si="66"/>
        <v>0</v>
      </c>
      <c r="U323" s="69">
        <f t="shared" si="67"/>
        <v>0</v>
      </c>
      <c r="V323" s="69">
        <f t="shared" si="68"/>
        <v>0</v>
      </c>
      <c r="W323" s="69">
        <f t="shared" si="69"/>
        <v>0</v>
      </c>
      <c r="X323" s="69">
        <f t="shared" si="70"/>
        <v>0</v>
      </c>
    </row>
    <row r="324" spans="1:24" ht="17.25" customHeight="1">
      <c r="A324" s="68" t="str">
        <f>IF(BASE!B322="","",BASE!B322)</f>
        <v/>
      </c>
      <c r="B324" s="49" t="s">
        <v>2</v>
      </c>
      <c r="C324" s="69">
        <f t="shared" si="55"/>
        <v>0</v>
      </c>
      <c r="D324" s="69">
        <f t="shared" si="56"/>
        <v>0</v>
      </c>
      <c r="E324" s="69">
        <f t="shared" si="57"/>
        <v>0</v>
      </c>
      <c r="F324" s="69">
        <f t="shared" si="58"/>
        <v>0</v>
      </c>
      <c r="G324" s="69">
        <f t="shared" si="59"/>
        <v>0</v>
      </c>
      <c r="H324" s="70"/>
      <c r="I324" s="79"/>
      <c r="J324" s="69">
        <f t="shared" si="60"/>
        <v>0</v>
      </c>
      <c r="K324" s="69">
        <f t="shared" si="61"/>
        <v>0</v>
      </c>
      <c r="L324" s="69">
        <f t="shared" si="62"/>
        <v>0</v>
      </c>
      <c r="M324" s="69">
        <f t="shared" si="63"/>
        <v>0</v>
      </c>
      <c r="N324" s="69">
        <f t="shared" si="64"/>
        <v>0</v>
      </c>
      <c r="O324" s="70"/>
      <c r="P324" s="79"/>
      <c r="Q324" s="79"/>
      <c r="R324" s="49">
        <f t="shared" si="65"/>
        <v>0</v>
      </c>
      <c r="S324" s="49">
        <f>[1]BASE!A322</f>
        <v>313</v>
      </c>
      <c r="T324" s="69">
        <f t="shared" si="66"/>
        <v>0</v>
      </c>
      <c r="U324" s="69">
        <f t="shared" si="67"/>
        <v>0</v>
      </c>
      <c r="V324" s="69">
        <f t="shared" si="68"/>
        <v>0</v>
      </c>
      <c r="W324" s="69">
        <f t="shared" si="69"/>
        <v>0</v>
      </c>
      <c r="X324" s="69">
        <f t="shared" si="70"/>
        <v>0</v>
      </c>
    </row>
    <row r="325" spans="1:24" ht="17.25" customHeight="1">
      <c r="A325" s="68" t="str">
        <f>IF(BASE!B323="","",BASE!B323)</f>
        <v/>
      </c>
      <c r="B325" s="49" t="s">
        <v>2</v>
      </c>
      <c r="C325" s="69">
        <f t="shared" si="55"/>
        <v>0</v>
      </c>
      <c r="D325" s="69">
        <f t="shared" si="56"/>
        <v>0</v>
      </c>
      <c r="E325" s="69">
        <f t="shared" si="57"/>
        <v>0</v>
      </c>
      <c r="F325" s="69">
        <f t="shared" si="58"/>
        <v>0</v>
      </c>
      <c r="G325" s="69">
        <f t="shared" si="59"/>
        <v>0</v>
      </c>
      <c r="H325" s="70"/>
      <c r="I325" s="79"/>
      <c r="J325" s="69">
        <f t="shared" si="60"/>
        <v>0</v>
      </c>
      <c r="K325" s="69">
        <f t="shared" si="61"/>
        <v>0</v>
      </c>
      <c r="L325" s="69">
        <f t="shared" si="62"/>
        <v>0</v>
      </c>
      <c r="M325" s="69">
        <f t="shared" si="63"/>
        <v>0</v>
      </c>
      <c r="N325" s="69">
        <f t="shared" si="64"/>
        <v>0</v>
      </c>
      <c r="O325" s="70"/>
      <c r="P325" s="79"/>
      <c r="Q325" s="79"/>
      <c r="R325" s="49">
        <f t="shared" si="65"/>
        <v>0</v>
      </c>
      <c r="S325" s="49">
        <f>[1]BASE!A323</f>
        <v>314</v>
      </c>
      <c r="T325" s="69">
        <f t="shared" si="66"/>
        <v>0</v>
      </c>
      <c r="U325" s="69">
        <f t="shared" si="67"/>
        <v>0</v>
      </c>
      <c r="V325" s="69">
        <f t="shared" si="68"/>
        <v>0</v>
      </c>
      <c r="W325" s="69">
        <f t="shared" si="69"/>
        <v>0</v>
      </c>
      <c r="X325" s="69">
        <f t="shared" si="70"/>
        <v>0</v>
      </c>
    </row>
    <row r="326" spans="1:24" ht="17.25" customHeight="1">
      <c r="A326" s="68" t="str">
        <f>IF(BASE!B324="","",BASE!B324)</f>
        <v/>
      </c>
      <c r="B326" s="49" t="s">
        <v>2</v>
      </c>
      <c r="C326" s="69">
        <f t="shared" si="55"/>
        <v>0</v>
      </c>
      <c r="D326" s="69">
        <f t="shared" si="56"/>
        <v>0</v>
      </c>
      <c r="E326" s="69">
        <f t="shared" si="57"/>
        <v>0</v>
      </c>
      <c r="F326" s="69">
        <f t="shared" si="58"/>
        <v>0</v>
      </c>
      <c r="G326" s="69">
        <f t="shared" si="59"/>
        <v>0</v>
      </c>
      <c r="H326" s="70"/>
      <c r="I326" s="79"/>
      <c r="J326" s="69">
        <f t="shared" si="60"/>
        <v>0</v>
      </c>
      <c r="K326" s="69">
        <f t="shared" si="61"/>
        <v>0</v>
      </c>
      <c r="L326" s="69">
        <f t="shared" si="62"/>
        <v>0</v>
      </c>
      <c r="M326" s="69">
        <f t="shared" si="63"/>
        <v>0</v>
      </c>
      <c r="N326" s="69">
        <f t="shared" si="64"/>
        <v>0</v>
      </c>
      <c r="O326" s="70"/>
      <c r="P326" s="79"/>
      <c r="Q326" s="79"/>
      <c r="R326" s="49">
        <f t="shared" si="65"/>
        <v>0</v>
      </c>
      <c r="S326" s="49">
        <f>[1]BASE!A324</f>
        <v>315</v>
      </c>
      <c r="T326" s="69">
        <f t="shared" si="66"/>
        <v>0</v>
      </c>
      <c r="U326" s="69">
        <f t="shared" si="67"/>
        <v>0</v>
      </c>
      <c r="V326" s="69">
        <f t="shared" si="68"/>
        <v>0</v>
      </c>
      <c r="W326" s="69">
        <f t="shared" si="69"/>
        <v>0</v>
      </c>
      <c r="X326" s="69">
        <f t="shared" si="70"/>
        <v>0</v>
      </c>
    </row>
    <row r="327" spans="1:24" ht="17.25" customHeight="1">
      <c r="A327" s="68" t="str">
        <f>IF(BASE!B325="","",BASE!B325)</f>
        <v/>
      </c>
      <c r="B327" s="49" t="s">
        <v>2</v>
      </c>
      <c r="C327" s="69">
        <f t="shared" si="55"/>
        <v>0</v>
      </c>
      <c r="D327" s="69">
        <f t="shared" si="56"/>
        <v>0</v>
      </c>
      <c r="E327" s="69">
        <f t="shared" si="57"/>
        <v>0</v>
      </c>
      <c r="F327" s="69">
        <f t="shared" si="58"/>
        <v>0</v>
      </c>
      <c r="G327" s="69">
        <f t="shared" si="59"/>
        <v>0</v>
      </c>
      <c r="H327" s="70"/>
      <c r="I327" s="79"/>
      <c r="J327" s="69">
        <f t="shared" si="60"/>
        <v>0</v>
      </c>
      <c r="K327" s="69">
        <f t="shared" si="61"/>
        <v>0</v>
      </c>
      <c r="L327" s="69">
        <f t="shared" si="62"/>
        <v>0</v>
      </c>
      <c r="M327" s="69">
        <f t="shared" si="63"/>
        <v>0</v>
      </c>
      <c r="N327" s="69">
        <f t="shared" si="64"/>
        <v>0</v>
      </c>
      <c r="O327" s="70"/>
      <c r="P327" s="79"/>
      <c r="Q327" s="79"/>
      <c r="R327" s="49">
        <f t="shared" si="65"/>
        <v>0</v>
      </c>
      <c r="S327" s="49">
        <f>[1]BASE!A325</f>
        <v>316</v>
      </c>
      <c r="T327" s="69">
        <f t="shared" si="66"/>
        <v>0</v>
      </c>
      <c r="U327" s="69">
        <f t="shared" si="67"/>
        <v>0</v>
      </c>
      <c r="V327" s="69">
        <f t="shared" si="68"/>
        <v>0</v>
      </c>
      <c r="W327" s="69">
        <f t="shared" si="69"/>
        <v>0</v>
      </c>
      <c r="X327" s="69">
        <f t="shared" si="70"/>
        <v>0</v>
      </c>
    </row>
    <row r="328" spans="1:24" ht="17.25" customHeight="1">
      <c r="A328" s="68" t="str">
        <f>IF(BASE!B326="","",BASE!B326)</f>
        <v/>
      </c>
      <c r="B328" s="49" t="s">
        <v>2</v>
      </c>
      <c r="C328" s="69">
        <f t="shared" si="55"/>
        <v>0</v>
      </c>
      <c r="D328" s="69">
        <f t="shared" si="56"/>
        <v>0</v>
      </c>
      <c r="E328" s="69">
        <f t="shared" si="57"/>
        <v>0</v>
      </c>
      <c r="F328" s="69">
        <f t="shared" si="58"/>
        <v>0</v>
      </c>
      <c r="G328" s="69">
        <f t="shared" si="59"/>
        <v>0</v>
      </c>
      <c r="H328" s="70"/>
      <c r="I328" s="79"/>
      <c r="J328" s="69">
        <f t="shared" si="60"/>
        <v>0</v>
      </c>
      <c r="K328" s="69">
        <f t="shared" si="61"/>
        <v>0</v>
      </c>
      <c r="L328" s="69">
        <f t="shared" si="62"/>
        <v>0</v>
      </c>
      <c r="M328" s="69">
        <f t="shared" si="63"/>
        <v>0</v>
      </c>
      <c r="N328" s="69">
        <f t="shared" si="64"/>
        <v>0</v>
      </c>
      <c r="O328" s="70"/>
      <c r="P328" s="79"/>
      <c r="Q328" s="79"/>
      <c r="R328" s="49">
        <f t="shared" si="65"/>
        <v>0</v>
      </c>
      <c r="S328" s="49">
        <f>[1]BASE!A326</f>
        <v>317</v>
      </c>
      <c r="T328" s="69">
        <f t="shared" si="66"/>
        <v>0</v>
      </c>
      <c r="U328" s="69">
        <f t="shared" si="67"/>
        <v>0</v>
      </c>
      <c r="V328" s="69">
        <f t="shared" si="68"/>
        <v>0</v>
      </c>
      <c r="W328" s="69">
        <f t="shared" si="69"/>
        <v>0</v>
      </c>
      <c r="X328" s="69">
        <f t="shared" si="70"/>
        <v>0</v>
      </c>
    </row>
    <row r="329" spans="1:24" ht="17.25" customHeight="1">
      <c r="A329" s="68" t="str">
        <f>IF(BASE!B327="","",BASE!B327)</f>
        <v/>
      </c>
      <c r="B329" s="49" t="s">
        <v>2</v>
      </c>
      <c r="C329" s="69">
        <f t="shared" si="55"/>
        <v>0</v>
      </c>
      <c r="D329" s="69">
        <f t="shared" si="56"/>
        <v>0</v>
      </c>
      <c r="E329" s="69">
        <f t="shared" si="57"/>
        <v>0</v>
      </c>
      <c r="F329" s="69">
        <f t="shared" si="58"/>
        <v>0</v>
      </c>
      <c r="G329" s="69">
        <f t="shared" si="59"/>
        <v>0</v>
      </c>
      <c r="H329" s="70"/>
      <c r="I329" s="79"/>
      <c r="J329" s="69">
        <f t="shared" si="60"/>
        <v>0</v>
      </c>
      <c r="K329" s="69">
        <f t="shared" si="61"/>
        <v>0</v>
      </c>
      <c r="L329" s="69">
        <f t="shared" si="62"/>
        <v>0</v>
      </c>
      <c r="M329" s="69">
        <f t="shared" si="63"/>
        <v>0</v>
      </c>
      <c r="N329" s="69">
        <f t="shared" si="64"/>
        <v>0</v>
      </c>
      <c r="O329" s="70"/>
      <c r="P329" s="79"/>
      <c r="Q329" s="79"/>
      <c r="R329" s="49">
        <f t="shared" si="65"/>
        <v>0</v>
      </c>
      <c r="S329" s="49">
        <f>[1]BASE!A327</f>
        <v>318</v>
      </c>
      <c r="T329" s="69">
        <f t="shared" si="66"/>
        <v>0</v>
      </c>
      <c r="U329" s="69">
        <f t="shared" si="67"/>
        <v>0</v>
      </c>
      <c r="V329" s="69">
        <f t="shared" si="68"/>
        <v>0</v>
      </c>
      <c r="W329" s="69">
        <f t="shared" si="69"/>
        <v>0</v>
      </c>
      <c r="X329" s="69">
        <f t="shared" si="70"/>
        <v>0</v>
      </c>
    </row>
    <row r="330" spans="1:24" ht="17.25" customHeight="1">
      <c r="A330" s="68" t="str">
        <f>IF(BASE!B328="","",BASE!B328)</f>
        <v/>
      </c>
      <c r="B330" s="49" t="s">
        <v>2</v>
      </c>
      <c r="C330" s="69">
        <f t="shared" si="55"/>
        <v>0</v>
      </c>
      <c r="D330" s="69">
        <f t="shared" si="56"/>
        <v>0</v>
      </c>
      <c r="E330" s="69">
        <f t="shared" si="57"/>
        <v>0</v>
      </c>
      <c r="F330" s="69">
        <f t="shared" si="58"/>
        <v>0</v>
      </c>
      <c r="G330" s="69">
        <f t="shared" si="59"/>
        <v>0</v>
      </c>
      <c r="H330" s="70"/>
      <c r="I330" s="79"/>
      <c r="J330" s="69">
        <f t="shared" si="60"/>
        <v>0</v>
      </c>
      <c r="K330" s="69">
        <f t="shared" si="61"/>
        <v>0</v>
      </c>
      <c r="L330" s="69">
        <f t="shared" si="62"/>
        <v>0</v>
      </c>
      <c r="M330" s="69">
        <f t="shared" si="63"/>
        <v>0</v>
      </c>
      <c r="N330" s="69">
        <f t="shared" si="64"/>
        <v>0</v>
      </c>
      <c r="O330" s="70"/>
      <c r="P330" s="79"/>
      <c r="Q330" s="79"/>
      <c r="R330" s="49">
        <f t="shared" si="65"/>
        <v>0</v>
      </c>
      <c r="S330" s="49">
        <f>[1]BASE!A328</f>
        <v>319</v>
      </c>
      <c r="T330" s="69">
        <f t="shared" si="66"/>
        <v>0</v>
      </c>
      <c r="U330" s="69">
        <f t="shared" si="67"/>
        <v>0</v>
      </c>
      <c r="V330" s="69">
        <f t="shared" si="68"/>
        <v>0</v>
      </c>
      <c r="W330" s="69">
        <f t="shared" si="69"/>
        <v>0</v>
      </c>
      <c r="X330" s="69">
        <f t="shared" si="70"/>
        <v>0</v>
      </c>
    </row>
    <row r="331" spans="1:24" ht="17.25" customHeight="1">
      <c r="A331" s="68" t="str">
        <f>IF(BASE!B329="","",BASE!B329)</f>
        <v/>
      </c>
      <c r="B331" s="49" t="s">
        <v>2</v>
      </c>
      <c r="C331" s="69">
        <f t="shared" si="55"/>
        <v>0</v>
      </c>
      <c r="D331" s="69">
        <f t="shared" si="56"/>
        <v>0</v>
      </c>
      <c r="E331" s="69">
        <f t="shared" si="57"/>
        <v>0</v>
      </c>
      <c r="F331" s="69">
        <f t="shared" si="58"/>
        <v>0</v>
      </c>
      <c r="G331" s="69">
        <f t="shared" si="59"/>
        <v>0</v>
      </c>
      <c r="H331" s="70"/>
      <c r="I331" s="79"/>
      <c r="J331" s="69">
        <f t="shared" si="60"/>
        <v>0</v>
      </c>
      <c r="K331" s="69">
        <f t="shared" si="61"/>
        <v>0</v>
      </c>
      <c r="L331" s="69">
        <f t="shared" si="62"/>
        <v>0</v>
      </c>
      <c r="M331" s="69">
        <f t="shared" si="63"/>
        <v>0</v>
      </c>
      <c r="N331" s="69">
        <f t="shared" si="64"/>
        <v>0</v>
      </c>
      <c r="O331" s="70"/>
      <c r="P331" s="79"/>
      <c r="Q331" s="79"/>
      <c r="R331" s="49">
        <f t="shared" si="65"/>
        <v>0</v>
      </c>
      <c r="S331" s="49">
        <f>[1]BASE!A329</f>
        <v>320</v>
      </c>
      <c r="T331" s="69">
        <f t="shared" si="66"/>
        <v>0</v>
      </c>
      <c r="U331" s="69">
        <f t="shared" si="67"/>
        <v>0</v>
      </c>
      <c r="V331" s="69">
        <f t="shared" si="68"/>
        <v>0</v>
      </c>
      <c r="W331" s="69">
        <f t="shared" si="69"/>
        <v>0</v>
      </c>
      <c r="X331" s="69">
        <f t="shared" si="70"/>
        <v>0</v>
      </c>
    </row>
    <row r="332" spans="1:24" ht="17.25" customHeight="1">
      <c r="A332" s="68" t="str">
        <f>IF(BASE!B330="","",BASE!B330)</f>
        <v/>
      </c>
      <c r="B332" s="49" t="s">
        <v>2</v>
      </c>
      <c r="C332" s="69">
        <f t="shared" si="55"/>
        <v>0</v>
      </c>
      <c r="D332" s="69">
        <f t="shared" si="56"/>
        <v>0</v>
      </c>
      <c r="E332" s="69">
        <f t="shared" si="57"/>
        <v>0</v>
      </c>
      <c r="F332" s="69">
        <f t="shared" si="58"/>
        <v>0</v>
      </c>
      <c r="G332" s="69">
        <f t="shared" si="59"/>
        <v>0</v>
      </c>
      <c r="H332" s="70"/>
      <c r="I332" s="79"/>
      <c r="J332" s="69">
        <f t="shared" si="60"/>
        <v>0</v>
      </c>
      <c r="K332" s="69">
        <f t="shared" si="61"/>
        <v>0</v>
      </c>
      <c r="L332" s="69">
        <f t="shared" si="62"/>
        <v>0</v>
      </c>
      <c r="M332" s="69">
        <f t="shared" si="63"/>
        <v>0</v>
      </c>
      <c r="N332" s="69">
        <f t="shared" si="64"/>
        <v>0</v>
      </c>
      <c r="O332" s="70"/>
      <c r="P332" s="79"/>
      <c r="Q332" s="79"/>
      <c r="R332" s="49">
        <f t="shared" si="65"/>
        <v>0</v>
      </c>
      <c r="S332" s="49">
        <f>[1]BASE!A330</f>
        <v>321</v>
      </c>
      <c r="T332" s="69">
        <f t="shared" si="66"/>
        <v>0</v>
      </c>
      <c r="U332" s="69">
        <f t="shared" si="67"/>
        <v>0</v>
      </c>
      <c r="V332" s="69">
        <f t="shared" si="68"/>
        <v>0</v>
      </c>
      <c r="W332" s="69">
        <f t="shared" si="69"/>
        <v>0</v>
      </c>
      <c r="X332" s="69">
        <f t="shared" si="70"/>
        <v>0</v>
      </c>
    </row>
    <row r="333" spans="1:24" ht="17.25" customHeight="1">
      <c r="A333" s="68" t="str">
        <f>IF(BASE!B331="","",BASE!B331)</f>
        <v/>
      </c>
      <c r="B333" s="49" t="s">
        <v>2</v>
      </c>
      <c r="C333" s="69">
        <f t="shared" ref="C333:C396" si="71">(H333/5)</f>
        <v>0</v>
      </c>
      <c r="D333" s="69">
        <f t="shared" ref="D333:D396" si="72">(H333/5)</f>
        <v>0</v>
      </c>
      <c r="E333" s="69">
        <f t="shared" ref="E333:E396" si="73">(H333/5)</f>
        <v>0</v>
      </c>
      <c r="F333" s="69">
        <f t="shared" ref="F333:F396" si="74">(H333/5)</f>
        <v>0</v>
      </c>
      <c r="G333" s="69">
        <f t="shared" ref="G333:G396" si="75">(H333/5)</f>
        <v>0</v>
      </c>
      <c r="H333" s="70"/>
      <c r="I333" s="79"/>
      <c r="J333" s="69">
        <f t="shared" ref="J333:J396" si="76">(O333/5)</f>
        <v>0</v>
      </c>
      <c r="K333" s="69">
        <f t="shared" ref="K333:K396" si="77">(O333/5)</f>
        <v>0</v>
      </c>
      <c r="L333" s="69">
        <f t="shared" ref="L333:L396" si="78">(O333/5)</f>
        <v>0</v>
      </c>
      <c r="M333" s="69">
        <f t="shared" ref="M333:M396" si="79">(O333/5)</f>
        <v>0</v>
      </c>
      <c r="N333" s="69">
        <f t="shared" ref="N333:N396" si="80">(O333/5)</f>
        <v>0</v>
      </c>
      <c r="O333" s="70"/>
      <c r="P333" s="79"/>
      <c r="Q333" s="79"/>
      <c r="R333" s="49">
        <f t="shared" ref="R333:R396" si="81">SUM(H333,O333)</f>
        <v>0</v>
      </c>
      <c r="S333" s="49">
        <f>[1]BASE!A331</f>
        <v>322</v>
      </c>
      <c r="T333" s="69">
        <f t="shared" si="66"/>
        <v>0</v>
      </c>
      <c r="U333" s="69">
        <f t="shared" si="67"/>
        <v>0</v>
      </c>
      <c r="V333" s="69">
        <f t="shared" si="68"/>
        <v>0</v>
      </c>
      <c r="W333" s="69">
        <f t="shared" si="69"/>
        <v>0</v>
      </c>
      <c r="X333" s="69">
        <f t="shared" si="70"/>
        <v>0</v>
      </c>
    </row>
    <row r="334" spans="1:24" ht="17.25" customHeight="1">
      <c r="A334" s="68" t="str">
        <f>IF(BASE!B332="","",BASE!B332)</f>
        <v/>
      </c>
      <c r="B334" s="49" t="s">
        <v>2</v>
      </c>
      <c r="C334" s="69">
        <f t="shared" si="71"/>
        <v>0</v>
      </c>
      <c r="D334" s="69">
        <f t="shared" si="72"/>
        <v>0</v>
      </c>
      <c r="E334" s="69">
        <f t="shared" si="73"/>
        <v>0</v>
      </c>
      <c r="F334" s="69">
        <f t="shared" si="74"/>
        <v>0</v>
      </c>
      <c r="G334" s="69">
        <f t="shared" si="75"/>
        <v>0</v>
      </c>
      <c r="H334" s="70"/>
      <c r="I334" s="79"/>
      <c r="J334" s="69">
        <f t="shared" si="76"/>
        <v>0</v>
      </c>
      <c r="K334" s="69">
        <f t="shared" si="77"/>
        <v>0</v>
      </c>
      <c r="L334" s="69">
        <f t="shared" si="78"/>
        <v>0</v>
      </c>
      <c r="M334" s="69">
        <f t="shared" si="79"/>
        <v>0</v>
      </c>
      <c r="N334" s="69">
        <f t="shared" si="80"/>
        <v>0</v>
      </c>
      <c r="O334" s="70"/>
      <c r="P334" s="79"/>
      <c r="Q334" s="79"/>
      <c r="R334" s="49">
        <f t="shared" si="81"/>
        <v>0</v>
      </c>
      <c r="S334" s="49">
        <f>[1]BASE!A332</f>
        <v>323</v>
      </c>
      <c r="T334" s="69">
        <f t="shared" si="66"/>
        <v>0</v>
      </c>
      <c r="U334" s="69">
        <f t="shared" si="67"/>
        <v>0</v>
      </c>
      <c r="V334" s="69">
        <f t="shared" si="68"/>
        <v>0</v>
      </c>
      <c r="W334" s="69">
        <f t="shared" si="69"/>
        <v>0</v>
      </c>
      <c r="X334" s="69">
        <f t="shared" si="70"/>
        <v>0</v>
      </c>
    </row>
    <row r="335" spans="1:24" ht="17.25" customHeight="1">
      <c r="A335" s="68" t="str">
        <f>IF(BASE!B333="","",BASE!B333)</f>
        <v/>
      </c>
      <c r="B335" s="49" t="s">
        <v>2</v>
      </c>
      <c r="C335" s="69">
        <f t="shared" si="71"/>
        <v>0</v>
      </c>
      <c r="D335" s="69">
        <f t="shared" si="72"/>
        <v>0</v>
      </c>
      <c r="E335" s="69">
        <f t="shared" si="73"/>
        <v>0</v>
      </c>
      <c r="F335" s="69">
        <f t="shared" si="74"/>
        <v>0</v>
      </c>
      <c r="G335" s="69">
        <f t="shared" si="75"/>
        <v>0</v>
      </c>
      <c r="H335" s="70"/>
      <c r="I335" s="79"/>
      <c r="J335" s="69">
        <f t="shared" si="76"/>
        <v>0</v>
      </c>
      <c r="K335" s="69">
        <f t="shared" si="77"/>
        <v>0</v>
      </c>
      <c r="L335" s="69">
        <f t="shared" si="78"/>
        <v>0</v>
      </c>
      <c r="M335" s="69">
        <f t="shared" si="79"/>
        <v>0</v>
      </c>
      <c r="N335" s="69">
        <f t="shared" si="80"/>
        <v>0</v>
      </c>
      <c r="O335" s="70"/>
      <c r="P335" s="79"/>
      <c r="Q335" s="79"/>
      <c r="R335" s="49">
        <f t="shared" si="81"/>
        <v>0</v>
      </c>
      <c r="S335" s="49">
        <f>[1]BASE!A333</f>
        <v>324</v>
      </c>
      <c r="T335" s="69">
        <f t="shared" si="66"/>
        <v>0</v>
      </c>
      <c r="U335" s="69">
        <f t="shared" si="67"/>
        <v>0</v>
      </c>
      <c r="V335" s="69">
        <f t="shared" si="68"/>
        <v>0</v>
      </c>
      <c r="W335" s="69">
        <f t="shared" si="69"/>
        <v>0</v>
      </c>
      <c r="X335" s="69">
        <f t="shared" si="70"/>
        <v>0</v>
      </c>
    </row>
    <row r="336" spans="1:24" ht="17.25" customHeight="1">
      <c r="A336" s="68" t="str">
        <f>IF(BASE!B334="","",BASE!B334)</f>
        <v/>
      </c>
      <c r="B336" s="49" t="s">
        <v>2</v>
      </c>
      <c r="C336" s="69">
        <f t="shared" si="71"/>
        <v>0</v>
      </c>
      <c r="D336" s="69">
        <f t="shared" si="72"/>
        <v>0</v>
      </c>
      <c r="E336" s="69">
        <f t="shared" si="73"/>
        <v>0</v>
      </c>
      <c r="F336" s="69">
        <f t="shared" si="74"/>
        <v>0</v>
      </c>
      <c r="G336" s="69">
        <f t="shared" si="75"/>
        <v>0</v>
      </c>
      <c r="H336" s="70"/>
      <c r="I336" s="79"/>
      <c r="J336" s="69">
        <f t="shared" si="76"/>
        <v>0</v>
      </c>
      <c r="K336" s="69">
        <f t="shared" si="77"/>
        <v>0</v>
      </c>
      <c r="L336" s="69">
        <f t="shared" si="78"/>
        <v>0</v>
      </c>
      <c r="M336" s="69">
        <f t="shared" si="79"/>
        <v>0</v>
      </c>
      <c r="N336" s="69">
        <f t="shared" si="80"/>
        <v>0</v>
      </c>
      <c r="O336" s="70"/>
      <c r="P336" s="79"/>
      <c r="Q336" s="79"/>
      <c r="R336" s="49">
        <f t="shared" si="81"/>
        <v>0</v>
      </c>
      <c r="S336" s="49">
        <f>[1]BASE!A334</f>
        <v>325</v>
      </c>
      <c r="T336" s="69">
        <f t="shared" si="66"/>
        <v>0</v>
      </c>
      <c r="U336" s="69">
        <f t="shared" si="67"/>
        <v>0</v>
      </c>
      <c r="V336" s="69">
        <f t="shared" si="68"/>
        <v>0</v>
      </c>
      <c r="W336" s="69">
        <f t="shared" si="69"/>
        <v>0</v>
      </c>
      <c r="X336" s="69">
        <f t="shared" si="70"/>
        <v>0</v>
      </c>
    </row>
    <row r="337" spans="1:24" ht="17.25" customHeight="1">
      <c r="A337" s="68" t="str">
        <f>IF(BASE!B335="","",BASE!B335)</f>
        <v/>
      </c>
      <c r="B337" s="49" t="s">
        <v>2</v>
      </c>
      <c r="C337" s="69">
        <f t="shared" si="71"/>
        <v>0</v>
      </c>
      <c r="D337" s="69">
        <f t="shared" si="72"/>
        <v>0</v>
      </c>
      <c r="E337" s="69">
        <f t="shared" si="73"/>
        <v>0</v>
      </c>
      <c r="F337" s="69">
        <f t="shared" si="74"/>
        <v>0</v>
      </c>
      <c r="G337" s="69">
        <f t="shared" si="75"/>
        <v>0</v>
      </c>
      <c r="H337" s="70"/>
      <c r="I337" s="79"/>
      <c r="J337" s="69">
        <f t="shared" si="76"/>
        <v>0</v>
      </c>
      <c r="K337" s="69">
        <f t="shared" si="77"/>
        <v>0</v>
      </c>
      <c r="L337" s="69">
        <f t="shared" si="78"/>
        <v>0</v>
      </c>
      <c r="M337" s="69">
        <f t="shared" si="79"/>
        <v>0</v>
      </c>
      <c r="N337" s="69">
        <f t="shared" si="80"/>
        <v>0</v>
      </c>
      <c r="O337" s="70"/>
      <c r="P337" s="79"/>
      <c r="Q337" s="79"/>
      <c r="R337" s="49">
        <f t="shared" si="81"/>
        <v>0</v>
      </c>
      <c r="S337" s="49">
        <f>[1]BASE!A335</f>
        <v>326</v>
      </c>
      <c r="T337" s="69">
        <f t="shared" si="66"/>
        <v>0</v>
      </c>
      <c r="U337" s="69">
        <f t="shared" si="67"/>
        <v>0</v>
      </c>
      <c r="V337" s="69">
        <f t="shared" si="68"/>
        <v>0</v>
      </c>
      <c r="W337" s="69">
        <f t="shared" si="69"/>
        <v>0</v>
      </c>
      <c r="X337" s="69">
        <f t="shared" si="70"/>
        <v>0</v>
      </c>
    </row>
    <row r="338" spans="1:24" ht="17.25" customHeight="1">
      <c r="A338" s="68" t="str">
        <f>IF(BASE!B336="","",BASE!B336)</f>
        <v/>
      </c>
      <c r="B338" s="49" t="s">
        <v>2</v>
      </c>
      <c r="C338" s="69">
        <f t="shared" si="71"/>
        <v>0</v>
      </c>
      <c r="D338" s="69">
        <f t="shared" si="72"/>
        <v>0</v>
      </c>
      <c r="E338" s="69">
        <f t="shared" si="73"/>
        <v>0</v>
      </c>
      <c r="F338" s="69">
        <f t="shared" si="74"/>
        <v>0</v>
      </c>
      <c r="G338" s="69">
        <f t="shared" si="75"/>
        <v>0</v>
      </c>
      <c r="H338" s="70"/>
      <c r="I338" s="79"/>
      <c r="J338" s="69">
        <f t="shared" si="76"/>
        <v>0</v>
      </c>
      <c r="K338" s="69">
        <f t="shared" si="77"/>
        <v>0</v>
      </c>
      <c r="L338" s="69">
        <f t="shared" si="78"/>
        <v>0</v>
      </c>
      <c r="M338" s="69">
        <f t="shared" si="79"/>
        <v>0</v>
      </c>
      <c r="N338" s="69">
        <f t="shared" si="80"/>
        <v>0</v>
      </c>
      <c r="O338" s="70"/>
      <c r="P338" s="79"/>
      <c r="Q338" s="79"/>
      <c r="R338" s="49">
        <f t="shared" si="81"/>
        <v>0</v>
      </c>
      <c r="S338" s="49">
        <f>[1]BASE!A336</f>
        <v>327</v>
      </c>
      <c r="T338" s="69">
        <f t="shared" si="66"/>
        <v>0</v>
      </c>
      <c r="U338" s="69">
        <f t="shared" si="67"/>
        <v>0</v>
      </c>
      <c r="V338" s="69">
        <f t="shared" si="68"/>
        <v>0</v>
      </c>
      <c r="W338" s="69">
        <f t="shared" si="69"/>
        <v>0</v>
      </c>
      <c r="X338" s="69">
        <f t="shared" si="70"/>
        <v>0</v>
      </c>
    </row>
    <row r="339" spans="1:24" ht="17.25" customHeight="1">
      <c r="A339" s="68" t="str">
        <f>IF(BASE!B337="","",BASE!B337)</f>
        <v/>
      </c>
      <c r="B339" s="49" t="s">
        <v>2</v>
      </c>
      <c r="C339" s="69">
        <f t="shared" si="71"/>
        <v>0</v>
      </c>
      <c r="D339" s="69">
        <f t="shared" si="72"/>
        <v>0</v>
      </c>
      <c r="E339" s="69">
        <f t="shared" si="73"/>
        <v>0</v>
      </c>
      <c r="F339" s="69">
        <f t="shared" si="74"/>
        <v>0</v>
      </c>
      <c r="G339" s="69">
        <f t="shared" si="75"/>
        <v>0</v>
      </c>
      <c r="H339" s="70"/>
      <c r="I339" s="79"/>
      <c r="J339" s="69">
        <f t="shared" si="76"/>
        <v>0</v>
      </c>
      <c r="K339" s="69">
        <f t="shared" si="77"/>
        <v>0</v>
      </c>
      <c r="L339" s="69">
        <f t="shared" si="78"/>
        <v>0</v>
      </c>
      <c r="M339" s="69">
        <f t="shared" si="79"/>
        <v>0</v>
      </c>
      <c r="N339" s="69">
        <f t="shared" si="80"/>
        <v>0</v>
      </c>
      <c r="O339" s="70"/>
      <c r="P339" s="79"/>
      <c r="Q339" s="79"/>
      <c r="R339" s="49">
        <f t="shared" si="81"/>
        <v>0</v>
      </c>
      <c r="S339" s="49">
        <f>[1]BASE!A337</f>
        <v>328</v>
      </c>
      <c r="T339" s="69">
        <f t="shared" si="66"/>
        <v>0</v>
      </c>
      <c r="U339" s="69">
        <f t="shared" si="67"/>
        <v>0</v>
      </c>
      <c r="V339" s="69">
        <f t="shared" si="68"/>
        <v>0</v>
      </c>
      <c r="W339" s="69">
        <f t="shared" si="69"/>
        <v>0</v>
      </c>
      <c r="X339" s="69">
        <f t="shared" si="70"/>
        <v>0</v>
      </c>
    </row>
    <row r="340" spans="1:24" ht="17.25" customHeight="1">
      <c r="A340" s="68" t="str">
        <f>IF(BASE!B338="","",BASE!B338)</f>
        <v/>
      </c>
      <c r="B340" s="49" t="s">
        <v>2</v>
      </c>
      <c r="C340" s="69">
        <f t="shared" si="71"/>
        <v>0</v>
      </c>
      <c r="D340" s="69">
        <f t="shared" si="72"/>
        <v>0</v>
      </c>
      <c r="E340" s="69">
        <f t="shared" si="73"/>
        <v>0</v>
      </c>
      <c r="F340" s="69">
        <f t="shared" si="74"/>
        <v>0</v>
      </c>
      <c r="G340" s="69">
        <f t="shared" si="75"/>
        <v>0</v>
      </c>
      <c r="H340" s="70"/>
      <c r="I340" s="79"/>
      <c r="J340" s="69">
        <f t="shared" si="76"/>
        <v>0</v>
      </c>
      <c r="K340" s="69">
        <f t="shared" si="77"/>
        <v>0</v>
      </c>
      <c r="L340" s="69">
        <f t="shared" si="78"/>
        <v>0</v>
      </c>
      <c r="M340" s="69">
        <f t="shared" si="79"/>
        <v>0</v>
      </c>
      <c r="N340" s="69">
        <f t="shared" si="80"/>
        <v>0</v>
      </c>
      <c r="O340" s="70"/>
      <c r="P340" s="79"/>
      <c r="Q340" s="79"/>
      <c r="R340" s="49">
        <f t="shared" si="81"/>
        <v>0</v>
      </c>
      <c r="S340" s="49">
        <f>[1]BASE!A338</f>
        <v>329</v>
      </c>
      <c r="T340" s="69">
        <f t="shared" si="66"/>
        <v>0</v>
      </c>
      <c r="U340" s="69">
        <f t="shared" si="67"/>
        <v>0</v>
      </c>
      <c r="V340" s="69">
        <f t="shared" si="68"/>
        <v>0</v>
      </c>
      <c r="W340" s="69">
        <f t="shared" si="69"/>
        <v>0</v>
      </c>
      <c r="X340" s="69">
        <f t="shared" si="70"/>
        <v>0</v>
      </c>
    </row>
    <row r="341" spans="1:24" ht="17.25" customHeight="1">
      <c r="A341" s="68" t="str">
        <f>IF(BASE!B339="","",BASE!B339)</f>
        <v/>
      </c>
      <c r="B341" s="49" t="s">
        <v>2</v>
      </c>
      <c r="C341" s="69">
        <f t="shared" si="71"/>
        <v>0</v>
      </c>
      <c r="D341" s="69">
        <f t="shared" si="72"/>
        <v>0</v>
      </c>
      <c r="E341" s="69">
        <f t="shared" si="73"/>
        <v>0</v>
      </c>
      <c r="F341" s="69">
        <f t="shared" si="74"/>
        <v>0</v>
      </c>
      <c r="G341" s="69">
        <f t="shared" si="75"/>
        <v>0</v>
      </c>
      <c r="H341" s="70"/>
      <c r="I341" s="79"/>
      <c r="J341" s="69">
        <f t="shared" si="76"/>
        <v>0</v>
      </c>
      <c r="K341" s="69">
        <f t="shared" si="77"/>
        <v>0</v>
      </c>
      <c r="L341" s="69">
        <f t="shared" si="78"/>
        <v>0</v>
      </c>
      <c r="M341" s="69">
        <f t="shared" si="79"/>
        <v>0</v>
      </c>
      <c r="N341" s="69">
        <f t="shared" si="80"/>
        <v>0</v>
      </c>
      <c r="O341" s="70"/>
      <c r="P341" s="79"/>
      <c r="Q341" s="79"/>
      <c r="R341" s="49">
        <f t="shared" si="81"/>
        <v>0</v>
      </c>
      <c r="S341" s="49">
        <f>[1]BASE!A339</f>
        <v>330</v>
      </c>
      <c r="T341" s="69">
        <f t="shared" si="66"/>
        <v>0</v>
      </c>
      <c r="U341" s="69">
        <f t="shared" si="67"/>
        <v>0</v>
      </c>
      <c r="V341" s="69">
        <f t="shared" si="68"/>
        <v>0</v>
      </c>
      <c r="W341" s="69">
        <f t="shared" si="69"/>
        <v>0</v>
      </c>
      <c r="X341" s="69">
        <f t="shared" si="70"/>
        <v>0</v>
      </c>
    </row>
    <row r="342" spans="1:24" ht="17.25" customHeight="1">
      <c r="A342" s="68" t="str">
        <f>IF(BASE!B340="","",BASE!B340)</f>
        <v/>
      </c>
      <c r="B342" s="49" t="s">
        <v>2</v>
      </c>
      <c r="C342" s="69">
        <f t="shared" si="71"/>
        <v>0</v>
      </c>
      <c r="D342" s="69">
        <f t="shared" si="72"/>
        <v>0</v>
      </c>
      <c r="E342" s="69">
        <f t="shared" si="73"/>
        <v>0</v>
      </c>
      <c r="F342" s="69">
        <f t="shared" si="74"/>
        <v>0</v>
      </c>
      <c r="G342" s="69">
        <f t="shared" si="75"/>
        <v>0</v>
      </c>
      <c r="H342" s="70"/>
      <c r="I342" s="79"/>
      <c r="J342" s="69">
        <f t="shared" si="76"/>
        <v>0</v>
      </c>
      <c r="K342" s="69">
        <f t="shared" si="77"/>
        <v>0</v>
      </c>
      <c r="L342" s="69">
        <f t="shared" si="78"/>
        <v>0</v>
      </c>
      <c r="M342" s="69">
        <f t="shared" si="79"/>
        <v>0</v>
      </c>
      <c r="N342" s="69">
        <f t="shared" si="80"/>
        <v>0</v>
      </c>
      <c r="O342" s="70"/>
      <c r="P342" s="79"/>
      <c r="Q342" s="79"/>
      <c r="R342" s="49">
        <f t="shared" si="81"/>
        <v>0</v>
      </c>
      <c r="S342" s="49">
        <f>[1]BASE!A340</f>
        <v>331</v>
      </c>
      <c r="T342" s="69">
        <f t="shared" si="66"/>
        <v>0</v>
      </c>
      <c r="U342" s="69">
        <f t="shared" si="67"/>
        <v>0</v>
      </c>
      <c r="V342" s="69">
        <f t="shared" si="68"/>
        <v>0</v>
      </c>
      <c r="W342" s="69">
        <f t="shared" si="69"/>
        <v>0</v>
      </c>
      <c r="X342" s="69">
        <f t="shared" si="70"/>
        <v>0</v>
      </c>
    </row>
    <row r="343" spans="1:24" ht="17.25" customHeight="1">
      <c r="A343" s="68" t="str">
        <f>IF(BASE!B341="","",BASE!B341)</f>
        <v/>
      </c>
      <c r="B343" s="49" t="s">
        <v>2</v>
      </c>
      <c r="C343" s="69">
        <f t="shared" si="71"/>
        <v>0</v>
      </c>
      <c r="D343" s="69">
        <f t="shared" si="72"/>
        <v>0</v>
      </c>
      <c r="E343" s="69">
        <f t="shared" si="73"/>
        <v>0</v>
      </c>
      <c r="F343" s="69">
        <f t="shared" si="74"/>
        <v>0</v>
      </c>
      <c r="G343" s="69">
        <f t="shared" si="75"/>
        <v>0</v>
      </c>
      <c r="H343" s="70"/>
      <c r="I343" s="79"/>
      <c r="J343" s="69">
        <f t="shared" si="76"/>
        <v>0</v>
      </c>
      <c r="K343" s="69">
        <f t="shared" si="77"/>
        <v>0</v>
      </c>
      <c r="L343" s="69">
        <f t="shared" si="78"/>
        <v>0</v>
      </c>
      <c r="M343" s="69">
        <f t="shared" si="79"/>
        <v>0</v>
      </c>
      <c r="N343" s="69">
        <f t="shared" si="80"/>
        <v>0</v>
      </c>
      <c r="O343" s="70"/>
      <c r="P343" s="79"/>
      <c r="Q343" s="79"/>
      <c r="R343" s="49">
        <f t="shared" si="81"/>
        <v>0</v>
      </c>
      <c r="S343" s="49">
        <f>[1]BASE!A341</f>
        <v>332</v>
      </c>
      <c r="T343" s="69">
        <f t="shared" si="66"/>
        <v>0</v>
      </c>
      <c r="U343" s="69">
        <f t="shared" si="67"/>
        <v>0</v>
      </c>
      <c r="V343" s="69">
        <f t="shared" si="68"/>
        <v>0</v>
      </c>
      <c r="W343" s="69">
        <f t="shared" si="69"/>
        <v>0</v>
      </c>
      <c r="X343" s="69">
        <f t="shared" si="70"/>
        <v>0</v>
      </c>
    </row>
    <row r="344" spans="1:24" ht="17.25" customHeight="1">
      <c r="A344" s="68" t="str">
        <f>IF(BASE!B342="","",BASE!B342)</f>
        <v/>
      </c>
      <c r="B344" s="49" t="s">
        <v>2</v>
      </c>
      <c r="C344" s="69">
        <f t="shared" si="71"/>
        <v>0</v>
      </c>
      <c r="D344" s="69">
        <f t="shared" si="72"/>
        <v>0</v>
      </c>
      <c r="E344" s="69">
        <f t="shared" si="73"/>
        <v>0</v>
      </c>
      <c r="F344" s="69">
        <f t="shared" si="74"/>
        <v>0</v>
      </c>
      <c r="G344" s="69">
        <f t="shared" si="75"/>
        <v>0</v>
      </c>
      <c r="H344" s="70"/>
      <c r="I344" s="79"/>
      <c r="J344" s="69">
        <f t="shared" si="76"/>
        <v>0</v>
      </c>
      <c r="K344" s="69">
        <f t="shared" si="77"/>
        <v>0</v>
      </c>
      <c r="L344" s="69">
        <f t="shared" si="78"/>
        <v>0</v>
      </c>
      <c r="M344" s="69">
        <f t="shared" si="79"/>
        <v>0</v>
      </c>
      <c r="N344" s="69">
        <f t="shared" si="80"/>
        <v>0</v>
      </c>
      <c r="O344" s="70"/>
      <c r="P344" s="79"/>
      <c r="Q344" s="79"/>
      <c r="R344" s="49">
        <f t="shared" si="81"/>
        <v>0</v>
      </c>
      <c r="S344" s="49">
        <f>[1]BASE!A342</f>
        <v>333</v>
      </c>
      <c r="T344" s="69">
        <f t="shared" si="66"/>
        <v>0</v>
      </c>
      <c r="U344" s="69">
        <f t="shared" si="67"/>
        <v>0</v>
      </c>
      <c r="V344" s="69">
        <f t="shared" si="68"/>
        <v>0</v>
      </c>
      <c r="W344" s="69">
        <f t="shared" si="69"/>
        <v>0</v>
      </c>
      <c r="X344" s="69">
        <f t="shared" si="70"/>
        <v>0</v>
      </c>
    </row>
    <row r="345" spans="1:24" ht="17.25" customHeight="1">
      <c r="A345" s="68" t="str">
        <f>IF(BASE!B343="","",BASE!B343)</f>
        <v/>
      </c>
      <c r="B345" s="49" t="s">
        <v>2</v>
      </c>
      <c r="C345" s="69">
        <f t="shared" si="71"/>
        <v>0</v>
      </c>
      <c r="D345" s="69">
        <f t="shared" si="72"/>
        <v>0</v>
      </c>
      <c r="E345" s="69">
        <f t="shared" si="73"/>
        <v>0</v>
      </c>
      <c r="F345" s="69">
        <f t="shared" si="74"/>
        <v>0</v>
      </c>
      <c r="G345" s="69">
        <f t="shared" si="75"/>
        <v>0</v>
      </c>
      <c r="H345" s="70"/>
      <c r="I345" s="79"/>
      <c r="J345" s="69">
        <f t="shared" si="76"/>
        <v>0</v>
      </c>
      <c r="K345" s="69">
        <f t="shared" si="77"/>
        <v>0</v>
      </c>
      <c r="L345" s="69">
        <f t="shared" si="78"/>
        <v>0</v>
      </c>
      <c r="M345" s="69">
        <f t="shared" si="79"/>
        <v>0</v>
      </c>
      <c r="N345" s="69">
        <f t="shared" si="80"/>
        <v>0</v>
      </c>
      <c r="O345" s="70"/>
      <c r="P345" s="79"/>
      <c r="Q345" s="79"/>
      <c r="R345" s="49">
        <f t="shared" si="81"/>
        <v>0</v>
      </c>
      <c r="S345" s="49">
        <f>[1]BASE!A343</f>
        <v>334</v>
      </c>
      <c r="T345" s="69">
        <f t="shared" si="66"/>
        <v>0</v>
      </c>
      <c r="U345" s="69">
        <f t="shared" si="67"/>
        <v>0</v>
      </c>
      <c r="V345" s="69">
        <f t="shared" si="68"/>
        <v>0</v>
      </c>
      <c r="W345" s="69">
        <f t="shared" si="69"/>
        <v>0</v>
      </c>
      <c r="X345" s="69">
        <f t="shared" si="70"/>
        <v>0</v>
      </c>
    </row>
    <row r="346" spans="1:24" ht="17.25" customHeight="1">
      <c r="A346" s="68" t="str">
        <f>IF(BASE!B344="","",BASE!B344)</f>
        <v/>
      </c>
      <c r="B346" s="49" t="s">
        <v>2</v>
      </c>
      <c r="C346" s="69">
        <f t="shared" si="71"/>
        <v>0</v>
      </c>
      <c r="D346" s="69">
        <f t="shared" si="72"/>
        <v>0</v>
      </c>
      <c r="E346" s="69">
        <f t="shared" si="73"/>
        <v>0</v>
      </c>
      <c r="F346" s="69">
        <f t="shared" si="74"/>
        <v>0</v>
      </c>
      <c r="G346" s="69">
        <f t="shared" si="75"/>
        <v>0</v>
      </c>
      <c r="H346" s="70"/>
      <c r="I346" s="79"/>
      <c r="J346" s="69">
        <f t="shared" si="76"/>
        <v>0</v>
      </c>
      <c r="K346" s="69">
        <f t="shared" si="77"/>
        <v>0</v>
      </c>
      <c r="L346" s="69">
        <f t="shared" si="78"/>
        <v>0</v>
      </c>
      <c r="M346" s="69">
        <f t="shared" si="79"/>
        <v>0</v>
      </c>
      <c r="N346" s="69">
        <f t="shared" si="80"/>
        <v>0</v>
      </c>
      <c r="O346" s="70"/>
      <c r="P346" s="79"/>
      <c r="Q346" s="79"/>
      <c r="R346" s="49">
        <f t="shared" si="81"/>
        <v>0</v>
      </c>
      <c r="S346" s="49">
        <f>[1]BASE!A344</f>
        <v>335</v>
      </c>
      <c r="T346" s="69">
        <f t="shared" si="66"/>
        <v>0</v>
      </c>
      <c r="U346" s="69">
        <f t="shared" si="67"/>
        <v>0</v>
      </c>
      <c r="V346" s="69">
        <f t="shared" si="68"/>
        <v>0</v>
      </c>
      <c r="W346" s="69">
        <f t="shared" si="69"/>
        <v>0</v>
      </c>
      <c r="X346" s="69">
        <f t="shared" si="70"/>
        <v>0</v>
      </c>
    </row>
    <row r="347" spans="1:24" ht="17.25" customHeight="1">
      <c r="A347" s="68" t="str">
        <f>IF(BASE!B345="","",BASE!B345)</f>
        <v/>
      </c>
      <c r="B347" s="49" t="s">
        <v>2</v>
      </c>
      <c r="C347" s="69">
        <f t="shared" si="71"/>
        <v>0</v>
      </c>
      <c r="D347" s="69">
        <f t="shared" si="72"/>
        <v>0</v>
      </c>
      <c r="E347" s="69">
        <f t="shared" si="73"/>
        <v>0</v>
      </c>
      <c r="F347" s="69">
        <f t="shared" si="74"/>
        <v>0</v>
      </c>
      <c r="G347" s="69">
        <f t="shared" si="75"/>
        <v>0</v>
      </c>
      <c r="H347" s="70"/>
      <c r="I347" s="79"/>
      <c r="J347" s="69">
        <f t="shared" si="76"/>
        <v>0</v>
      </c>
      <c r="K347" s="69">
        <f t="shared" si="77"/>
        <v>0</v>
      </c>
      <c r="L347" s="69">
        <f t="shared" si="78"/>
        <v>0</v>
      </c>
      <c r="M347" s="69">
        <f t="shared" si="79"/>
        <v>0</v>
      </c>
      <c r="N347" s="69">
        <f t="shared" si="80"/>
        <v>0</v>
      </c>
      <c r="O347" s="70"/>
      <c r="P347" s="79"/>
      <c r="Q347" s="79"/>
      <c r="R347" s="49">
        <f t="shared" si="81"/>
        <v>0</v>
      </c>
      <c r="S347" s="49">
        <f>[1]BASE!A345</f>
        <v>336</v>
      </c>
      <c r="T347" s="69">
        <f t="shared" si="66"/>
        <v>0</v>
      </c>
      <c r="U347" s="69">
        <f t="shared" si="67"/>
        <v>0</v>
      </c>
      <c r="V347" s="69">
        <f t="shared" si="68"/>
        <v>0</v>
      </c>
      <c r="W347" s="69">
        <f t="shared" si="69"/>
        <v>0</v>
      </c>
      <c r="X347" s="69">
        <f t="shared" si="70"/>
        <v>0</v>
      </c>
    </row>
    <row r="348" spans="1:24" ht="17.25" customHeight="1">
      <c r="A348" s="68" t="str">
        <f>IF(BASE!B346="","",BASE!B346)</f>
        <v/>
      </c>
      <c r="B348" s="49" t="s">
        <v>2</v>
      </c>
      <c r="C348" s="69">
        <f t="shared" si="71"/>
        <v>0</v>
      </c>
      <c r="D348" s="69">
        <f t="shared" si="72"/>
        <v>0</v>
      </c>
      <c r="E348" s="69">
        <f t="shared" si="73"/>
        <v>0</v>
      </c>
      <c r="F348" s="69">
        <f t="shared" si="74"/>
        <v>0</v>
      </c>
      <c r="G348" s="69">
        <f t="shared" si="75"/>
        <v>0</v>
      </c>
      <c r="H348" s="70"/>
      <c r="I348" s="79"/>
      <c r="J348" s="69">
        <f t="shared" si="76"/>
        <v>0</v>
      </c>
      <c r="K348" s="69">
        <f t="shared" si="77"/>
        <v>0</v>
      </c>
      <c r="L348" s="69">
        <f t="shared" si="78"/>
        <v>0</v>
      </c>
      <c r="M348" s="69">
        <f t="shared" si="79"/>
        <v>0</v>
      </c>
      <c r="N348" s="69">
        <f t="shared" si="80"/>
        <v>0</v>
      </c>
      <c r="O348" s="70"/>
      <c r="P348" s="79"/>
      <c r="Q348" s="79"/>
      <c r="R348" s="49">
        <f t="shared" si="81"/>
        <v>0</v>
      </c>
      <c r="S348" s="49">
        <f>[1]BASE!A346</f>
        <v>337</v>
      </c>
      <c r="T348" s="69">
        <f t="shared" si="66"/>
        <v>0</v>
      </c>
      <c r="U348" s="69">
        <f t="shared" si="67"/>
        <v>0</v>
      </c>
      <c r="V348" s="69">
        <f t="shared" si="68"/>
        <v>0</v>
      </c>
      <c r="W348" s="69">
        <f t="shared" si="69"/>
        <v>0</v>
      </c>
      <c r="X348" s="69">
        <f t="shared" si="70"/>
        <v>0</v>
      </c>
    </row>
    <row r="349" spans="1:24" ht="17.25" customHeight="1">
      <c r="A349" s="68" t="str">
        <f>IF(BASE!B347="","",BASE!B347)</f>
        <v/>
      </c>
      <c r="B349" s="49" t="s">
        <v>2</v>
      </c>
      <c r="C349" s="69">
        <f t="shared" si="71"/>
        <v>0</v>
      </c>
      <c r="D349" s="69">
        <f t="shared" si="72"/>
        <v>0</v>
      </c>
      <c r="E349" s="69">
        <f t="shared" si="73"/>
        <v>0</v>
      </c>
      <c r="F349" s="69">
        <f t="shared" si="74"/>
        <v>0</v>
      </c>
      <c r="G349" s="69">
        <f t="shared" si="75"/>
        <v>0</v>
      </c>
      <c r="H349" s="70"/>
      <c r="I349" s="79"/>
      <c r="J349" s="69">
        <f t="shared" si="76"/>
        <v>0</v>
      </c>
      <c r="K349" s="69">
        <f t="shared" si="77"/>
        <v>0</v>
      </c>
      <c r="L349" s="69">
        <f t="shared" si="78"/>
        <v>0</v>
      </c>
      <c r="M349" s="69">
        <f t="shared" si="79"/>
        <v>0</v>
      </c>
      <c r="N349" s="69">
        <f t="shared" si="80"/>
        <v>0</v>
      </c>
      <c r="O349" s="70"/>
      <c r="P349" s="79"/>
      <c r="Q349" s="79"/>
      <c r="R349" s="49">
        <f t="shared" si="81"/>
        <v>0</v>
      </c>
      <c r="S349" s="49">
        <f>[1]BASE!A347</f>
        <v>338</v>
      </c>
      <c r="T349" s="69">
        <f t="shared" si="66"/>
        <v>0</v>
      </c>
      <c r="U349" s="69">
        <f t="shared" si="67"/>
        <v>0</v>
      </c>
      <c r="V349" s="69">
        <f t="shared" si="68"/>
        <v>0</v>
      </c>
      <c r="W349" s="69">
        <f t="shared" si="69"/>
        <v>0</v>
      </c>
      <c r="X349" s="69">
        <f t="shared" si="70"/>
        <v>0</v>
      </c>
    </row>
    <row r="350" spans="1:24" ht="17.25" customHeight="1">
      <c r="A350" s="68" t="str">
        <f>IF(BASE!B348="","",BASE!B348)</f>
        <v/>
      </c>
      <c r="B350" s="49" t="s">
        <v>2</v>
      </c>
      <c r="C350" s="69">
        <f t="shared" si="71"/>
        <v>0</v>
      </c>
      <c r="D350" s="69">
        <f t="shared" si="72"/>
        <v>0</v>
      </c>
      <c r="E350" s="69">
        <f t="shared" si="73"/>
        <v>0</v>
      </c>
      <c r="F350" s="69">
        <f t="shared" si="74"/>
        <v>0</v>
      </c>
      <c r="G350" s="69">
        <f t="shared" si="75"/>
        <v>0</v>
      </c>
      <c r="H350" s="70"/>
      <c r="I350" s="79"/>
      <c r="J350" s="69">
        <f t="shared" si="76"/>
        <v>0</v>
      </c>
      <c r="K350" s="69">
        <f t="shared" si="77"/>
        <v>0</v>
      </c>
      <c r="L350" s="69">
        <f t="shared" si="78"/>
        <v>0</v>
      </c>
      <c r="M350" s="69">
        <f t="shared" si="79"/>
        <v>0</v>
      </c>
      <c r="N350" s="69">
        <f t="shared" si="80"/>
        <v>0</v>
      </c>
      <c r="O350" s="70"/>
      <c r="P350" s="79"/>
      <c r="Q350" s="79"/>
      <c r="R350" s="49">
        <f t="shared" si="81"/>
        <v>0</v>
      </c>
      <c r="S350" s="49">
        <f>[1]BASE!A348</f>
        <v>339</v>
      </c>
      <c r="T350" s="69">
        <f t="shared" si="66"/>
        <v>0</v>
      </c>
      <c r="U350" s="69">
        <f t="shared" si="67"/>
        <v>0</v>
      </c>
      <c r="V350" s="69">
        <f t="shared" si="68"/>
        <v>0</v>
      </c>
      <c r="W350" s="69">
        <f t="shared" si="69"/>
        <v>0</v>
      </c>
      <c r="X350" s="69">
        <f t="shared" si="70"/>
        <v>0</v>
      </c>
    </row>
    <row r="351" spans="1:24" ht="17.25" customHeight="1">
      <c r="A351" s="68" t="str">
        <f>IF(BASE!B349="","",BASE!B349)</f>
        <v/>
      </c>
      <c r="B351" s="49" t="s">
        <v>2</v>
      </c>
      <c r="C351" s="69">
        <f t="shared" si="71"/>
        <v>0</v>
      </c>
      <c r="D351" s="69">
        <f t="shared" si="72"/>
        <v>0</v>
      </c>
      <c r="E351" s="69">
        <f t="shared" si="73"/>
        <v>0</v>
      </c>
      <c r="F351" s="69">
        <f t="shared" si="74"/>
        <v>0</v>
      </c>
      <c r="G351" s="69">
        <f t="shared" si="75"/>
        <v>0</v>
      </c>
      <c r="H351" s="70"/>
      <c r="I351" s="79"/>
      <c r="J351" s="69">
        <f t="shared" si="76"/>
        <v>0</v>
      </c>
      <c r="K351" s="69">
        <f t="shared" si="77"/>
        <v>0</v>
      </c>
      <c r="L351" s="69">
        <f t="shared" si="78"/>
        <v>0</v>
      </c>
      <c r="M351" s="69">
        <f t="shared" si="79"/>
        <v>0</v>
      </c>
      <c r="N351" s="69">
        <f t="shared" si="80"/>
        <v>0</v>
      </c>
      <c r="O351" s="70"/>
      <c r="P351" s="79"/>
      <c r="Q351" s="79"/>
      <c r="R351" s="49">
        <f t="shared" si="81"/>
        <v>0</v>
      </c>
      <c r="S351" s="49">
        <f>[1]BASE!A349</f>
        <v>340</v>
      </c>
      <c r="T351" s="69">
        <f t="shared" si="66"/>
        <v>0</v>
      </c>
      <c r="U351" s="69">
        <f t="shared" si="67"/>
        <v>0</v>
      </c>
      <c r="V351" s="69">
        <f t="shared" si="68"/>
        <v>0</v>
      </c>
      <c r="W351" s="69">
        <f t="shared" si="69"/>
        <v>0</v>
      </c>
      <c r="X351" s="69">
        <f t="shared" si="70"/>
        <v>0</v>
      </c>
    </row>
    <row r="352" spans="1:24" ht="17.25" customHeight="1">
      <c r="A352" s="68" t="str">
        <f>IF(BASE!B350="","",BASE!B350)</f>
        <v/>
      </c>
      <c r="B352" s="49" t="s">
        <v>2</v>
      </c>
      <c r="C352" s="69">
        <f t="shared" si="71"/>
        <v>0</v>
      </c>
      <c r="D352" s="69">
        <f t="shared" si="72"/>
        <v>0</v>
      </c>
      <c r="E352" s="69">
        <f t="shared" si="73"/>
        <v>0</v>
      </c>
      <c r="F352" s="69">
        <f t="shared" si="74"/>
        <v>0</v>
      </c>
      <c r="G352" s="69">
        <f t="shared" si="75"/>
        <v>0</v>
      </c>
      <c r="H352" s="70"/>
      <c r="I352" s="79"/>
      <c r="J352" s="69">
        <f t="shared" si="76"/>
        <v>0</v>
      </c>
      <c r="K352" s="69">
        <f t="shared" si="77"/>
        <v>0</v>
      </c>
      <c r="L352" s="69">
        <f t="shared" si="78"/>
        <v>0</v>
      </c>
      <c r="M352" s="69">
        <f t="shared" si="79"/>
        <v>0</v>
      </c>
      <c r="N352" s="69">
        <f t="shared" si="80"/>
        <v>0</v>
      </c>
      <c r="O352" s="70"/>
      <c r="P352" s="79"/>
      <c r="Q352" s="79"/>
      <c r="R352" s="49">
        <f t="shared" si="81"/>
        <v>0</v>
      </c>
      <c r="S352" s="49">
        <f>[1]BASE!A350</f>
        <v>341</v>
      </c>
      <c r="T352" s="69">
        <f t="shared" si="66"/>
        <v>0</v>
      </c>
      <c r="U352" s="69">
        <f t="shared" si="67"/>
        <v>0</v>
      </c>
      <c r="V352" s="69">
        <f t="shared" si="68"/>
        <v>0</v>
      </c>
      <c r="W352" s="69">
        <f t="shared" si="69"/>
        <v>0</v>
      </c>
      <c r="X352" s="69">
        <f t="shared" si="70"/>
        <v>0</v>
      </c>
    </row>
    <row r="353" spans="1:24" ht="17.25" customHeight="1">
      <c r="A353" s="68" t="str">
        <f>IF(BASE!B351="","",BASE!B351)</f>
        <v/>
      </c>
      <c r="B353" s="49" t="s">
        <v>2</v>
      </c>
      <c r="C353" s="69">
        <f t="shared" si="71"/>
        <v>0</v>
      </c>
      <c r="D353" s="69">
        <f t="shared" si="72"/>
        <v>0</v>
      </c>
      <c r="E353" s="69">
        <f t="shared" si="73"/>
        <v>0</v>
      </c>
      <c r="F353" s="69">
        <f t="shared" si="74"/>
        <v>0</v>
      </c>
      <c r="G353" s="69">
        <f t="shared" si="75"/>
        <v>0</v>
      </c>
      <c r="H353" s="70"/>
      <c r="I353" s="79"/>
      <c r="J353" s="69">
        <f t="shared" si="76"/>
        <v>0</v>
      </c>
      <c r="K353" s="69">
        <f t="shared" si="77"/>
        <v>0</v>
      </c>
      <c r="L353" s="69">
        <f t="shared" si="78"/>
        <v>0</v>
      </c>
      <c r="M353" s="69">
        <f t="shared" si="79"/>
        <v>0</v>
      </c>
      <c r="N353" s="69">
        <f t="shared" si="80"/>
        <v>0</v>
      </c>
      <c r="O353" s="70"/>
      <c r="P353" s="79"/>
      <c r="Q353" s="79"/>
      <c r="R353" s="49">
        <f t="shared" si="81"/>
        <v>0</v>
      </c>
      <c r="S353" s="49">
        <f>[1]BASE!A351</f>
        <v>342</v>
      </c>
      <c r="T353" s="69">
        <f t="shared" si="66"/>
        <v>0</v>
      </c>
      <c r="U353" s="69">
        <f t="shared" si="67"/>
        <v>0</v>
      </c>
      <c r="V353" s="69">
        <f t="shared" si="68"/>
        <v>0</v>
      </c>
      <c r="W353" s="69">
        <f t="shared" si="69"/>
        <v>0</v>
      </c>
      <c r="X353" s="69">
        <f t="shared" si="70"/>
        <v>0</v>
      </c>
    </row>
    <row r="354" spans="1:24" ht="17.25" customHeight="1">
      <c r="A354" s="68" t="str">
        <f>IF(BASE!B352="","",BASE!B352)</f>
        <v/>
      </c>
      <c r="B354" s="49" t="s">
        <v>2</v>
      </c>
      <c r="C354" s="69">
        <f t="shared" si="71"/>
        <v>0</v>
      </c>
      <c r="D354" s="69">
        <f t="shared" si="72"/>
        <v>0</v>
      </c>
      <c r="E354" s="69">
        <f t="shared" si="73"/>
        <v>0</v>
      </c>
      <c r="F354" s="69">
        <f t="shared" si="74"/>
        <v>0</v>
      </c>
      <c r="G354" s="69">
        <f t="shared" si="75"/>
        <v>0</v>
      </c>
      <c r="H354" s="70"/>
      <c r="I354" s="79"/>
      <c r="J354" s="69">
        <f t="shared" si="76"/>
        <v>0</v>
      </c>
      <c r="K354" s="69">
        <f t="shared" si="77"/>
        <v>0</v>
      </c>
      <c r="L354" s="69">
        <f t="shared" si="78"/>
        <v>0</v>
      </c>
      <c r="M354" s="69">
        <f t="shared" si="79"/>
        <v>0</v>
      </c>
      <c r="N354" s="69">
        <f t="shared" si="80"/>
        <v>0</v>
      </c>
      <c r="O354" s="70"/>
      <c r="P354" s="79"/>
      <c r="Q354" s="79"/>
      <c r="R354" s="49">
        <f t="shared" si="81"/>
        <v>0</v>
      </c>
      <c r="S354" s="49">
        <f>[1]BASE!A352</f>
        <v>343</v>
      </c>
      <c r="T354" s="69">
        <f t="shared" si="66"/>
        <v>0</v>
      </c>
      <c r="U354" s="69">
        <f t="shared" si="67"/>
        <v>0</v>
      </c>
      <c r="V354" s="69">
        <f t="shared" si="68"/>
        <v>0</v>
      </c>
      <c r="W354" s="69">
        <f t="shared" si="69"/>
        <v>0</v>
      </c>
      <c r="X354" s="69">
        <f t="shared" si="70"/>
        <v>0</v>
      </c>
    </row>
    <row r="355" spans="1:24" ht="17.25" customHeight="1">
      <c r="A355" s="68" t="str">
        <f>IF(BASE!B353="","",BASE!B353)</f>
        <v/>
      </c>
      <c r="B355" s="49" t="s">
        <v>2</v>
      </c>
      <c r="C355" s="69">
        <f t="shared" si="71"/>
        <v>0</v>
      </c>
      <c r="D355" s="69">
        <f t="shared" si="72"/>
        <v>0</v>
      </c>
      <c r="E355" s="69">
        <f t="shared" si="73"/>
        <v>0</v>
      </c>
      <c r="F355" s="69">
        <f t="shared" si="74"/>
        <v>0</v>
      </c>
      <c r="G355" s="69">
        <f t="shared" si="75"/>
        <v>0</v>
      </c>
      <c r="H355" s="70"/>
      <c r="I355" s="79"/>
      <c r="J355" s="69">
        <f t="shared" si="76"/>
        <v>0</v>
      </c>
      <c r="K355" s="69">
        <f t="shared" si="77"/>
        <v>0</v>
      </c>
      <c r="L355" s="69">
        <f t="shared" si="78"/>
        <v>0</v>
      </c>
      <c r="M355" s="69">
        <f t="shared" si="79"/>
        <v>0</v>
      </c>
      <c r="N355" s="69">
        <f t="shared" si="80"/>
        <v>0</v>
      </c>
      <c r="O355" s="70"/>
      <c r="P355" s="79"/>
      <c r="Q355" s="79"/>
      <c r="R355" s="49">
        <f t="shared" si="81"/>
        <v>0</v>
      </c>
      <c r="S355" s="49">
        <f>[1]BASE!A353</f>
        <v>344</v>
      </c>
      <c r="T355" s="69">
        <f t="shared" si="66"/>
        <v>0</v>
      </c>
      <c r="U355" s="69">
        <f t="shared" si="67"/>
        <v>0</v>
      </c>
      <c r="V355" s="69">
        <f t="shared" si="68"/>
        <v>0</v>
      </c>
      <c r="W355" s="69">
        <f t="shared" si="69"/>
        <v>0</v>
      </c>
      <c r="X355" s="69">
        <f t="shared" si="70"/>
        <v>0</v>
      </c>
    </row>
    <row r="356" spans="1:24" ht="17.25" customHeight="1">
      <c r="A356" s="68" t="str">
        <f>IF(BASE!B354="","",BASE!B354)</f>
        <v/>
      </c>
      <c r="B356" s="49" t="s">
        <v>2</v>
      </c>
      <c r="C356" s="69">
        <f t="shared" si="71"/>
        <v>0</v>
      </c>
      <c r="D356" s="69">
        <f t="shared" si="72"/>
        <v>0</v>
      </c>
      <c r="E356" s="69">
        <f t="shared" si="73"/>
        <v>0</v>
      </c>
      <c r="F356" s="69">
        <f t="shared" si="74"/>
        <v>0</v>
      </c>
      <c r="G356" s="69">
        <f t="shared" si="75"/>
        <v>0</v>
      </c>
      <c r="H356" s="70"/>
      <c r="I356" s="79"/>
      <c r="J356" s="69">
        <f t="shared" si="76"/>
        <v>0</v>
      </c>
      <c r="K356" s="69">
        <f t="shared" si="77"/>
        <v>0</v>
      </c>
      <c r="L356" s="69">
        <f t="shared" si="78"/>
        <v>0</v>
      </c>
      <c r="M356" s="69">
        <f t="shared" si="79"/>
        <v>0</v>
      </c>
      <c r="N356" s="69">
        <f t="shared" si="80"/>
        <v>0</v>
      </c>
      <c r="O356" s="70"/>
      <c r="P356" s="79"/>
      <c r="Q356" s="79"/>
      <c r="R356" s="49">
        <f t="shared" si="81"/>
        <v>0</v>
      </c>
      <c r="S356" s="49">
        <f>[1]BASE!A354</f>
        <v>345</v>
      </c>
      <c r="T356" s="69">
        <f t="shared" si="66"/>
        <v>0</v>
      </c>
      <c r="U356" s="69">
        <f t="shared" si="67"/>
        <v>0</v>
      </c>
      <c r="V356" s="69">
        <f t="shared" si="68"/>
        <v>0</v>
      </c>
      <c r="W356" s="69">
        <f t="shared" si="69"/>
        <v>0</v>
      </c>
      <c r="X356" s="69">
        <f t="shared" si="70"/>
        <v>0</v>
      </c>
    </row>
    <row r="357" spans="1:24" ht="17.25" customHeight="1">
      <c r="A357" s="68" t="str">
        <f>IF(BASE!B355="","",BASE!B355)</f>
        <v/>
      </c>
      <c r="B357" s="49" t="s">
        <v>2</v>
      </c>
      <c r="C357" s="69">
        <f t="shared" si="71"/>
        <v>0</v>
      </c>
      <c r="D357" s="69">
        <f t="shared" si="72"/>
        <v>0</v>
      </c>
      <c r="E357" s="69">
        <f t="shared" si="73"/>
        <v>0</v>
      </c>
      <c r="F357" s="69">
        <f t="shared" si="74"/>
        <v>0</v>
      </c>
      <c r="G357" s="69">
        <f t="shared" si="75"/>
        <v>0</v>
      </c>
      <c r="H357" s="70"/>
      <c r="I357" s="79"/>
      <c r="J357" s="69">
        <f t="shared" si="76"/>
        <v>0</v>
      </c>
      <c r="K357" s="69">
        <f t="shared" si="77"/>
        <v>0</v>
      </c>
      <c r="L357" s="69">
        <f t="shared" si="78"/>
        <v>0</v>
      </c>
      <c r="M357" s="69">
        <f t="shared" si="79"/>
        <v>0</v>
      </c>
      <c r="N357" s="69">
        <f t="shared" si="80"/>
        <v>0</v>
      </c>
      <c r="O357" s="70"/>
      <c r="P357" s="79"/>
      <c r="Q357" s="79"/>
      <c r="R357" s="49">
        <f t="shared" si="81"/>
        <v>0</v>
      </c>
      <c r="S357" s="49">
        <f>[1]BASE!A355</f>
        <v>346</v>
      </c>
      <c r="T357" s="69">
        <f t="shared" si="66"/>
        <v>0</v>
      </c>
      <c r="U357" s="69">
        <f t="shared" si="67"/>
        <v>0</v>
      </c>
      <c r="V357" s="69">
        <f t="shared" si="68"/>
        <v>0</v>
      </c>
      <c r="W357" s="69">
        <f t="shared" si="69"/>
        <v>0</v>
      </c>
      <c r="X357" s="69">
        <f t="shared" si="70"/>
        <v>0</v>
      </c>
    </row>
    <row r="358" spans="1:24" ht="17.25" customHeight="1">
      <c r="A358" s="68" t="str">
        <f>IF(BASE!B356="","",BASE!B356)</f>
        <v/>
      </c>
      <c r="B358" s="49" t="s">
        <v>2</v>
      </c>
      <c r="C358" s="69">
        <f t="shared" si="71"/>
        <v>0</v>
      </c>
      <c r="D358" s="69">
        <f t="shared" si="72"/>
        <v>0</v>
      </c>
      <c r="E358" s="69">
        <f t="shared" si="73"/>
        <v>0</v>
      </c>
      <c r="F358" s="69">
        <f t="shared" si="74"/>
        <v>0</v>
      </c>
      <c r="G358" s="69">
        <f t="shared" si="75"/>
        <v>0</v>
      </c>
      <c r="H358" s="70"/>
      <c r="I358" s="79"/>
      <c r="J358" s="69">
        <f t="shared" si="76"/>
        <v>0</v>
      </c>
      <c r="K358" s="69">
        <f t="shared" si="77"/>
        <v>0</v>
      </c>
      <c r="L358" s="69">
        <f t="shared" si="78"/>
        <v>0</v>
      </c>
      <c r="M358" s="69">
        <f t="shared" si="79"/>
        <v>0</v>
      </c>
      <c r="N358" s="69">
        <f t="shared" si="80"/>
        <v>0</v>
      </c>
      <c r="O358" s="70"/>
      <c r="P358" s="79"/>
      <c r="Q358" s="79"/>
      <c r="R358" s="49">
        <f t="shared" si="81"/>
        <v>0</v>
      </c>
      <c r="S358" s="49">
        <f>[1]BASE!A356</f>
        <v>347</v>
      </c>
      <c r="T358" s="69">
        <f t="shared" si="66"/>
        <v>0</v>
      </c>
      <c r="U358" s="69">
        <f t="shared" si="67"/>
        <v>0</v>
      </c>
      <c r="V358" s="69">
        <f t="shared" si="68"/>
        <v>0</v>
      </c>
      <c r="W358" s="69">
        <f t="shared" si="69"/>
        <v>0</v>
      </c>
      <c r="X358" s="69">
        <f t="shared" si="70"/>
        <v>0</v>
      </c>
    </row>
    <row r="359" spans="1:24" ht="17.25" customHeight="1">
      <c r="A359" s="68" t="str">
        <f>IF(BASE!B357="","",BASE!B357)</f>
        <v/>
      </c>
      <c r="B359" s="49" t="s">
        <v>2</v>
      </c>
      <c r="C359" s="69">
        <f t="shared" si="71"/>
        <v>0</v>
      </c>
      <c r="D359" s="69">
        <f t="shared" si="72"/>
        <v>0</v>
      </c>
      <c r="E359" s="69">
        <f t="shared" si="73"/>
        <v>0</v>
      </c>
      <c r="F359" s="69">
        <f t="shared" si="74"/>
        <v>0</v>
      </c>
      <c r="G359" s="69">
        <f t="shared" si="75"/>
        <v>0</v>
      </c>
      <c r="H359" s="70"/>
      <c r="I359" s="79"/>
      <c r="J359" s="69">
        <f t="shared" si="76"/>
        <v>0</v>
      </c>
      <c r="K359" s="69">
        <f t="shared" si="77"/>
        <v>0</v>
      </c>
      <c r="L359" s="69">
        <f t="shared" si="78"/>
        <v>0</v>
      </c>
      <c r="M359" s="69">
        <f t="shared" si="79"/>
        <v>0</v>
      </c>
      <c r="N359" s="69">
        <f t="shared" si="80"/>
        <v>0</v>
      </c>
      <c r="O359" s="70"/>
      <c r="P359" s="79"/>
      <c r="Q359" s="79"/>
      <c r="R359" s="49">
        <f t="shared" si="81"/>
        <v>0</v>
      </c>
      <c r="S359" s="49">
        <f>[1]BASE!A357</f>
        <v>348</v>
      </c>
      <c r="T359" s="69">
        <f t="shared" si="66"/>
        <v>0</v>
      </c>
      <c r="U359" s="69">
        <f t="shared" si="67"/>
        <v>0</v>
      </c>
      <c r="V359" s="69">
        <f t="shared" si="68"/>
        <v>0</v>
      </c>
      <c r="W359" s="69">
        <f t="shared" si="69"/>
        <v>0</v>
      </c>
      <c r="X359" s="69">
        <f t="shared" si="70"/>
        <v>0</v>
      </c>
    </row>
    <row r="360" spans="1:24" ht="17.25" customHeight="1">
      <c r="A360" s="68" t="str">
        <f>IF(BASE!B358="","",BASE!B358)</f>
        <v/>
      </c>
      <c r="B360" s="49" t="s">
        <v>2</v>
      </c>
      <c r="C360" s="69">
        <f t="shared" si="71"/>
        <v>0</v>
      </c>
      <c r="D360" s="69">
        <f t="shared" si="72"/>
        <v>0</v>
      </c>
      <c r="E360" s="69">
        <f t="shared" si="73"/>
        <v>0</v>
      </c>
      <c r="F360" s="69">
        <f t="shared" si="74"/>
        <v>0</v>
      </c>
      <c r="G360" s="69">
        <f t="shared" si="75"/>
        <v>0</v>
      </c>
      <c r="H360" s="70"/>
      <c r="I360" s="79"/>
      <c r="J360" s="69">
        <f t="shared" si="76"/>
        <v>0</v>
      </c>
      <c r="K360" s="69">
        <f t="shared" si="77"/>
        <v>0</v>
      </c>
      <c r="L360" s="69">
        <f t="shared" si="78"/>
        <v>0</v>
      </c>
      <c r="M360" s="69">
        <f t="shared" si="79"/>
        <v>0</v>
      </c>
      <c r="N360" s="69">
        <f t="shared" si="80"/>
        <v>0</v>
      </c>
      <c r="O360" s="70"/>
      <c r="P360" s="79"/>
      <c r="Q360" s="79"/>
      <c r="R360" s="49">
        <f t="shared" si="81"/>
        <v>0</v>
      </c>
      <c r="S360" s="49">
        <f>[1]BASE!A358</f>
        <v>349</v>
      </c>
      <c r="T360" s="69">
        <f t="shared" si="66"/>
        <v>0</v>
      </c>
      <c r="U360" s="69">
        <f t="shared" si="67"/>
        <v>0</v>
      </c>
      <c r="V360" s="69">
        <f t="shared" si="68"/>
        <v>0</v>
      </c>
      <c r="W360" s="69">
        <f t="shared" si="69"/>
        <v>0</v>
      </c>
      <c r="X360" s="69">
        <f t="shared" si="70"/>
        <v>0</v>
      </c>
    </row>
    <row r="361" spans="1:24" ht="17.25" customHeight="1">
      <c r="A361" s="68" t="str">
        <f>IF(BASE!B359="","",BASE!B359)</f>
        <v/>
      </c>
      <c r="B361" s="49" t="s">
        <v>2</v>
      </c>
      <c r="C361" s="69">
        <f t="shared" si="71"/>
        <v>0</v>
      </c>
      <c r="D361" s="69">
        <f t="shared" si="72"/>
        <v>0</v>
      </c>
      <c r="E361" s="69">
        <f t="shared" si="73"/>
        <v>0</v>
      </c>
      <c r="F361" s="69">
        <f t="shared" si="74"/>
        <v>0</v>
      </c>
      <c r="G361" s="69">
        <f t="shared" si="75"/>
        <v>0</v>
      </c>
      <c r="H361" s="70"/>
      <c r="I361" s="79"/>
      <c r="J361" s="69">
        <f t="shared" si="76"/>
        <v>0</v>
      </c>
      <c r="K361" s="69">
        <f t="shared" si="77"/>
        <v>0</v>
      </c>
      <c r="L361" s="69">
        <f t="shared" si="78"/>
        <v>0</v>
      </c>
      <c r="M361" s="69">
        <f t="shared" si="79"/>
        <v>0</v>
      </c>
      <c r="N361" s="69">
        <f t="shared" si="80"/>
        <v>0</v>
      </c>
      <c r="O361" s="70"/>
      <c r="P361" s="79"/>
      <c r="Q361" s="79"/>
      <c r="R361" s="49">
        <f t="shared" si="81"/>
        <v>0</v>
      </c>
      <c r="S361" s="49">
        <f>[1]BASE!A359</f>
        <v>350</v>
      </c>
      <c r="T361" s="69">
        <f t="shared" si="66"/>
        <v>0</v>
      </c>
      <c r="U361" s="69">
        <f t="shared" si="67"/>
        <v>0</v>
      </c>
      <c r="V361" s="69">
        <f t="shared" si="68"/>
        <v>0</v>
      </c>
      <c r="W361" s="69">
        <f t="shared" si="69"/>
        <v>0</v>
      </c>
      <c r="X361" s="69">
        <f t="shared" si="70"/>
        <v>0</v>
      </c>
    </row>
    <row r="362" spans="1:24" ht="17.25" customHeight="1">
      <c r="A362" s="68" t="str">
        <f>IF(BASE!B360="","",BASE!B360)</f>
        <v/>
      </c>
      <c r="B362" s="49" t="s">
        <v>2</v>
      </c>
      <c r="C362" s="69">
        <f t="shared" si="71"/>
        <v>0</v>
      </c>
      <c r="D362" s="69">
        <f t="shared" si="72"/>
        <v>0</v>
      </c>
      <c r="E362" s="69">
        <f t="shared" si="73"/>
        <v>0</v>
      </c>
      <c r="F362" s="69">
        <f t="shared" si="74"/>
        <v>0</v>
      </c>
      <c r="G362" s="69">
        <f t="shared" si="75"/>
        <v>0</v>
      </c>
      <c r="H362" s="70"/>
      <c r="I362" s="79"/>
      <c r="J362" s="69">
        <f t="shared" si="76"/>
        <v>0</v>
      </c>
      <c r="K362" s="69">
        <f t="shared" si="77"/>
        <v>0</v>
      </c>
      <c r="L362" s="69">
        <f t="shared" si="78"/>
        <v>0</v>
      </c>
      <c r="M362" s="69">
        <f t="shared" si="79"/>
        <v>0</v>
      </c>
      <c r="N362" s="69">
        <f t="shared" si="80"/>
        <v>0</v>
      </c>
      <c r="O362" s="70"/>
      <c r="P362" s="79"/>
      <c r="Q362" s="79"/>
      <c r="R362" s="49">
        <f t="shared" si="81"/>
        <v>0</v>
      </c>
      <c r="S362" s="49">
        <f>[1]BASE!A360</f>
        <v>351</v>
      </c>
      <c r="T362" s="69">
        <f t="shared" si="66"/>
        <v>0</v>
      </c>
      <c r="U362" s="69">
        <f t="shared" si="67"/>
        <v>0</v>
      </c>
      <c r="V362" s="69">
        <f t="shared" si="68"/>
        <v>0</v>
      </c>
      <c r="W362" s="69">
        <f t="shared" si="69"/>
        <v>0</v>
      </c>
      <c r="X362" s="69">
        <f t="shared" si="70"/>
        <v>0</v>
      </c>
    </row>
    <row r="363" spans="1:24" ht="17.25" customHeight="1">
      <c r="A363" s="68" t="str">
        <f>IF(BASE!B361="","",BASE!B361)</f>
        <v/>
      </c>
      <c r="B363" s="49" t="s">
        <v>2</v>
      </c>
      <c r="C363" s="69">
        <f t="shared" si="71"/>
        <v>0</v>
      </c>
      <c r="D363" s="69">
        <f t="shared" si="72"/>
        <v>0</v>
      </c>
      <c r="E363" s="69">
        <f t="shared" si="73"/>
        <v>0</v>
      </c>
      <c r="F363" s="69">
        <f t="shared" si="74"/>
        <v>0</v>
      </c>
      <c r="G363" s="69">
        <f t="shared" si="75"/>
        <v>0</v>
      </c>
      <c r="H363" s="70"/>
      <c r="I363" s="79"/>
      <c r="J363" s="69">
        <f t="shared" si="76"/>
        <v>0</v>
      </c>
      <c r="K363" s="69">
        <f t="shared" si="77"/>
        <v>0</v>
      </c>
      <c r="L363" s="69">
        <f t="shared" si="78"/>
        <v>0</v>
      </c>
      <c r="M363" s="69">
        <f t="shared" si="79"/>
        <v>0</v>
      </c>
      <c r="N363" s="69">
        <f t="shared" si="80"/>
        <v>0</v>
      </c>
      <c r="O363" s="70"/>
      <c r="P363" s="79"/>
      <c r="Q363" s="79"/>
      <c r="R363" s="49">
        <f t="shared" si="81"/>
        <v>0</v>
      </c>
      <c r="S363" s="49">
        <f>[1]BASE!A361</f>
        <v>352</v>
      </c>
      <c r="T363" s="69">
        <f t="shared" si="66"/>
        <v>0</v>
      </c>
      <c r="U363" s="69">
        <f t="shared" si="67"/>
        <v>0</v>
      </c>
      <c r="V363" s="69">
        <f t="shared" si="68"/>
        <v>0</v>
      </c>
      <c r="W363" s="69">
        <f t="shared" si="69"/>
        <v>0</v>
      </c>
      <c r="X363" s="69">
        <f t="shared" si="70"/>
        <v>0</v>
      </c>
    </row>
    <row r="364" spans="1:24" ht="17.25" customHeight="1">
      <c r="A364" s="68" t="str">
        <f>IF(BASE!B362="","",BASE!B362)</f>
        <v/>
      </c>
      <c r="B364" s="49" t="s">
        <v>2</v>
      </c>
      <c r="C364" s="69">
        <f t="shared" si="71"/>
        <v>0</v>
      </c>
      <c r="D364" s="69">
        <f t="shared" si="72"/>
        <v>0</v>
      </c>
      <c r="E364" s="69">
        <f t="shared" si="73"/>
        <v>0</v>
      </c>
      <c r="F364" s="69">
        <f t="shared" si="74"/>
        <v>0</v>
      </c>
      <c r="G364" s="69">
        <f t="shared" si="75"/>
        <v>0</v>
      </c>
      <c r="H364" s="70"/>
      <c r="I364" s="79"/>
      <c r="J364" s="69">
        <f t="shared" si="76"/>
        <v>0</v>
      </c>
      <c r="K364" s="69">
        <f t="shared" si="77"/>
        <v>0</v>
      </c>
      <c r="L364" s="69">
        <f t="shared" si="78"/>
        <v>0</v>
      </c>
      <c r="M364" s="69">
        <f t="shared" si="79"/>
        <v>0</v>
      </c>
      <c r="N364" s="69">
        <f t="shared" si="80"/>
        <v>0</v>
      </c>
      <c r="O364" s="70"/>
      <c r="P364" s="79"/>
      <c r="Q364" s="79"/>
      <c r="R364" s="49">
        <f t="shared" si="81"/>
        <v>0</v>
      </c>
      <c r="S364" s="49">
        <f>[1]BASE!A362</f>
        <v>353</v>
      </c>
      <c r="T364" s="69">
        <f t="shared" si="66"/>
        <v>0</v>
      </c>
      <c r="U364" s="69">
        <f t="shared" si="67"/>
        <v>0</v>
      </c>
      <c r="V364" s="69">
        <f t="shared" si="68"/>
        <v>0</v>
      </c>
      <c r="W364" s="69">
        <f t="shared" si="69"/>
        <v>0</v>
      </c>
      <c r="X364" s="69">
        <f t="shared" si="70"/>
        <v>0</v>
      </c>
    </row>
    <row r="365" spans="1:24" ht="17.25" customHeight="1">
      <c r="A365" s="68" t="str">
        <f>IF(BASE!B363="","",BASE!B363)</f>
        <v/>
      </c>
      <c r="B365" s="49" t="s">
        <v>2</v>
      </c>
      <c r="C365" s="69">
        <f t="shared" si="71"/>
        <v>0</v>
      </c>
      <c r="D365" s="69">
        <f t="shared" si="72"/>
        <v>0</v>
      </c>
      <c r="E365" s="69">
        <f t="shared" si="73"/>
        <v>0</v>
      </c>
      <c r="F365" s="69">
        <f t="shared" si="74"/>
        <v>0</v>
      </c>
      <c r="G365" s="69">
        <f t="shared" si="75"/>
        <v>0</v>
      </c>
      <c r="H365" s="70"/>
      <c r="I365" s="79"/>
      <c r="J365" s="69">
        <f t="shared" si="76"/>
        <v>0</v>
      </c>
      <c r="K365" s="69">
        <f t="shared" si="77"/>
        <v>0</v>
      </c>
      <c r="L365" s="69">
        <f t="shared" si="78"/>
        <v>0</v>
      </c>
      <c r="M365" s="69">
        <f t="shared" si="79"/>
        <v>0</v>
      </c>
      <c r="N365" s="69">
        <f t="shared" si="80"/>
        <v>0</v>
      </c>
      <c r="O365" s="70"/>
      <c r="P365" s="79"/>
      <c r="Q365" s="79"/>
      <c r="R365" s="49">
        <f t="shared" si="81"/>
        <v>0</v>
      </c>
      <c r="S365" s="49">
        <f>[1]BASE!A363</f>
        <v>354</v>
      </c>
      <c r="T365" s="69">
        <f t="shared" si="66"/>
        <v>0</v>
      </c>
      <c r="U365" s="69">
        <f t="shared" si="67"/>
        <v>0</v>
      </c>
      <c r="V365" s="69">
        <f t="shared" si="68"/>
        <v>0</v>
      </c>
      <c r="W365" s="69">
        <f t="shared" si="69"/>
        <v>0</v>
      </c>
      <c r="X365" s="69">
        <f t="shared" si="70"/>
        <v>0</v>
      </c>
    </row>
    <row r="366" spans="1:24" ht="17.25" customHeight="1">
      <c r="A366" s="68" t="str">
        <f>IF(BASE!B364="","",BASE!B364)</f>
        <v/>
      </c>
      <c r="B366" s="49" t="s">
        <v>2</v>
      </c>
      <c r="C366" s="69">
        <f t="shared" si="71"/>
        <v>0</v>
      </c>
      <c r="D366" s="69">
        <f t="shared" si="72"/>
        <v>0</v>
      </c>
      <c r="E366" s="69">
        <f t="shared" si="73"/>
        <v>0</v>
      </c>
      <c r="F366" s="69">
        <f t="shared" si="74"/>
        <v>0</v>
      </c>
      <c r="G366" s="69">
        <f t="shared" si="75"/>
        <v>0</v>
      </c>
      <c r="H366" s="70"/>
      <c r="I366" s="79"/>
      <c r="J366" s="69">
        <f t="shared" si="76"/>
        <v>0</v>
      </c>
      <c r="K366" s="69">
        <f t="shared" si="77"/>
        <v>0</v>
      </c>
      <c r="L366" s="69">
        <f t="shared" si="78"/>
        <v>0</v>
      </c>
      <c r="M366" s="69">
        <f t="shared" si="79"/>
        <v>0</v>
      </c>
      <c r="N366" s="69">
        <f t="shared" si="80"/>
        <v>0</v>
      </c>
      <c r="O366" s="70"/>
      <c r="P366" s="79"/>
      <c r="Q366" s="79"/>
      <c r="R366" s="49">
        <f t="shared" si="81"/>
        <v>0</v>
      </c>
      <c r="S366" s="49">
        <f>[1]BASE!A364</f>
        <v>355</v>
      </c>
      <c r="T366" s="69">
        <f t="shared" si="66"/>
        <v>0</v>
      </c>
      <c r="U366" s="69">
        <f t="shared" si="67"/>
        <v>0</v>
      </c>
      <c r="V366" s="69">
        <f t="shared" si="68"/>
        <v>0</v>
      </c>
      <c r="W366" s="69">
        <f t="shared" si="69"/>
        <v>0</v>
      </c>
      <c r="X366" s="69">
        <f t="shared" si="70"/>
        <v>0</v>
      </c>
    </row>
    <row r="367" spans="1:24" ht="17.25" customHeight="1">
      <c r="A367" s="68" t="str">
        <f>IF(BASE!B365="","",BASE!B365)</f>
        <v/>
      </c>
      <c r="B367" s="49" t="s">
        <v>2</v>
      </c>
      <c r="C367" s="69">
        <f t="shared" si="71"/>
        <v>0</v>
      </c>
      <c r="D367" s="69">
        <f t="shared" si="72"/>
        <v>0</v>
      </c>
      <c r="E367" s="69">
        <f t="shared" si="73"/>
        <v>0</v>
      </c>
      <c r="F367" s="69">
        <f t="shared" si="74"/>
        <v>0</v>
      </c>
      <c r="G367" s="69">
        <f t="shared" si="75"/>
        <v>0</v>
      </c>
      <c r="H367" s="70"/>
      <c r="I367" s="79"/>
      <c r="J367" s="69">
        <f t="shared" si="76"/>
        <v>0</v>
      </c>
      <c r="K367" s="69">
        <f t="shared" si="77"/>
        <v>0</v>
      </c>
      <c r="L367" s="69">
        <f t="shared" si="78"/>
        <v>0</v>
      </c>
      <c r="M367" s="69">
        <f t="shared" si="79"/>
        <v>0</v>
      </c>
      <c r="N367" s="69">
        <f t="shared" si="80"/>
        <v>0</v>
      </c>
      <c r="O367" s="70"/>
      <c r="P367" s="79"/>
      <c r="Q367" s="79"/>
      <c r="R367" s="49">
        <f t="shared" si="81"/>
        <v>0</v>
      </c>
      <c r="S367" s="49">
        <f>[1]BASE!A365</f>
        <v>356</v>
      </c>
      <c r="T367" s="69">
        <f t="shared" si="66"/>
        <v>0</v>
      </c>
      <c r="U367" s="69">
        <f t="shared" si="67"/>
        <v>0</v>
      </c>
      <c r="V367" s="69">
        <f t="shared" si="68"/>
        <v>0</v>
      </c>
      <c r="W367" s="69">
        <f t="shared" si="69"/>
        <v>0</v>
      </c>
      <c r="X367" s="69">
        <f t="shared" si="70"/>
        <v>0</v>
      </c>
    </row>
    <row r="368" spans="1:24" ht="17.25" customHeight="1">
      <c r="A368" s="68" t="str">
        <f>IF(BASE!B366="","",BASE!B366)</f>
        <v/>
      </c>
      <c r="B368" s="49" t="s">
        <v>2</v>
      </c>
      <c r="C368" s="69">
        <f t="shared" si="71"/>
        <v>0</v>
      </c>
      <c r="D368" s="69">
        <f t="shared" si="72"/>
        <v>0</v>
      </c>
      <c r="E368" s="69">
        <f t="shared" si="73"/>
        <v>0</v>
      </c>
      <c r="F368" s="69">
        <f t="shared" si="74"/>
        <v>0</v>
      </c>
      <c r="G368" s="69">
        <f t="shared" si="75"/>
        <v>0</v>
      </c>
      <c r="H368" s="70"/>
      <c r="I368" s="79"/>
      <c r="J368" s="69">
        <f t="shared" si="76"/>
        <v>0</v>
      </c>
      <c r="K368" s="69">
        <f t="shared" si="77"/>
        <v>0</v>
      </c>
      <c r="L368" s="69">
        <f t="shared" si="78"/>
        <v>0</v>
      </c>
      <c r="M368" s="69">
        <f t="shared" si="79"/>
        <v>0</v>
      </c>
      <c r="N368" s="69">
        <f t="shared" si="80"/>
        <v>0</v>
      </c>
      <c r="O368" s="70"/>
      <c r="P368" s="79"/>
      <c r="Q368" s="79"/>
      <c r="R368" s="49">
        <f t="shared" si="81"/>
        <v>0</v>
      </c>
      <c r="S368" s="49">
        <f>[1]BASE!A366</f>
        <v>357</v>
      </c>
      <c r="T368" s="69">
        <f t="shared" si="66"/>
        <v>0</v>
      </c>
      <c r="U368" s="69">
        <f t="shared" si="67"/>
        <v>0</v>
      </c>
      <c r="V368" s="69">
        <f t="shared" si="68"/>
        <v>0</v>
      </c>
      <c r="W368" s="69">
        <f t="shared" si="69"/>
        <v>0</v>
      </c>
      <c r="X368" s="69">
        <f t="shared" si="70"/>
        <v>0</v>
      </c>
    </row>
    <row r="369" spans="1:24" ht="17.25" customHeight="1">
      <c r="A369" s="68" t="str">
        <f>IF(BASE!B367="","",BASE!B367)</f>
        <v/>
      </c>
      <c r="B369" s="49" t="s">
        <v>2</v>
      </c>
      <c r="C369" s="69">
        <f t="shared" si="71"/>
        <v>0</v>
      </c>
      <c r="D369" s="69">
        <f t="shared" si="72"/>
        <v>0</v>
      </c>
      <c r="E369" s="69">
        <f t="shared" si="73"/>
        <v>0</v>
      </c>
      <c r="F369" s="69">
        <f t="shared" si="74"/>
        <v>0</v>
      </c>
      <c r="G369" s="69">
        <f t="shared" si="75"/>
        <v>0</v>
      </c>
      <c r="H369" s="70"/>
      <c r="I369" s="79"/>
      <c r="J369" s="69">
        <f t="shared" si="76"/>
        <v>0</v>
      </c>
      <c r="K369" s="69">
        <f t="shared" si="77"/>
        <v>0</v>
      </c>
      <c r="L369" s="69">
        <f t="shared" si="78"/>
        <v>0</v>
      </c>
      <c r="M369" s="69">
        <f t="shared" si="79"/>
        <v>0</v>
      </c>
      <c r="N369" s="69">
        <f t="shared" si="80"/>
        <v>0</v>
      </c>
      <c r="O369" s="70"/>
      <c r="P369" s="79"/>
      <c r="Q369" s="79"/>
      <c r="R369" s="49">
        <f t="shared" si="81"/>
        <v>0</v>
      </c>
      <c r="S369" s="49">
        <f>[1]BASE!A367</f>
        <v>358</v>
      </c>
      <c r="T369" s="69">
        <f t="shared" si="66"/>
        <v>0</v>
      </c>
      <c r="U369" s="69">
        <f t="shared" si="67"/>
        <v>0</v>
      </c>
      <c r="V369" s="69">
        <f t="shared" si="68"/>
        <v>0</v>
      </c>
      <c r="W369" s="69">
        <f t="shared" si="69"/>
        <v>0</v>
      </c>
      <c r="X369" s="69">
        <f t="shared" si="70"/>
        <v>0</v>
      </c>
    </row>
    <row r="370" spans="1:24" ht="17.25" customHeight="1">
      <c r="A370" s="68" t="str">
        <f>IF(BASE!B368="","",BASE!B368)</f>
        <v/>
      </c>
      <c r="B370" s="49" t="s">
        <v>2</v>
      </c>
      <c r="C370" s="69">
        <f t="shared" si="71"/>
        <v>0</v>
      </c>
      <c r="D370" s="69">
        <f t="shared" si="72"/>
        <v>0</v>
      </c>
      <c r="E370" s="69">
        <f t="shared" si="73"/>
        <v>0</v>
      </c>
      <c r="F370" s="69">
        <f t="shared" si="74"/>
        <v>0</v>
      </c>
      <c r="G370" s="69">
        <f t="shared" si="75"/>
        <v>0</v>
      </c>
      <c r="H370" s="70"/>
      <c r="I370" s="79"/>
      <c r="J370" s="69">
        <f t="shared" si="76"/>
        <v>0</v>
      </c>
      <c r="K370" s="69">
        <f t="shared" si="77"/>
        <v>0</v>
      </c>
      <c r="L370" s="69">
        <f t="shared" si="78"/>
        <v>0</v>
      </c>
      <c r="M370" s="69">
        <f t="shared" si="79"/>
        <v>0</v>
      </c>
      <c r="N370" s="69">
        <f t="shared" si="80"/>
        <v>0</v>
      </c>
      <c r="O370" s="70"/>
      <c r="P370" s="79"/>
      <c r="Q370" s="79"/>
      <c r="R370" s="49">
        <f t="shared" si="81"/>
        <v>0</v>
      </c>
      <c r="S370" s="49">
        <f>[1]BASE!A368</f>
        <v>359</v>
      </c>
      <c r="T370" s="69">
        <f t="shared" si="66"/>
        <v>0</v>
      </c>
      <c r="U370" s="69">
        <f t="shared" si="67"/>
        <v>0</v>
      </c>
      <c r="V370" s="69">
        <f t="shared" si="68"/>
        <v>0</v>
      </c>
      <c r="W370" s="69">
        <f t="shared" si="69"/>
        <v>0</v>
      </c>
      <c r="X370" s="69">
        <f t="shared" si="70"/>
        <v>0</v>
      </c>
    </row>
    <row r="371" spans="1:24" ht="17.25" customHeight="1">
      <c r="A371" s="68" t="str">
        <f>IF(BASE!B369="","",BASE!B369)</f>
        <v/>
      </c>
      <c r="B371" s="49" t="s">
        <v>2</v>
      </c>
      <c r="C371" s="69">
        <f t="shared" si="71"/>
        <v>0</v>
      </c>
      <c r="D371" s="69">
        <f t="shared" si="72"/>
        <v>0</v>
      </c>
      <c r="E371" s="69">
        <f t="shared" si="73"/>
        <v>0</v>
      </c>
      <c r="F371" s="69">
        <f t="shared" si="74"/>
        <v>0</v>
      </c>
      <c r="G371" s="69">
        <f t="shared" si="75"/>
        <v>0</v>
      </c>
      <c r="H371" s="70"/>
      <c r="I371" s="79"/>
      <c r="J371" s="69">
        <f t="shared" si="76"/>
        <v>0</v>
      </c>
      <c r="K371" s="69">
        <f t="shared" si="77"/>
        <v>0</v>
      </c>
      <c r="L371" s="69">
        <f t="shared" si="78"/>
        <v>0</v>
      </c>
      <c r="M371" s="69">
        <f t="shared" si="79"/>
        <v>0</v>
      </c>
      <c r="N371" s="69">
        <f t="shared" si="80"/>
        <v>0</v>
      </c>
      <c r="O371" s="70"/>
      <c r="P371" s="79"/>
      <c r="Q371" s="79"/>
      <c r="R371" s="49">
        <f t="shared" si="81"/>
        <v>0</v>
      </c>
      <c r="S371" s="49">
        <f>[1]BASE!A369</f>
        <v>360</v>
      </c>
      <c r="T371" s="69">
        <f t="shared" si="66"/>
        <v>0</v>
      </c>
      <c r="U371" s="69">
        <f t="shared" si="67"/>
        <v>0</v>
      </c>
      <c r="V371" s="69">
        <f t="shared" si="68"/>
        <v>0</v>
      </c>
      <c r="W371" s="69">
        <f t="shared" si="69"/>
        <v>0</v>
      </c>
      <c r="X371" s="69">
        <f t="shared" si="70"/>
        <v>0</v>
      </c>
    </row>
    <row r="372" spans="1:24" ht="17.25" customHeight="1">
      <c r="A372" s="68" t="str">
        <f>IF(BASE!B370="","",BASE!B370)</f>
        <v/>
      </c>
      <c r="B372" s="49" t="s">
        <v>2</v>
      </c>
      <c r="C372" s="69">
        <f t="shared" si="71"/>
        <v>0</v>
      </c>
      <c r="D372" s="69">
        <f t="shared" si="72"/>
        <v>0</v>
      </c>
      <c r="E372" s="69">
        <f t="shared" si="73"/>
        <v>0</v>
      </c>
      <c r="F372" s="69">
        <f t="shared" si="74"/>
        <v>0</v>
      </c>
      <c r="G372" s="69">
        <f t="shared" si="75"/>
        <v>0</v>
      </c>
      <c r="H372" s="70"/>
      <c r="I372" s="79"/>
      <c r="J372" s="69">
        <f t="shared" si="76"/>
        <v>0</v>
      </c>
      <c r="K372" s="69">
        <f t="shared" si="77"/>
        <v>0</v>
      </c>
      <c r="L372" s="69">
        <f t="shared" si="78"/>
        <v>0</v>
      </c>
      <c r="M372" s="69">
        <f t="shared" si="79"/>
        <v>0</v>
      </c>
      <c r="N372" s="69">
        <f t="shared" si="80"/>
        <v>0</v>
      </c>
      <c r="O372" s="70"/>
      <c r="P372" s="79"/>
      <c r="Q372" s="79"/>
      <c r="R372" s="49">
        <f t="shared" si="81"/>
        <v>0</v>
      </c>
      <c r="S372" s="49">
        <f>[1]BASE!A370</f>
        <v>361</v>
      </c>
      <c r="T372" s="69">
        <f t="shared" si="66"/>
        <v>0</v>
      </c>
      <c r="U372" s="69">
        <f t="shared" si="67"/>
        <v>0</v>
      </c>
      <c r="V372" s="69">
        <f t="shared" si="68"/>
        <v>0</v>
      </c>
      <c r="W372" s="69">
        <f t="shared" si="69"/>
        <v>0</v>
      </c>
      <c r="X372" s="69">
        <f t="shared" si="70"/>
        <v>0</v>
      </c>
    </row>
    <row r="373" spans="1:24" ht="17.25" customHeight="1">
      <c r="A373" s="68" t="str">
        <f>IF(BASE!B371="","",BASE!B371)</f>
        <v/>
      </c>
      <c r="B373" s="49" t="s">
        <v>2</v>
      </c>
      <c r="C373" s="69">
        <f t="shared" si="71"/>
        <v>0</v>
      </c>
      <c r="D373" s="69">
        <f t="shared" si="72"/>
        <v>0</v>
      </c>
      <c r="E373" s="69">
        <f t="shared" si="73"/>
        <v>0</v>
      </c>
      <c r="F373" s="69">
        <f t="shared" si="74"/>
        <v>0</v>
      </c>
      <c r="G373" s="69">
        <f t="shared" si="75"/>
        <v>0</v>
      </c>
      <c r="H373" s="70"/>
      <c r="I373" s="79"/>
      <c r="J373" s="69">
        <f t="shared" si="76"/>
        <v>0</v>
      </c>
      <c r="K373" s="69">
        <f t="shared" si="77"/>
        <v>0</v>
      </c>
      <c r="L373" s="69">
        <f t="shared" si="78"/>
        <v>0</v>
      </c>
      <c r="M373" s="69">
        <f t="shared" si="79"/>
        <v>0</v>
      </c>
      <c r="N373" s="69">
        <f t="shared" si="80"/>
        <v>0</v>
      </c>
      <c r="O373" s="70"/>
      <c r="P373" s="79"/>
      <c r="Q373" s="79"/>
      <c r="R373" s="49">
        <f t="shared" si="81"/>
        <v>0</v>
      </c>
      <c r="S373" s="49">
        <f>[1]BASE!A371</f>
        <v>362</v>
      </c>
      <c r="T373" s="69">
        <f t="shared" si="66"/>
        <v>0</v>
      </c>
      <c r="U373" s="69">
        <f t="shared" si="67"/>
        <v>0</v>
      </c>
      <c r="V373" s="69">
        <f t="shared" si="68"/>
        <v>0</v>
      </c>
      <c r="W373" s="69">
        <f t="shared" si="69"/>
        <v>0</v>
      </c>
      <c r="X373" s="69">
        <f t="shared" si="70"/>
        <v>0</v>
      </c>
    </row>
    <row r="374" spans="1:24" ht="17.25" customHeight="1">
      <c r="A374" s="68" t="str">
        <f>IF(BASE!B372="","",BASE!B372)</f>
        <v/>
      </c>
      <c r="B374" s="49" t="s">
        <v>2</v>
      </c>
      <c r="C374" s="69">
        <f t="shared" si="71"/>
        <v>0</v>
      </c>
      <c r="D374" s="69">
        <f t="shared" si="72"/>
        <v>0</v>
      </c>
      <c r="E374" s="69">
        <f t="shared" si="73"/>
        <v>0</v>
      </c>
      <c r="F374" s="69">
        <f t="shared" si="74"/>
        <v>0</v>
      </c>
      <c r="G374" s="69">
        <f t="shared" si="75"/>
        <v>0</v>
      </c>
      <c r="H374" s="70"/>
      <c r="I374" s="79"/>
      <c r="J374" s="69">
        <f t="shared" si="76"/>
        <v>0</v>
      </c>
      <c r="K374" s="69">
        <f t="shared" si="77"/>
        <v>0</v>
      </c>
      <c r="L374" s="69">
        <f t="shared" si="78"/>
        <v>0</v>
      </c>
      <c r="M374" s="69">
        <f t="shared" si="79"/>
        <v>0</v>
      </c>
      <c r="N374" s="69">
        <f t="shared" si="80"/>
        <v>0</v>
      </c>
      <c r="O374" s="70"/>
      <c r="P374" s="79"/>
      <c r="Q374" s="79"/>
      <c r="R374" s="49">
        <f t="shared" si="81"/>
        <v>0</v>
      </c>
      <c r="S374" s="49">
        <f>[1]BASE!A372</f>
        <v>363</v>
      </c>
      <c r="T374" s="69">
        <f t="shared" si="66"/>
        <v>0</v>
      </c>
      <c r="U374" s="69">
        <f t="shared" si="67"/>
        <v>0</v>
      </c>
      <c r="V374" s="69">
        <f t="shared" si="68"/>
        <v>0</v>
      </c>
      <c r="W374" s="69">
        <f t="shared" si="69"/>
        <v>0</v>
      </c>
      <c r="X374" s="69">
        <f t="shared" si="70"/>
        <v>0</v>
      </c>
    </row>
    <row r="375" spans="1:24" ht="17.25" customHeight="1">
      <c r="A375" s="68" t="str">
        <f>IF(BASE!B373="","",BASE!B373)</f>
        <v/>
      </c>
      <c r="B375" s="49" t="s">
        <v>2</v>
      </c>
      <c r="C375" s="69">
        <f t="shared" si="71"/>
        <v>0</v>
      </c>
      <c r="D375" s="69">
        <f t="shared" si="72"/>
        <v>0</v>
      </c>
      <c r="E375" s="69">
        <f t="shared" si="73"/>
        <v>0</v>
      </c>
      <c r="F375" s="69">
        <f t="shared" si="74"/>
        <v>0</v>
      </c>
      <c r="G375" s="69">
        <f t="shared" si="75"/>
        <v>0</v>
      </c>
      <c r="H375" s="70"/>
      <c r="I375" s="79"/>
      <c r="J375" s="69">
        <f t="shared" si="76"/>
        <v>0</v>
      </c>
      <c r="K375" s="69">
        <f t="shared" si="77"/>
        <v>0</v>
      </c>
      <c r="L375" s="69">
        <f t="shared" si="78"/>
        <v>0</v>
      </c>
      <c r="M375" s="69">
        <f t="shared" si="79"/>
        <v>0</v>
      </c>
      <c r="N375" s="69">
        <f t="shared" si="80"/>
        <v>0</v>
      </c>
      <c r="O375" s="70"/>
      <c r="P375" s="79"/>
      <c r="Q375" s="79"/>
      <c r="R375" s="49">
        <f t="shared" si="81"/>
        <v>0</v>
      </c>
      <c r="S375" s="49">
        <f>[1]BASE!A373</f>
        <v>364</v>
      </c>
      <c r="T375" s="69">
        <f t="shared" si="66"/>
        <v>0</v>
      </c>
      <c r="U375" s="69">
        <f t="shared" si="67"/>
        <v>0</v>
      </c>
      <c r="V375" s="69">
        <f t="shared" si="68"/>
        <v>0</v>
      </c>
      <c r="W375" s="69">
        <f t="shared" si="69"/>
        <v>0</v>
      </c>
      <c r="X375" s="69">
        <f t="shared" si="70"/>
        <v>0</v>
      </c>
    </row>
    <row r="376" spans="1:24" ht="17.25" customHeight="1">
      <c r="A376" s="68" t="str">
        <f>IF(BASE!B374="","",BASE!B374)</f>
        <v/>
      </c>
      <c r="B376" s="49" t="s">
        <v>2</v>
      </c>
      <c r="C376" s="69">
        <f t="shared" si="71"/>
        <v>0</v>
      </c>
      <c r="D376" s="69">
        <f t="shared" si="72"/>
        <v>0</v>
      </c>
      <c r="E376" s="69">
        <f t="shared" si="73"/>
        <v>0</v>
      </c>
      <c r="F376" s="69">
        <f t="shared" si="74"/>
        <v>0</v>
      </c>
      <c r="G376" s="69">
        <f t="shared" si="75"/>
        <v>0</v>
      </c>
      <c r="H376" s="70"/>
      <c r="I376" s="79"/>
      <c r="J376" s="69">
        <f t="shared" si="76"/>
        <v>0</v>
      </c>
      <c r="K376" s="69">
        <f t="shared" si="77"/>
        <v>0</v>
      </c>
      <c r="L376" s="69">
        <f t="shared" si="78"/>
        <v>0</v>
      </c>
      <c r="M376" s="69">
        <f t="shared" si="79"/>
        <v>0</v>
      </c>
      <c r="N376" s="69">
        <f t="shared" si="80"/>
        <v>0</v>
      </c>
      <c r="O376" s="70"/>
      <c r="P376" s="79"/>
      <c r="Q376" s="79"/>
      <c r="R376" s="49">
        <f t="shared" si="81"/>
        <v>0</v>
      </c>
      <c r="S376" s="49">
        <f>[1]BASE!A374</f>
        <v>365</v>
      </c>
      <c r="T376" s="69">
        <f t="shared" si="66"/>
        <v>0</v>
      </c>
      <c r="U376" s="69">
        <f t="shared" si="67"/>
        <v>0</v>
      </c>
      <c r="V376" s="69">
        <f t="shared" si="68"/>
        <v>0</v>
      </c>
      <c r="W376" s="69">
        <f t="shared" si="69"/>
        <v>0</v>
      </c>
      <c r="X376" s="69">
        <f t="shared" si="70"/>
        <v>0</v>
      </c>
    </row>
    <row r="377" spans="1:24" ht="17.25" customHeight="1">
      <c r="A377" s="68" t="str">
        <f>IF(BASE!B375="","",BASE!B375)</f>
        <v/>
      </c>
      <c r="B377" s="49" t="s">
        <v>2</v>
      </c>
      <c r="C377" s="69">
        <f t="shared" si="71"/>
        <v>0</v>
      </c>
      <c r="D377" s="69">
        <f t="shared" si="72"/>
        <v>0</v>
      </c>
      <c r="E377" s="69">
        <f t="shared" si="73"/>
        <v>0</v>
      </c>
      <c r="F377" s="69">
        <f t="shared" si="74"/>
        <v>0</v>
      </c>
      <c r="G377" s="69">
        <f t="shared" si="75"/>
        <v>0</v>
      </c>
      <c r="H377" s="70"/>
      <c r="I377" s="79"/>
      <c r="J377" s="69">
        <f t="shared" si="76"/>
        <v>0</v>
      </c>
      <c r="K377" s="69">
        <f t="shared" si="77"/>
        <v>0</v>
      </c>
      <c r="L377" s="69">
        <f t="shared" si="78"/>
        <v>0</v>
      </c>
      <c r="M377" s="69">
        <f t="shared" si="79"/>
        <v>0</v>
      </c>
      <c r="N377" s="69">
        <f t="shared" si="80"/>
        <v>0</v>
      </c>
      <c r="O377" s="70"/>
      <c r="P377" s="79"/>
      <c r="Q377" s="79"/>
      <c r="R377" s="49">
        <f t="shared" si="81"/>
        <v>0</v>
      </c>
      <c r="S377" s="49">
        <f>[1]BASE!A375</f>
        <v>366</v>
      </c>
      <c r="T377" s="69">
        <f t="shared" si="66"/>
        <v>0</v>
      </c>
      <c r="U377" s="69">
        <f t="shared" si="67"/>
        <v>0</v>
      </c>
      <c r="V377" s="69">
        <f t="shared" si="68"/>
        <v>0</v>
      </c>
      <c r="W377" s="69">
        <f t="shared" si="69"/>
        <v>0</v>
      </c>
      <c r="X377" s="69">
        <f t="shared" si="70"/>
        <v>0</v>
      </c>
    </row>
    <row r="378" spans="1:24" ht="17.25" customHeight="1">
      <c r="A378" s="68" t="str">
        <f>IF(BASE!B376="","",BASE!B376)</f>
        <v/>
      </c>
      <c r="B378" s="49" t="s">
        <v>2</v>
      </c>
      <c r="C378" s="69">
        <f t="shared" si="71"/>
        <v>0</v>
      </c>
      <c r="D378" s="69">
        <f t="shared" si="72"/>
        <v>0</v>
      </c>
      <c r="E378" s="69">
        <f t="shared" si="73"/>
        <v>0</v>
      </c>
      <c r="F378" s="69">
        <f t="shared" si="74"/>
        <v>0</v>
      </c>
      <c r="G378" s="69">
        <f t="shared" si="75"/>
        <v>0</v>
      </c>
      <c r="H378" s="70"/>
      <c r="I378" s="79"/>
      <c r="J378" s="69">
        <f t="shared" si="76"/>
        <v>0</v>
      </c>
      <c r="K378" s="69">
        <f t="shared" si="77"/>
        <v>0</v>
      </c>
      <c r="L378" s="69">
        <f t="shared" si="78"/>
        <v>0</v>
      </c>
      <c r="M378" s="69">
        <f t="shared" si="79"/>
        <v>0</v>
      </c>
      <c r="N378" s="69">
        <f t="shared" si="80"/>
        <v>0</v>
      </c>
      <c r="O378" s="70"/>
      <c r="P378" s="79"/>
      <c r="Q378" s="79"/>
      <c r="R378" s="49">
        <f t="shared" si="81"/>
        <v>0</v>
      </c>
      <c r="S378" s="49">
        <f>[1]BASE!A376</f>
        <v>367</v>
      </c>
      <c r="T378" s="69">
        <f t="shared" si="66"/>
        <v>0</v>
      </c>
      <c r="U378" s="69">
        <f t="shared" si="67"/>
        <v>0</v>
      </c>
      <c r="V378" s="69">
        <f t="shared" si="68"/>
        <v>0</v>
      </c>
      <c r="W378" s="69">
        <f t="shared" si="69"/>
        <v>0</v>
      </c>
      <c r="X378" s="69">
        <f t="shared" si="70"/>
        <v>0</v>
      </c>
    </row>
    <row r="379" spans="1:24" ht="17.25" customHeight="1">
      <c r="A379" s="68" t="str">
        <f>IF(BASE!B377="","",BASE!B377)</f>
        <v/>
      </c>
      <c r="B379" s="49" t="s">
        <v>2</v>
      </c>
      <c r="C379" s="69">
        <f t="shared" si="71"/>
        <v>0</v>
      </c>
      <c r="D379" s="69">
        <f t="shared" si="72"/>
        <v>0</v>
      </c>
      <c r="E379" s="69">
        <f t="shared" si="73"/>
        <v>0</v>
      </c>
      <c r="F379" s="69">
        <f t="shared" si="74"/>
        <v>0</v>
      </c>
      <c r="G379" s="69">
        <f t="shared" si="75"/>
        <v>0</v>
      </c>
      <c r="H379" s="70"/>
      <c r="I379" s="79"/>
      <c r="J379" s="69">
        <f t="shared" si="76"/>
        <v>0</v>
      </c>
      <c r="K379" s="69">
        <f t="shared" si="77"/>
        <v>0</v>
      </c>
      <c r="L379" s="69">
        <f t="shared" si="78"/>
        <v>0</v>
      </c>
      <c r="M379" s="69">
        <f t="shared" si="79"/>
        <v>0</v>
      </c>
      <c r="N379" s="69">
        <f t="shared" si="80"/>
        <v>0</v>
      </c>
      <c r="O379" s="70"/>
      <c r="P379" s="79"/>
      <c r="Q379" s="79"/>
      <c r="R379" s="49">
        <f t="shared" si="81"/>
        <v>0</v>
      </c>
      <c r="S379" s="49">
        <f>[1]BASE!A377</f>
        <v>368</v>
      </c>
      <c r="T379" s="69">
        <f t="shared" si="66"/>
        <v>0</v>
      </c>
      <c r="U379" s="69">
        <f t="shared" si="67"/>
        <v>0</v>
      </c>
      <c r="V379" s="69">
        <f t="shared" si="68"/>
        <v>0</v>
      </c>
      <c r="W379" s="69">
        <f t="shared" si="69"/>
        <v>0</v>
      </c>
      <c r="X379" s="69">
        <f t="shared" si="70"/>
        <v>0</v>
      </c>
    </row>
    <row r="380" spans="1:24" ht="17.25" customHeight="1">
      <c r="A380" s="68" t="str">
        <f>IF(BASE!B378="","",BASE!B378)</f>
        <v/>
      </c>
      <c r="B380" s="49" t="s">
        <v>2</v>
      </c>
      <c r="C380" s="69">
        <f t="shared" si="71"/>
        <v>0</v>
      </c>
      <c r="D380" s="69">
        <f t="shared" si="72"/>
        <v>0</v>
      </c>
      <c r="E380" s="69">
        <f t="shared" si="73"/>
        <v>0</v>
      </c>
      <c r="F380" s="69">
        <f t="shared" si="74"/>
        <v>0</v>
      </c>
      <c r="G380" s="69">
        <f t="shared" si="75"/>
        <v>0</v>
      </c>
      <c r="H380" s="70"/>
      <c r="I380" s="79"/>
      <c r="J380" s="69">
        <f t="shared" si="76"/>
        <v>0</v>
      </c>
      <c r="K380" s="69">
        <f t="shared" si="77"/>
        <v>0</v>
      </c>
      <c r="L380" s="69">
        <f t="shared" si="78"/>
        <v>0</v>
      </c>
      <c r="M380" s="69">
        <f t="shared" si="79"/>
        <v>0</v>
      </c>
      <c r="N380" s="69">
        <f t="shared" si="80"/>
        <v>0</v>
      </c>
      <c r="O380" s="70"/>
      <c r="P380" s="79"/>
      <c r="Q380" s="79"/>
      <c r="R380" s="49">
        <f t="shared" si="81"/>
        <v>0</v>
      </c>
      <c r="S380" s="49">
        <f>[1]BASE!A378</f>
        <v>369</v>
      </c>
      <c r="T380" s="69">
        <f t="shared" si="66"/>
        <v>0</v>
      </c>
      <c r="U380" s="69">
        <f t="shared" si="67"/>
        <v>0</v>
      </c>
      <c r="V380" s="69">
        <f t="shared" si="68"/>
        <v>0</v>
      </c>
      <c r="W380" s="69">
        <f t="shared" si="69"/>
        <v>0</v>
      </c>
      <c r="X380" s="69">
        <f t="shared" si="70"/>
        <v>0</v>
      </c>
    </row>
    <row r="381" spans="1:24" ht="17.25" customHeight="1">
      <c r="A381" s="68" t="str">
        <f>IF(BASE!B379="","",BASE!B379)</f>
        <v/>
      </c>
      <c r="B381" s="49" t="s">
        <v>2</v>
      </c>
      <c r="C381" s="69">
        <f t="shared" si="71"/>
        <v>0</v>
      </c>
      <c r="D381" s="69">
        <f t="shared" si="72"/>
        <v>0</v>
      </c>
      <c r="E381" s="69">
        <f t="shared" si="73"/>
        <v>0</v>
      </c>
      <c r="F381" s="69">
        <f t="shared" si="74"/>
        <v>0</v>
      </c>
      <c r="G381" s="69">
        <f t="shared" si="75"/>
        <v>0</v>
      </c>
      <c r="H381" s="70"/>
      <c r="I381" s="79"/>
      <c r="J381" s="69">
        <f t="shared" si="76"/>
        <v>0</v>
      </c>
      <c r="K381" s="69">
        <f t="shared" si="77"/>
        <v>0</v>
      </c>
      <c r="L381" s="69">
        <f t="shared" si="78"/>
        <v>0</v>
      </c>
      <c r="M381" s="69">
        <f t="shared" si="79"/>
        <v>0</v>
      </c>
      <c r="N381" s="69">
        <f t="shared" si="80"/>
        <v>0</v>
      </c>
      <c r="O381" s="70"/>
      <c r="P381" s="79"/>
      <c r="Q381" s="79"/>
      <c r="R381" s="49">
        <f t="shared" si="81"/>
        <v>0</v>
      </c>
      <c r="S381" s="49">
        <f>[1]BASE!A379</f>
        <v>370</v>
      </c>
      <c r="T381" s="69">
        <f t="shared" ref="T381:T444" si="82">SUMIF($C$11:$Q$11,1,C381:Q381)</f>
        <v>0</v>
      </c>
      <c r="U381" s="69">
        <f t="shared" ref="U381:U444" si="83">SUMIF($C$11:$Q$11,2,C381:Q381)</f>
        <v>0</v>
      </c>
      <c r="V381" s="69">
        <f t="shared" ref="V381:V444" si="84">SUMIF($C$11:$Q$11,3,C381:Q381)</f>
        <v>0</v>
      </c>
      <c r="W381" s="69">
        <f t="shared" ref="W381:W444" si="85">SUMIF($C$11:$Q$11,4,C381:Q381)</f>
        <v>0</v>
      </c>
      <c r="X381" s="69">
        <f t="shared" ref="X381:X444" si="86">SUMIF($C$11:$Q$11,5,C381:Q381)</f>
        <v>0</v>
      </c>
    </row>
    <row r="382" spans="1:24" ht="17.25" customHeight="1">
      <c r="A382" s="68" t="str">
        <f>IF(BASE!B380="","",BASE!B380)</f>
        <v/>
      </c>
      <c r="B382" s="49" t="s">
        <v>2</v>
      </c>
      <c r="C382" s="69">
        <f t="shared" si="71"/>
        <v>0</v>
      </c>
      <c r="D382" s="69">
        <f t="shared" si="72"/>
        <v>0</v>
      </c>
      <c r="E382" s="69">
        <f t="shared" si="73"/>
        <v>0</v>
      </c>
      <c r="F382" s="69">
        <f t="shared" si="74"/>
        <v>0</v>
      </c>
      <c r="G382" s="69">
        <f t="shared" si="75"/>
        <v>0</v>
      </c>
      <c r="H382" s="70"/>
      <c r="I382" s="79"/>
      <c r="J382" s="69">
        <f t="shared" si="76"/>
        <v>0</v>
      </c>
      <c r="K382" s="69">
        <f t="shared" si="77"/>
        <v>0</v>
      </c>
      <c r="L382" s="69">
        <f t="shared" si="78"/>
        <v>0</v>
      </c>
      <c r="M382" s="69">
        <f t="shared" si="79"/>
        <v>0</v>
      </c>
      <c r="N382" s="69">
        <f t="shared" si="80"/>
        <v>0</v>
      </c>
      <c r="O382" s="70"/>
      <c r="P382" s="79"/>
      <c r="Q382" s="79"/>
      <c r="R382" s="49">
        <f t="shared" si="81"/>
        <v>0</v>
      </c>
      <c r="S382" s="49">
        <f>[1]BASE!A380</f>
        <v>371</v>
      </c>
      <c r="T382" s="69">
        <f t="shared" si="82"/>
        <v>0</v>
      </c>
      <c r="U382" s="69">
        <f t="shared" si="83"/>
        <v>0</v>
      </c>
      <c r="V382" s="69">
        <f t="shared" si="84"/>
        <v>0</v>
      </c>
      <c r="W382" s="69">
        <f t="shared" si="85"/>
        <v>0</v>
      </c>
      <c r="X382" s="69">
        <f t="shared" si="86"/>
        <v>0</v>
      </c>
    </row>
    <row r="383" spans="1:24" ht="17.25" customHeight="1">
      <c r="A383" s="68" t="str">
        <f>IF(BASE!B381="","",BASE!B381)</f>
        <v/>
      </c>
      <c r="B383" s="49" t="s">
        <v>2</v>
      </c>
      <c r="C383" s="69">
        <f t="shared" si="71"/>
        <v>0</v>
      </c>
      <c r="D383" s="69">
        <f t="shared" si="72"/>
        <v>0</v>
      </c>
      <c r="E383" s="69">
        <f t="shared" si="73"/>
        <v>0</v>
      </c>
      <c r="F383" s="69">
        <f t="shared" si="74"/>
        <v>0</v>
      </c>
      <c r="G383" s="69">
        <f t="shared" si="75"/>
        <v>0</v>
      </c>
      <c r="H383" s="70"/>
      <c r="I383" s="79"/>
      <c r="J383" s="69">
        <f t="shared" si="76"/>
        <v>0</v>
      </c>
      <c r="K383" s="69">
        <f t="shared" si="77"/>
        <v>0</v>
      </c>
      <c r="L383" s="69">
        <f t="shared" si="78"/>
        <v>0</v>
      </c>
      <c r="M383" s="69">
        <f t="shared" si="79"/>
        <v>0</v>
      </c>
      <c r="N383" s="69">
        <f t="shared" si="80"/>
        <v>0</v>
      </c>
      <c r="O383" s="70"/>
      <c r="P383" s="79"/>
      <c r="Q383" s="79"/>
      <c r="R383" s="49">
        <f t="shared" si="81"/>
        <v>0</v>
      </c>
      <c r="S383" s="49">
        <f>[1]BASE!A381</f>
        <v>372</v>
      </c>
      <c r="T383" s="69">
        <f t="shared" si="82"/>
        <v>0</v>
      </c>
      <c r="U383" s="69">
        <f t="shared" si="83"/>
        <v>0</v>
      </c>
      <c r="V383" s="69">
        <f t="shared" si="84"/>
        <v>0</v>
      </c>
      <c r="W383" s="69">
        <f t="shared" si="85"/>
        <v>0</v>
      </c>
      <c r="X383" s="69">
        <f t="shared" si="86"/>
        <v>0</v>
      </c>
    </row>
    <row r="384" spans="1:24" ht="17.25" customHeight="1">
      <c r="A384" s="68" t="str">
        <f>IF(BASE!B382="","",BASE!B382)</f>
        <v/>
      </c>
      <c r="B384" s="49" t="s">
        <v>2</v>
      </c>
      <c r="C384" s="69">
        <f t="shared" si="71"/>
        <v>0</v>
      </c>
      <c r="D384" s="69">
        <f t="shared" si="72"/>
        <v>0</v>
      </c>
      <c r="E384" s="69">
        <f t="shared" si="73"/>
        <v>0</v>
      </c>
      <c r="F384" s="69">
        <f t="shared" si="74"/>
        <v>0</v>
      </c>
      <c r="G384" s="69">
        <f t="shared" si="75"/>
        <v>0</v>
      </c>
      <c r="H384" s="70"/>
      <c r="I384" s="79"/>
      <c r="J384" s="69">
        <f t="shared" si="76"/>
        <v>0</v>
      </c>
      <c r="K384" s="69">
        <f t="shared" si="77"/>
        <v>0</v>
      </c>
      <c r="L384" s="69">
        <f t="shared" si="78"/>
        <v>0</v>
      </c>
      <c r="M384" s="69">
        <f t="shared" si="79"/>
        <v>0</v>
      </c>
      <c r="N384" s="69">
        <f t="shared" si="80"/>
        <v>0</v>
      </c>
      <c r="O384" s="70"/>
      <c r="P384" s="79"/>
      <c r="Q384" s="79"/>
      <c r="R384" s="49">
        <f t="shared" si="81"/>
        <v>0</v>
      </c>
      <c r="S384" s="49">
        <f>[1]BASE!A382</f>
        <v>373</v>
      </c>
      <c r="T384" s="69">
        <f t="shared" si="82"/>
        <v>0</v>
      </c>
      <c r="U384" s="69">
        <f t="shared" si="83"/>
        <v>0</v>
      </c>
      <c r="V384" s="69">
        <f t="shared" si="84"/>
        <v>0</v>
      </c>
      <c r="W384" s="69">
        <f t="shared" si="85"/>
        <v>0</v>
      </c>
      <c r="X384" s="69">
        <f t="shared" si="86"/>
        <v>0</v>
      </c>
    </row>
    <row r="385" spans="1:24" ht="17.25" customHeight="1">
      <c r="A385" s="68" t="str">
        <f>IF(BASE!B383="","",BASE!B383)</f>
        <v/>
      </c>
      <c r="B385" s="49" t="s">
        <v>2</v>
      </c>
      <c r="C385" s="69">
        <f t="shared" si="71"/>
        <v>0</v>
      </c>
      <c r="D385" s="69">
        <f t="shared" si="72"/>
        <v>0</v>
      </c>
      <c r="E385" s="69">
        <f t="shared" si="73"/>
        <v>0</v>
      </c>
      <c r="F385" s="69">
        <f t="shared" si="74"/>
        <v>0</v>
      </c>
      <c r="G385" s="69">
        <f t="shared" si="75"/>
        <v>0</v>
      </c>
      <c r="H385" s="70"/>
      <c r="I385" s="79"/>
      <c r="J385" s="69">
        <f t="shared" si="76"/>
        <v>0</v>
      </c>
      <c r="K385" s="69">
        <f t="shared" si="77"/>
        <v>0</v>
      </c>
      <c r="L385" s="69">
        <f t="shared" si="78"/>
        <v>0</v>
      </c>
      <c r="M385" s="69">
        <f t="shared" si="79"/>
        <v>0</v>
      </c>
      <c r="N385" s="69">
        <f t="shared" si="80"/>
        <v>0</v>
      </c>
      <c r="O385" s="70"/>
      <c r="P385" s="79"/>
      <c r="Q385" s="79"/>
      <c r="R385" s="49">
        <f t="shared" si="81"/>
        <v>0</v>
      </c>
      <c r="S385" s="49">
        <f>[1]BASE!A383</f>
        <v>374</v>
      </c>
      <c r="T385" s="69">
        <f t="shared" si="82"/>
        <v>0</v>
      </c>
      <c r="U385" s="69">
        <f t="shared" si="83"/>
        <v>0</v>
      </c>
      <c r="V385" s="69">
        <f t="shared" si="84"/>
        <v>0</v>
      </c>
      <c r="W385" s="69">
        <f t="shared" si="85"/>
        <v>0</v>
      </c>
      <c r="X385" s="69">
        <f t="shared" si="86"/>
        <v>0</v>
      </c>
    </row>
    <row r="386" spans="1:24" ht="17.25" customHeight="1">
      <c r="A386" s="68" t="str">
        <f>IF(BASE!B384="","",BASE!B384)</f>
        <v/>
      </c>
      <c r="B386" s="49" t="s">
        <v>2</v>
      </c>
      <c r="C386" s="69">
        <f t="shared" si="71"/>
        <v>0</v>
      </c>
      <c r="D386" s="69">
        <f t="shared" si="72"/>
        <v>0</v>
      </c>
      <c r="E386" s="69">
        <f t="shared" si="73"/>
        <v>0</v>
      </c>
      <c r="F386" s="69">
        <f t="shared" si="74"/>
        <v>0</v>
      </c>
      <c r="G386" s="69">
        <f t="shared" si="75"/>
        <v>0</v>
      </c>
      <c r="H386" s="70"/>
      <c r="I386" s="79"/>
      <c r="J386" s="69">
        <f t="shared" si="76"/>
        <v>0</v>
      </c>
      <c r="K386" s="69">
        <f t="shared" si="77"/>
        <v>0</v>
      </c>
      <c r="L386" s="69">
        <f t="shared" si="78"/>
        <v>0</v>
      </c>
      <c r="M386" s="69">
        <f t="shared" si="79"/>
        <v>0</v>
      </c>
      <c r="N386" s="69">
        <f t="shared" si="80"/>
        <v>0</v>
      </c>
      <c r="O386" s="70"/>
      <c r="P386" s="79"/>
      <c r="Q386" s="79"/>
      <c r="R386" s="49">
        <f t="shared" si="81"/>
        <v>0</v>
      </c>
      <c r="S386" s="49">
        <f>[1]BASE!A384</f>
        <v>375</v>
      </c>
      <c r="T386" s="69">
        <f t="shared" si="82"/>
        <v>0</v>
      </c>
      <c r="U386" s="69">
        <f t="shared" si="83"/>
        <v>0</v>
      </c>
      <c r="V386" s="69">
        <f t="shared" si="84"/>
        <v>0</v>
      </c>
      <c r="W386" s="69">
        <f t="shared" si="85"/>
        <v>0</v>
      </c>
      <c r="X386" s="69">
        <f t="shared" si="86"/>
        <v>0</v>
      </c>
    </row>
    <row r="387" spans="1:24" ht="17.25" customHeight="1">
      <c r="A387" s="68" t="str">
        <f>IF(BASE!B385="","",BASE!B385)</f>
        <v/>
      </c>
      <c r="B387" s="49" t="s">
        <v>2</v>
      </c>
      <c r="C387" s="69">
        <f t="shared" si="71"/>
        <v>0</v>
      </c>
      <c r="D387" s="69">
        <f t="shared" si="72"/>
        <v>0</v>
      </c>
      <c r="E387" s="69">
        <f t="shared" si="73"/>
        <v>0</v>
      </c>
      <c r="F387" s="69">
        <f t="shared" si="74"/>
        <v>0</v>
      </c>
      <c r="G387" s="69">
        <f t="shared" si="75"/>
        <v>0</v>
      </c>
      <c r="H387" s="70"/>
      <c r="I387" s="79"/>
      <c r="J387" s="69">
        <f t="shared" si="76"/>
        <v>0</v>
      </c>
      <c r="K387" s="69">
        <f t="shared" si="77"/>
        <v>0</v>
      </c>
      <c r="L387" s="69">
        <f t="shared" si="78"/>
        <v>0</v>
      </c>
      <c r="M387" s="69">
        <f t="shared" si="79"/>
        <v>0</v>
      </c>
      <c r="N387" s="69">
        <f t="shared" si="80"/>
        <v>0</v>
      </c>
      <c r="O387" s="70"/>
      <c r="P387" s="79"/>
      <c r="Q387" s="79"/>
      <c r="R387" s="49">
        <f t="shared" si="81"/>
        <v>0</v>
      </c>
      <c r="S387" s="49">
        <f>[1]BASE!A385</f>
        <v>376</v>
      </c>
      <c r="T387" s="69">
        <f t="shared" si="82"/>
        <v>0</v>
      </c>
      <c r="U387" s="69">
        <f t="shared" si="83"/>
        <v>0</v>
      </c>
      <c r="V387" s="69">
        <f t="shared" si="84"/>
        <v>0</v>
      </c>
      <c r="W387" s="69">
        <f t="shared" si="85"/>
        <v>0</v>
      </c>
      <c r="X387" s="69">
        <f t="shared" si="86"/>
        <v>0</v>
      </c>
    </row>
    <row r="388" spans="1:24" ht="17.25" customHeight="1">
      <c r="A388" s="68" t="str">
        <f>IF(BASE!B386="","",BASE!B386)</f>
        <v/>
      </c>
      <c r="B388" s="49" t="s">
        <v>2</v>
      </c>
      <c r="C388" s="69">
        <f t="shared" si="71"/>
        <v>0</v>
      </c>
      <c r="D388" s="69">
        <f t="shared" si="72"/>
        <v>0</v>
      </c>
      <c r="E388" s="69">
        <f t="shared" si="73"/>
        <v>0</v>
      </c>
      <c r="F388" s="69">
        <f t="shared" si="74"/>
        <v>0</v>
      </c>
      <c r="G388" s="69">
        <f t="shared" si="75"/>
        <v>0</v>
      </c>
      <c r="H388" s="70"/>
      <c r="I388" s="79"/>
      <c r="J388" s="69">
        <f t="shared" si="76"/>
        <v>0</v>
      </c>
      <c r="K388" s="69">
        <f t="shared" si="77"/>
        <v>0</v>
      </c>
      <c r="L388" s="69">
        <f t="shared" si="78"/>
        <v>0</v>
      </c>
      <c r="M388" s="69">
        <f t="shared" si="79"/>
        <v>0</v>
      </c>
      <c r="N388" s="69">
        <f t="shared" si="80"/>
        <v>0</v>
      </c>
      <c r="O388" s="70"/>
      <c r="P388" s="79"/>
      <c r="Q388" s="79"/>
      <c r="R388" s="49">
        <f t="shared" si="81"/>
        <v>0</v>
      </c>
      <c r="S388" s="49">
        <f>[1]BASE!A386</f>
        <v>377</v>
      </c>
      <c r="T388" s="69">
        <f t="shared" si="82"/>
        <v>0</v>
      </c>
      <c r="U388" s="69">
        <f t="shared" si="83"/>
        <v>0</v>
      </c>
      <c r="V388" s="69">
        <f t="shared" si="84"/>
        <v>0</v>
      </c>
      <c r="W388" s="69">
        <f t="shared" si="85"/>
        <v>0</v>
      </c>
      <c r="X388" s="69">
        <f t="shared" si="86"/>
        <v>0</v>
      </c>
    </row>
    <row r="389" spans="1:24" ht="17.25" customHeight="1">
      <c r="A389" s="68" t="str">
        <f>IF(BASE!B387="","",BASE!B387)</f>
        <v/>
      </c>
      <c r="B389" s="49" t="s">
        <v>2</v>
      </c>
      <c r="C389" s="69">
        <f t="shared" si="71"/>
        <v>0</v>
      </c>
      <c r="D389" s="69">
        <f t="shared" si="72"/>
        <v>0</v>
      </c>
      <c r="E389" s="69">
        <f t="shared" si="73"/>
        <v>0</v>
      </c>
      <c r="F389" s="69">
        <f t="shared" si="74"/>
        <v>0</v>
      </c>
      <c r="G389" s="69">
        <f t="shared" si="75"/>
        <v>0</v>
      </c>
      <c r="H389" s="70"/>
      <c r="I389" s="79"/>
      <c r="J389" s="69">
        <f t="shared" si="76"/>
        <v>0</v>
      </c>
      <c r="K389" s="69">
        <f t="shared" si="77"/>
        <v>0</v>
      </c>
      <c r="L389" s="69">
        <f t="shared" si="78"/>
        <v>0</v>
      </c>
      <c r="M389" s="69">
        <f t="shared" si="79"/>
        <v>0</v>
      </c>
      <c r="N389" s="69">
        <f t="shared" si="80"/>
        <v>0</v>
      </c>
      <c r="O389" s="70"/>
      <c r="P389" s="79"/>
      <c r="Q389" s="79"/>
      <c r="R389" s="49">
        <f t="shared" si="81"/>
        <v>0</v>
      </c>
      <c r="S389" s="49">
        <f>[1]BASE!A387</f>
        <v>378</v>
      </c>
      <c r="T389" s="69">
        <f t="shared" si="82"/>
        <v>0</v>
      </c>
      <c r="U389" s="69">
        <f t="shared" si="83"/>
        <v>0</v>
      </c>
      <c r="V389" s="69">
        <f t="shared" si="84"/>
        <v>0</v>
      </c>
      <c r="W389" s="69">
        <f t="shared" si="85"/>
        <v>0</v>
      </c>
      <c r="X389" s="69">
        <f t="shared" si="86"/>
        <v>0</v>
      </c>
    </row>
    <row r="390" spans="1:24" ht="17.25" customHeight="1">
      <c r="A390" s="68" t="str">
        <f>IF(BASE!B388="","",BASE!B388)</f>
        <v/>
      </c>
      <c r="B390" s="49" t="s">
        <v>2</v>
      </c>
      <c r="C390" s="69">
        <f t="shared" si="71"/>
        <v>0</v>
      </c>
      <c r="D390" s="69">
        <f t="shared" si="72"/>
        <v>0</v>
      </c>
      <c r="E390" s="69">
        <f t="shared" si="73"/>
        <v>0</v>
      </c>
      <c r="F390" s="69">
        <f t="shared" si="74"/>
        <v>0</v>
      </c>
      <c r="G390" s="69">
        <f t="shared" si="75"/>
        <v>0</v>
      </c>
      <c r="H390" s="70"/>
      <c r="I390" s="79"/>
      <c r="J390" s="69">
        <f t="shared" si="76"/>
        <v>0</v>
      </c>
      <c r="K390" s="69">
        <f t="shared" si="77"/>
        <v>0</v>
      </c>
      <c r="L390" s="69">
        <f t="shared" si="78"/>
        <v>0</v>
      </c>
      <c r="M390" s="69">
        <f t="shared" si="79"/>
        <v>0</v>
      </c>
      <c r="N390" s="69">
        <f t="shared" si="80"/>
        <v>0</v>
      </c>
      <c r="O390" s="70"/>
      <c r="P390" s="79"/>
      <c r="Q390" s="79"/>
      <c r="R390" s="49">
        <f t="shared" si="81"/>
        <v>0</v>
      </c>
      <c r="S390" s="49">
        <f>[1]BASE!A388</f>
        <v>379</v>
      </c>
      <c r="T390" s="69">
        <f t="shared" si="82"/>
        <v>0</v>
      </c>
      <c r="U390" s="69">
        <f t="shared" si="83"/>
        <v>0</v>
      </c>
      <c r="V390" s="69">
        <f t="shared" si="84"/>
        <v>0</v>
      </c>
      <c r="W390" s="69">
        <f t="shared" si="85"/>
        <v>0</v>
      </c>
      <c r="X390" s="69">
        <f t="shared" si="86"/>
        <v>0</v>
      </c>
    </row>
    <row r="391" spans="1:24" ht="17.25" customHeight="1">
      <c r="A391" s="68" t="str">
        <f>IF(BASE!B389="","",BASE!B389)</f>
        <v/>
      </c>
      <c r="B391" s="49" t="s">
        <v>2</v>
      </c>
      <c r="C391" s="69">
        <f t="shared" si="71"/>
        <v>0</v>
      </c>
      <c r="D391" s="69">
        <f t="shared" si="72"/>
        <v>0</v>
      </c>
      <c r="E391" s="69">
        <f t="shared" si="73"/>
        <v>0</v>
      </c>
      <c r="F391" s="69">
        <f t="shared" si="74"/>
        <v>0</v>
      </c>
      <c r="G391" s="69">
        <f t="shared" si="75"/>
        <v>0</v>
      </c>
      <c r="H391" s="70"/>
      <c r="I391" s="79"/>
      <c r="J391" s="69">
        <f t="shared" si="76"/>
        <v>0</v>
      </c>
      <c r="K391" s="69">
        <f t="shared" si="77"/>
        <v>0</v>
      </c>
      <c r="L391" s="69">
        <f t="shared" si="78"/>
        <v>0</v>
      </c>
      <c r="M391" s="69">
        <f t="shared" si="79"/>
        <v>0</v>
      </c>
      <c r="N391" s="69">
        <f t="shared" si="80"/>
        <v>0</v>
      </c>
      <c r="O391" s="70"/>
      <c r="P391" s="79"/>
      <c r="Q391" s="79"/>
      <c r="R391" s="49">
        <f t="shared" si="81"/>
        <v>0</v>
      </c>
      <c r="S391" s="49">
        <f>[1]BASE!A389</f>
        <v>380</v>
      </c>
      <c r="T391" s="69">
        <f t="shared" si="82"/>
        <v>0</v>
      </c>
      <c r="U391" s="69">
        <f t="shared" si="83"/>
        <v>0</v>
      </c>
      <c r="V391" s="69">
        <f t="shared" si="84"/>
        <v>0</v>
      </c>
      <c r="W391" s="69">
        <f t="shared" si="85"/>
        <v>0</v>
      </c>
      <c r="X391" s="69">
        <f t="shared" si="86"/>
        <v>0</v>
      </c>
    </row>
    <row r="392" spans="1:24" ht="17.25" customHeight="1">
      <c r="A392" s="68" t="str">
        <f>IF(BASE!B390="","",BASE!B390)</f>
        <v/>
      </c>
      <c r="B392" s="49" t="s">
        <v>2</v>
      </c>
      <c r="C392" s="69">
        <f t="shared" si="71"/>
        <v>0</v>
      </c>
      <c r="D392" s="69">
        <f t="shared" si="72"/>
        <v>0</v>
      </c>
      <c r="E392" s="69">
        <f t="shared" si="73"/>
        <v>0</v>
      </c>
      <c r="F392" s="69">
        <f t="shared" si="74"/>
        <v>0</v>
      </c>
      <c r="G392" s="69">
        <f t="shared" si="75"/>
        <v>0</v>
      </c>
      <c r="H392" s="70"/>
      <c r="I392" s="79"/>
      <c r="J392" s="69">
        <f t="shared" si="76"/>
        <v>0</v>
      </c>
      <c r="K392" s="69">
        <f t="shared" si="77"/>
        <v>0</v>
      </c>
      <c r="L392" s="69">
        <f t="shared" si="78"/>
        <v>0</v>
      </c>
      <c r="M392" s="69">
        <f t="shared" si="79"/>
        <v>0</v>
      </c>
      <c r="N392" s="69">
        <f t="shared" si="80"/>
        <v>0</v>
      </c>
      <c r="O392" s="70"/>
      <c r="P392" s="79"/>
      <c r="Q392" s="79"/>
      <c r="R392" s="49">
        <f t="shared" si="81"/>
        <v>0</v>
      </c>
      <c r="S392" s="49">
        <f>[1]BASE!A390</f>
        <v>381</v>
      </c>
      <c r="T392" s="69">
        <f t="shared" si="82"/>
        <v>0</v>
      </c>
      <c r="U392" s="69">
        <f t="shared" si="83"/>
        <v>0</v>
      </c>
      <c r="V392" s="69">
        <f t="shared" si="84"/>
        <v>0</v>
      </c>
      <c r="W392" s="69">
        <f t="shared" si="85"/>
        <v>0</v>
      </c>
      <c r="X392" s="69">
        <f t="shared" si="86"/>
        <v>0</v>
      </c>
    </row>
    <row r="393" spans="1:24" ht="17.25" customHeight="1">
      <c r="A393" s="68" t="str">
        <f>IF(BASE!B391="","",BASE!B391)</f>
        <v/>
      </c>
      <c r="B393" s="49" t="s">
        <v>2</v>
      </c>
      <c r="C393" s="69">
        <f t="shared" si="71"/>
        <v>0</v>
      </c>
      <c r="D393" s="69">
        <f t="shared" si="72"/>
        <v>0</v>
      </c>
      <c r="E393" s="69">
        <f t="shared" si="73"/>
        <v>0</v>
      </c>
      <c r="F393" s="69">
        <f t="shared" si="74"/>
        <v>0</v>
      </c>
      <c r="G393" s="69">
        <f t="shared" si="75"/>
        <v>0</v>
      </c>
      <c r="H393" s="70"/>
      <c r="I393" s="79"/>
      <c r="J393" s="69">
        <f t="shared" si="76"/>
        <v>0</v>
      </c>
      <c r="K393" s="69">
        <f t="shared" si="77"/>
        <v>0</v>
      </c>
      <c r="L393" s="69">
        <f t="shared" si="78"/>
        <v>0</v>
      </c>
      <c r="M393" s="69">
        <f t="shared" si="79"/>
        <v>0</v>
      </c>
      <c r="N393" s="69">
        <f t="shared" si="80"/>
        <v>0</v>
      </c>
      <c r="O393" s="70"/>
      <c r="P393" s="79"/>
      <c r="Q393" s="79"/>
      <c r="R393" s="49">
        <f t="shared" si="81"/>
        <v>0</v>
      </c>
      <c r="S393" s="49">
        <f>[1]BASE!A391</f>
        <v>382</v>
      </c>
      <c r="T393" s="69">
        <f t="shared" si="82"/>
        <v>0</v>
      </c>
      <c r="U393" s="69">
        <f t="shared" si="83"/>
        <v>0</v>
      </c>
      <c r="V393" s="69">
        <f t="shared" si="84"/>
        <v>0</v>
      </c>
      <c r="W393" s="69">
        <f t="shared" si="85"/>
        <v>0</v>
      </c>
      <c r="X393" s="69">
        <f t="shared" si="86"/>
        <v>0</v>
      </c>
    </row>
    <row r="394" spans="1:24" ht="17.25" customHeight="1">
      <c r="A394" s="68" t="str">
        <f>IF(BASE!B392="","",BASE!B392)</f>
        <v/>
      </c>
      <c r="B394" s="49" t="s">
        <v>2</v>
      </c>
      <c r="C394" s="69">
        <f t="shared" si="71"/>
        <v>0</v>
      </c>
      <c r="D394" s="69">
        <f t="shared" si="72"/>
        <v>0</v>
      </c>
      <c r="E394" s="69">
        <f t="shared" si="73"/>
        <v>0</v>
      </c>
      <c r="F394" s="69">
        <f t="shared" si="74"/>
        <v>0</v>
      </c>
      <c r="G394" s="69">
        <f t="shared" si="75"/>
        <v>0</v>
      </c>
      <c r="H394" s="70"/>
      <c r="I394" s="79"/>
      <c r="J394" s="69">
        <f t="shared" si="76"/>
        <v>0</v>
      </c>
      <c r="K394" s="69">
        <f t="shared" si="77"/>
        <v>0</v>
      </c>
      <c r="L394" s="69">
        <f t="shared" si="78"/>
        <v>0</v>
      </c>
      <c r="M394" s="69">
        <f t="shared" si="79"/>
        <v>0</v>
      </c>
      <c r="N394" s="69">
        <f t="shared" si="80"/>
        <v>0</v>
      </c>
      <c r="O394" s="70"/>
      <c r="P394" s="79"/>
      <c r="Q394" s="79"/>
      <c r="R394" s="49">
        <f t="shared" si="81"/>
        <v>0</v>
      </c>
      <c r="S394" s="49">
        <f>[1]BASE!A392</f>
        <v>383</v>
      </c>
      <c r="T394" s="69">
        <f t="shared" si="82"/>
        <v>0</v>
      </c>
      <c r="U394" s="69">
        <f t="shared" si="83"/>
        <v>0</v>
      </c>
      <c r="V394" s="69">
        <f t="shared" si="84"/>
        <v>0</v>
      </c>
      <c r="W394" s="69">
        <f t="shared" si="85"/>
        <v>0</v>
      </c>
      <c r="X394" s="69">
        <f t="shared" si="86"/>
        <v>0</v>
      </c>
    </row>
    <row r="395" spans="1:24" ht="17.25" customHeight="1">
      <c r="A395" s="68" t="str">
        <f>IF(BASE!B393="","",BASE!B393)</f>
        <v/>
      </c>
      <c r="B395" s="49" t="s">
        <v>2</v>
      </c>
      <c r="C395" s="69">
        <f t="shared" si="71"/>
        <v>0</v>
      </c>
      <c r="D395" s="69">
        <f t="shared" si="72"/>
        <v>0</v>
      </c>
      <c r="E395" s="69">
        <f t="shared" si="73"/>
        <v>0</v>
      </c>
      <c r="F395" s="69">
        <f t="shared" si="74"/>
        <v>0</v>
      </c>
      <c r="G395" s="69">
        <f t="shared" si="75"/>
        <v>0</v>
      </c>
      <c r="H395" s="70"/>
      <c r="I395" s="79"/>
      <c r="J395" s="69">
        <f t="shared" si="76"/>
        <v>0</v>
      </c>
      <c r="K395" s="69">
        <f t="shared" si="77"/>
        <v>0</v>
      </c>
      <c r="L395" s="69">
        <f t="shared" si="78"/>
        <v>0</v>
      </c>
      <c r="M395" s="69">
        <f t="shared" si="79"/>
        <v>0</v>
      </c>
      <c r="N395" s="69">
        <f t="shared" si="80"/>
        <v>0</v>
      </c>
      <c r="O395" s="70"/>
      <c r="P395" s="79"/>
      <c r="Q395" s="79"/>
      <c r="R395" s="49">
        <f t="shared" si="81"/>
        <v>0</v>
      </c>
      <c r="S395" s="49">
        <f>[1]BASE!A393</f>
        <v>384</v>
      </c>
      <c r="T395" s="69">
        <f t="shared" si="82"/>
        <v>0</v>
      </c>
      <c r="U395" s="69">
        <f t="shared" si="83"/>
        <v>0</v>
      </c>
      <c r="V395" s="69">
        <f t="shared" si="84"/>
        <v>0</v>
      </c>
      <c r="W395" s="69">
        <f t="shared" si="85"/>
        <v>0</v>
      </c>
      <c r="X395" s="69">
        <f t="shared" si="86"/>
        <v>0</v>
      </c>
    </row>
    <row r="396" spans="1:24" ht="17.25" customHeight="1">
      <c r="A396" s="68" t="str">
        <f>IF(BASE!B394="","",BASE!B394)</f>
        <v/>
      </c>
      <c r="B396" s="49" t="s">
        <v>2</v>
      </c>
      <c r="C396" s="69">
        <f t="shared" si="71"/>
        <v>0</v>
      </c>
      <c r="D396" s="69">
        <f t="shared" si="72"/>
        <v>0</v>
      </c>
      <c r="E396" s="69">
        <f t="shared" si="73"/>
        <v>0</v>
      </c>
      <c r="F396" s="69">
        <f t="shared" si="74"/>
        <v>0</v>
      </c>
      <c r="G396" s="69">
        <f t="shared" si="75"/>
        <v>0</v>
      </c>
      <c r="H396" s="70"/>
      <c r="I396" s="79"/>
      <c r="J396" s="69">
        <f t="shared" si="76"/>
        <v>0</v>
      </c>
      <c r="K396" s="69">
        <f t="shared" si="77"/>
        <v>0</v>
      </c>
      <c r="L396" s="69">
        <f t="shared" si="78"/>
        <v>0</v>
      </c>
      <c r="M396" s="69">
        <f t="shared" si="79"/>
        <v>0</v>
      </c>
      <c r="N396" s="69">
        <f t="shared" si="80"/>
        <v>0</v>
      </c>
      <c r="O396" s="70"/>
      <c r="P396" s="79"/>
      <c r="Q396" s="79"/>
      <c r="R396" s="49">
        <f t="shared" si="81"/>
        <v>0</v>
      </c>
      <c r="S396" s="49">
        <f>[1]BASE!A394</f>
        <v>385</v>
      </c>
      <c r="T396" s="69">
        <f t="shared" si="82"/>
        <v>0</v>
      </c>
      <c r="U396" s="69">
        <f t="shared" si="83"/>
        <v>0</v>
      </c>
      <c r="V396" s="69">
        <f t="shared" si="84"/>
        <v>0</v>
      </c>
      <c r="W396" s="69">
        <f t="shared" si="85"/>
        <v>0</v>
      </c>
      <c r="X396" s="69">
        <f t="shared" si="86"/>
        <v>0</v>
      </c>
    </row>
    <row r="397" spans="1:24" ht="17.25" customHeight="1">
      <c r="A397" s="68" t="str">
        <f>IF(BASE!B395="","",BASE!B395)</f>
        <v/>
      </c>
      <c r="B397" s="49" t="s">
        <v>2</v>
      </c>
      <c r="C397" s="69">
        <f t="shared" ref="C397:C460" si="87">(H397/5)</f>
        <v>0</v>
      </c>
      <c r="D397" s="69">
        <f t="shared" ref="D397:D460" si="88">(H397/5)</f>
        <v>0</v>
      </c>
      <c r="E397" s="69">
        <f t="shared" ref="E397:E460" si="89">(H397/5)</f>
        <v>0</v>
      </c>
      <c r="F397" s="69">
        <f t="shared" ref="F397:F460" si="90">(H397/5)</f>
        <v>0</v>
      </c>
      <c r="G397" s="69">
        <f t="shared" ref="G397:G460" si="91">(H397/5)</f>
        <v>0</v>
      </c>
      <c r="H397" s="70"/>
      <c r="I397" s="79"/>
      <c r="J397" s="69">
        <f t="shared" ref="J397:J460" si="92">(O397/5)</f>
        <v>0</v>
      </c>
      <c r="K397" s="69">
        <f t="shared" ref="K397:K460" si="93">(O397/5)</f>
        <v>0</v>
      </c>
      <c r="L397" s="69">
        <f t="shared" ref="L397:L460" si="94">(O397/5)</f>
        <v>0</v>
      </c>
      <c r="M397" s="69">
        <f t="shared" ref="M397:M460" si="95">(O397/5)</f>
        <v>0</v>
      </c>
      <c r="N397" s="69">
        <f t="shared" ref="N397:N460" si="96">(O397/5)</f>
        <v>0</v>
      </c>
      <c r="O397" s="70"/>
      <c r="P397" s="79"/>
      <c r="Q397" s="79"/>
      <c r="R397" s="49">
        <f t="shared" ref="R397:R460" si="97">SUM(H397,O397)</f>
        <v>0</v>
      </c>
      <c r="S397" s="49">
        <f>[1]BASE!A395</f>
        <v>386</v>
      </c>
      <c r="T397" s="69">
        <f t="shared" si="82"/>
        <v>0</v>
      </c>
      <c r="U397" s="69">
        <f t="shared" si="83"/>
        <v>0</v>
      </c>
      <c r="V397" s="69">
        <f t="shared" si="84"/>
        <v>0</v>
      </c>
      <c r="W397" s="69">
        <f t="shared" si="85"/>
        <v>0</v>
      </c>
      <c r="X397" s="69">
        <f t="shared" si="86"/>
        <v>0</v>
      </c>
    </row>
    <row r="398" spans="1:24" ht="17.25" customHeight="1">
      <c r="A398" s="68" t="str">
        <f>IF(BASE!B396="","",BASE!B396)</f>
        <v/>
      </c>
      <c r="B398" s="49" t="s">
        <v>2</v>
      </c>
      <c r="C398" s="69">
        <f t="shared" si="87"/>
        <v>0</v>
      </c>
      <c r="D398" s="69">
        <f t="shared" si="88"/>
        <v>0</v>
      </c>
      <c r="E398" s="69">
        <f t="shared" si="89"/>
        <v>0</v>
      </c>
      <c r="F398" s="69">
        <f t="shared" si="90"/>
        <v>0</v>
      </c>
      <c r="G398" s="69">
        <f t="shared" si="91"/>
        <v>0</v>
      </c>
      <c r="H398" s="70"/>
      <c r="I398" s="79"/>
      <c r="J398" s="69">
        <f t="shared" si="92"/>
        <v>0</v>
      </c>
      <c r="K398" s="69">
        <f t="shared" si="93"/>
        <v>0</v>
      </c>
      <c r="L398" s="69">
        <f t="shared" si="94"/>
        <v>0</v>
      </c>
      <c r="M398" s="69">
        <f t="shared" si="95"/>
        <v>0</v>
      </c>
      <c r="N398" s="69">
        <f t="shared" si="96"/>
        <v>0</v>
      </c>
      <c r="O398" s="70"/>
      <c r="P398" s="79"/>
      <c r="Q398" s="79"/>
      <c r="R398" s="49">
        <f t="shared" si="97"/>
        <v>0</v>
      </c>
      <c r="S398" s="49">
        <f>[1]BASE!A396</f>
        <v>387</v>
      </c>
      <c r="T398" s="69">
        <f t="shared" si="82"/>
        <v>0</v>
      </c>
      <c r="U398" s="69">
        <f t="shared" si="83"/>
        <v>0</v>
      </c>
      <c r="V398" s="69">
        <f t="shared" si="84"/>
        <v>0</v>
      </c>
      <c r="W398" s="69">
        <f t="shared" si="85"/>
        <v>0</v>
      </c>
      <c r="X398" s="69">
        <f t="shared" si="86"/>
        <v>0</v>
      </c>
    </row>
    <row r="399" spans="1:24" ht="17.25" customHeight="1">
      <c r="A399" s="68" t="str">
        <f>IF(BASE!B397="","",BASE!B397)</f>
        <v/>
      </c>
      <c r="B399" s="49" t="s">
        <v>2</v>
      </c>
      <c r="C399" s="69">
        <f t="shared" si="87"/>
        <v>0</v>
      </c>
      <c r="D399" s="69">
        <f t="shared" si="88"/>
        <v>0</v>
      </c>
      <c r="E399" s="69">
        <f t="shared" si="89"/>
        <v>0</v>
      </c>
      <c r="F399" s="69">
        <f t="shared" si="90"/>
        <v>0</v>
      </c>
      <c r="G399" s="69">
        <f t="shared" si="91"/>
        <v>0</v>
      </c>
      <c r="H399" s="70"/>
      <c r="I399" s="79"/>
      <c r="J399" s="69">
        <f t="shared" si="92"/>
        <v>0</v>
      </c>
      <c r="K399" s="69">
        <f t="shared" si="93"/>
        <v>0</v>
      </c>
      <c r="L399" s="69">
        <f t="shared" si="94"/>
        <v>0</v>
      </c>
      <c r="M399" s="69">
        <f t="shared" si="95"/>
        <v>0</v>
      </c>
      <c r="N399" s="69">
        <f t="shared" si="96"/>
        <v>0</v>
      </c>
      <c r="O399" s="70"/>
      <c r="P399" s="79"/>
      <c r="Q399" s="79"/>
      <c r="R399" s="49">
        <f t="shared" si="97"/>
        <v>0</v>
      </c>
      <c r="S399" s="49">
        <f>[1]BASE!A397</f>
        <v>388</v>
      </c>
      <c r="T399" s="69">
        <f t="shared" si="82"/>
        <v>0</v>
      </c>
      <c r="U399" s="69">
        <f t="shared" si="83"/>
        <v>0</v>
      </c>
      <c r="V399" s="69">
        <f t="shared" si="84"/>
        <v>0</v>
      </c>
      <c r="W399" s="69">
        <f t="shared" si="85"/>
        <v>0</v>
      </c>
      <c r="X399" s="69">
        <f t="shared" si="86"/>
        <v>0</v>
      </c>
    </row>
    <row r="400" spans="1:24" ht="17.25" customHeight="1">
      <c r="A400" s="68" t="str">
        <f>IF(BASE!B398="","",BASE!B398)</f>
        <v/>
      </c>
      <c r="B400" s="49" t="s">
        <v>2</v>
      </c>
      <c r="C400" s="69">
        <f t="shared" si="87"/>
        <v>0</v>
      </c>
      <c r="D400" s="69">
        <f t="shared" si="88"/>
        <v>0</v>
      </c>
      <c r="E400" s="69">
        <f t="shared" si="89"/>
        <v>0</v>
      </c>
      <c r="F400" s="69">
        <f t="shared" si="90"/>
        <v>0</v>
      </c>
      <c r="G400" s="69">
        <f t="shared" si="91"/>
        <v>0</v>
      </c>
      <c r="H400" s="70"/>
      <c r="I400" s="79"/>
      <c r="J400" s="69">
        <f t="shared" si="92"/>
        <v>0</v>
      </c>
      <c r="K400" s="69">
        <f t="shared" si="93"/>
        <v>0</v>
      </c>
      <c r="L400" s="69">
        <f t="shared" si="94"/>
        <v>0</v>
      </c>
      <c r="M400" s="69">
        <f t="shared" si="95"/>
        <v>0</v>
      </c>
      <c r="N400" s="69">
        <f t="shared" si="96"/>
        <v>0</v>
      </c>
      <c r="O400" s="70"/>
      <c r="P400" s="79"/>
      <c r="Q400" s="79"/>
      <c r="R400" s="49">
        <f t="shared" si="97"/>
        <v>0</v>
      </c>
      <c r="S400" s="49">
        <f>[1]BASE!A398</f>
        <v>389</v>
      </c>
      <c r="T400" s="69">
        <f t="shared" si="82"/>
        <v>0</v>
      </c>
      <c r="U400" s="69">
        <f t="shared" si="83"/>
        <v>0</v>
      </c>
      <c r="V400" s="69">
        <f t="shared" si="84"/>
        <v>0</v>
      </c>
      <c r="W400" s="69">
        <f t="shared" si="85"/>
        <v>0</v>
      </c>
      <c r="X400" s="69">
        <f t="shared" si="86"/>
        <v>0</v>
      </c>
    </row>
    <row r="401" spans="1:24" ht="17.25" customHeight="1">
      <c r="A401" s="68" t="str">
        <f>IF(BASE!B399="","",BASE!B399)</f>
        <v/>
      </c>
      <c r="B401" s="49" t="s">
        <v>2</v>
      </c>
      <c r="C401" s="69">
        <f t="shared" si="87"/>
        <v>0</v>
      </c>
      <c r="D401" s="69">
        <f t="shared" si="88"/>
        <v>0</v>
      </c>
      <c r="E401" s="69">
        <f t="shared" si="89"/>
        <v>0</v>
      </c>
      <c r="F401" s="69">
        <f t="shared" si="90"/>
        <v>0</v>
      </c>
      <c r="G401" s="69">
        <f t="shared" si="91"/>
        <v>0</v>
      </c>
      <c r="H401" s="70"/>
      <c r="I401" s="79"/>
      <c r="J401" s="69">
        <f t="shared" si="92"/>
        <v>0</v>
      </c>
      <c r="K401" s="69">
        <f t="shared" si="93"/>
        <v>0</v>
      </c>
      <c r="L401" s="69">
        <f t="shared" si="94"/>
        <v>0</v>
      </c>
      <c r="M401" s="69">
        <f t="shared" si="95"/>
        <v>0</v>
      </c>
      <c r="N401" s="69">
        <f t="shared" si="96"/>
        <v>0</v>
      </c>
      <c r="O401" s="70"/>
      <c r="P401" s="79"/>
      <c r="Q401" s="79"/>
      <c r="R401" s="49">
        <f t="shared" si="97"/>
        <v>0</v>
      </c>
      <c r="S401" s="49">
        <f>[1]BASE!A399</f>
        <v>390</v>
      </c>
      <c r="T401" s="69">
        <f t="shared" si="82"/>
        <v>0</v>
      </c>
      <c r="U401" s="69">
        <f t="shared" si="83"/>
        <v>0</v>
      </c>
      <c r="V401" s="69">
        <f t="shared" si="84"/>
        <v>0</v>
      </c>
      <c r="W401" s="69">
        <f t="shared" si="85"/>
        <v>0</v>
      </c>
      <c r="X401" s="69">
        <f t="shared" si="86"/>
        <v>0</v>
      </c>
    </row>
    <row r="402" spans="1:24" ht="17.25" customHeight="1">
      <c r="A402" s="68" t="str">
        <f>IF(BASE!B400="","",BASE!B400)</f>
        <v/>
      </c>
      <c r="B402" s="49" t="s">
        <v>2</v>
      </c>
      <c r="C402" s="69">
        <f t="shared" si="87"/>
        <v>0</v>
      </c>
      <c r="D402" s="69">
        <f t="shared" si="88"/>
        <v>0</v>
      </c>
      <c r="E402" s="69">
        <f t="shared" si="89"/>
        <v>0</v>
      </c>
      <c r="F402" s="69">
        <f t="shared" si="90"/>
        <v>0</v>
      </c>
      <c r="G402" s="69">
        <f t="shared" si="91"/>
        <v>0</v>
      </c>
      <c r="H402" s="70"/>
      <c r="I402" s="79"/>
      <c r="J402" s="69">
        <f t="shared" si="92"/>
        <v>0</v>
      </c>
      <c r="K402" s="69">
        <f t="shared" si="93"/>
        <v>0</v>
      </c>
      <c r="L402" s="69">
        <f t="shared" si="94"/>
        <v>0</v>
      </c>
      <c r="M402" s="69">
        <f t="shared" si="95"/>
        <v>0</v>
      </c>
      <c r="N402" s="69">
        <f t="shared" si="96"/>
        <v>0</v>
      </c>
      <c r="O402" s="70"/>
      <c r="P402" s="79"/>
      <c r="Q402" s="79"/>
      <c r="R402" s="49">
        <f t="shared" si="97"/>
        <v>0</v>
      </c>
      <c r="S402" s="49">
        <f>[1]BASE!A400</f>
        <v>391</v>
      </c>
      <c r="T402" s="69">
        <f t="shared" si="82"/>
        <v>0</v>
      </c>
      <c r="U402" s="69">
        <f t="shared" si="83"/>
        <v>0</v>
      </c>
      <c r="V402" s="69">
        <f t="shared" si="84"/>
        <v>0</v>
      </c>
      <c r="W402" s="69">
        <f t="shared" si="85"/>
        <v>0</v>
      </c>
      <c r="X402" s="69">
        <f t="shared" si="86"/>
        <v>0</v>
      </c>
    </row>
    <row r="403" spans="1:24" ht="17.25" customHeight="1">
      <c r="A403" s="68" t="str">
        <f>IF(BASE!B401="","",BASE!B401)</f>
        <v/>
      </c>
      <c r="B403" s="49" t="s">
        <v>2</v>
      </c>
      <c r="C403" s="69">
        <f t="shared" si="87"/>
        <v>0</v>
      </c>
      <c r="D403" s="69">
        <f t="shared" si="88"/>
        <v>0</v>
      </c>
      <c r="E403" s="69">
        <f t="shared" si="89"/>
        <v>0</v>
      </c>
      <c r="F403" s="69">
        <f t="shared" si="90"/>
        <v>0</v>
      </c>
      <c r="G403" s="69">
        <f t="shared" si="91"/>
        <v>0</v>
      </c>
      <c r="H403" s="70"/>
      <c r="I403" s="79"/>
      <c r="J403" s="69">
        <f t="shared" si="92"/>
        <v>0</v>
      </c>
      <c r="K403" s="69">
        <f t="shared" si="93"/>
        <v>0</v>
      </c>
      <c r="L403" s="69">
        <f t="shared" si="94"/>
        <v>0</v>
      </c>
      <c r="M403" s="69">
        <f t="shared" si="95"/>
        <v>0</v>
      </c>
      <c r="N403" s="69">
        <f t="shared" si="96"/>
        <v>0</v>
      </c>
      <c r="O403" s="70"/>
      <c r="P403" s="79"/>
      <c r="Q403" s="79"/>
      <c r="R403" s="49">
        <f t="shared" si="97"/>
        <v>0</v>
      </c>
      <c r="S403" s="49">
        <f>[1]BASE!A401</f>
        <v>392</v>
      </c>
      <c r="T403" s="69">
        <f t="shared" si="82"/>
        <v>0</v>
      </c>
      <c r="U403" s="69">
        <f t="shared" si="83"/>
        <v>0</v>
      </c>
      <c r="V403" s="69">
        <f t="shared" si="84"/>
        <v>0</v>
      </c>
      <c r="W403" s="69">
        <f t="shared" si="85"/>
        <v>0</v>
      </c>
      <c r="X403" s="69">
        <f t="shared" si="86"/>
        <v>0</v>
      </c>
    </row>
    <row r="404" spans="1:24" ht="17.25" customHeight="1">
      <c r="A404" s="68" t="str">
        <f>IF(BASE!B402="","",BASE!B402)</f>
        <v/>
      </c>
      <c r="B404" s="49" t="s">
        <v>2</v>
      </c>
      <c r="C404" s="69">
        <f t="shared" si="87"/>
        <v>0</v>
      </c>
      <c r="D404" s="69">
        <f t="shared" si="88"/>
        <v>0</v>
      </c>
      <c r="E404" s="69">
        <f t="shared" si="89"/>
        <v>0</v>
      </c>
      <c r="F404" s="69">
        <f t="shared" si="90"/>
        <v>0</v>
      </c>
      <c r="G404" s="69">
        <f t="shared" si="91"/>
        <v>0</v>
      </c>
      <c r="H404" s="70"/>
      <c r="I404" s="79"/>
      <c r="J404" s="69">
        <f t="shared" si="92"/>
        <v>0</v>
      </c>
      <c r="K404" s="69">
        <f t="shared" si="93"/>
        <v>0</v>
      </c>
      <c r="L404" s="69">
        <f t="shared" si="94"/>
        <v>0</v>
      </c>
      <c r="M404" s="69">
        <f t="shared" si="95"/>
        <v>0</v>
      </c>
      <c r="N404" s="69">
        <f t="shared" si="96"/>
        <v>0</v>
      </c>
      <c r="O404" s="70"/>
      <c r="P404" s="79"/>
      <c r="Q404" s="79"/>
      <c r="R404" s="49">
        <f t="shared" si="97"/>
        <v>0</v>
      </c>
      <c r="S404" s="49">
        <f>[1]BASE!A402</f>
        <v>393</v>
      </c>
      <c r="T404" s="69">
        <f t="shared" si="82"/>
        <v>0</v>
      </c>
      <c r="U404" s="69">
        <f t="shared" si="83"/>
        <v>0</v>
      </c>
      <c r="V404" s="69">
        <f t="shared" si="84"/>
        <v>0</v>
      </c>
      <c r="W404" s="69">
        <f t="shared" si="85"/>
        <v>0</v>
      </c>
      <c r="X404" s="69">
        <f t="shared" si="86"/>
        <v>0</v>
      </c>
    </row>
    <row r="405" spans="1:24" ht="17.25" customHeight="1">
      <c r="A405" s="68" t="str">
        <f>IF(BASE!B403="","",BASE!B403)</f>
        <v/>
      </c>
      <c r="B405" s="49" t="s">
        <v>2</v>
      </c>
      <c r="C405" s="69">
        <f t="shared" si="87"/>
        <v>0</v>
      </c>
      <c r="D405" s="69">
        <f t="shared" si="88"/>
        <v>0</v>
      </c>
      <c r="E405" s="69">
        <f t="shared" si="89"/>
        <v>0</v>
      </c>
      <c r="F405" s="69">
        <f t="shared" si="90"/>
        <v>0</v>
      </c>
      <c r="G405" s="69">
        <f t="shared" si="91"/>
        <v>0</v>
      </c>
      <c r="H405" s="70"/>
      <c r="I405" s="79"/>
      <c r="J405" s="69">
        <f t="shared" si="92"/>
        <v>0</v>
      </c>
      <c r="K405" s="69">
        <f t="shared" si="93"/>
        <v>0</v>
      </c>
      <c r="L405" s="69">
        <f t="shared" si="94"/>
        <v>0</v>
      </c>
      <c r="M405" s="69">
        <f t="shared" si="95"/>
        <v>0</v>
      </c>
      <c r="N405" s="69">
        <f t="shared" si="96"/>
        <v>0</v>
      </c>
      <c r="O405" s="70"/>
      <c r="P405" s="79"/>
      <c r="Q405" s="79"/>
      <c r="R405" s="49">
        <f t="shared" si="97"/>
        <v>0</v>
      </c>
      <c r="S405" s="49">
        <f>[1]BASE!A403</f>
        <v>394</v>
      </c>
      <c r="T405" s="69">
        <f t="shared" si="82"/>
        <v>0</v>
      </c>
      <c r="U405" s="69">
        <f t="shared" si="83"/>
        <v>0</v>
      </c>
      <c r="V405" s="69">
        <f t="shared" si="84"/>
        <v>0</v>
      </c>
      <c r="W405" s="69">
        <f t="shared" si="85"/>
        <v>0</v>
      </c>
      <c r="X405" s="69">
        <f t="shared" si="86"/>
        <v>0</v>
      </c>
    </row>
    <row r="406" spans="1:24" ht="17.25" customHeight="1">
      <c r="A406" s="68" t="str">
        <f>IF(BASE!B404="","",BASE!B404)</f>
        <v/>
      </c>
      <c r="B406" s="49" t="s">
        <v>2</v>
      </c>
      <c r="C406" s="69">
        <f t="shared" si="87"/>
        <v>0</v>
      </c>
      <c r="D406" s="69">
        <f t="shared" si="88"/>
        <v>0</v>
      </c>
      <c r="E406" s="69">
        <f t="shared" si="89"/>
        <v>0</v>
      </c>
      <c r="F406" s="69">
        <f t="shared" si="90"/>
        <v>0</v>
      </c>
      <c r="G406" s="69">
        <f t="shared" si="91"/>
        <v>0</v>
      </c>
      <c r="H406" s="70"/>
      <c r="I406" s="79"/>
      <c r="J406" s="69">
        <f t="shared" si="92"/>
        <v>0</v>
      </c>
      <c r="K406" s="69">
        <f t="shared" si="93"/>
        <v>0</v>
      </c>
      <c r="L406" s="69">
        <f t="shared" si="94"/>
        <v>0</v>
      </c>
      <c r="M406" s="69">
        <f t="shared" si="95"/>
        <v>0</v>
      </c>
      <c r="N406" s="69">
        <f t="shared" si="96"/>
        <v>0</v>
      </c>
      <c r="O406" s="70"/>
      <c r="P406" s="79"/>
      <c r="Q406" s="79"/>
      <c r="R406" s="49">
        <f t="shared" si="97"/>
        <v>0</v>
      </c>
      <c r="S406" s="49">
        <f>[1]BASE!A404</f>
        <v>395</v>
      </c>
      <c r="T406" s="69">
        <f t="shared" si="82"/>
        <v>0</v>
      </c>
      <c r="U406" s="69">
        <f t="shared" si="83"/>
        <v>0</v>
      </c>
      <c r="V406" s="69">
        <f t="shared" si="84"/>
        <v>0</v>
      </c>
      <c r="W406" s="69">
        <f t="shared" si="85"/>
        <v>0</v>
      </c>
      <c r="X406" s="69">
        <f t="shared" si="86"/>
        <v>0</v>
      </c>
    </row>
    <row r="407" spans="1:24" ht="17.25" customHeight="1">
      <c r="A407" s="68" t="str">
        <f>IF(BASE!B405="","",BASE!B405)</f>
        <v/>
      </c>
      <c r="B407" s="49" t="s">
        <v>2</v>
      </c>
      <c r="C407" s="69">
        <f t="shared" si="87"/>
        <v>0</v>
      </c>
      <c r="D407" s="69">
        <f t="shared" si="88"/>
        <v>0</v>
      </c>
      <c r="E407" s="69">
        <f t="shared" si="89"/>
        <v>0</v>
      </c>
      <c r="F407" s="69">
        <f t="shared" si="90"/>
        <v>0</v>
      </c>
      <c r="G407" s="69">
        <f t="shared" si="91"/>
        <v>0</v>
      </c>
      <c r="H407" s="70"/>
      <c r="I407" s="79"/>
      <c r="J407" s="69">
        <f t="shared" si="92"/>
        <v>0</v>
      </c>
      <c r="K407" s="69">
        <f t="shared" si="93"/>
        <v>0</v>
      </c>
      <c r="L407" s="69">
        <f t="shared" si="94"/>
        <v>0</v>
      </c>
      <c r="M407" s="69">
        <f t="shared" si="95"/>
        <v>0</v>
      </c>
      <c r="N407" s="69">
        <f t="shared" si="96"/>
        <v>0</v>
      </c>
      <c r="O407" s="70"/>
      <c r="P407" s="79"/>
      <c r="Q407" s="79"/>
      <c r="R407" s="49">
        <f t="shared" si="97"/>
        <v>0</v>
      </c>
      <c r="S407" s="49">
        <f>[1]BASE!A405</f>
        <v>396</v>
      </c>
      <c r="T407" s="69">
        <f t="shared" si="82"/>
        <v>0</v>
      </c>
      <c r="U407" s="69">
        <f t="shared" si="83"/>
        <v>0</v>
      </c>
      <c r="V407" s="69">
        <f t="shared" si="84"/>
        <v>0</v>
      </c>
      <c r="W407" s="69">
        <f t="shared" si="85"/>
        <v>0</v>
      </c>
      <c r="X407" s="69">
        <f t="shared" si="86"/>
        <v>0</v>
      </c>
    </row>
    <row r="408" spans="1:24" ht="17.25" customHeight="1">
      <c r="A408" s="68" t="str">
        <f>IF(BASE!B406="","",BASE!B406)</f>
        <v/>
      </c>
      <c r="B408" s="49" t="s">
        <v>2</v>
      </c>
      <c r="C408" s="69">
        <f t="shared" si="87"/>
        <v>0</v>
      </c>
      <c r="D408" s="69">
        <f t="shared" si="88"/>
        <v>0</v>
      </c>
      <c r="E408" s="69">
        <f t="shared" si="89"/>
        <v>0</v>
      </c>
      <c r="F408" s="69">
        <f t="shared" si="90"/>
        <v>0</v>
      </c>
      <c r="G408" s="69">
        <f t="shared" si="91"/>
        <v>0</v>
      </c>
      <c r="H408" s="70"/>
      <c r="I408" s="79"/>
      <c r="J408" s="69">
        <f t="shared" si="92"/>
        <v>0</v>
      </c>
      <c r="K408" s="69">
        <f t="shared" si="93"/>
        <v>0</v>
      </c>
      <c r="L408" s="69">
        <f t="shared" si="94"/>
        <v>0</v>
      </c>
      <c r="M408" s="69">
        <f t="shared" si="95"/>
        <v>0</v>
      </c>
      <c r="N408" s="69">
        <f t="shared" si="96"/>
        <v>0</v>
      </c>
      <c r="O408" s="70"/>
      <c r="P408" s="79"/>
      <c r="Q408" s="79"/>
      <c r="R408" s="49">
        <f t="shared" si="97"/>
        <v>0</v>
      </c>
      <c r="S408" s="49">
        <f>[1]BASE!A406</f>
        <v>397</v>
      </c>
      <c r="T408" s="69">
        <f t="shared" si="82"/>
        <v>0</v>
      </c>
      <c r="U408" s="69">
        <f t="shared" si="83"/>
        <v>0</v>
      </c>
      <c r="V408" s="69">
        <f t="shared" si="84"/>
        <v>0</v>
      </c>
      <c r="W408" s="69">
        <f t="shared" si="85"/>
        <v>0</v>
      </c>
      <c r="X408" s="69">
        <f t="shared" si="86"/>
        <v>0</v>
      </c>
    </row>
    <row r="409" spans="1:24" ht="17.25" customHeight="1">
      <c r="A409" s="68" t="str">
        <f>IF(BASE!B407="","",BASE!B407)</f>
        <v/>
      </c>
      <c r="B409" s="49" t="s">
        <v>2</v>
      </c>
      <c r="C409" s="69">
        <f t="shared" si="87"/>
        <v>0</v>
      </c>
      <c r="D409" s="69">
        <f t="shared" si="88"/>
        <v>0</v>
      </c>
      <c r="E409" s="69">
        <f t="shared" si="89"/>
        <v>0</v>
      </c>
      <c r="F409" s="69">
        <f t="shared" si="90"/>
        <v>0</v>
      </c>
      <c r="G409" s="69">
        <f t="shared" si="91"/>
        <v>0</v>
      </c>
      <c r="H409" s="70"/>
      <c r="I409" s="79"/>
      <c r="J409" s="69">
        <f t="shared" si="92"/>
        <v>0</v>
      </c>
      <c r="K409" s="69">
        <f t="shared" si="93"/>
        <v>0</v>
      </c>
      <c r="L409" s="69">
        <f t="shared" si="94"/>
        <v>0</v>
      </c>
      <c r="M409" s="69">
        <f t="shared" si="95"/>
        <v>0</v>
      </c>
      <c r="N409" s="69">
        <f t="shared" si="96"/>
        <v>0</v>
      </c>
      <c r="O409" s="70"/>
      <c r="P409" s="79"/>
      <c r="Q409" s="79"/>
      <c r="R409" s="49">
        <f t="shared" si="97"/>
        <v>0</v>
      </c>
      <c r="S409" s="49">
        <f>[1]BASE!A407</f>
        <v>398</v>
      </c>
      <c r="T409" s="69">
        <f t="shared" si="82"/>
        <v>0</v>
      </c>
      <c r="U409" s="69">
        <f t="shared" si="83"/>
        <v>0</v>
      </c>
      <c r="V409" s="69">
        <f t="shared" si="84"/>
        <v>0</v>
      </c>
      <c r="W409" s="69">
        <f t="shared" si="85"/>
        <v>0</v>
      </c>
      <c r="X409" s="69">
        <f t="shared" si="86"/>
        <v>0</v>
      </c>
    </row>
    <row r="410" spans="1:24" ht="17.25" customHeight="1">
      <c r="A410" s="68" t="str">
        <f>IF(BASE!B408="","",BASE!B408)</f>
        <v/>
      </c>
      <c r="B410" s="49" t="s">
        <v>2</v>
      </c>
      <c r="C410" s="69">
        <f t="shared" si="87"/>
        <v>0</v>
      </c>
      <c r="D410" s="69">
        <f t="shared" si="88"/>
        <v>0</v>
      </c>
      <c r="E410" s="69">
        <f t="shared" si="89"/>
        <v>0</v>
      </c>
      <c r="F410" s="69">
        <f t="shared" si="90"/>
        <v>0</v>
      </c>
      <c r="G410" s="69">
        <f t="shared" si="91"/>
        <v>0</v>
      </c>
      <c r="H410" s="70"/>
      <c r="I410" s="79"/>
      <c r="J410" s="69">
        <f t="shared" si="92"/>
        <v>0</v>
      </c>
      <c r="K410" s="69">
        <f t="shared" si="93"/>
        <v>0</v>
      </c>
      <c r="L410" s="69">
        <f t="shared" si="94"/>
        <v>0</v>
      </c>
      <c r="M410" s="69">
        <f t="shared" si="95"/>
        <v>0</v>
      </c>
      <c r="N410" s="69">
        <f t="shared" si="96"/>
        <v>0</v>
      </c>
      <c r="O410" s="70"/>
      <c r="P410" s="79"/>
      <c r="Q410" s="79"/>
      <c r="R410" s="49">
        <f t="shared" si="97"/>
        <v>0</v>
      </c>
      <c r="S410" s="49">
        <f>[1]BASE!A408</f>
        <v>399</v>
      </c>
      <c r="T410" s="69">
        <f t="shared" si="82"/>
        <v>0</v>
      </c>
      <c r="U410" s="69">
        <f t="shared" si="83"/>
        <v>0</v>
      </c>
      <c r="V410" s="69">
        <f t="shared" si="84"/>
        <v>0</v>
      </c>
      <c r="W410" s="69">
        <f t="shared" si="85"/>
        <v>0</v>
      </c>
      <c r="X410" s="69">
        <f t="shared" si="86"/>
        <v>0</v>
      </c>
    </row>
    <row r="411" spans="1:24" ht="17.25" customHeight="1">
      <c r="A411" s="68" t="str">
        <f>IF(BASE!B409="","",BASE!B409)</f>
        <v/>
      </c>
      <c r="B411" s="49" t="s">
        <v>2</v>
      </c>
      <c r="C411" s="69">
        <f t="shared" si="87"/>
        <v>0</v>
      </c>
      <c r="D411" s="69">
        <f t="shared" si="88"/>
        <v>0</v>
      </c>
      <c r="E411" s="69">
        <f t="shared" si="89"/>
        <v>0</v>
      </c>
      <c r="F411" s="69">
        <f t="shared" si="90"/>
        <v>0</v>
      </c>
      <c r="G411" s="69">
        <f t="shared" si="91"/>
        <v>0</v>
      </c>
      <c r="H411" s="70"/>
      <c r="I411" s="79"/>
      <c r="J411" s="69">
        <f t="shared" si="92"/>
        <v>0</v>
      </c>
      <c r="K411" s="69">
        <f t="shared" si="93"/>
        <v>0</v>
      </c>
      <c r="L411" s="69">
        <f t="shared" si="94"/>
        <v>0</v>
      </c>
      <c r="M411" s="69">
        <f t="shared" si="95"/>
        <v>0</v>
      </c>
      <c r="N411" s="69">
        <f t="shared" si="96"/>
        <v>0</v>
      </c>
      <c r="O411" s="70"/>
      <c r="P411" s="79"/>
      <c r="Q411" s="79"/>
      <c r="R411" s="49">
        <f t="shared" si="97"/>
        <v>0</v>
      </c>
      <c r="S411" s="49">
        <f>[1]BASE!A409</f>
        <v>400</v>
      </c>
      <c r="T411" s="69">
        <f t="shared" si="82"/>
        <v>0</v>
      </c>
      <c r="U411" s="69">
        <f t="shared" si="83"/>
        <v>0</v>
      </c>
      <c r="V411" s="69">
        <f t="shared" si="84"/>
        <v>0</v>
      </c>
      <c r="W411" s="69">
        <f t="shared" si="85"/>
        <v>0</v>
      </c>
      <c r="X411" s="69">
        <f t="shared" si="86"/>
        <v>0</v>
      </c>
    </row>
    <row r="412" spans="1:24" ht="17.25" customHeight="1">
      <c r="A412" s="68" t="str">
        <f>IF(BASE!B410="","",BASE!B410)</f>
        <v/>
      </c>
      <c r="B412" s="49" t="s">
        <v>2</v>
      </c>
      <c r="C412" s="69">
        <f t="shared" si="87"/>
        <v>0</v>
      </c>
      <c r="D412" s="69">
        <f t="shared" si="88"/>
        <v>0</v>
      </c>
      <c r="E412" s="69">
        <f t="shared" si="89"/>
        <v>0</v>
      </c>
      <c r="F412" s="69">
        <f t="shared" si="90"/>
        <v>0</v>
      </c>
      <c r="G412" s="69">
        <f t="shared" si="91"/>
        <v>0</v>
      </c>
      <c r="H412" s="70"/>
      <c r="I412" s="79"/>
      <c r="J412" s="69">
        <f t="shared" si="92"/>
        <v>0</v>
      </c>
      <c r="K412" s="69">
        <f t="shared" si="93"/>
        <v>0</v>
      </c>
      <c r="L412" s="69">
        <f t="shared" si="94"/>
        <v>0</v>
      </c>
      <c r="M412" s="69">
        <f t="shared" si="95"/>
        <v>0</v>
      </c>
      <c r="N412" s="69">
        <f t="shared" si="96"/>
        <v>0</v>
      </c>
      <c r="O412" s="70"/>
      <c r="P412" s="79"/>
      <c r="Q412" s="79"/>
      <c r="R412" s="49">
        <f t="shared" si="97"/>
        <v>0</v>
      </c>
      <c r="S412" s="49">
        <f>[1]BASE!A410</f>
        <v>401</v>
      </c>
      <c r="T412" s="69">
        <f t="shared" si="82"/>
        <v>0</v>
      </c>
      <c r="U412" s="69">
        <f t="shared" si="83"/>
        <v>0</v>
      </c>
      <c r="V412" s="69">
        <f t="shared" si="84"/>
        <v>0</v>
      </c>
      <c r="W412" s="69">
        <f t="shared" si="85"/>
        <v>0</v>
      </c>
      <c r="X412" s="69">
        <f t="shared" si="86"/>
        <v>0</v>
      </c>
    </row>
    <row r="413" spans="1:24" ht="17.25" customHeight="1">
      <c r="A413" s="68" t="str">
        <f>IF(BASE!B411="","",BASE!B411)</f>
        <v/>
      </c>
      <c r="B413" s="49" t="s">
        <v>2</v>
      </c>
      <c r="C413" s="69">
        <f t="shared" si="87"/>
        <v>0</v>
      </c>
      <c r="D413" s="69">
        <f t="shared" si="88"/>
        <v>0</v>
      </c>
      <c r="E413" s="69">
        <f t="shared" si="89"/>
        <v>0</v>
      </c>
      <c r="F413" s="69">
        <f t="shared" si="90"/>
        <v>0</v>
      </c>
      <c r="G413" s="69">
        <f t="shared" si="91"/>
        <v>0</v>
      </c>
      <c r="H413" s="70"/>
      <c r="I413" s="79"/>
      <c r="J413" s="69">
        <f t="shared" si="92"/>
        <v>0</v>
      </c>
      <c r="K413" s="69">
        <f t="shared" si="93"/>
        <v>0</v>
      </c>
      <c r="L413" s="69">
        <f t="shared" si="94"/>
        <v>0</v>
      </c>
      <c r="M413" s="69">
        <f t="shared" si="95"/>
        <v>0</v>
      </c>
      <c r="N413" s="69">
        <f t="shared" si="96"/>
        <v>0</v>
      </c>
      <c r="O413" s="70"/>
      <c r="P413" s="79"/>
      <c r="Q413" s="79"/>
      <c r="R413" s="49">
        <f t="shared" si="97"/>
        <v>0</v>
      </c>
      <c r="S413" s="49">
        <f>[1]BASE!A411</f>
        <v>402</v>
      </c>
      <c r="T413" s="69">
        <f t="shared" si="82"/>
        <v>0</v>
      </c>
      <c r="U413" s="69">
        <f t="shared" si="83"/>
        <v>0</v>
      </c>
      <c r="V413" s="69">
        <f t="shared" si="84"/>
        <v>0</v>
      </c>
      <c r="W413" s="69">
        <f t="shared" si="85"/>
        <v>0</v>
      </c>
      <c r="X413" s="69">
        <f t="shared" si="86"/>
        <v>0</v>
      </c>
    </row>
    <row r="414" spans="1:24" ht="17.25" customHeight="1">
      <c r="A414" s="68" t="str">
        <f>IF(BASE!B412="","",BASE!B412)</f>
        <v/>
      </c>
      <c r="B414" s="49" t="s">
        <v>2</v>
      </c>
      <c r="C414" s="69">
        <f t="shared" si="87"/>
        <v>0</v>
      </c>
      <c r="D414" s="69">
        <f t="shared" si="88"/>
        <v>0</v>
      </c>
      <c r="E414" s="69">
        <f t="shared" si="89"/>
        <v>0</v>
      </c>
      <c r="F414" s="69">
        <f t="shared" si="90"/>
        <v>0</v>
      </c>
      <c r="G414" s="69">
        <f t="shared" si="91"/>
        <v>0</v>
      </c>
      <c r="H414" s="70"/>
      <c r="I414" s="79"/>
      <c r="J414" s="69">
        <f t="shared" si="92"/>
        <v>0</v>
      </c>
      <c r="K414" s="69">
        <f t="shared" si="93"/>
        <v>0</v>
      </c>
      <c r="L414" s="69">
        <f t="shared" si="94"/>
        <v>0</v>
      </c>
      <c r="M414" s="69">
        <f t="shared" si="95"/>
        <v>0</v>
      </c>
      <c r="N414" s="69">
        <f t="shared" si="96"/>
        <v>0</v>
      </c>
      <c r="O414" s="70"/>
      <c r="P414" s="79"/>
      <c r="Q414" s="79"/>
      <c r="R414" s="49">
        <f t="shared" si="97"/>
        <v>0</v>
      </c>
      <c r="S414" s="49">
        <f>[1]BASE!A412</f>
        <v>403</v>
      </c>
      <c r="T414" s="69">
        <f t="shared" si="82"/>
        <v>0</v>
      </c>
      <c r="U414" s="69">
        <f t="shared" si="83"/>
        <v>0</v>
      </c>
      <c r="V414" s="69">
        <f t="shared" si="84"/>
        <v>0</v>
      </c>
      <c r="W414" s="69">
        <f t="shared" si="85"/>
        <v>0</v>
      </c>
      <c r="X414" s="69">
        <f t="shared" si="86"/>
        <v>0</v>
      </c>
    </row>
    <row r="415" spans="1:24" ht="17.25" customHeight="1">
      <c r="A415" s="68" t="str">
        <f>IF(BASE!B413="","",BASE!B413)</f>
        <v/>
      </c>
      <c r="B415" s="49" t="s">
        <v>2</v>
      </c>
      <c r="C415" s="69">
        <f t="shared" si="87"/>
        <v>0</v>
      </c>
      <c r="D415" s="69">
        <f t="shared" si="88"/>
        <v>0</v>
      </c>
      <c r="E415" s="69">
        <f t="shared" si="89"/>
        <v>0</v>
      </c>
      <c r="F415" s="69">
        <f t="shared" si="90"/>
        <v>0</v>
      </c>
      <c r="G415" s="69">
        <f t="shared" si="91"/>
        <v>0</v>
      </c>
      <c r="H415" s="70"/>
      <c r="I415" s="79"/>
      <c r="J415" s="69">
        <f t="shared" si="92"/>
        <v>0</v>
      </c>
      <c r="K415" s="69">
        <f t="shared" si="93"/>
        <v>0</v>
      </c>
      <c r="L415" s="69">
        <f t="shared" si="94"/>
        <v>0</v>
      </c>
      <c r="M415" s="69">
        <f t="shared" si="95"/>
        <v>0</v>
      </c>
      <c r="N415" s="69">
        <f t="shared" si="96"/>
        <v>0</v>
      </c>
      <c r="O415" s="70"/>
      <c r="P415" s="79"/>
      <c r="Q415" s="79"/>
      <c r="R415" s="49">
        <f t="shared" si="97"/>
        <v>0</v>
      </c>
      <c r="S415" s="49">
        <f>[1]BASE!A413</f>
        <v>404</v>
      </c>
      <c r="T415" s="69">
        <f t="shared" si="82"/>
        <v>0</v>
      </c>
      <c r="U415" s="69">
        <f t="shared" si="83"/>
        <v>0</v>
      </c>
      <c r="V415" s="69">
        <f t="shared" si="84"/>
        <v>0</v>
      </c>
      <c r="W415" s="69">
        <f t="shared" si="85"/>
        <v>0</v>
      </c>
      <c r="X415" s="69">
        <f t="shared" si="86"/>
        <v>0</v>
      </c>
    </row>
    <row r="416" spans="1:24" ht="17.25" customHeight="1">
      <c r="A416" s="68" t="str">
        <f>IF(BASE!B414="","",BASE!B414)</f>
        <v/>
      </c>
      <c r="B416" s="49" t="s">
        <v>2</v>
      </c>
      <c r="C416" s="69">
        <f t="shared" si="87"/>
        <v>0</v>
      </c>
      <c r="D416" s="69">
        <f t="shared" si="88"/>
        <v>0</v>
      </c>
      <c r="E416" s="69">
        <f t="shared" si="89"/>
        <v>0</v>
      </c>
      <c r="F416" s="69">
        <f t="shared" si="90"/>
        <v>0</v>
      </c>
      <c r="G416" s="69">
        <f t="shared" si="91"/>
        <v>0</v>
      </c>
      <c r="H416" s="70"/>
      <c r="I416" s="79"/>
      <c r="J416" s="69">
        <f t="shared" si="92"/>
        <v>0</v>
      </c>
      <c r="K416" s="69">
        <f t="shared" si="93"/>
        <v>0</v>
      </c>
      <c r="L416" s="69">
        <f t="shared" si="94"/>
        <v>0</v>
      </c>
      <c r="M416" s="69">
        <f t="shared" si="95"/>
        <v>0</v>
      </c>
      <c r="N416" s="69">
        <f t="shared" si="96"/>
        <v>0</v>
      </c>
      <c r="O416" s="70"/>
      <c r="P416" s="79"/>
      <c r="Q416" s="79"/>
      <c r="R416" s="49">
        <f t="shared" si="97"/>
        <v>0</v>
      </c>
      <c r="S416" s="49">
        <f>[1]BASE!A414</f>
        <v>405</v>
      </c>
      <c r="T416" s="69">
        <f t="shared" si="82"/>
        <v>0</v>
      </c>
      <c r="U416" s="69">
        <f t="shared" si="83"/>
        <v>0</v>
      </c>
      <c r="V416" s="69">
        <f t="shared" si="84"/>
        <v>0</v>
      </c>
      <c r="W416" s="69">
        <f t="shared" si="85"/>
        <v>0</v>
      </c>
      <c r="X416" s="69">
        <f t="shared" si="86"/>
        <v>0</v>
      </c>
    </row>
    <row r="417" spans="1:24" ht="17.25" customHeight="1">
      <c r="A417" s="68" t="str">
        <f>IF(BASE!B415="","",BASE!B415)</f>
        <v/>
      </c>
      <c r="B417" s="49" t="s">
        <v>2</v>
      </c>
      <c r="C417" s="69">
        <f t="shared" si="87"/>
        <v>0</v>
      </c>
      <c r="D417" s="69">
        <f t="shared" si="88"/>
        <v>0</v>
      </c>
      <c r="E417" s="69">
        <f t="shared" si="89"/>
        <v>0</v>
      </c>
      <c r="F417" s="69">
        <f t="shared" si="90"/>
        <v>0</v>
      </c>
      <c r="G417" s="69">
        <f t="shared" si="91"/>
        <v>0</v>
      </c>
      <c r="H417" s="70"/>
      <c r="I417" s="79"/>
      <c r="J417" s="69">
        <f t="shared" si="92"/>
        <v>0</v>
      </c>
      <c r="K417" s="69">
        <f t="shared" si="93"/>
        <v>0</v>
      </c>
      <c r="L417" s="69">
        <f t="shared" si="94"/>
        <v>0</v>
      </c>
      <c r="M417" s="69">
        <f t="shared" si="95"/>
        <v>0</v>
      </c>
      <c r="N417" s="69">
        <f t="shared" si="96"/>
        <v>0</v>
      </c>
      <c r="O417" s="70"/>
      <c r="P417" s="79"/>
      <c r="Q417" s="79"/>
      <c r="R417" s="49">
        <f t="shared" si="97"/>
        <v>0</v>
      </c>
      <c r="S417" s="49">
        <f>[1]BASE!A415</f>
        <v>406</v>
      </c>
      <c r="T417" s="69">
        <f t="shared" si="82"/>
        <v>0</v>
      </c>
      <c r="U417" s="69">
        <f t="shared" si="83"/>
        <v>0</v>
      </c>
      <c r="V417" s="69">
        <f t="shared" si="84"/>
        <v>0</v>
      </c>
      <c r="W417" s="69">
        <f t="shared" si="85"/>
        <v>0</v>
      </c>
      <c r="X417" s="69">
        <f t="shared" si="86"/>
        <v>0</v>
      </c>
    </row>
    <row r="418" spans="1:24" ht="17.25" customHeight="1">
      <c r="A418" s="68" t="str">
        <f>IF(BASE!B416="","",BASE!B416)</f>
        <v/>
      </c>
      <c r="B418" s="49" t="s">
        <v>2</v>
      </c>
      <c r="C418" s="69">
        <f t="shared" si="87"/>
        <v>0</v>
      </c>
      <c r="D418" s="69">
        <f t="shared" si="88"/>
        <v>0</v>
      </c>
      <c r="E418" s="69">
        <f t="shared" si="89"/>
        <v>0</v>
      </c>
      <c r="F418" s="69">
        <f t="shared" si="90"/>
        <v>0</v>
      </c>
      <c r="G418" s="69">
        <f t="shared" si="91"/>
        <v>0</v>
      </c>
      <c r="H418" s="70"/>
      <c r="I418" s="79"/>
      <c r="J418" s="69">
        <f t="shared" si="92"/>
        <v>0</v>
      </c>
      <c r="K418" s="69">
        <f t="shared" si="93"/>
        <v>0</v>
      </c>
      <c r="L418" s="69">
        <f t="shared" si="94"/>
        <v>0</v>
      </c>
      <c r="M418" s="69">
        <f t="shared" si="95"/>
        <v>0</v>
      </c>
      <c r="N418" s="69">
        <f t="shared" si="96"/>
        <v>0</v>
      </c>
      <c r="O418" s="70"/>
      <c r="P418" s="79"/>
      <c r="Q418" s="79"/>
      <c r="R418" s="49">
        <f t="shared" si="97"/>
        <v>0</v>
      </c>
      <c r="S418" s="49">
        <f>[1]BASE!A416</f>
        <v>407</v>
      </c>
      <c r="T418" s="69">
        <f t="shared" si="82"/>
        <v>0</v>
      </c>
      <c r="U418" s="69">
        <f t="shared" si="83"/>
        <v>0</v>
      </c>
      <c r="V418" s="69">
        <f t="shared" si="84"/>
        <v>0</v>
      </c>
      <c r="W418" s="69">
        <f t="shared" si="85"/>
        <v>0</v>
      </c>
      <c r="X418" s="69">
        <f t="shared" si="86"/>
        <v>0</v>
      </c>
    </row>
    <row r="419" spans="1:24" ht="17.25" customHeight="1">
      <c r="A419" s="68" t="str">
        <f>IF(BASE!B417="","",BASE!B417)</f>
        <v/>
      </c>
      <c r="B419" s="49" t="s">
        <v>2</v>
      </c>
      <c r="C419" s="69">
        <f t="shared" si="87"/>
        <v>0</v>
      </c>
      <c r="D419" s="69">
        <f t="shared" si="88"/>
        <v>0</v>
      </c>
      <c r="E419" s="69">
        <f t="shared" si="89"/>
        <v>0</v>
      </c>
      <c r="F419" s="69">
        <f t="shared" si="90"/>
        <v>0</v>
      </c>
      <c r="G419" s="69">
        <f t="shared" si="91"/>
        <v>0</v>
      </c>
      <c r="H419" s="70"/>
      <c r="I419" s="79"/>
      <c r="J419" s="69">
        <f t="shared" si="92"/>
        <v>0</v>
      </c>
      <c r="K419" s="69">
        <f t="shared" si="93"/>
        <v>0</v>
      </c>
      <c r="L419" s="69">
        <f t="shared" si="94"/>
        <v>0</v>
      </c>
      <c r="M419" s="69">
        <f t="shared" si="95"/>
        <v>0</v>
      </c>
      <c r="N419" s="69">
        <f t="shared" si="96"/>
        <v>0</v>
      </c>
      <c r="O419" s="70"/>
      <c r="P419" s="79"/>
      <c r="Q419" s="79"/>
      <c r="R419" s="49">
        <f t="shared" si="97"/>
        <v>0</v>
      </c>
      <c r="S419" s="49">
        <f>[1]BASE!A417</f>
        <v>408</v>
      </c>
      <c r="T419" s="69">
        <f t="shared" si="82"/>
        <v>0</v>
      </c>
      <c r="U419" s="69">
        <f t="shared" si="83"/>
        <v>0</v>
      </c>
      <c r="V419" s="69">
        <f t="shared" si="84"/>
        <v>0</v>
      </c>
      <c r="W419" s="69">
        <f t="shared" si="85"/>
        <v>0</v>
      </c>
      <c r="X419" s="69">
        <f t="shared" si="86"/>
        <v>0</v>
      </c>
    </row>
    <row r="420" spans="1:24" ht="17.25" customHeight="1">
      <c r="A420" s="68" t="str">
        <f>IF(BASE!B418="","",BASE!B418)</f>
        <v/>
      </c>
      <c r="B420" s="49" t="s">
        <v>2</v>
      </c>
      <c r="C420" s="69">
        <f t="shared" si="87"/>
        <v>0</v>
      </c>
      <c r="D420" s="69">
        <f t="shared" si="88"/>
        <v>0</v>
      </c>
      <c r="E420" s="69">
        <f t="shared" si="89"/>
        <v>0</v>
      </c>
      <c r="F420" s="69">
        <f t="shared" si="90"/>
        <v>0</v>
      </c>
      <c r="G420" s="69">
        <f t="shared" si="91"/>
        <v>0</v>
      </c>
      <c r="H420" s="70"/>
      <c r="I420" s="79"/>
      <c r="J420" s="69">
        <f t="shared" si="92"/>
        <v>0</v>
      </c>
      <c r="K420" s="69">
        <f t="shared" si="93"/>
        <v>0</v>
      </c>
      <c r="L420" s="69">
        <f t="shared" si="94"/>
        <v>0</v>
      </c>
      <c r="M420" s="69">
        <f t="shared" si="95"/>
        <v>0</v>
      </c>
      <c r="N420" s="69">
        <f t="shared" si="96"/>
        <v>0</v>
      </c>
      <c r="O420" s="70"/>
      <c r="P420" s="79"/>
      <c r="Q420" s="79"/>
      <c r="R420" s="49">
        <f t="shared" si="97"/>
        <v>0</v>
      </c>
      <c r="S420" s="49">
        <f>[1]BASE!A418</f>
        <v>409</v>
      </c>
      <c r="T420" s="69">
        <f t="shared" si="82"/>
        <v>0</v>
      </c>
      <c r="U420" s="69">
        <f t="shared" si="83"/>
        <v>0</v>
      </c>
      <c r="V420" s="69">
        <f t="shared" si="84"/>
        <v>0</v>
      </c>
      <c r="W420" s="69">
        <f t="shared" si="85"/>
        <v>0</v>
      </c>
      <c r="X420" s="69">
        <f t="shared" si="86"/>
        <v>0</v>
      </c>
    </row>
    <row r="421" spans="1:24" ht="17.25" customHeight="1">
      <c r="A421" s="68" t="str">
        <f>IF(BASE!B419="","",BASE!B419)</f>
        <v/>
      </c>
      <c r="B421" s="49" t="s">
        <v>2</v>
      </c>
      <c r="C421" s="69">
        <f t="shared" si="87"/>
        <v>0</v>
      </c>
      <c r="D421" s="69">
        <f t="shared" si="88"/>
        <v>0</v>
      </c>
      <c r="E421" s="69">
        <f t="shared" si="89"/>
        <v>0</v>
      </c>
      <c r="F421" s="69">
        <f t="shared" si="90"/>
        <v>0</v>
      </c>
      <c r="G421" s="69">
        <f t="shared" si="91"/>
        <v>0</v>
      </c>
      <c r="H421" s="70"/>
      <c r="I421" s="79"/>
      <c r="J421" s="69">
        <f t="shared" si="92"/>
        <v>0</v>
      </c>
      <c r="K421" s="69">
        <f t="shared" si="93"/>
        <v>0</v>
      </c>
      <c r="L421" s="69">
        <f t="shared" si="94"/>
        <v>0</v>
      </c>
      <c r="M421" s="69">
        <f t="shared" si="95"/>
        <v>0</v>
      </c>
      <c r="N421" s="69">
        <f t="shared" si="96"/>
        <v>0</v>
      </c>
      <c r="O421" s="70"/>
      <c r="P421" s="79"/>
      <c r="Q421" s="79"/>
      <c r="R421" s="49">
        <f t="shared" si="97"/>
        <v>0</v>
      </c>
      <c r="S421" s="49">
        <f>[1]BASE!A419</f>
        <v>410</v>
      </c>
      <c r="T421" s="69">
        <f t="shared" si="82"/>
        <v>0</v>
      </c>
      <c r="U421" s="69">
        <f t="shared" si="83"/>
        <v>0</v>
      </c>
      <c r="V421" s="69">
        <f t="shared" si="84"/>
        <v>0</v>
      </c>
      <c r="W421" s="69">
        <f t="shared" si="85"/>
        <v>0</v>
      </c>
      <c r="X421" s="69">
        <f t="shared" si="86"/>
        <v>0</v>
      </c>
    </row>
    <row r="422" spans="1:24" ht="17.25" customHeight="1">
      <c r="A422" s="68" t="str">
        <f>IF(BASE!B420="","",BASE!B420)</f>
        <v/>
      </c>
      <c r="B422" s="49" t="s">
        <v>2</v>
      </c>
      <c r="C422" s="69">
        <f t="shared" si="87"/>
        <v>0</v>
      </c>
      <c r="D422" s="69">
        <f t="shared" si="88"/>
        <v>0</v>
      </c>
      <c r="E422" s="69">
        <f t="shared" si="89"/>
        <v>0</v>
      </c>
      <c r="F422" s="69">
        <f t="shared" si="90"/>
        <v>0</v>
      </c>
      <c r="G422" s="69">
        <f t="shared" si="91"/>
        <v>0</v>
      </c>
      <c r="H422" s="70"/>
      <c r="I422" s="79"/>
      <c r="J422" s="69">
        <f t="shared" si="92"/>
        <v>0</v>
      </c>
      <c r="K422" s="69">
        <f t="shared" si="93"/>
        <v>0</v>
      </c>
      <c r="L422" s="69">
        <f t="shared" si="94"/>
        <v>0</v>
      </c>
      <c r="M422" s="69">
        <f t="shared" si="95"/>
        <v>0</v>
      </c>
      <c r="N422" s="69">
        <f t="shared" si="96"/>
        <v>0</v>
      </c>
      <c r="O422" s="70"/>
      <c r="P422" s="79"/>
      <c r="Q422" s="79"/>
      <c r="R422" s="49">
        <f t="shared" si="97"/>
        <v>0</v>
      </c>
      <c r="S422" s="49">
        <f>[1]BASE!A420</f>
        <v>411</v>
      </c>
      <c r="T422" s="69">
        <f t="shared" si="82"/>
        <v>0</v>
      </c>
      <c r="U422" s="69">
        <f t="shared" si="83"/>
        <v>0</v>
      </c>
      <c r="V422" s="69">
        <f t="shared" si="84"/>
        <v>0</v>
      </c>
      <c r="W422" s="69">
        <f t="shared" si="85"/>
        <v>0</v>
      </c>
      <c r="X422" s="69">
        <f t="shared" si="86"/>
        <v>0</v>
      </c>
    </row>
    <row r="423" spans="1:24" ht="17.25" customHeight="1">
      <c r="A423" s="68" t="str">
        <f>IF(BASE!B421="","",BASE!B421)</f>
        <v/>
      </c>
      <c r="B423" s="49" t="s">
        <v>2</v>
      </c>
      <c r="C423" s="69">
        <f t="shared" si="87"/>
        <v>0</v>
      </c>
      <c r="D423" s="69">
        <f t="shared" si="88"/>
        <v>0</v>
      </c>
      <c r="E423" s="69">
        <f t="shared" si="89"/>
        <v>0</v>
      </c>
      <c r="F423" s="69">
        <f t="shared" si="90"/>
        <v>0</v>
      </c>
      <c r="G423" s="69">
        <f t="shared" si="91"/>
        <v>0</v>
      </c>
      <c r="H423" s="70"/>
      <c r="I423" s="79"/>
      <c r="J423" s="69">
        <f t="shared" si="92"/>
        <v>0</v>
      </c>
      <c r="K423" s="69">
        <f t="shared" si="93"/>
        <v>0</v>
      </c>
      <c r="L423" s="69">
        <f t="shared" si="94"/>
        <v>0</v>
      </c>
      <c r="M423" s="69">
        <f t="shared" si="95"/>
        <v>0</v>
      </c>
      <c r="N423" s="69">
        <f t="shared" si="96"/>
        <v>0</v>
      </c>
      <c r="O423" s="70"/>
      <c r="P423" s="79"/>
      <c r="Q423" s="79"/>
      <c r="R423" s="49">
        <f t="shared" si="97"/>
        <v>0</v>
      </c>
      <c r="S423" s="49">
        <f>[1]BASE!A421</f>
        <v>412</v>
      </c>
      <c r="T423" s="69">
        <f t="shared" si="82"/>
        <v>0</v>
      </c>
      <c r="U423" s="69">
        <f t="shared" si="83"/>
        <v>0</v>
      </c>
      <c r="V423" s="69">
        <f t="shared" si="84"/>
        <v>0</v>
      </c>
      <c r="W423" s="69">
        <f t="shared" si="85"/>
        <v>0</v>
      </c>
      <c r="X423" s="69">
        <f t="shared" si="86"/>
        <v>0</v>
      </c>
    </row>
    <row r="424" spans="1:24" ht="17.25" customHeight="1">
      <c r="A424" s="68" t="str">
        <f>IF(BASE!B422="","",BASE!B422)</f>
        <v/>
      </c>
      <c r="B424" s="49" t="s">
        <v>2</v>
      </c>
      <c r="C424" s="69">
        <f t="shared" si="87"/>
        <v>0</v>
      </c>
      <c r="D424" s="69">
        <f t="shared" si="88"/>
        <v>0</v>
      </c>
      <c r="E424" s="69">
        <f t="shared" si="89"/>
        <v>0</v>
      </c>
      <c r="F424" s="69">
        <f t="shared" si="90"/>
        <v>0</v>
      </c>
      <c r="G424" s="69">
        <f t="shared" si="91"/>
        <v>0</v>
      </c>
      <c r="H424" s="70"/>
      <c r="I424" s="79"/>
      <c r="J424" s="69">
        <f t="shared" si="92"/>
        <v>0</v>
      </c>
      <c r="K424" s="69">
        <f t="shared" si="93"/>
        <v>0</v>
      </c>
      <c r="L424" s="69">
        <f t="shared" si="94"/>
        <v>0</v>
      </c>
      <c r="M424" s="69">
        <f t="shared" si="95"/>
        <v>0</v>
      </c>
      <c r="N424" s="69">
        <f t="shared" si="96"/>
        <v>0</v>
      </c>
      <c r="O424" s="70"/>
      <c r="P424" s="79"/>
      <c r="Q424" s="79"/>
      <c r="R424" s="49">
        <f t="shared" si="97"/>
        <v>0</v>
      </c>
      <c r="S424" s="49">
        <f>[1]BASE!A422</f>
        <v>413</v>
      </c>
      <c r="T424" s="69">
        <f t="shared" si="82"/>
        <v>0</v>
      </c>
      <c r="U424" s="69">
        <f t="shared" si="83"/>
        <v>0</v>
      </c>
      <c r="V424" s="69">
        <f t="shared" si="84"/>
        <v>0</v>
      </c>
      <c r="W424" s="69">
        <f t="shared" si="85"/>
        <v>0</v>
      </c>
      <c r="X424" s="69">
        <f t="shared" si="86"/>
        <v>0</v>
      </c>
    </row>
    <row r="425" spans="1:24" ht="17.25" customHeight="1">
      <c r="A425" s="68" t="str">
        <f>IF(BASE!B423="","",BASE!B423)</f>
        <v/>
      </c>
      <c r="B425" s="49" t="s">
        <v>2</v>
      </c>
      <c r="C425" s="69">
        <f t="shared" si="87"/>
        <v>0</v>
      </c>
      <c r="D425" s="69">
        <f t="shared" si="88"/>
        <v>0</v>
      </c>
      <c r="E425" s="69">
        <f t="shared" si="89"/>
        <v>0</v>
      </c>
      <c r="F425" s="69">
        <f t="shared" si="90"/>
        <v>0</v>
      </c>
      <c r="G425" s="69">
        <f t="shared" si="91"/>
        <v>0</v>
      </c>
      <c r="H425" s="70"/>
      <c r="I425" s="79"/>
      <c r="J425" s="69">
        <f t="shared" si="92"/>
        <v>0</v>
      </c>
      <c r="K425" s="69">
        <f t="shared" si="93"/>
        <v>0</v>
      </c>
      <c r="L425" s="69">
        <f t="shared" si="94"/>
        <v>0</v>
      </c>
      <c r="M425" s="69">
        <f t="shared" si="95"/>
        <v>0</v>
      </c>
      <c r="N425" s="69">
        <f t="shared" si="96"/>
        <v>0</v>
      </c>
      <c r="O425" s="70"/>
      <c r="P425" s="79"/>
      <c r="Q425" s="79"/>
      <c r="R425" s="49">
        <f t="shared" si="97"/>
        <v>0</v>
      </c>
      <c r="S425" s="49">
        <f>[1]BASE!A423</f>
        <v>414</v>
      </c>
      <c r="T425" s="69">
        <f t="shared" si="82"/>
        <v>0</v>
      </c>
      <c r="U425" s="69">
        <f t="shared" si="83"/>
        <v>0</v>
      </c>
      <c r="V425" s="69">
        <f t="shared" si="84"/>
        <v>0</v>
      </c>
      <c r="W425" s="69">
        <f t="shared" si="85"/>
        <v>0</v>
      </c>
      <c r="X425" s="69">
        <f t="shared" si="86"/>
        <v>0</v>
      </c>
    </row>
    <row r="426" spans="1:24" ht="17.25" customHeight="1">
      <c r="A426" s="68" t="str">
        <f>IF(BASE!B424="","",BASE!B424)</f>
        <v/>
      </c>
      <c r="B426" s="49" t="s">
        <v>2</v>
      </c>
      <c r="C426" s="69">
        <f t="shared" si="87"/>
        <v>0</v>
      </c>
      <c r="D426" s="69">
        <f t="shared" si="88"/>
        <v>0</v>
      </c>
      <c r="E426" s="69">
        <f t="shared" si="89"/>
        <v>0</v>
      </c>
      <c r="F426" s="69">
        <f t="shared" si="90"/>
        <v>0</v>
      </c>
      <c r="G426" s="69">
        <f t="shared" si="91"/>
        <v>0</v>
      </c>
      <c r="H426" s="70"/>
      <c r="I426" s="79"/>
      <c r="J426" s="69">
        <f t="shared" si="92"/>
        <v>0</v>
      </c>
      <c r="K426" s="69">
        <f t="shared" si="93"/>
        <v>0</v>
      </c>
      <c r="L426" s="69">
        <f t="shared" si="94"/>
        <v>0</v>
      </c>
      <c r="M426" s="69">
        <f t="shared" si="95"/>
        <v>0</v>
      </c>
      <c r="N426" s="69">
        <f t="shared" si="96"/>
        <v>0</v>
      </c>
      <c r="O426" s="70"/>
      <c r="P426" s="79"/>
      <c r="Q426" s="79"/>
      <c r="R426" s="49">
        <f t="shared" si="97"/>
        <v>0</v>
      </c>
      <c r="S426" s="49">
        <f>[1]BASE!A424</f>
        <v>415</v>
      </c>
      <c r="T426" s="69">
        <f t="shared" si="82"/>
        <v>0</v>
      </c>
      <c r="U426" s="69">
        <f t="shared" si="83"/>
        <v>0</v>
      </c>
      <c r="V426" s="69">
        <f t="shared" si="84"/>
        <v>0</v>
      </c>
      <c r="W426" s="69">
        <f t="shared" si="85"/>
        <v>0</v>
      </c>
      <c r="X426" s="69">
        <f t="shared" si="86"/>
        <v>0</v>
      </c>
    </row>
    <row r="427" spans="1:24" ht="17.25" customHeight="1">
      <c r="A427" s="68" t="str">
        <f>IF(BASE!B425="","",BASE!B425)</f>
        <v/>
      </c>
      <c r="B427" s="49" t="s">
        <v>2</v>
      </c>
      <c r="C427" s="69">
        <f t="shared" si="87"/>
        <v>0</v>
      </c>
      <c r="D427" s="69">
        <f t="shared" si="88"/>
        <v>0</v>
      </c>
      <c r="E427" s="69">
        <f t="shared" si="89"/>
        <v>0</v>
      </c>
      <c r="F427" s="69">
        <f t="shared" si="90"/>
        <v>0</v>
      </c>
      <c r="G427" s="69">
        <f t="shared" si="91"/>
        <v>0</v>
      </c>
      <c r="H427" s="70"/>
      <c r="I427" s="79"/>
      <c r="J427" s="69">
        <f t="shared" si="92"/>
        <v>0</v>
      </c>
      <c r="K427" s="69">
        <f t="shared" si="93"/>
        <v>0</v>
      </c>
      <c r="L427" s="69">
        <f t="shared" si="94"/>
        <v>0</v>
      </c>
      <c r="M427" s="69">
        <f t="shared" si="95"/>
        <v>0</v>
      </c>
      <c r="N427" s="69">
        <f t="shared" si="96"/>
        <v>0</v>
      </c>
      <c r="O427" s="70"/>
      <c r="P427" s="79"/>
      <c r="Q427" s="79"/>
      <c r="R427" s="49">
        <f t="shared" si="97"/>
        <v>0</v>
      </c>
      <c r="S427" s="49">
        <f>[1]BASE!A425</f>
        <v>416</v>
      </c>
      <c r="T427" s="69">
        <f t="shared" si="82"/>
        <v>0</v>
      </c>
      <c r="U427" s="69">
        <f t="shared" si="83"/>
        <v>0</v>
      </c>
      <c r="V427" s="69">
        <f t="shared" si="84"/>
        <v>0</v>
      </c>
      <c r="W427" s="69">
        <f t="shared" si="85"/>
        <v>0</v>
      </c>
      <c r="X427" s="69">
        <f t="shared" si="86"/>
        <v>0</v>
      </c>
    </row>
    <row r="428" spans="1:24" ht="17.25" customHeight="1">
      <c r="A428" s="68" t="str">
        <f>IF(BASE!B426="","",BASE!B426)</f>
        <v/>
      </c>
      <c r="B428" s="49" t="s">
        <v>2</v>
      </c>
      <c r="C428" s="69">
        <f t="shared" si="87"/>
        <v>0</v>
      </c>
      <c r="D428" s="69">
        <f t="shared" si="88"/>
        <v>0</v>
      </c>
      <c r="E428" s="69">
        <f t="shared" si="89"/>
        <v>0</v>
      </c>
      <c r="F428" s="69">
        <f t="shared" si="90"/>
        <v>0</v>
      </c>
      <c r="G428" s="69">
        <f t="shared" si="91"/>
        <v>0</v>
      </c>
      <c r="H428" s="70"/>
      <c r="I428" s="79"/>
      <c r="J428" s="69">
        <f t="shared" si="92"/>
        <v>0</v>
      </c>
      <c r="K428" s="69">
        <f t="shared" si="93"/>
        <v>0</v>
      </c>
      <c r="L428" s="69">
        <f t="shared" si="94"/>
        <v>0</v>
      </c>
      <c r="M428" s="69">
        <f t="shared" si="95"/>
        <v>0</v>
      </c>
      <c r="N428" s="69">
        <f t="shared" si="96"/>
        <v>0</v>
      </c>
      <c r="O428" s="70"/>
      <c r="P428" s="79"/>
      <c r="Q428" s="79"/>
      <c r="R428" s="49">
        <f t="shared" si="97"/>
        <v>0</v>
      </c>
      <c r="S428" s="49">
        <f>[1]BASE!A426</f>
        <v>417</v>
      </c>
      <c r="T428" s="69">
        <f t="shared" si="82"/>
        <v>0</v>
      </c>
      <c r="U428" s="69">
        <f t="shared" si="83"/>
        <v>0</v>
      </c>
      <c r="V428" s="69">
        <f t="shared" si="84"/>
        <v>0</v>
      </c>
      <c r="W428" s="69">
        <f t="shared" si="85"/>
        <v>0</v>
      </c>
      <c r="X428" s="69">
        <f t="shared" si="86"/>
        <v>0</v>
      </c>
    </row>
    <row r="429" spans="1:24" ht="17.25" customHeight="1">
      <c r="A429" s="68" t="str">
        <f>IF(BASE!B427="","",BASE!B427)</f>
        <v/>
      </c>
      <c r="B429" s="49" t="s">
        <v>2</v>
      </c>
      <c r="C429" s="69">
        <f t="shared" si="87"/>
        <v>0</v>
      </c>
      <c r="D429" s="69">
        <f t="shared" si="88"/>
        <v>0</v>
      </c>
      <c r="E429" s="69">
        <f t="shared" si="89"/>
        <v>0</v>
      </c>
      <c r="F429" s="69">
        <f t="shared" si="90"/>
        <v>0</v>
      </c>
      <c r="G429" s="69">
        <f t="shared" si="91"/>
        <v>0</v>
      </c>
      <c r="H429" s="70"/>
      <c r="I429" s="79"/>
      <c r="J429" s="69">
        <f t="shared" si="92"/>
        <v>0</v>
      </c>
      <c r="K429" s="69">
        <f t="shared" si="93"/>
        <v>0</v>
      </c>
      <c r="L429" s="69">
        <f t="shared" si="94"/>
        <v>0</v>
      </c>
      <c r="M429" s="69">
        <f t="shared" si="95"/>
        <v>0</v>
      </c>
      <c r="N429" s="69">
        <f t="shared" si="96"/>
        <v>0</v>
      </c>
      <c r="O429" s="70"/>
      <c r="P429" s="79"/>
      <c r="Q429" s="79"/>
      <c r="R429" s="49">
        <f t="shared" si="97"/>
        <v>0</v>
      </c>
      <c r="S429" s="49">
        <f>[1]BASE!A427</f>
        <v>418</v>
      </c>
      <c r="T429" s="69">
        <f t="shared" si="82"/>
        <v>0</v>
      </c>
      <c r="U429" s="69">
        <f t="shared" si="83"/>
        <v>0</v>
      </c>
      <c r="V429" s="69">
        <f t="shared" si="84"/>
        <v>0</v>
      </c>
      <c r="W429" s="69">
        <f t="shared" si="85"/>
        <v>0</v>
      </c>
      <c r="X429" s="69">
        <f t="shared" si="86"/>
        <v>0</v>
      </c>
    </row>
    <row r="430" spans="1:24" ht="17.25" customHeight="1">
      <c r="A430" s="68" t="str">
        <f>IF(BASE!B428="","",BASE!B428)</f>
        <v/>
      </c>
      <c r="B430" s="49" t="s">
        <v>2</v>
      </c>
      <c r="C430" s="69">
        <f t="shared" si="87"/>
        <v>0</v>
      </c>
      <c r="D430" s="69">
        <f t="shared" si="88"/>
        <v>0</v>
      </c>
      <c r="E430" s="69">
        <f t="shared" si="89"/>
        <v>0</v>
      </c>
      <c r="F430" s="69">
        <f t="shared" si="90"/>
        <v>0</v>
      </c>
      <c r="G430" s="69">
        <f t="shared" si="91"/>
        <v>0</v>
      </c>
      <c r="H430" s="70"/>
      <c r="I430" s="79"/>
      <c r="J430" s="69">
        <f t="shared" si="92"/>
        <v>0</v>
      </c>
      <c r="K430" s="69">
        <f t="shared" si="93"/>
        <v>0</v>
      </c>
      <c r="L430" s="69">
        <f t="shared" si="94"/>
        <v>0</v>
      </c>
      <c r="M430" s="69">
        <f t="shared" si="95"/>
        <v>0</v>
      </c>
      <c r="N430" s="69">
        <f t="shared" si="96"/>
        <v>0</v>
      </c>
      <c r="O430" s="70"/>
      <c r="P430" s="79"/>
      <c r="Q430" s="79"/>
      <c r="R430" s="49">
        <f t="shared" si="97"/>
        <v>0</v>
      </c>
      <c r="S430" s="49">
        <f>[1]BASE!A428</f>
        <v>419</v>
      </c>
      <c r="T430" s="69">
        <f t="shared" si="82"/>
        <v>0</v>
      </c>
      <c r="U430" s="69">
        <f t="shared" si="83"/>
        <v>0</v>
      </c>
      <c r="V430" s="69">
        <f t="shared" si="84"/>
        <v>0</v>
      </c>
      <c r="W430" s="69">
        <f t="shared" si="85"/>
        <v>0</v>
      </c>
      <c r="X430" s="69">
        <f t="shared" si="86"/>
        <v>0</v>
      </c>
    </row>
    <row r="431" spans="1:24" ht="17.25" customHeight="1">
      <c r="A431" s="68" t="str">
        <f>IF(BASE!B429="","",BASE!B429)</f>
        <v/>
      </c>
      <c r="B431" s="49" t="s">
        <v>2</v>
      </c>
      <c r="C431" s="69">
        <f t="shared" si="87"/>
        <v>0</v>
      </c>
      <c r="D431" s="69">
        <f t="shared" si="88"/>
        <v>0</v>
      </c>
      <c r="E431" s="69">
        <f t="shared" si="89"/>
        <v>0</v>
      </c>
      <c r="F431" s="69">
        <f t="shared" si="90"/>
        <v>0</v>
      </c>
      <c r="G431" s="69">
        <f t="shared" si="91"/>
        <v>0</v>
      </c>
      <c r="H431" s="70"/>
      <c r="I431" s="79"/>
      <c r="J431" s="69">
        <f t="shared" si="92"/>
        <v>0</v>
      </c>
      <c r="K431" s="69">
        <f t="shared" si="93"/>
        <v>0</v>
      </c>
      <c r="L431" s="69">
        <f t="shared" si="94"/>
        <v>0</v>
      </c>
      <c r="M431" s="69">
        <f t="shared" si="95"/>
        <v>0</v>
      </c>
      <c r="N431" s="69">
        <f t="shared" si="96"/>
        <v>0</v>
      </c>
      <c r="O431" s="70"/>
      <c r="P431" s="79"/>
      <c r="Q431" s="79"/>
      <c r="R431" s="49">
        <f t="shared" si="97"/>
        <v>0</v>
      </c>
      <c r="S431" s="49">
        <f>[1]BASE!A429</f>
        <v>420</v>
      </c>
      <c r="T431" s="69">
        <f t="shared" si="82"/>
        <v>0</v>
      </c>
      <c r="U431" s="69">
        <f t="shared" si="83"/>
        <v>0</v>
      </c>
      <c r="V431" s="69">
        <f t="shared" si="84"/>
        <v>0</v>
      </c>
      <c r="W431" s="69">
        <f t="shared" si="85"/>
        <v>0</v>
      </c>
      <c r="X431" s="69">
        <f t="shared" si="86"/>
        <v>0</v>
      </c>
    </row>
    <row r="432" spans="1:24" ht="17.25" customHeight="1">
      <c r="A432" s="68" t="str">
        <f>IF(BASE!B430="","",BASE!B430)</f>
        <v/>
      </c>
      <c r="B432" s="49" t="s">
        <v>2</v>
      </c>
      <c r="C432" s="69">
        <f t="shared" si="87"/>
        <v>0</v>
      </c>
      <c r="D432" s="69">
        <f t="shared" si="88"/>
        <v>0</v>
      </c>
      <c r="E432" s="69">
        <f t="shared" si="89"/>
        <v>0</v>
      </c>
      <c r="F432" s="69">
        <f t="shared" si="90"/>
        <v>0</v>
      </c>
      <c r="G432" s="69">
        <f t="shared" si="91"/>
        <v>0</v>
      </c>
      <c r="H432" s="70"/>
      <c r="I432" s="79"/>
      <c r="J432" s="69">
        <f t="shared" si="92"/>
        <v>0</v>
      </c>
      <c r="K432" s="69">
        <f t="shared" si="93"/>
        <v>0</v>
      </c>
      <c r="L432" s="69">
        <f t="shared" si="94"/>
        <v>0</v>
      </c>
      <c r="M432" s="69">
        <f t="shared" si="95"/>
        <v>0</v>
      </c>
      <c r="N432" s="69">
        <f t="shared" si="96"/>
        <v>0</v>
      </c>
      <c r="O432" s="70"/>
      <c r="P432" s="79"/>
      <c r="Q432" s="79"/>
      <c r="R432" s="49">
        <f t="shared" si="97"/>
        <v>0</v>
      </c>
      <c r="S432" s="49">
        <f>[1]BASE!A430</f>
        <v>421</v>
      </c>
      <c r="T432" s="69">
        <f t="shared" si="82"/>
        <v>0</v>
      </c>
      <c r="U432" s="69">
        <f t="shared" si="83"/>
        <v>0</v>
      </c>
      <c r="V432" s="69">
        <f t="shared" si="84"/>
        <v>0</v>
      </c>
      <c r="W432" s="69">
        <f t="shared" si="85"/>
        <v>0</v>
      </c>
      <c r="X432" s="69">
        <f t="shared" si="86"/>
        <v>0</v>
      </c>
    </row>
    <row r="433" spans="1:24" ht="17.25" customHeight="1">
      <c r="A433" s="68" t="str">
        <f>IF(BASE!B431="","",BASE!B431)</f>
        <v/>
      </c>
      <c r="B433" s="49" t="s">
        <v>2</v>
      </c>
      <c r="C433" s="69">
        <f t="shared" si="87"/>
        <v>0</v>
      </c>
      <c r="D433" s="69">
        <f t="shared" si="88"/>
        <v>0</v>
      </c>
      <c r="E433" s="69">
        <f t="shared" si="89"/>
        <v>0</v>
      </c>
      <c r="F433" s="69">
        <f t="shared" si="90"/>
        <v>0</v>
      </c>
      <c r="G433" s="69">
        <f t="shared" si="91"/>
        <v>0</v>
      </c>
      <c r="H433" s="70"/>
      <c r="I433" s="79"/>
      <c r="J433" s="69">
        <f t="shared" si="92"/>
        <v>0</v>
      </c>
      <c r="K433" s="69">
        <f t="shared" si="93"/>
        <v>0</v>
      </c>
      <c r="L433" s="69">
        <f t="shared" si="94"/>
        <v>0</v>
      </c>
      <c r="M433" s="69">
        <f t="shared" si="95"/>
        <v>0</v>
      </c>
      <c r="N433" s="69">
        <f t="shared" si="96"/>
        <v>0</v>
      </c>
      <c r="O433" s="70"/>
      <c r="P433" s="79"/>
      <c r="Q433" s="79"/>
      <c r="R433" s="49">
        <f t="shared" si="97"/>
        <v>0</v>
      </c>
      <c r="S433" s="49">
        <f>[1]BASE!A431</f>
        <v>422</v>
      </c>
      <c r="T433" s="69">
        <f t="shared" si="82"/>
        <v>0</v>
      </c>
      <c r="U433" s="69">
        <f t="shared" si="83"/>
        <v>0</v>
      </c>
      <c r="V433" s="69">
        <f t="shared" si="84"/>
        <v>0</v>
      </c>
      <c r="W433" s="69">
        <f t="shared" si="85"/>
        <v>0</v>
      </c>
      <c r="X433" s="69">
        <f t="shared" si="86"/>
        <v>0</v>
      </c>
    </row>
    <row r="434" spans="1:24" ht="17.25" customHeight="1">
      <c r="A434" s="68" t="str">
        <f>IF(BASE!B432="","",BASE!B432)</f>
        <v/>
      </c>
      <c r="B434" s="49" t="s">
        <v>2</v>
      </c>
      <c r="C434" s="69">
        <f t="shared" si="87"/>
        <v>0</v>
      </c>
      <c r="D434" s="69">
        <f t="shared" si="88"/>
        <v>0</v>
      </c>
      <c r="E434" s="69">
        <f t="shared" si="89"/>
        <v>0</v>
      </c>
      <c r="F434" s="69">
        <f t="shared" si="90"/>
        <v>0</v>
      </c>
      <c r="G434" s="69">
        <f t="shared" si="91"/>
        <v>0</v>
      </c>
      <c r="H434" s="70"/>
      <c r="I434" s="79"/>
      <c r="J434" s="69">
        <f t="shared" si="92"/>
        <v>0</v>
      </c>
      <c r="K434" s="69">
        <f t="shared" si="93"/>
        <v>0</v>
      </c>
      <c r="L434" s="69">
        <f t="shared" si="94"/>
        <v>0</v>
      </c>
      <c r="M434" s="69">
        <f t="shared" si="95"/>
        <v>0</v>
      </c>
      <c r="N434" s="69">
        <f t="shared" si="96"/>
        <v>0</v>
      </c>
      <c r="O434" s="70"/>
      <c r="P434" s="79"/>
      <c r="Q434" s="79"/>
      <c r="R434" s="49">
        <f t="shared" si="97"/>
        <v>0</v>
      </c>
      <c r="S434" s="49">
        <f>[1]BASE!A432</f>
        <v>423</v>
      </c>
      <c r="T434" s="69">
        <f t="shared" si="82"/>
        <v>0</v>
      </c>
      <c r="U434" s="69">
        <f t="shared" si="83"/>
        <v>0</v>
      </c>
      <c r="V434" s="69">
        <f t="shared" si="84"/>
        <v>0</v>
      </c>
      <c r="W434" s="69">
        <f t="shared" si="85"/>
        <v>0</v>
      </c>
      <c r="X434" s="69">
        <f t="shared" si="86"/>
        <v>0</v>
      </c>
    </row>
    <row r="435" spans="1:24" ht="17.25" customHeight="1">
      <c r="A435" s="68" t="str">
        <f>IF(BASE!B433="","",BASE!B433)</f>
        <v/>
      </c>
      <c r="B435" s="49" t="s">
        <v>2</v>
      </c>
      <c r="C435" s="69">
        <f t="shared" si="87"/>
        <v>0</v>
      </c>
      <c r="D435" s="69">
        <f t="shared" si="88"/>
        <v>0</v>
      </c>
      <c r="E435" s="69">
        <f t="shared" si="89"/>
        <v>0</v>
      </c>
      <c r="F435" s="69">
        <f t="shared" si="90"/>
        <v>0</v>
      </c>
      <c r="G435" s="69">
        <f t="shared" si="91"/>
        <v>0</v>
      </c>
      <c r="H435" s="70"/>
      <c r="I435" s="79"/>
      <c r="J435" s="69">
        <f t="shared" si="92"/>
        <v>0</v>
      </c>
      <c r="K435" s="69">
        <f t="shared" si="93"/>
        <v>0</v>
      </c>
      <c r="L435" s="69">
        <f t="shared" si="94"/>
        <v>0</v>
      </c>
      <c r="M435" s="69">
        <f t="shared" si="95"/>
        <v>0</v>
      </c>
      <c r="N435" s="69">
        <f t="shared" si="96"/>
        <v>0</v>
      </c>
      <c r="O435" s="70"/>
      <c r="P435" s="79"/>
      <c r="Q435" s="79"/>
      <c r="R435" s="49">
        <f t="shared" si="97"/>
        <v>0</v>
      </c>
      <c r="S435" s="49">
        <f>[1]BASE!A433</f>
        <v>424</v>
      </c>
      <c r="T435" s="69">
        <f t="shared" si="82"/>
        <v>0</v>
      </c>
      <c r="U435" s="69">
        <f t="shared" si="83"/>
        <v>0</v>
      </c>
      <c r="V435" s="69">
        <f t="shared" si="84"/>
        <v>0</v>
      </c>
      <c r="W435" s="69">
        <f t="shared" si="85"/>
        <v>0</v>
      </c>
      <c r="X435" s="69">
        <f t="shared" si="86"/>
        <v>0</v>
      </c>
    </row>
    <row r="436" spans="1:24" ht="17.25" customHeight="1">
      <c r="A436" s="68" t="str">
        <f>IF(BASE!B434="","",BASE!B434)</f>
        <v/>
      </c>
      <c r="B436" s="49" t="s">
        <v>2</v>
      </c>
      <c r="C436" s="69">
        <f t="shared" si="87"/>
        <v>0</v>
      </c>
      <c r="D436" s="69">
        <f t="shared" si="88"/>
        <v>0</v>
      </c>
      <c r="E436" s="69">
        <f t="shared" si="89"/>
        <v>0</v>
      </c>
      <c r="F436" s="69">
        <f t="shared" si="90"/>
        <v>0</v>
      </c>
      <c r="G436" s="69">
        <f t="shared" si="91"/>
        <v>0</v>
      </c>
      <c r="H436" s="70"/>
      <c r="I436" s="79"/>
      <c r="J436" s="69">
        <f t="shared" si="92"/>
        <v>0</v>
      </c>
      <c r="K436" s="69">
        <f t="shared" si="93"/>
        <v>0</v>
      </c>
      <c r="L436" s="69">
        <f t="shared" si="94"/>
        <v>0</v>
      </c>
      <c r="M436" s="69">
        <f t="shared" si="95"/>
        <v>0</v>
      </c>
      <c r="N436" s="69">
        <f t="shared" si="96"/>
        <v>0</v>
      </c>
      <c r="O436" s="70"/>
      <c r="P436" s="79"/>
      <c r="Q436" s="79"/>
      <c r="R436" s="49">
        <f t="shared" si="97"/>
        <v>0</v>
      </c>
      <c r="S436" s="49">
        <f>[1]BASE!A434</f>
        <v>425</v>
      </c>
      <c r="T436" s="69">
        <f t="shared" si="82"/>
        <v>0</v>
      </c>
      <c r="U436" s="69">
        <f t="shared" si="83"/>
        <v>0</v>
      </c>
      <c r="V436" s="69">
        <f t="shared" si="84"/>
        <v>0</v>
      </c>
      <c r="W436" s="69">
        <f t="shared" si="85"/>
        <v>0</v>
      </c>
      <c r="X436" s="69">
        <f t="shared" si="86"/>
        <v>0</v>
      </c>
    </row>
    <row r="437" spans="1:24" ht="17.25" customHeight="1">
      <c r="A437" s="68" t="str">
        <f>IF(BASE!B435="","",BASE!B435)</f>
        <v/>
      </c>
      <c r="B437" s="49" t="s">
        <v>2</v>
      </c>
      <c r="C437" s="69">
        <f t="shared" si="87"/>
        <v>0</v>
      </c>
      <c r="D437" s="69">
        <f t="shared" si="88"/>
        <v>0</v>
      </c>
      <c r="E437" s="69">
        <f t="shared" si="89"/>
        <v>0</v>
      </c>
      <c r="F437" s="69">
        <f t="shared" si="90"/>
        <v>0</v>
      </c>
      <c r="G437" s="69">
        <f t="shared" si="91"/>
        <v>0</v>
      </c>
      <c r="H437" s="70"/>
      <c r="I437" s="79"/>
      <c r="J437" s="69">
        <f t="shared" si="92"/>
        <v>0</v>
      </c>
      <c r="K437" s="69">
        <f t="shared" si="93"/>
        <v>0</v>
      </c>
      <c r="L437" s="69">
        <f t="shared" si="94"/>
        <v>0</v>
      </c>
      <c r="M437" s="69">
        <f t="shared" si="95"/>
        <v>0</v>
      </c>
      <c r="N437" s="69">
        <f t="shared" si="96"/>
        <v>0</v>
      </c>
      <c r="O437" s="70"/>
      <c r="P437" s="79"/>
      <c r="Q437" s="79"/>
      <c r="R437" s="49">
        <f t="shared" si="97"/>
        <v>0</v>
      </c>
      <c r="S437" s="49">
        <f>[1]BASE!A435</f>
        <v>426</v>
      </c>
      <c r="T437" s="69">
        <f t="shared" si="82"/>
        <v>0</v>
      </c>
      <c r="U437" s="69">
        <f t="shared" si="83"/>
        <v>0</v>
      </c>
      <c r="V437" s="69">
        <f t="shared" si="84"/>
        <v>0</v>
      </c>
      <c r="W437" s="69">
        <f t="shared" si="85"/>
        <v>0</v>
      </c>
      <c r="X437" s="69">
        <f t="shared" si="86"/>
        <v>0</v>
      </c>
    </row>
    <row r="438" spans="1:24" ht="17.25" customHeight="1">
      <c r="A438" s="68" t="str">
        <f>IF(BASE!B436="","",BASE!B436)</f>
        <v/>
      </c>
      <c r="B438" s="49" t="s">
        <v>2</v>
      </c>
      <c r="C438" s="69">
        <f t="shared" si="87"/>
        <v>0</v>
      </c>
      <c r="D438" s="69">
        <f t="shared" si="88"/>
        <v>0</v>
      </c>
      <c r="E438" s="69">
        <f t="shared" si="89"/>
        <v>0</v>
      </c>
      <c r="F438" s="69">
        <f t="shared" si="90"/>
        <v>0</v>
      </c>
      <c r="G438" s="69">
        <f t="shared" si="91"/>
        <v>0</v>
      </c>
      <c r="H438" s="70"/>
      <c r="I438" s="79"/>
      <c r="J438" s="69">
        <f t="shared" si="92"/>
        <v>0</v>
      </c>
      <c r="K438" s="69">
        <f t="shared" si="93"/>
        <v>0</v>
      </c>
      <c r="L438" s="69">
        <f t="shared" si="94"/>
        <v>0</v>
      </c>
      <c r="M438" s="69">
        <f t="shared" si="95"/>
        <v>0</v>
      </c>
      <c r="N438" s="69">
        <f t="shared" si="96"/>
        <v>0</v>
      </c>
      <c r="O438" s="70"/>
      <c r="P438" s="79"/>
      <c r="Q438" s="79"/>
      <c r="R438" s="49">
        <f t="shared" si="97"/>
        <v>0</v>
      </c>
      <c r="S438" s="49">
        <f>[1]BASE!A436</f>
        <v>427</v>
      </c>
      <c r="T438" s="69">
        <f t="shared" si="82"/>
        <v>0</v>
      </c>
      <c r="U438" s="69">
        <f t="shared" si="83"/>
        <v>0</v>
      </c>
      <c r="V438" s="69">
        <f t="shared" si="84"/>
        <v>0</v>
      </c>
      <c r="W438" s="69">
        <f t="shared" si="85"/>
        <v>0</v>
      </c>
      <c r="X438" s="69">
        <f t="shared" si="86"/>
        <v>0</v>
      </c>
    </row>
    <row r="439" spans="1:24" ht="17.25" customHeight="1">
      <c r="A439" s="68" t="str">
        <f>IF(BASE!B437="","",BASE!B437)</f>
        <v/>
      </c>
      <c r="B439" s="49" t="s">
        <v>2</v>
      </c>
      <c r="C439" s="69">
        <f t="shared" si="87"/>
        <v>0</v>
      </c>
      <c r="D439" s="69">
        <f t="shared" si="88"/>
        <v>0</v>
      </c>
      <c r="E439" s="69">
        <f t="shared" si="89"/>
        <v>0</v>
      </c>
      <c r="F439" s="69">
        <f t="shared" si="90"/>
        <v>0</v>
      </c>
      <c r="G439" s="69">
        <f t="shared" si="91"/>
        <v>0</v>
      </c>
      <c r="H439" s="70"/>
      <c r="I439" s="79"/>
      <c r="J439" s="69">
        <f t="shared" si="92"/>
        <v>0</v>
      </c>
      <c r="K439" s="69">
        <f t="shared" si="93"/>
        <v>0</v>
      </c>
      <c r="L439" s="69">
        <f t="shared" si="94"/>
        <v>0</v>
      </c>
      <c r="M439" s="69">
        <f t="shared" si="95"/>
        <v>0</v>
      </c>
      <c r="N439" s="69">
        <f t="shared" si="96"/>
        <v>0</v>
      </c>
      <c r="O439" s="70"/>
      <c r="P439" s="79"/>
      <c r="Q439" s="79"/>
      <c r="R439" s="49">
        <f t="shared" si="97"/>
        <v>0</v>
      </c>
      <c r="S439" s="49">
        <f>[1]BASE!A437</f>
        <v>428</v>
      </c>
      <c r="T439" s="69">
        <f t="shared" si="82"/>
        <v>0</v>
      </c>
      <c r="U439" s="69">
        <f t="shared" si="83"/>
        <v>0</v>
      </c>
      <c r="V439" s="69">
        <f t="shared" si="84"/>
        <v>0</v>
      </c>
      <c r="W439" s="69">
        <f t="shared" si="85"/>
        <v>0</v>
      </c>
      <c r="X439" s="69">
        <f t="shared" si="86"/>
        <v>0</v>
      </c>
    </row>
    <row r="440" spans="1:24" ht="17.25" customHeight="1">
      <c r="A440" s="68" t="str">
        <f>IF(BASE!B438="","",BASE!B438)</f>
        <v/>
      </c>
      <c r="B440" s="49" t="s">
        <v>2</v>
      </c>
      <c r="C440" s="69">
        <f t="shared" si="87"/>
        <v>0</v>
      </c>
      <c r="D440" s="69">
        <f t="shared" si="88"/>
        <v>0</v>
      </c>
      <c r="E440" s="69">
        <f t="shared" si="89"/>
        <v>0</v>
      </c>
      <c r="F440" s="69">
        <f t="shared" si="90"/>
        <v>0</v>
      </c>
      <c r="G440" s="69">
        <f t="shared" si="91"/>
        <v>0</v>
      </c>
      <c r="H440" s="70"/>
      <c r="I440" s="79"/>
      <c r="J440" s="69">
        <f t="shared" si="92"/>
        <v>0</v>
      </c>
      <c r="K440" s="69">
        <f t="shared" si="93"/>
        <v>0</v>
      </c>
      <c r="L440" s="69">
        <f t="shared" si="94"/>
        <v>0</v>
      </c>
      <c r="M440" s="69">
        <f t="shared" si="95"/>
        <v>0</v>
      </c>
      <c r="N440" s="69">
        <f t="shared" si="96"/>
        <v>0</v>
      </c>
      <c r="O440" s="70"/>
      <c r="P440" s="79"/>
      <c r="Q440" s="79"/>
      <c r="R440" s="49">
        <f t="shared" si="97"/>
        <v>0</v>
      </c>
      <c r="S440" s="49">
        <f>[1]BASE!A438</f>
        <v>429</v>
      </c>
      <c r="T440" s="69">
        <f t="shared" si="82"/>
        <v>0</v>
      </c>
      <c r="U440" s="69">
        <f t="shared" si="83"/>
        <v>0</v>
      </c>
      <c r="V440" s="69">
        <f t="shared" si="84"/>
        <v>0</v>
      </c>
      <c r="W440" s="69">
        <f t="shared" si="85"/>
        <v>0</v>
      </c>
      <c r="X440" s="69">
        <f t="shared" si="86"/>
        <v>0</v>
      </c>
    </row>
    <row r="441" spans="1:24" ht="17.25" customHeight="1">
      <c r="A441" s="68" t="str">
        <f>IF(BASE!B439="","",BASE!B439)</f>
        <v/>
      </c>
      <c r="B441" s="49" t="s">
        <v>2</v>
      </c>
      <c r="C441" s="69">
        <f t="shared" si="87"/>
        <v>0</v>
      </c>
      <c r="D441" s="69">
        <f t="shared" si="88"/>
        <v>0</v>
      </c>
      <c r="E441" s="69">
        <f t="shared" si="89"/>
        <v>0</v>
      </c>
      <c r="F441" s="69">
        <f t="shared" si="90"/>
        <v>0</v>
      </c>
      <c r="G441" s="69">
        <f t="shared" si="91"/>
        <v>0</v>
      </c>
      <c r="H441" s="70"/>
      <c r="I441" s="79"/>
      <c r="J441" s="69">
        <f t="shared" si="92"/>
        <v>0</v>
      </c>
      <c r="K441" s="69">
        <f t="shared" si="93"/>
        <v>0</v>
      </c>
      <c r="L441" s="69">
        <f t="shared" si="94"/>
        <v>0</v>
      </c>
      <c r="M441" s="69">
        <f t="shared" si="95"/>
        <v>0</v>
      </c>
      <c r="N441" s="69">
        <f t="shared" si="96"/>
        <v>0</v>
      </c>
      <c r="O441" s="70"/>
      <c r="P441" s="79"/>
      <c r="Q441" s="79"/>
      <c r="R441" s="49">
        <f t="shared" si="97"/>
        <v>0</v>
      </c>
      <c r="S441" s="49">
        <f>[1]BASE!A439</f>
        <v>430</v>
      </c>
      <c r="T441" s="69">
        <f t="shared" si="82"/>
        <v>0</v>
      </c>
      <c r="U441" s="69">
        <f t="shared" si="83"/>
        <v>0</v>
      </c>
      <c r="V441" s="69">
        <f t="shared" si="84"/>
        <v>0</v>
      </c>
      <c r="W441" s="69">
        <f t="shared" si="85"/>
        <v>0</v>
      </c>
      <c r="X441" s="69">
        <f t="shared" si="86"/>
        <v>0</v>
      </c>
    </row>
    <row r="442" spans="1:24" ht="17.25" customHeight="1">
      <c r="A442" s="68" t="str">
        <f>IF(BASE!B440="","",BASE!B440)</f>
        <v/>
      </c>
      <c r="B442" s="49" t="s">
        <v>2</v>
      </c>
      <c r="C442" s="69">
        <f t="shared" si="87"/>
        <v>0</v>
      </c>
      <c r="D442" s="69">
        <f t="shared" si="88"/>
        <v>0</v>
      </c>
      <c r="E442" s="69">
        <f t="shared" si="89"/>
        <v>0</v>
      </c>
      <c r="F442" s="69">
        <f t="shared" si="90"/>
        <v>0</v>
      </c>
      <c r="G442" s="69">
        <f t="shared" si="91"/>
        <v>0</v>
      </c>
      <c r="H442" s="70"/>
      <c r="I442" s="79"/>
      <c r="J442" s="69">
        <f t="shared" si="92"/>
        <v>0</v>
      </c>
      <c r="K442" s="69">
        <f t="shared" si="93"/>
        <v>0</v>
      </c>
      <c r="L442" s="69">
        <f t="shared" si="94"/>
        <v>0</v>
      </c>
      <c r="M442" s="69">
        <f t="shared" si="95"/>
        <v>0</v>
      </c>
      <c r="N442" s="69">
        <f t="shared" si="96"/>
        <v>0</v>
      </c>
      <c r="O442" s="70"/>
      <c r="P442" s="79"/>
      <c r="Q442" s="79"/>
      <c r="R442" s="49">
        <f t="shared" si="97"/>
        <v>0</v>
      </c>
      <c r="S442" s="49">
        <f>[1]BASE!A440</f>
        <v>431</v>
      </c>
      <c r="T442" s="69">
        <f t="shared" si="82"/>
        <v>0</v>
      </c>
      <c r="U442" s="69">
        <f t="shared" si="83"/>
        <v>0</v>
      </c>
      <c r="V442" s="69">
        <f t="shared" si="84"/>
        <v>0</v>
      </c>
      <c r="W442" s="69">
        <f t="shared" si="85"/>
        <v>0</v>
      </c>
      <c r="X442" s="69">
        <f t="shared" si="86"/>
        <v>0</v>
      </c>
    </row>
    <row r="443" spans="1:24" ht="17.25" customHeight="1">
      <c r="A443" s="68" t="str">
        <f>IF(BASE!B441="","",BASE!B441)</f>
        <v/>
      </c>
      <c r="B443" s="49" t="s">
        <v>2</v>
      </c>
      <c r="C443" s="69">
        <f t="shared" si="87"/>
        <v>0</v>
      </c>
      <c r="D443" s="69">
        <f t="shared" si="88"/>
        <v>0</v>
      </c>
      <c r="E443" s="69">
        <f t="shared" si="89"/>
        <v>0</v>
      </c>
      <c r="F443" s="69">
        <f t="shared" si="90"/>
        <v>0</v>
      </c>
      <c r="G443" s="69">
        <f t="shared" si="91"/>
        <v>0</v>
      </c>
      <c r="H443" s="70"/>
      <c r="I443" s="79"/>
      <c r="J443" s="69">
        <f t="shared" si="92"/>
        <v>0</v>
      </c>
      <c r="K443" s="69">
        <f t="shared" si="93"/>
        <v>0</v>
      </c>
      <c r="L443" s="69">
        <f t="shared" si="94"/>
        <v>0</v>
      </c>
      <c r="M443" s="69">
        <f t="shared" si="95"/>
        <v>0</v>
      </c>
      <c r="N443" s="69">
        <f t="shared" si="96"/>
        <v>0</v>
      </c>
      <c r="O443" s="70"/>
      <c r="P443" s="79"/>
      <c r="Q443" s="79"/>
      <c r="R443" s="49">
        <f t="shared" si="97"/>
        <v>0</v>
      </c>
      <c r="S443" s="49">
        <f>[1]BASE!A441</f>
        <v>432</v>
      </c>
      <c r="T443" s="69">
        <f t="shared" si="82"/>
        <v>0</v>
      </c>
      <c r="U443" s="69">
        <f t="shared" si="83"/>
        <v>0</v>
      </c>
      <c r="V443" s="69">
        <f t="shared" si="84"/>
        <v>0</v>
      </c>
      <c r="W443" s="69">
        <f t="shared" si="85"/>
        <v>0</v>
      </c>
      <c r="X443" s="69">
        <f t="shared" si="86"/>
        <v>0</v>
      </c>
    </row>
    <row r="444" spans="1:24" ht="17.25" customHeight="1">
      <c r="A444" s="68" t="str">
        <f>IF(BASE!B442="","",BASE!B442)</f>
        <v/>
      </c>
      <c r="B444" s="49" t="s">
        <v>2</v>
      </c>
      <c r="C444" s="69">
        <f t="shared" si="87"/>
        <v>0</v>
      </c>
      <c r="D444" s="69">
        <f t="shared" si="88"/>
        <v>0</v>
      </c>
      <c r="E444" s="69">
        <f t="shared" si="89"/>
        <v>0</v>
      </c>
      <c r="F444" s="69">
        <f t="shared" si="90"/>
        <v>0</v>
      </c>
      <c r="G444" s="69">
        <f t="shared" si="91"/>
        <v>0</v>
      </c>
      <c r="H444" s="70"/>
      <c r="I444" s="79"/>
      <c r="J444" s="69">
        <f t="shared" si="92"/>
        <v>0</v>
      </c>
      <c r="K444" s="69">
        <f t="shared" si="93"/>
        <v>0</v>
      </c>
      <c r="L444" s="69">
        <f t="shared" si="94"/>
        <v>0</v>
      </c>
      <c r="M444" s="69">
        <f t="shared" si="95"/>
        <v>0</v>
      </c>
      <c r="N444" s="69">
        <f t="shared" si="96"/>
        <v>0</v>
      </c>
      <c r="O444" s="70"/>
      <c r="P444" s="79"/>
      <c r="Q444" s="79"/>
      <c r="R444" s="49">
        <f t="shared" si="97"/>
        <v>0</v>
      </c>
      <c r="S444" s="49">
        <f>[1]BASE!A442</f>
        <v>433</v>
      </c>
      <c r="T444" s="69">
        <f t="shared" si="82"/>
        <v>0</v>
      </c>
      <c r="U444" s="69">
        <f t="shared" si="83"/>
        <v>0</v>
      </c>
      <c r="V444" s="69">
        <f t="shared" si="84"/>
        <v>0</v>
      </c>
      <c r="W444" s="69">
        <f t="shared" si="85"/>
        <v>0</v>
      </c>
      <c r="X444" s="69">
        <f t="shared" si="86"/>
        <v>0</v>
      </c>
    </row>
    <row r="445" spans="1:24" ht="17.25" customHeight="1">
      <c r="A445" s="68" t="str">
        <f>IF(BASE!B443="","",BASE!B443)</f>
        <v/>
      </c>
      <c r="B445" s="49" t="s">
        <v>2</v>
      </c>
      <c r="C445" s="69">
        <f t="shared" si="87"/>
        <v>0</v>
      </c>
      <c r="D445" s="69">
        <f t="shared" si="88"/>
        <v>0</v>
      </c>
      <c r="E445" s="69">
        <f t="shared" si="89"/>
        <v>0</v>
      </c>
      <c r="F445" s="69">
        <f t="shared" si="90"/>
        <v>0</v>
      </c>
      <c r="G445" s="69">
        <f t="shared" si="91"/>
        <v>0</v>
      </c>
      <c r="H445" s="70"/>
      <c r="I445" s="79"/>
      <c r="J445" s="69">
        <f t="shared" si="92"/>
        <v>0</v>
      </c>
      <c r="K445" s="69">
        <f t="shared" si="93"/>
        <v>0</v>
      </c>
      <c r="L445" s="69">
        <f t="shared" si="94"/>
        <v>0</v>
      </c>
      <c r="M445" s="69">
        <f t="shared" si="95"/>
        <v>0</v>
      </c>
      <c r="N445" s="69">
        <f t="shared" si="96"/>
        <v>0</v>
      </c>
      <c r="O445" s="70"/>
      <c r="P445" s="79"/>
      <c r="Q445" s="79"/>
      <c r="R445" s="49">
        <f t="shared" si="97"/>
        <v>0</v>
      </c>
      <c r="S445" s="49">
        <f>[1]BASE!A443</f>
        <v>434</v>
      </c>
      <c r="T445" s="69">
        <f t="shared" ref="T445:T461" si="98">SUMIF($C$11:$Q$11,1,C445:Q445)</f>
        <v>0</v>
      </c>
      <c r="U445" s="69">
        <f t="shared" ref="U445:U461" si="99">SUMIF($C$11:$Q$11,2,C445:Q445)</f>
        <v>0</v>
      </c>
      <c r="V445" s="69">
        <f t="shared" ref="V445:V461" si="100">SUMIF($C$11:$Q$11,3,C445:Q445)</f>
        <v>0</v>
      </c>
      <c r="W445" s="69">
        <f t="shared" ref="W445:W461" si="101">SUMIF($C$11:$Q$11,4,C445:Q445)</f>
        <v>0</v>
      </c>
      <c r="X445" s="69">
        <f t="shared" ref="X445:X461" si="102">SUMIF($C$11:$Q$11,5,C445:Q445)</f>
        <v>0</v>
      </c>
    </row>
    <row r="446" spans="1:24" ht="17.25" customHeight="1">
      <c r="A446" s="68" t="str">
        <f>IF(BASE!B444="","",BASE!B444)</f>
        <v/>
      </c>
      <c r="B446" s="49" t="s">
        <v>2</v>
      </c>
      <c r="C446" s="69">
        <f t="shared" si="87"/>
        <v>0</v>
      </c>
      <c r="D446" s="69">
        <f t="shared" si="88"/>
        <v>0</v>
      </c>
      <c r="E446" s="69">
        <f t="shared" si="89"/>
        <v>0</v>
      </c>
      <c r="F446" s="69">
        <f t="shared" si="90"/>
        <v>0</v>
      </c>
      <c r="G446" s="69">
        <f t="shared" si="91"/>
        <v>0</v>
      </c>
      <c r="H446" s="70"/>
      <c r="I446" s="79"/>
      <c r="J446" s="69">
        <f t="shared" si="92"/>
        <v>0</v>
      </c>
      <c r="K446" s="69">
        <f t="shared" si="93"/>
        <v>0</v>
      </c>
      <c r="L446" s="69">
        <f t="shared" si="94"/>
        <v>0</v>
      </c>
      <c r="M446" s="69">
        <f t="shared" si="95"/>
        <v>0</v>
      </c>
      <c r="N446" s="69">
        <f t="shared" si="96"/>
        <v>0</v>
      </c>
      <c r="O446" s="70"/>
      <c r="P446" s="79"/>
      <c r="Q446" s="79"/>
      <c r="R446" s="49">
        <f t="shared" si="97"/>
        <v>0</v>
      </c>
      <c r="S446" s="49">
        <f>[1]BASE!A444</f>
        <v>435</v>
      </c>
      <c r="T446" s="69">
        <f t="shared" si="98"/>
        <v>0</v>
      </c>
      <c r="U446" s="69">
        <f t="shared" si="99"/>
        <v>0</v>
      </c>
      <c r="V446" s="69">
        <f t="shared" si="100"/>
        <v>0</v>
      </c>
      <c r="W446" s="69">
        <f t="shared" si="101"/>
        <v>0</v>
      </c>
      <c r="X446" s="69">
        <f t="shared" si="102"/>
        <v>0</v>
      </c>
    </row>
    <row r="447" spans="1:24" ht="17.25" customHeight="1">
      <c r="A447" s="68" t="str">
        <f>IF(BASE!B445="","",BASE!B445)</f>
        <v/>
      </c>
      <c r="B447" s="49" t="s">
        <v>2</v>
      </c>
      <c r="C447" s="69">
        <f t="shared" si="87"/>
        <v>0</v>
      </c>
      <c r="D447" s="69">
        <f t="shared" si="88"/>
        <v>0</v>
      </c>
      <c r="E447" s="69">
        <f t="shared" si="89"/>
        <v>0</v>
      </c>
      <c r="F447" s="69">
        <f t="shared" si="90"/>
        <v>0</v>
      </c>
      <c r="G447" s="69">
        <f t="shared" si="91"/>
        <v>0</v>
      </c>
      <c r="H447" s="70"/>
      <c r="I447" s="79"/>
      <c r="J447" s="69">
        <f t="shared" si="92"/>
        <v>0</v>
      </c>
      <c r="K447" s="69">
        <f t="shared" si="93"/>
        <v>0</v>
      </c>
      <c r="L447" s="69">
        <f t="shared" si="94"/>
        <v>0</v>
      </c>
      <c r="M447" s="69">
        <f t="shared" si="95"/>
        <v>0</v>
      </c>
      <c r="N447" s="69">
        <f t="shared" si="96"/>
        <v>0</v>
      </c>
      <c r="O447" s="70"/>
      <c r="P447" s="79"/>
      <c r="Q447" s="79"/>
      <c r="R447" s="49">
        <f t="shared" si="97"/>
        <v>0</v>
      </c>
      <c r="S447" s="49">
        <f>[1]BASE!A445</f>
        <v>436</v>
      </c>
      <c r="T447" s="69">
        <f t="shared" si="98"/>
        <v>0</v>
      </c>
      <c r="U447" s="69">
        <f t="shared" si="99"/>
        <v>0</v>
      </c>
      <c r="V447" s="69">
        <f t="shared" si="100"/>
        <v>0</v>
      </c>
      <c r="W447" s="69">
        <f t="shared" si="101"/>
        <v>0</v>
      </c>
      <c r="X447" s="69">
        <f t="shared" si="102"/>
        <v>0</v>
      </c>
    </row>
    <row r="448" spans="1:24" ht="17.25" customHeight="1">
      <c r="A448" s="68" t="str">
        <f>IF(BASE!B446="","",BASE!B446)</f>
        <v/>
      </c>
      <c r="B448" s="49" t="s">
        <v>2</v>
      </c>
      <c r="C448" s="69">
        <f t="shared" si="87"/>
        <v>0</v>
      </c>
      <c r="D448" s="69">
        <f t="shared" si="88"/>
        <v>0</v>
      </c>
      <c r="E448" s="69">
        <f t="shared" si="89"/>
        <v>0</v>
      </c>
      <c r="F448" s="69">
        <f t="shared" si="90"/>
        <v>0</v>
      </c>
      <c r="G448" s="69">
        <f t="shared" si="91"/>
        <v>0</v>
      </c>
      <c r="H448" s="70"/>
      <c r="I448" s="79"/>
      <c r="J448" s="69">
        <f t="shared" si="92"/>
        <v>0</v>
      </c>
      <c r="K448" s="69">
        <f t="shared" si="93"/>
        <v>0</v>
      </c>
      <c r="L448" s="69">
        <f t="shared" si="94"/>
        <v>0</v>
      </c>
      <c r="M448" s="69">
        <f t="shared" si="95"/>
        <v>0</v>
      </c>
      <c r="N448" s="69">
        <f t="shared" si="96"/>
        <v>0</v>
      </c>
      <c r="O448" s="70"/>
      <c r="P448" s="79"/>
      <c r="Q448" s="79"/>
      <c r="R448" s="49">
        <f t="shared" si="97"/>
        <v>0</v>
      </c>
      <c r="S448" s="49">
        <f>[1]BASE!A446</f>
        <v>437</v>
      </c>
      <c r="T448" s="69">
        <f t="shared" si="98"/>
        <v>0</v>
      </c>
      <c r="U448" s="69">
        <f t="shared" si="99"/>
        <v>0</v>
      </c>
      <c r="V448" s="69">
        <f t="shared" si="100"/>
        <v>0</v>
      </c>
      <c r="W448" s="69">
        <f t="shared" si="101"/>
        <v>0</v>
      </c>
      <c r="X448" s="69">
        <f t="shared" si="102"/>
        <v>0</v>
      </c>
    </row>
    <row r="449" spans="1:24" ht="17.25" customHeight="1">
      <c r="A449" s="68" t="str">
        <f>IF(BASE!B447="","",BASE!B447)</f>
        <v/>
      </c>
      <c r="B449" s="49" t="s">
        <v>2</v>
      </c>
      <c r="C449" s="69">
        <f t="shared" si="87"/>
        <v>0</v>
      </c>
      <c r="D449" s="69">
        <f t="shared" si="88"/>
        <v>0</v>
      </c>
      <c r="E449" s="69">
        <f t="shared" si="89"/>
        <v>0</v>
      </c>
      <c r="F449" s="69">
        <f t="shared" si="90"/>
        <v>0</v>
      </c>
      <c r="G449" s="69">
        <f t="shared" si="91"/>
        <v>0</v>
      </c>
      <c r="H449" s="70"/>
      <c r="I449" s="79"/>
      <c r="J449" s="69">
        <f t="shared" si="92"/>
        <v>0</v>
      </c>
      <c r="K449" s="69">
        <f t="shared" si="93"/>
        <v>0</v>
      </c>
      <c r="L449" s="69">
        <f t="shared" si="94"/>
        <v>0</v>
      </c>
      <c r="M449" s="69">
        <f t="shared" si="95"/>
        <v>0</v>
      </c>
      <c r="N449" s="69">
        <f t="shared" si="96"/>
        <v>0</v>
      </c>
      <c r="O449" s="70"/>
      <c r="P449" s="79"/>
      <c r="Q449" s="79"/>
      <c r="R449" s="49">
        <f t="shared" si="97"/>
        <v>0</v>
      </c>
      <c r="S449" s="49">
        <f>[1]BASE!A447</f>
        <v>438</v>
      </c>
      <c r="T449" s="69">
        <f t="shared" si="98"/>
        <v>0</v>
      </c>
      <c r="U449" s="69">
        <f t="shared" si="99"/>
        <v>0</v>
      </c>
      <c r="V449" s="69">
        <f t="shared" si="100"/>
        <v>0</v>
      </c>
      <c r="W449" s="69">
        <f t="shared" si="101"/>
        <v>0</v>
      </c>
      <c r="X449" s="69">
        <f t="shared" si="102"/>
        <v>0</v>
      </c>
    </row>
    <row r="450" spans="1:24" ht="17.25" customHeight="1">
      <c r="A450" s="68" t="str">
        <f>IF(BASE!B448="","",BASE!B448)</f>
        <v/>
      </c>
      <c r="B450" s="49" t="s">
        <v>2</v>
      </c>
      <c r="C450" s="69">
        <f t="shared" si="87"/>
        <v>0</v>
      </c>
      <c r="D450" s="69">
        <f t="shared" si="88"/>
        <v>0</v>
      </c>
      <c r="E450" s="69">
        <f t="shared" si="89"/>
        <v>0</v>
      </c>
      <c r="F450" s="69">
        <f t="shared" si="90"/>
        <v>0</v>
      </c>
      <c r="G450" s="69">
        <f t="shared" si="91"/>
        <v>0</v>
      </c>
      <c r="H450" s="70"/>
      <c r="I450" s="79"/>
      <c r="J450" s="69">
        <f t="shared" si="92"/>
        <v>0</v>
      </c>
      <c r="K450" s="69">
        <f t="shared" si="93"/>
        <v>0</v>
      </c>
      <c r="L450" s="69">
        <f t="shared" si="94"/>
        <v>0</v>
      </c>
      <c r="M450" s="69">
        <f t="shared" si="95"/>
        <v>0</v>
      </c>
      <c r="N450" s="69">
        <f t="shared" si="96"/>
        <v>0</v>
      </c>
      <c r="O450" s="70"/>
      <c r="P450" s="79"/>
      <c r="Q450" s="79"/>
      <c r="R450" s="49">
        <f t="shared" si="97"/>
        <v>0</v>
      </c>
      <c r="S450" s="49">
        <f>[1]BASE!A448</f>
        <v>439</v>
      </c>
      <c r="T450" s="69">
        <f t="shared" si="98"/>
        <v>0</v>
      </c>
      <c r="U450" s="69">
        <f t="shared" si="99"/>
        <v>0</v>
      </c>
      <c r="V450" s="69">
        <f t="shared" si="100"/>
        <v>0</v>
      </c>
      <c r="W450" s="69">
        <f t="shared" si="101"/>
        <v>0</v>
      </c>
      <c r="X450" s="69">
        <f t="shared" si="102"/>
        <v>0</v>
      </c>
    </row>
    <row r="451" spans="1:24" ht="17.25" customHeight="1">
      <c r="A451" s="68" t="str">
        <f>IF(BASE!B449="","",BASE!B449)</f>
        <v/>
      </c>
      <c r="B451" s="49" t="s">
        <v>2</v>
      </c>
      <c r="C451" s="69">
        <f t="shared" si="87"/>
        <v>0</v>
      </c>
      <c r="D451" s="69">
        <f t="shared" si="88"/>
        <v>0</v>
      </c>
      <c r="E451" s="69">
        <f t="shared" si="89"/>
        <v>0</v>
      </c>
      <c r="F451" s="69">
        <f t="shared" si="90"/>
        <v>0</v>
      </c>
      <c r="G451" s="69">
        <f t="shared" si="91"/>
        <v>0</v>
      </c>
      <c r="H451" s="70"/>
      <c r="I451" s="79"/>
      <c r="J451" s="69">
        <f t="shared" si="92"/>
        <v>0</v>
      </c>
      <c r="K451" s="69">
        <f t="shared" si="93"/>
        <v>0</v>
      </c>
      <c r="L451" s="69">
        <f t="shared" si="94"/>
        <v>0</v>
      </c>
      <c r="M451" s="69">
        <f t="shared" si="95"/>
        <v>0</v>
      </c>
      <c r="N451" s="69">
        <f t="shared" si="96"/>
        <v>0</v>
      </c>
      <c r="O451" s="70"/>
      <c r="P451" s="79"/>
      <c r="Q451" s="79"/>
      <c r="R451" s="49">
        <f t="shared" si="97"/>
        <v>0</v>
      </c>
      <c r="S451" s="49">
        <f>[1]BASE!A449</f>
        <v>440</v>
      </c>
      <c r="T451" s="69">
        <f t="shared" si="98"/>
        <v>0</v>
      </c>
      <c r="U451" s="69">
        <f t="shared" si="99"/>
        <v>0</v>
      </c>
      <c r="V451" s="69">
        <f t="shared" si="100"/>
        <v>0</v>
      </c>
      <c r="W451" s="69">
        <f t="shared" si="101"/>
        <v>0</v>
      </c>
      <c r="X451" s="69">
        <f t="shared" si="102"/>
        <v>0</v>
      </c>
    </row>
    <row r="452" spans="1:24" ht="15.75" customHeight="1">
      <c r="A452" s="68" t="str">
        <f>IF(BASE!B450="","",BASE!B450)</f>
        <v/>
      </c>
      <c r="B452" s="49" t="s">
        <v>2</v>
      </c>
      <c r="C452" s="69">
        <f t="shared" si="87"/>
        <v>0</v>
      </c>
      <c r="D452" s="69">
        <f t="shared" si="88"/>
        <v>0</v>
      </c>
      <c r="E452" s="69">
        <f t="shared" si="89"/>
        <v>0</v>
      </c>
      <c r="F452" s="69">
        <f t="shared" si="90"/>
        <v>0</v>
      </c>
      <c r="G452" s="69">
        <f t="shared" si="91"/>
        <v>0</v>
      </c>
      <c r="H452" s="70"/>
      <c r="I452" s="2"/>
      <c r="J452" s="69">
        <f t="shared" si="92"/>
        <v>0</v>
      </c>
      <c r="K452" s="69">
        <f t="shared" si="93"/>
        <v>0</v>
      </c>
      <c r="L452" s="69">
        <f t="shared" si="94"/>
        <v>0</v>
      </c>
      <c r="M452" s="69">
        <f t="shared" si="95"/>
        <v>0</v>
      </c>
      <c r="N452" s="69">
        <f t="shared" si="96"/>
        <v>0</v>
      </c>
      <c r="O452" s="70"/>
      <c r="P452" s="2"/>
      <c r="Q452" s="2"/>
      <c r="R452" s="49">
        <f t="shared" si="97"/>
        <v>0</v>
      </c>
      <c r="S452" s="49">
        <f>[1]BASE!A450</f>
        <v>441</v>
      </c>
      <c r="T452" s="69">
        <f t="shared" si="98"/>
        <v>0</v>
      </c>
      <c r="U452" s="69">
        <f t="shared" si="99"/>
        <v>0</v>
      </c>
      <c r="V452" s="69">
        <f t="shared" si="100"/>
        <v>0</v>
      </c>
      <c r="W452" s="69">
        <f t="shared" si="101"/>
        <v>0</v>
      </c>
      <c r="X452" s="69">
        <f t="shared" si="102"/>
        <v>0</v>
      </c>
    </row>
    <row r="453" spans="1:24" ht="15.75" customHeight="1">
      <c r="A453" s="68" t="str">
        <f>IF(BASE!B451="","",BASE!B451)</f>
        <v/>
      </c>
      <c r="B453" s="49" t="s">
        <v>2</v>
      </c>
      <c r="C453" s="69">
        <f t="shared" si="87"/>
        <v>0</v>
      </c>
      <c r="D453" s="69">
        <f t="shared" si="88"/>
        <v>0</v>
      </c>
      <c r="E453" s="69">
        <f t="shared" si="89"/>
        <v>0</v>
      </c>
      <c r="F453" s="69">
        <f t="shared" si="90"/>
        <v>0</v>
      </c>
      <c r="G453" s="69">
        <f t="shared" si="91"/>
        <v>0</v>
      </c>
      <c r="H453" s="70"/>
      <c r="I453" s="2"/>
      <c r="J453" s="69">
        <f t="shared" si="92"/>
        <v>0</v>
      </c>
      <c r="K453" s="69">
        <f t="shared" si="93"/>
        <v>0</v>
      </c>
      <c r="L453" s="69">
        <f t="shared" si="94"/>
        <v>0</v>
      </c>
      <c r="M453" s="69">
        <f t="shared" si="95"/>
        <v>0</v>
      </c>
      <c r="N453" s="69">
        <f t="shared" si="96"/>
        <v>0</v>
      </c>
      <c r="O453" s="70"/>
      <c r="P453" s="2"/>
      <c r="Q453" s="2"/>
      <c r="R453" s="49">
        <f t="shared" si="97"/>
        <v>0</v>
      </c>
      <c r="S453" s="49">
        <f>[1]BASE!A451</f>
        <v>442</v>
      </c>
      <c r="T453" s="69">
        <f t="shared" si="98"/>
        <v>0</v>
      </c>
      <c r="U453" s="69">
        <f t="shared" si="99"/>
        <v>0</v>
      </c>
      <c r="V453" s="69">
        <f t="shared" si="100"/>
        <v>0</v>
      </c>
      <c r="W453" s="69">
        <f t="shared" si="101"/>
        <v>0</v>
      </c>
      <c r="X453" s="69">
        <f t="shared" si="102"/>
        <v>0</v>
      </c>
    </row>
    <row r="454" spans="1:24" ht="15.75" customHeight="1">
      <c r="A454" s="68" t="str">
        <f>IF(BASE!B452="","",BASE!B452)</f>
        <v/>
      </c>
      <c r="B454" s="49" t="s">
        <v>2</v>
      </c>
      <c r="C454" s="69">
        <f t="shared" si="87"/>
        <v>0</v>
      </c>
      <c r="D454" s="69">
        <f t="shared" si="88"/>
        <v>0</v>
      </c>
      <c r="E454" s="69">
        <f t="shared" si="89"/>
        <v>0</v>
      </c>
      <c r="F454" s="69">
        <f t="shared" si="90"/>
        <v>0</v>
      </c>
      <c r="G454" s="69">
        <f t="shared" si="91"/>
        <v>0</v>
      </c>
      <c r="H454" s="70"/>
      <c r="I454" s="2"/>
      <c r="J454" s="69">
        <f t="shared" si="92"/>
        <v>0</v>
      </c>
      <c r="K454" s="69">
        <f t="shared" si="93"/>
        <v>0</v>
      </c>
      <c r="L454" s="69">
        <f t="shared" si="94"/>
        <v>0</v>
      </c>
      <c r="M454" s="69">
        <f t="shared" si="95"/>
        <v>0</v>
      </c>
      <c r="N454" s="69">
        <f t="shared" si="96"/>
        <v>0</v>
      </c>
      <c r="O454" s="70"/>
      <c r="P454" s="2"/>
      <c r="Q454" s="2"/>
      <c r="R454" s="49">
        <f t="shared" si="97"/>
        <v>0</v>
      </c>
      <c r="S454" s="49">
        <f>[1]BASE!A452</f>
        <v>443</v>
      </c>
      <c r="T454" s="69">
        <f t="shared" si="98"/>
        <v>0</v>
      </c>
      <c r="U454" s="69">
        <f t="shared" si="99"/>
        <v>0</v>
      </c>
      <c r="V454" s="69">
        <f t="shared" si="100"/>
        <v>0</v>
      </c>
      <c r="W454" s="69">
        <f t="shared" si="101"/>
        <v>0</v>
      </c>
      <c r="X454" s="69">
        <f t="shared" si="102"/>
        <v>0</v>
      </c>
    </row>
    <row r="455" spans="1:24" ht="15.75" customHeight="1">
      <c r="A455" s="68" t="str">
        <f>IF(BASE!B453="","",BASE!B453)</f>
        <v/>
      </c>
      <c r="B455" s="49" t="s">
        <v>2</v>
      </c>
      <c r="C455" s="69">
        <f t="shared" si="87"/>
        <v>0</v>
      </c>
      <c r="D455" s="69">
        <f t="shared" si="88"/>
        <v>0</v>
      </c>
      <c r="E455" s="69">
        <f t="shared" si="89"/>
        <v>0</v>
      </c>
      <c r="F455" s="69">
        <f t="shared" si="90"/>
        <v>0</v>
      </c>
      <c r="G455" s="69">
        <f t="shared" si="91"/>
        <v>0</v>
      </c>
      <c r="H455" s="70"/>
      <c r="I455" s="2"/>
      <c r="J455" s="69">
        <f t="shared" si="92"/>
        <v>0</v>
      </c>
      <c r="K455" s="69">
        <f t="shared" si="93"/>
        <v>0</v>
      </c>
      <c r="L455" s="69">
        <f t="shared" si="94"/>
        <v>0</v>
      </c>
      <c r="M455" s="69">
        <f t="shared" si="95"/>
        <v>0</v>
      </c>
      <c r="N455" s="69">
        <f t="shared" si="96"/>
        <v>0</v>
      </c>
      <c r="O455" s="70"/>
      <c r="P455" s="2"/>
      <c r="Q455" s="2"/>
      <c r="R455" s="49">
        <f t="shared" si="97"/>
        <v>0</v>
      </c>
      <c r="S455" s="49">
        <f>[1]BASE!A453</f>
        <v>444</v>
      </c>
      <c r="T455" s="69">
        <f t="shared" si="98"/>
        <v>0</v>
      </c>
      <c r="U455" s="69">
        <f t="shared" si="99"/>
        <v>0</v>
      </c>
      <c r="V455" s="69">
        <f t="shared" si="100"/>
        <v>0</v>
      </c>
      <c r="W455" s="69">
        <f t="shared" si="101"/>
        <v>0</v>
      </c>
      <c r="X455" s="69">
        <f t="shared" si="102"/>
        <v>0</v>
      </c>
    </row>
    <row r="456" spans="1:24" ht="15.75" customHeight="1">
      <c r="A456" s="68" t="str">
        <f>IF(BASE!B454="","",BASE!B454)</f>
        <v/>
      </c>
      <c r="B456" s="49" t="s">
        <v>2</v>
      </c>
      <c r="C456" s="69">
        <f t="shared" si="87"/>
        <v>0</v>
      </c>
      <c r="D456" s="69">
        <f t="shared" si="88"/>
        <v>0</v>
      </c>
      <c r="E456" s="69">
        <f t="shared" si="89"/>
        <v>0</v>
      </c>
      <c r="F456" s="69">
        <f t="shared" si="90"/>
        <v>0</v>
      </c>
      <c r="G456" s="69">
        <f t="shared" si="91"/>
        <v>0</v>
      </c>
      <c r="H456" s="70"/>
      <c r="I456" s="2"/>
      <c r="J456" s="69">
        <f t="shared" si="92"/>
        <v>0</v>
      </c>
      <c r="K456" s="69">
        <f t="shared" si="93"/>
        <v>0</v>
      </c>
      <c r="L456" s="69">
        <f t="shared" si="94"/>
        <v>0</v>
      </c>
      <c r="M456" s="69">
        <f t="shared" si="95"/>
        <v>0</v>
      </c>
      <c r="N456" s="69">
        <f t="shared" si="96"/>
        <v>0</v>
      </c>
      <c r="O456" s="70"/>
      <c r="P456" s="2"/>
      <c r="Q456" s="2"/>
      <c r="R456" s="49">
        <f t="shared" si="97"/>
        <v>0</v>
      </c>
      <c r="S456" s="49">
        <f>[1]BASE!A454</f>
        <v>445</v>
      </c>
      <c r="T456" s="69">
        <f t="shared" si="98"/>
        <v>0</v>
      </c>
      <c r="U456" s="69">
        <f t="shared" si="99"/>
        <v>0</v>
      </c>
      <c r="V456" s="69">
        <f t="shared" si="100"/>
        <v>0</v>
      </c>
      <c r="W456" s="69">
        <f t="shared" si="101"/>
        <v>0</v>
      </c>
      <c r="X456" s="69">
        <f t="shared" si="102"/>
        <v>0</v>
      </c>
    </row>
    <row r="457" spans="1:24" ht="15.75" customHeight="1">
      <c r="A457" s="68" t="str">
        <f>IF(BASE!B455="","",BASE!B455)</f>
        <v/>
      </c>
      <c r="B457" s="49" t="s">
        <v>2</v>
      </c>
      <c r="C457" s="69">
        <f t="shared" si="87"/>
        <v>0</v>
      </c>
      <c r="D457" s="69">
        <f t="shared" si="88"/>
        <v>0</v>
      </c>
      <c r="E457" s="69">
        <f t="shared" si="89"/>
        <v>0</v>
      </c>
      <c r="F457" s="69">
        <f t="shared" si="90"/>
        <v>0</v>
      </c>
      <c r="G457" s="69">
        <f t="shared" si="91"/>
        <v>0</v>
      </c>
      <c r="H457" s="70"/>
      <c r="I457" s="2"/>
      <c r="J457" s="69">
        <f t="shared" si="92"/>
        <v>0</v>
      </c>
      <c r="K457" s="69">
        <f t="shared" si="93"/>
        <v>0</v>
      </c>
      <c r="L457" s="69">
        <f t="shared" si="94"/>
        <v>0</v>
      </c>
      <c r="M457" s="69">
        <f t="shared" si="95"/>
        <v>0</v>
      </c>
      <c r="N457" s="69">
        <f t="shared" si="96"/>
        <v>0</v>
      </c>
      <c r="O457" s="70"/>
      <c r="P457" s="2"/>
      <c r="Q457" s="2"/>
      <c r="R457" s="49">
        <f t="shared" si="97"/>
        <v>0</v>
      </c>
      <c r="S457" s="49">
        <f>[1]BASE!A455</f>
        <v>446</v>
      </c>
      <c r="T457" s="69">
        <f t="shared" si="98"/>
        <v>0</v>
      </c>
      <c r="U457" s="69">
        <f t="shared" si="99"/>
        <v>0</v>
      </c>
      <c r="V457" s="69">
        <f t="shared" si="100"/>
        <v>0</v>
      </c>
      <c r="W457" s="69">
        <f t="shared" si="101"/>
        <v>0</v>
      </c>
      <c r="X457" s="69">
        <f t="shared" si="102"/>
        <v>0</v>
      </c>
    </row>
    <row r="458" spans="1:24" ht="15.75" customHeight="1">
      <c r="A458" s="68" t="str">
        <f>IF(BASE!B456="","",BASE!B456)</f>
        <v/>
      </c>
      <c r="B458" s="49" t="s">
        <v>2</v>
      </c>
      <c r="C458" s="69">
        <f t="shared" si="87"/>
        <v>0</v>
      </c>
      <c r="D458" s="69">
        <f t="shared" si="88"/>
        <v>0</v>
      </c>
      <c r="E458" s="69">
        <f t="shared" si="89"/>
        <v>0</v>
      </c>
      <c r="F458" s="69">
        <f t="shared" si="90"/>
        <v>0</v>
      </c>
      <c r="G458" s="69">
        <f t="shared" si="91"/>
        <v>0</v>
      </c>
      <c r="H458" s="70"/>
      <c r="I458" s="2"/>
      <c r="J458" s="69">
        <f t="shared" si="92"/>
        <v>0</v>
      </c>
      <c r="K458" s="69">
        <f t="shared" si="93"/>
        <v>0</v>
      </c>
      <c r="L458" s="69">
        <f t="shared" si="94"/>
        <v>0</v>
      </c>
      <c r="M458" s="69">
        <f t="shared" si="95"/>
        <v>0</v>
      </c>
      <c r="N458" s="69">
        <f t="shared" si="96"/>
        <v>0</v>
      </c>
      <c r="O458" s="70"/>
      <c r="P458" s="2"/>
      <c r="Q458" s="2"/>
      <c r="R458" s="49">
        <f t="shared" si="97"/>
        <v>0</v>
      </c>
      <c r="S458" s="49">
        <f>[1]BASE!A456</f>
        <v>447</v>
      </c>
      <c r="T458" s="69">
        <f t="shared" si="98"/>
        <v>0</v>
      </c>
      <c r="U458" s="69">
        <f t="shared" si="99"/>
        <v>0</v>
      </c>
      <c r="V458" s="69">
        <f t="shared" si="100"/>
        <v>0</v>
      </c>
      <c r="W458" s="69">
        <f t="shared" si="101"/>
        <v>0</v>
      </c>
      <c r="X458" s="69">
        <f t="shared" si="102"/>
        <v>0</v>
      </c>
    </row>
    <row r="459" spans="1:24" ht="15.75" customHeight="1">
      <c r="A459" s="68" t="str">
        <f>IF(BASE!B457="","",BASE!B457)</f>
        <v/>
      </c>
      <c r="B459" s="49" t="s">
        <v>2</v>
      </c>
      <c r="C459" s="69">
        <f t="shared" si="87"/>
        <v>0</v>
      </c>
      <c r="D459" s="69">
        <f t="shared" si="88"/>
        <v>0</v>
      </c>
      <c r="E459" s="69">
        <f t="shared" si="89"/>
        <v>0</v>
      </c>
      <c r="F459" s="69">
        <f t="shared" si="90"/>
        <v>0</v>
      </c>
      <c r="G459" s="69">
        <f t="shared" si="91"/>
        <v>0</v>
      </c>
      <c r="H459" s="70"/>
      <c r="I459" s="2"/>
      <c r="J459" s="69">
        <f t="shared" si="92"/>
        <v>0</v>
      </c>
      <c r="K459" s="69">
        <f t="shared" si="93"/>
        <v>0</v>
      </c>
      <c r="L459" s="69">
        <f t="shared" si="94"/>
        <v>0</v>
      </c>
      <c r="M459" s="69">
        <f t="shared" si="95"/>
        <v>0</v>
      </c>
      <c r="N459" s="69">
        <f t="shared" si="96"/>
        <v>0</v>
      </c>
      <c r="O459" s="70"/>
      <c r="P459" s="2"/>
      <c r="Q459" s="2"/>
      <c r="R459" s="49">
        <f t="shared" si="97"/>
        <v>0</v>
      </c>
      <c r="S459" s="49">
        <f>[1]BASE!A457</f>
        <v>448</v>
      </c>
      <c r="T459" s="69">
        <f t="shared" si="98"/>
        <v>0</v>
      </c>
      <c r="U459" s="69">
        <f t="shared" si="99"/>
        <v>0</v>
      </c>
      <c r="V459" s="69">
        <f t="shared" si="100"/>
        <v>0</v>
      </c>
      <c r="W459" s="69">
        <f t="shared" si="101"/>
        <v>0</v>
      </c>
      <c r="X459" s="69">
        <f t="shared" si="102"/>
        <v>0</v>
      </c>
    </row>
    <row r="460" spans="1:24" ht="15.75" customHeight="1">
      <c r="A460" s="68" t="str">
        <f>IF(BASE!B458="","",BASE!B458)</f>
        <v/>
      </c>
      <c r="B460" s="49" t="s">
        <v>2</v>
      </c>
      <c r="C460" s="69">
        <f t="shared" si="87"/>
        <v>0</v>
      </c>
      <c r="D460" s="69">
        <f t="shared" si="88"/>
        <v>0</v>
      </c>
      <c r="E460" s="69">
        <f t="shared" si="89"/>
        <v>0</v>
      </c>
      <c r="F460" s="69">
        <f t="shared" si="90"/>
        <v>0</v>
      </c>
      <c r="G460" s="69">
        <f t="shared" si="91"/>
        <v>0</v>
      </c>
      <c r="H460" s="70"/>
      <c r="I460" s="2"/>
      <c r="J460" s="69">
        <f t="shared" si="92"/>
        <v>0</v>
      </c>
      <c r="K460" s="69">
        <f t="shared" si="93"/>
        <v>0</v>
      </c>
      <c r="L460" s="69">
        <f t="shared" si="94"/>
        <v>0</v>
      </c>
      <c r="M460" s="69">
        <f t="shared" si="95"/>
        <v>0</v>
      </c>
      <c r="N460" s="69">
        <f t="shared" si="96"/>
        <v>0</v>
      </c>
      <c r="O460" s="70"/>
      <c r="P460" s="2"/>
      <c r="Q460" s="2"/>
      <c r="R460" s="49">
        <f t="shared" si="97"/>
        <v>0</v>
      </c>
      <c r="S460" s="49">
        <f>[1]BASE!A458</f>
        <v>449</v>
      </c>
      <c r="T460" s="69">
        <f t="shared" si="98"/>
        <v>0</v>
      </c>
      <c r="U460" s="69">
        <f t="shared" si="99"/>
        <v>0</v>
      </c>
      <c r="V460" s="69">
        <f t="shared" si="100"/>
        <v>0</v>
      </c>
      <c r="W460" s="69">
        <f t="shared" si="101"/>
        <v>0</v>
      </c>
      <c r="X460" s="69">
        <f t="shared" si="102"/>
        <v>0</v>
      </c>
    </row>
    <row r="461" spans="1:24" ht="15.75" customHeight="1">
      <c r="A461" s="68" t="str">
        <f>IF(BASE!B459="","",BASE!B459)</f>
        <v/>
      </c>
      <c r="B461" s="49" t="s">
        <v>2</v>
      </c>
      <c r="C461" s="69">
        <f t="shared" ref="C461" si="103">(H461/5)</f>
        <v>0</v>
      </c>
      <c r="D461" s="69">
        <f t="shared" ref="D461" si="104">(H461/5)</f>
        <v>0</v>
      </c>
      <c r="E461" s="69">
        <f t="shared" ref="E461" si="105">(H461/5)</f>
        <v>0</v>
      </c>
      <c r="F461" s="69">
        <f t="shared" ref="F461" si="106">(H461/5)</f>
        <v>0</v>
      </c>
      <c r="G461" s="69">
        <f t="shared" ref="G461" si="107">(H461/5)</f>
        <v>0</v>
      </c>
      <c r="H461" s="70"/>
      <c r="I461" s="2"/>
      <c r="J461" s="69">
        <f t="shared" ref="J461" si="108">(O461/5)</f>
        <v>0</v>
      </c>
      <c r="K461" s="69">
        <f t="shared" ref="K461" si="109">(O461/5)</f>
        <v>0</v>
      </c>
      <c r="L461" s="69">
        <f t="shared" ref="L461" si="110">(O461/5)</f>
        <v>0</v>
      </c>
      <c r="M461" s="69">
        <f t="shared" ref="M461" si="111">(O461/5)</f>
        <v>0</v>
      </c>
      <c r="N461" s="69">
        <f t="shared" ref="N461" si="112">(O461/5)</f>
        <v>0</v>
      </c>
      <c r="O461" s="70"/>
      <c r="P461" s="2"/>
      <c r="Q461" s="2"/>
      <c r="R461" s="49">
        <f t="shared" ref="R461" si="113">SUM(H461,O461)</f>
        <v>0</v>
      </c>
      <c r="S461" s="49">
        <f>[1]BASE!A459</f>
        <v>450</v>
      </c>
      <c r="T461" s="69">
        <f t="shared" si="98"/>
        <v>0</v>
      </c>
      <c r="U461" s="69">
        <f t="shared" si="99"/>
        <v>0</v>
      </c>
      <c r="V461" s="69">
        <f t="shared" si="100"/>
        <v>0</v>
      </c>
      <c r="W461" s="69">
        <f t="shared" si="101"/>
        <v>0</v>
      </c>
      <c r="X461" s="69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/>
  <protectedRanges>
    <protectedRange sqref="B271:F301" name="Range1"/>
  </protectedRanges>
  <mergeCells count="31">
    <mergeCell ref="S1:X1"/>
    <mergeCell ref="A2:R2"/>
    <mergeCell ref="S2:X2"/>
    <mergeCell ref="A3:R3"/>
    <mergeCell ref="S3:X3"/>
    <mergeCell ref="A1:R1"/>
    <mergeCell ref="O4:R4"/>
    <mergeCell ref="U6:V6"/>
    <mergeCell ref="S4:T4"/>
    <mergeCell ref="U4:X4"/>
    <mergeCell ref="C5:F5"/>
    <mergeCell ref="G5:R5"/>
    <mergeCell ref="S5:T5"/>
    <mergeCell ref="U5:X5"/>
    <mergeCell ref="C4:F4"/>
    <mergeCell ref="G4:J4"/>
    <mergeCell ref="K4:N4"/>
    <mergeCell ref="A9:A11"/>
    <mergeCell ref="R9:R11"/>
    <mergeCell ref="S9:S11"/>
    <mergeCell ref="J6:K6"/>
    <mergeCell ref="L6:P6"/>
    <mergeCell ref="Q6:R6"/>
    <mergeCell ref="S6:T6"/>
    <mergeCell ref="C6:F6"/>
    <mergeCell ref="G6:I6"/>
    <mergeCell ref="T11:X11"/>
    <mergeCell ref="J7:N7"/>
    <mergeCell ref="C7:H7"/>
    <mergeCell ref="S7:T7"/>
    <mergeCell ref="U7:X7"/>
  </mergeCells>
  <dataValidations count="3">
    <dataValidation type="decimal" allowBlank="1" showInputMessage="1" showErrorMessage="1" sqref="H12:H461">
      <formula1>0</formula1>
      <formula2>20</formula2>
    </dataValidation>
    <dataValidation type="decimal" allowBlank="1" showInputMessage="1" showErrorMessage="1" sqref="K13">
      <formula1>0</formula1>
      <formula2>5</formula2>
    </dataValidation>
    <dataValidation type="decimal" allowBlank="1" showInputMessage="1" showErrorMessage="1" sqref="O12:O461">
      <formula1>0</formula1>
      <formula2>30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96"/>
  <sheetViews>
    <sheetView zoomScale="80" zoomScaleNormal="80" workbookViewId="0">
      <selection activeCell="X9" sqref="X9:X11"/>
    </sheetView>
  </sheetViews>
  <sheetFormatPr defaultColWidth="14.42578125" defaultRowHeight="15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4.7109375" customWidth="1"/>
    <col min="24" max="24" width="10" customWidth="1"/>
    <col min="25" max="30" width="12.7109375" customWidth="1"/>
  </cols>
  <sheetData>
    <row r="1" spans="1:30" ht="23.25" customHeight="1">
      <c r="A1" s="226" t="str">
        <f>BASE!A1</f>
        <v>KONGU ENGINEERING COLLEGE, ERODE - 638 060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48" t="str">
        <f>BASE!A1</f>
        <v>KONGU ENGINEERING COLLEGE, ERODE - 638 060</v>
      </c>
      <c r="Z1" s="222"/>
      <c r="AA1" s="222"/>
      <c r="AB1" s="222"/>
      <c r="AC1" s="222"/>
      <c r="AD1" s="222"/>
    </row>
    <row r="2" spans="1:30" ht="23.25" customHeight="1">
      <c r="A2" s="225" t="str">
        <f>BASE!A2</f>
        <v>DEPARTMENT OF ______________________________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48" t="str">
        <f>BASE!A2</f>
        <v>DEPARTMENT OF ______________________________</v>
      </c>
      <c r="Z2" s="222"/>
      <c r="AA2" s="222"/>
      <c r="AB2" s="222"/>
      <c r="AC2" s="222"/>
      <c r="AD2" s="222"/>
    </row>
    <row r="3" spans="1:30" ht="23.25" customHeight="1">
      <c r="A3" s="225" t="str">
        <f>BASE!A3</f>
        <v>PROJECT WORK  COURSE OUTCOME ANALYSIS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48" t="str">
        <f>BASE!A3</f>
        <v>PROJECT WORK  COURSE OUTCOME ANALYSIS</v>
      </c>
      <c r="Z3" s="222"/>
      <c r="AA3" s="222"/>
      <c r="AB3" s="222"/>
      <c r="AC3" s="222"/>
      <c r="AD3" s="222"/>
    </row>
    <row r="4" spans="1:30" ht="34.5" customHeight="1">
      <c r="A4" s="48" t="str">
        <f>[2]BASE!A5</f>
        <v>Name of Faculty(s)</v>
      </c>
      <c r="B4" s="49" t="s">
        <v>2</v>
      </c>
      <c r="C4" s="229">
        <f>BASE!D5</f>
        <v>1</v>
      </c>
      <c r="D4" s="230"/>
      <c r="E4" s="230"/>
      <c r="F4" s="230"/>
      <c r="G4" s="231"/>
      <c r="H4" s="229">
        <f>BASE!G5</f>
        <v>1</v>
      </c>
      <c r="I4" s="230"/>
      <c r="J4" s="230"/>
      <c r="K4" s="230"/>
      <c r="L4" s="230"/>
      <c r="M4" s="231"/>
      <c r="N4" s="232">
        <f>BASE!J5</f>
        <v>1</v>
      </c>
      <c r="O4" s="233"/>
      <c r="P4" s="233"/>
      <c r="Q4" s="233"/>
      <c r="R4" s="234"/>
      <c r="S4" s="232">
        <f>BASE!M5</f>
        <v>1</v>
      </c>
      <c r="T4" s="233"/>
      <c r="U4" s="233"/>
      <c r="V4" s="233"/>
      <c r="W4" s="233"/>
      <c r="X4" s="234"/>
      <c r="Y4" s="229" t="s">
        <v>68</v>
      </c>
      <c r="Z4" s="211"/>
      <c r="AA4" s="249" t="str">
        <f>C5</f>
        <v>22CDCXX</v>
      </c>
      <c r="AB4" s="210"/>
      <c r="AC4" s="210"/>
      <c r="AD4" s="211"/>
    </row>
    <row r="5" spans="1:30" ht="51.75" customHeight="1">
      <c r="A5" s="48" t="str">
        <f>[2]BASE!A6</f>
        <v>Course Code and Name</v>
      </c>
      <c r="B5" s="49" t="s">
        <v>2</v>
      </c>
      <c r="C5" s="229" t="str">
        <f>BASE!D6</f>
        <v>22CDCXX</v>
      </c>
      <c r="D5" s="230"/>
      <c r="E5" s="230"/>
      <c r="F5" s="231"/>
      <c r="G5" s="229" t="str">
        <f>BASE!G6</f>
        <v>XXXXXXXX XXXXX XXXXXXXX</v>
      </c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1"/>
      <c r="Y5" s="249" t="s">
        <v>69</v>
      </c>
      <c r="Z5" s="211"/>
      <c r="AA5" s="229" t="str">
        <f>G5</f>
        <v>XXXXXXXX XXXXX XXXXXXXX</v>
      </c>
      <c r="AB5" s="210"/>
      <c r="AC5" s="210"/>
      <c r="AD5" s="211"/>
    </row>
    <row r="6" spans="1:30" ht="51" customHeight="1">
      <c r="A6" s="83" t="str">
        <f>[2]BASE!A7</f>
        <v>Branch / Year / Semester</v>
      </c>
      <c r="B6" s="84" t="s">
        <v>2</v>
      </c>
      <c r="C6" s="229" t="str">
        <f>BASE!D7</f>
        <v>CSD</v>
      </c>
      <c r="D6" s="230"/>
      <c r="E6" s="230"/>
      <c r="F6" s="231"/>
      <c r="G6" s="235">
        <f>BASE!H7</f>
        <v>1</v>
      </c>
      <c r="H6" s="236"/>
      <c r="I6" s="235" t="str">
        <f>BASE!L7</f>
        <v>IV</v>
      </c>
      <c r="J6" s="236"/>
      <c r="K6" s="235" t="s">
        <v>87</v>
      </c>
      <c r="L6" s="237"/>
      <c r="M6" s="236"/>
      <c r="N6" s="85" t="s">
        <v>2</v>
      </c>
      <c r="O6" s="238"/>
      <c r="P6" s="239"/>
      <c r="Q6" s="239"/>
      <c r="R6" s="240"/>
      <c r="S6" s="241"/>
      <c r="T6" s="242"/>
      <c r="U6" s="242"/>
      <c r="V6" s="242"/>
      <c r="W6" s="242"/>
      <c r="X6" s="243"/>
      <c r="Y6" s="229" t="str">
        <f>[2]BASE!A7</f>
        <v>Branch / Year / Semester</v>
      </c>
      <c r="Z6" s="211"/>
      <c r="AA6" s="249" t="str">
        <f>BASE!D7</f>
        <v>CSD</v>
      </c>
      <c r="AB6" s="211"/>
      <c r="AC6" s="49">
        <f>BASE!H7</f>
        <v>1</v>
      </c>
      <c r="AD6" s="49" t="str">
        <f>BASE!L7</f>
        <v>IV</v>
      </c>
    </row>
    <row r="7" spans="1:30" ht="54.75" customHeight="1">
      <c r="A7" s="48" t="s">
        <v>88</v>
      </c>
      <c r="B7" s="51" t="s">
        <v>2</v>
      </c>
      <c r="C7" s="249" t="s">
        <v>89</v>
      </c>
      <c r="D7" s="251"/>
      <c r="E7" s="251"/>
      <c r="F7" s="252"/>
      <c r="G7" s="253" t="s">
        <v>90</v>
      </c>
      <c r="H7" s="254"/>
      <c r="I7" s="254"/>
      <c r="J7" s="255"/>
      <c r="K7" s="86" t="s">
        <v>2</v>
      </c>
      <c r="L7" s="256">
        <f>ROWS(A12:A480)-COUNTIF(A12:A480,"")</f>
        <v>70</v>
      </c>
      <c r="M7" s="257"/>
      <c r="N7" s="258"/>
      <c r="O7" s="259" t="s">
        <v>91</v>
      </c>
      <c r="P7" s="260"/>
      <c r="Q7" s="261"/>
      <c r="R7" s="87" t="s">
        <v>2</v>
      </c>
      <c r="S7" s="262"/>
      <c r="T7" s="257"/>
      <c r="U7" s="257"/>
      <c r="V7" s="257"/>
      <c r="W7" s="257"/>
      <c r="X7" s="258"/>
      <c r="Y7" s="229" t="s">
        <v>92</v>
      </c>
      <c r="Z7" s="211"/>
      <c r="AA7" s="249" t="str">
        <f>C7</f>
        <v>ESE</v>
      </c>
      <c r="AB7" s="210"/>
      <c r="AC7" s="210"/>
      <c r="AD7" s="211"/>
    </row>
    <row r="8" spans="1:30" ht="54.75" customHeight="1">
      <c r="A8" s="88"/>
      <c r="B8" s="89"/>
      <c r="C8" s="89"/>
      <c r="D8" s="50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8"/>
      <c r="Z8" s="50"/>
      <c r="AA8" s="90"/>
      <c r="AB8" s="89"/>
      <c r="AC8" s="91"/>
      <c r="AD8" s="91"/>
    </row>
    <row r="9" spans="1:30" ht="22.5" customHeight="1">
      <c r="A9" s="228" t="s">
        <v>73</v>
      </c>
      <c r="B9" s="92" t="s">
        <v>74</v>
      </c>
      <c r="C9" s="244"/>
      <c r="D9" s="245"/>
      <c r="E9" s="245"/>
      <c r="F9" s="245"/>
      <c r="G9" s="246"/>
      <c r="H9" s="79" t="s">
        <v>93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93"/>
      <c r="X9" s="247" t="s">
        <v>75</v>
      </c>
      <c r="Y9" s="247" t="s">
        <v>29</v>
      </c>
      <c r="Z9" s="49" t="s">
        <v>76</v>
      </c>
      <c r="AA9" s="49" t="s">
        <v>77</v>
      </c>
      <c r="AB9" s="49" t="s">
        <v>78</v>
      </c>
      <c r="AC9" s="49" t="s">
        <v>79</v>
      </c>
      <c r="AD9" s="49" t="s">
        <v>80</v>
      </c>
    </row>
    <row r="10" spans="1:30" ht="32.25" customHeight="1">
      <c r="A10" s="207"/>
      <c r="B10" s="94" t="s">
        <v>81</v>
      </c>
      <c r="C10" s="92">
        <v>10</v>
      </c>
      <c r="D10" s="92">
        <v>10</v>
      </c>
      <c r="E10" s="92">
        <v>10</v>
      </c>
      <c r="F10" s="92">
        <v>10</v>
      </c>
      <c r="G10" s="92">
        <v>10</v>
      </c>
      <c r="H10" s="92">
        <v>50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3"/>
      <c r="X10" s="198"/>
      <c r="Y10" s="198"/>
      <c r="Z10" s="69">
        <f>SUMIF($C$11:$V$11,1,C10:V10)</f>
        <v>10</v>
      </c>
      <c r="AA10" s="69">
        <f>SUMIF($C$11:$V$11,2,C10:V10)</f>
        <v>10</v>
      </c>
      <c r="AB10" s="69">
        <f>SUMIF($C$11:$V$11,3,C10:V10)</f>
        <v>10</v>
      </c>
      <c r="AC10" s="69">
        <f>SUMIF($C$11:$V$11,4,C10:V10)</f>
        <v>10</v>
      </c>
      <c r="AD10" s="69">
        <f>SUMIF($C$11:$V$11,5,C10:V10)</f>
        <v>10</v>
      </c>
    </row>
    <row r="11" spans="1:30" ht="22.5" customHeight="1">
      <c r="A11" s="207"/>
      <c r="B11" s="92" t="s">
        <v>82</v>
      </c>
      <c r="C11" s="92">
        <v>1</v>
      </c>
      <c r="D11" s="92">
        <v>2</v>
      </c>
      <c r="E11" s="92">
        <v>3</v>
      </c>
      <c r="F11" s="92">
        <v>4</v>
      </c>
      <c r="G11" s="92">
        <v>5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3"/>
      <c r="X11" s="199"/>
      <c r="Y11" s="199"/>
      <c r="Z11" s="250"/>
      <c r="AA11" s="210"/>
      <c r="AB11" s="210"/>
      <c r="AC11" s="210"/>
      <c r="AD11" s="211"/>
    </row>
    <row r="12" spans="1:30" ht="16.5" customHeight="1">
      <c r="A12" s="95" t="str">
        <f>IF(BASE!B10="","",BASE!B10)</f>
        <v>20MER074</v>
      </c>
      <c r="B12" s="92" t="s">
        <v>2</v>
      </c>
      <c r="C12" s="96">
        <f>(H12/5)</f>
        <v>0</v>
      </c>
      <c r="D12" s="96">
        <f>(H12/5)</f>
        <v>0</v>
      </c>
      <c r="E12" s="96">
        <f>(H12/5)</f>
        <v>0</v>
      </c>
      <c r="F12" s="96">
        <f>(H12/5)</f>
        <v>0</v>
      </c>
      <c r="G12" s="96">
        <f>(H12/5)</f>
        <v>0</v>
      </c>
      <c r="H12" s="112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7"/>
      <c r="X12" s="75">
        <f t="shared" ref="X12:X75" si="0">SUM(C12:V12)</f>
        <v>0</v>
      </c>
      <c r="Y12" s="75">
        <f>[2]BASE!A10</f>
        <v>1</v>
      </c>
      <c r="Z12" s="76">
        <f t="shared" ref="Z12:Z75" si="1">SUMIF($C$11:$V$11,1,C12:V12)</f>
        <v>0</v>
      </c>
      <c r="AA12" s="76">
        <f t="shared" ref="AA12:AA75" si="2">SUMIF($C$11:$V$11,2,C12:V12)</f>
        <v>0</v>
      </c>
      <c r="AB12" s="76">
        <f t="shared" ref="AB12:AB75" si="3">SUMIF($C$11:$V$11,3,C12:V12)</f>
        <v>0</v>
      </c>
      <c r="AC12" s="76">
        <f t="shared" ref="AC12:AC75" si="4">SUMIF($C$11:$V$11,4,C12:V12)</f>
        <v>0</v>
      </c>
      <c r="AD12" s="76">
        <f t="shared" ref="AD12:AD75" si="5">SUMIF($C$11:$V$11,5,C12:V12)</f>
        <v>0</v>
      </c>
    </row>
    <row r="13" spans="1:30" ht="16.5" customHeight="1">
      <c r="A13" s="95" t="str">
        <f>IF(BASE!B11="","",BASE!B11)</f>
        <v>21MEL115</v>
      </c>
      <c r="B13" s="92" t="s">
        <v>2</v>
      </c>
      <c r="C13" s="96">
        <f>(H13/5)</f>
        <v>0</v>
      </c>
      <c r="D13" s="96">
        <f>(H13/5)</f>
        <v>0</v>
      </c>
      <c r="E13" s="96">
        <f>(H13/5)</f>
        <v>0</v>
      </c>
      <c r="F13" s="96">
        <f>(H13/5)</f>
        <v>0</v>
      </c>
      <c r="G13" s="96">
        <f>(H13/5)</f>
        <v>0</v>
      </c>
      <c r="H13" s="112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81"/>
      <c r="X13" s="49">
        <f t="shared" si="0"/>
        <v>0</v>
      </c>
      <c r="Y13" s="49">
        <f>[2]BASE!A11</f>
        <v>2</v>
      </c>
      <c r="Z13" s="69">
        <f t="shared" si="1"/>
        <v>0</v>
      </c>
      <c r="AA13" s="69">
        <f t="shared" si="2"/>
        <v>0</v>
      </c>
      <c r="AB13" s="69">
        <f t="shared" si="3"/>
        <v>0</v>
      </c>
      <c r="AC13" s="69">
        <f t="shared" si="4"/>
        <v>0</v>
      </c>
      <c r="AD13" s="69">
        <f t="shared" si="5"/>
        <v>0</v>
      </c>
    </row>
    <row r="14" spans="1:30" ht="16.5" customHeight="1">
      <c r="A14" s="95" t="str">
        <f>IF(BASE!B12="","",BASE!B12)</f>
        <v>21MEL116</v>
      </c>
      <c r="B14" s="92" t="s">
        <v>2</v>
      </c>
      <c r="C14" s="96">
        <f t="shared" ref="C14:C76" si="6">(H14/5)</f>
        <v>0</v>
      </c>
      <c r="D14" s="96">
        <f t="shared" ref="D14:D76" si="7">(H14/5)</f>
        <v>0</v>
      </c>
      <c r="E14" s="96">
        <f t="shared" ref="E14:E77" si="8">(H14/5)</f>
        <v>0</v>
      </c>
      <c r="F14" s="96">
        <f t="shared" ref="F14:F76" si="9">(H14/5)</f>
        <v>0</v>
      </c>
      <c r="G14" s="96">
        <f t="shared" ref="G14:G76" si="10">(H14/5)</f>
        <v>0</v>
      </c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81"/>
      <c r="X14" s="49">
        <f t="shared" si="0"/>
        <v>0</v>
      </c>
      <c r="Y14" s="49">
        <f>[2]BASE!A12</f>
        <v>3</v>
      </c>
      <c r="Z14" s="69">
        <f t="shared" si="1"/>
        <v>0</v>
      </c>
      <c r="AA14" s="69">
        <f t="shared" si="2"/>
        <v>0</v>
      </c>
      <c r="AB14" s="69">
        <f t="shared" si="3"/>
        <v>0</v>
      </c>
      <c r="AC14" s="69">
        <f t="shared" si="4"/>
        <v>0</v>
      </c>
      <c r="AD14" s="69">
        <f t="shared" si="5"/>
        <v>0</v>
      </c>
    </row>
    <row r="15" spans="1:30" ht="16.5" customHeight="1">
      <c r="A15" s="95" t="str">
        <f>IF(BASE!B13="","",BASE!B13)</f>
        <v>21MEL117</v>
      </c>
      <c r="B15" s="92" t="s">
        <v>2</v>
      </c>
      <c r="C15" s="96">
        <f t="shared" si="6"/>
        <v>0</v>
      </c>
      <c r="D15" s="96">
        <f t="shared" si="7"/>
        <v>0</v>
      </c>
      <c r="E15" s="96">
        <f t="shared" si="8"/>
        <v>0</v>
      </c>
      <c r="F15" s="96">
        <f t="shared" si="9"/>
        <v>0</v>
      </c>
      <c r="G15" s="96">
        <f t="shared" si="10"/>
        <v>0</v>
      </c>
      <c r="H15" s="112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81"/>
      <c r="X15" s="49">
        <f t="shared" si="0"/>
        <v>0</v>
      </c>
      <c r="Y15" s="49">
        <f>[2]BASE!A13</f>
        <v>4</v>
      </c>
      <c r="Z15" s="69">
        <f t="shared" si="1"/>
        <v>0</v>
      </c>
      <c r="AA15" s="69">
        <f t="shared" si="2"/>
        <v>0</v>
      </c>
      <c r="AB15" s="69">
        <f t="shared" si="3"/>
        <v>0</v>
      </c>
      <c r="AC15" s="69">
        <f t="shared" si="4"/>
        <v>0</v>
      </c>
      <c r="AD15" s="69">
        <f t="shared" si="5"/>
        <v>0</v>
      </c>
    </row>
    <row r="16" spans="1:30" ht="16.5" customHeight="1">
      <c r="A16" s="95" t="str">
        <f>IF(BASE!B14="","",BASE!B14)</f>
        <v>21MEL118</v>
      </c>
      <c r="B16" s="92" t="s">
        <v>2</v>
      </c>
      <c r="C16" s="96">
        <f t="shared" si="6"/>
        <v>0</v>
      </c>
      <c r="D16" s="96">
        <f t="shared" si="7"/>
        <v>0</v>
      </c>
      <c r="E16" s="96">
        <f t="shared" si="8"/>
        <v>0</v>
      </c>
      <c r="F16" s="96">
        <f t="shared" si="9"/>
        <v>0</v>
      </c>
      <c r="G16" s="96">
        <f t="shared" si="10"/>
        <v>0</v>
      </c>
      <c r="H16" s="112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81"/>
      <c r="X16" s="49">
        <f t="shared" si="0"/>
        <v>0</v>
      </c>
      <c r="Y16" s="49">
        <f>[2]BASE!A14</f>
        <v>5</v>
      </c>
      <c r="Z16" s="69">
        <f t="shared" si="1"/>
        <v>0</v>
      </c>
      <c r="AA16" s="69">
        <f t="shared" si="2"/>
        <v>0</v>
      </c>
      <c r="AB16" s="69">
        <f t="shared" si="3"/>
        <v>0</v>
      </c>
      <c r="AC16" s="69">
        <f t="shared" si="4"/>
        <v>0</v>
      </c>
      <c r="AD16" s="69">
        <f t="shared" si="5"/>
        <v>0</v>
      </c>
    </row>
    <row r="17" spans="1:30" ht="16.5" customHeight="1">
      <c r="A17" s="95" t="str">
        <f>IF(BASE!B15="","",BASE!B15)</f>
        <v>21MEL119</v>
      </c>
      <c r="B17" s="92" t="s">
        <v>2</v>
      </c>
      <c r="C17" s="96">
        <f t="shared" si="6"/>
        <v>0</v>
      </c>
      <c r="D17" s="96">
        <f t="shared" si="7"/>
        <v>0</v>
      </c>
      <c r="E17" s="96">
        <f t="shared" si="8"/>
        <v>0</v>
      </c>
      <c r="F17" s="96">
        <f t="shared" si="9"/>
        <v>0</v>
      </c>
      <c r="G17" s="96">
        <f t="shared" si="10"/>
        <v>0</v>
      </c>
      <c r="H17" s="112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81"/>
      <c r="X17" s="49">
        <f t="shared" si="0"/>
        <v>0</v>
      </c>
      <c r="Y17" s="49">
        <f>[2]BASE!A15</f>
        <v>6</v>
      </c>
      <c r="Z17" s="69">
        <f t="shared" si="1"/>
        <v>0</v>
      </c>
      <c r="AA17" s="69">
        <f t="shared" si="2"/>
        <v>0</v>
      </c>
      <c r="AB17" s="69">
        <f t="shared" si="3"/>
        <v>0</v>
      </c>
      <c r="AC17" s="69">
        <f t="shared" si="4"/>
        <v>0</v>
      </c>
      <c r="AD17" s="69">
        <f t="shared" si="5"/>
        <v>0</v>
      </c>
    </row>
    <row r="18" spans="1:30" ht="16.5" customHeight="1">
      <c r="A18" s="95" t="str">
        <f>IF(BASE!B16="","",BASE!B16)</f>
        <v>21MEL120</v>
      </c>
      <c r="B18" s="92" t="s">
        <v>2</v>
      </c>
      <c r="C18" s="96">
        <f t="shared" si="6"/>
        <v>0</v>
      </c>
      <c r="D18" s="96">
        <f t="shared" si="7"/>
        <v>0</v>
      </c>
      <c r="E18" s="96">
        <f t="shared" si="8"/>
        <v>0</v>
      </c>
      <c r="F18" s="96">
        <f t="shared" si="9"/>
        <v>0</v>
      </c>
      <c r="G18" s="96">
        <f t="shared" si="10"/>
        <v>0</v>
      </c>
      <c r="H18" s="112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81"/>
      <c r="X18" s="49">
        <f t="shared" si="0"/>
        <v>0</v>
      </c>
      <c r="Y18" s="49">
        <f>[2]BASE!A16</f>
        <v>7</v>
      </c>
      <c r="Z18" s="69">
        <f t="shared" si="1"/>
        <v>0</v>
      </c>
      <c r="AA18" s="69">
        <f t="shared" si="2"/>
        <v>0</v>
      </c>
      <c r="AB18" s="69">
        <f t="shared" si="3"/>
        <v>0</v>
      </c>
      <c r="AC18" s="69">
        <f t="shared" si="4"/>
        <v>0</v>
      </c>
      <c r="AD18" s="69">
        <f t="shared" si="5"/>
        <v>0</v>
      </c>
    </row>
    <row r="19" spans="1:30" ht="16.5" customHeight="1">
      <c r="A19" s="95" t="str">
        <f>IF(BASE!B17="","",BASE!B17)</f>
        <v>21MEL121</v>
      </c>
      <c r="B19" s="92" t="s">
        <v>2</v>
      </c>
      <c r="C19" s="96">
        <f t="shared" si="6"/>
        <v>0</v>
      </c>
      <c r="D19" s="96">
        <f t="shared" si="7"/>
        <v>0</v>
      </c>
      <c r="E19" s="96">
        <f t="shared" si="8"/>
        <v>0</v>
      </c>
      <c r="F19" s="96">
        <f t="shared" si="9"/>
        <v>0</v>
      </c>
      <c r="G19" s="96">
        <f t="shared" si="10"/>
        <v>0</v>
      </c>
      <c r="H19" s="112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81"/>
      <c r="X19" s="49">
        <f t="shared" si="0"/>
        <v>0</v>
      </c>
      <c r="Y19" s="49">
        <f>[2]BASE!A17</f>
        <v>8</v>
      </c>
      <c r="Z19" s="69">
        <f t="shared" si="1"/>
        <v>0</v>
      </c>
      <c r="AA19" s="69">
        <f t="shared" si="2"/>
        <v>0</v>
      </c>
      <c r="AB19" s="69">
        <f t="shared" si="3"/>
        <v>0</v>
      </c>
      <c r="AC19" s="69">
        <f t="shared" si="4"/>
        <v>0</v>
      </c>
      <c r="AD19" s="69">
        <f t="shared" si="5"/>
        <v>0</v>
      </c>
    </row>
    <row r="20" spans="1:30" ht="16.5" customHeight="1">
      <c r="A20" s="95" t="str">
        <f>IF(BASE!B18="","",BASE!B18)</f>
        <v>21MEL122</v>
      </c>
      <c r="B20" s="92" t="s">
        <v>2</v>
      </c>
      <c r="C20" s="96">
        <f t="shared" si="6"/>
        <v>0</v>
      </c>
      <c r="D20" s="96">
        <f t="shared" si="7"/>
        <v>0</v>
      </c>
      <c r="E20" s="96">
        <f t="shared" si="8"/>
        <v>0</v>
      </c>
      <c r="F20" s="96">
        <f t="shared" si="9"/>
        <v>0</v>
      </c>
      <c r="G20" s="96">
        <f t="shared" si="10"/>
        <v>0</v>
      </c>
      <c r="H20" s="112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81"/>
      <c r="X20" s="49">
        <f t="shared" si="0"/>
        <v>0</v>
      </c>
      <c r="Y20" s="49">
        <f>[2]BASE!A18</f>
        <v>9</v>
      </c>
      <c r="Z20" s="69">
        <f t="shared" si="1"/>
        <v>0</v>
      </c>
      <c r="AA20" s="69">
        <f t="shared" si="2"/>
        <v>0</v>
      </c>
      <c r="AB20" s="69">
        <f t="shared" si="3"/>
        <v>0</v>
      </c>
      <c r="AC20" s="69">
        <f t="shared" si="4"/>
        <v>0</v>
      </c>
      <c r="AD20" s="69">
        <f t="shared" si="5"/>
        <v>0</v>
      </c>
    </row>
    <row r="21" spans="1:30" ht="16.5" customHeight="1">
      <c r="A21" s="95" t="str">
        <f>IF(BASE!B19="","",BASE!B19)</f>
        <v>21MEL123</v>
      </c>
      <c r="B21" s="92" t="s">
        <v>2</v>
      </c>
      <c r="C21" s="96">
        <f t="shared" si="6"/>
        <v>0</v>
      </c>
      <c r="D21" s="96">
        <f t="shared" si="7"/>
        <v>0</v>
      </c>
      <c r="E21" s="96">
        <f t="shared" si="8"/>
        <v>0</v>
      </c>
      <c r="F21" s="96">
        <f t="shared" si="9"/>
        <v>0</v>
      </c>
      <c r="G21" s="96">
        <f t="shared" si="10"/>
        <v>0</v>
      </c>
      <c r="H21" s="112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81"/>
      <c r="X21" s="49">
        <f t="shared" si="0"/>
        <v>0</v>
      </c>
      <c r="Y21" s="49">
        <f>[2]BASE!A19</f>
        <v>10</v>
      </c>
      <c r="Z21" s="69">
        <f t="shared" si="1"/>
        <v>0</v>
      </c>
      <c r="AA21" s="69">
        <f t="shared" si="2"/>
        <v>0</v>
      </c>
      <c r="AB21" s="69">
        <f t="shared" si="3"/>
        <v>0</v>
      </c>
      <c r="AC21" s="69">
        <f t="shared" si="4"/>
        <v>0</v>
      </c>
      <c r="AD21" s="69">
        <f t="shared" si="5"/>
        <v>0</v>
      </c>
    </row>
    <row r="22" spans="1:30" ht="16.5" customHeight="1">
      <c r="A22" s="95" t="str">
        <f>IF(BASE!B20="","",BASE!B20)</f>
        <v>21MEL124</v>
      </c>
      <c r="B22" s="92" t="s">
        <v>2</v>
      </c>
      <c r="C22" s="96">
        <f t="shared" si="6"/>
        <v>0</v>
      </c>
      <c r="D22" s="96">
        <f t="shared" si="7"/>
        <v>0</v>
      </c>
      <c r="E22" s="96">
        <f t="shared" si="8"/>
        <v>0</v>
      </c>
      <c r="F22" s="96">
        <f t="shared" si="9"/>
        <v>0</v>
      </c>
      <c r="G22" s="96">
        <f t="shared" si="10"/>
        <v>0</v>
      </c>
      <c r="H22" s="11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81"/>
      <c r="X22" s="49">
        <f t="shared" si="0"/>
        <v>0</v>
      </c>
      <c r="Y22" s="49">
        <f>[2]BASE!A20</f>
        <v>11</v>
      </c>
      <c r="Z22" s="69">
        <f t="shared" si="1"/>
        <v>0</v>
      </c>
      <c r="AA22" s="69">
        <f t="shared" si="2"/>
        <v>0</v>
      </c>
      <c r="AB22" s="69">
        <f t="shared" si="3"/>
        <v>0</v>
      </c>
      <c r="AC22" s="69">
        <f t="shared" si="4"/>
        <v>0</v>
      </c>
      <c r="AD22" s="69">
        <f t="shared" si="5"/>
        <v>0</v>
      </c>
    </row>
    <row r="23" spans="1:30" ht="16.5" customHeight="1">
      <c r="A23" s="95" t="str">
        <f>IF(BASE!B21="","",BASE!B21)</f>
        <v>21MEL125</v>
      </c>
      <c r="B23" s="92" t="s">
        <v>2</v>
      </c>
      <c r="C23" s="96">
        <f t="shared" si="6"/>
        <v>0</v>
      </c>
      <c r="D23" s="96">
        <f t="shared" si="7"/>
        <v>0</v>
      </c>
      <c r="E23" s="96">
        <f t="shared" si="8"/>
        <v>0</v>
      </c>
      <c r="F23" s="96">
        <f t="shared" si="9"/>
        <v>0</v>
      </c>
      <c r="G23" s="96">
        <f t="shared" si="10"/>
        <v>0</v>
      </c>
      <c r="H23" s="112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81"/>
      <c r="X23" s="49">
        <f t="shared" si="0"/>
        <v>0</v>
      </c>
      <c r="Y23" s="49">
        <f>[2]BASE!A21</f>
        <v>12</v>
      </c>
      <c r="Z23" s="69">
        <f t="shared" si="1"/>
        <v>0</v>
      </c>
      <c r="AA23" s="69">
        <f t="shared" si="2"/>
        <v>0</v>
      </c>
      <c r="AB23" s="69">
        <f t="shared" si="3"/>
        <v>0</v>
      </c>
      <c r="AC23" s="69">
        <f t="shared" si="4"/>
        <v>0</v>
      </c>
      <c r="AD23" s="69">
        <f t="shared" si="5"/>
        <v>0</v>
      </c>
    </row>
    <row r="24" spans="1:30" ht="16.5" customHeight="1">
      <c r="A24" s="95" t="str">
        <f>IF(BASE!B22="","",BASE!B22)</f>
        <v>21MEL126</v>
      </c>
      <c r="B24" s="92" t="s">
        <v>2</v>
      </c>
      <c r="C24" s="96">
        <f t="shared" si="6"/>
        <v>0</v>
      </c>
      <c r="D24" s="96">
        <f t="shared" si="7"/>
        <v>0</v>
      </c>
      <c r="E24" s="96">
        <f t="shared" si="8"/>
        <v>0</v>
      </c>
      <c r="F24" s="96">
        <f t="shared" si="9"/>
        <v>0</v>
      </c>
      <c r="G24" s="96">
        <f t="shared" si="10"/>
        <v>0</v>
      </c>
      <c r="H24" s="112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81"/>
      <c r="X24" s="49">
        <f t="shared" si="0"/>
        <v>0</v>
      </c>
      <c r="Y24" s="49">
        <f>[2]BASE!A22</f>
        <v>13</v>
      </c>
      <c r="Z24" s="69">
        <f t="shared" si="1"/>
        <v>0</v>
      </c>
      <c r="AA24" s="69">
        <f t="shared" si="2"/>
        <v>0</v>
      </c>
      <c r="AB24" s="69">
        <f t="shared" si="3"/>
        <v>0</v>
      </c>
      <c r="AC24" s="69">
        <f t="shared" si="4"/>
        <v>0</v>
      </c>
      <c r="AD24" s="69">
        <f t="shared" si="5"/>
        <v>0</v>
      </c>
    </row>
    <row r="25" spans="1:30" ht="16.5" customHeight="1">
      <c r="A25" s="95" t="str">
        <f>IF(BASE!B23="","",BASE!B23)</f>
        <v>21MEL127</v>
      </c>
      <c r="B25" s="92" t="s">
        <v>2</v>
      </c>
      <c r="C25" s="96">
        <f t="shared" si="6"/>
        <v>0</v>
      </c>
      <c r="D25" s="96">
        <f t="shared" si="7"/>
        <v>0</v>
      </c>
      <c r="E25" s="96">
        <f t="shared" si="8"/>
        <v>0</v>
      </c>
      <c r="F25" s="96">
        <f t="shared" si="9"/>
        <v>0</v>
      </c>
      <c r="G25" s="96">
        <f t="shared" si="10"/>
        <v>0</v>
      </c>
      <c r="H25" s="112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1"/>
      <c r="X25" s="49">
        <f t="shared" si="0"/>
        <v>0</v>
      </c>
      <c r="Y25" s="49">
        <f>[2]BASE!A23</f>
        <v>14</v>
      </c>
      <c r="Z25" s="69">
        <f t="shared" si="1"/>
        <v>0</v>
      </c>
      <c r="AA25" s="69">
        <f t="shared" si="2"/>
        <v>0</v>
      </c>
      <c r="AB25" s="69">
        <f t="shared" si="3"/>
        <v>0</v>
      </c>
      <c r="AC25" s="69">
        <f t="shared" si="4"/>
        <v>0</v>
      </c>
      <c r="AD25" s="69">
        <f t="shared" si="5"/>
        <v>0</v>
      </c>
    </row>
    <row r="26" spans="1:30" ht="16.5" customHeight="1">
      <c r="A26" s="95" t="str">
        <f>IF(BASE!B24="","",BASE!B24)</f>
        <v>21MEL128</v>
      </c>
      <c r="B26" s="92" t="s">
        <v>2</v>
      </c>
      <c r="C26" s="96">
        <f t="shared" si="6"/>
        <v>0</v>
      </c>
      <c r="D26" s="96">
        <f t="shared" si="7"/>
        <v>0</v>
      </c>
      <c r="E26" s="96">
        <f t="shared" si="8"/>
        <v>0</v>
      </c>
      <c r="F26" s="96">
        <f t="shared" si="9"/>
        <v>0</v>
      </c>
      <c r="G26" s="96">
        <f t="shared" si="10"/>
        <v>0</v>
      </c>
      <c r="H26" s="112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81"/>
      <c r="X26" s="49">
        <f t="shared" si="0"/>
        <v>0</v>
      </c>
      <c r="Y26" s="49">
        <f>[2]BASE!A24</f>
        <v>15</v>
      </c>
      <c r="Z26" s="69">
        <f t="shared" si="1"/>
        <v>0</v>
      </c>
      <c r="AA26" s="69">
        <f t="shared" si="2"/>
        <v>0</v>
      </c>
      <c r="AB26" s="69">
        <f t="shared" si="3"/>
        <v>0</v>
      </c>
      <c r="AC26" s="69">
        <f t="shared" si="4"/>
        <v>0</v>
      </c>
      <c r="AD26" s="69">
        <f t="shared" si="5"/>
        <v>0</v>
      </c>
    </row>
    <row r="27" spans="1:30" ht="16.5" customHeight="1">
      <c r="A27" s="95" t="str">
        <f>IF(BASE!B25="","",BASE!B25)</f>
        <v>21MEL129</v>
      </c>
      <c r="B27" s="92" t="s">
        <v>2</v>
      </c>
      <c r="C27" s="96">
        <f t="shared" si="6"/>
        <v>0</v>
      </c>
      <c r="D27" s="96">
        <f t="shared" si="7"/>
        <v>0</v>
      </c>
      <c r="E27" s="96">
        <f t="shared" si="8"/>
        <v>0</v>
      </c>
      <c r="F27" s="96">
        <f t="shared" si="9"/>
        <v>0</v>
      </c>
      <c r="G27" s="96">
        <f t="shared" si="10"/>
        <v>0</v>
      </c>
      <c r="H27" s="112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81"/>
      <c r="X27" s="49">
        <f t="shared" si="0"/>
        <v>0</v>
      </c>
      <c r="Y27" s="49">
        <f>[2]BASE!A25</f>
        <v>16</v>
      </c>
      <c r="Z27" s="69">
        <f t="shared" si="1"/>
        <v>0</v>
      </c>
      <c r="AA27" s="69">
        <f t="shared" si="2"/>
        <v>0</v>
      </c>
      <c r="AB27" s="69">
        <f t="shared" si="3"/>
        <v>0</v>
      </c>
      <c r="AC27" s="69">
        <f t="shared" si="4"/>
        <v>0</v>
      </c>
      <c r="AD27" s="69">
        <f t="shared" si="5"/>
        <v>0</v>
      </c>
    </row>
    <row r="28" spans="1:30" ht="16.5" customHeight="1">
      <c r="A28" s="95" t="str">
        <f>IF(BASE!B26="","",BASE!B26)</f>
        <v>21MEL130</v>
      </c>
      <c r="B28" s="92" t="s">
        <v>2</v>
      </c>
      <c r="C28" s="96">
        <f t="shared" si="6"/>
        <v>0</v>
      </c>
      <c r="D28" s="96">
        <f t="shared" si="7"/>
        <v>0</v>
      </c>
      <c r="E28" s="96">
        <f t="shared" si="8"/>
        <v>0</v>
      </c>
      <c r="F28" s="96">
        <f t="shared" si="9"/>
        <v>0</v>
      </c>
      <c r="G28" s="96">
        <f t="shared" si="10"/>
        <v>0</v>
      </c>
      <c r="H28" s="112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81"/>
      <c r="X28" s="49">
        <f t="shared" si="0"/>
        <v>0</v>
      </c>
      <c r="Y28" s="49">
        <f>[2]BASE!A26</f>
        <v>17</v>
      </c>
      <c r="Z28" s="69">
        <f t="shared" si="1"/>
        <v>0</v>
      </c>
      <c r="AA28" s="69">
        <f t="shared" si="2"/>
        <v>0</v>
      </c>
      <c r="AB28" s="69">
        <f t="shared" si="3"/>
        <v>0</v>
      </c>
      <c r="AC28" s="69">
        <f t="shared" si="4"/>
        <v>0</v>
      </c>
      <c r="AD28" s="69">
        <f t="shared" si="5"/>
        <v>0</v>
      </c>
    </row>
    <row r="29" spans="1:30" ht="16.5" customHeight="1">
      <c r="A29" s="95" t="str">
        <f>IF(BASE!B27="","",BASE!B27)</f>
        <v>21MEL131</v>
      </c>
      <c r="B29" s="92" t="s">
        <v>2</v>
      </c>
      <c r="C29" s="96">
        <f t="shared" si="6"/>
        <v>0</v>
      </c>
      <c r="D29" s="96">
        <f t="shared" si="7"/>
        <v>0</v>
      </c>
      <c r="E29" s="96">
        <f t="shared" si="8"/>
        <v>0</v>
      </c>
      <c r="F29" s="96">
        <f t="shared" si="9"/>
        <v>0</v>
      </c>
      <c r="G29" s="96">
        <f t="shared" si="10"/>
        <v>0</v>
      </c>
      <c r="H29" s="112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81"/>
      <c r="X29" s="49">
        <f t="shared" si="0"/>
        <v>0</v>
      </c>
      <c r="Y29" s="49">
        <f>[2]BASE!A27</f>
        <v>18</v>
      </c>
      <c r="Z29" s="69">
        <f t="shared" si="1"/>
        <v>0</v>
      </c>
      <c r="AA29" s="69">
        <f t="shared" si="2"/>
        <v>0</v>
      </c>
      <c r="AB29" s="69">
        <f t="shared" si="3"/>
        <v>0</v>
      </c>
      <c r="AC29" s="69">
        <f t="shared" si="4"/>
        <v>0</v>
      </c>
      <c r="AD29" s="69">
        <f t="shared" si="5"/>
        <v>0</v>
      </c>
    </row>
    <row r="30" spans="1:30" ht="16.5" customHeight="1">
      <c r="A30" s="95" t="str">
        <f>IF(BASE!B28="","",BASE!B28)</f>
        <v>21MER051</v>
      </c>
      <c r="B30" s="92" t="s">
        <v>2</v>
      </c>
      <c r="C30" s="96">
        <f t="shared" si="6"/>
        <v>0</v>
      </c>
      <c r="D30" s="96">
        <f t="shared" si="7"/>
        <v>0</v>
      </c>
      <c r="E30" s="96">
        <f t="shared" si="8"/>
        <v>0</v>
      </c>
      <c r="F30" s="96">
        <f t="shared" si="9"/>
        <v>0</v>
      </c>
      <c r="G30" s="96">
        <f t="shared" si="10"/>
        <v>0</v>
      </c>
      <c r="H30" s="112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81"/>
      <c r="X30" s="49">
        <f t="shared" si="0"/>
        <v>0</v>
      </c>
      <c r="Y30" s="49">
        <f>[2]BASE!A28</f>
        <v>19</v>
      </c>
      <c r="Z30" s="69">
        <f t="shared" si="1"/>
        <v>0</v>
      </c>
      <c r="AA30" s="69">
        <f t="shared" si="2"/>
        <v>0</v>
      </c>
      <c r="AB30" s="69">
        <f t="shared" si="3"/>
        <v>0</v>
      </c>
      <c r="AC30" s="69">
        <f t="shared" si="4"/>
        <v>0</v>
      </c>
      <c r="AD30" s="69">
        <f t="shared" si="5"/>
        <v>0</v>
      </c>
    </row>
    <row r="31" spans="1:30" ht="16.5" customHeight="1">
      <c r="A31" s="95" t="str">
        <f>IF(BASE!B29="","",BASE!B29)</f>
        <v>21MER052</v>
      </c>
      <c r="B31" s="92" t="s">
        <v>2</v>
      </c>
      <c r="C31" s="96">
        <f t="shared" si="6"/>
        <v>0</v>
      </c>
      <c r="D31" s="96">
        <f t="shared" si="7"/>
        <v>0</v>
      </c>
      <c r="E31" s="96">
        <f t="shared" si="8"/>
        <v>0</v>
      </c>
      <c r="F31" s="96">
        <f t="shared" si="9"/>
        <v>0</v>
      </c>
      <c r="G31" s="96">
        <f t="shared" si="10"/>
        <v>0</v>
      </c>
      <c r="H31" s="112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81"/>
      <c r="X31" s="49">
        <f t="shared" si="0"/>
        <v>0</v>
      </c>
      <c r="Y31" s="49">
        <f>[2]BASE!A29</f>
        <v>20</v>
      </c>
      <c r="Z31" s="69">
        <f t="shared" si="1"/>
        <v>0</v>
      </c>
      <c r="AA31" s="69">
        <f t="shared" si="2"/>
        <v>0</v>
      </c>
      <c r="AB31" s="69">
        <f t="shared" si="3"/>
        <v>0</v>
      </c>
      <c r="AC31" s="69">
        <f t="shared" si="4"/>
        <v>0</v>
      </c>
      <c r="AD31" s="69">
        <f t="shared" si="5"/>
        <v>0</v>
      </c>
    </row>
    <row r="32" spans="1:30" ht="16.5" customHeight="1">
      <c r="A32" s="95" t="str">
        <f>IF(BASE!B30="","",BASE!B30)</f>
        <v>21MER053</v>
      </c>
      <c r="B32" s="92" t="s">
        <v>2</v>
      </c>
      <c r="C32" s="96">
        <f t="shared" si="6"/>
        <v>0</v>
      </c>
      <c r="D32" s="96">
        <f t="shared" si="7"/>
        <v>0</v>
      </c>
      <c r="E32" s="96">
        <f t="shared" si="8"/>
        <v>0</v>
      </c>
      <c r="F32" s="96">
        <f t="shared" si="9"/>
        <v>0</v>
      </c>
      <c r="G32" s="96">
        <f t="shared" si="10"/>
        <v>0</v>
      </c>
      <c r="H32" s="112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81"/>
      <c r="X32" s="49">
        <f t="shared" si="0"/>
        <v>0</v>
      </c>
      <c r="Y32" s="49">
        <f>[2]BASE!A30</f>
        <v>21</v>
      </c>
      <c r="Z32" s="69">
        <f t="shared" si="1"/>
        <v>0</v>
      </c>
      <c r="AA32" s="69">
        <f t="shared" si="2"/>
        <v>0</v>
      </c>
      <c r="AB32" s="69">
        <f t="shared" si="3"/>
        <v>0</v>
      </c>
      <c r="AC32" s="69">
        <f t="shared" si="4"/>
        <v>0</v>
      </c>
      <c r="AD32" s="69">
        <f t="shared" si="5"/>
        <v>0</v>
      </c>
    </row>
    <row r="33" spans="1:30" ht="16.5" customHeight="1">
      <c r="A33" s="95" t="str">
        <f>IF(BASE!B31="","",BASE!B31)</f>
        <v>21MER054</v>
      </c>
      <c r="B33" s="92" t="s">
        <v>2</v>
      </c>
      <c r="C33" s="96">
        <f t="shared" si="6"/>
        <v>0</v>
      </c>
      <c r="D33" s="96">
        <f t="shared" si="7"/>
        <v>0</v>
      </c>
      <c r="E33" s="96">
        <f t="shared" si="8"/>
        <v>0</v>
      </c>
      <c r="F33" s="96">
        <f t="shared" si="9"/>
        <v>0</v>
      </c>
      <c r="G33" s="96">
        <f t="shared" si="10"/>
        <v>0</v>
      </c>
      <c r="H33" s="112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81"/>
      <c r="X33" s="49">
        <f t="shared" si="0"/>
        <v>0</v>
      </c>
      <c r="Y33" s="49">
        <f>[2]BASE!A31</f>
        <v>22</v>
      </c>
      <c r="Z33" s="69">
        <f t="shared" si="1"/>
        <v>0</v>
      </c>
      <c r="AA33" s="69">
        <f t="shared" si="2"/>
        <v>0</v>
      </c>
      <c r="AB33" s="69">
        <f t="shared" si="3"/>
        <v>0</v>
      </c>
      <c r="AC33" s="69">
        <f t="shared" si="4"/>
        <v>0</v>
      </c>
      <c r="AD33" s="69">
        <f t="shared" si="5"/>
        <v>0</v>
      </c>
    </row>
    <row r="34" spans="1:30" ht="16.5" customHeight="1">
      <c r="A34" s="95" t="str">
        <f>IF(BASE!B32="","",BASE!B32)</f>
        <v>21MER055</v>
      </c>
      <c r="B34" s="92" t="s">
        <v>2</v>
      </c>
      <c r="C34" s="96">
        <f t="shared" si="6"/>
        <v>0</v>
      </c>
      <c r="D34" s="96">
        <f t="shared" si="7"/>
        <v>0</v>
      </c>
      <c r="E34" s="96">
        <f t="shared" si="8"/>
        <v>0</v>
      </c>
      <c r="F34" s="96">
        <f t="shared" si="9"/>
        <v>0</v>
      </c>
      <c r="G34" s="96">
        <f t="shared" si="10"/>
        <v>0</v>
      </c>
      <c r="H34" s="112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81"/>
      <c r="X34" s="49">
        <f t="shared" si="0"/>
        <v>0</v>
      </c>
      <c r="Y34" s="49">
        <f>[2]BASE!A32</f>
        <v>23</v>
      </c>
      <c r="Z34" s="69">
        <f t="shared" si="1"/>
        <v>0</v>
      </c>
      <c r="AA34" s="69">
        <f t="shared" si="2"/>
        <v>0</v>
      </c>
      <c r="AB34" s="69">
        <f t="shared" si="3"/>
        <v>0</v>
      </c>
      <c r="AC34" s="69">
        <f t="shared" si="4"/>
        <v>0</v>
      </c>
      <c r="AD34" s="69">
        <f t="shared" si="5"/>
        <v>0</v>
      </c>
    </row>
    <row r="35" spans="1:30" ht="16.5" customHeight="1">
      <c r="A35" s="95" t="str">
        <f>IF(BASE!B33="","",BASE!B33)</f>
        <v>21MER056</v>
      </c>
      <c r="B35" s="92" t="s">
        <v>2</v>
      </c>
      <c r="C35" s="96">
        <f t="shared" si="6"/>
        <v>0</v>
      </c>
      <c r="D35" s="96">
        <f t="shared" si="7"/>
        <v>0</v>
      </c>
      <c r="E35" s="96">
        <f t="shared" si="8"/>
        <v>0</v>
      </c>
      <c r="F35" s="96">
        <f t="shared" si="9"/>
        <v>0</v>
      </c>
      <c r="G35" s="96">
        <f t="shared" si="10"/>
        <v>0</v>
      </c>
      <c r="H35" s="112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81"/>
      <c r="X35" s="49">
        <f t="shared" si="0"/>
        <v>0</v>
      </c>
      <c r="Y35" s="49">
        <f>[2]BASE!A33</f>
        <v>24</v>
      </c>
      <c r="Z35" s="69">
        <f t="shared" si="1"/>
        <v>0</v>
      </c>
      <c r="AA35" s="69">
        <f t="shared" si="2"/>
        <v>0</v>
      </c>
      <c r="AB35" s="69">
        <f t="shared" si="3"/>
        <v>0</v>
      </c>
      <c r="AC35" s="69">
        <f t="shared" si="4"/>
        <v>0</v>
      </c>
      <c r="AD35" s="69">
        <f t="shared" si="5"/>
        <v>0</v>
      </c>
    </row>
    <row r="36" spans="1:30" ht="16.5" customHeight="1">
      <c r="A36" s="95" t="str">
        <f>IF(BASE!B34="","",BASE!B34)</f>
        <v>21MER057</v>
      </c>
      <c r="B36" s="92" t="s">
        <v>2</v>
      </c>
      <c r="C36" s="96">
        <f t="shared" si="6"/>
        <v>0</v>
      </c>
      <c r="D36" s="96">
        <f t="shared" si="7"/>
        <v>0</v>
      </c>
      <c r="E36" s="96">
        <f t="shared" si="8"/>
        <v>0</v>
      </c>
      <c r="F36" s="96">
        <f t="shared" si="9"/>
        <v>0</v>
      </c>
      <c r="G36" s="96">
        <f t="shared" si="10"/>
        <v>0</v>
      </c>
      <c r="H36" s="112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81"/>
      <c r="X36" s="49">
        <f t="shared" si="0"/>
        <v>0</v>
      </c>
      <c r="Y36" s="49">
        <f>[2]BASE!A34</f>
        <v>25</v>
      </c>
      <c r="Z36" s="69">
        <f t="shared" si="1"/>
        <v>0</v>
      </c>
      <c r="AA36" s="69">
        <f t="shared" si="2"/>
        <v>0</v>
      </c>
      <c r="AB36" s="69">
        <f t="shared" si="3"/>
        <v>0</v>
      </c>
      <c r="AC36" s="69">
        <f t="shared" si="4"/>
        <v>0</v>
      </c>
      <c r="AD36" s="69">
        <f t="shared" si="5"/>
        <v>0</v>
      </c>
    </row>
    <row r="37" spans="1:30" ht="16.5" customHeight="1">
      <c r="A37" s="95" t="str">
        <f>IF(BASE!B35="","",BASE!B35)</f>
        <v>21MER059</v>
      </c>
      <c r="B37" s="92" t="s">
        <v>2</v>
      </c>
      <c r="C37" s="96">
        <f t="shared" si="6"/>
        <v>0</v>
      </c>
      <c r="D37" s="96">
        <f t="shared" si="7"/>
        <v>0</v>
      </c>
      <c r="E37" s="96">
        <f t="shared" si="8"/>
        <v>0</v>
      </c>
      <c r="F37" s="96">
        <f t="shared" si="9"/>
        <v>0</v>
      </c>
      <c r="G37" s="96">
        <f t="shared" si="10"/>
        <v>0</v>
      </c>
      <c r="H37" s="112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81"/>
      <c r="X37" s="49">
        <f t="shared" si="0"/>
        <v>0</v>
      </c>
      <c r="Y37" s="49">
        <f>[2]BASE!A35</f>
        <v>26</v>
      </c>
      <c r="Z37" s="69">
        <f t="shared" si="1"/>
        <v>0</v>
      </c>
      <c r="AA37" s="69">
        <f t="shared" si="2"/>
        <v>0</v>
      </c>
      <c r="AB37" s="69">
        <f t="shared" si="3"/>
        <v>0</v>
      </c>
      <c r="AC37" s="69">
        <f t="shared" si="4"/>
        <v>0</v>
      </c>
      <c r="AD37" s="69">
        <f t="shared" si="5"/>
        <v>0</v>
      </c>
    </row>
    <row r="38" spans="1:30" ht="16.5" customHeight="1">
      <c r="A38" s="95" t="str">
        <f>IF(BASE!B36="","",BASE!B36)</f>
        <v>21MER060</v>
      </c>
      <c r="B38" s="92" t="s">
        <v>2</v>
      </c>
      <c r="C38" s="96">
        <f t="shared" si="6"/>
        <v>0</v>
      </c>
      <c r="D38" s="96">
        <f t="shared" si="7"/>
        <v>0</v>
      </c>
      <c r="E38" s="96">
        <f t="shared" si="8"/>
        <v>0</v>
      </c>
      <c r="F38" s="96">
        <f t="shared" si="9"/>
        <v>0</v>
      </c>
      <c r="G38" s="96">
        <f t="shared" si="10"/>
        <v>0</v>
      </c>
      <c r="H38" s="112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81"/>
      <c r="X38" s="49">
        <f t="shared" si="0"/>
        <v>0</v>
      </c>
      <c r="Y38" s="49">
        <f>[2]BASE!A36</f>
        <v>27</v>
      </c>
      <c r="Z38" s="69">
        <f t="shared" si="1"/>
        <v>0</v>
      </c>
      <c r="AA38" s="69">
        <f t="shared" si="2"/>
        <v>0</v>
      </c>
      <c r="AB38" s="69">
        <f t="shared" si="3"/>
        <v>0</v>
      </c>
      <c r="AC38" s="69">
        <f t="shared" si="4"/>
        <v>0</v>
      </c>
      <c r="AD38" s="69">
        <f t="shared" si="5"/>
        <v>0</v>
      </c>
    </row>
    <row r="39" spans="1:30" ht="16.5" customHeight="1">
      <c r="A39" s="95" t="str">
        <f>IF(BASE!B37="","",BASE!B37)</f>
        <v>21MER061</v>
      </c>
      <c r="B39" s="92" t="s">
        <v>2</v>
      </c>
      <c r="C39" s="96">
        <f t="shared" si="6"/>
        <v>0</v>
      </c>
      <c r="D39" s="96">
        <f t="shared" si="7"/>
        <v>0</v>
      </c>
      <c r="E39" s="96">
        <f t="shared" si="8"/>
        <v>0</v>
      </c>
      <c r="F39" s="96">
        <f t="shared" si="9"/>
        <v>0</v>
      </c>
      <c r="G39" s="96">
        <f t="shared" si="10"/>
        <v>0</v>
      </c>
      <c r="H39" s="112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81"/>
      <c r="X39" s="49">
        <f t="shared" si="0"/>
        <v>0</v>
      </c>
      <c r="Y39" s="49">
        <f>[2]BASE!A37</f>
        <v>28</v>
      </c>
      <c r="Z39" s="69">
        <f t="shared" si="1"/>
        <v>0</v>
      </c>
      <c r="AA39" s="69">
        <f t="shared" si="2"/>
        <v>0</v>
      </c>
      <c r="AB39" s="69">
        <f t="shared" si="3"/>
        <v>0</v>
      </c>
      <c r="AC39" s="69">
        <f t="shared" si="4"/>
        <v>0</v>
      </c>
      <c r="AD39" s="69">
        <f t="shared" si="5"/>
        <v>0</v>
      </c>
    </row>
    <row r="40" spans="1:30" ht="16.5" customHeight="1">
      <c r="A40" s="95" t="str">
        <f>IF(BASE!B38="","",BASE!B38)</f>
        <v>21MER062</v>
      </c>
      <c r="B40" s="92" t="s">
        <v>2</v>
      </c>
      <c r="C40" s="96">
        <f t="shared" si="6"/>
        <v>0</v>
      </c>
      <c r="D40" s="96">
        <f t="shared" si="7"/>
        <v>0</v>
      </c>
      <c r="E40" s="96">
        <f t="shared" si="8"/>
        <v>0</v>
      </c>
      <c r="F40" s="96">
        <f t="shared" si="9"/>
        <v>0</v>
      </c>
      <c r="G40" s="96">
        <f t="shared" si="10"/>
        <v>0</v>
      </c>
      <c r="H40" s="112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81"/>
      <c r="X40" s="49">
        <f t="shared" si="0"/>
        <v>0</v>
      </c>
      <c r="Y40" s="49">
        <f>[2]BASE!A38</f>
        <v>29</v>
      </c>
      <c r="Z40" s="69">
        <f t="shared" si="1"/>
        <v>0</v>
      </c>
      <c r="AA40" s="69">
        <f t="shared" si="2"/>
        <v>0</v>
      </c>
      <c r="AB40" s="69">
        <f t="shared" si="3"/>
        <v>0</v>
      </c>
      <c r="AC40" s="69">
        <f t="shared" si="4"/>
        <v>0</v>
      </c>
      <c r="AD40" s="69">
        <f t="shared" si="5"/>
        <v>0</v>
      </c>
    </row>
    <row r="41" spans="1:30" ht="16.5" customHeight="1">
      <c r="A41" s="95" t="str">
        <f>IF(BASE!B39="","",BASE!B39)</f>
        <v>21MER063</v>
      </c>
      <c r="B41" s="92" t="s">
        <v>2</v>
      </c>
      <c r="C41" s="96">
        <f t="shared" si="6"/>
        <v>0</v>
      </c>
      <c r="D41" s="96">
        <f t="shared" si="7"/>
        <v>0</v>
      </c>
      <c r="E41" s="96">
        <f t="shared" si="8"/>
        <v>0</v>
      </c>
      <c r="F41" s="96">
        <f t="shared" si="9"/>
        <v>0</v>
      </c>
      <c r="G41" s="96">
        <f t="shared" si="10"/>
        <v>0</v>
      </c>
      <c r="H41" s="112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81"/>
      <c r="X41" s="49">
        <f t="shared" si="0"/>
        <v>0</v>
      </c>
      <c r="Y41" s="49">
        <f>[2]BASE!A39</f>
        <v>30</v>
      </c>
      <c r="Z41" s="69">
        <f t="shared" si="1"/>
        <v>0</v>
      </c>
      <c r="AA41" s="69">
        <f t="shared" si="2"/>
        <v>0</v>
      </c>
      <c r="AB41" s="69">
        <f t="shared" si="3"/>
        <v>0</v>
      </c>
      <c r="AC41" s="69">
        <f t="shared" si="4"/>
        <v>0</v>
      </c>
      <c r="AD41" s="69">
        <f t="shared" si="5"/>
        <v>0</v>
      </c>
    </row>
    <row r="42" spans="1:30" ht="16.5" customHeight="1">
      <c r="A42" s="95" t="str">
        <f>IF(BASE!B40="","",BASE!B40)</f>
        <v>21MER064</v>
      </c>
      <c r="B42" s="92" t="s">
        <v>2</v>
      </c>
      <c r="C42" s="96">
        <f t="shared" si="6"/>
        <v>0</v>
      </c>
      <c r="D42" s="96">
        <f t="shared" si="7"/>
        <v>0</v>
      </c>
      <c r="E42" s="96">
        <f t="shared" si="8"/>
        <v>0</v>
      </c>
      <c r="F42" s="96">
        <f t="shared" si="9"/>
        <v>0</v>
      </c>
      <c r="G42" s="96">
        <f t="shared" si="10"/>
        <v>0</v>
      </c>
      <c r="H42" s="112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81"/>
      <c r="X42" s="49">
        <f t="shared" si="0"/>
        <v>0</v>
      </c>
      <c r="Y42" s="49">
        <f>[2]BASE!A40</f>
        <v>31</v>
      </c>
      <c r="Z42" s="69">
        <f t="shared" si="1"/>
        <v>0</v>
      </c>
      <c r="AA42" s="69">
        <f t="shared" si="2"/>
        <v>0</v>
      </c>
      <c r="AB42" s="69">
        <f t="shared" si="3"/>
        <v>0</v>
      </c>
      <c r="AC42" s="69">
        <f t="shared" si="4"/>
        <v>0</v>
      </c>
      <c r="AD42" s="69">
        <f t="shared" si="5"/>
        <v>0</v>
      </c>
    </row>
    <row r="43" spans="1:30" ht="16.5" customHeight="1">
      <c r="A43" s="95" t="str">
        <f>IF(BASE!B41="","",BASE!B41)</f>
        <v>21MER065</v>
      </c>
      <c r="B43" s="92" t="s">
        <v>2</v>
      </c>
      <c r="C43" s="96">
        <f t="shared" si="6"/>
        <v>0</v>
      </c>
      <c r="D43" s="96">
        <f t="shared" si="7"/>
        <v>0</v>
      </c>
      <c r="E43" s="96">
        <f t="shared" si="8"/>
        <v>0</v>
      </c>
      <c r="F43" s="96">
        <f t="shared" si="9"/>
        <v>0</v>
      </c>
      <c r="G43" s="96">
        <f t="shared" si="10"/>
        <v>0</v>
      </c>
      <c r="H43" s="112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81"/>
      <c r="X43" s="49">
        <f t="shared" si="0"/>
        <v>0</v>
      </c>
      <c r="Y43" s="49">
        <f>[2]BASE!A41</f>
        <v>32</v>
      </c>
      <c r="Z43" s="69">
        <f t="shared" si="1"/>
        <v>0</v>
      </c>
      <c r="AA43" s="69">
        <f t="shared" si="2"/>
        <v>0</v>
      </c>
      <c r="AB43" s="69">
        <f t="shared" si="3"/>
        <v>0</v>
      </c>
      <c r="AC43" s="69">
        <f t="shared" si="4"/>
        <v>0</v>
      </c>
      <c r="AD43" s="69">
        <f t="shared" si="5"/>
        <v>0</v>
      </c>
    </row>
    <row r="44" spans="1:30" ht="16.5" customHeight="1">
      <c r="A44" s="95" t="str">
        <f>IF(BASE!B42="","",BASE!B42)</f>
        <v>21MER066</v>
      </c>
      <c r="B44" s="92" t="s">
        <v>2</v>
      </c>
      <c r="C44" s="96">
        <f t="shared" si="6"/>
        <v>0</v>
      </c>
      <c r="D44" s="96">
        <f t="shared" si="7"/>
        <v>0</v>
      </c>
      <c r="E44" s="96">
        <f t="shared" si="8"/>
        <v>0</v>
      </c>
      <c r="F44" s="96">
        <f t="shared" si="9"/>
        <v>0</v>
      </c>
      <c r="G44" s="96">
        <f t="shared" si="10"/>
        <v>0</v>
      </c>
      <c r="H44" s="112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81"/>
      <c r="X44" s="49">
        <f t="shared" si="0"/>
        <v>0</v>
      </c>
      <c r="Y44" s="49">
        <f>[2]BASE!A42</f>
        <v>33</v>
      </c>
      <c r="Z44" s="69">
        <f t="shared" si="1"/>
        <v>0</v>
      </c>
      <c r="AA44" s="69">
        <f t="shared" si="2"/>
        <v>0</v>
      </c>
      <c r="AB44" s="69">
        <f t="shared" si="3"/>
        <v>0</v>
      </c>
      <c r="AC44" s="69">
        <f t="shared" si="4"/>
        <v>0</v>
      </c>
      <c r="AD44" s="69">
        <f t="shared" si="5"/>
        <v>0</v>
      </c>
    </row>
    <row r="45" spans="1:30" ht="16.5" customHeight="1">
      <c r="A45" s="95" t="str">
        <f>IF(BASE!B43="","",BASE!B43)</f>
        <v>21MER067</v>
      </c>
      <c r="B45" s="92" t="s">
        <v>2</v>
      </c>
      <c r="C45" s="96">
        <f t="shared" si="6"/>
        <v>0</v>
      </c>
      <c r="D45" s="96">
        <f t="shared" si="7"/>
        <v>0</v>
      </c>
      <c r="E45" s="96">
        <f t="shared" si="8"/>
        <v>0</v>
      </c>
      <c r="F45" s="96">
        <f t="shared" si="9"/>
        <v>0</v>
      </c>
      <c r="G45" s="96">
        <f t="shared" si="10"/>
        <v>0</v>
      </c>
      <c r="H45" s="112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81"/>
      <c r="X45" s="49">
        <f t="shared" si="0"/>
        <v>0</v>
      </c>
      <c r="Y45" s="49">
        <f>[2]BASE!A43</f>
        <v>34</v>
      </c>
      <c r="Z45" s="69">
        <f t="shared" si="1"/>
        <v>0</v>
      </c>
      <c r="AA45" s="69">
        <f t="shared" si="2"/>
        <v>0</v>
      </c>
      <c r="AB45" s="69">
        <f t="shared" si="3"/>
        <v>0</v>
      </c>
      <c r="AC45" s="69">
        <f t="shared" si="4"/>
        <v>0</v>
      </c>
      <c r="AD45" s="69">
        <f t="shared" si="5"/>
        <v>0</v>
      </c>
    </row>
    <row r="46" spans="1:30" ht="16.5" customHeight="1">
      <c r="A46" s="95" t="str">
        <f>IF(BASE!B44="","",BASE!B44)</f>
        <v>21MER068</v>
      </c>
      <c r="B46" s="92" t="s">
        <v>2</v>
      </c>
      <c r="C46" s="96">
        <f t="shared" si="6"/>
        <v>0</v>
      </c>
      <c r="D46" s="96">
        <f t="shared" si="7"/>
        <v>0</v>
      </c>
      <c r="E46" s="96">
        <f t="shared" si="8"/>
        <v>0</v>
      </c>
      <c r="F46" s="96">
        <f t="shared" si="9"/>
        <v>0</v>
      </c>
      <c r="G46" s="96">
        <f t="shared" si="10"/>
        <v>0</v>
      </c>
      <c r="H46" s="112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81"/>
      <c r="X46" s="49">
        <f t="shared" si="0"/>
        <v>0</v>
      </c>
      <c r="Y46" s="49">
        <f>[2]BASE!A44</f>
        <v>35</v>
      </c>
      <c r="Z46" s="69">
        <f t="shared" si="1"/>
        <v>0</v>
      </c>
      <c r="AA46" s="69">
        <f t="shared" si="2"/>
        <v>0</v>
      </c>
      <c r="AB46" s="69">
        <f t="shared" si="3"/>
        <v>0</v>
      </c>
      <c r="AC46" s="69">
        <f t="shared" si="4"/>
        <v>0</v>
      </c>
      <c r="AD46" s="69">
        <f t="shared" si="5"/>
        <v>0</v>
      </c>
    </row>
    <row r="47" spans="1:30" ht="16.5" customHeight="1">
      <c r="A47" s="95" t="str">
        <f>IF(BASE!B45="","",BASE!B45)</f>
        <v>21MER069</v>
      </c>
      <c r="B47" s="92" t="s">
        <v>2</v>
      </c>
      <c r="C47" s="96">
        <f t="shared" si="6"/>
        <v>0</v>
      </c>
      <c r="D47" s="96">
        <f t="shared" si="7"/>
        <v>0</v>
      </c>
      <c r="E47" s="96">
        <f t="shared" si="8"/>
        <v>0</v>
      </c>
      <c r="F47" s="96">
        <f t="shared" si="9"/>
        <v>0</v>
      </c>
      <c r="G47" s="96">
        <f t="shared" si="10"/>
        <v>0</v>
      </c>
      <c r="H47" s="112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81"/>
      <c r="X47" s="49">
        <f t="shared" si="0"/>
        <v>0</v>
      </c>
      <c r="Y47" s="49">
        <f>[2]BASE!A45</f>
        <v>36</v>
      </c>
      <c r="Z47" s="69">
        <f t="shared" si="1"/>
        <v>0</v>
      </c>
      <c r="AA47" s="69">
        <f t="shared" si="2"/>
        <v>0</v>
      </c>
      <c r="AB47" s="69">
        <f t="shared" si="3"/>
        <v>0</v>
      </c>
      <c r="AC47" s="69">
        <f t="shared" si="4"/>
        <v>0</v>
      </c>
      <c r="AD47" s="69">
        <f t="shared" si="5"/>
        <v>0</v>
      </c>
    </row>
    <row r="48" spans="1:30" ht="16.5" customHeight="1">
      <c r="A48" s="95" t="str">
        <f>IF(BASE!B46="","",BASE!B46)</f>
        <v>21MER070</v>
      </c>
      <c r="B48" s="92" t="s">
        <v>2</v>
      </c>
      <c r="C48" s="96">
        <f t="shared" si="6"/>
        <v>0</v>
      </c>
      <c r="D48" s="96">
        <f t="shared" si="7"/>
        <v>0</v>
      </c>
      <c r="E48" s="96">
        <f t="shared" si="8"/>
        <v>0</v>
      </c>
      <c r="F48" s="96">
        <f t="shared" si="9"/>
        <v>0</v>
      </c>
      <c r="G48" s="96">
        <f t="shared" si="10"/>
        <v>0</v>
      </c>
      <c r="H48" s="112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81"/>
      <c r="X48" s="49">
        <f t="shared" si="0"/>
        <v>0</v>
      </c>
      <c r="Y48" s="49">
        <f>[2]BASE!A46</f>
        <v>37</v>
      </c>
      <c r="Z48" s="69">
        <f t="shared" si="1"/>
        <v>0</v>
      </c>
      <c r="AA48" s="69">
        <f t="shared" si="2"/>
        <v>0</v>
      </c>
      <c r="AB48" s="69">
        <f t="shared" si="3"/>
        <v>0</v>
      </c>
      <c r="AC48" s="69">
        <f t="shared" si="4"/>
        <v>0</v>
      </c>
      <c r="AD48" s="69">
        <f t="shared" si="5"/>
        <v>0</v>
      </c>
    </row>
    <row r="49" spans="1:30" ht="16.5" customHeight="1">
      <c r="A49" s="95" t="str">
        <f>IF(BASE!B47="","",BASE!B47)</f>
        <v>21MER071</v>
      </c>
      <c r="B49" s="92" t="s">
        <v>2</v>
      </c>
      <c r="C49" s="96">
        <f t="shared" si="6"/>
        <v>0</v>
      </c>
      <c r="D49" s="96">
        <f t="shared" si="7"/>
        <v>0</v>
      </c>
      <c r="E49" s="96">
        <f t="shared" si="8"/>
        <v>0</v>
      </c>
      <c r="F49" s="96">
        <f t="shared" si="9"/>
        <v>0</v>
      </c>
      <c r="G49" s="96">
        <f t="shared" si="10"/>
        <v>0</v>
      </c>
      <c r="H49" s="112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81"/>
      <c r="X49" s="49">
        <f t="shared" si="0"/>
        <v>0</v>
      </c>
      <c r="Y49" s="49">
        <f>[2]BASE!A47</f>
        <v>38</v>
      </c>
      <c r="Z49" s="69">
        <f t="shared" si="1"/>
        <v>0</v>
      </c>
      <c r="AA49" s="69">
        <f t="shared" si="2"/>
        <v>0</v>
      </c>
      <c r="AB49" s="69">
        <f t="shared" si="3"/>
        <v>0</v>
      </c>
      <c r="AC49" s="69">
        <f t="shared" si="4"/>
        <v>0</v>
      </c>
      <c r="AD49" s="69">
        <f t="shared" si="5"/>
        <v>0</v>
      </c>
    </row>
    <row r="50" spans="1:30" ht="16.5" customHeight="1">
      <c r="A50" s="95" t="str">
        <f>IF(BASE!B48="","",BASE!B48)</f>
        <v>21MER072</v>
      </c>
      <c r="B50" s="92" t="s">
        <v>2</v>
      </c>
      <c r="C50" s="96">
        <f t="shared" si="6"/>
        <v>0</v>
      </c>
      <c r="D50" s="96">
        <f t="shared" si="7"/>
        <v>0</v>
      </c>
      <c r="E50" s="96">
        <f t="shared" si="8"/>
        <v>0</v>
      </c>
      <c r="F50" s="96">
        <f t="shared" si="9"/>
        <v>0</v>
      </c>
      <c r="G50" s="96">
        <f t="shared" si="10"/>
        <v>0</v>
      </c>
      <c r="H50" s="112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81"/>
      <c r="X50" s="49">
        <f t="shared" si="0"/>
        <v>0</v>
      </c>
      <c r="Y50" s="49">
        <f>[2]BASE!A48</f>
        <v>39</v>
      </c>
      <c r="Z50" s="69">
        <f t="shared" si="1"/>
        <v>0</v>
      </c>
      <c r="AA50" s="69">
        <f t="shared" si="2"/>
        <v>0</v>
      </c>
      <c r="AB50" s="69">
        <f t="shared" si="3"/>
        <v>0</v>
      </c>
      <c r="AC50" s="69">
        <f t="shared" si="4"/>
        <v>0</v>
      </c>
      <c r="AD50" s="69">
        <f t="shared" si="5"/>
        <v>0</v>
      </c>
    </row>
    <row r="51" spans="1:30" ht="16.5" customHeight="1">
      <c r="A51" s="95" t="str">
        <f>IF(BASE!B49="","",BASE!B49)</f>
        <v>21MER073</v>
      </c>
      <c r="B51" s="92" t="s">
        <v>2</v>
      </c>
      <c r="C51" s="96">
        <f t="shared" si="6"/>
        <v>0</v>
      </c>
      <c r="D51" s="96">
        <f t="shared" si="7"/>
        <v>0</v>
      </c>
      <c r="E51" s="96">
        <f t="shared" si="8"/>
        <v>0</v>
      </c>
      <c r="F51" s="96">
        <f t="shared" si="9"/>
        <v>0</v>
      </c>
      <c r="G51" s="96">
        <f t="shared" si="10"/>
        <v>0</v>
      </c>
      <c r="H51" s="112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81"/>
      <c r="X51" s="49">
        <f t="shared" si="0"/>
        <v>0</v>
      </c>
      <c r="Y51" s="49">
        <f>[2]BASE!A49</f>
        <v>40</v>
      </c>
      <c r="Z51" s="69">
        <f t="shared" si="1"/>
        <v>0</v>
      </c>
      <c r="AA51" s="69">
        <f t="shared" si="2"/>
        <v>0</v>
      </c>
      <c r="AB51" s="69">
        <f t="shared" si="3"/>
        <v>0</v>
      </c>
      <c r="AC51" s="69">
        <f t="shared" si="4"/>
        <v>0</v>
      </c>
      <c r="AD51" s="69">
        <f t="shared" si="5"/>
        <v>0</v>
      </c>
    </row>
    <row r="52" spans="1:30" ht="16.5" customHeight="1">
      <c r="A52" s="95" t="str">
        <f>IF(BASE!B50="","",BASE!B50)</f>
        <v>21MER074</v>
      </c>
      <c r="B52" s="92" t="s">
        <v>2</v>
      </c>
      <c r="C52" s="96">
        <f t="shared" si="6"/>
        <v>0</v>
      </c>
      <c r="D52" s="96">
        <f t="shared" si="7"/>
        <v>0</v>
      </c>
      <c r="E52" s="96">
        <f t="shared" si="8"/>
        <v>0</v>
      </c>
      <c r="F52" s="96">
        <f t="shared" si="9"/>
        <v>0</v>
      </c>
      <c r="G52" s="96">
        <f t="shared" si="10"/>
        <v>0</v>
      </c>
      <c r="H52" s="112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81"/>
      <c r="X52" s="49">
        <f t="shared" si="0"/>
        <v>0</v>
      </c>
      <c r="Y52" s="49">
        <f>[2]BASE!A50</f>
        <v>41</v>
      </c>
      <c r="Z52" s="69">
        <f t="shared" si="1"/>
        <v>0</v>
      </c>
      <c r="AA52" s="69">
        <f t="shared" si="2"/>
        <v>0</v>
      </c>
      <c r="AB52" s="69">
        <f t="shared" si="3"/>
        <v>0</v>
      </c>
      <c r="AC52" s="69">
        <f t="shared" si="4"/>
        <v>0</v>
      </c>
      <c r="AD52" s="69">
        <f t="shared" si="5"/>
        <v>0</v>
      </c>
    </row>
    <row r="53" spans="1:30" ht="16.5" customHeight="1">
      <c r="A53" s="95" t="str">
        <f>IF(BASE!B51="","",BASE!B51)</f>
        <v>21MER075</v>
      </c>
      <c r="B53" s="92" t="s">
        <v>2</v>
      </c>
      <c r="C53" s="96">
        <f t="shared" si="6"/>
        <v>0</v>
      </c>
      <c r="D53" s="96">
        <f t="shared" si="7"/>
        <v>0</v>
      </c>
      <c r="E53" s="96">
        <f t="shared" si="8"/>
        <v>0</v>
      </c>
      <c r="F53" s="96">
        <f t="shared" si="9"/>
        <v>0</v>
      </c>
      <c r="G53" s="96">
        <f t="shared" si="10"/>
        <v>0</v>
      </c>
      <c r="H53" s="112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81"/>
      <c r="X53" s="49">
        <f t="shared" si="0"/>
        <v>0</v>
      </c>
      <c r="Y53" s="49">
        <f>[2]BASE!A51</f>
        <v>42</v>
      </c>
      <c r="Z53" s="69">
        <f t="shared" si="1"/>
        <v>0</v>
      </c>
      <c r="AA53" s="69">
        <f t="shared" si="2"/>
        <v>0</v>
      </c>
      <c r="AB53" s="69">
        <f t="shared" si="3"/>
        <v>0</v>
      </c>
      <c r="AC53" s="69">
        <f t="shared" si="4"/>
        <v>0</v>
      </c>
      <c r="AD53" s="69">
        <f t="shared" si="5"/>
        <v>0</v>
      </c>
    </row>
    <row r="54" spans="1:30" ht="16.5" customHeight="1">
      <c r="A54" s="95" t="str">
        <f>IF(BASE!B52="","",BASE!B52)</f>
        <v>21MER076</v>
      </c>
      <c r="B54" s="92" t="s">
        <v>2</v>
      </c>
      <c r="C54" s="96">
        <f t="shared" si="6"/>
        <v>0</v>
      </c>
      <c r="D54" s="96">
        <f t="shared" si="7"/>
        <v>0</v>
      </c>
      <c r="E54" s="96">
        <f t="shared" si="8"/>
        <v>0</v>
      </c>
      <c r="F54" s="96">
        <f t="shared" si="9"/>
        <v>0</v>
      </c>
      <c r="G54" s="96">
        <f t="shared" si="10"/>
        <v>0</v>
      </c>
      <c r="H54" s="112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81"/>
      <c r="X54" s="49">
        <f t="shared" si="0"/>
        <v>0</v>
      </c>
      <c r="Y54" s="49">
        <f>[2]BASE!A52</f>
        <v>43</v>
      </c>
      <c r="Z54" s="69">
        <f t="shared" si="1"/>
        <v>0</v>
      </c>
      <c r="AA54" s="69">
        <f t="shared" si="2"/>
        <v>0</v>
      </c>
      <c r="AB54" s="69">
        <f t="shared" si="3"/>
        <v>0</v>
      </c>
      <c r="AC54" s="69">
        <f t="shared" si="4"/>
        <v>0</v>
      </c>
      <c r="AD54" s="69">
        <f t="shared" si="5"/>
        <v>0</v>
      </c>
    </row>
    <row r="55" spans="1:30" ht="16.5" customHeight="1">
      <c r="A55" s="95" t="str">
        <f>IF(BASE!B53="","",BASE!B53)</f>
        <v>21MER077</v>
      </c>
      <c r="B55" s="92" t="s">
        <v>2</v>
      </c>
      <c r="C55" s="96">
        <f t="shared" si="6"/>
        <v>0</v>
      </c>
      <c r="D55" s="96">
        <f t="shared" si="7"/>
        <v>0</v>
      </c>
      <c r="E55" s="96">
        <f t="shared" si="8"/>
        <v>0</v>
      </c>
      <c r="F55" s="96">
        <f t="shared" si="9"/>
        <v>0</v>
      </c>
      <c r="G55" s="96">
        <f t="shared" si="10"/>
        <v>0</v>
      </c>
      <c r="H55" s="112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81"/>
      <c r="X55" s="49">
        <f t="shared" si="0"/>
        <v>0</v>
      </c>
      <c r="Y55" s="49">
        <f>[2]BASE!A53</f>
        <v>44</v>
      </c>
      <c r="Z55" s="69">
        <f t="shared" si="1"/>
        <v>0</v>
      </c>
      <c r="AA55" s="69">
        <f t="shared" si="2"/>
        <v>0</v>
      </c>
      <c r="AB55" s="69">
        <f t="shared" si="3"/>
        <v>0</v>
      </c>
      <c r="AC55" s="69">
        <f t="shared" si="4"/>
        <v>0</v>
      </c>
      <c r="AD55" s="69">
        <f t="shared" si="5"/>
        <v>0</v>
      </c>
    </row>
    <row r="56" spans="1:30" ht="16.5" customHeight="1">
      <c r="A56" s="95" t="str">
        <f>IF(BASE!B54="","",BASE!B54)</f>
        <v>21MER078</v>
      </c>
      <c r="B56" s="92" t="s">
        <v>2</v>
      </c>
      <c r="C56" s="96">
        <f t="shared" si="6"/>
        <v>0</v>
      </c>
      <c r="D56" s="96">
        <f t="shared" si="7"/>
        <v>0</v>
      </c>
      <c r="E56" s="96">
        <f t="shared" si="8"/>
        <v>0</v>
      </c>
      <c r="F56" s="96">
        <f t="shared" si="9"/>
        <v>0</v>
      </c>
      <c r="G56" s="96">
        <f t="shared" si="10"/>
        <v>0</v>
      </c>
      <c r="H56" s="112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81"/>
      <c r="X56" s="49">
        <f t="shared" si="0"/>
        <v>0</v>
      </c>
      <c r="Y56" s="49">
        <f>[2]BASE!A54</f>
        <v>45</v>
      </c>
      <c r="Z56" s="69">
        <f t="shared" si="1"/>
        <v>0</v>
      </c>
      <c r="AA56" s="69">
        <f t="shared" si="2"/>
        <v>0</v>
      </c>
      <c r="AB56" s="69">
        <f t="shared" si="3"/>
        <v>0</v>
      </c>
      <c r="AC56" s="69">
        <f t="shared" si="4"/>
        <v>0</v>
      </c>
      <c r="AD56" s="69">
        <f t="shared" si="5"/>
        <v>0</v>
      </c>
    </row>
    <row r="57" spans="1:30" ht="16.5" customHeight="1">
      <c r="A57" s="95" t="str">
        <f>IF(BASE!B55="","",BASE!B55)</f>
        <v>21MER079</v>
      </c>
      <c r="B57" s="92" t="s">
        <v>2</v>
      </c>
      <c r="C57" s="96">
        <f t="shared" si="6"/>
        <v>0</v>
      </c>
      <c r="D57" s="96">
        <f t="shared" si="7"/>
        <v>0</v>
      </c>
      <c r="E57" s="96">
        <f t="shared" si="8"/>
        <v>0</v>
      </c>
      <c r="F57" s="96">
        <f t="shared" si="9"/>
        <v>0</v>
      </c>
      <c r="G57" s="96">
        <f t="shared" si="10"/>
        <v>0</v>
      </c>
      <c r="H57" s="112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81"/>
      <c r="X57" s="49">
        <f t="shared" si="0"/>
        <v>0</v>
      </c>
      <c r="Y57" s="49">
        <f>[2]BASE!A55</f>
        <v>46</v>
      </c>
      <c r="Z57" s="69">
        <f t="shared" si="1"/>
        <v>0</v>
      </c>
      <c r="AA57" s="69">
        <f t="shared" si="2"/>
        <v>0</v>
      </c>
      <c r="AB57" s="69">
        <f t="shared" si="3"/>
        <v>0</v>
      </c>
      <c r="AC57" s="69">
        <f t="shared" si="4"/>
        <v>0</v>
      </c>
      <c r="AD57" s="69">
        <f t="shared" si="5"/>
        <v>0</v>
      </c>
    </row>
    <row r="58" spans="1:30" ht="16.5" customHeight="1">
      <c r="A58" s="95" t="str">
        <f>IF(BASE!B56="","",BASE!B56)</f>
        <v>21MER080</v>
      </c>
      <c r="B58" s="92" t="s">
        <v>2</v>
      </c>
      <c r="C58" s="96">
        <f t="shared" si="6"/>
        <v>0</v>
      </c>
      <c r="D58" s="96">
        <f t="shared" si="7"/>
        <v>0</v>
      </c>
      <c r="E58" s="96">
        <f t="shared" si="8"/>
        <v>0</v>
      </c>
      <c r="F58" s="96">
        <f t="shared" si="9"/>
        <v>0</v>
      </c>
      <c r="G58" s="96">
        <f t="shared" si="10"/>
        <v>0</v>
      </c>
      <c r="H58" s="112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81"/>
      <c r="X58" s="49">
        <f t="shared" si="0"/>
        <v>0</v>
      </c>
      <c r="Y58" s="49">
        <f>[2]BASE!A56</f>
        <v>47</v>
      </c>
      <c r="Z58" s="69">
        <f t="shared" si="1"/>
        <v>0</v>
      </c>
      <c r="AA58" s="69">
        <f t="shared" si="2"/>
        <v>0</v>
      </c>
      <c r="AB58" s="69">
        <f t="shared" si="3"/>
        <v>0</v>
      </c>
      <c r="AC58" s="69">
        <f t="shared" si="4"/>
        <v>0</v>
      </c>
      <c r="AD58" s="69">
        <f t="shared" si="5"/>
        <v>0</v>
      </c>
    </row>
    <row r="59" spans="1:30" ht="16.5" customHeight="1">
      <c r="A59" s="95" t="str">
        <f>IF(BASE!B57="","",BASE!B57)</f>
        <v>21MER081</v>
      </c>
      <c r="B59" s="92" t="s">
        <v>2</v>
      </c>
      <c r="C59" s="96">
        <f t="shared" si="6"/>
        <v>0</v>
      </c>
      <c r="D59" s="96">
        <f t="shared" si="7"/>
        <v>0</v>
      </c>
      <c r="E59" s="96">
        <f t="shared" si="8"/>
        <v>0</v>
      </c>
      <c r="F59" s="96">
        <f t="shared" si="9"/>
        <v>0</v>
      </c>
      <c r="G59" s="96">
        <f t="shared" si="10"/>
        <v>0</v>
      </c>
      <c r="H59" s="112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81"/>
      <c r="X59" s="49">
        <f t="shared" si="0"/>
        <v>0</v>
      </c>
      <c r="Y59" s="49">
        <f>[2]BASE!A57</f>
        <v>48</v>
      </c>
      <c r="Z59" s="69">
        <f t="shared" si="1"/>
        <v>0</v>
      </c>
      <c r="AA59" s="69">
        <f t="shared" si="2"/>
        <v>0</v>
      </c>
      <c r="AB59" s="69">
        <f t="shared" si="3"/>
        <v>0</v>
      </c>
      <c r="AC59" s="69">
        <f t="shared" si="4"/>
        <v>0</v>
      </c>
      <c r="AD59" s="69">
        <f t="shared" si="5"/>
        <v>0</v>
      </c>
    </row>
    <row r="60" spans="1:30" ht="16.5" customHeight="1">
      <c r="A60" s="95" t="str">
        <f>IF(BASE!B58="","",BASE!B58)</f>
        <v>21MER082</v>
      </c>
      <c r="B60" s="92" t="s">
        <v>2</v>
      </c>
      <c r="C60" s="96">
        <f t="shared" si="6"/>
        <v>0</v>
      </c>
      <c r="D60" s="96">
        <f t="shared" si="7"/>
        <v>0</v>
      </c>
      <c r="E60" s="96">
        <f t="shared" si="8"/>
        <v>0</v>
      </c>
      <c r="F60" s="96">
        <f t="shared" si="9"/>
        <v>0</v>
      </c>
      <c r="G60" s="96">
        <f t="shared" si="10"/>
        <v>0</v>
      </c>
      <c r="H60" s="112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81"/>
      <c r="X60" s="49">
        <f t="shared" si="0"/>
        <v>0</v>
      </c>
      <c r="Y60" s="49">
        <f>[2]BASE!A58</f>
        <v>49</v>
      </c>
      <c r="Z60" s="69">
        <f t="shared" si="1"/>
        <v>0</v>
      </c>
      <c r="AA60" s="69">
        <f t="shared" si="2"/>
        <v>0</v>
      </c>
      <c r="AB60" s="69">
        <f t="shared" si="3"/>
        <v>0</v>
      </c>
      <c r="AC60" s="69">
        <f t="shared" si="4"/>
        <v>0</v>
      </c>
      <c r="AD60" s="69">
        <f t="shared" si="5"/>
        <v>0</v>
      </c>
    </row>
    <row r="61" spans="1:30" ht="16.5" customHeight="1">
      <c r="A61" s="95" t="str">
        <f>IF(BASE!B59="","",BASE!B59)</f>
        <v>21MER083</v>
      </c>
      <c r="B61" s="92" t="s">
        <v>2</v>
      </c>
      <c r="C61" s="96">
        <f t="shared" si="6"/>
        <v>0</v>
      </c>
      <c r="D61" s="96">
        <f t="shared" si="7"/>
        <v>0</v>
      </c>
      <c r="E61" s="96">
        <f t="shared" si="8"/>
        <v>0</v>
      </c>
      <c r="F61" s="96">
        <f t="shared" si="9"/>
        <v>0</v>
      </c>
      <c r="G61" s="96">
        <f t="shared" si="10"/>
        <v>0</v>
      </c>
      <c r="H61" s="112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81"/>
      <c r="X61" s="49">
        <f t="shared" si="0"/>
        <v>0</v>
      </c>
      <c r="Y61" s="49">
        <f>[2]BASE!A59</f>
        <v>50</v>
      </c>
      <c r="Z61" s="69">
        <f t="shared" si="1"/>
        <v>0</v>
      </c>
      <c r="AA61" s="69">
        <f t="shared" si="2"/>
        <v>0</v>
      </c>
      <c r="AB61" s="69">
        <f t="shared" si="3"/>
        <v>0</v>
      </c>
      <c r="AC61" s="69">
        <f t="shared" si="4"/>
        <v>0</v>
      </c>
      <c r="AD61" s="69">
        <f t="shared" si="5"/>
        <v>0</v>
      </c>
    </row>
    <row r="62" spans="1:30" ht="16.5" customHeight="1">
      <c r="A62" s="95" t="str">
        <f>IF(BASE!B60="","",BASE!B60)</f>
        <v>21MER084</v>
      </c>
      <c r="B62" s="92" t="s">
        <v>2</v>
      </c>
      <c r="C62" s="96">
        <f t="shared" si="6"/>
        <v>0</v>
      </c>
      <c r="D62" s="96">
        <f t="shared" si="7"/>
        <v>0</v>
      </c>
      <c r="E62" s="96">
        <f t="shared" si="8"/>
        <v>0</v>
      </c>
      <c r="F62" s="96">
        <f t="shared" si="9"/>
        <v>0</v>
      </c>
      <c r="G62" s="96">
        <f t="shared" si="10"/>
        <v>0</v>
      </c>
      <c r="H62" s="112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81"/>
      <c r="X62" s="49">
        <f t="shared" si="0"/>
        <v>0</v>
      </c>
      <c r="Y62" s="49">
        <f>[2]BASE!A60</f>
        <v>51</v>
      </c>
      <c r="Z62" s="69">
        <f t="shared" si="1"/>
        <v>0</v>
      </c>
      <c r="AA62" s="69">
        <f t="shared" si="2"/>
        <v>0</v>
      </c>
      <c r="AB62" s="69">
        <f t="shared" si="3"/>
        <v>0</v>
      </c>
      <c r="AC62" s="69">
        <f t="shared" si="4"/>
        <v>0</v>
      </c>
      <c r="AD62" s="69">
        <f t="shared" si="5"/>
        <v>0</v>
      </c>
    </row>
    <row r="63" spans="1:30" ht="16.5" customHeight="1">
      <c r="A63" s="95" t="str">
        <f>IF(BASE!B61="","",BASE!B61)</f>
        <v>21MER085</v>
      </c>
      <c r="B63" s="92" t="s">
        <v>2</v>
      </c>
      <c r="C63" s="96">
        <f t="shared" si="6"/>
        <v>0</v>
      </c>
      <c r="D63" s="96">
        <f t="shared" si="7"/>
        <v>0</v>
      </c>
      <c r="E63" s="96">
        <f t="shared" si="8"/>
        <v>0</v>
      </c>
      <c r="F63" s="96">
        <f t="shared" si="9"/>
        <v>0</v>
      </c>
      <c r="G63" s="96">
        <f t="shared" si="10"/>
        <v>0</v>
      </c>
      <c r="H63" s="112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81"/>
      <c r="X63" s="49">
        <f t="shared" si="0"/>
        <v>0</v>
      </c>
      <c r="Y63" s="49">
        <f>[2]BASE!A61</f>
        <v>52</v>
      </c>
      <c r="Z63" s="69">
        <f t="shared" si="1"/>
        <v>0</v>
      </c>
      <c r="AA63" s="69">
        <f t="shared" si="2"/>
        <v>0</v>
      </c>
      <c r="AB63" s="69">
        <f t="shared" si="3"/>
        <v>0</v>
      </c>
      <c r="AC63" s="69">
        <f t="shared" si="4"/>
        <v>0</v>
      </c>
      <c r="AD63" s="69">
        <f t="shared" si="5"/>
        <v>0</v>
      </c>
    </row>
    <row r="64" spans="1:30" ht="16.5" customHeight="1">
      <c r="A64" s="95" t="str">
        <f>IF(BASE!B62="","",BASE!B62)</f>
        <v>21MER086</v>
      </c>
      <c r="B64" s="92" t="s">
        <v>2</v>
      </c>
      <c r="C64" s="96">
        <f t="shared" si="6"/>
        <v>0</v>
      </c>
      <c r="D64" s="96">
        <f t="shared" si="7"/>
        <v>0</v>
      </c>
      <c r="E64" s="96">
        <f t="shared" si="8"/>
        <v>0</v>
      </c>
      <c r="F64" s="96">
        <f t="shared" si="9"/>
        <v>0</v>
      </c>
      <c r="G64" s="96">
        <f t="shared" si="10"/>
        <v>0</v>
      </c>
      <c r="H64" s="112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81"/>
      <c r="X64" s="49">
        <f t="shared" si="0"/>
        <v>0</v>
      </c>
      <c r="Y64" s="49">
        <f>[2]BASE!A62</f>
        <v>53</v>
      </c>
      <c r="Z64" s="69">
        <f t="shared" si="1"/>
        <v>0</v>
      </c>
      <c r="AA64" s="69">
        <f t="shared" si="2"/>
        <v>0</v>
      </c>
      <c r="AB64" s="69">
        <f t="shared" si="3"/>
        <v>0</v>
      </c>
      <c r="AC64" s="69">
        <f t="shared" si="4"/>
        <v>0</v>
      </c>
      <c r="AD64" s="69">
        <f t="shared" si="5"/>
        <v>0</v>
      </c>
    </row>
    <row r="65" spans="1:30" ht="16.5" customHeight="1">
      <c r="A65" s="95" t="str">
        <f>IF(BASE!B63="","",BASE!B63)</f>
        <v>21MER087</v>
      </c>
      <c r="B65" s="92" t="s">
        <v>2</v>
      </c>
      <c r="C65" s="96">
        <f t="shared" si="6"/>
        <v>0</v>
      </c>
      <c r="D65" s="96">
        <f t="shared" si="7"/>
        <v>0</v>
      </c>
      <c r="E65" s="96">
        <f t="shared" si="8"/>
        <v>0</v>
      </c>
      <c r="F65" s="96">
        <f t="shared" si="9"/>
        <v>0</v>
      </c>
      <c r="G65" s="96">
        <f t="shared" si="10"/>
        <v>0</v>
      </c>
      <c r="H65" s="112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81"/>
      <c r="X65" s="49">
        <f t="shared" si="0"/>
        <v>0</v>
      </c>
      <c r="Y65" s="49">
        <f>[2]BASE!A63</f>
        <v>54</v>
      </c>
      <c r="Z65" s="69">
        <f t="shared" si="1"/>
        <v>0</v>
      </c>
      <c r="AA65" s="69">
        <f t="shared" si="2"/>
        <v>0</v>
      </c>
      <c r="AB65" s="69">
        <f t="shared" si="3"/>
        <v>0</v>
      </c>
      <c r="AC65" s="69">
        <f t="shared" si="4"/>
        <v>0</v>
      </c>
      <c r="AD65" s="69">
        <f t="shared" si="5"/>
        <v>0</v>
      </c>
    </row>
    <row r="66" spans="1:30" ht="16.5" customHeight="1">
      <c r="A66" s="95" t="str">
        <f>IF(BASE!B64="","",BASE!B64)</f>
        <v>21MER088</v>
      </c>
      <c r="B66" s="92" t="s">
        <v>2</v>
      </c>
      <c r="C66" s="96">
        <f t="shared" si="6"/>
        <v>0</v>
      </c>
      <c r="D66" s="96">
        <f t="shared" si="7"/>
        <v>0</v>
      </c>
      <c r="E66" s="96">
        <f t="shared" si="8"/>
        <v>0</v>
      </c>
      <c r="F66" s="96">
        <f t="shared" si="9"/>
        <v>0</v>
      </c>
      <c r="G66" s="96">
        <f t="shared" si="10"/>
        <v>0</v>
      </c>
      <c r="H66" s="112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81"/>
      <c r="X66" s="49">
        <f t="shared" si="0"/>
        <v>0</v>
      </c>
      <c r="Y66" s="49">
        <f>[2]BASE!A64</f>
        <v>55</v>
      </c>
      <c r="Z66" s="69">
        <f t="shared" si="1"/>
        <v>0</v>
      </c>
      <c r="AA66" s="69">
        <f t="shared" si="2"/>
        <v>0</v>
      </c>
      <c r="AB66" s="69">
        <f t="shared" si="3"/>
        <v>0</v>
      </c>
      <c r="AC66" s="69">
        <f t="shared" si="4"/>
        <v>0</v>
      </c>
      <c r="AD66" s="69">
        <f t="shared" si="5"/>
        <v>0</v>
      </c>
    </row>
    <row r="67" spans="1:30" ht="16.5" customHeight="1">
      <c r="A67" s="95" t="str">
        <f>IF(BASE!B65="","",BASE!B65)</f>
        <v>21MER089</v>
      </c>
      <c r="B67" s="92" t="s">
        <v>2</v>
      </c>
      <c r="C67" s="96">
        <f t="shared" si="6"/>
        <v>0</v>
      </c>
      <c r="D67" s="96">
        <f t="shared" si="7"/>
        <v>0</v>
      </c>
      <c r="E67" s="96">
        <f t="shared" si="8"/>
        <v>0</v>
      </c>
      <c r="F67" s="96">
        <f t="shared" si="9"/>
        <v>0</v>
      </c>
      <c r="G67" s="96">
        <f t="shared" si="10"/>
        <v>0</v>
      </c>
      <c r="H67" s="112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81"/>
      <c r="X67" s="49">
        <f t="shared" si="0"/>
        <v>0</v>
      </c>
      <c r="Y67" s="49">
        <f>[2]BASE!A65</f>
        <v>56</v>
      </c>
      <c r="Z67" s="69">
        <f t="shared" si="1"/>
        <v>0</v>
      </c>
      <c r="AA67" s="69">
        <f t="shared" si="2"/>
        <v>0</v>
      </c>
      <c r="AB67" s="69">
        <f t="shared" si="3"/>
        <v>0</v>
      </c>
      <c r="AC67" s="69">
        <f t="shared" si="4"/>
        <v>0</v>
      </c>
      <c r="AD67" s="69">
        <f t="shared" si="5"/>
        <v>0</v>
      </c>
    </row>
    <row r="68" spans="1:30" ht="16.5" customHeight="1">
      <c r="A68" s="95" t="str">
        <f>IF(BASE!B66="","",BASE!B66)</f>
        <v>21MER090</v>
      </c>
      <c r="B68" s="92" t="s">
        <v>2</v>
      </c>
      <c r="C68" s="96">
        <f t="shared" si="6"/>
        <v>0</v>
      </c>
      <c r="D68" s="96">
        <f t="shared" si="7"/>
        <v>0</v>
      </c>
      <c r="E68" s="96">
        <f t="shared" si="8"/>
        <v>0</v>
      </c>
      <c r="F68" s="96">
        <f t="shared" si="9"/>
        <v>0</v>
      </c>
      <c r="G68" s="96">
        <f t="shared" si="10"/>
        <v>0</v>
      </c>
      <c r="H68" s="112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81"/>
      <c r="X68" s="49">
        <f t="shared" si="0"/>
        <v>0</v>
      </c>
      <c r="Y68" s="49">
        <f>[2]BASE!A66</f>
        <v>57</v>
      </c>
      <c r="Z68" s="69">
        <f t="shared" si="1"/>
        <v>0</v>
      </c>
      <c r="AA68" s="69">
        <f t="shared" si="2"/>
        <v>0</v>
      </c>
      <c r="AB68" s="69">
        <f t="shared" si="3"/>
        <v>0</v>
      </c>
      <c r="AC68" s="69">
        <f t="shared" si="4"/>
        <v>0</v>
      </c>
      <c r="AD68" s="69">
        <f t="shared" si="5"/>
        <v>0</v>
      </c>
    </row>
    <row r="69" spans="1:30" ht="16.5" customHeight="1">
      <c r="A69" s="95" t="str">
        <f>IF(BASE!B67="","",BASE!B67)</f>
        <v>21MER091</v>
      </c>
      <c r="B69" s="92" t="s">
        <v>2</v>
      </c>
      <c r="C69" s="96">
        <f t="shared" si="6"/>
        <v>0</v>
      </c>
      <c r="D69" s="96">
        <f t="shared" si="7"/>
        <v>0</v>
      </c>
      <c r="E69" s="96">
        <f t="shared" si="8"/>
        <v>0</v>
      </c>
      <c r="F69" s="96">
        <f t="shared" si="9"/>
        <v>0</v>
      </c>
      <c r="G69" s="96">
        <f t="shared" si="10"/>
        <v>0</v>
      </c>
      <c r="H69" s="112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81"/>
      <c r="X69" s="49">
        <f t="shared" si="0"/>
        <v>0</v>
      </c>
      <c r="Y69" s="49">
        <f>[2]BASE!A67</f>
        <v>58</v>
      </c>
      <c r="Z69" s="69">
        <f t="shared" si="1"/>
        <v>0</v>
      </c>
      <c r="AA69" s="69">
        <f t="shared" si="2"/>
        <v>0</v>
      </c>
      <c r="AB69" s="69">
        <f t="shared" si="3"/>
        <v>0</v>
      </c>
      <c r="AC69" s="69">
        <f t="shared" si="4"/>
        <v>0</v>
      </c>
      <c r="AD69" s="69">
        <f t="shared" si="5"/>
        <v>0</v>
      </c>
    </row>
    <row r="70" spans="1:30" ht="16.5" customHeight="1">
      <c r="A70" s="95" t="str">
        <f>IF(BASE!B68="","",BASE!B68)</f>
        <v>21MER092</v>
      </c>
      <c r="B70" s="92" t="s">
        <v>2</v>
      </c>
      <c r="C70" s="96">
        <f t="shared" si="6"/>
        <v>0</v>
      </c>
      <c r="D70" s="96">
        <f t="shared" si="7"/>
        <v>0</v>
      </c>
      <c r="E70" s="96">
        <f t="shared" si="8"/>
        <v>0</v>
      </c>
      <c r="F70" s="96">
        <f t="shared" si="9"/>
        <v>0</v>
      </c>
      <c r="G70" s="96">
        <f t="shared" si="10"/>
        <v>0</v>
      </c>
      <c r="H70" s="112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81"/>
      <c r="X70" s="49">
        <f t="shared" si="0"/>
        <v>0</v>
      </c>
      <c r="Y70" s="49">
        <f>[2]BASE!A68</f>
        <v>59</v>
      </c>
      <c r="Z70" s="69">
        <f t="shared" si="1"/>
        <v>0</v>
      </c>
      <c r="AA70" s="69">
        <f t="shared" si="2"/>
        <v>0</v>
      </c>
      <c r="AB70" s="69">
        <f t="shared" si="3"/>
        <v>0</v>
      </c>
      <c r="AC70" s="69">
        <f t="shared" si="4"/>
        <v>0</v>
      </c>
      <c r="AD70" s="69">
        <f t="shared" si="5"/>
        <v>0</v>
      </c>
    </row>
    <row r="71" spans="1:30" ht="16.5" customHeight="1">
      <c r="A71" s="95" t="str">
        <f>IF(BASE!B69="","",BASE!B69)</f>
        <v>21MER093</v>
      </c>
      <c r="B71" s="92" t="s">
        <v>2</v>
      </c>
      <c r="C71" s="96">
        <f t="shared" si="6"/>
        <v>0</v>
      </c>
      <c r="D71" s="96">
        <f t="shared" si="7"/>
        <v>0</v>
      </c>
      <c r="E71" s="96">
        <f t="shared" si="8"/>
        <v>0</v>
      </c>
      <c r="F71" s="96">
        <f t="shared" si="9"/>
        <v>0</v>
      </c>
      <c r="G71" s="96">
        <f t="shared" si="10"/>
        <v>0</v>
      </c>
      <c r="H71" s="112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81"/>
      <c r="X71" s="49">
        <f t="shared" si="0"/>
        <v>0</v>
      </c>
      <c r="Y71" s="49">
        <f>[2]BASE!A69</f>
        <v>60</v>
      </c>
      <c r="Z71" s="69">
        <f t="shared" si="1"/>
        <v>0</v>
      </c>
      <c r="AA71" s="69">
        <f t="shared" si="2"/>
        <v>0</v>
      </c>
      <c r="AB71" s="69">
        <f t="shared" si="3"/>
        <v>0</v>
      </c>
      <c r="AC71" s="69">
        <f t="shared" si="4"/>
        <v>0</v>
      </c>
      <c r="AD71" s="69">
        <f t="shared" si="5"/>
        <v>0</v>
      </c>
    </row>
    <row r="72" spans="1:30" ht="16.5" customHeight="1">
      <c r="A72" s="95" t="str">
        <f>IF(BASE!B70="","",BASE!B70)</f>
        <v>21MER094</v>
      </c>
      <c r="B72" s="92" t="s">
        <v>2</v>
      </c>
      <c r="C72" s="96">
        <f t="shared" si="6"/>
        <v>0</v>
      </c>
      <c r="D72" s="96">
        <f t="shared" si="7"/>
        <v>0</v>
      </c>
      <c r="E72" s="96">
        <f t="shared" si="8"/>
        <v>0</v>
      </c>
      <c r="F72" s="96">
        <f t="shared" si="9"/>
        <v>0</v>
      </c>
      <c r="G72" s="96">
        <f t="shared" si="10"/>
        <v>0</v>
      </c>
      <c r="H72" s="112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81"/>
      <c r="X72" s="49">
        <f t="shared" si="0"/>
        <v>0</v>
      </c>
      <c r="Y72" s="49">
        <f>[2]BASE!A70</f>
        <v>61</v>
      </c>
      <c r="Z72" s="69">
        <f t="shared" si="1"/>
        <v>0</v>
      </c>
      <c r="AA72" s="69">
        <f t="shared" si="2"/>
        <v>0</v>
      </c>
      <c r="AB72" s="69">
        <f t="shared" si="3"/>
        <v>0</v>
      </c>
      <c r="AC72" s="69">
        <f t="shared" si="4"/>
        <v>0</v>
      </c>
      <c r="AD72" s="69">
        <f t="shared" si="5"/>
        <v>0</v>
      </c>
    </row>
    <row r="73" spans="1:30" ht="16.5" customHeight="1">
      <c r="A73" s="95" t="str">
        <f>IF(BASE!B71="","",BASE!B71)</f>
        <v>21MER095</v>
      </c>
      <c r="B73" s="92" t="s">
        <v>2</v>
      </c>
      <c r="C73" s="96">
        <f t="shared" si="6"/>
        <v>0</v>
      </c>
      <c r="D73" s="96">
        <f t="shared" si="7"/>
        <v>0</v>
      </c>
      <c r="E73" s="96">
        <f t="shared" si="8"/>
        <v>0</v>
      </c>
      <c r="F73" s="96">
        <f t="shared" si="9"/>
        <v>0</v>
      </c>
      <c r="G73" s="96">
        <f t="shared" si="10"/>
        <v>0</v>
      </c>
      <c r="H73" s="112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81"/>
      <c r="X73" s="49">
        <f t="shared" si="0"/>
        <v>0</v>
      </c>
      <c r="Y73" s="49">
        <f>[2]BASE!A71</f>
        <v>62</v>
      </c>
      <c r="Z73" s="69">
        <f t="shared" si="1"/>
        <v>0</v>
      </c>
      <c r="AA73" s="69">
        <f t="shared" si="2"/>
        <v>0</v>
      </c>
      <c r="AB73" s="69">
        <f t="shared" si="3"/>
        <v>0</v>
      </c>
      <c r="AC73" s="69">
        <f t="shared" si="4"/>
        <v>0</v>
      </c>
      <c r="AD73" s="69">
        <f t="shared" si="5"/>
        <v>0</v>
      </c>
    </row>
    <row r="74" spans="1:30" ht="16.5" customHeight="1">
      <c r="A74" s="95" t="str">
        <f>IF(BASE!B72="","",BASE!B72)</f>
        <v>21MER096</v>
      </c>
      <c r="B74" s="92" t="s">
        <v>2</v>
      </c>
      <c r="C74" s="96">
        <f t="shared" si="6"/>
        <v>0</v>
      </c>
      <c r="D74" s="96">
        <f t="shared" si="7"/>
        <v>0</v>
      </c>
      <c r="E74" s="96">
        <f t="shared" si="8"/>
        <v>0</v>
      </c>
      <c r="F74" s="96">
        <f t="shared" si="9"/>
        <v>0</v>
      </c>
      <c r="G74" s="96">
        <f t="shared" si="10"/>
        <v>0</v>
      </c>
      <c r="H74" s="112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81"/>
      <c r="X74" s="49">
        <f t="shared" si="0"/>
        <v>0</v>
      </c>
      <c r="Y74" s="49">
        <f>[2]BASE!A72</f>
        <v>63</v>
      </c>
      <c r="Z74" s="69">
        <f t="shared" si="1"/>
        <v>0</v>
      </c>
      <c r="AA74" s="69">
        <f t="shared" si="2"/>
        <v>0</v>
      </c>
      <c r="AB74" s="69">
        <f t="shared" si="3"/>
        <v>0</v>
      </c>
      <c r="AC74" s="69">
        <f t="shared" si="4"/>
        <v>0</v>
      </c>
      <c r="AD74" s="69">
        <f t="shared" si="5"/>
        <v>0</v>
      </c>
    </row>
    <row r="75" spans="1:30" ht="16.5" customHeight="1">
      <c r="A75" s="95" t="str">
        <f>IF(BASE!B73="","",BASE!B73)</f>
        <v>21MER097</v>
      </c>
      <c r="B75" s="92" t="s">
        <v>2</v>
      </c>
      <c r="C75" s="96">
        <f t="shared" si="6"/>
        <v>0</v>
      </c>
      <c r="D75" s="96">
        <f t="shared" si="7"/>
        <v>0</v>
      </c>
      <c r="E75" s="96">
        <f t="shared" si="8"/>
        <v>0</v>
      </c>
      <c r="F75" s="96">
        <f t="shared" si="9"/>
        <v>0</v>
      </c>
      <c r="G75" s="96">
        <f t="shared" si="10"/>
        <v>0</v>
      </c>
      <c r="H75" s="112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81"/>
      <c r="X75" s="49">
        <f t="shared" si="0"/>
        <v>0</v>
      </c>
      <c r="Y75" s="49">
        <f>[2]BASE!A73</f>
        <v>64</v>
      </c>
      <c r="Z75" s="69">
        <f t="shared" si="1"/>
        <v>0</v>
      </c>
      <c r="AA75" s="69">
        <f t="shared" si="2"/>
        <v>0</v>
      </c>
      <c r="AB75" s="69">
        <f t="shared" si="3"/>
        <v>0</v>
      </c>
      <c r="AC75" s="69">
        <f t="shared" si="4"/>
        <v>0</v>
      </c>
      <c r="AD75" s="69">
        <f t="shared" si="5"/>
        <v>0</v>
      </c>
    </row>
    <row r="76" spans="1:30" ht="16.5" customHeight="1">
      <c r="A76" s="95" t="str">
        <f>IF(BASE!B74="","",BASE!B74)</f>
        <v>21MER098</v>
      </c>
      <c r="B76" s="92" t="s">
        <v>2</v>
      </c>
      <c r="C76" s="96">
        <f t="shared" si="6"/>
        <v>0</v>
      </c>
      <c r="D76" s="96">
        <f t="shared" si="7"/>
        <v>0</v>
      </c>
      <c r="E76" s="96">
        <f t="shared" si="8"/>
        <v>0</v>
      </c>
      <c r="F76" s="96">
        <f t="shared" si="9"/>
        <v>0</v>
      </c>
      <c r="G76" s="96">
        <f t="shared" si="10"/>
        <v>0</v>
      </c>
      <c r="H76" s="112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81"/>
      <c r="X76" s="49">
        <f t="shared" ref="X76:X139" si="11">SUM(C76:V76)</f>
        <v>0</v>
      </c>
      <c r="Y76" s="49">
        <f>[2]BASE!A74</f>
        <v>65</v>
      </c>
      <c r="Z76" s="69">
        <f t="shared" ref="Z76:Z139" si="12">SUMIF($C$11:$V$11,1,C76:V76)</f>
        <v>0</v>
      </c>
      <c r="AA76" s="69">
        <f t="shared" ref="AA76:AA139" si="13">SUMIF($C$11:$V$11,2,C76:V76)</f>
        <v>0</v>
      </c>
      <c r="AB76" s="69">
        <f t="shared" ref="AB76:AB139" si="14">SUMIF($C$11:$V$11,3,C76:V76)</f>
        <v>0</v>
      </c>
      <c r="AC76" s="69">
        <f t="shared" ref="AC76:AC139" si="15">SUMIF($C$11:$V$11,4,C76:V76)</f>
        <v>0</v>
      </c>
      <c r="AD76" s="69">
        <f t="shared" ref="AD76:AD139" si="16">SUMIF($C$11:$V$11,5,C76:V76)</f>
        <v>0</v>
      </c>
    </row>
    <row r="77" spans="1:30" ht="16.5" customHeight="1">
      <c r="A77" s="95" t="str">
        <f>IF(BASE!B75="","",BASE!B75)</f>
        <v>21MER099</v>
      </c>
      <c r="B77" s="92" t="s">
        <v>2</v>
      </c>
      <c r="C77" s="96">
        <f t="shared" ref="C77:C140" si="17">(H77/5)</f>
        <v>0</v>
      </c>
      <c r="D77" s="96">
        <f t="shared" ref="D77:D140" si="18">(H77/5)</f>
        <v>0</v>
      </c>
      <c r="E77" s="96">
        <f t="shared" si="8"/>
        <v>0</v>
      </c>
      <c r="F77" s="96">
        <f t="shared" ref="F77:F140" si="19">(H77/5)</f>
        <v>0</v>
      </c>
      <c r="G77" s="96">
        <f t="shared" ref="G77:G140" si="20">(H77/5)</f>
        <v>0</v>
      </c>
      <c r="H77" s="112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81"/>
      <c r="X77" s="49">
        <f t="shared" si="11"/>
        <v>0</v>
      </c>
      <c r="Y77" s="49">
        <f>[2]BASE!A75</f>
        <v>66</v>
      </c>
      <c r="Z77" s="69">
        <f t="shared" si="12"/>
        <v>0</v>
      </c>
      <c r="AA77" s="69">
        <f t="shared" si="13"/>
        <v>0</v>
      </c>
      <c r="AB77" s="69">
        <f t="shared" si="14"/>
        <v>0</v>
      </c>
      <c r="AC77" s="69">
        <f t="shared" si="15"/>
        <v>0</v>
      </c>
      <c r="AD77" s="69">
        <f t="shared" si="16"/>
        <v>0</v>
      </c>
    </row>
    <row r="78" spans="1:30" ht="16.5" customHeight="1">
      <c r="A78" s="95" t="str">
        <f>IF(BASE!B76="","",BASE!B76)</f>
        <v>21MER100</v>
      </c>
      <c r="B78" s="92" t="s">
        <v>2</v>
      </c>
      <c r="C78" s="96">
        <f t="shared" si="17"/>
        <v>0</v>
      </c>
      <c r="D78" s="96">
        <f t="shared" si="18"/>
        <v>0</v>
      </c>
      <c r="E78" s="96">
        <f t="shared" ref="E78:E141" si="21">(H78/5)</f>
        <v>0</v>
      </c>
      <c r="F78" s="96">
        <f t="shared" si="19"/>
        <v>0</v>
      </c>
      <c r="G78" s="96">
        <f t="shared" si="20"/>
        <v>0</v>
      </c>
      <c r="H78" s="112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81"/>
      <c r="X78" s="49">
        <f t="shared" si="11"/>
        <v>0</v>
      </c>
      <c r="Y78" s="49">
        <f>[2]BASE!A76</f>
        <v>67</v>
      </c>
      <c r="Z78" s="69">
        <f t="shared" si="12"/>
        <v>0</v>
      </c>
      <c r="AA78" s="69">
        <f t="shared" si="13"/>
        <v>0</v>
      </c>
      <c r="AB78" s="69">
        <f t="shared" si="14"/>
        <v>0</v>
      </c>
      <c r="AC78" s="69">
        <f t="shared" si="15"/>
        <v>0</v>
      </c>
      <c r="AD78" s="69">
        <f t="shared" si="16"/>
        <v>0</v>
      </c>
    </row>
    <row r="79" spans="1:30" ht="20.25" customHeight="1">
      <c r="A79" s="95" t="str">
        <f>IF(BASE!B77="","",BASE!B77)</f>
        <v>21MER101</v>
      </c>
      <c r="B79" s="92" t="s">
        <v>2</v>
      </c>
      <c r="C79" s="96">
        <f t="shared" si="17"/>
        <v>0</v>
      </c>
      <c r="D79" s="96">
        <f t="shared" si="18"/>
        <v>0</v>
      </c>
      <c r="E79" s="96">
        <f t="shared" si="21"/>
        <v>0</v>
      </c>
      <c r="F79" s="96">
        <f t="shared" si="19"/>
        <v>0</v>
      </c>
      <c r="G79" s="96">
        <f t="shared" si="20"/>
        <v>0</v>
      </c>
      <c r="H79" s="112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81"/>
      <c r="X79" s="49">
        <f t="shared" si="11"/>
        <v>0</v>
      </c>
      <c r="Y79" s="49">
        <f>[2]BASE!A77</f>
        <v>68</v>
      </c>
      <c r="Z79" s="69">
        <f t="shared" si="12"/>
        <v>0</v>
      </c>
      <c r="AA79" s="69">
        <f t="shared" si="13"/>
        <v>0</v>
      </c>
      <c r="AB79" s="69">
        <f t="shared" si="14"/>
        <v>0</v>
      </c>
      <c r="AC79" s="69">
        <f t="shared" si="15"/>
        <v>0</v>
      </c>
      <c r="AD79" s="69">
        <f t="shared" si="16"/>
        <v>0</v>
      </c>
    </row>
    <row r="80" spans="1:30" ht="20.25" customHeight="1">
      <c r="A80" s="95" t="str">
        <f>IF(BASE!B78="","",BASE!B78)</f>
        <v>21MER102</v>
      </c>
      <c r="B80" s="92" t="s">
        <v>2</v>
      </c>
      <c r="C80" s="96">
        <f t="shared" si="17"/>
        <v>0</v>
      </c>
      <c r="D80" s="96">
        <f t="shared" si="18"/>
        <v>0</v>
      </c>
      <c r="E80" s="96">
        <f t="shared" si="21"/>
        <v>0</v>
      </c>
      <c r="F80" s="96">
        <f t="shared" si="19"/>
        <v>0</v>
      </c>
      <c r="G80" s="96">
        <f t="shared" si="20"/>
        <v>0</v>
      </c>
      <c r="H80" s="112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81"/>
      <c r="X80" s="49">
        <f t="shared" si="11"/>
        <v>0</v>
      </c>
      <c r="Y80" s="49">
        <f>[2]BASE!A78</f>
        <v>69</v>
      </c>
      <c r="Z80" s="69">
        <f t="shared" si="12"/>
        <v>0</v>
      </c>
      <c r="AA80" s="69">
        <f t="shared" si="13"/>
        <v>0</v>
      </c>
      <c r="AB80" s="69">
        <f t="shared" si="14"/>
        <v>0</v>
      </c>
      <c r="AC80" s="69">
        <f t="shared" si="15"/>
        <v>0</v>
      </c>
      <c r="AD80" s="69">
        <f t="shared" si="16"/>
        <v>0</v>
      </c>
    </row>
    <row r="81" spans="1:30" ht="20.25" customHeight="1">
      <c r="A81" s="95" t="str">
        <f>IF(BASE!B79="","",BASE!B79)</f>
        <v>21MER103</v>
      </c>
      <c r="B81" s="92" t="s">
        <v>2</v>
      </c>
      <c r="C81" s="96">
        <f t="shared" si="17"/>
        <v>0</v>
      </c>
      <c r="D81" s="96">
        <f t="shared" si="18"/>
        <v>0</v>
      </c>
      <c r="E81" s="96">
        <f t="shared" si="21"/>
        <v>0</v>
      </c>
      <c r="F81" s="96">
        <f t="shared" si="19"/>
        <v>0</v>
      </c>
      <c r="G81" s="96">
        <f t="shared" si="20"/>
        <v>0</v>
      </c>
      <c r="H81" s="112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81"/>
      <c r="X81" s="49">
        <f t="shared" si="11"/>
        <v>0</v>
      </c>
      <c r="Y81" s="49">
        <f>[2]BASE!A79</f>
        <v>70</v>
      </c>
      <c r="Z81" s="69">
        <f t="shared" si="12"/>
        <v>0</v>
      </c>
      <c r="AA81" s="69">
        <f t="shared" si="13"/>
        <v>0</v>
      </c>
      <c r="AB81" s="69">
        <f t="shared" si="14"/>
        <v>0</v>
      </c>
      <c r="AC81" s="69">
        <f t="shared" si="15"/>
        <v>0</v>
      </c>
      <c r="AD81" s="69">
        <f t="shared" si="16"/>
        <v>0</v>
      </c>
    </row>
    <row r="82" spans="1:30" ht="20.25" customHeight="1">
      <c r="A82" s="95" t="str">
        <f>IF(BASE!B80="","",BASE!B80)</f>
        <v/>
      </c>
      <c r="B82" s="92" t="s">
        <v>2</v>
      </c>
      <c r="C82" s="96">
        <f t="shared" si="17"/>
        <v>0</v>
      </c>
      <c r="D82" s="96">
        <f t="shared" si="18"/>
        <v>0</v>
      </c>
      <c r="E82" s="96">
        <f t="shared" si="21"/>
        <v>0</v>
      </c>
      <c r="F82" s="96">
        <f t="shared" si="19"/>
        <v>0</v>
      </c>
      <c r="G82" s="96">
        <f t="shared" si="20"/>
        <v>0</v>
      </c>
      <c r="H82" s="112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81"/>
      <c r="X82" s="49">
        <f t="shared" si="11"/>
        <v>0</v>
      </c>
      <c r="Y82" s="49">
        <f>[2]BASE!A80</f>
        <v>71</v>
      </c>
      <c r="Z82" s="69">
        <f t="shared" si="12"/>
        <v>0</v>
      </c>
      <c r="AA82" s="69">
        <f t="shared" si="13"/>
        <v>0</v>
      </c>
      <c r="AB82" s="69">
        <f t="shared" si="14"/>
        <v>0</v>
      </c>
      <c r="AC82" s="69">
        <f t="shared" si="15"/>
        <v>0</v>
      </c>
      <c r="AD82" s="69">
        <f t="shared" si="16"/>
        <v>0</v>
      </c>
    </row>
    <row r="83" spans="1:30" ht="20.25" customHeight="1">
      <c r="A83" s="95" t="str">
        <f>IF(BASE!B81="","",BASE!B81)</f>
        <v/>
      </c>
      <c r="B83" s="92" t="s">
        <v>2</v>
      </c>
      <c r="C83" s="96">
        <f t="shared" si="17"/>
        <v>0</v>
      </c>
      <c r="D83" s="96">
        <f t="shared" si="18"/>
        <v>0</v>
      </c>
      <c r="E83" s="96">
        <f t="shared" si="21"/>
        <v>0</v>
      </c>
      <c r="F83" s="96">
        <f t="shared" si="19"/>
        <v>0</v>
      </c>
      <c r="G83" s="96">
        <f t="shared" si="20"/>
        <v>0</v>
      </c>
      <c r="H83" s="112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81"/>
      <c r="X83" s="49">
        <f t="shared" si="11"/>
        <v>0</v>
      </c>
      <c r="Y83" s="49">
        <f>[2]BASE!A81</f>
        <v>72</v>
      </c>
      <c r="Z83" s="69">
        <f t="shared" si="12"/>
        <v>0</v>
      </c>
      <c r="AA83" s="69">
        <f t="shared" si="13"/>
        <v>0</v>
      </c>
      <c r="AB83" s="69">
        <f t="shared" si="14"/>
        <v>0</v>
      </c>
      <c r="AC83" s="69">
        <f t="shared" si="15"/>
        <v>0</v>
      </c>
      <c r="AD83" s="69">
        <f t="shared" si="16"/>
        <v>0</v>
      </c>
    </row>
    <row r="84" spans="1:30" ht="20.25" customHeight="1">
      <c r="A84" s="95" t="str">
        <f>IF(BASE!B82="","",BASE!B82)</f>
        <v/>
      </c>
      <c r="B84" s="92" t="s">
        <v>2</v>
      </c>
      <c r="C84" s="96">
        <f t="shared" si="17"/>
        <v>0</v>
      </c>
      <c r="D84" s="96">
        <f t="shared" si="18"/>
        <v>0</v>
      </c>
      <c r="E84" s="96">
        <f t="shared" si="21"/>
        <v>0</v>
      </c>
      <c r="F84" s="96">
        <f t="shared" si="19"/>
        <v>0</v>
      </c>
      <c r="G84" s="96">
        <f t="shared" si="20"/>
        <v>0</v>
      </c>
      <c r="H84" s="112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81"/>
      <c r="X84" s="49">
        <f t="shared" si="11"/>
        <v>0</v>
      </c>
      <c r="Y84" s="49">
        <f>[2]BASE!A82</f>
        <v>73</v>
      </c>
      <c r="Z84" s="69">
        <f t="shared" si="12"/>
        <v>0</v>
      </c>
      <c r="AA84" s="69">
        <f t="shared" si="13"/>
        <v>0</v>
      </c>
      <c r="AB84" s="69">
        <f t="shared" si="14"/>
        <v>0</v>
      </c>
      <c r="AC84" s="69">
        <f t="shared" si="15"/>
        <v>0</v>
      </c>
      <c r="AD84" s="69">
        <f t="shared" si="16"/>
        <v>0</v>
      </c>
    </row>
    <row r="85" spans="1:30" ht="20.25" customHeight="1">
      <c r="A85" s="95" t="str">
        <f>IF(BASE!B83="","",BASE!B83)</f>
        <v/>
      </c>
      <c r="B85" s="92" t="s">
        <v>2</v>
      </c>
      <c r="C85" s="96">
        <f t="shared" si="17"/>
        <v>0</v>
      </c>
      <c r="D85" s="96">
        <f t="shared" si="18"/>
        <v>0</v>
      </c>
      <c r="E85" s="96">
        <f t="shared" si="21"/>
        <v>0</v>
      </c>
      <c r="F85" s="96">
        <f t="shared" si="19"/>
        <v>0</v>
      </c>
      <c r="G85" s="96">
        <f t="shared" si="20"/>
        <v>0</v>
      </c>
      <c r="H85" s="112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81"/>
      <c r="X85" s="49">
        <f t="shared" si="11"/>
        <v>0</v>
      </c>
      <c r="Y85" s="49">
        <f>[2]BASE!A83</f>
        <v>74</v>
      </c>
      <c r="Z85" s="69">
        <f t="shared" si="12"/>
        <v>0</v>
      </c>
      <c r="AA85" s="69">
        <f t="shared" si="13"/>
        <v>0</v>
      </c>
      <c r="AB85" s="69">
        <f t="shared" si="14"/>
        <v>0</v>
      </c>
      <c r="AC85" s="69">
        <f t="shared" si="15"/>
        <v>0</v>
      </c>
      <c r="AD85" s="69">
        <f t="shared" si="16"/>
        <v>0</v>
      </c>
    </row>
    <row r="86" spans="1:30" ht="20.25" customHeight="1">
      <c r="A86" s="95" t="str">
        <f>IF(BASE!B84="","",BASE!B84)</f>
        <v/>
      </c>
      <c r="B86" s="92" t="s">
        <v>2</v>
      </c>
      <c r="C86" s="96">
        <f t="shared" si="17"/>
        <v>0</v>
      </c>
      <c r="D86" s="96">
        <f t="shared" si="18"/>
        <v>0</v>
      </c>
      <c r="E86" s="96">
        <f t="shared" si="21"/>
        <v>0</v>
      </c>
      <c r="F86" s="96">
        <f t="shared" si="19"/>
        <v>0</v>
      </c>
      <c r="G86" s="96">
        <f t="shared" si="20"/>
        <v>0</v>
      </c>
      <c r="H86" s="112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81"/>
      <c r="X86" s="49">
        <f t="shared" si="11"/>
        <v>0</v>
      </c>
      <c r="Y86" s="49">
        <f>[2]BASE!A84</f>
        <v>75</v>
      </c>
      <c r="Z86" s="69">
        <f t="shared" si="12"/>
        <v>0</v>
      </c>
      <c r="AA86" s="69">
        <f t="shared" si="13"/>
        <v>0</v>
      </c>
      <c r="AB86" s="69">
        <f t="shared" si="14"/>
        <v>0</v>
      </c>
      <c r="AC86" s="69">
        <f t="shared" si="15"/>
        <v>0</v>
      </c>
      <c r="AD86" s="69">
        <f t="shared" si="16"/>
        <v>0</v>
      </c>
    </row>
    <row r="87" spans="1:30" ht="20.25" customHeight="1">
      <c r="A87" s="95" t="str">
        <f>IF(BASE!B85="","",BASE!B85)</f>
        <v/>
      </c>
      <c r="B87" s="92" t="s">
        <v>2</v>
      </c>
      <c r="C87" s="96">
        <f t="shared" si="17"/>
        <v>0</v>
      </c>
      <c r="D87" s="96">
        <f t="shared" si="18"/>
        <v>0</v>
      </c>
      <c r="E87" s="96">
        <f t="shared" si="21"/>
        <v>0</v>
      </c>
      <c r="F87" s="96">
        <f t="shared" si="19"/>
        <v>0</v>
      </c>
      <c r="G87" s="96">
        <f t="shared" si="20"/>
        <v>0</v>
      </c>
      <c r="H87" s="112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81"/>
      <c r="X87" s="49">
        <f t="shared" si="11"/>
        <v>0</v>
      </c>
      <c r="Y87" s="49">
        <f>[2]BASE!A85</f>
        <v>76</v>
      </c>
      <c r="Z87" s="69">
        <f t="shared" si="12"/>
        <v>0</v>
      </c>
      <c r="AA87" s="69">
        <f t="shared" si="13"/>
        <v>0</v>
      </c>
      <c r="AB87" s="69">
        <f t="shared" si="14"/>
        <v>0</v>
      </c>
      <c r="AC87" s="69">
        <f t="shared" si="15"/>
        <v>0</v>
      </c>
      <c r="AD87" s="69">
        <f t="shared" si="16"/>
        <v>0</v>
      </c>
    </row>
    <row r="88" spans="1:30" ht="20.25" customHeight="1">
      <c r="A88" s="95" t="str">
        <f>IF(BASE!B86="","",BASE!B86)</f>
        <v/>
      </c>
      <c r="B88" s="92" t="s">
        <v>2</v>
      </c>
      <c r="C88" s="96">
        <f t="shared" si="17"/>
        <v>0</v>
      </c>
      <c r="D88" s="96">
        <f t="shared" si="18"/>
        <v>0</v>
      </c>
      <c r="E88" s="96">
        <f t="shared" si="21"/>
        <v>0</v>
      </c>
      <c r="F88" s="96">
        <f t="shared" si="19"/>
        <v>0</v>
      </c>
      <c r="G88" s="96">
        <f t="shared" si="20"/>
        <v>0</v>
      </c>
      <c r="H88" s="112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81"/>
      <c r="X88" s="49">
        <f t="shared" si="11"/>
        <v>0</v>
      </c>
      <c r="Y88" s="49">
        <f>[2]BASE!A86</f>
        <v>77</v>
      </c>
      <c r="Z88" s="69">
        <f t="shared" si="12"/>
        <v>0</v>
      </c>
      <c r="AA88" s="69">
        <f t="shared" si="13"/>
        <v>0</v>
      </c>
      <c r="AB88" s="69">
        <f t="shared" si="14"/>
        <v>0</v>
      </c>
      <c r="AC88" s="69">
        <f t="shared" si="15"/>
        <v>0</v>
      </c>
      <c r="AD88" s="69">
        <f t="shared" si="16"/>
        <v>0</v>
      </c>
    </row>
    <row r="89" spans="1:30" ht="20.25" customHeight="1">
      <c r="A89" s="95" t="str">
        <f>IF(BASE!B87="","",BASE!B87)</f>
        <v/>
      </c>
      <c r="B89" s="92" t="s">
        <v>2</v>
      </c>
      <c r="C89" s="96">
        <f t="shared" si="17"/>
        <v>0</v>
      </c>
      <c r="D89" s="96">
        <f t="shared" si="18"/>
        <v>0</v>
      </c>
      <c r="E89" s="96">
        <f t="shared" si="21"/>
        <v>0</v>
      </c>
      <c r="F89" s="96">
        <f t="shared" si="19"/>
        <v>0</v>
      </c>
      <c r="G89" s="96">
        <f t="shared" si="20"/>
        <v>0</v>
      </c>
      <c r="H89" s="112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81"/>
      <c r="X89" s="49">
        <f t="shared" si="11"/>
        <v>0</v>
      </c>
      <c r="Y89" s="49">
        <f>[2]BASE!A87</f>
        <v>78</v>
      </c>
      <c r="Z89" s="69">
        <f t="shared" si="12"/>
        <v>0</v>
      </c>
      <c r="AA89" s="69">
        <f t="shared" si="13"/>
        <v>0</v>
      </c>
      <c r="AB89" s="69">
        <f t="shared" si="14"/>
        <v>0</v>
      </c>
      <c r="AC89" s="69">
        <f t="shared" si="15"/>
        <v>0</v>
      </c>
      <c r="AD89" s="69">
        <f t="shared" si="16"/>
        <v>0</v>
      </c>
    </row>
    <row r="90" spans="1:30" ht="20.25" customHeight="1">
      <c r="A90" s="95" t="str">
        <f>IF(BASE!B88="","",BASE!B88)</f>
        <v/>
      </c>
      <c r="B90" s="92" t="s">
        <v>2</v>
      </c>
      <c r="C90" s="96">
        <f t="shared" si="17"/>
        <v>0</v>
      </c>
      <c r="D90" s="96">
        <f t="shared" si="18"/>
        <v>0</v>
      </c>
      <c r="E90" s="96">
        <f t="shared" si="21"/>
        <v>0</v>
      </c>
      <c r="F90" s="96">
        <f t="shared" si="19"/>
        <v>0</v>
      </c>
      <c r="G90" s="96">
        <f t="shared" si="20"/>
        <v>0</v>
      </c>
      <c r="H90" s="112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81"/>
      <c r="X90" s="49">
        <f t="shared" si="11"/>
        <v>0</v>
      </c>
      <c r="Y90" s="49">
        <f>[2]BASE!A88</f>
        <v>79</v>
      </c>
      <c r="Z90" s="69">
        <f t="shared" si="12"/>
        <v>0</v>
      </c>
      <c r="AA90" s="69">
        <f t="shared" si="13"/>
        <v>0</v>
      </c>
      <c r="AB90" s="69">
        <f t="shared" si="14"/>
        <v>0</v>
      </c>
      <c r="AC90" s="69">
        <f t="shared" si="15"/>
        <v>0</v>
      </c>
      <c r="AD90" s="69">
        <f t="shared" si="16"/>
        <v>0</v>
      </c>
    </row>
    <row r="91" spans="1:30" ht="20.25" customHeight="1">
      <c r="A91" s="95" t="str">
        <f>IF(BASE!B89="","",BASE!B89)</f>
        <v/>
      </c>
      <c r="B91" s="92" t="s">
        <v>2</v>
      </c>
      <c r="C91" s="96">
        <f t="shared" si="17"/>
        <v>0</v>
      </c>
      <c r="D91" s="96">
        <f t="shared" si="18"/>
        <v>0</v>
      </c>
      <c r="E91" s="96">
        <f t="shared" si="21"/>
        <v>0</v>
      </c>
      <c r="F91" s="96">
        <f t="shared" si="19"/>
        <v>0</v>
      </c>
      <c r="G91" s="96">
        <f t="shared" si="20"/>
        <v>0</v>
      </c>
      <c r="H91" s="112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81"/>
      <c r="X91" s="49">
        <f t="shared" si="11"/>
        <v>0</v>
      </c>
      <c r="Y91" s="49">
        <f>[2]BASE!A89</f>
        <v>80</v>
      </c>
      <c r="Z91" s="69">
        <f t="shared" si="12"/>
        <v>0</v>
      </c>
      <c r="AA91" s="69">
        <f t="shared" si="13"/>
        <v>0</v>
      </c>
      <c r="AB91" s="69">
        <f t="shared" si="14"/>
        <v>0</v>
      </c>
      <c r="AC91" s="69">
        <f t="shared" si="15"/>
        <v>0</v>
      </c>
      <c r="AD91" s="69">
        <f t="shared" si="16"/>
        <v>0</v>
      </c>
    </row>
    <row r="92" spans="1:30" ht="20.25" customHeight="1">
      <c r="A92" s="95" t="str">
        <f>IF(BASE!B90="","",BASE!B90)</f>
        <v/>
      </c>
      <c r="B92" s="92" t="s">
        <v>2</v>
      </c>
      <c r="C92" s="96">
        <f t="shared" si="17"/>
        <v>0</v>
      </c>
      <c r="D92" s="96">
        <f t="shared" si="18"/>
        <v>0</v>
      </c>
      <c r="E92" s="96">
        <f t="shared" si="21"/>
        <v>0</v>
      </c>
      <c r="F92" s="96">
        <f t="shared" si="19"/>
        <v>0</v>
      </c>
      <c r="G92" s="96">
        <f t="shared" si="20"/>
        <v>0</v>
      </c>
      <c r="H92" s="112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81"/>
      <c r="X92" s="49">
        <f t="shared" si="11"/>
        <v>0</v>
      </c>
      <c r="Y92" s="49">
        <f>[2]BASE!A90</f>
        <v>81</v>
      </c>
      <c r="Z92" s="69">
        <f t="shared" si="12"/>
        <v>0</v>
      </c>
      <c r="AA92" s="69">
        <f t="shared" si="13"/>
        <v>0</v>
      </c>
      <c r="AB92" s="69">
        <f t="shared" si="14"/>
        <v>0</v>
      </c>
      <c r="AC92" s="69">
        <f t="shared" si="15"/>
        <v>0</v>
      </c>
      <c r="AD92" s="69">
        <f t="shared" si="16"/>
        <v>0</v>
      </c>
    </row>
    <row r="93" spans="1:30" ht="20.25" customHeight="1">
      <c r="A93" s="95" t="str">
        <f>IF(BASE!B91="","",BASE!B91)</f>
        <v/>
      </c>
      <c r="B93" s="92" t="s">
        <v>2</v>
      </c>
      <c r="C93" s="96">
        <f t="shared" si="17"/>
        <v>0</v>
      </c>
      <c r="D93" s="96">
        <f t="shared" si="18"/>
        <v>0</v>
      </c>
      <c r="E93" s="96">
        <f t="shared" si="21"/>
        <v>0</v>
      </c>
      <c r="F93" s="96">
        <f t="shared" si="19"/>
        <v>0</v>
      </c>
      <c r="G93" s="96">
        <f t="shared" si="20"/>
        <v>0</v>
      </c>
      <c r="H93" s="112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81"/>
      <c r="X93" s="49">
        <f t="shared" si="11"/>
        <v>0</v>
      </c>
      <c r="Y93" s="49">
        <f>[2]BASE!A91</f>
        <v>82</v>
      </c>
      <c r="Z93" s="69">
        <f t="shared" si="12"/>
        <v>0</v>
      </c>
      <c r="AA93" s="69">
        <f t="shared" si="13"/>
        <v>0</v>
      </c>
      <c r="AB93" s="69">
        <f t="shared" si="14"/>
        <v>0</v>
      </c>
      <c r="AC93" s="69">
        <f t="shared" si="15"/>
        <v>0</v>
      </c>
      <c r="AD93" s="69">
        <f t="shared" si="16"/>
        <v>0</v>
      </c>
    </row>
    <row r="94" spans="1:30" ht="20.25" customHeight="1">
      <c r="A94" s="95" t="str">
        <f>IF(BASE!B92="","",BASE!B92)</f>
        <v/>
      </c>
      <c r="B94" s="92" t="s">
        <v>2</v>
      </c>
      <c r="C94" s="96">
        <f t="shared" si="17"/>
        <v>0</v>
      </c>
      <c r="D94" s="96">
        <f t="shared" si="18"/>
        <v>0</v>
      </c>
      <c r="E94" s="96">
        <f t="shared" si="21"/>
        <v>0</v>
      </c>
      <c r="F94" s="96">
        <f t="shared" si="19"/>
        <v>0</v>
      </c>
      <c r="G94" s="96">
        <f t="shared" si="20"/>
        <v>0</v>
      </c>
      <c r="H94" s="112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81"/>
      <c r="X94" s="49">
        <f t="shared" si="11"/>
        <v>0</v>
      </c>
      <c r="Y94" s="49">
        <f>[2]BASE!A92</f>
        <v>83</v>
      </c>
      <c r="Z94" s="69">
        <f t="shared" si="12"/>
        <v>0</v>
      </c>
      <c r="AA94" s="69">
        <f t="shared" si="13"/>
        <v>0</v>
      </c>
      <c r="AB94" s="69">
        <f t="shared" si="14"/>
        <v>0</v>
      </c>
      <c r="AC94" s="69">
        <f t="shared" si="15"/>
        <v>0</v>
      </c>
      <c r="AD94" s="69">
        <f t="shared" si="16"/>
        <v>0</v>
      </c>
    </row>
    <row r="95" spans="1:30" ht="20.25" customHeight="1">
      <c r="A95" s="95" t="str">
        <f>IF(BASE!B93="","",BASE!B93)</f>
        <v/>
      </c>
      <c r="B95" s="92" t="s">
        <v>2</v>
      </c>
      <c r="C95" s="96">
        <f t="shared" si="17"/>
        <v>0</v>
      </c>
      <c r="D95" s="96">
        <f t="shared" si="18"/>
        <v>0</v>
      </c>
      <c r="E95" s="96">
        <f t="shared" si="21"/>
        <v>0</v>
      </c>
      <c r="F95" s="96">
        <f t="shared" si="19"/>
        <v>0</v>
      </c>
      <c r="G95" s="96">
        <f t="shared" si="20"/>
        <v>0</v>
      </c>
      <c r="H95" s="112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81"/>
      <c r="X95" s="49">
        <f t="shared" si="11"/>
        <v>0</v>
      </c>
      <c r="Y95" s="49">
        <f>[2]BASE!A93</f>
        <v>84</v>
      </c>
      <c r="Z95" s="69">
        <f t="shared" si="12"/>
        <v>0</v>
      </c>
      <c r="AA95" s="69">
        <f t="shared" si="13"/>
        <v>0</v>
      </c>
      <c r="AB95" s="69">
        <f t="shared" si="14"/>
        <v>0</v>
      </c>
      <c r="AC95" s="69">
        <f t="shared" si="15"/>
        <v>0</v>
      </c>
      <c r="AD95" s="69">
        <f t="shared" si="16"/>
        <v>0</v>
      </c>
    </row>
    <row r="96" spans="1:30" ht="20.25" customHeight="1">
      <c r="A96" s="95" t="str">
        <f>IF(BASE!B94="","",BASE!B94)</f>
        <v/>
      </c>
      <c r="B96" s="92" t="s">
        <v>2</v>
      </c>
      <c r="C96" s="96">
        <f t="shared" si="17"/>
        <v>0</v>
      </c>
      <c r="D96" s="96">
        <f t="shared" si="18"/>
        <v>0</v>
      </c>
      <c r="E96" s="96">
        <f t="shared" si="21"/>
        <v>0</v>
      </c>
      <c r="F96" s="96">
        <f t="shared" si="19"/>
        <v>0</v>
      </c>
      <c r="G96" s="96">
        <f t="shared" si="20"/>
        <v>0</v>
      </c>
      <c r="H96" s="112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81"/>
      <c r="X96" s="49">
        <f t="shared" si="11"/>
        <v>0</v>
      </c>
      <c r="Y96" s="49">
        <f>[2]BASE!A94</f>
        <v>85</v>
      </c>
      <c r="Z96" s="69">
        <f t="shared" si="12"/>
        <v>0</v>
      </c>
      <c r="AA96" s="69">
        <f t="shared" si="13"/>
        <v>0</v>
      </c>
      <c r="AB96" s="69">
        <f t="shared" si="14"/>
        <v>0</v>
      </c>
      <c r="AC96" s="69">
        <f t="shared" si="15"/>
        <v>0</v>
      </c>
      <c r="AD96" s="69">
        <f t="shared" si="16"/>
        <v>0</v>
      </c>
    </row>
    <row r="97" spans="1:30" ht="20.25" customHeight="1">
      <c r="A97" s="95" t="str">
        <f>IF(BASE!B95="","",BASE!B95)</f>
        <v/>
      </c>
      <c r="B97" s="92" t="s">
        <v>2</v>
      </c>
      <c r="C97" s="96">
        <f t="shared" si="17"/>
        <v>0</v>
      </c>
      <c r="D97" s="96">
        <f t="shared" si="18"/>
        <v>0</v>
      </c>
      <c r="E97" s="96">
        <f t="shared" si="21"/>
        <v>0</v>
      </c>
      <c r="F97" s="96">
        <f t="shared" si="19"/>
        <v>0</v>
      </c>
      <c r="G97" s="96">
        <f t="shared" si="20"/>
        <v>0</v>
      </c>
      <c r="H97" s="112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81"/>
      <c r="X97" s="49">
        <f t="shared" si="11"/>
        <v>0</v>
      </c>
      <c r="Y97" s="49">
        <f>[2]BASE!A95</f>
        <v>86</v>
      </c>
      <c r="Z97" s="69">
        <f t="shared" si="12"/>
        <v>0</v>
      </c>
      <c r="AA97" s="69">
        <f t="shared" si="13"/>
        <v>0</v>
      </c>
      <c r="AB97" s="69">
        <f t="shared" si="14"/>
        <v>0</v>
      </c>
      <c r="AC97" s="69">
        <f t="shared" si="15"/>
        <v>0</v>
      </c>
      <c r="AD97" s="69">
        <f t="shared" si="16"/>
        <v>0</v>
      </c>
    </row>
    <row r="98" spans="1:30" ht="20.25" customHeight="1">
      <c r="A98" s="95" t="str">
        <f>IF(BASE!B96="","",BASE!B96)</f>
        <v/>
      </c>
      <c r="B98" s="92" t="s">
        <v>2</v>
      </c>
      <c r="C98" s="96">
        <f t="shared" si="17"/>
        <v>0</v>
      </c>
      <c r="D98" s="96">
        <f t="shared" si="18"/>
        <v>0</v>
      </c>
      <c r="E98" s="96">
        <f t="shared" si="21"/>
        <v>0</v>
      </c>
      <c r="F98" s="96">
        <f t="shared" si="19"/>
        <v>0</v>
      </c>
      <c r="G98" s="96">
        <f t="shared" si="20"/>
        <v>0</v>
      </c>
      <c r="H98" s="112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81"/>
      <c r="X98" s="49">
        <f t="shared" si="11"/>
        <v>0</v>
      </c>
      <c r="Y98" s="49">
        <f>[2]BASE!A96</f>
        <v>87</v>
      </c>
      <c r="Z98" s="69">
        <f t="shared" si="12"/>
        <v>0</v>
      </c>
      <c r="AA98" s="69">
        <f t="shared" si="13"/>
        <v>0</v>
      </c>
      <c r="AB98" s="69">
        <f t="shared" si="14"/>
        <v>0</v>
      </c>
      <c r="AC98" s="69">
        <f t="shared" si="15"/>
        <v>0</v>
      </c>
      <c r="AD98" s="69">
        <f t="shared" si="16"/>
        <v>0</v>
      </c>
    </row>
    <row r="99" spans="1:30" ht="20.25" customHeight="1">
      <c r="A99" s="95" t="str">
        <f>IF(BASE!B97="","",BASE!B97)</f>
        <v/>
      </c>
      <c r="B99" s="92" t="s">
        <v>2</v>
      </c>
      <c r="C99" s="96">
        <f t="shared" si="17"/>
        <v>0</v>
      </c>
      <c r="D99" s="96">
        <f t="shared" si="18"/>
        <v>0</v>
      </c>
      <c r="E99" s="96">
        <f t="shared" si="21"/>
        <v>0</v>
      </c>
      <c r="F99" s="96">
        <f t="shared" si="19"/>
        <v>0</v>
      </c>
      <c r="G99" s="96">
        <f t="shared" si="20"/>
        <v>0</v>
      </c>
      <c r="H99" s="112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81"/>
      <c r="X99" s="49">
        <f t="shared" si="11"/>
        <v>0</v>
      </c>
      <c r="Y99" s="49">
        <f>[2]BASE!A97</f>
        <v>88</v>
      </c>
      <c r="Z99" s="69">
        <f t="shared" si="12"/>
        <v>0</v>
      </c>
      <c r="AA99" s="69">
        <f t="shared" si="13"/>
        <v>0</v>
      </c>
      <c r="AB99" s="69">
        <f t="shared" si="14"/>
        <v>0</v>
      </c>
      <c r="AC99" s="69">
        <f t="shared" si="15"/>
        <v>0</v>
      </c>
      <c r="AD99" s="69">
        <f t="shared" si="16"/>
        <v>0</v>
      </c>
    </row>
    <row r="100" spans="1:30" ht="20.25" customHeight="1">
      <c r="A100" s="95" t="str">
        <f>IF(BASE!B98="","",BASE!B98)</f>
        <v/>
      </c>
      <c r="B100" s="92" t="s">
        <v>2</v>
      </c>
      <c r="C100" s="96">
        <f t="shared" si="17"/>
        <v>0</v>
      </c>
      <c r="D100" s="96">
        <f t="shared" si="18"/>
        <v>0</v>
      </c>
      <c r="E100" s="96">
        <f t="shared" si="21"/>
        <v>0</v>
      </c>
      <c r="F100" s="96">
        <f t="shared" si="19"/>
        <v>0</v>
      </c>
      <c r="G100" s="96">
        <f t="shared" si="20"/>
        <v>0</v>
      </c>
      <c r="H100" s="112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81"/>
      <c r="X100" s="49">
        <f t="shared" si="11"/>
        <v>0</v>
      </c>
      <c r="Y100" s="49">
        <f>[2]BASE!A98</f>
        <v>89</v>
      </c>
      <c r="Z100" s="69">
        <f t="shared" si="12"/>
        <v>0</v>
      </c>
      <c r="AA100" s="69">
        <f t="shared" si="13"/>
        <v>0</v>
      </c>
      <c r="AB100" s="69">
        <f t="shared" si="14"/>
        <v>0</v>
      </c>
      <c r="AC100" s="69">
        <f t="shared" si="15"/>
        <v>0</v>
      </c>
      <c r="AD100" s="69">
        <f t="shared" si="16"/>
        <v>0</v>
      </c>
    </row>
    <row r="101" spans="1:30" ht="20.25" customHeight="1">
      <c r="A101" s="95" t="str">
        <f>IF(BASE!B99="","",BASE!B99)</f>
        <v/>
      </c>
      <c r="B101" s="92" t="s">
        <v>2</v>
      </c>
      <c r="C101" s="96">
        <f t="shared" si="17"/>
        <v>0</v>
      </c>
      <c r="D101" s="96">
        <f t="shared" si="18"/>
        <v>0</v>
      </c>
      <c r="E101" s="96">
        <f t="shared" si="21"/>
        <v>0</v>
      </c>
      <c r="F101" s="96">
        <f t="shared" si="19"/>
        <v>0</v>
      </c>
      <c r="G101" s="96">
        <f t="shared" si="20"/>
        <v>0</v>
      </c>
      <c r="H101" s="112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81"/>
      <c r="X101" s="49">
        <f t="shared" si="11"/>
        <v>0</v>
      </c>
      <c r="Y101" s="49">
        <f>[2]BASE!A99</f>
        <v>90</v>
      </c>
      <c r="Z101" s="69">
        <f t="shared" si="12"/>
        <v>0</v>
      </c>
      <c r="AA101" s="69">
        <f t="shared" si="13"/>
        <v>0</v>
      </c>
      <c r="AB101" s="69">
        <f t="shared" si="14"/>
        <v>0</v>
      </c>
      <c r="AC101" s="69">
        <f t="shared" si="15"/>
        <v>0</v>
      </c>
      <c r="AD101" s="69">
        <f t="shared" si="16"/>
        <v>0</v>
      </c>
    </row>
    <row r="102" spans="1:30" ht="20.25" customHeight="1">
      <c r="A102" s="95" t="str">
        <f>IF(BASE!B100="","",BASE!B100)</f>
        <v/>
      </c>
      <c r="B102" s="92" t="s">
        <v>2</v>
      </c>
      <c r="C102" s="96">
        <f t="shared" si="17"/>
        <v>0</v>
      </c>
      <c r="D102" s="96">
        <f t="shared" si="18"/>
        <v>0</v>
      </c>
      <c r="E102" s="96">
        <f t="shared" si="21"/>
        <v>0</v>
      </c>
      <c r="F102" s="96">
        <f t="shared" si="19"/>
        <v>0</v>
      </c>
      <c r="G102" s="96">
        <f t="shared" si="20"/>
        <v>0</v>
      </c>
      <c r="H102" s="112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81"/>
      <c r="X102" s="49">
        <f t="shared" si="11"/>
        <v>0</v>
      </c>
      <c r="Y102" s="49">
        <f>[2]BASE!A100</f>
        <v>91</v>
      </c>
      <c r="Z102" s="69">
        <f t="shared" si="12"/>
        <v>0</v>
      </c>
      <c r="AA102" s="69">
        <f t="shared" si="13"/>
        <v>0</v>
      </c>
      <c r="AB102" s="69">
        <f t="shared" si="14"/>
        <v>0</v>
      </c>
      <c r="AC102" s="69">
        <f t="shared" si="15"/>
        <v>0</v>
      </c>
      <c r="AD102" s="69">
        <f t="shared" si="16"/>
        <v>0</v>
      </c>
    </row>
    <row r="103" spans="1:30" ht="20.25" customHeight="1">
      <c r="A103" s="95" t="str">
        <f>IF(BASE!B101="","",BASE!B101)</f>
        <v/>
      </c>
      <c r="B103" s="92" t="s">
        <v>2</v>
      </c>
      <c r="C103" s="96">
        <f t="shared" si="17"/>
        <v>0</v>
      </c>
      <c r="D103" s="96">
        <f t="shared" si="18"/>
        <v>0</v>
      </c>
      <c r="E103" s="96">
        <f t="shared" si="21"/>
        <v>0</v>
      </c>
      <c r="F103" s="96">
        <f t="shared" si="19"/>
        <v>0</v>
      </c>
      <c r="G103" s="96">
        <f t="shared" si="20"/>
        <v>0</v>
      </c>
      <c r="H103" s="112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81"/>
      <c r="X103" s="49">
        <f t="shared" si="11"/>
        <v>0</v>
      </c>
      <c r="Y103" s="49">
        <f>[2]BASE!A101</f>
        <v>92</v>
      </c>
      <c r="Z103" s="69">
        <f t="shared" si="12"/>
        <v>0</v>
      </c>
      <c r="AA103" s="69">
        <f t="shared" si="13"/>
        <v>0</v>
      </c>
      <c r="AB103" s="69">
        <f t="shared" si="14"/>
        <v>0</v>
      </c>
      <c r="AC103" s="69">
        <f t="shared" si="15"/>
        <v>0</v>
      </c>
      <c r="AD103" s="69">
        <f t="shared" si="16"/>
        <v>0</v>
      </c>
    </row>
    <row r="104" spans="1:30" ht="20.25" customHeight="1">
      <c r="A104" s="95" t="str">
        <f>IF(BASE!B102="","",BASE!B102)</f>
        <v/>
      </c>
      <c r="B104" s="92" t="s">
        <v>2</v>
      </c>
      <c r="C104" s="96">
        <f t="shared" si="17"/>
        <v>0</v>
      </c>
      <c r="D104" s="96">
        <f t="shared" si="18"/>
        <v>0</v>
      </c>
      <c r="E104" s="96">
        <f t="shared" si="21"/>
        <v>0</v>
      </c>
      <c r="F104" s="96">
        <f t="shared" si="19"/>
        <v>0</v>
      </c>
      <c r="G104" s="96">
        <f t="shared" si="20"/>
        <v>0</v>
      </c>
      <c r="H104" s="112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81"/>
      <c r="X104" s="49">
        <f t="shared" si="11"/>
        <v>0</v>
      </c>
      <c r="Y104" s="49">
        <f>[2]BASE!A102</f>
        <v>93</v>
      </c>
      <c r="Z104" s="69">
        <f t="shared" si="12"/>
        <v>0</v>
      </c>
      <c r="AA104" s="69">
        <f t="shared" si="13"/>
        <v>0</v>
      </c>
      <c r="AB104" s="69">
        <f t="shared" si="14"/>
        <v>0</v>
      </c>
      <c r="AC104" s="69">
        <f t="shared" si="15"/>
        <v>0</v>
      </c>
      <c r="AD104" s="69">
        <f t="shared" si="16"/>
        <v>0</v>
      </c>
    </row>
    <row r="105" spans="1:30" ht="20.25" customHeight="1">
      <c r="A105" s="95" t="str">
        <f>IF(BASE!B103="","",BASE!B103)</f>
        <v/>
      </c>
      <c r="B105" s="92" t="s">
        <v>2</v>
      </c>
      <c r="C105" s="96">
        <f t="shared" si="17"/>
        <v>0</v>
      </c>
      <c r="D105" s="96">
        <f t="shared" si="18"/>
        <v>0</v>
      </c>
      <c r="E105" s="96">
        <f t="shared" si="21"/>
        <v>0</v>
      </c>
      <c r="F105" s="96">
        <f t="shared" si="19"/>
        <v>0</v>
      </c>
      <c r="G105" s="96">
        <f t="shared" si="20"/>
        <v>0</v>
      </c>
      <c r="H105" s="112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81"/>
      <c r="X105" s="49">
        <f t="shared" si="11"/>
        <v>0</v>
      </c>
      <c r="Y105" s="49">
        <f>[2]BASE!A103</f>
        <v>94</v>
      </c>
      <c r="Z105" s="69">
        <f t="shared" si="12"/>
        <v>0</v>
      </c>
      <c r="AA105" s="69">
        <f t="shared" si="13"/>
        <v>0</v>
      </c>
      <c r="AB105" s="69">
        <f t="shared" si="14"/>
        <v>0</v>
      </c>
      <c r="AC105" s="69">
        <f t="shared" si="15"/>
        <v>0</v>
      </c>
      <c r="AD105" s="69">
        <f t="shared" si="16"/>
        <v>0</v>
      </c>
    </row>
    <row r="106" spans="1:30" ht="20.25" customHeight="1">
      <c r="A106" s="95" t="str">
        <f>IF(BASE!B104="","",BASE!B104)</f>
        <v/>
      </c>
      <c r="B106" s="92" t="s">
        <v>2</v>
      </c>
      <c r="C106" s="96">
        <f t="shared" si="17"/>
        <v>0</v>
      </c>
      <c r="D106" s="96">
        <f t="shared" si="18"/>
        <v>0</v>
      </c>
      <c r="E106" s="96">
        <f t="shared" si="21"/>
        <v>0</v>
      </c>
      <c r="F106" s="96">
        <f t="shared" si="19"/>
        <v>0</v>
      </c>
      <c r="G106" s="96">
        <f t="shared" si="20"/>
        <v>0</v>
      </c>
      <c r="H106" s="112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81"/>
      <c r="X106" s="49">
        <f t="shared" si="11"/>
        <v>0</v>
      </c>
      <c r="Y106" s="49">
        <f>[2]BASE!A104</f>
        <v>95</v>
      </c>
      <c r="Z106" s="69">
        <f t="shared" si="12"/>
        <v>0</v>
      </c>
      <c r="AA106" s="69">
        <f t="shared" si="13"/>
        <v>0</v>
      </c>
      <c r="AB106" s="69">
        <f t="shared" si="14"/>
        <v>0</v>
      </c>
      <c r="AC106" s="69">
        <f t="shared" si="15"/>
        <v>0</v>
      </c>
      <c r="AD106" s="69">
        <f t="shared" si="16"/>
        <v>0</v>
      </c>
    </row>
    <row r="107" spans="1:30" ht="20.25" customHeight="1">
      <c r="A107" s="95" t="str">
        <f>IF(BASE!B105="","",BASE!B105)</f>
        <v/>
      </c>
      <c r="B107" s="92" t="s">
        <v>2</v>
      </c>
      <c r="C107" s="96">
        <f t="shared" si="17"/>
        <v>0</v>
      </c>
      <c r="D107" s="96">
        <f t="shared" si="18"/>
        <v>0</v>
      </c>
      <c r="E107" s="96">
        <f t="shared" si="21"/>
        <v>0</v>
      </c>
      <c r="F107" s="96">
        <f t="shared" si="19"/>
        <v>0</v>
      </c>
      <c r="G107" s="96">
        <f t="shared" si="20"/>
        <v>0</v>
      </c>
      <c r="H107" s="112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81"/>
      <c r="X107" s="49">
        <f t="shared" si="11"/>
        <v>0</v>
      </c>
      <c r="Y107" s="49">
        <f>[2]BASE!A105</f>
        <v>96</v>
      </c>
      <c r="Z107" s="69">
        <f t="shared" si="12"/>
        <v>0</v>
      </c>
      <c r="AA107" s="69">
        <f t="shared" si="13"/>
        <v>0</v>
      </c>
      <c r="AB107" s="69">
        <f t="shared" si="14"/>
        <v>0</v>
      </c>
      <c r="AC107" s="69">
        <f t="shared" si="15"/>
        <v>0</v>
      </c>
      <c r="AD107" s="69">
        <f t="shared" si="16"/>
        <v>0</v>
      </c>
    </row>
    <row r="108" spans="1:30" ht="20.25" customHeight="1">
      <c r="A108" s="95" t="str">
        <f>IF(BASE!B106="","",BASE!B106)</f>
        <v/>
      </c>
      <c r="B108" s="92" t="s">
        <v>2</v>
      </c>
      <c r="C108" s="96">
        <f t="shared" si="17"/>
        <v>0</v>
      </c>
      <c r="D108" s="96">
        <f t="shared" si="18"/>
        <v>0</v>
      </c>
      <c r="E108" s="96">
        <f t="shared" si="21"/>
        <v>0</v>
      </c>
      <c r="F108" s="96">
        <f t="shared" si="19"/>
        <v>0</v>
      </c>
      <c r="G108" s="96">
        <f t="shared" si="20"/>
        <v>0</v>
      </c>
      <c r="H108" s="112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81"/>
      <c r="X108" s="49">
        <f t="shared" si="11"/>
        <v>0</v>
      </c>
      <c r="Y108" s="49">
        <f>[2]BASE!A106</f>
        <v>97</v>
      </c>
      <c r="Z108" s="69">
        <f t="shared" si="12"/>
        <v>0</v>
      </c>
      <c r="AA108" s="69">
        <f t="shared" si="13"/>
        <v>0</v>
      </c>
      <c r="AB108" s="69">
        <f t="shared" si="14"/>
        <v>0</v>
      </c>
      <c r="AC108" s="69">
        <f t="shared" si="15"/>
        <v>0</v>
      </c>
      <c r="AD108" s="69">
        <f t="shared" si="16"/>
        <v>0</v>
      </c>
    </row>
    <row r="109" spans="1:30" ht="20.25" customHeight="1">
      <c r="A109" s="95" t="str">
        <f>IF(BASE!B107="","",BASE!B107)</f>
        <v/>
      </c>
      <c r="B109" s="92" t="s">
        <v>2</v>
      </c>
      <c r="C109" s="96">
        <f t="shared" si="17"/>
        <v>0</v>
      </c>
      <c r="D109" s="96">
        <f t="shared" si="18"/>
        <v>0</v>
      </c>
      <c r="E109" s="96">
        <f t="shared" si="21"/>
        <v>0</v>
      </c>
      <c r="F109" s="96">
        <f t="shared" si="19"/>
        <v>0</v>
      </c>
      <c r="G109" s="96">
        <f t="shared" si="20"/>
        <v>0</v>
      </c>
      <c r="H109" s="112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81"/>
      <c r="X109" s="49">
        <f t="shared" si="11"/>
        <v>0</v>
      </c>
      <c r="Y109" s="49">
        <f>[2]BASE!A107</f>
        <v>98</v>
      </c>
      <c r="Z109" s="69">
        <f t="shared" si="12"/>
        <v>0</v>
      </c>
      <c r="AA109" s="69">
        <f t="shared" si="13"/>
        <v>0</v>
      </c>
      <c r="AB109" s="69">
        <f t="shared" si="14"/>
        <v>0</v>
      </c>
      <c r="AC109" s="69">
        <f t="shared" si="15"/>
        <v>0</v>
      </c>
      <c r="AD109" s="69">
        <f t="shared" si="16"/>
        <v>0</v>
      </c>
    </row>
    <row r="110" spans="1:30" ht="20.25" customHeight="1">
      <c r="A110" s="95" t="str">
        <f>IF(BASE!B108="","",BASE!B108)</f>
        <v/>
      </c>
      <c r="B110" s="92" t="s">
        <v>2</v>
      </c>
      <c r="C110" s="96">
        <f t="shared" si="17"/>
        <v>0</v>
      </c>
      <c r="D110" s="96">
        <f t="shared" si="18"/>
        <v>0</v>
      </c>
      <c r="E110" s="96">
        <f t="shared" si="21"/>
        <v>0</v>
      </c>
      <c r="F110" s="96">
        <f t="shared" si="19"/>
        <v>0</v>
      </c>
      <c r="G110" s="96">
        <f t="shared" si="20"/>
        <v>0</v>
      </c>
      <c r="H110" s="112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81"/>
      <c r="X110" s="49">
        <f t="shared" si="11"/>
        <v>0</v>
      </c>
      <c r="Y110" s="49">
        <f>[2]BASE!A108</f>
        <v>99</v>
      </c>
      <c r="Z110" s="69">
        <f t="shared" si="12"/>
        <v>0</v>
      </c>
      <c r="AA110" s="69">
        <f t="shared" si="13"/>
        <v>0</v>
      </c>
      <c r="AB110" s="69">
        <f t="shared" si="14"/>
        <v>0</v>
      </c>
      <c r="AC110" s="69">
        <f t="shared" si="15"/>
        <v>0</v>
      </c>
      <c r="AD110" s="69">
        <f t="shared" si="16"/>
        <v>0</v>
      </c>
    </row>
    <row r="111" spans="1:30" ht="20.25" customHeight="1">
      <c r="A111" s="95" t="str">
        <f>IF(BASE!B109="","",BASE!B109)</f>
        <v/>
      </c>
      <c r="B111" s="92" t="s">
        <v>2</v>
      </c>
      <c r="C111" s="96">
        <f t="shared" si="17"/>
        <v>0</v>
      </c>
      <c r="D111" s="96">
        <f t="shared" si="18"/>
        <v>0</v>
      </c>
      <c r="E111" s="96">
        <f t="shared" si="21"/>
        <v>0</v>
      </c>
      <c r="F111" s="96">
        <f t="shared" si="19"/>
        <v>0</v>
      </c>
      <c r="G111" s="96">
        <f t="shared" si="20"/>
        <v>0</v>
      </c>
      <c r="H111" s="112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81"/>
      <c r="X111" s="49">
        <f t="shared" si="11"/>
        <v>0</v>
      </c>
      <c r="Y111" s="49">
        <f>[2]BASE!A109</f>
        <v>100</v>
      </c>
      <c r="Z111" s="69">
        <f t="shared" si="12"/>
        <v>0</v>
      </c>
      <c r="AA111" s="69">
        <f t="shared" si="13"/>
        <v>0</v>
      </c>
      <c r="AB111" s="69">
        <f t="shared" si="14"/>
        <v>0</v>
      </c>
      <c r="AC111" s="69">
        <f t="shared" si="15"/>
        <v>0</v>
      </c>
      <c r="AD111" s="69">
        <f t="shared" si="16"/>
        <v>0</v>
      </c>
    </row>
    <row r="112" spans="1:30" ht="20.25" customHeight="1">
      <c r="A112" s="95" t="str">
        <f>IF(BASE!B110="","",BASE!B110)</f>
        <v/>
      </c>
      <c r="B112" s="92" t="s">
        <v>2</v>
      </c>
      <c r="C112" s="96">
        <f t="shared" si="17"/>
        <v>0</v>
      </c>
      <c r="D112" s="96">
        <f t="shared" si="18"/>
        <v>0</v>
      </c>
      <c r="E112" s="96">
        <f t="shared" si="21"/>
        <v>0</v>
      </c>
      <c r="F112" s="96">
        <f t="shared" si="19"/>
        <v>0</v>
      </c>
      <c r="G112" s="96">
        <f t="shared" si="20"/>
        <v>0</v>
      </c>
      <c r="H112" s="112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81"/>
      <c r="X112" s="49">
        <f t="shared" si="11"/>
        <v>0</v>
      </c>
      <c r="Y112" s="49">
        <f>[2]BASE!A110</f>
        <v>101</v>
      </c>
      <c r="Z112" s="69">
        <f t="shared" si="12"/>
        <v>0</v>
      </c>
      <c r="AA112" s="69">
        <f t="shared" si="13"/>
        <v>0</v>
      </c>
      <c r="AB112" s="69">
        <f t="shared" si="14"/>
        <v>0</v>
      </c>
      <c r="AC112" s="69">
        <f t="shared" si="15"/>
        <v>0</v>
      </c>
      <c r="AD112" s="69">
        <f t="shared" si="16"/>
        <v>0</v>
      </c>
    </row>
    <row r="113" spans="1:30" ht="20.25" customHeight="1">
      <c r="A113" s="95" t="str">
        <f>IF(BASE!B111="","",BASE!B111)</f>
        <v/>
      </c>
      <c r="B113" s="92" t="s">
        <v>2</v>
      </c>
      <c r="C113" s="96">
        <f t="shared" si="17"/>
        <v>0</v>
      </c>
      <c r="D113" s="96">
        <f t="shared" si="18"/>
        <v>0</v>
      </c>
      <c r="E113" s="96">
        <f t="shared" si="21"/>
        <v>0</v>
      </c>
      <c r="F113" s="96">
        <f t="shared" si="19"/>
        <v>0</v>
      </c>
      <c r="G113" s="96">
        <f t="shared" si="20"/>
        <v>0</v>
      </c>
      <c r="H113" s="112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81"/>
      <c r="X113" s="49">
        <f t="shared" si="11"/>
        <v>0</v>
      </c>
      <c r="Y113" s="49">
        <f>[2]BASE!A111</f>
        <v>102</v>
      </c>
      <c r="Z113" s="69">
        <f t="shared" si="12"/>
        <v>0</v>
      </c>
      <c r="AA113" s="69">
        <f t="shared" si="13"/>
        <v>0</v>
      </c>
      <c r="AB113" s="69">
        <f t="shared" si="14"/>
        <v>0</v>
      </c>
      <c r="AC113" s="69">
        <f t="shared" si="15"/>
        <v>0</v>
      </c>
      <c r="AD113" s="69">
        <f t="shared" si="16"/>
        <v>0</v>
      </c>
    </row>
    <row r="114" spans="1:30" ht="20.25" customHeight="1">
      <c r="A114" s="95" t="str">
        <f>IF(BASE!B112="","",BASE!B112)</f>
        <v/>
      </c>
      <c r="B114" s="92" t="s">
        <v>2</v>
      </c>
      <c r="C114" s="96">
        <f t="shared" si="17"/>
        <v>0</v>
      </c>
      <c r="D114" s="96">
        <f t="shared" si="18"/>
        <v>0</v>
      </c>
      <c r="E114" s="96">
        <f t="shared" si="21"/>
        <v>0</v>
      </c>
      <c r="F114" s="96">
        <f t="shared" si="19"/>
        <v>0</v>
      </c>
      <c r="G114" s="96">
        <f t="shared" si="20"/>
        <v>0</v>
      </c>
      <c r="H114" s="112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81"/>
      <c r="X114" s="49">
        <f t="shared" si="11"/>
        <v>0</v>
      </c>
      <c r="Y114" s="49">
        <f>[2]BASE!A112</f>
        <v>103</v>
      </c>
      <c r="Z114" s="69">
        <f t="shared" si="12"/>
        <v>0</v>
      </c>
      <c r="AA114" s="69">
        <f t="shared" si="13"/>
        <v>0</v>
      </c>
      <c r="AB114" s="69">
        <f t="shared" si="14"/>
        <v>0</v>
      </c>
      <c r="AC114" s="69">
        <f t="shared" si="15"/>
        <v>0</v>
      </c>
      <c r="AD114" s="69">
        <f t="shared" si="16"/>
        <v>0</v>
      </c>
    </row>
    <row r="115" spans="1:30" ht="20.25" customHeight="1">
      <c r="A115" s="95" t="str">
        <f>IF(BASE!B113="","",BASE!B113)</f>
        <v/>
      </c>
      <c r="B115" s="92" t="s">
        <v>2</v>
      </c>
      <c r="C115" s="96">
        <f t="shared" si="17"/>
        <v>0</v>
      </c>
      <c r="D115" s="96">
        <f t="shared" si="18"/>
        <v>0</v>
      </c>
      <c r="E115" s="96">
        <f t="shared" si="21"/>
        <v>0</v>
      </c>
      <c r="F115" s="96">
        <f t="shared" si="19"/>
        <v>0</v>
      </c>
      <c r="G115" s="96">
        <f t="shared" si="20"/>
        <v>0</v>
      </c>
      <c r="H115" s="112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81"/>
      <c r="X115" s="49">
        <f t="shared" si="11"/>
        <v>0</v>
      </c>
      <c r="Y115" s="49">
        <f>[2]BASE!A113</f>
        <v>104</v>
      </c>
      <c r="Z115" s="69">
        <f t="shared" si="12"/>
        <v>0</v>
      </c>
      <c r="AA115" s="69">
        <f t="shared" si="13"/>
        <v>0</v>
      </c>
      <c r="AB115" s="69">
        <f t="shared" si="14"/>
        <v>0</v>
      </c>
      <c r="AC115" s="69">
        <f t="shared" si="15"/>
        <v>0</v>
      </c>
      <c r="AD115" s="69">
        <f t="shared" si="16"/>
        <v>0</v>
      </c>
    </row>
    <row r="116" spans="1:30" ht="20.25" customHeight="1">
      <c r="A116" s="95" t="str">
        <f>IF(BASE!B114="","",BASE!B114)</f>
        <v/>
      </c>
      <c r="B116" s="92" t="s">
        <v>2</v>
      </c>
      <c r="C116" s="96">
        <f t="shared" si="17"/>
        <v>0</v>
      </c>
      <c r="D116" s="96">
        <f t="shared" si="18"/>
        <v>0</v>
      </c>
      <c r="E116" s="96">
        <f t="shared" si="21"/>
        <v>0</v>
      </c>
      <c r="F116" s="96">
        <f t="shared" si="19"/>
        <v>0</v>
      </c>
      <c r="G116" s="96">
        <f t="shared" si="20"/>
        <v>0</v>
      </c>
      <c r="H116" s="112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81"/>
      <c r="X116" s="49">
        <f t="shared" si="11"/>
        <v>0</v>
      </c>
      <c r="Y116" s="49">
        <f>[2]BASE!A114</f>
        <v>105</v>
      </c>
      <c r="Z116" s="69">
        <f t="shared" si="12"/>
        <v>0</v>
      </c>
      <c r="AA116" s="69">
        <f t="shared" si="13"/>
        <v>0</v>
      </c>
      <c r="AB116" s="69">
        <f t="shared" si="14"/>
        <v>0</v>
      </c>
      <c r="AC116" s="69">
        <f t="shared" si="15"/>
        <v>0</v>
      </c>
      <c r="AD116" s="69">
        <f t="shared" si="16"/>
        <v>0</v>
      </c>
    </row>
    <row r="117" spans="1:30" ht="20.25" customHeight="1">
      <c r="A117" s="95" t="str">
        <f>IF(BASE!B115="","",BASE!B115)</f>
        <v/>
      </c>
      <c r="B117" s="92" t="s">
        <v>2</v>
      </c>
      <c r="C117" s="96">
        <f t="shared" si="17"/>
        <v>0</v>
      </c>
      <c r="D117" s="96">
        <f t="shared" si="18"/>
        <v>0</v>
      </c>
      <c r="E117" s="96">
        <f t="shared" si="21"/>
        <v>0</v>
      </c>
      <c r="F117" s="96">
        <f t="shared" si="19"/>
        <v>0</v>
      </c>
      <c r="G117" s="96">
        <f t="shared" si="20"/>
        <v>0</v>
      </c>
      <c r="H117" s="112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81"/>
      <c r="X117" s="49">
        <f t="shared" si="11"/>
        <v>0</v>
      </c>
      <c r="Y117" s="49">
        <f>[2]BASE!A115</f>
        <v>106</v>
      </c>
      <c r="Z117" s="69">
        <f t="shared" si="12"/>
        <v>0</v>
      </c>
      <c r="AA117" s="69">
        <f t="shared" si="13"/>
        <v>0</v>
      </c>
      <c r="AB117" s="69">
        <f t="shared" si="14"/>
        <v>0</v>
      </c>
      <c r="AC117" s="69">
        <f t="shared" si="15"/>
        <v>0</v>
      </c>
      <c r="AD117" s="69">
        <f t="shared" si="16"/>
        <v>0</v>
      </c>
    </row>
    <row r="118" spans="1:30" ht="20.25" customHeight="1">
      <c r="A118" s="95" t="str">
        <f>IF(BASE!B116="","",BASE!B116)</f>
        <v/>
      </c>
      <c r="B118" s="92" t="s">
        <v>2</v>
      </c>
      <c r="C118" s="96">
        <f t="shared" si="17"/>
        <v>0</v>
      </c>
      <c r="D118" s="96">
        <f t="shared" si="18"/>
        <v>0</v>
      </c>
      <c r="E118" s="96">
        <f t="shared" si="21"/>
        <v>0</v>
      </c>
      <c r="F118" s="96">
        <f t="shared" si="19"/>
        <v>0</v>
      </c>
      <c r="G118" s="96">
        <f t="shared" si="20"/>
        <v>0</v>
      </c>
      <c r="H118" s="112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81"/>
      <c r="X118" s="49">
        <f t="shared" si="11"/>
        <v>0</v>
      </c>
      <c r="Y118" s="49">
        <f>[2]BASE!A116</f>
        <v>107</v>
      </c>
      <c r="Z118" s="69">
        <f t="shared" si="12"/>
        <v>0</v>
      </c>
      <c r="AA118" s="69">
        <f t="shared" si="13"/>
        <v>0</v>
      </c>
      <c r="AB118" s="69">
        <f t="shared" si="14"/>
        <v>0</v>
      </c>
      <c r="AC118" s="69">
        <f t="shared" si="15"/>
        <v>0</v>
      </c>
      <c r="AD118" s="69">
        <f t="shared" si="16"/>
        <v>0</v>
      </c>
    </row>
    <row r="119" spans="1:30" ht="20.25" customHeight="1">
      <c r="A119" s="95" t="str">
        <f>IF(BASE!B117="","",BASE!B117)</f>
        <v/>
      </c>
      <c r="B119" s="92" t="s">
        <v>2</v>
      </c>
      <c r="C119" s="96">
        <f t="shared" si="17"/>
        <v>0</v>
      </c>
      <c r="D119" s="96">
        <f t="shared" si="18"/>
        <v>0</v>
      </c>
      <c r="E119" s="96">
        <f t="shared" si="21"/>
        <v>0</v>
      </c>
      <c r="F119" s="96">
        <f t="shared" si="19"/>
        <v>0</v>
      </c>
      <c r="G119" s="96">
        <f t="shared" si="20"/>
        <v>0</v>
      </c>
      <c r="H119" s="112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81"/>
      <c r="X119" s="49">
        <f t="shared" si="11"/>
        <v>0</v>
      </c>
      <c r="Y119" s="49">
        <f>[2]BASE!A117</f>
        <v>108</v>
      </c>
      <c r="Z119" s="69">
        <f t="shared" si="12"/>
        <v>0</v>
      </c>
      <c r="AA119" s="69">
        <f t="shared" si="13"/>
        <v>0</v>
      </c>
      <c r="AB119" s="69">
        <f t="shared" si="14"/>
        <v>0</v>
      </c>
      <c r="AC119" s="69">
        <f t="shared" si="15"/>
        <v>0</v>
      </c>
      <c r="AD119" s="69">
        <f t="shared" si="16"/>
        <v>0</v>
      </c>
    </row>
    <row r="120" spans="1:30" ht="20.25" customHeight="1">
      <c r="A120" s="95" t="str">
        <f>IF(BASE!B118="","",BASE!B118)</f>
        <v/>
      </c>
      <c r="B120" s="92" t="s">
        <v>2</v>
      </c>
      <c r="C120" s="96">
        <f t="shared" si="17"/>
        <v>0</v>
      </c>
      <c r="D120" s="96">
        <f t="shared" si="18"/>
        <v>0</v>
      </c>
      <c r="E120" s="96">
        <f t="shared" si="21"/>
        <v>0</v>
      </c>
      <c r="F120" s="96">
        <f t="shared" si="19"/>
        <v>0</v>
      </c>
      <c r="G120" s="96">
        <f t="shared" si="20"/>
        <v>0</v>
      </c>
      <c r="H120" s="112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81"/>
      <c r="X120" s="49">
        <f t="shared" si="11"/>
        <v>0</v>
      </c>
      <c r="Y120" s="49">
        <f>[2]BASE!A118</f>
        <v>109</v>
      </c>
      <c r="Z120" s="69">
        <f t="shared" si="12"/>
        <v>0</v>
      </c>
      <c r="AA120" s="69">
        <f t="shared" si="13"/>
        <v>0</v>
      </c>
      <c r="AB120" s="69">
        <f t="shared" si="14"/>
        <v>0</v>
      </c>
      <c r="AC120" s="69">
        <f t="shared" si="15"/>
        <v>0</v>
      </c>
      <c r="AD120" s="69">
        <f t="shared" si="16"/>
        <v>0</v>
      </c>
    </row>
    <row r="121" spans="1:30" ht="20.25" customHeight="1">
      <c r="A121" s="95" t="str">
        <f>IF(BASE!B119="","",BASE!B119)</f>
        <v/>
      </c>
      <c r="B121" s="92" t="s">
        <v>2</v>
      </c>
      <c r="C121" s="96">
        <f t="shared" si="17"/>
        <v>0</v>
      </c>
      <c r="D121" s="96">
        <f t="shared" si="18"/>
        <v>0</v>
      </c>
      <c r="E121" s="96">
        <f t="shared" si="21"/>
        <v>0</v>
      </c>
      <c r="F121" s="96">
        <f t="shared" si="19"/>
        <v>0</v>
      </c>
      <c r="G121" s="96">
        <f t="shared" si="20"/>
        <v>0</v>
      </c>
      <c r="H121" s="112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81"/>
      <c r="X121" s="49">
        <f t="shared" si="11"/>
        <v>0</v>
      </c>
      <c r="Y121" s="49">
        <f>[2]BASE!A119</f>
        <v>110</v>
      </c>
      <c r="Z121" s="69">
        <f t="shared" si="12"/>
        <v>0</v>
      </c>
      <c r="AA121" s="69">
        <f t="shared" si="13"/>
        <v>0</v>
      </c>
      <c r="AB121" s="69">
        <f t="shared" si="14"/>
        <v>0</v>
      </c>
      <c r="AC121" s="69">
        <f t="shared" si="15"/>
        <v>0</v>
      </c>
      <c r="AD121" s="69">
        <f t="shared" si="16"/>
        <v>0</v>
      </c>
    </row>
    <row r="122" spans="1:30" ht="20.25" customHeight="1">
      <c r="A122" s="95" t="str">
        <f>IF(BASE!B120="","",BASE!B120)</f>
        <v/>
      </c>
      <c r="B122" s="92" t="s">
        <v>2</v>
      </c>
      <c r="C122" s="96">
        <f t="shared" si="17"/>
        <v>0</v>
      </c>
      <c r="D122" s="96">
        <f t="shared" si="18"/>
        <v>0</v>
      </c>
      <c r="E122" s="96">
        <f t="shared" si="21"/>
        <v>0</v>
      </c>
      <c r="F122" s="96">
        <f t="shared" si="19"/>
        <v>0</v>
      </c>
      <c r="G122" s="96">
        <f t="shared" si="20"/>
        <v>0</v>
      </c>
      <c r="H122" s="112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81"/>
      <c r="X122" s="49">
        <f t="shared" si="11"/>
        <v>0</v>
      </c>
      <c r="Y122" s="49">
        <f>[2]BASE!A120</f>
        <v>111</v>
      </c>
      <c r="Z122" s="69">
        <f t="shared" si="12"/>
        <v>0</v>
      </c>
      <c r="AA122" s="69">
        <f t="shared" si="13"/>
        <v>0</v>
      </c>
      <c r="AB122" s="69">
        <f t="shared" si="14"/>
        <v>0</v>
      </c>
      <c r="AC122" s="69">
        <f t="shared" si="15"/>
        <v>0</v>
      </c>
      <c r="AD122" s="69">
        <f t="shared" si="16"/>
        <v>0</v>
      </c>
    </row>
    <row r="123" spans="1:30" ht="20.25" customHeight="1">
      <c r="A123" s="95" t="str">
        <f>IF(BASE!B121="","",BASE!B121)</f>
        <v/>
      </c>
      <c r="B123" s="92" t="s">
        <v>2</v>
      </c>
      <c r="C123" s="96">
        <f t="shared" si="17"/>
        <v>0</v>
      </c>
      <c r="D123" s="96">
        <f t="shared" si="18"/>
        <v>0</v>
      </c>
      <c r="E123" s="96">
        <f t="shared" si="21"/>
        <v>0</v>
      </c>
      <c r="F123" s="96">
        <f t="shared" si="19"/>
        <v>0</v>
      </c>
      <c r="G123" s="96">
        <f t="shared" si="20"/>
        <v>0</v>
      </c>
      <c r="H123" s="112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81"/>
      <c r="X123" s="49">
        <f t="shared" si="11"/>
        <v>0</v>
      </c>
      <c r="Y123" s="49">
        <f>[2]BASE!A121</f>
        <v>112</v>
      </c>
      <c r="Z123" s="69">
        <f t="shared" si="12"/>
        <v>0</v>
      </c>
      <c r="AA123" s="69">
        <f t="shared" si="13"/>
        <v>0</v>
      </c>
      <c r="AB123" s="69">
        <f t="shared" si="14"/>
        <v>0</v>
      </c>
      <c r="AC123" s="69">
        <f t="shared" si="15"/>
        <v>0</v>
      </c>
      <c r="AD123" s="69">
        <f t="shared" si="16"/>
        <v>0</v>
      </c>
    </row>
    <row r="124" spans="1:30" ht="20.25" customHeight="1">
      <c r="A124" s="95" t="str">
        <f>IF(BASE!B122="","",BASE!B122)</f>
        <v/>
      </c>
      <c r="B124" s="92" t="s">
        <v>2</v>
      </c>
      <c r="C124" s="96">
        <f t="shared" si="17"/>
        <v>0</v>
      </c>
      <c r="D124" s="96">
        <f t="shared" si="18"/>
        <v>0</v>
      </c>
      <c r="E124" s="96">
        <f t="shared" si="21"/>
        <v>0</v>
      </c>
      <c r="F124" s="96">
        <f t="shared" si="19"/>
        <v>0</v>
      </c>
      <c r="G124" s="96">
        <f t="shared" si="20"/>
        <v>0</v>
      </c>
      <c r="H124" s="112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81"/>
      <c r="X124" s="49">
        <f t="shared" si="11"/>
        <v>0</v>
      </c>
      <c r="Y124" s="49">
        <f>[2]BASE!A122</f>
        <v>113</v>
      </c>
      <c r="Z124" s="69">
        <f t="shared" si="12"/>
        <v>0</v>
      </c>
      <c r="AA124" s="69">
        <f t="shared" si="13"/>
        <v>0</v>
      </c>
      <c r="AB124" s="69">
        <f t="shared" si="14"/>
        <v>0</v>
      </c>
      <c r="AC124" s="69">
        <f t="shared" si="15"/>
        <v>0</v>
      </c>
      <c r="AD124" s="69">
        <f t="shared" si="16"/>
        <v>0</v>
      </c>
    </row>
    <row r="125" spans="1:30" ht="20.25" customHeight="1">
      <c r="A125" s="95" t="str">
        <f>IF(BASE!B123="","",BASE!B123)</f>
        <v/>
      </c>
      <c r="B125" s="92" t="s">
        <v>2</v>
      </c>
      <c r="C125" s="96">
        <f t="shared" si="17"/>
        <v>0</v>
      </c>
      <c r="D125" s="96">
        <f t="shared" si="18"/>
        <v>0</v>
      </c>
      <c r="E125" s="96">
        <f t="shared" si="21"/>
        <v>0</v>
      </c>
      <c r="F125" s="96">
        <f t="shared" si="19"/>
        <v>0</v>
      </c>
      <c r="G125" s="96">
        <f t="shared" si="20"/>
        <v>0</v>
      </c>
      <c r="H125" s="112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81"/>
      <c r="X125" s="49">
        <f t="shared" si="11"/>
        <v>0</v>
      </c>
      <c r="Y125" s="49">
        <f>[2]BASE!A123</f>
        <v>114</v>
      </c>
      <c r="Z125" s="69">
        <f t="shared" si="12"/>
        <v>0</v>
      </c>
      <c r="AA125" s="69">
        <f t="shared" si="13"/>
        <v>0</v>
      </c>
      <c r="AB125" s="69">
        <f t="shared" si="14"/>
        <v>0</v>
      </c>
      <c r="AC125" s="69">
        <f t="shared" si="15"/>
        <v>0</v>
      </c>
      <c r="AD125" s="69">
        <f t="shared" si="16"/>
        <v>0</v>
      </c>
    </row>
    <row r="126" spans="1:30" ht="20.25" customHeight="1">
      <c r="A126" s="95" t="str">
        <f>IF(BASE!B124="","",BASE!B124)</f>
        <v/>
      </c>
      <c r="B126" s="92" t="s">
        <v>2</v>
      </c>
      <c r="C126" s="96">
        <f t="shared" si="17"/>
        <v>0</v>
      </c>
      <c r="D126" s="96">
        <f t="shared" si="18"/>
        <v>0</v>
      </c>
      <c r="E126" s="96">
        <f t="shared" si="21"/>
        <v>0</v>
      </c>
      <c r="F126" s="96">
        <f t="shared" si="19"/>
        <v>0</v>
      </c>
      <c r="G126" s="96">
        <f t="shared" si="20"/>
        <v>0</v>
      </c>
      <c r="H126" s="112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81"/>
      <c r="X126" s="49">
        <f t="shared" si="11"/>
        <v>0</v>
      </c>
      <c r="Y126" s="49">
        <f>[2]BASE!A124</f>
        <v>115</v>
      </c>
      <c r="Z126" s="69">
        <f t="shared" si="12"/>
        <v>0</v>
      </c>
      <c r="AA126" s="69">
        <f t="shared" si="13"/>
        <v>0</v>
      </c>
      <c r="AB126" s="69">
        <f t="shared" si="14"/>
        <v>0</v>
      </c>
      <c r="AC126" s="69">
        <f t="shared" si="15"/>
        <v>0</v>
      </c>
      <c r="AD126" s="69">
        <f t="shared" si="16"/>
        <v>0</v>
      </c>
    </row>
    <row r="127" spans="1:30" ht="20.25" customHeight="1">
      <c r="A127" s="95" t="str">
        <f>IF(BASE!B125="","",BASE!B125)</f>
        <v/>
      </c>
      <c r="B127" s="92" t="s">
        <v>2</v>
      </c>
      <c r="C127" s="96">
        <f t="shared" si="17"/>
        <v>0</v>
      </c>
      <c r="D127" s="96">
        <f t="shared" si="18"/>
        <v>0</v>
      </c>
      <c r="E127" s="96">
        <f t="shared" si="21"/>
        <v>0</v>
      </c>
      <c r="F127" s="96">
        <f t="shared" si="19"/>
        <v>0</v>
      </c>
      <c r="G127" s="96">
        <f t="shared" si="20"/>
        <v>0</v>
      </c>
      <c r="H127" s="112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81"/>
      <c r="X127" s="49">
        <f t="shared" si="11"/>
        <v>0</v>
      </c>
      <c r="Y127" s="49">
        <f>[2]BASE!A125</f>
        <v>116</v>
      </c>
      <c r="Z127" s="69">
        <f t="shared" si="12"/>
        <v>0</v>
      </c>
      <c r="AA127" s="69">
        <f t="shared" si="13"/>
        <v>0</v>
      </c>
      <c r="AB127" s="69">
        <f t="shared" si="14"/>
        <v>0</v>
      </c>
      <c r="AC127" s="69">
        <f t="shared" si="15"/>
        <v>0</v>
      </c>
      <c r="AD127" s="69">
        <f t="shared" si="16"/>
        <v>0</v>
      </c>
    </row>
    <row r="128" spans="1:30" ht="20.25" customHeight="1">
      <c r="A128" s="95" t="str">
        <f>IF(BASE!B126="","",BASE!B126)</f>
        <v/>
      </c>
      <c r="B128" s="92" t="s">
        <v>2</v>
      </c>
      <c r="C128" s="96">
        <f t="shared" si="17"/>
        <v>0</v>
      </c>
      <c r="D128" s="96">
        <f t="shared" si="18"/>
        <v>0</v>
      </c>
      <c r="E128" s="96">
        <f t="shared" si="21"/>
        <v>0</v>
      </c>
      <c r="F128" s="96">
        <f t="shared" si="19"/>
        <v>0</v>
      </c>
      <c r="G128" s="96">
        <f t="shared" si="20"/>
        <v>0</v>
      </c>
      <c r="H128" s="112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81"/>
      <c r="X128" s="49">
        <f t="shared" si="11"/>
        <v>0</v>
      </c>
      <c r="Y128" s="49">
        <f>[2]BASE!A126</f>
        <v>117</v>
      </c>
      <c r="Z128" s="69">
        <f t="shared" si="12"/>
        <v>0</v>
      </c>
      <c r="AA128" s="69">
        <f t="shared" si="13"/>
        <v>0</v>
      </c>
      <c r="AB128" s="69">
        <f t="shared" si="14"/>
        <v>0</v>
      </c>
      <c r="AC128" s="69">
        <f t="shared" si="15"/>
        <v>0</v>
      </c>
      <c r="AD128" s="69">
        <f t="shared" si="16"/>
        <v>0</v>
      </c>
    </row>
    <row r="129" spans="1:30" ht="20.25" customHeight="1">
      <c r="A129" s="95" t="str">
        <f>IF(BASE!B127="","",BASE!B127)</f>
        <v/>
      </c>
      <c r="B129" s="92" t="s">
        <v>2</v>
      </c>
      <c r="C129" s="96">
        <f t="shared" si="17"/>
        <v>0</v>
      </c>
      <c r="D129" s="96">
        <f t="shared" si="18"/>
        <v>0</v>
      </c>
      <c r="E129" s="96">
        <f t="shared" si="21"/>
        <v>0</v>
      </c>
      <c r="F129" s="96">
        <f t="shared" si="19"/>
        <v>0</v>
      </c>
      <c r="G129" s="96">
        <f t="shared" si="20"/>
        <v>0</v>
      </c>
      <c r="H129" s="112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81"/>
      <c r="X129" s="49">
        <f t="shared" si="11"/>
        <v>0</v>
      </c>
      <c r="Y129" s="49">
        <f>[2]BASE!A127</f>
        <v>118</v>
      </c>
      <c r="Z129" s="69">
        <f t="shared" si="12"/>
        <v>0</v>
      </c>
      <c r="AA129" s="69">
        <f t="shared" si="13"/>
        <v>0</v>
      </c>
      <c r="AB129" s="69">
        <f t="shared" si="14"/>
        <v>0</v>
      </c>
      <c r="AC129" s="69">
        <f t="shared" si="15"/>
        <v>0</v>
      </c>
      <c r="AD129" s="69">
        <f t="shared" si="16"/>
        <v>0</v>
      </c>
    </row>
    <row r="130" spans="1:30" ht="20.25" customHeight="1">
      <c r="A130" s="95" t="str">
        <f>IF(BASE!B128="","",BASE!B128)</f>
        <v/>
      </c>
      <c r="B130" s="92" t="s">
        <v>2</v>
      </c>
      <c r="C130" s="96">
        <f t="shared" si="17"/>
        <v>0</v>
      </c>
      <c r="D130" s="96">
        <f t="shared" si="18"/>
        <v>0</v>
      </c>
      <c r="E130" s="96">
        <f t="shared" si="21"/>
        <v>0</v>
      </c>
      <c r="F130" s="96">
        <f t="shared" si="19"/>
        <v>0</v>
      </c>
      <c r="G130" s="96">
        <f t="shared" si="20"/>
        <v>0</v>
      </c>
      <c r="H130" s="112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81"/>
      <c r="X130" s="49">
        <f t="shared" si="11"/>
        <v>0</v>
      </c>
      <c r="Y130" s="49">
        <f>[2]BASE!A128</f>
        <v>119</v>
      </c>
      <c r="Z130" s="69">
        <f t="shared" si="12"/>
        <v>0</v>
      </c>
      <c r="AA130" s="69">
        <f t="shared" si="13"/>
        <v>0</v>
      </c>
      <c r="AB130" s="69">
        <f t="shared" si="14"/>
        <v>0</v>
      </c>
      <c r="AC130" s="69">
        <f t="shared" si="15"/>
        <v>0</v>
      </c>
      <c r="AD130" s="69">
        <f t="shared" si="16"/>
        <v>0</v>
      </c>
    </row>
    <row r="131" spans="1:30" ht="20.25" customHeight="1">
      <c r="A131" s="95" t="str">
        <f>IF(BASE!B129="","",BASE!B129)</f>
        <v/>
      </c>
      <c r="B131" s="92" t="s">
        <v>2</v>
      </c>
      <c r="C131" s="96">
        <f t="shared" si="17"/>
        <v>0</v>
      </c>
      <c r="D131" s="96">
        <f t="shared" si="18"/>
        <v>0</v>
      </c>
      <c r="E131" s="96">
        <f t="shared" si="21"/>
        <v>0</v>
      </c>
      <c r="F131" s="96">
        <f t="shared" si="19"/>
        <v>0</v>
      </c>
      <c r="G131" s="96">
        <f t="shared" si="20"/>
        <v>0</v>
      </c>
      <c r="H131" s="112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81"/>
      <c r="X131" s="49">
        <f t="shared" si="11"/>
        <v>0</v>
      </c>
      <c r="Y131" s="49">
        <f>[2]BASE!A129</f>
        <v>120</v>
      </c>
      <c r="Z131" s="69">
        <f t="shared" si="12"/>
        <v>0</v>
      </c>
      <c r="AA131" s="69">
        <f t="shared" si="13"/>
        <v>0</v>
      </c>
      <c r="AB131" s="69">
        <f t="shared" si="14"/>
        <v>0</v>
      </c>
      <c r="AC131" s="69">
        <f t="shared" si="15"/>
        <v>0</v>
      </c>
      <c r="AD131" s="69">
        <f t="shared" si="16"/>
        <v>0</v>
      </c>
    </row>
    <row r="132" spans="1:30" ht="20.25" customHeight="1">
      <c r="A132" s="95" t="str">
        <f>IF(BASE!B130="","",BASE!B130)</f>
        <v/>
      </c>
      <c r="B132" s="92" t="s">
        <v>2</v>
      </c>
      <c r="C132" s="96">
        <f t="shared" si="17"/>
        <v>0</v>
      </c>
      <c r="D132" s="96">
        <f t="shared" si="18"/>
        <v>0</v>
      </c>
      <c r="E132" s="96">
        <f t="shared" si="21"/>
        <v>0</v>
      </c>
      <c r="F132" s="96">
        <f t="shared" si="19"/>
        <v>0</v>
      </c>
      <c r="G132" s="96">
        <f t="shared" si="20"/>
        <v>0</v>
      </c>
      <c r="H132" s="112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81"/>
      <c r="X132" s="49">
        <f t="shared" si="11"/>
        <v>0</v>
      </c>
      <c r="Y132" s="49">
        <f>[2]BASE!A130</f>
        <v>121</v>
      </c>
      <c r="Z132" s="69">
        <f t="shared" si="12"/>
        <v>0</v>
      </c>
      <c r="AA132" s="69">
        <f t="shared" si="13"/>
        <v>0</v>
      </c>
      <c r="AB132" s="69">
        <f t="shared" si="14"/>
        <v>0</v>
      </c>
      <c r="AC132" s="69">
        <f t="shared" si="15"/>
        <v>0</v>
      </c>
      <c r="AD132" s="69">
        <f t="shared" si="16"/>
        <v>0</v>
      </c>
    </row>
    <row r="133" spans="1:30" ht="20.25" customHeight="1">
      <c r="A133" s="95" t="str">
        <f>IF(BASE!B131="","",BASE!B131)</f>
        <v/>
      </c>
      <c r="B133" s="92" t="s">
        <v>2</v>
      </c>
      <c r="C133" s="96">
        <f t="shared" si="17"/>
        <v>0</v>
      </c>
      <c r="D133" s="96">
        <f t="shared" si="18"/>
        <v>0</v>
      </c>
      <c r="E133" s="96">
        <f t="shared" si="21"/>
        <v>0</v>
      </c>
      <c r="F133" s="96">
        <f t="shared" si="19"/>
        <v>0</v>
      </c>
      <c r="G133" s="96">
        <f t="shared" si="20"/>
        <v>0</v>
      </c>
      <c r="H133" s="112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81"/>
      <c r="X133" s="49">
        <f t="shared" si="11"/>
        <v>0</v>
      </c>
      <c r="Y133" s="49">
        <f>[2]BASE!A131</f>
        <v>122</v>
      </c>
      <c r="Z133" s="69">
        <f t="shared" si="12"/>
        <v>0</v>
      </c>
      <c r="AA133" s="69">
        <f t="shared" si="13"/>
        <v>0</v>
      </c>
      <c r="AB133" s="69">
        <f t="shared" si="14"/>
        <v>0</v>
      </c>
      <c r="AC133" s="69">
        <f t="shared" si="15"/>
        <v>0</v>
      </c>
      <c r="AD133" s="69">
        <f t="shared" si="16"/>
        <v>0</v>
      </c>
    </row>
    <row r="134" spans="1:30" ht="20.25" customHeight="1">
      <c r="A134" s="95" t="str">
        <f>IF(BASE!B132="","",BASE!B132)</f>
        <v/>
      </c>
      <c r="B134" s="92" t="s">
        <v>2</v>
      </c>
      <c r="C134" s="96">
        <f t="shared" si="17"/>
        <v>0</v>
      </c>
      <c r="D134" s="96">
        <f t="shared" si="18"/>
        <v>0</v>
      </c>
      <c r="E134" s="96">
        <f t="shared" si="21"/>
        <v>0</v>
      </c>
      <c r="F134" s="96">
        <f t="shared" si="19"/>
        <v>0</v>
      </c>
      <c r="G134" s="96">
        <f t="shared" si="20"/>
        <v>0</v>
      </c>
      <c r="H134" s="112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81"/>
      <c r="X134" s="49">
        <f t="shared" si="11"/>
        <v>0</v>
      </c>
      <c r="Y134" s="49">
        <f>[2]BASE!A132</f>
        <v>123</v>
      </c>
      <c r="Z134" s="69">
        <f t="shared" si="12"/>
        <v>0</v>
      </c>
      <c r="AA134" s="69">
        <f t="shared" si="13"/>
        <v>0</v>
      </c>
      <c r="AB134" s="69">
        <f t="shared" si="14"/>
        <v>0</v>
      </c>
      <c r="AC134" s="69">
        <f t="shared" si="15"/>
        <v>0</v>
      </c>
      <c r="AD134" s="69">
        <f t="shared" si="16"/>
        <v>0</v>
      </c>
    </row>
    <row r="135" spans="1:30" ht="20.25" customHeight="1">
      <c r="A135" s="95" t="str">
        <f>IF(BASE!B133="","",BASE!B133)</f>
        <v/>
      </c>
      <c r="B135" s="92" t="s">
        <v>2</v>
      </c>
      <c r="C135" s="96">
        <f t="shared" si="17"/>
        <v>0</v>
      </c>
      <c r="D135" s="96">
        <f t="shared" si="18"/>
        <v>0</v>
      </c>
      <c r="E135" s="96">
        <f t="shared" si="21"/>
        <v>0</v>
      </c>
      <c r="F135" s="96">
        <f t="shared" si="19"/>
        <v>0</v>
      </c>
      <c r="G135" s="96">
        <f t="shared" si="20"/>
        <v>0</v>
      </c>
      <c r="H135" s="112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81"/>
      <c r="X135" s="49">
        <f t="shared" si="11"/>
        <v>0</v>
      </c>
      <c r="Y135" s="49">
        <f>[2]BASE!A133</f>
        <v>124</v>
      </c>
      <c r="Z135" s="69">
        <f t="shared" si="12"/>
        <v>0</v>
      </c>
      <c r="AA135" s="69">
        <f t="shared" si="13"/>
        <v>0</v>
      </c>
      <c r="AB135" s="69">
        <f t="shared" si="14"/>
        <v>0</v>
      </c>
      <c r="AC135" s="69">
        <f t="shared" si="15"/>
        <v>0</v>
      </c>
      <c r="AD135" s="69">
        <f t="shared" si="16"/>
        <v>0</v>
      </c>
    </row>
    <row r="136" spans="1:30" ht="20.25" customHeight="1">
      <c r="A136" s="95" t="str">
        <f>IF(BASE!B134="","",BASE!B134)</f>
        <v/>
      </c>
      <c r="B136" s="92" t="s">
        <v>2</v>
      </c>
      <c r="C136" s="96">
        <f t="shared" si="17"/>
        <v>0</v>
      </c>
      <c r="D136" s="96">
        <f t="shared" si="18"/>
        <v>0</v>
      </c>
      <c r="E136" s="96">
        <f t="shared" si="21"/>
        <v>0</v>
      </c>
      <c r="F136" s="96">
        <f t="shared" si="19"/>
        <v>0</v>
      </c>
      <c r="G136" s="96">
        <f t="shared" si="20"/>
        <v>0</v>
      </c>
      <c r="H136" s="112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81"/>
      <c r="X136" s="49">
        <f t="shared" si="11"/>
        <v>0</v>
      </c>
      <c r="Y136" s="49">
        <f>[2]BASE!A134</f>
        <v>125</v>
      </c>
      <c r="Z136" s="69">
        <f t="shared" si="12"/>
        <v>0</v>
      </c>
      <c r="AA136" s="69">
        <f t="shared" si="13"/>
        <v>0</v>
      </c>
      <c r="AB136" s="69">
        <f t="shared" si="14"/>
        <v>0</v>
      </c>
      <c r="AC136" s="69">
        <f t="shared" si="15"/>
        <v>0</v>
      </c>
      <c r="AD136" s="69">
        <f t="shared" si="16"/>
        <v>0</v>
      </c>
    </row>
    <row r="137" spans="1:30" ht="20.25" customHeight="1">
      <c r="A137" s="95" t="str">
        <f>IF(BASE!B135="","",BASE!B135)</f>
        <v/>
      </c>
      <c r="B137" s="92" t="s">
        <v>2</v>
      </c>
      <c r="C137" s="96">
        <f t="shared" si="17"/>
        <v>0</v>
      </c>
      <c r="D137" s="96">
        <f t="shared" si="18"/>
        <v>0</v>
      </c>
      <c r="E137" s="96">
        <f t="shared" si="21"/>
        <v>0</v>
      </c>
      <c r="F137" s="96">
        <f t="shared" si="19"/>
        <v>0</v>
      </c>
      <c r="G137" s="96">
        <f t="shared" si="20"/>
        <v>0</v>
      </c>
      <c r="H137" s="112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81"/>
      <c r="X137" s="49">
        <f t="shared" si="11"/>
        <v>0</v>
      </c>
      <c r="Y137" s="49">
        <f>[2]BASE!A135</f>
        <v>126</v>
      </c>
      <c r="Z137" s="69">
        <f t="shared" si="12"/>
        <v>0</v>
      </c>
      <c r="AA137" s="69">
        <f t="shared" si="13"/>
        <v>0</v>
      </c>
      <c r="AB137" s="69">
        <f t="shared" si="14"/>
        <v>0</v>
      </c>
      <c r="AC137" s="69">
        <f t="shared" si="15"/>
        <v>0</v>
      </c>
      <c r="AD137" s="69">
        <f t="shared" si="16"/>
        <v>0</v>
      </c>
    </row>
    <row r="138" spans="1:30" ht="20.25" customHeight="1">
      <c r="A138" s="95" t="str">
        <f>IF(BASE!B136="","",BASE!B136)</f>
        <v/>
      </c>
      <c r="B138" s="92" t="s">
        <v>2</v>
      </c>
      <c r="C138" s="96">
        <f t="shared" si="17"/>
        <v>0</v>
      </c>
      <c r="D138" s="96">
        <f t="shared" si="18"/>
        <v>0</v>
      </c>
      <c r="E138" s="96">
        <f t="shared" si="21"/>
        <v>0</v>
      </c>
      <c r="F138" s="96">
        <f t="shared" si="19"/>
        <v>0</v>
      </c>
      <c r="G138" s="96">
        <f t="shared" si="20"/>
        <v>0</v>
      </c>
      <c r="H138" s="112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81"/>
      <c r="X138" s="49">
        <f t="shared" si="11"/>
        <v>0</v>
      </c>
      <c r="Y138" s="49">
        <f>[2]BASE!A136</f>
        <v>127</v>
      </c>
      <c r="Z138" s="69">
        <f t="shared" si="12"/>
        <v>0</v>
      </c>
      <c r="AA138" s="69">
        <f t="shared" si="13"/>
        <v>0</v>
      </c>
      <c r="AB138" s="69">
        <f t="shared" si="14"/>
        <v>0</v>
      </c>
      <c r="AC138" s="69">
        <f t="shared" si="15"/>
        <v>0</v>
      </c>
      <c r="AD138" s="69">
        <f t="shared" si="16"/>
        <v>0</v>
      </c>
    </row>
    <row r="139" spans="1:30" ht="20.25" customHeight="1">
      <c r="A139" s="95" t="str">
        <f>IF(BASE!B137="","",BASE!B137)</f>
        <v/>
      </c>
      <c r="B139" s="92" t="s">
        <v>2</v>
      </c>
      <c r="C139" s="96">
        <f t="shared" si="17"/>
        <v>0</v>
      </c>
      <c r="D139" s="96">
        <f t="shared" si="18"/>
        <v>0</v>
      </c>
      <c r="E139" s="96">
        <f t="shared" si="21"/>
        <v>0</v>
      </c>
      <c r="F139" s="96">
        <f t="shared" si="19"/>
        <v>0</v>
      </c>
      <c r="G139" s="96">
        <f t="shared" si="20"/>
        <v>0</v>
      </c>
      <c r="H139" s="112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81"/>
      <c r="X139" s="49">
        <f t="shared" si="11"/>
        <v>0</v>
      </c>
      <c r="Y139" s="49">
        <f>[2]BASE!A137</f>
        <v>128</v>
      </c>
      <c r="Z139" s="69">
        <f t="shared" si="12"/>
        <v>0</v>
      </c>
      <c r="AA139" s="69">
        <f t="shared" si="13"/>
        <v>0</v>
      </c>
      <c r="AB139" s="69">
        <f t="shared" si="14"/>
        <v>0</v>
      </c>
      <c r="AC139" s="69">
        <f t="shared" si="15"/>
        <v>0</v>
      </c>
      <c r="AD139" s="69">
        <f t="shared" si="16"/>
        <v>0</v>
      </c>
    </row>
    <row r="140" spans="1:30" ht="20.25" customHeight="1">
      <c r="A140" s="95" t="str">
        <f>IF(BASE!B138="","",BASE!B138)</f>
        <v/>
      </c>
      <c r="B140" s="92" t="s">
        <v>2</v>
      </c>
      <c r="C140" s="96">
        <f t="shared" si="17"/>
        <v>0</v>
      </c>
      <c r="D140" s="96">
        <f t="shared" si="18"/>
        <v>0</v>
      </c>
      <c r="E140" s="96">
        <f t="shared" si="21"/>
        <v>0</v>
      </c>
      <c r="F140" s="96">
        <f t="shared" si="19"/>
        <v>0</v>
      </c>
      <c r="G140" s="96">
        <f t="shared" si="20"/>
        <v>0</v>
      </c>
      <c r="H140" s="112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81"/>
      <c r="X140" s="49">
        <f t="shared" ref="X140:X203" si="22">SUM(C140:V140)</f>
        <v>0</v>
      </c>
      <c r="Y140" s="49">
        <f>[2]BASE!A138</f>
        <v>129</v>
      </c>
      <c r="Z140" s="69">
        <f t="shared" ref="Z140:Z203" si="23">SUMIF($C$11:$V$11,1,C140:V140)</f>
        <v>0</v>
      </c>
      <c r="AA140" s="69">
        <f t="shared" ref="AA140:AA203" si="24">SUMIF($C$11:$V$11,2,C140:V140)</f>
        <v>0</v>
      </c>
      <c r="AB140" s="69">
        <f t="shared" ref="AB140:AB203" si="25">SUMIF($C$11:$V$11,3,C140:V140)</f>
        <v>0</v>
      </c>
      <c r="AC140" s="69">
        <f t="shared" ref="AC140:AC203" si="26">SUMIF($C$11:$V$11,4,C140:V140)</f>
        <v>0</v>
      </c>
      <c r="AD140" s="69">
        <f t="shared" ref="AD140:AD203" si="27">SUMIF($C$11:$V$11,5,C140:V140)</f>
        <v>0</v>
      </c>
    </row>
    <row r="141" spans="1:30" ht="20.25" customHeight="1">
      <c r="A141" s="95" t="str">
        <f>IF(BASE!B139="","",BASE!B139)</f>
        <v/>
      </c>
      <c r="B141" s="92" t="s">
        <v>2</v>
      </c>
      <c r="C141" s="96">
        <f t="shared" ref="C141:C204" si="28">(H141/5)</f>
        <v>0</v>
      </c>
      <c r="D141" s="96">
        <f t="shared" ref="D141:D204" si="29">(H141/5)</f>
        <v>0</v>
      </c>
      <c r="E141" s="96">
        <f t="shared" si="21"/>
        <v>0</v>
      </c>
      <c r="F141" s="96">
        <f t="shared" ref="F141:F204" si="30">(H141/5)</f>
        <v>0</v>
      </c>
      <c r="G141" s="96">
        <f t="shared" ref="G141:G204" si="31">(H141/5)</f>
        <v>0</v>
      </c>
      <c r="H141" s="112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81"/>
      <c r="X141" s="49">
        <f t="shared" si="22"/>
        <v>0</v>
      </c>
      <c r="Y141" s="49">
        <f>[2]BASE!A139</f>
        <v>130</v>
      </c>
      <c r="Z141" s="69">
        <f t="shared" si="23"/>
        <v>0</v>
      </c>
      <c r="AA141" s="69">
        <f t="shared" si="24"/>
        <v>0</v>
      </c>
      <c r="AB141" s="69">
        <f t="shared" si="25"/>
        <v>0</v>
      </c>
      <c r="AC141" s="69">
        <f t="shared" si="26"/>
        <v>0</v>
      </c>
      <c r="AD141" s="69">
        <f t="shared" si="27"/>
        <v>0</v>
      </c>
    </row>
    <row r="142" spans="1:30" ht="20.25" customHeight="1">
      <c r="A142" s="95" t="str">
        <f>IF(BASE!B140="","",BASE!B140)</f>
        <v/>
      </c>
      <c r="B142" s="92" t="s">
        <v>2</v>
      </c>
      <c r="C142" s="96">
        <f t="shared" si="28"/>
        <v>0</v>
      </c>
      <c r="D142" s="96">
        <f t="shared" si="29"/>
        <v>0</v>
      </c>
      <c r="E142" s="96">
        <f t="shared" ref="E142:E205" si="32">(H142/5)</f>
        <v>0</v>
      </c>
      <c r="F142" s="96">
        <f t="shared" si="30"/>
        <v>0</v>
      </c>
      <c r="G142" s="96">
        <f t="shared" si="31"/>
        <v>0</v>
      </c>
      <c r="H142" s="112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81"/>
      <c r="X142" s="49">
        <f t="shared" si="22"/>
        <v>0</v>
      </c>
      <c r="Y142" s="49">
        <f>[2]BASE!A140</f>
        <v>131</v>
      </c>
      <c r="Z142" s="69">
        <f t="shared" si="23"/>
        <v>0</v>
      </c>
      <c r="AA142" s="69">
        <f t="shared" si="24"/>
        <v>0</v>
      </c>
      <c r="AB142" s="69">
        <f t="shared" si="25"/>
        <v>0</v>
      </c>
      <c r="AC142" s="69">
        <f t="shared" si="26"/>
        <v>0</v>
      </c>
      <c r="AD142" s="69">
        <f t="shared" si="27"/>
        <v>0</v>
      </c>
    </row>
    <row r="143" spans="1:30" ht="20.25" customHeight="1">
      <c r="A143" s="95" t="str">
        <f>IF(BASE!B141="","",BASE!B141)</f>
        <v/>
      </c>
      <c r="B143" s="92" t="s">
        <v>2</v>
      </c>
      <c r="C143" s="96">
        <f t="shared" si="28"/>
        <v>0</v>
      </c>
      <c r="D143" s="96">
        <f t="shared" si="29"/>
        <v>0</v>
      </c>
      <c r="E143" s="96">
        <f t="shared" si="32"/>
        <v>0</v>
      </c>
      <c r="F143" s="96">
        <f t="shared" si="30"/>
        <v>0</v>
      </c>
      <c r="G143" s="96">
        <f t="shared" si="31"/>
        <v>0</v>
      </c>
      <c r="H143" s="112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81"/>
      <c r="X143" s="49">
        <f t="shared" si="22"/>
        <v>0</v>
      </c>
      <c r="Y143" s="49">
        <f>[2]BASE!A141</f>
        <v>132</v>
      </c>
      <c r="Z143" s="69">
        <f t="shared" si="23"/>
        <v>0</v>
      </c>
      <c r="AA143" s="69">
        <f t="shared" si="24"/>
        <v>0</v>
      </c>
      <c r="AB143" s="69">
        <f t="shared" si="25"/>
        <v>0</v>
      </c>
      <c r="AC143" s="69">
        <f t="shared" si="26"/>
        <v>0</v>
      </c>
      <c r="AD143" s="69">
        <f t="shared" si="27"/>
        <v>0</v>
      </c>
    </row>
    <row r="144" spans="1:30" ht="20.25" customHeight="1">
      <c r="A144" s="95" t="str">
        <f>IF(BASE!B142="","",BASE!B142)</f>
        <v/>
      </c>
      <c r="B144" s="92" t="s">
        <v>2</v>
      </c>
      <c r="C144" s="96">
        <f t="shared" si="28"/>
        <v>0</v>
      </c>
      <c r="D144" s="96">
        <f t="shared" si="29"/>
        <v>0</v>
      </c>
      <c r="E144" s="96">
        <f t="shared" si="32"/>
        <v>0</v>
      </c>
      <c r="F144" s="96">
        <f t="shared" si="30"/>
        <v>0</v>
      </c>
      <c r="G144" s="96">
        <f t="shared" si="31"/>
        <v>0</v>
      </c>
      <c r="H144" s="112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81"/>
      <c r="X144" s="49">
        <f t="shared" si="22"/>
        <v>0</v>
      </c>
      <c r="Y144" s="49">
        <f>[2]BASE!A142</f>
        <v>133</v>
      </c>
      <c r="Z144" s="69">
        <f t="shared" si="23"/>
        <v>0</v>
      </c>
      <c r="AA144" s="69">
        <f t="shared" si="24"/>
        <v>0</v>
      </c>
      <c r="AB144" s="69">
        <f t="shared" si="25"/>
        <v>0</v>
      </c>
      <c r="AC144" s="69">
        <f t="shared" si="26"/>
        <v>0</v>
      </c>
      <c r="AD144" s="69">
        <f t="shared" si="27"/>
        <v>0</v>
      </c>
    </row>
    <row r="145" spans="1:30" ht="20.25" customHeight="1">
      <c r="A145" s="95" t="str">
        <f>IF(BASE!B143="","",BASE!B143)</f>
        <v/>
      </c>
      <c r="B145" s="92" t="s">
        <v>2</v>
      </c>
      <c r="C145" s="96">
        <f t="shared" si="28"/>
        <v>0</v>
      </c>
      <c r="D145" s="96">
        <f t="shared" si="29"/>
        <v>0</v>
      </c>
      <c r="E145" s="96">
        <f t="shared" si="32"/>
        <v>0</v>
      </c>
      <c r="F145" s="96">
        <f t="shared" si="30"/>
        <v>0</v>
      </c>
      <c r="G145" s="96">
        <f t="shared" si="31"/>
        <v>0</v>
      </c>
      <c r="H145" s="112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81"/>
      <c r="X145" s="49">
        <f t="shared" si="22"/>
        <v>0</v>
      </c>
      <c r="Y145" s="49">
        <f>[2]BASE!A143</f>
        <v>134</v>
      </c>
      <c r="Z145" s="69">
        <f t="shared" si="23"/>
        <v>0</v>
      </c>
      <c r="AA145" s="69">
        <f t="shared" si="24"/>
        <v>0</v>
      </c>
      <c r="AB145" s="69">
        <f t="shared" si="25"/>
        <v>0</v>
      </c>
      <c r="AC145" s="69">
        <f t="shared" si="26"/>
        <v>0</v>
      </c>
      <c r="AD145" s="69">
        <f t="shared" si="27"/>
        <v>0</v>
      </c>
    </row>
    <row r="146" spans="1:30" ht="20.25" customHeight="1">
      <c r="A146" s="95" t="str">
        <f>IF(BASE!B144="","",BASE!B144)</f>
        <v/>
      </c>
      <c r="B146" s="92" t="s">
        <v>2</v>
      </c>
      <c r="C146" s="96">
        <f t="shared" si="28"/>
        <v>0</v>
      </c>
      <c r="D146" s="96">
        <f t="shared" si="29"/>
        <v>0</v>
      </c>
      <c r="E146" s="96">
        <f t="shared" si="32"/>
        <v>0</v>
      </c>
      <c r="F146" s="96">
        <f t="shared" si="30"/>
        <v>0</v>
      </c>
      <c r="G146" s="96">
        <f t="shared" si="31"/>
        <v>0</v>
      </c>
      <c r="H146" s="112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81"/>
      <c r="X146" s="49">
        <f t="shared" si="22"/>
        <v>0</v>
      </c>
      <c r="Y146" s="49">
        <f>[2]BASE!A144</f>
        <v>135</v>
      </c>
      <c r="Z146" s="69">
        <f t="shared" si="23"/>
        <v>0</v>
      </c>
      <c r="AA146" s="69">
        <f t="shared" si="24"/>
        <v>0</v>
      </c>
      <c r="AB146" s="69">
        <f t="shared" si="25"/>
        <v>0</v>
      </c>
      <c r="AC146" s="69">
        <f t="shared" si="26"/>
        <v>0</v>
      </c>
      <c r="AD146" s="69">
        <f t="shared" si="27"/>
        <v>0</v>
      </c>
    </row>
    <row r="147" spans="1:30" ht="20.25" customHeight="1">
      <c r="A147" s="95" t="str">
        <f>IF(BASE!B145="","",BASE!B145)</f>
        <v/>
      </c>
      <c r="B147" s="92" t="s">
        <v>2</v>
      </c>
      <c r="C147" s="96">
        <f t="shared" si="28"/>
        <v>0</v>
      </c>
      <c r="D147" s="96">
        <f t="shared" si="29"/>
        <v>0</v>
      </c>
      <c r="E147" s="96">
        <f t="shared" si="32"/>
        <v>0</v>
      </c>
      <c r="F147" s="96">
        <f t="shared" si="30"/>
        <v>0</v>
      </c>
      <c r="G147" s="96">
        <f t="shared" si="31"/>
        <v>0</v>
      </c>
      <c r="H147" s="112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81"/>
      <c r="X147" s="49">
        <f t="shared" si="22"/>
        <v>0</v>
      </c>
      <c r="Y147" s="49">
        <f>[2]BASE!A145</f>
        <v>136</v>
      </c>
      <c r="Z147" s="69">
        <f t="shared" si="23"/>
        <v>0</v>
      </c>
      <c r="AA147" s="69">
        <f t="shared" si="24"/>
        <v>0</v>
      </c>
      <c r="AB147" s="69">
        <f t="shared" si="25"/>
        <v>0</v>
      </c>
      <c r="AC147" s="69">
        <f t="shared" si="26"/>
        <v>0</v>
      </c>
      <c r="AD147" s="69">
        <f t="shared" si="27"/>
        <v>0</v>
      </c>
    </row>
    <row r="148" spans="1:30" ht="20.25" customHeight="1">
      <c r="A148" s="95" t="str">
        <f>IF(BASE!B146="","",BASE!B146)</f>
        <v/>
      </c>
      <c r="B148" s="92" t="s">
        <v>2</v>
      </c>
      <c r="C148" s="96">
        <f t="shared" si="28"/>
        <v>0</v>
      </c>
      <c r="D148" s="96">
        <f t="shared" si="29"/>
        <v>0</v>
      </c>
      <c r="E148" s="96">
        <f t="shared" si="32"/>
        <v>0</v>
      </c>
      <c r="F148" s="96">
        <f t="shared" si="30"/>
        <v>0</v>
      </c>
      <c r="G148" s="96">
        <f t="shared" si="31"/>
        <v>0</v>
      </c>
      <c r="H148" s="112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81"/>
      <c r="X148" s="49">
        <f t="shared" si="22"/>
        <v>0</v>
      </c>
      <c r="Y148" s="49">
        <f>[2]BASE!A146</f>
        <v>137</v>
      </c>
      <c r="Z148" s="69">
        <f t="shared" si="23"/>
        <v>0</v>
      </c>
      <c r="AA148" s="69">
        <f t="shared" si="24"/>
        <v>0</v>
      </c>
      <c r="AB148" s="69">
        <f t="shared" si="25"/>
        <v>0</v>
      </c>
      <c r="AC148" s="69">
        <f t="shared" si="26"/>
        <v>0</v>
      </c>
      <c r="AD148" s="69">
        <f t="shared" si="27"/>
        <v>0</v>
      </c>
    </row>
    <row r="149" spans="1:30" ht="20.25" customHeight="1">
      <c r="A149" s="95" t="str">
        <f>IF(BASE!B147="","",BASE!B147)</f>
        <v/>
      </c>
      <c r="B149" s="92" t="s">
        <v>2</v>
      </c>
      <c r="C149" s="96">
        <f t="shared" si="28"/>
        <v>0</v>
      </c>
      <c r="D149" s="96">
        <f t="shared" si="29"/>
        <v>0</v>
      </c>
      <c r="E149" s="96">
        <f t="shared" si="32"/>
        <v>0</v>
      </c>
      <c r="F149" s="96">
        <f t="shared" si="30"/>
        <v>0</v>
      </c>
      <c r="G149" s="96">
        <f t="shared" si="31"/>
        <v>0</v>
      </c>
      <c r="H149" s="112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81"/>
      <c r="X149" s="49">
        <f t="shared" si="22"/>
        <v>0</v>
      </c>
      <c r="Y149" s="49">
        <f>[2]BASE!A147</f>
        <v>138</v>
      </c>
      <c r="Z149" s="69">
        <f t="shared" si="23"/>
        <v>0</v>
      </c>
      <c r="AA149" s="69">
        <f t="shared" si="24"/>
        <v>0</v>
      </c>
      <c r="AB149" s="69">
        <f t="shared" si="25"/>
        <v>0</v>
      </c>
      <c r="AC149" s="69">
        <f t="shared" si="26"/>
        <v>0</v>
      </c>
      <c r="AD149" s="69">
        <f t="shared" si="27"/>
        <v>0</v>
      </c>
    </row>
    <row r="150" spans="1:30" ht="20.25" customHeight="1">
      <c r="A150" s="95" t="str">
        <f>IF(BASE!B148="","",BASE!B148)</f>
        <v/>
      </c>
      <c r="B150" s="92" t="s">
        <v>2</v>
      </c>
      <c r="C150" s="96">
        <f t="shared" si="28"/>
        <v>0</v>
      </c>
      <c r="D150" s="96">
        <f t="shared" si="29"/>
        <v>0</v>
      </c>
      <c r="E150" s="96">
        <f t="shared" si="32"/>
        <v>0</v>
      </c>
      <c r="F150" s="96">
        <f t="shared" si="30"/>
        <v>0</v>
      </c>
      <c r="G150" s="96">
        <f t="shared" si="31"/>
        <v>0</v>
      </c>
      <c r="H150" s="112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81"/>
      <c r="X150" s="49">
        <f t="shared" si="22"/>
        <v>0</v>
      </c>
      <c r="Y150" s="49">
        <f>[2]BASE!A148</f>
        <v>139</v>
      </c>
      <c r="Z150" s="69">
        <f t="shared" si="23"/>
        <v>0</v>
      </c>
      <c r="AA150" s="69">
        <f t="shared" si="24"/>
        <v>0</v>
      </c>
      <c r="AB150" s="69">
        <f t="shared" si="25"/>
        <v>0</v>
      </c>
      <c r="AC150" s="69">
        <f t="shared" si="26"/>
        <v>0</v>
      </c>
      <c r="AD150" s="69">
        <f t="shared" si="27"/>
        <v>0</v>
      </c>
    </row>
    <row r="151" spans="1:30" ht="20.25" customHeight="1">
      <c r="A151" s="95" t="str">
        <f>IF(BASE!B149="","",BASE!B149)</f>
        <v/>
      </c>
      <c r="B151" s="92" t="s">
        <v>2</v>
      </c>
      <c r="C151" s="96">
        <f t="shared" si="28"/>
        <v>0</v>
      </c>
      <c r="D151" s="96">
        <f t="shared" si="29"/>
        <v>0</v>
      </c>
      <c r="E151" s="96">
        <f t="shared" si="32"/>
        <v>0</v>
      </c>
      <c r="F151" s="96">
        <f t="shared" si="30"/>
        <v>0</v>
      </c>
      <c r="G151" s="96">
        <f t="shared" si="31"/>
        <v>0</v>
      </c>
      <c r="H151" s="112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81"/>
      <c r="X151" s="49">
        <f t="shared" si="22"/>
        <v>0</v>
      </c>
      <c r="Y151" s="49">
        <f>[2]BASE!A149</f>
        <v>140</v>
      </c>
      <c r="Z151" s="69">
        <f t="shared" si="23"/>
        <v>0</v>
      </c>
      <c r="AA151" s="69">
        <f t="shared" si="24"/>
        <v>0</v>
      </c>
      <c r="AB151" s="69">
        <f t="shared" si="25"/>
        <v>0</v>
      </c>
      <c r="AC151" s="69">
        <f t="shared" si="26"/>
        <v>0</v>
      </c>
      <c r="AD151" s="69">
        <f t="shared" si="27"/>
        <v>0</v>
      </c>
    </row>
    <row r="152" spans="1:30" ht="20.25" customHeight="1">
      <c r="A152" s="95" t="str">
        <f>IF(BASE!B150="","",BASE!B150)</f>
        <v/>
      </c>
      <c r="B152" s="92" t="s">
        <v>2</v>
      </c>
      <c r="C152" s="96">
        <f t="shared" si="28"/>
        <v>0</v>
      </c>
      <c r="D152" s="96">
        <f t="shared" si="29"/>
        <v>0</v>
      </c>
      <c r="E152" s="96">
        <f t="shared" si="32"/>
        <v>0</v>
      </c>
      <c r="F152" s="96">
        <f t="shared" si="30"/>
        <v>0</v>
      </c>
      <c r="G152" s="96">
        <f t="shared" si="31"/>
        <v>0</v>
      </c>
      <c r="H152" s="112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81"/>
      <c r="X152" s="49">
        <f t="shared" si="22"/>
        <v>0</v>
      </c>
      <c r="Y152" s="49">
        <f>[2]BASE!A150</f>
        <v>141</v>
      </c>
      <c r="Z152" s="69">
        <f t="shared" si="23"/>
        <v>0</v>
      </c>
      <c r="AA152" s="69">
        <f t="shared" si="24"/>
        <v>0</v>
      </c>
      <c r="AB152" s="69">
        <f t="shared" si="25"/>
        <v>0</v>
      </c>
      <c r="AC152" s="69">
        <f t="shared" si="26"/>
        <v>0</v>
      </c>
      <c r="AD152" s="69">
        <f t="shared" si="27"/>
        <v>0</v>
      </c>
    </row>
    <row r="153" spans="1:30" ht="20.25" customHeight="1">
      <c r="A153" s="95" t="str">
        <f>IF(BASE!B151="","",BASE!B151)</f>
        <v/>
      </c>
      <c r="B153" s="92" t="s">
        <v>2</v>
      </c>
      <c r="C153" s="96">
        <f t="shared" si="28"/>
        <v>0</v>
      </c>
      <c r="D153" s="96">
        <f t="shared" si="29"/>
        <v>0</v>
      </c>
      <c r="E153" s="96">
        <f t="shared" si="32"/>
        <v>0</v>
      </c>
      <c r="F153" s="96">
        <f t="shared" si="30"/>
        <v>0</v>
      </c>
      <c r="G153" s="96">
        <f t="shared" si="31"/>
        <v>0</v>
      </c>
      <c r="H153" s="112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81"/>
      <c r="X153" s="49">
        <f t="shared" si="22"/>
        <v>0</v>
      </c>
      <c r="Y153" s="49">
        <f>[2]BASE!A151</f>
        <v>142</v>
      </c>
      <c r="Z153" s="69">
        <f t="shared" si="23"/>
        <v>0</v>
      </c>
      <c r="AA153" s="69">
        <f t="shared" si="24"/>
        <v>0</v>
      </c>
      <c r="AB153" s="69">
        <f t="shared" si="25"/>
        <v>0</v>
      </c>
      <c r="AC153" s="69">
        <f t="shared" si="26"/>
        <v>0</v>
      </c>
      <c r="AD153" s="69">
        <f t="shared" si="27"/>
        <v>0</v>
      </c>
    </row>
    <row r="154" spans="1:30" ht="20.25" customHeight="1">
      <c r="A154" s="95" t="str">
        <f>IF(BASE!B152="","",BASE!B152)</f>
        <v/>
      </c>
      <c r="B154" s="92" t="s">
        <v>2</v>
      </c>
      <c r="C154" s="96">
        <f t="shared" si="28"/>
        <v>0</v>
      </c>
      <c r="D154" s="96">
        <f t="shared" si="29"/>
        <v>0</v>
      </c>
      <c r="E154" s="96">
        <f t="shared" si="32"/>
        <v>0</v>
      </c>
      <c r="F154" s="96">
        <f t="shared" si="30"/>
        <v>0</v>
      </c>
      <c r="G154" s="96">
        <f t="shared" si="31"/>
        <v>0</v>
      </c>
      <c r="H154" s="112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81"/>
      <c r="X154" s="49">
        <f t="shared" si="22"/>
        <v>0</v>
      </c>
      <c r="Y154" s="49">
        <f>[2]BASE!A152</f>
        <v>143</v>
      </c>
      <c r="Z154" s="69">
        <f t="shared" si="23"/>
        <v>0</v>
      </c>
      <c r="AA154" s="69">
        <f t="shared" si="24"/>
        <v>0</v>
      </c>
      <c r="AB154" s="69">
        <f t="shared" si="25"/>
        <v>0</v>
      </c>
      <c r="AC154" s="69">
        <f t="shared" si="26"/>
        <v>0</v>
      </c>
      <c r="AD154" s="69">
        <f t="shared" si="27"/>
        <v>0</v>
      </c>
    </row>
    <row r="155" spans="1:30" ht="20.25" customHeight="1">
      <c r="A155" s="95" t="str">
        <f>IF(BASE!B153="","",BASE!B153)</f>
        <v/>
      </c>
      <c r="B155" s="92" t="s">
        <v>2</v>
      </c>
      <c r="C155" s="96">
        <f t="shared" si="28"/>
        <v>0</v>
      </c>
      <c r="D155" s="96">
        <f t="shared" si="29"/>
        <v>0</v>
      </c>
      <c r="E155" s="96">
        <f t="shared" si="32"/>
        <v>0</v>
      </c>
      <c r="F155" s="96">
        <f t="shared" si="30"/>
        <v>0</v>
      </c>
      <c r="G155" s="96">
        <f t="shared" si="31"/>
        <v>0</v>
      </c>
      <c r="H155" s="112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81"/>
      <c r="X155" s="49">
        <f t="shared" si="22"/>
        <v>0</v>
      </c>
      <c r="Y155" s="49">
        <f>[2]BASE!A153</f>
        <v>144</v>
      </c>
      <c r="Z155" s="69">
        <f t="shared" si="23"/>
        <v>0</v>
      </c>
      <c r="AA155" s="69">
        <f t="shared" si="24"/>
        <v>0</v>
      </c>
      <c r="AB155" s="69">
        <f t="shared" si="25"/>
        <v>0</v>
      </c>
      <c r="AC155" s="69">
        <f t="shared" si="26"/>
        <v>0</v>
      </c>
      <c r="AD155" s="69">
        <f t="shared" si="27"/>
        <v>0</v>
      </c>
    </row>
    <row r="156" spans="1:30" ht="20.25" customHeight="1">
      <c r="A156" s="95" t="str">
        <f>IF(BASE!B154="","",BASE!B154)</f>
        <v/>
      </c>
      <c r="B156" s="92" t="s">
        <v>2</v>
      </c>
      <c r="C156" s="96">
        <f t="shared" si="28"/>
        <v>0</v>
      </c>
      <c r="D156" s="96">
        <f t="shared" si="29"/>
        <v>0</v>
      </c>
      <c r="E156" s="96">
        <f t="shared" si="32"/>
        <v>0</v>
      </c>
      <c r="F156" s="96">
        <f t="shared" si="30"/>
        <v>0</v>
      </c>
      <c r="G156" s="96">
        <f t="shared" si="31"/>
        <v>0</v>
      </c>
      <c r="H156" s="112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81"/>
      <c r="X156" s="49">
        <f t="shared" si="22"/>
        <v>0</v>
      </c>
      <c r="Y156" s="49">
        <f>[2]BASE!A154</f>
        <v>145</v>
      </c>
      <c r="Z156" s="69">
        <f t="shared" si="23"/>
        <v>0</v>
      </c>
      <c r="AA156" s="69">
        <f t="shared" si="24"/>
        <v>0</v>
      </c>
      <c r="AB156" s="69">
        <f t="shared" si="25"/>
        <v>0</v>
      </c>
      <c r="AC156" s="69">
        <f t="shared" si="26"/>
        <v>0</v>
      </c>
      <c r="AD156" s="69">
        <f t="shared" si="27"/>
        <v>0</v>
      </c>
    </row>
    <row r="157" spans="1:30" ht="20.25" customHeight="1">
      <c r="A157" s="95" t="str">
        <f>IF(BASE!B155="","",BASE!B155)</f>
        <v/>
      </c>
      <c r="B157" s="92" t="s">
        <v>2</v>
      </c>
      <c r="C157" s="96">
        <f t="shared" si="28"/>
        <v>0</v>
      </c>
      <c r="D157" s="96">
        <f t="shared" si="29"/>
        <v>0</v>
      </c>
      <c r="E157" s="96">
        <f t="shared" si="32"/>
        <v>0</v>
      </c>
      <c r="F157" s="96">
        <f t="shared" si="30"/>
        <v>0</v>
      </c>
      <c r="G157" s="96">
        <f t="shared" si="31"/>
        <v>0</v>
      </c>
      <c r="H157" s="112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81"/>
      <c r="X157" s="49">
        <f t="shared" si="22"/>
        <v>0</v>
      </c>
      <c r="Y157" s="49">
        <f>[2]BASE!A155</f>
        <v>146</v>
      </c>
      <c r="Z157" s="69">
        <f t="shared" si="23"/>
        <v>0</v>
      </c>
      <c r="AA157" s="69">
        <f t="shared" si="24"/>
        <v>0</v>
      </c>
      <c r="AB157" s="69">
        <f t="shared" si="25"/>
        <v>0</v>
      </c>
      <c r="AC157" s="69">
        <f t="shared" si="26"/>
        <v>0</v>
      </c>
      <c r="AD157" s="69">
        <f t="shared" si="27"/>
        <v>0</v>
      </c>
    </row>
    <row r="158" spans="1:30" ht="20.25" customHeight="1">
      <c r="A158" s="95" t="str">
        <f>IF(BASE!B156="","",BASE!B156)</f>
        <v/>
      </c>
      <c r="B158" s="92" t="s">
        <v>2</v>
      </c>
      <c r="C158" s="96">
        <f t="shared" si="28"/>
        <v>0</v>
      </c>
      <c r="D158" s="96">
        <f t="shared" si="29"/>
        <v>0</v>
      </c>
      <c r="E158" s="96">
        <f t="shared" si="32"/>
        <v>0</v>
      </c>
      <c r="F158" s="96">
        <f t="shared" si="30"/>
        <v>0</v>
      </c>
      <c r="G158" s="96">
        <f t="shared" si="31"/>
        <v>0</v>
      </c>
      <c r="H158" s="112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81"/>
      <c r="X158" s="49">
        <f t="shared" si="22"/>
        <v>0</v>
      </c>
      <c r="Y158" s="49">
        <f>[2]BASE!A156</f>
        <v>147</v>
      </c>
      <c r="Z158" s="69">
        <f t="shared" si="23"/>
        <v>0</v>
      </c>
      <c r="AA158" s="69">
        <f t="shared" si="24"/>
        <v>0</v>
      </c>
      <c r="AB158" s="69">
        <f t="shared" si="25"/>
        <v>0</v>
      </c>
      <c r="AC158" s="69">
        <f t="shared" si="26"/>
        <v>0</v>
      </c>
      <c r="AD158" s="69">
        <f t="shared" si="27"/>
        <v>0</v>
      </c>
    </row>
    <row r="159" spans="1:30" ht="20.25" customHeight="1">
      <c r="A159" s="95" t="str">
        <f>IF(BASE!B157="","",BASE!B157)</f>
        <v/>
      </c>
      <c r="B159" s="92" t="s">
        <v>2</v>
      </c>
      <c r="C159" s="96">
        <f t="shared" si="28"/>
        <v>0</v>
      </c>
      <c r="D159" s="96">
        <f t="shared" si="29"/>
        <v>0</v>
      </c>
      <c r="E159" s="96">
        <f t="shared" si="32"/>
        <v>0</v>
      </c>
      <c r="F159" s="96">
        <f t="shared" si="30"/>
        <v>0</v>
      </c>
      <c r="G159" s="96">
        <f t="shared" si="31"/>
        <v>0</v>
      </c>
      <c r="H159" s="112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81"/>
      <c r="X159" s="49">
        <f t="shared" si="22"/>
        <v>0</v>
      </c>
      <c r="Y159" s="49">
        <f>[2]BASE!A157</f>
        <v>148</v>
      </c>
      <c r="Z159" s="69">
        <f t="shared" si="23"/>
        <v>0</v>
      </c>
      <c r="AA159" s="69">
        <f t="shared" si="24"/>
        <v>0</v>
      </c>
      <c r="AB159" s="69">
        <f t="shared" si="25"/>
        <v>0</v>
      </c>
      <c r="AC159" s="69">
        <f t="shared" si="26"/>
        <v>0</v>
      </c>
      <c r="AD159" s="69">
        <f t="shared" si="27"/>
        <v>0</v>
      </c>
    </row>
    <row r="160" spans="1:30" ht="20.25" customHeight="1">
      <c r="A160" s="95" t="str">
        <f>IF(BASE!B158="","",BASE!B158)</f>
        <v/>
      </c>
      <c r="B160" s="92" t="s">
        <v>2</v>
      </c>
      <c r="C160" s="96">
        <f t="shared" si="28"/>
        <v>0</v>
      </c>
      <c r="D160" s="96">
        <f t="shared" si="29"/>
        <v>0</v>
      </c>
      <c r="E160" s="96">
        <f t="shared" si="32"/>
        <v>0</v>
      </c>
      <c r="F160" s="96">
        <f t="shared" si="30"/>
        <v>0</v>
      </c>
      <c r="G160" s="96">
        <f t="shared" si="31"/>
        <v>0</v>
      </c>
      <c r="H160" s="112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81"/>
      <c r="X160" s="49">
        <f t="shared" si="22"/>
        <v>0</v>
      </c>
      <c r="Y160" s="49">
        <f>[2]BASE!A158</f>
        <v>149</v>
      </c>
      <c r="Z160" s="69">
        <f t="shared" si="23"/>
        <v>0</v>
      </c>
      <c r="AA160" s="69">
        <f t="shared" si="24"/>
        <v>0</v>
      </c>
      <c r="AB160" s="69">
        <f t="shared" si="25"/>
        <v>0</v>
      </c>
      <c r="AC160" s="69">
        <f t="shared" si="26"/>
        <v>0</v>
      </c>
      <c r="AD160" s="69">
        <f t="shared" si="27"/>
        <v>0</v>
      </c>
    </row>
    <row r="161" spans="1:30" ht="20.25" customHeight="1">
      <c r="A161" s="95" t="str">
        <f>IF(BASE!B159="","",BASE!B159)</f>
        <v/>
      </c>
      <c r="B161" s="92" t="s">
        <v>2</v>
      </c>
      <c r="C161" s="96">
        <f t="shared" si="28"/>
        <v>0</v>
      </c>
      <c r="D161" s="96">
        <f t="shared" si="29"/>
        <v>0</v>
      </c>
      <c r="E161" s="96">
        <f t="shared" si="32"/>
        <v>0</v>
      </c>
      <c r="F161" s="96">
        <f t="shared" si="30"/>
        <v>0</v>
      </c>
      <c r="G161" s="96">
        <f t="shared" si="31"/>
        <v>0</v>
      </c>
      <c r="H161" s="112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81"/>
      <c r="X161" s="49">
        <f t="shared" si="22"/>
        <v>0</v>
      </c>
      <c r="Y161" s="49">
        <f>[2]BASE!A159</f>
        <v>150</v>
      </c>
      <c r="Z161" s="69">
        <f t="shared" si="23"/>
        <v>0</v>
      </c>
      <c r="AA161" s="69">
        <f t="shared" si="24"/>
        <v>0</v>
      </c>
      <c r="AB161" s="69">
        <f t="shared" si="25"/>
        <v>0</v>
      </c>
      <c r="AC161" s="69">
        <f t="shared" si="26"/>
        <v>0</v>
      </c>
      <c r="AD161" s="69">
        <f t="shared" si="27"/>
        <v>0</v>
      </c>
    </row>
    <row r="162" spans="1:30" ht="17.25" customHeight="1">
      <c r="A162" s="95" t="str">
        <f>IF(BASE!B160="","",BASE!B160)</f>
        <v/>
      </c>
      <c r="B162" s="92" t="s">
        <v>2</v>
      </c>
      <c r="C162" s="96">
        <f t="shared" si="28"/>
        <v>0</v>
      </c>
      <c r="D162" s="96">
        <f t="shared" si="29"/>
        <v>0</v>
      </c>
      <c r="E162" s="96">
        <f t="shared" si="32"/>
        <v>0</v>
      </c>
      <c r="F162" s="96">
        <f t="shared" si="30"/>
        <v>0</v>
      </c>
      <c r="G162" s="96">
        <f t="shared" si="31"/>
        <v>0</v>
      </c>
      <c r="H162" s="112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7"/>
      <c r="X162" s="75">
        <f t="shared" si="22"/>
        <v>0</v>
      </c>
      <c r="Y162" s="49">
        <f>[2]BASE!A160</f>
        <v>151</v>
      </c>
      <c r="Z162" s="76">
        <f t="shared" si="23"/>
        <v>0</v>
      </c>
      <c r="AA162" s="76">
        <f t="shared" si="24"/>
        <v>0</v>
      </c>
      <c r="AB162" s="76">
        <f t="shared" si="25"/>
        <v>0</v>
      </c>
      <c r="AC162" s="76">
        <f t="shared" si="26"/>
        <v>0</v>
      </c>
      <c r="AD162" s="76">
        <f t="shared" si="27"/>
        <v>0</v>
      </c>
    </row>
    <row r="163" spans="1:30" ht="17.25" customHeight="1">
      <c r="A163" s="95" t="str">
        <f>IF(BASE!B161="","",BASE!B161)</f>
        <v/>
      </c>
      <c r="B163" s="92" t="s">
        <v>2</v>
      </c>
      <c r="C163" s="96">
        <f t="shared" si="28"/>
        <v>0</v>
      </c>
      <c r="D163" s="96">
        <f t="shared" si="29"/>
        <v>0</v>
      </c>
      <c r="E163" s="96">
        <f t="shared" si="32"/>
        <v>0</v>
      </c>
      <c r="F163" s="96">
        <f t="shared" si="30"/>
        <v>0</v>
      </c>
      <c r="G163" s="96">
        <f t="shared" si="31"/>
        <v>0</v>
      </c>
      <c r="H163" s="112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81"/>
      <c r="X163" s="49">
        <f t="shared" si="22"/>
        <v>0</v>
      </c>
      <c r="Y163" s="49">
        <f>[2]BASE!A161</f>
        <v>152</v>
      </c>
      <c r="Z163" s="69">
        <f t="shared" si="23"/>
        <v>0</v>
      </c>
      <c r="AA163" s="69">
        <f t="shared" si="24"/>
        <v>0</v>
      </c>
      <c r="AB163" s="69">
        <f t="shared" si="25"/>
        <v>0</v>
      </c>
      <c r="AC163" s="69">
        <f t="shared" si="26"/>
        <v>0</v>
      </c>
      <c r="AD163" s="69">
        <f t="shared" si="27"/>
        <v>0</v>
      </c>
    </row>
    <row r="164" spans="1:30" ht="17.25" customHeight="1">
      <c r="A164" s="95" t="str">
        <f>IF(BASE!B162="","",BASE!B162)</f>
        <v/>
      </c>
      <c r="B164" s="92" t="s">
        <v>2</v>
      </c>
      <c r="C164" s="96">
        <f t="shared" si="28"/>
        <v>0</v>
      </c>
      <c r="D164" s="96">
        <f t="shared" si="29"/>
        <v>0</v>
      </c>
      <c r="E164" s="96">
        <f t="shared" si="32"/>
        <v>0</v>
      </c>
      <c r="F164" s="96">
        <f t="shared" si="30"/>
        <v>0</v>
      </c>
      <c r="G164" s="96">
        <f t="shared" si="31"/>
        <v>0</v>
      </c>
      <c r="H164" s="112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81"/>
      <c r="X164" s="49">
        <f t="shared" si="22"/>
        <v>0</v>
      </c>
      <c r="Y164" s="49">
        <f>[2]BASE!A162</f>
        <v>153</v>
      </c>
      <c r="Z164" s="69">
        <f t="shared" si="23"/>
        <v>0</v>
      </c>
      <c r="AA164" s="69">
        <f t="shared" si="24"/>
        <v>0</v>
      </c>
      <c r="AB164" s="69">
        <f t="shared" si="25"/>
        <v>0</v>
      </c>
      <c r="AC164" s="69">
        <f t="shared" si="26"/>
        <v>0</v>
      </c>
      <c r="AD164" s="69">
        <f t="shared" si="27"/>
        <v>0</v>
      </c>
    </row>
    <row r="165" spans="1:30" ht="17.25" customHeight="1">
      <c r="A165" s="95" t="str">
        <f>IF(BASE!B163="","",BASE!B163)</f>
        <v/>
      </c>
      <c r="B165" s="92" t="s">
        <v>2</v>
      </c>
      <c r="C165" s="96">
        <f t="shared" si="28"/>
        <v>0</v>
      </c>
      <c r="D165" s="96">
        <f t="shared" si="29"/>
        <v>0</v>
      </c>
      <c r="E165" s="96">
        <f t="shared" si="32"/>
        <v>0</v>
      </c>
      <c r="F165" s="96">
        <f t="shared" si="30"/>
        <v>0</v>
      </c>
      <c r="G165" s="96">
        <f t="shared" si="31"/>
        <v>0</v>
      </c>
      <c r="H165" s="112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81"/>
      <c r="X165" s="49">
        <f t="shared" si="22"/>
        <v>0</v>
      </c>
      <c r="Y165" s="49">
        <f>[2]BASE!A163</f>
        <v>154</v>
      </c>
      <c r="Z165" s="69">
        <f t="shared" si="23"/>
        <v>0</v>
      </c>
      <c r="AA165" s="69">
        <f t="shared" si="24"/>
        <v>0</v>
      </c>
      <c r="AB165" s="69">
        <f t="shared" si="25"/>
        <v>0</v>
      </c>
      <c r="AC165" s="69">
        <f t="shared" si="26"/>
        <v>0</v>
      </c>
      <c r="AD165" s="69">
        <f t="shared" si="27"/>
        <v>0</v>
      </c>
    </row>
    <row r="166" spans="1:30" ht="17.25" customHeight="1">
      <c r="A166" s="95" t="str">
        <f>IF(BASE!B164="","",BASE!B164)</f>
        <v/>
      </c>
      <c r="B166" s="92" t="s">
        <v>2</v>
      </c>
      <c r="C166" s="96">
        <f t="shared" si="28"/>
        <v>0</v>
      </c>
      <c r="D166" s="96">
        <f t="shared" si="29"/>
        <v>0</v>
      </c>
      <c r="E166" s="96">
        <f t="shared" si="32"/>
        <v>0</v>
      </c>
      <c r="F166" s="96">
        <f t="shared" si="30"/>
        <v>0</v>
      </c>
      <c r="G166" s="96">
        <f t="shared" si="31"/>
        <v>0</v>
      </c>
      <c r="H166" s="112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81"/>
      <c r="X166" s="49">
        <f t="shared" si="22"/>
        <v>0</v>
      </c>
      <c r="Y166" s="49">
        <f>[2]BASE!A164</f>
        <v>155</v>
      </c>
      <c r="Z166" s="69">
        <f t="shared" si="23"/>
        <v>0</v>
      </c>
      <c r="AA166" s="69">
        <f t="shared" si="24"/>
        <v>0</v>
      </c>
      <c r="AB166" s="69">
        <f t="shared" si="25"/>
        <v>0</v>
      </c>
      <c r="AC166" s="69">
        <f t="shared" si="26"/>
        <v>0</v>
      </c>
      <c r="AD166" s="69">
        <f t="shared" si="27"/>
        <v>0</v>
      </c>
    </row>
    <row r="167" spans="1:30" ht="17.25" customHeight="1">
      <c r="A167" s="95" t="str">
        <f>IF(BASE!B165="","",BASE!B165)</f>
        <v/>
      </c>
      <c r="B167" s="92" t="s">
        <v>2</v>
      </c>
      <c r="C167" s="96">
        <f t="shared" si="28"/>
        <v>0</v>
      </c>
      <c r="D167" s="96">
        <f t="shared" si="29"/>
        <v>0</v>
      </c>
      <c r="E167" s="96">
        <f t="shared" si="32"/>
        <v>0</v>
      </c>
      <c r="F167" s="96">
        <f t="shared" si="30"/>
        <v>0</v>
      </c>
      <c r="G167" s="96">
        <f t="shared" si="31"/>
        <v>0</v>
      </c>
      <c r="H167" s="112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81"/>
      <c r="X167" s="49">
        <f t="shared" si="22"/>
        <v>0</v>
      </c>
      <c r="Y167" s="49">
        <f>[2]BASE!A165</f>
        <v>156</v>
      </c>
      <c r="Z167" s="69">
        <f t="shared" si="23"/>
        <v>0</v>
      </c>
      <c r="AA167" s="69">
        <f t="shared" si="24"/>
        <v>0</v>
      </c>
      <c r="AB167" s="69">
        <f t="shared" si="25"/>
        <v>0</v>
      </c>
      <c r="AC167" s="69">
        <f t="shared" si="26"/>
        <v>0</v>
      </c>
      <c r="AD167" s="69">
        <f t="shared" si="27"/>
        <v>0</v>
      </c>
    </row>
    <row r="168" spans="1:30" ht="17.25" customHeight="1">
      <c r="A168" s="95" t="str">
        <f>IF(BASE!B166="","",BASE!B166)</f>
        <v/>
      </c>
      <c r="B168" s="92" t="s">
        <v>2</v>
      </c>
      <c r="C168" s="96">
        <f t="shared" si="28"/>
        <v>0</v>
      </c>
      <c r="D168" s="96">
        <f t="shared" si="29"/>
        <v>0</v>
      </c>
      <c r="E168" s="96">
        <f t="shared" si="32"/>
        <v>0</v>
      </c>
      <c r="F168" s="96">
        <f t="shared" si="30"/>
        <v>0</v>
      </c>
      <c r="G168" s="96">
        <f t="shared" si="31"/>
        <v>0</v>
      </c>
      <c r="H168" s="112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81"/>
      <c r="X168" s="49">
        <f t="shared" si="22"/>
        <v>0</v>
      </c>
      <c r="Y168" s="49">
        <f>[2]BASE!A166</f>
        <v>157</v>
      </c>
      <c r="Z168" s="69">
        <f t="shared" si="23"/>
        <v>0</v>
      </c>
      <c r="AA168" s="69">
        <f t="shared" si="24"/>
        <v>0</v>
      </c>
      <c r="AB168" s="69">
        <f t="shared" si="25"/>
        <v>0</v>
      </c>
      <c r="AC168" s="69">
        <f t="shared" si="26"/>
        <v>0</v>
      </c>
      <c r="AD168" s="69">
        <f t="shared" si="27"/>
        <v>0</v>
      </c>
    </row>
    <row r="169" spans="1:30" ht="17.25" customHeight="1">
      <c r="A169" s="95" t="str">
        <f>IF(BASE!B167="","",BASE!B167)</f>
        <v/>
      </c>
      <c r="B169" s="92" t="s">
        <v>2</v>
      </c>
      <c r="C169" s="96">
        <f t="shared" si="28"/>
        <v>0</v>
      </c>
      <c r="D169" s="96">
        <f t="shared" si="29"/>
        <v>0</v>
      </c>
      <c r="E169" s="96">
        <f t="shared" si="32"/>
        <v>0</v>
      </c>
      <c r="F169" s="96">
        <f t="shared" si="30"/>
        <v>0</v>
      </c>
      <c r="G169" s="96">
        <f t="shared" si="31"/>
        <v>0</v>
      </c>
      <c r="H169" s="112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81"/>
      <c r="X169" s="49">
        <f t="shared" si="22"/>
        <v>0</v>
      </c>
      <c r="Y169" s="49">
        <f>[2]BASE!A167</f>
        <v>158</v>
      </c>
      <c r="Z169" s="69">
        <f t="shared" si="23"/>
        <v>0</v>
      </c>
      <c r="AA169" s="69">
        <f t="shared" si="24"/>
        <v>0</v>
      </c>
      <c r="AB169" s="69">
        <f t="shared" si="25"/>
        <v>0</v>
      </c>
      <c r="AC169" s="69">
        <f t="shared" si="26"/>
        <v>0</v>
      </c>
      <c r="AD169" s="69">
        <f t="shared" si="27"/>
        <v>0</v>
      </c>
    </row>
    <row r="170" spans="1:30" ht="17.25" customHeight="1">
      <c r="A170" s="95" t="str">
        <f>IF(BASE!B168="","",BASE!B168)</f>
        <v/>
      </c>
      <c r="B170" s="92" t="s">
        <v>2</v>
      </c>
      <c r="C170" s="96">
        <f t="shared" si="28"/>
        <v>0</v>
      </c>
      <c r="D170" s="96">
        <f t="shared" si="29"/>
        <v>0</v>
      </c>
      <c r="E170" s="96">
        <f t="shared" si="32"/>
        <v>0</v>
      </c>
      <c r="F170" s="96">
        <f t="shared" si="30"/>
        <v>0</v>
      </c>
      <c r="G170" s="96">
        <f t="shared" si="31"/>
        <v>0</v>
      </c>
      <c r="H170" s="112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81"/>
      <c r="X170" s="49">
        <f t="shared" si="22"/>
        <v>0</v>
      </c>
      <c r="Y170" s="49">
        <f>[2]BASE!A168</f>
        <v>159</v>
      </c>
      <c r="Z170" s="69">
        <f t="shared" si="23"/>
        <v>0</v>
      </c>
      <c r="AA170" s="69">
        <f t="shared" si="24"/>
        <v>0</v>
      </c>
      <c r="AB170" s="69">
        <f t="shared" si="25"/>
        <v>0</v>
      </c>
      <c r="AC170" s="69">
        <f t="shared" si="26"/>
        <v>0</v>
      </c>
      <c r="AD170" s="69">
        <f t="shared" si="27"/>
        <v>0</v>
      </c>
    </row>
    <row r="171" spans="1:30" ht="17.25" customHeight="1">
      <c r="A171" s="95" t="str">
        <f>IF(BASE!B169="","",BASE!B169)</f>
        <v/>
      </c>
      <c r="B171" s="92" t="s">
        <v>2</v>
      </c>
      <c r="C171" s="96">
        <f t="shared" si="28"/>
        <v>0</v>
      </c>
      <c r="D171" s="96">
        <f t="shared" si="29"/>
        <v>0</v>
      </c>
      <c r="E171" s="96">
        <f t="shared" si="32"/>
        <v>0</v>
      </c>
      <c r="F171" s="96">
        <f t="shared" si="30"/>
        <v>0</v>
      </c>
      <c r="G171" s="96">
        <f t="shared" si="31"/>
        <v>0</v>
      </c>
      <c r="H171" s="112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81"/>
      <c r="X171" s="49">
        <f t="shared" si="22"/>
        <v>0</v>
      </c>
      <c r="Y171" s="49">
        <f>[2]BASE!A169</f>
        <v>160</v>
      </c>
      <c r="Z171" s="69">
        <f t="shared" si="23"/>
        <v>0</v>
      </c>
      <c r="AA171" s="69">
        <f t="shared" si="24"/>
        <v>0</v>
      </c>
      <c r="AB171" s="69">
        <f t="shared" si="25"/>
        <v>0</v>
      </c>
      <c r="AC171" s="69">
        <f t="shared" si="26"/>
        <v>0</v>
      </c>
      <c r="AD171" s="69">
        <f t="shared" si="27"/>
        <v>0</v>
      </c>
    </row>
    <row r="172" spans="1:30" ht="17.25" customHeight="1">
      <c r="A172" s="95" t="str">
        <f>IF(BASE!B170="","",BASE!B170)</f>
        <v/>
      </c>
      <c r="B172" s="92" t="s">
        <v>2</v>
      </c>
      <c r="C172" s="96">
        <f t="shared" si="28"/>
        <v>0</v>
      </c>
      <c r="D172" s="96">
        <f t="shared" si="29"/>
        <v>0</v>
      </c>
      <c r="E172" s="96">
        <f t="shared" si="32"/>
        <v>0</v>
      </c>
      <c r="F172" s="96">
        <f t="shared" si="30"/>
        <v>0</v>
      </c>
      <c r="G172" s="96">
        <f t="shared" si="31"/>
        <v>0</v>
      </c>
      <c r="H172" s="112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81"/>
      <c r="X172" s="49">
        <f t="shared" si="22"/>
        <v>0</v>
      </c>
      <c r="Y172" s="49">
        <f>[2]BASE!A170</f>
        <v>161</v>
      </c>
      <c r="Z172" s="69">
        <f t="shared" si="23"/>
        <v>0</v>
      </c>
      <c r="AA172" s="69">
        <f t="shared" si="24"/>
        <v>0</v>
      </c>
      <c r="AB172" s="69">
        <f t="shared" si="25"/>
        <v>0</v>
      </c>
      <c r="AC172" s="69">
        <f t="shared" si="26"/>
        <v>0</v>
      </c>
      <c r="AD172" s="69">
        <f t="shared" si="27"/>
        <v>0</v>
      </c>
    </row>
    <row r="173" spans="1:30" ht="17.25" customHeight="1">
      <c r="A173" s="95" t="str">
        <f>IF(BASE!B171="","",BASE!B171)</f>
        <v/>
      </c>
      <c r="B173" s="92" t="s">
        <v>2</v>
      </c>
      <c r="C173" s="96">
        <f t="shared" si="28"/>
        <v>0</v>
      </c>
      <c r="D173" s="96">
        <f t="shared" si="29"/>
        <v>0</v>
      </c>
      <c r="E173" s="96">
        <f t="shared" si="32"/>
        <v>0</v>
      </c>
      <c r="F173" s="96">
        <f t="shared" si="30"/>
        <v>0</v>
      </c>
      <c r="G173" s="96">
        <f t="shared" si="31"/>
        <v>0</v>
      </c>
      <c r="H173" s="112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81"/>
      <c r="X173" s="49">
        <f t="shared" si="22"/>
        <v>0</v>
      </c>
      <c r="Y173" s="49">
        <f>[2]BASE!A171</f>
        <v>162</v>
      </c>
      <c r="Z173" s="69">
        <f t="shared" si="23"/>
        <v>0</v>
      </c>
      <c r="AA173" s="69">
        <f t="shared" si="24"/>
        <v>0</v>
      </c>
      <c r="AB173" s="69">
        <f t="shared" si="25"/>
        <v>0</v>
      </c>
      <c r="AC173" s="69">
        <f t="shared" si="26"/>
        <v>0</v>
      </c>
      <c r="AD173" s="69">
        <f t="shared" si="27"/>
        <v>0</v>
      </c>
    </row>
    <row r="174" spans="1:30" ht="17.25" customHeight="1">
      <c r="A174" s="95" t="str">
        <f>IF(BASE!B172="","",BASE!B172)</f>
        <v/>
      </c>
      <c r="B174" s="92" t="s">
        <v>2</v>
      </c>
      <c r="C174" s="96">
        <f t="shared" si="28"/>
        <v>0</v>
      </c>
      <c r="D174" s="96">
        <f t="shared" si="29"/>
        <v>0</v>
      </c>
      <c r="E174" s="96">
        <f t="shared" si="32"/>
        <v>0</v>
      </c>
      <c r="F174" s="96">
        <f t="shared" si="30"/>
        <v>0</v>
      </c>
      <c r="G174" s="96">
        <f t="shared" si="31"/>
        <v>0</v>
      </c>
      <c r="H174" s="112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81"/>
      <c r="X174" s="49">
        <f t="shared" si="22"/>
        <v>0</v>
      </c>
      <c r="Y174" s="49">
        <f>[2]BASE!A172</f>
        <v>163</v>
      </c>
      <c r="Z174" s="69">
        <f t="shared" si="23"/>
        <v>0</v>
      </c>
      <c r="AA174" s="69">
        <f t="shared" si="24"/>
        <v>0</v>
      </c>
      <c r="AB174" s="69">
        <f t="shared" si="25"/>
        <v>0</v>
      </c>
      <c r="AC174" s="69">
        <f t="shared" si="26"/>
        <v>0</v>
      </c>
      <c r="AD174" s="69">
        <f t="shared" si="27"/>
        <v>0</v>
      </c>
    </row>
    <row r="175" spans="1:30" ht="17.25" customHeight="1">
      <c r="A175" s="95" t="str">
        <f>IF(BASE!B173="","",BASE!B173)</f>
        <v/>
      </c>
      <c r="B175" s="92" t="s">
        <v>2</v>
      </c>
      <c r="C175" s="96">
        <f t="shared" si="28"/>
        <v>0</v>
      </c>
      <c r="D175" s="96">
        <f t="shared" si="29"/>
        <v>0</v>
      </c>
      <c r="E175" s="96">
        <f t="shared" si="32"/>
        <v>0</v>
      </c>
      <c r="F175" s="96">
        <f t="shared" si="30"/>
        <v>0</v>
      </c>
      <c r="G175" s="96">
        <f t="shared" si="31"/>
        <v>0</v>
      </c>
      <c r="H175" s="112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81"/>
      <c r="X175" s="49">
        <f t="shared" si="22"/>
        <v>0</v>
      </c>
      <c r="Y175" s="49">
        <f>[2]BASE!A173</f>
        <v>164</v>
      </c>
      <c r="Z175" s="69">
        <f t="shared" si="23"/>
        <v>0</v>
      </c>
      <c r="AA175" s="69">
        <f t="shared" si="24"/>
        <v>0</v>
      </c>
      <c r="AB175" s="69">
        <f t="shared" si="25"/>
        <v>0</v>
      </c>
      <c r="AC175" s="69">
        <f t="shared" si="26"/>
        <v>0</v>
      </c>
      <c r="AD175" s="69">
        <f t="shared" si="27"/>
        <v>0</v>
      </c>
    </row>
    <row r="176" spans="1:30" ht="17.25" customHeight="1">
      <c r="A176" s="95" t="str">
        <f>IF(BASE!B174="","",BASE!B174)</f>
        <v/>
      </c>
      <c r="B176" s="92" t="s">
        <v>2</v>
      </c>
      <c r="C176" s="96">
        <f t="shared" si="28"/>
        <v>0</v>
      </c>
      <c r="D176" s="96">
        <f t="shared" si="29"/>
        <v>0</v>
      </c>
      <c r="E176" s="96">
        <f t="shared" si="32"/>
        <v>0</v>
      </c>
      <c r="F176" s="96">
        <f t="shared" si="30"/>
        <v>0</v>
      </c>
      <c r="G176" s="96">
        <f t="shared" si="31"/>
        <v>0</v>
      </c>
      <c r="H176" s="112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81"/>
      <c r="X176" s="49">
        <f t="shared" si="22"/>
        <v>0</v>
      </c>
      <c r="Y176" s="49">
        <f>[2]BASE!A174</f>
        <v>165</v>
      </c>
      <c r="Z176" s="69">
        <f t="shared" si="23"/>
        <v>0</v>
      </c>
      <c r="AA176" s="69">
        <f t="shared" si="24"/>
        <v>0</v>
      </c>
      <c r="AB176" s="69">
        <f t="shared" si="25"/>
        <v>0</v>
      </c>
      <c r="AC176" s="69">
        <f t="shared" si="26"/>
        <v>0</v>
      </c>
      <c r="AD176" s="69">
        <f t="shared" si="27"/>
        <v>0</v>
      </c>
    </row>
    <row r="177" spans="1:30" ht="17.25" customHeight="1">
      <c r="A177" s="95" t="str">
        <f>IF(BASE!B175="","",BASE!B175)</f>
        <v/>
      </c>
      <c r="B177" s="92" t="s">
        <v>2</v>
      </c>
      <c r="C177" s="96">
        <f t="shared" si="28"/>
        <v>0</v>
      </c>
      <c r="D177" s="96">
        <f t="shared" si="29"/>
        <v>0</v>
      </c>
      <c r="E177" s="96">
        <f t="shared" si="32"/>
        <v>0</v>
      </c>
      <c r="F177" s="96">
        <f t="shared" si="30"/>
        <v>0</v>
      </c>
      <c r="G177" s="96">
        <f t="shared" si="31"/>
        <v>0</v>
      </c>
      <c r="H177" s="112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81"/>
      <c r="X177" s="49">
        <f t="shared" si="22"/>
        <v>0</v>
      </c>
      <c r="Y177" s="49">
        <f>[2]BASE!A175</f>
        <v>166</v>
      </c>
      <c r="Z177" s="69">
        <f t="shared" si="23"/>
        <v>0</v>
      </c>
      <c r="AA177" s="69">
        <f t="shared" si="24"/>
        <v>0</v>
      </c>
      <c r="AB177" s="69">
        <f t="shared" si="25"/>
        <v>0</v>
      </c>
      <c r="AC177" s="69">
        <f t="shared" si="26"/>
        <v>0</v>
      </c>
      <c r="AD177" s="69">
        <f t="shared" si="27"/>
        <v>0</v>
      </c>
    </row>
    <row r="178" spans="1:30" ht="17.25" customHeight="1">
      <c r="A178" s="95" t="str">
        <f>IF(BASE!B176="","",BASE!B176)</f>
        <v/>
      </c>
      <c r="B178" s="92" t="s">
        <v>2</v>
      </c>
      <c r="C178" s="96">
        <f t="shared" si="28"/>
        <v>0</v>
      </c>
      <c r="D178" s="96">
        <f t="shared" si="29"/>
        <v>0</v>
      </c>
      <c r="E178" s="96">
        <f t="shared" si="32"/>
        <v>0</v>
      </c>
      <c r="F178" s="96">
        <f t="shared" si="30"/>
        <v>0</v>
      </c>
      <c r="G178" s="96">
        <f t="shared" si="31"/>
        <v>0</v>
      </c>
      <c r="H178" s="112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81"/>
      <c r="X178" s="49">
        <f t="shared" si="22"/>
        <v>0</v>
      </c>
      <c r="Y178" s="49">
        <f>[2]BASE!A176</f>
        <v>167</v>
      </c>
      <c r="Z178" s="69">
        <f t="shared" si="23"/>
        <v>0</v>
      </c>
      <c r="AA178" s="69">
        <f t="shared" si="24"/>
        <v>0</v>
      </c>
      <c r="AB178" s="69">
        <f t="shared" si="25"/>
        <v>0</v>
      </c>
      <c r="AC178" s="69">
        <f t="shared" si="26"/>
        <v>0</v>
      </c>
      <c r="AD178" s="69">
        <f t="shared" si="27"/>
        <v>0</v>
      </c>
    </row>
    <row r="179" spans="1:30" ht="17.25" customHeight="1">
      <c r="A179" s="95" t="str">
        <f>IF(BASE!B177="","",BASE!B177)</f>
        <v/>
      </c>
      <c r="B179" s="92" t="s">
        <v>2</v>
      </c>
      <c r="C179" s="96">
        <f t="shared" si="28"/>
        <v>0</v>
      </c>
      <c r="D179" s="96">
        <f t="shared" si="29"/>
        <v>0</v>
      </c>
      <c r="E179" s="96">
        <f t="shared" si="32"/>
        <v>0</v>
      </c>
      <c r="F179" s="96">
        <f t="shared" si="30"/>
        <v>0</v>
      </c>
      <c r="G179" s="96">
        <f t="shared" si="31"/>
        <v>0</v>
      </c>
      <c r="H179" s="11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81"/>
      <c r="X179" s="49">
        <f t="shared" si="22"/>
        <v>0</v>
      </c>
      <c r="Y179" s="49">
        <f>[2]BASE!A177</f>
        <v>168</v>
      </c>
      <c r="Z179" s="69">
        <f t="shared" si="23"/>
        <v>0</v>
      </c>
      <c r="AA179" s="69">
        <f t="shared" si="24"/>
        <v>0</v>
      </c>
      <c r="AB179" s="69">
        <f t="shared" si="25"/>
        <v>0</v>
      </c>
      <c r="AC179" s="69">
        <f t="shared" si="26"/>
        <v>0</v>
      </c>
      <c r="AD179" s="69">
        <f t="shared" si="27"/>
        <v>0</v>
      </c>
    </row>
    <row r="180" spans="1:30" ht="17.25" customHeight="1">
      <c r="A180" s="95" t="str">
        <f>IF(BASE!B178="","",BASE!B178)</f>
        <v/>
      </c>
      <c r="B180" s="92" t="s">
        <v>2</v>
      </c>
      <c r="C180" s="96">
        <f t="shared" si="28"/>
        <v>0</v>
      </c>
      <c r="D180" s="96">
        <f t="shared" si="29"/>
        <v>0</v>
      </c>
      <c r="E180" s="96">
        <f t="shared" si="32"/>
        <v>0</v>
      </c>
      <c r="F180" s="96">
        <f t="shared" si="30"/>
        <v>0</v>
      </c>
      <c r="G180" s="96">
        <f t="shared" si="31"/>
        <v>0</v>
      </c>
      <c r="H180" s="112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81"/>
      <c r="X180" s="49">
        <f t="shared" si="22"/>
        <v>0</v>
      </c>
      <c r="Y180" s="49">
        <f>[2]BASE!A178</f>
        <v>169</v>
      </c>
      <c r="Z180" s="69">
        <f t="shared" si="23"/>
        <v>0</v>
      </c>
      <c r="AA180" s="69">
        <f t="shared" si="24"/>
        <v>0</v>
      </c>
      <c r="AB180" s="69">
        <f t="shared" si="25"/>
        <v>0</v>
      </c>
      <c r="AC180" s="69">
        <f t="shared" si="26"/>
        <v>0</v>
      </c>
      <c r="AD180" s="69">
        <f t="shared" si="27"/>
        <v>0</v>
      </c>
    </row>
    <row r="181" spans="1:30" ht="17.25" customHeight="1">
      <c r="A181" s="95" t="str">
        <f>IF(BASE!B179="","",BASE!B179)</f>
        <v/>
      </c>
      <c r="B181" s="92" t="s">
        <v>2</v>
      </c>
      <c r="C181" s="96">
        <f t="shared" si="28"/>
        <v>0</v>
      </c>
      <c r="D181" s="96">
        <f t="shared" si="29"/>
        <v>0</v>
      </c>
      <c r="E181" s="96">
        <f t="shared" si="32"/>
        <v>0</v>
      </c>
      <c r="F181" s="96">
        <f t="shared" si="30"/>
        <v>0</v>
      </c>
      <c r="G181" s="96">
        <f t="shared" si="31"/>
        <v>0</v>
      </c>
      <c r="H181" s="112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81"/>
      <c r="X181" s="49">
        <f t="shared" si="22"/>
        <v>0</v>
      </c>
      <c r="Y181" s="49">
        <f>[2]BASE!A179</f>
        <v>170</v>
      </c>
      <c r="Z181" s="69">
        <f t="shared" si="23"/>
        <v>0</v>
      </c>
      <c r="AA181" s="69">
        <f t="shared" si="24"/>
        <v>0</v>
      </c>
      <c r="AB181" s="69">
        <f t="shared" si="25"/>
        <v>0</v>
      </c>
      <c r="AC181" s="69">
        <f t="shared" si="26"/>
        <v>0</v>
      </c>
      <c r="AD181" s="69">
        <f t="shared" si="27"/>
        <v>0</v>
      </c>
    </row>
    <row r="182" spans="1:30" ht="17.25" customHeight="1">
      <c r="A182" s="95" t="str">
        <f>IF(BASE!B180="","",BASE!B180)</f>
        <v/>
      </c>
      <c r="B182" s="92" t="s">
        <v>2</v>
      </c>
      <c r="C182" s="96">
        <f t="shared" si="28"/>
        <v>0</v>
      </c>
      <c r="D182" s="96">
        <f t="shared" si="29"/>
        <v>0</v>
      </c>
      <c r="E182" s="96">
        <f t="shared" si="32"/>
        <v>0</v>
      </c>
      <c r="F182" s="96">
        <f t="shared" si="30"/>
        <v>0</v>
      </c>
      <c r="G182" s="96">
        <f t="shared" si="31"/>
        <v>0</v>
      </c>
      <c r="H182" s="112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81"/>
      <c r="X182" s="49">
        <f t="shared" si="22"/>
        <v>0</v>
      </c>
      <c r="Y182" s="49">
        <f>[2]BASE!A180</f>
        <v>171</v>
      </c>
      <c r="Z182" s="69">
        <f t="shared" si="23"/>
        <v>0</v>
      </c>
      <c r="AA182" s="69">
        <f t="shared" si="24"/>
        <v>0</v>
      </c>
      <c r="AB182" s="69">
        <f t="shared" si="25"/>
        <v>0</v>
      </c>
      <c r="AC182" s="69">
        <f t="shared" si="26"/>
        <v>0</v>
      </c>
      <c r="AD182" s="69">
        <f t="shared" si="27"/>
        <v>0</v>
      </c>
    </row>
    <row r="183" spans="1:30" ht="17.25" customHeight="1">
      <c r="A183" s="95" t="str">
        <f>IF(BASE!B181="","",BASE!B181)</f>
        <v/>
      </c>
      <c r="B183" s="92" t="s">
        <v>2</v>
      </c>
      <c r="C183" s="96">
        <f t="shared" si="28"/>
        <v>0</v>
      </c>
      <c r="D183" s="96">
        <f t="shared" si="29"/>
        <v>0</v>
      </c>
      <c r="E183" s="96">
        <f t="shared" si="32"/>
        <v>0</v>
      </c>
      <c r="F183" s="96">
        <f t="shared" si="30"/>
        <v>0</v>
      </c>
      <c r="G183" s="96">
        <f t="shared" si="31"/>
        <v>0</v>
      </c>
      <c r="H183" s="112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81"/>
      <c r="X183" s="49">
        <f t="shared" si="22"/>
        <v>0</v>
      </c>
      <c r="Y183" s="49">
        <f>[2]BASE!A181</f>
        <v>172</v>
      </c>
      <c r="Z183" s="69">
        <f t="shared" si="23"/>
        <v>0</v>
      </c>
      <c r="AA183" s="69">
        <f t="shared" si="24"/>
        <v>0</v>
      </c>
      <c r="AB183" s="69">
        <f t="shared" si="25"/>
        <v>0</v>
      </c>
      <c r="AC183" s="69">
        <f t="shared" si="26"/>
        <v>0</v>
      </c>
      <c r="AD183" s="69">
        <f t="shared" si="27"/>
        <v>0</v>
      </c>
    </row>
    <row r="184" spans="1:30" ht="17.25" customHeight="1">
      <c r="A184" s="95" t="str">
        <f>IF(BASE!B182="","",BASE!B182)</f>
        <v/>
      </c>
      <c r="B184" s="92" t="s">
        <v>2</v>
      </c>
      <c r="C184" s="96">
        <f t="shared" si="28"/>
        <v>0</v>
      </c>
      <c r="D184" s="96">
        <f t="shared" si="29"/>
        <v>0</v>
      </c>
      <c r="E184" s="96">
        <f t="shared" si="32"/>
        <v>0</v>
      </c>
      <c r="F184" s="96">
        <f t="shared" si="30"/>
        <v>0</v>
      </c>
      <c r="G184" s="96">
        <f t="shared" si="31"/>
        <v>0</v>
      </c>
      <c r="H184" s="112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81"/>
      <c r="X184" s="49">
        <f t="shared" si="22"/>
        <v>0</v>
      </c>
      <c r="Y184" s="49">
        <f>[2]BASE!A182</f>
        <v>173</v>
      </c>
      <c r="Z184" s="69">
        <f t="shared" si="23"/>
        <v>0</v>
      </c>
      <c r="AA184" s="69">
        <f t="shared" si="24"/>
        <v>0</v>
      </c>
      <c r="AB184" s="69">
        <f t="shared" si="25"/>
        <v>0</v>
      </c>
      <c r="AC184" s="69">
        <f t="shared" si="26"/>
        <v>0</v>
      </c>
      <c r="AD184" s="69">
        <f t="shared" si="27"/>
        <v>0</v>
      </c>
    </row>
    <row r="185" spans="1:30" ht="17.25" customHeight="1">
      <c r="A185" s="95" t="str">
        <f>IF(BASE!B183="","",BASE!B183)</f>
        <v/>
      </c>
      <c r="B185" s="92" t="s">
        <v>2</v>
      </c>
      <c r="C185" s="96">
        <f t="shared" si="28"/>
        <v>0</v>
      </c>
      <c r="D185" s="96">
        <f t="shared" si="29"/>
        <v>0</v>
      </c>
      <c r="E185" s="96">
        <f t="shared" si="32"/>
        <v>0</v>
      </c>
      <c r="F185" s="96">
        <f t="shared" si="30"/>
        <v>0</v>
      </c>
      <c r="G185" s="96">
        <f t="shared" si="31"/>
        <v>0</v>
      </c>
      <c r="H185" s="112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81"/>
      <c r="X185" s="49">
        <f t="shared" si="22"/>
        <v>0</v>
      </c>
      <c r="Y185" s="49">
        <f>[2]BASE!A183</f>
        <v>174</v>
      </c>
      <c r="Z185" s="69">
        <f t="shared" si="23"/>
        <v>0</v>
      </c>
      <c r="AA185" s="69">
        <f t="shared" si="24"/>
        <v>0</v>
      </c>
      <c r="AB185" s="69">
        <f t="shared" si="25"/>
        <v>0</v>
      </c>
      <c r="AC185" s="69">
        <f t="shared" si="26"/>
        <v>0</v>
      </c>
      <c r="AD185" s="69">
        <f t="shared" si="27"/>
        <v>0</v>
      </c>
    </row>
    <row r="186" spans="1:30" ht="17.25" customHeight="1">
      <c r="A186" s="95" t="str">
        <f>IF(BASE!B184="","",BASE!B184)</f>
        <v/>
      </c>
      <c r="B186" s="92" t="s">
        <v>2</v>
      </c>
      <c r="C186" s="96">
        <f t="shared" si="28"/>
        <v>0</v>
      </c>
      <c r="D186" s="96">
        <f t="shared" si="29"/>
        <v>0</v>
      </c>
      <c r="E186" s="96">
        <f t="shared" si="32"/>
        <v>0</v>
      </c>
      <c r="F186" s="96">
        <f t="shared" si="30"/>
        <v>0</v>
      </c>
      <c r="G186" s="96">
        <f t="shared" si="31"/>
        <v>0</v>
      </c>
      <c r="H186" s="112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81"/>
      <c r="X186" s="49">
        <f t="shared" si="22"/>
        <v>0</v>
      </c>
      <c r="Y186" s="49">
        <f>[2]BASE!A184</f>
        <v>175</v>
      </c>
      <c r="Z186" s="69">
        <f t="shared" si="23"/>
        <v>0</v>
      </c>
      <c r="AA186" s="69">
        <f t="shared" si="24"/>
        <v>0</v>
      </c>
      <c r="AB186" s="69">
        <f t="shared" si="25"/>
        <v>0</v>
      </c>
      <c r="AC186" s="69">
        <f t="shared" si="26"/>
        <v>0</v>
      </c>
      <c r="AD186" s="69">
        <f t="shared" si="27"/>
        <v>0</v>
      </c>
    </row>
    <row r="187" spans="1:30" ht="17.25" customHeight="1">
      <c r="A187" s="95" t="str">
        <f>IF(BASE!B185="","",BASE!B185)</f>
        <v/>
      </c>
      <c r="B187" s="92" t="s">
        <v>2</v>
      </c>
      <c r="C187" s="96">
        <f t="shared" si="28"/>
        <v>0</v>
      </c>
      <c r="D187" s="96">
        <f t="shared" si="29"/>
        <v>0</v>
      </c>
      <c r="E187" s="96">
        <f t="shared" si="32"/>
        <v>0</v>
      </c>
      <c r="F187" s="96">
        <f t="shared" si="30"/>
        <v>0</v>
      </c>
      <c r="G187" s="96">
        <f t="shared" si="31"/>
        <v>0</v>
      </c>
      <c r="H187" s="112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81"/>
      <c r="X187" s="49">
        <f t="shared" si="22"/>
        <v>0</v>
      </c>
      <c r="Y187" s="49">
        <f>[2]BASE!A185</f>
        <v>176</v>
      </c>
      <c r="Z187" s="69">
        <f t="shared" si="23"/>
        <v>0</v>
      </c>
      <c r="AA187" s="69">
        <f t="shared" si="24"/>
        <v>0</v>
      </c>
      <c r="AB187" s="69">
        <f t="shared" si="25"/>
        <v>0</v>
      </c>
      <c r="AC187" s="69">
        <f t="shared" si="26"/>
        <v>0</v>
      </c>
      <c r="AD187" s="69">
        <f t="shared" si="27"/>
        <v>0</v>
      </c>
    </row>
    <row r="188" spans="1:30" ht="17.25" customHeight="1">
      <c r="A188" s="95" t="str">
        <f>IF(BASE!B186="","",BASE!B186)</f>
        <v/>
      </c>
      <c r="B188" s="92" t="s">
        <v>2</v>
      </c>
      <c r="C188" s="96">
        <f t="shared" si="28"/>
        <v>0</v>
      </c>
      <c r="D188" s="96">
        <f t="shared" si="29"/>
        <v>0</v>
      </c>
      <c r="E188" s="96">
        <f t="shared" si="32"/>
        <v>0</v>
      </c>
      <c r="F188" s="96">
        <f t="shared" si="30"/>
        <v>0</v>
      </c>
      <c r="G188" s="96">
        <f t="shared" si="31"/>
        <v>0</v>
      </c>
      <c r="H188" s="112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81"/>
      <c r="X188" s="49">
        <f t="shared" si="22"/>
        <v>0</v>
      </c>
      <c r="Y188" s="49">
        <f>[2]BASE!A186</f>
        <v>177</v>
      </c>
      <c r="Z188" s="69">
        <f t="shared" si="23"/>
        <v>0</v>
      </c>
      <c r="AA188" s="69">
        <f t="shared" si="24"/>
        <v>0</v>
      </c>
      <c r="AB188" s="69">
        <f t="shared" si="25"/>
        <v>0</v>
      </c>
      <c r="AC188" s="69">
        <f t="shared" si="26"/>
        <v>0</v>
      </c>
      <c r="AD188" s="69">
        <f t="shared" si="27"/>
        <v>0</v>
      </c>
    </row>
    <row r="189" spans="1:30" ht="17.25" customHeight="1">
      <c r="A189" s="95" t="str">
        <f>IF(BASE!B187="","",BASE!B187)</f>
        <v/>
      </c>
      <c r="B189" s="92" t="s">
        <v>2</v>
      </c>
      <c r="C189" s="96">
        <f t="shared" si="28"/>
        <v>0</v>
      </c>
      <c r="D189" s="96">
        <f t="shared" si="29"/>
        <v>0</v>
      </c>
      <c r="E189" s="96">
        <f t="shared" si="32"/>
        <v>0</v>
      </c>
      <c r="F189" s="96">
        <f t="shared" si="30"/>
        <v>0</v>
      </c>
      <c r="G189" s="96">
        <f t="shared" si="31"/>
        <v>0</v>
      </c>
      <c r="H189" s="112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81"/>
      <c r="X189" s="49">
        <f t="shared" si="22"/>
        <v>0</v>
      </c>
      <c r="Y189" s="49">
        <f>[2]BASE!A187</f>
        <v>178</v>
      </c>
      <c r="Z189" s="69">
        <f t="shared" si="23"/>
        <v>0</v>
      </c>
      <c r="AA189" s="69">
        <f t="shared" si="24"/>
        <v>0</v>
      </c>
      <c r="AB189" s="69">
        <f t="shared" si="25"/>
        <v>0</v>
      </c>
      <c r="AC189" s="69">
        <f t="shared" si="26"/>
        <v>0</v>
      </c>
      <c r="AD189" s="69">
        <f t="shared" si="27"/>
        <v>0</v>
      </c>
    </row>
    <row r="190" spans="1:30" ht="17.25" customHeight="1">
      <c r="A190" s="95" t="str">
        <f>IF(BASE!B188="","",BASE!B188)</f>
        <v/>
      </c>
      <c r="B190" s="92" t="s">
        <v>2</v>
      </c>
      <c r="C190" s="96">
        <f t="shared" si="28"/>
        <v>0</v>
      </c>
      <c r="D190" s="96">
        <f t="shared" si="29"/>
        <v>0</v>
      </c>
      <c r="E190" s="96">
        <f t="shared" si="32"/>
        <v>0</v>
      </c>
      <c r="F190" s="96">
        <f t="shared" si="30"/>
        <v>0</v>
      </c>
      <c r="G190" s="96">
        <f t="shared" si="31"/>
        <v>0</v>
      </c>
      <c r="H190" s="112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81"/>
      <c r="X190" s="49">
        <f t="shared" si="22"/>
        <v>0</v>
      </c>
      <c r="Y190" s="49">
        <f>[2]BASE!A188</f>
        <v>179</v>
      </c>
      <c r="Z190" s="69">
        <f t="shared" si="23"/>
        <v>0</v>
      </c>
      <c r="AA190" s="69">
        <f t="shared" si="24"/>
        <v>0</v>
      </c>
      <c r="AB190" s="69">
        <f t="shared" si="25"/>
        <v>0</v>
      </c>
      <c r="AC190" s="69">
        <f t="shared" si="26"/>
        <v>0</v>
      </c>
      <c r="AD190" s="69">
        <f t="shared" si="27"/>
        <v>0</v>
      </c>
    </row>
    <row r="191" spans="1:30" ht="17.25" customHeight="1">
      <c r="A191" s="95" t="str">
        <f>IF(BASE!B189="","",BASE!B189)</f>
        <v/>
      </c>
      <c r="B191" s="92" t="s">
        <v>2</v>
      </c>
      <c r="C191" s="96">
        <f t="shared" si="28"/>
        <v>0</v>
      </c>
      <c r="D191" s="96">
        <f t="shared" si="29"/>
        <v>0</v>
      </c>
      <c r="E191" s="96">
        <f t="shared" si="32"/>
        <v>0</v>
      </c>
      <c r="F191" s="96">
        <f t="shared" si="30"/>
        <v>0</v>
      </c>
      <c r="G191" s="96">
        <f t="shared" si="31"/>
        <v>0</v>
      </c>
      <c r="H191" s="112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81"/>
      <c r="X191" s="49">
        <f t="shared" si="22"/>
        <v>0</v>
      </c>
      <c r="Y191" s="49">
        <f>[2]BASE!A189</f>
        <v>180</v>
      </c>
      <c r="Z191" s="69">
        <f t="shared" si="23"/>
        <v>0</v>
      </c>
      <c r="AA191" s="69">
        <f t="shared" si="24"/>
        <v>0</v>
      </c>
      <c r="AB191" s="69">
        <f t="shared" si="25"/>
        <v>0</v>
      </c>
      <c r="AC191" s="69">
        <f t="shared" si="26"/>
        <v>0</v>
      </c>
      <c r="AD191" s="69">
        <f t="shared" si="27"/>
        <v>0</v>
      </c>
    </row>
    <row r="192" spans="1:30" ht="17.25" customHeight="1">
      <c r="A192" s="95" t="str">
        <f>IF(BASE!B190="","",BASE!B190)</f>
        <v/>
      </c>
      <c r="B192" s="92" t="s">
        <v>2</v>
      </c>
      <c r="C192" s="96">
        <f t="shared" si="28"/>
        <v>0</v>
      </c>
      <c r="D192" s="96">
        <f t="shared" si="29"/>
        <v>0</v>
      </c>
      <c r="E192" s="96">
        <f t="shared" si="32"/>
        <v>0</v>
      </c>
      <c r="F192" s="96">
        <f t="shared" si="30"/>
        <v>0</v>
      </c>
      <c r="G192" s="96">
        <f t="shared" si="31"/>
        <v>0</v>
      </c>
      <c r="H192" s="112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81"/>
      <c r="X192" s="49">
        <f t="shared" si="22"/>
        <v>0</v>
      </c>
      <c r="Y192" s="49">
        <f>[2]BASE!A190</f>
        <v>181</v>
      </c>
      <c r="Z192" s="69">
        <f t="shared" si="23"/>
        <v>0</v>
      </c>
      <c r="AA192" s="69">
        <f t="shared" si="24"/>
        <v>0</v>
      </c>
      <c r="AB192" s="69">
        <f t="shared" si="25"/>
        <v>0</v>
      </c>
      <c r="AC192" s="69">
        <f t="shared" si="26"/>
        <v>0</v>
      </c>
      <c r="AD192" s="69">
        <f t="shared" si="27"/>
        <v>0</v>
      </c>
    </row>
    <row r="193" spans="1:30" ht="17.25" customHeight="1">
      <c r="A193" s="95" t="str">
        <f>IF(BASE!B191="","",BASE!B191)</f>
        <v/>
      </c>
      <c r="B193" s="92" t="s">
        <v>2</v>
      </c>
      <c r="C193" s="96">
        <f t="shared" si="28"/>
        <v>0</v>
      </c>
      <c r="D193" s="96">
        <f t="shared" si="29"/>
        <v>0</v>
      </c>
      <c r="E193" s="96">
        <f t="shared" si="32"/>
        <v>0</v>
      </c>
      <c r="F193" s="96">
        <f t="shared" si="30"/>
        <v>0</v>
      </c>
      <c r="G193" s="96">
        <f t="shared" si="31"/>
        <v>0</v>
      </c>
      <c r="H193" s="112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81"/>
      <c r="X193" s="49">
        <f t="shared" si="22"/>
        <v>0</v>
      </c>
      <c r="Y193" s="49">
        <f>[2]BASE!A191</f>
        <v>182</v>
      </c>
      <c r="Z193" s="69">
        <f t="shared" si="23"/>
        <v>0</v>
      </c>
      <c r="AA193" s="69">
        <f t="shared" si="24"/>
        <v>0</v>
      </c>
      <c r="AB193" s="69">
        <f t="shared" si="25"/>
        <v>0</v>
      </c>
      <c r="AC193" s="69">
        <f t="shared" si="26"/>
        <v>0</v>
      </c>
      <c r="AD193" s="69">
        <f t="shared" si="27"/>
        <v>0</v>
      </c>
    </row>
    <row r="194" spans="1:30" ht="17.25" customHeight="1">
      <c r="A194" s="95" t="str">
        <f>IF(BASE!B192="","",BASE!B192)</f>
        <v/>
      </c>
      <c r="B194" s="92" t="s">
        <v>2</v>
      </c>
      <c r="C194" s="96">
        <f t="shared" si="28"/>
        <v>0</v>
      </c>
      <c r="D194" s="96">
        <f t="shared" si="29"/>
        <v>0</v>
      </c>
      <c r="E194" s="96">
        <f t="shared" si="32"/>
        <v>0</v>
      </c>
      <c r="F194" s="96">
        <f t="shared" si="30"/>
        <v>0</v>
      </c>
      <c r="G194" s="96">
        <f t="shared" si="31"/>
        <v>0</v>
      </c>
      <c r="H194" s="112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81"/>
      <c r="X194" s="49">
        <f t="shared" si="22"/>
        <v>0</v>
      </c>
      <c r="Y194" s="49">
        <f>[2]BASE!A192</f>
        <v>183</v>
      </c>
      <c r="Z194" s="69">
        <f t="shared" si="23"/>
        <v>0</v>
      </c>
      <c r="AA194" s="69">
        <f t="shared" si="24"/>
        <v>0</v>
      </c>
      <c r="AB194" s="69">
        <f t="shared" si="25"/>
        <v>0</v>
      </c>
      <c r="AC194" s="69">
        <f t="shared" si="26"/>
        <v>0</v>
      </c>
      <c r="AD194" s="69">
        <f t="shared" si="27"/>
        <v>0</v>
      </c>
    </row>
    <row r="195" spans="1:30" ht="17.25" customHeight="1">
      <c r="A195" s="95" t="str">
        <f>IF(BASE!B193="","",BASE!B193)</f>
        <v/>
      </c>
      <c r="B195" s="92" t="s">
        <v>2</v>
      </c>
      <c r="C195" s="96">
        <f t="shared" si="28"/>
        <v>0</v>
      </c>
      <c r="D195" s="96">
        <f t="shared" si="29"/>
        <v>0</v>
      </c>
      <c r="E195" s="96">
        <f t="shared" si="32"/>
        <v>0</v>
      </c>
      <c r="F195" s="96">
        <f t="shared" si="30"/>
        <v>0</v>
      </c>
      <c r="G195" s="96">
        <f t="shared" si="31"/>
        <v>0</v>
      </c>
      <c r="H195" s="112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81"/>
      <c r="X195" s="49">
        <f t="shared" si="22"/>
        <v>0</v>
      </c>
      <c r="Y195" s="49">
        <f>[2]BASE!A193</f>
        <v>184</v>
      </c>
      <c r="Z195" s="69">
        <f t="shared" si="23"/>
        <v>0</v>
      </c>
      <c r="AA195" s="69">
        <f t="shared" si="24"/>
        <v>0</v>
      </c>
      <c r="AB195" s="69">
        <f t="shared" si="25"/>
        <v>0</v>
      </c>
      <c r="AC195" s="69">
        <f t="shared" si="26"/>
        <v>0</v>
      </c>
      <c r="AD195" s="69">
        <f t="shared" si="27"/>
        <v>0</v>
      </c>
    </row>
    <row r="196" spans="1:30" ht="17.25" customHeight="1">
      <c r="A196" s="95" t="str">
        <f>IF(BASE!B194="","",BASE!B194)</f>
        <v/>
      </c>
      <c r="B196" s="92" t="s">
        <v>2</v>
      </c>
      <c r="C196" s="96">
        <f t="shared" si="28"/>
        <v>0</v>
      </c>
      <c r="D196" s="96">
        <f t="shared" si="29"/>
        <v>0</v>
      </c>
      <c r="E196" s="96">
        <f t="shared" si="32"/>
        <v>0</v>
      </c>
      <c r="F196" s="96">
        <f t="shared" si="30"/>
        <v>0</v>
      </c>
      <c r="G196" s="96">
        <f t="shared" si="31"/>
        <v>0</v>
      </c>
      <c r="H196" s="112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81"/>
      <c r="X196" s="49">
        <f t="shared" si="22"/>
        <v>0</v>
      </c>
      <c r="Y196" s="49">
        <f>[2]BASE!A194</f>
        <v>185</v>
      </c>
      <c r="Z196" s="69">
        <f t="shared" si="23"/>
        <v>0</v>
      </c>
      <c r="AA196" s="69">
        <f t="shared" si="24"/>
        <v>0</v>
      </c>
      <c r="AB196" s="69">
        <f t="shared" si="25"/>
        <v>0</v>
      </c>
      <c r="AC196" s="69">
        <f t="shared" si="26"/>
        <v>0</v>
      </c>
      <c r="AD196" s="69">
        <f t="shared" si="27"/>
        <v>0</v>
      </c>
    </row>
    <row r="197" spans="1:30" ht="17.25" customHeight="1">
      <c r="A197" s="95" t="str">
        <f>IF(BASE!B195="","",BASE!B195)</f>
        <v/>
      </c>
      <c r="B197" s="92" t="s">
        <v>2</v>
      </c>
      <c r="C197" s="96">
        <f t="shared" si="28"/>
        <v>0</v>
      </c>
      <c r="D197" s="96">
        <f t="shared" si="29"/>
        <v>0</v>
      </c>
      <c r="E197" s="96">
        <f t="shared" si="32"/>
        <v>0</v>
      </c>
      <c r="F197" s="96">
        <f t="shared" si="30"/>
        <v>0</v>
      </c>
      <c r="G197" s="96">
        <f t="shared" si="31"/>
        <v>0</v>
      </c>
      <c r="H197" s="112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81"/>
      <c r="X197" s="49">
        <f t="shared" si="22"/>
        <v>0</v>
      </c>
      <c r="Y197" s="49">
        <f>[2]BASE!A195</f>
        <v>186</v>
      </c>
      <c r="Z197" s="69">
        <f t="shared" si="23"/>
        <v>0</v>
      </c>
      <c r="AA197" s="69">
        <f t="shared" si="24"/>
        <v>0</v>
      </c>
      <c r="AB197" s="69">
        <f t="shared" si="25"/>
        <v>0</v>
      </c>
      <c r="AC197" s="69">
        <f t="shared" si="26"/>
        <v>0</v>
      </c>
      <c r="AD197" s="69">
        <f t="shared" si="27"/>
        <v>0</v>
      </c>
    </row>
    <row r="198" spans="1:30" ht="17.25" customHeight="1">
      <c r="A198" s="95" t="str">
        <f>IF(BASE!B196="","",BASE!B196)</f>
        <v/>
      </c>
      <c r="B198" s="92" t="s">
        <v>2</v>
      </c>
      <c r="C198" s="96">
        <f t="shared" si="28"/>
        <v>0</v>
      </c>
      <c r="D198" s="96">
        <f t="shared" si="29"/>
        <v>0</v>
      </c>
      <c r="E198" s="96">
        <f t="shared" si="32"/>
        <v>0</v>
      </c>
      <c r="F198" s="96">
        <f t="shared" si="30"/>
        <v>0</v>
      </c>
      <c r="G198" s="96">
        <f t="shared" si="31"/>
        <v>0</v>
      </c>
      <c r="H198" s="112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81"/>
      <c r="X198" s="49">
        <f t="shared" si="22"/>
        <v>0</v>
      </c>
      <c r="Y198" s="49">
        <f>[2]BASE!A196</f>
        <v>187</v>
      </c>
      <c r="Z198" s="69">
        <f t="shared" si="23"/>
        <v>0</v>
      </c>
      <c r="AA198" s="69">
        <f t="shared" si="24"/>
        <v>0</v>
      </c>
      <c r="AB198" s="69">
        <f t="shared" si="25"/>
        <v>0</v>
      </c>
      <c r="AC198" s="69">
        <f t="shared" si="26"/>
        <v>0</v>
      </c>
      <c r="AD198" s="69">
        <f t="shared" si="27"/>
        <v>0</v>
      </c>
    </row>
    <row r="199" spans="1:30" ht="17.25" customHeight="1">
      <c r="A199" s="95" t="str">
        <f>IF(BASE!B197="","",BASE!B197)</f>
        <v/>
      </c>
      <c r="B199" s="92" t="s">
        <v>2</v>
      </c>
      <c r="C199" s="96">
        <f t="shared" si="28"/>
        <v>0</v>
      </c>
      <c r="D199" s="96">
        <f t="shared" si="29"/>
        <v>0</v>
      </c>
      <c r="E199" s="96">
        <f t="shared" si="32"/>
        <v>0</v>
      </c>
      <c r="F199" s="96">
        <f t="shared" si="30"/>
        <v>0</v>
      </c>
      <c r="G199" s="96">
        <f t="shared" si="31"/>
        <v>0</v>
      </c>
      <c r="H199" s="112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81"/>
      <c r="X199" s="49">
        <f t="shared" si="22"/>
        <v>0</v>
      </c>
      <c r="Y199" s="49">
        <f>[2]BASE!A197</f>
        <v>188</v>
      </c>
      <c r="Z199" s="69">
        <f t="shared" si="23"/>
        <v>0</v>
      </c>
      <c r="AA199" s="69">
        <f t="shared" si="24"/>
        <v>0</v>
      </c>
      <c r="AB199" s="69">
        <f t="shared" si="25"/>
        <v>0</v>
      </c>
      <c r="AC199" s="69">
        <f t="shared" si="26"/>
        <v>0</v>
      </c>
      <c r="AD199" s="69">
        <f t="shared" si="27"/>
        <v>0</v>
      </c>
    </row>
    <row r="200" spans="1:30" ht="17.25" customHeight="1">
      <c r="A200" s="95" t="str">
        <f>IF(BASE!B198="","",BASE!B198)</f>
        <v/>
      </c>
      <c r="B200" s="92" t="s">
        <v>2</v>
      </c>
      <c r="C200" s="96">
        <f t="shared" si="28"/>
        <v>0</v>
      </c>
      <c r="D200" s="96">
        <f t="shared" si="29"/>
        <v>0</v>
      </c>
      <c r="E200" s="96">
        <f t="shared" si="32"/>
        <v>0</v>
      </c>
      <c r="F200" s="96">
        <f t="shared" si="30"/>
        <v>0</v>
      </c>
      <c r="G200" s="96">
        <f t="shared" si="31"/>
        <v>0</v>
      </c>
      <c r="H200" s="112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81"/>
      <c r="X200" s="49">
        <f t="shared" si="22"/>
        <v>0</v>
      </c>
      <c r="Y200" s="49">
        <f>[2]BASE!A198</f>
        <v>189</v>
      </c>
      <c r="Z200" s="69">
        <f t="shared" si="23"/>
        <v>0</v>
      </c>
      <c r="AA200" s="69">
        <f t="shared" si="24"/>
        <v>0</v>
      </c>
      <c r="AB200" s="69">
        <f t="shared" si="25"/>
        <v>0</v>
      </c>
      <c r="AC200" s="69">
        <f t="shared" si="26"/>
        <v>0</v>
      </c>
      <c r="AD200" s="69">
        <f t="shared" si="27"/>
        <v>0</v>
      </c>
    </row>
    <row r="201" spans="1:30" ht="17.25" customHeight="1">
      <c r="A201" s="95" t="str">
        <f>IF(BASE!B199="","",BASE!B199)</f>
        <v/>
      </c>
      <c r="B201" s="92" t="s">
        <v>2</v>
      </c>
      <c r="C201" s="96">
        <f t="shared" si="28"/>
        <v>0</v>
      </c>
      <c r="D201" s="96">
        <f t="shared" si="29"/>
        <v>0</v>
      </c>
      <c r="E201" s="96">
        <f t="shared" si="32"/>
        <v>0</v>
      </c>
      <c r="F201" s="96">
        <f t="shared" si="30"/>
        <v>0</v>
      </c>
      <c r="G201" s="96">
        <f t="shared" si="31"/>
        <v>0</v>
      </c>
      <c r="H201" s="112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81"/>
      <c r="X201" s="49">
        <f t="shared" si="22"/>
        <v>0</v>
      </c>
      <c r="Y201" s="49">
        <f>[2]BASE!A199</f>
        <v>190</v>
      </c>
      <c r="Z201" s="69">
        <f t="shared" si="23"/>
        <v>0</v>
      </c>
      <c r="AA201" s="69">
        <f t="shared" si="24"/>
        <v>0</v>
      </c>
      <c r="AB201" s="69">
        <f t="shared" si="25"/>
        <v>0</v>
      </c>
      <c r="AC201" s="69">
        <f t="shared" si="26"/>
        <v>0</v>
      </c>
      <c r="AD201" s="69">
        <f t="shared" si="27"/>
        <v>0</v>
      </c>
    </row>
    <row r="202" spans="1:30" ht="17.25" customHeight="1">
      <c r="A202" s="95" t="str">
        <f>IF(BASE!B200="","",BASE!B200)</f>
        <v/>
      </c>
      <c r="B202" s="92" t="s">
        <v>2</v>
      </c>
      <c r="C202" s="96">
        <f t="shared" si="28"/>
        <v>0</v>
      </c>
      <c r="D202" s="96">
        <f t="shared" si="29"/>
        <v>0</v>
      </c>
      <c r="E202" s="96">
        <f t="shared" si="32"/>
        <v>0</v>
      </c>
      <c r="F202" s="96">
        <f t="shared" si="30"/>
        <v>0</v>
      </c>
      <c r="G202" s="96">
        <f t="shared" si="31"/>
        <v>0</v>
      </c>
      <c r="H202" s="112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81"/>
      <c r="X202" s="49">
        <f t="shared" si="22"/>
        <v>0</v>
      </c>
      <c r="Y202" s="49">
        <f>[2]BASE!A200</f>
        <v>191</v>
      </c>
      <c r="Z202" s="69">
        <f t="shared" si="23"/>
        <v>0</v>
      </c>
      <c r="AA202" s="69">
        <f t="shared" si="24"/>
        <v>0</v>
      </c>
      <c r="AB202" s="69">
        <f t="shared" si="25"/>
        <v>0</v>
      </c>
      <c r="AC202" s="69">
        <f t="shared" si="26"/>
        <v>0</v>
      </c>
      <c r="AD202" s="69">
        <f t="shared" si="27"/>
        <v>0</v>
      </c>
    </row>
    <row r="203" spans="1:30" ht="17.25" customHeight="1">
      <c r="A203" s="95" t="str">
        <f>IF(BASE!B201="","",BASE!B201)</f>
        <v/>
      </c>
      <c r="B203" s="92" t="s">
        <v>2</v>
      </c>
      <c r="C203" s="96">
        <f t="shared" si="28"/>
        <v>0</v>
      </c>
      <c r="D203" s="96">
        <f t="shared" si="29"/>
        <v>0</v>
      </c>
      <c r="E203" s="96">
        <f t="shared" si="32"/>
        <v>0</v>
      </c>
      <c r="F203" s="96">
        <f t="shared" si="30"/>
        <v>0</v>
      </c>
      <c r="G203" s="96">
        <f t="shared" si="31"/>
        <v>0</v>
      </c>
      <c r="H203" s="112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81"/>
      <c r="X203" s="49">
        <f t="shared" si="22"/>
        <v>0</v>
      </c>
      <c r="Y203" s="49">
        <f>[2]BASE!A201</f>
        <v>192</v>
      </c>
      <c r="Z203" s="69">
        <f t="shared" si="23"/>
        <v>0</v>
      </c>
      <c r="AA203" s="69">
        <f t="shared" si="24"/>
        <v>0</v>
      </c>
      <c r="AB203" s="69">
        <f t="shared" si="25"/>
        <v>0</v>
      </c>
      <c r="AC203" s="69">
        <f t="shared" si="26"/>
        <v>0</v>
      </c>
      <c r="AD203" s="69">
        <f t="shared" si="27"/>
        <v>0</v>
      </c>
    </row>
    <row r="204" spans="1:30" ht="17.25" customHeight="1">
      <c r="A204" s="95" t="str">
        <f>IF(BASE!B202="","",BASE!B202)</f>
        <v/>
      </c>
      <c r="B204" s="92" t="s">
        <v>2</v>
      </c>
      <c r="C204" s="96">
        <f t="shared" si="28"/>
        <v>0</v>
      </c>
      <c r="D204" s="96">
        <f t="shared" si="29"/>
        <v>0</v>
      </c>
      <c r="E204" s="96">
        <f t="shared" si="32"/>
        <v>0</v>
      </c>
      <c r="F204" s="96">
        <f t="shared" si="30"/>
        <v>0</v>
      </c>
      <c r="G204" s="96">
        <f t="shared" si="31"/>
        <v>0</v>
      </c>
      <c r="H204" s="112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81"/>
      <c r="X204" s="49">
        <f t="shared" ref="X204:X267" si="33">SUM(C204:V204)</f>
        <v>0</v>
      </c>
      <c r="Y204" s="49">
        <f>[2]BASE!A202</f>
        <v>193</v>
      </c>
      <c r="Z204" s="69">
        <f t="shared" ref="Z204:Z267" si="34">SUMIF($C$11:$V$11,1,C204:V204)</f>
        <v>0</v>
      </c>
      <c r="AA204" s="69">
        <f t="shared" ref="AA204:AA267" si="35">SUMIF($C$11:$V$11,2,C204:V204)</f>
        <v>0</v>
      </c>
      <c r="AB204" s="69">
        <f t="shared" ref="AB204:AB267" si="36">SUMIF($C$11:$V$11,3,C204:V204)</f>
        <v>0</v>
      </c>
      <c r="AC204" s="69">
        <f t="shared" ref="AC204:AC267" si="37">SUMIF($C$11:$V$11,4,C204:V204)</f>
        <v>0</v>
      </c>
      <c r="AD204" s="69">
        <f t="shared" ref="AD204:AD267" si="38">SUMIF($C$11:$V$11,5,C204:V204)</f>
        <v>0</v>
      </c>
    </row>
    <row r="205" spans="1:30" ht="17.25" customHeight="1">
      <c r="A205" s="95" t="str">
        <f>IF(BASE!B203="","",BASE!B203)</f>
        <v/>
      </c>
      <c r="B205" s="92" t="s">
        <v>2</v>
      </c>
      <c r="C205" s="96">
        <f t="shared" ref="C205:C268" si="39">(H205/5)</f>
        <v>0</v>
      </c>
      <c r="D205" s="96">
        <f t="shared" ref="D205:D268" si="40">(H205/5)</f>
        <v>0</v>
      </c>
      <c r="E205" s="96">
        <f t="shared" si="32"/>
        <v>0</v>
      </c>
      <c r="F205" s="96">
        <f t="shared" ref="F205:F268" si="41">(H205/5)</f>
        <v>0</v>
      </c>
      <c r="G205" s="96">
        <f t="shared" ref="G205:G268" si="42">(H205/5)</f>
        <v>0</v>
      </c>
      <c r="H205" s="112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81"/>
      <c r="X205" s="49">
        <f t="shared" si="33"/>
        <v>0</v>
      </c>
      <c r="Y205" s="49">
        <f>[2]BASE!A203</f>
        <v>194</v>
      </c>
      <c r="Z205" s="69">
        <f t="shared" si="34"/>
        <v>0</v>
      </c>
      <c r="AA205" s="69">
        <f t="shared" si="35"/>
        <v>0</v>
      </c>
      <c r="AB205" s="69">
        <f t="shared" si="36"/>
        <v>0</v>
      </c>
      <c r="AC205" s="69">
        <f t="shared" si="37"/>
        <v>0</v>
      </c>
      <c r="AD205" s="69">
        <f t="shared" si="38"/>
        <v>0</v>
      </c>
    </row>
    <row r="206" spans="1:30" ht="17.25" customHeight="1">
      <c r="A206" s="95" t="str">
        <f>IF(BASE!B204="","",BASE!B204)</f>
        <v/>
      </c>
      <c r="B206" s="92" t="s">
        <v>2</v>
      </c>
      <c r="C206" s="96">
        <f t="shared" si="39"/>
        <v>0</v>
      </c>
      <c r="D206" s="96">
        <f t="shared" si="40"/>
        <v>0</v>
      </c>
      <c r="E206" s="96">
        <f t="shared" ref="E206:E269" si="43">(H206/5)</f>
        <v>0</v>
      </c>
      <c r="F206" s="96">
        <f t="shared" si="41"/>
        <v>0</v>
      </c>
      <c r="G206" s="96">
        <f t="shared" si="42"/>
        <v>0</v>
      </c>
      <c r="H206" s="112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81"/>
      <c r="X206" s="49">
        <f t="shared" si="33"/>
        <v>0</v>
      </c>
      <c r="Y206" s="49">
        <f>[2]BASE!A204</f>
        <v>195</v>
      </c>
      <c r="Z206" s="69">
        <f t="shared" si="34"/>
        <v>0</v>
      </c>
      <c r="AA206" s="69">
        <f t="shared" si="35"/>
        <v>0</v>
      </c>
      <c r="AB206" s="69">
        <f t="shared" si="36"/>
        <v>0</v>
      </c>
      <c r="AC206" s="69">
        <f t="shared" si="37"/>
        <v>0</v>
      </c>
      <c r="AD206" s="69">
        <f t="shared" si="38"/>
        <v>0</v>
      </c>
    </row>
    <row r="207" spans="1:30" ht="17.25" customHeight="1">
      <c r="A207" s="95" t="str">
        <f>IF(BASE!B205="","",BASE!B205)</f>
        <v/>
      </c>
      <c r="B207" s="92" t="s">
        <v>2</v>
      </c>
      <c r="C207" s="96">
        <f t="shared" si="39"/>
        <v>0</v>
      </c>
      <c r="D207" s="96">
        <f t="shared" si="40"/>
        <v>0</v>
      </c>
      <c r="E207" s="96">
        <f t="shared" si="43"/>
        <v>0</v>
      </c>
      <c r="F207" s="96">
        <f t="shared" si="41"/>
        <v>0</v>
      </c>
      <c r="G207" s="96">
        <f t="shared" si="42"/>
        <v>0</v>
      </c>
      <c r="H207" s="112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81"/>
      <c r="X207" s="49">
        <f t="shared" si="33"/>
        <v>0</v>
      </c>
      <c r="Y207" s="49">
        <f>[2]BASE!A205</f>
        <v>196</v>
      </c>
      <c r="Z207" s="69">
        <f t="shared" si="34"/>
        <v>0</v>
      </c>
      <c r="AA207" s="69">
        <f t="shared" si="35"/>
        <v>0</v>
      </c>
      <c r="AB207" s="69">
        <f t="shared" si="36"/>
        <v>0</v>
      </c>
      <c r="AC207" s="69">
        <f t="shared" si="37"/>
        <v>0</v>
      </c>
      <c r="AD207" s="69">
        <f t="shared" si="38"/>
        <v>0</v>
      </c>
    </row>
    <row r="208" spans="1:30" ht="17.25" customHeight="1">
      <c r="A208" s="95" t="str">
        <f>IF(BASE!B206="","",BASE!B206)</f>
        <v/>
      </c>
      <c r="B208" s="92" t="s">
        <v>2</v>
      </c>
      <c r="C208" s="96">
        <f t="shared" si="39"/>
        <v>0</v>
      </c>
      <c r="D208" s="96">
        <f t="shared" si="40"/>
        <v>0</v>
      </c>
      <c r="E208" s="96">
        <f t="shared" si="43"/>
        <v>0</v>
      </c>
      <c r="F208" s="96">
        <f t="shared" si="41"/>
        <v>0</v>
      </c>
      <c r="G208" s="96">
        <f t="shared" si="42"/>
        <v>0</v>
      </c>
      <c r="H208" s="112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81"/>
      <c r="X208" s="49">
        <f t="shared" si="33"/>
        <v>0</v>
      </c>
      <c r="Y208" s="49">
        <f>[2]BASE!A206</f>
        <v>197</v>
      </c>
      <c r="Z208" s="69">
        <f t="shared" si="34"/>
        <v>0</v>
      </c>
      <c r="AA208" s="69">
        <f t="shared" si="35"/>
        <v>0</v>
      </c>
      <c r="AB208" s="69">
        <f t="shared" si="36"/>
        <v>0</v>
      </c>
      <c r="AC208" s="69">
        <f t="shared" si="37"/>
        <v>0</v>
      </c>
      <c r="AD208" s="69">
        <f t="shared" si="38"/>
        <v>0</v>
      </c>
    </row>
    <row r="209" spans="1:30" ht="17.25" customHeight="1">
      <c r="A209" s="95" t="str">
        <f>IF(BASE!B207="","",BASE!B207)</f>
        <v/>
      </c>
      <c r="B209" s="92" t="s">
        <v>2</v>
      </c>
      <c r="C209" s="96">
        <f t="shared" si="39"/>
        <v>0</v>
      </c>
      <c r="D209" s="96">
        <f t="shared" si="40"/>
        <v>0</v>
      </c>
      <c r="E209" s="96">
        <f t="shared" si="43"/>
        <v>0</v>
      </c>
      <c r="F209" s="96">
        <f t="shared" si="41"/>
        <v>0</v>
      </c>
      <c r="G209" s="96">
        <f t="shared" si="42"/>
        <v>0</v>
      </c>
      <c r="H209" s="112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81"/>
      <c r="X209" s="49">
        <f t="shared" si="33"/>
        <v>0</v>
      </c>
      <c r="Y209" s="49">
        <f>[2]BASE!A207</f>
        <v>198</v>
      </c>
      <c r="Z209" s="69">
        <f t="shared" si="34"/>
        <v>0</v>
      </c>
      <c r="AA209" s="69">
        <f t="shared" si="35"/>
        <v>0</v>
      </c>
      <c r="AB209" s="69">
        <f t="shared" si="36"/>
        <v>0</v>
      </c>
      <c r="AC209" s="69">
        <f t="shared" si="37"/>
        <v>0</v>
      </c>
      <c r="AD209" s="69">
        <f t="shared" si="38"/>
        <v>0</v>
      </c>
    </row>
    <row r="210" spans="1:30" ht="17.25" customHeight="1">
      <c r="A210" s="95" t="str">
        <f>IF(BASE!B208="","",BASE!B208)</f>
        <v/>
      </c>
      <c r="B210" s="92" t="s">
        <v>2</v>
      </c>
      <c r="C210" s="96">
        <f t="shared" si="39"/>
        <v>0</v>
      </c>
      <c r="D210" s="96">
        <f t="shared" si="40"/>
        <v>0</v>
      </c>
      <c r="E210" s="96">
        <f t="shared" si="43"/>
        <v>0</v>
      </c>
      <c r="F210" s="96">
        <f t="shared" si="41"/>
        <v>0</v>
      </c>
      <c r="G210" s="96">
        <f t="shared" si="42"/>
        <v>0</v>
      </c>
      <c r="H210" s="112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81"/>
      <c r="X210" s="49">
        <f t="shared" si="33"/>
        <v>0</v>
      </c>
      <c r="Y210" s="49">
        <f>[2]BASE!A208</f>
        <v>199</v>
      </c>
      <c r="Z210" s="69">
        <f t="shared" si="34"/>
        <v>0</v>
      </c>
      <c r="AA210" s="69">
        <f t="shared" si="35"/>
        <v>0</v>
      </c>
      <c r="AB210" s="69">
        <f t="shared" si="36"/>
        <v>0</v>
      </c>
      <c r="AC210" s="69">
        <f t="shared" si="37"/>
        <v>0</v>
      </c>
      <c r="AD210" s="69">
        <f t="shared" si="38"/>
        <v>0</v>
      </c>
    </row>
    <row r="211" spans="1:30" ht="17.25" customHeight="1">
      <c r="A211" s="95" t="str">
        <f>IF(BASE!B209="","",BASE!B209)</f>
        <v/>
      </c>
      <c r="B211" s="92" t="s">
        <v>2</v>
      </c>
      <c r="C211" s="96">
        <f t="shared" si="39"/>
        <v>0</v>
      </c>
      <c r="D211" s="96">
        <f t="shared" si="40"/>
        <v>0</v>
      </c>
      <c r="E211" s="96">
        <f t="shared" si="43"/>
        <v>0</v>
      </c>
      <c r="F211" s="96">
        <f t="shared" si="41"/>
        <v>0</v>
      </c>
      <c r="G211" s="96">
        <f t="shared" si="42"/>
        <v>0</v>
      </c>
      <c r="H211" s="112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81"/>
      <c r="X211" s="49">
        <f t="shared" si="33"/>
        <v>0</v>
      </c>
      <c r="Y211" s="49">
        <f>[2]BASE!A209</f>
        <v>200</v>
      </c>
      <c r="Z211" s="69">
        <f t="shared" si="34"/>
        <v>0</v>
      </c>
      <c r="AA211" s="69">
        <f t="shared" si="35"/>
        <v>0</v>
      </c>
      <c r="AB211" s="69">
        <f t="shared" si="36"/>
        <v>0</v>
      </c>
      <c r="AC211" s="69">
        <f t="shared" si="37"/>
        <v>0</v>
      </c>
      <c r="AD211" s="69">
        <f t="shared" si="38"/>
        <v>0</v>
      </c>
    </row>
    <row r="212" spans="1:30" ht="17.25" customHeight="1">
      <c r="A212" s="95" t="str">
        <f>IF(BASE!B210="","",BASE!B210)</f>
        <v/>
      </c>
      <c r="B212" s="92" t="s">
        <v>2</v>
      </c>
      <c r="C212" s="96">
        <f t="shared" si="39"/>
        <v>0</v>
      </c>
      <c r="D212" s="96">
        <f t="shared" si="40"/>
        <v>0</v>
      </c>
      <c r="E212" s="96">
        <f t="shared" si="43"/>
        <v>0</v>
      </c>
      <c r="F212" s="96">
        <f t="shared" si="41"/>
        <v>0</v>
      </c>
      <c r="G212" s="96">
        <f t="shared" si="42"/>
        <v>0</v>
      </c>
      <c r="H212" s="112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81"/>
      <c r="X212" s="49">
        <f t="shared" si="33"/>
        <v>0</v>
      </c>
      <c r="Y212" s="49">
        <f>[2]BASE!A210</f>
        <v>201</v>
      </c>
      <c r="Z212" s="69">
        <f t="shared" si="34"/>
        <v>0</v>
      </c>
      <c r="AA212" s="69">
        <f t="shared" si="35"/>
        <v>0</v>
      </c>
      <c r="AB212" s="69">
        <f t="shared" si="36"/>
        <v>0</v>
      </c>
      <c r="AC212" s="69">
        <f t="shared" si="37"/>
        <v>0</v>
      </c>
      <c r="AD212" s="69">
        <f t="shared" si="38"/>
        <v>0</v>
      </c>
    </row>
    <row r="213" spans="1:30" ht="17.25" customHeight="1">
      <c r="A213" s="95" t="str">
        <f>IF(BASE!B211="","",BASE!B211)</f>
        <v/>
      </c>
      <c r="B213" s="92" t="s">
        <v>2</v>
      </c>
      <c r="C213" s="96">
        <f t="shared" si="39"/>
        <v>0</v>
      </c>
      <c r="D213" s="96">
        <f t="shared" si="40"/>
        <v>0</v>
      </c>
      <c r="E213" s="96">
        <f t="shared" si="43"/>
        <v>0</v>
      </c>
      <c r="F213" s="96">
        <f t="shared" si="41"/>
        <v>0</v>
      </c>
      <c r="G213" s="96">
        <f t="shared" si="42"/>
        <v>0</v>
      </c>
      <c r="H213" s="112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81"/>
      <c r="X213" s="49">
        <f t="shared" si="33"/>
        <v>0</v>
      </c>
      <c r="Y213" s="49">
        <f>[2]BASE!A211</f>
        <v>202</v>
      </c>
      <c r="Z213" s="69">
        <f t="shared" si="34"/>
        <v>0</v>
      </c>
      <c r="AA213" s="69">
        <f t="shared" si="35"/>
        <v>0</v>
      </c>
      <c r="AB213" s="69">
        <f t="shared" si="36"/>
        <v>0</v>
      </c>
      <c r="AC213" s="69">
        <f t="shared" si="37"/>
        <v>0</v>
      </c>
      <c r="AD213" s="69">
        <f t="shared" si="38"/>
        <v>0</v>
      </c>
    </row>
    <row r="214" spans="1:30" ht="17.25" customHeight="1">
      <c r="A214" s="95" t="str">
        <f>IF(BASE!B212="","",BASE!B212)</f>
        <v/>
      </c>
      <c r="B214" s="92" t="s">
        <v>2</v>
      </c>
      <c r="C214" s="96">
        <f t="shared" si="39"/>
        <v>0</v>
      </c>
      <c r="D214" s="96">
        <f t="shared" si="40"/>
        <v>0</v>
      </c>
      <c r="E214" s="96">
        <f t="shared" si="43"/>
        <v>0</v>
      </c>
      <c r="F214" s="96">
        <f t="shared" si="41"/>
        <v>0</v>
      </c>
      <c r="G214" s="96">
        <f t="shared" si="42"/>
        <v>0</v>
      </c>
      <c r="H214" s="112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81"/>
      <c r="X214" s="49">
        <f t="shared" si="33"/>
        <v>0</v>
      </c>
      <c r="Y214" s="49">
        <f>[2]BASE!A212</f>
        <v>203</v>
      </c>
      <c r="Z214" s="69">
        <f t="shared" si="34"/>
        <v>0</v>
      </c>
      <c r="AA214" s="69">
        <f t="shared" si="35"/>
        <v>0</v>
      </c>
      <c r="AB214" s="69">
        <f t="shared" si="36"/>
        <v>0</v>
      </c>
      <c r="AC214" s="69">
        <f t="shared" si="37"/>
        <v>0</v>
      </c>
      <c r="AD214" s="69">
        <f t="shared" si="38"/>
        <v>0</v>
      </c>
    </row>
    <row r="215" spans="1:30" ht="17.25" customHeight="1">
      <c r="A215" s="95" t="str">
        <f>IF(BASE!B213="","",BASE!B213)</f>
        <v/>
      </c>
      <c r="B215" s="92" t="s">
        <v>2</v>
      </c>
      <c r="C215" s="96">
        <f t="shared" si="39"/>
        <v>0</v>
      </c>
      <c r="D215" s="96">
        <f t="shared" si="40"/>
        <v>0</v>
      </c>
      <c r="E215" s="96">
        <f t="shared" si="43"/>
        <v>0</v>
      </c>
      <c r="F215" s="96">
        <f t="shared" si="41"/>
        <v>0</v>
      </c>
      <c r="G215" s="96">
        <f t="shared" si="42"/>
        <v>0</v>
      </c>
      <c r="H215" s="112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81"/>
      <c r="X215" s="49">
        <f t="shared" si="33"/>
        <v>0</v>
      </c>
      <c r="Y215" s="49">
        <f>[2]BASE!A213</f>
        <v>204</v>
      </c>
      <c r="Z215" s="69">
        <f t="shared" si="34"/>
        <v>0</v>
      </c>
      <c r="AA215" s="69">
        <f t="shared" si="35"/>
        <v>0</v>
      </c>
      <c r="AB215" s="69">
        <f t="shared" si="36"/>
        <v>0</v>
      </c>
      <c r="AC215" s="69">
        <f t="shared" si="37"/>
        <v>0</v>
      </c>
      <c r="AD215" s="69">
        <f t="shared" si="38"/>
        <v>0</v>
      </c>
    </row>
    <row r="216" spans="1:30" ht="17.25" customHeight="1">
      <c r="A216" s="95" t="str">
        <f>IF(BASE!B214="","",BASE!B214)</f>
        <v/>
      </c>
      <c r="B216" s="92" t="s">
        <v>2</v>
      </c>
      <c r="C216" s="96">
        <f t="shared" si="39"/>
        <v>0</v>
      </c>
      <c r="D216" s="96">
        <f t="shared" si="40"/>
        <v>0</v>
      </c>
      <c r="E216" s="96">
        <f t="shared" si="43"/>
        <v>0</v>
      </c>
      <c r="F216" s="96">
        <f t="shared" si="41"/>
        <v>0</v>
      </c>
      <c r="G216" s="96">
        <f t="shared" si="42"/>
        <v>0</v>
      </c>
      <c r="H216" s="112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81"/>
      <c r="X216" s="49">
        <f t="shared" si="33"/>
        <v>0</v>
      </c>
      <c r="Y216" s="49">
        <f>[2]BASE!A214</f>
        <v>205</v>
      </c>
      <c r="Z216" s="69">
        <f t="shared" si="34"/>
        <v>0</v>
      </c>
      <c r="AA216" s="69">
        <f t="shared" si="35"/>
        <v>0</v>
      </c>
      <c r="AB216" s="69">
        <f t="shared" si="36"/>
        <v>0</v>
      </c>
      <c r="AC216" s="69">
        <f t="shared" si="37"/>
        <v>0</v>
      </c>
      <c r="AD216" s="69">
        <f t="shared" si="38"/>
        <v>0</v>
      </c>
    </row>
    <row r="217" spans="1:30" ht="17.25" customHeight="1">
      <c r="A217" s="95" t="str">
        <f>IF(BASE!B215="","",BASE!B215)</f>
        <v/>
      </c>
      <c r="B217" s="92" t="s">
        <v>2</v>
      </c>
      <c r="C217" s="96">
        <f t="shared" si="39"/>
        <v>0</v>
      </c>
      <c r="D217" s="96">
        <f t="shared" si="40"/>
        <v>0</v>
      </c>
      <c r="E217" s="96">
        <f t="shared" si="43"/>
        <v>0</v>
      </c>
      <c r="F217" s="96">
        <f t="shared" si="41"/>
        <v>0</v>
      </c>
      <c r="G217" s="96">
        <f t="shared" si="42"/>
        <v>0</v>
      </c>
      <c r="H217" s="112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81"/>
      <c r="X217" s="49">
        <f t="shared" si="33"/>
        <v>0</v>
      </c>
      <c r="Y217" s="49">
        <f>[2]BASE!A215</f>
        <v>206</v>
      </c>
      <c r="Z217" s="69">
        <f t="shared" si="34"/>
        <v>0</v>
      </c>
      <c r="AA217" s="69">
        <f t="shared" si="35"/>
        <v>0</v>
      </c>
      <c r="AB217" s="69">
        <f t="shared" si="36"/>
        <v>0</v>
      </c>
      <c r="AC217" s="69">
        <f t="shared" si="37"/>
        <v>0</v>
      </c>
      <c r="AD217" s="69">
        <f t="shared" si="38"/>
        <v>0</v>
      </c>
    </row>
    <row r="218" spans="1:30" ht="17.25" customHeight="1">
      <c r="A218" s="95" t="str">
        <f>IF(BASE!B216="","",BASE!B216)</f>
        <v/>
      </c>
      <c r="B218" s="92" t="s">
        <v>2</v>
      </c>
      <c r="C218" s="96">
        <f t="shared" si="39"/>
        <v>0</v>
      </c>
      <c r="D218" s="96">
        <f t="shared" si="40"/>
        <v>0</v>
      </c>
      <c r="E218" s="96">
        <f t="shared" si="43"/>
        <v>0</v>
      </c>
      <c r="F218" s="96">
        <f t="shared" si="41"/>
        <v>0</v>
      </c>
      <c r="G218" s="96">
        <f t="shared" si="42"/>
        <v>0</v>
      </c>
      <c r="H218" s="112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81"/>
      <c r="X218" s="49">
        <f t="shared" si="33"/>
        <v>0</v>
      </c>
      <c r="Y218" s="49">
        <f>[2]BASE!A216</f>
        <v>207</v>
      </c>
      <c r="Z218" s="69">
        <f t="shared" si="34"/>
        <v>0</v>
      </c>
      <c r="AA218" s="69">
        <f t="shared" si="35"/>
        <v>0</v>
      </c>
      <c r="AB218" s="69">
        <f t="shared" si="36"/>
        <v>0</v>
      </c>
      <c r="AC218" s="69">
        <f t="shared" si="37"/>
        <v>0</v>
      </c>
      <c r="AD218" s="69">
        <f t="shared" si="38"/>
        <v>0</v>
      </c>
    </row>
    <row r="219" spans="1:30" ht="17.25" customHeight="1">
      <c r="A219" s="95" t="str">
        <f>IF(BASE!B217="","",BASE!B217)</f>
        <v/>
      </c>
      <c r="B219" s="92" t="s">
        <v>2</v>
      </c>
      <c r="C219" s="96">
        <f t="shared" si="39"/>
        <v>0</v>
      </c>
      <c r="D219" s="96">
        <f t="shared" si="40"/>
        <v>0</v>
      </c>
      <c r="E219" s="96">
        <f t="shared" si="43"/>
        <v>0</v>
      </c>
      <c r="F219" s="96">
        <f t="shared" si="41"/>
        <v>0</v>
      </c>
      <c r="G219" s="96">
        <f t="shared" si="42"/>
        <v>0</v>
      </c>
      <c r="H219" s="112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81"/>
      <c r="X219" s="49">
        <f t="shared" si="33"/>
        <v>0</v>
      </c>
      <c r="Y219" s="49">
        <f>[2]BASE!A217</f>
        <v>208</v>
      </c>
      <c r="Z219" s="69">
        <f t="shared" si="34"/>
        <v>0</v>
      </c>
      <c r="AA219" s="69">
        <f t="shared" si="35"/>
        <v>0</v>
      </c>
      <c r="AB219" s="69">
        <f t="shared" si="36"/>
        <v>0</v>
      </c>
      <c r="AC219" s="69">
        <f t="shared" si="37"/>
        <v>0</v>
      </c>
      <c r="AD219" s="69">
        <f t="shared" si="38"/>
        <v>0</v>
      </c>
    </row>
    <row r="220" spans="1:30" ht="17.25" customHeight="1">
      <c r="A220" s="95" t="str">
        <f>IF(BASE!B218="","",BASE!B218)</f>
        <v/>
      </c>
      <c r="B220" s="92" t="s">
        <v>2</v>
      </c>
      <c r="C220" s="96">
        <f t="shared" si="39"/>
        <v>0</v>
      </c>
      <c r="D220" s="96">
        <f t="shared" si="40"/>
        <v>0</v>
      </c>
      <c r="E220" s="96">
        <f t="shared" si="43"/>
        <v>0</v>
      </c>
      <c r="F220" s="96">
        <f t="shared" si="41"/>
        <v>0</v>
      </c>
      <c r="G220" s="96">
        <f t="shared" si="42"/>
        <v>0</v>
      </c>
      <c r="H220" s="112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81"/>
      <c r="X220" s="49">
        <f t="shared" si="33"/>
        <v>0</v>
      </c>
      <c r="Y220" s="49">
        <f>[2]BASE!A218</f>
        <v>209</v>
      </c>
      <c r="Z220" s="69">
        <f t="shared" si="34"/>
        <v>0</v>
      </c>
      <c r="AA220" s="69">
        <f t="shared" si="35"/>
        <v>0</v>
      </c>
      <c r="AB220" s="69">
        <f t="shared" si="36"/>
        <v>0</v>
      </c>
      <c r="AC220" s="69">
        <f t="shared" si="37"/>
        <v>0</v>
      </c>
      <c r="AD220" s="69">
        <f t="shared" si="38"/>
        <v>0</v>
      </c>
    </row>
    <row r="221" spans="1:30" ht="17.25" customHeight="1">
      <c r="A221" s="95" t="str">
        <f>IF(BASE!B219="","",BASE!B219)</f>
        <v/>
      </c>
      <c r="B221" s="92" t="s">
        <v>2</v>
      </c>
      <c r="C221" s="96">
        <f t="shared" si="39"/>
        <v>0</v>
      </c>
      <c r="D221" s="96">
        <f t="shared" si="40"/>
        <v>0</v>
      </c>
      <c r="E221" s="96">
        <f t="shared" si="43"/>
        <v>0</v>
      </c>
      <c r="F221" s="96">
        <f t="shared" si="41"/>
        <v>0</v>
      </c>
      <c r="G221" s="96">
        <f t="shared" si="42"/>
        <v>0</v>
      </c>
      <c r="H221" s="112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81"/>
      <c r="X221" s="49">
        <f t="shared" si="33"/>
        <v>0</v>
      </c>
      <c r="Y221" s="49">
        <f>[2]BASE!A219</f>
        <v>210</v>
      </c>
      <c r="Z221" s="69">
        <f t="shared" si="34"/>
        <v>0</v>
      </c>
      <c r="AA221" s="69">
        <f t="shared" si="35"/>
        <v>0</v>
      </c>
      <c r="AB221" s="69">
        <f t="shared" si="36"/>
        <v>0</v>
      </c>
      <c r="AC221" s="69">
        <f t="shared" si="37"/>
        <v>0</v>
      </c>
      <c r="AD221" s="69">
        <f t="shared" si="38"/>
        <v>0</v>
      </c>
    </row>
    <row r="222" spans="1:30" ht="17.25" customHeight="1">
      <c r="A222" s="95" t="str">
        <f>IF(BASE!B220="","",BASE!B220)</f>
        <v/>
      </c>
      <c r="B222" s="92" t="s">
        <v>2</v>
      </c>
      <c r="C222" s="96">
        <f t="shared" si="39"/>
        <v>0</v>
      </c>
      <c r="D222" s="96">
        <f t="shared" si="40"/>
        <v>0</v>
      </c>
      <c r="E222" s="96">
        <f t="shared" si="43"/>
        <v>0</v>
      </c>
      <c r="F222" s="96">
        <f t="shared" si="41"/>
        <v>0</v>
      </c>
      <c r="G222" s="96">
        <f t="shared" si="42"/>
        <v>0</v>
      </c>
      <c r="H222" s="112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81"/>
      <c r="X222" s="49">
        <f t="shared" si="33"/>
        <v>0</v>
      </c>
      <c r="Y222" s="49">
        <f>[2]BASE!A220</f>
        <v>211</v>
      </c>
      <c r="Z222" s="69">
        <f t="shared" si="34"/>
        <v>0</v>
      </c>
      <c r="AA222" s="69">
        <f t="shared" si="35"/>
        <v>0</v>
      </c>
      <c r="AB222" s="69">
        <f t="shared" si="36"/>
        <v>0</v>
      </c>
      <c r="AC222" s="69">
        <f t="shared" si="37"/>
        <v>0</v>
      </c>
      <c r="AD222" s="69">
        <f t="shared" si="38"/>
        <v>0</v>
      </c>
    </row>
    <row r="223" spans="1:30" ht="17.25" customHeight="1">
      <c r="A223" s="95" t="str">
        <f>IF(BASE!B221="","",BASE!B221)</f>
        <v/>
      </c>
      <c r="B223" s="92" t="s">
        <v>2</v>
      </c>
      <c r="C223" s="96">
        <f t="shared" si="39"/>
        <v>0</v>
      </c>
      <c r="D223" s="96">
        <f t="shared" si="40"/>
        <v>0</v>
      </c>
      <c r="E223" s="96">
        <f t="shared" si="43"/>
        <v>0</v>
      </c>
      <c r="F223" s="96">
        <f t="shared" si="41"/>
        <v>0</v>
      </c>
      <c r="G223" s="96">
        <f t="shared" si="42"/>
        <v>0</v>
      </c>
      <c r="H223" s="112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81"/>
      <c r="X223" s="49">
        <f t="shared" si="33"/>
        <v>0</v>
      </c>
      <c r="Y223" s="49">
        <f>[2]BASE!A221</f>
        <v>212</v>
      </c>
      <c r="Z223" s="69">
        <f t="shared" si="34"/>
        <v>0</v>
      </c>
      <c r="AA223" s="69">
        <f t="shared" si="35"/>
        <v>0</v>
      </c>
      <c r="AB223" s="69">
        <f t="shared" si="36"/>
        <v>0</v>
      </c>
      <c r="AC223" s="69">
        <f t="shared" si="37"/>
        <v>0</v>
      </c>
      <c r="AD223" s="69">
        <f t="shared" si="38"/>
        <v>0</v>
      </c>
    </row>
    <row r="224" spans="1:30" ht="17.25" customHeight="1">
      <c r="A224" s="95" t="str">
        <f>IF(BASE!B222="","",BASE!B222)</f>
        <v/>
      </c>
      <c r="B224" s="92" t="s">
        <v>2</v>
      </c>
      <c r="C224" s="96">
        <f t="shared" si="39"/>
        <v>0</v>
      </c>
      <c r="D224" s="96">
        <f t="shared" si="40"/>
        <v>0</v>
      </c>
      <c r="E224" s="96">
        <f t="shared" si="43"/>
        <v>0</v>
      </c>
      <c r="F224" s="96">
        <f t="shared" si="41"/>
        <v>0</v>
      </c>
      <c r="G224" s="96">
        <f t="shared" si="42"/>
        <v>0</v>
      </c>
      <c r="H224" s="112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81"/>
      <c r="X224" s="49">
        <f t="shared" si="33"/>
        <v>0</v>
      </c>
      <c r="Y224" s="49">
        <f>[2]BASE!A222</f>
        <v>213</v>
      </c>
      <c r="Z224" s="69">
        <f t="shared" si="34"/>
        <v>0</v>
      </c>
      <c r="AA224" s="69">
        <f t="shared" si="35"/>
        <v>0</v>
      </c>
      <c r="AB224" s="69">
        <f t="shared" si="36"/>
        <v>0</v>
      </c>
      <c r="AC224" s="69">
        <f t="shared" si="37"/>
        <v>0</v>
      </c>
      <c r="AD224" s="69">
        <f t="shared" si="38"/>
        <v>0</v>
      </c>
    </row>
    <row r="225" spans="1:30" ht="17.25" customHeight="1">
      <c r="A225" s="95" t="str">
        <f>IF(BASE!B223="","",BASE!B223)</f>
        <v/>
      </c>
      <c r="B225" s="92" t="s">
        <v>2</v>
      </c>
      <c r="C225" s="96">
        <f t="shared" si="39"/>
        <v>0</v>
      </c>
      <c r="D225" s="96">
        <f t="shared" si="40"/>
        <v>0</v>
      </c>
      <c r="E225" s="96">
        <f t="shared" si="43"/>
        <v>0</v>
      </c>
      <c r="F225" s="96">
        <f t="shared" si="41"/>
        <v>0</v>
      </c>
      <c r="G225" s="96">
        <f t="shared" si="42"/>
        <v>0</v>
      </c>
      <c r="H225" s="112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81"/>
      <c r="X225" s="49">
        <f t="shared" si="33"/>
        <v>0</v>
      </c>
      <c r="Y225" s="49">
        <f>[2]BASE!A223</f>
        <v>214</v>
      </c>
      <c r="Z225" s="69">
        <f t="shared" si="34"/>
        <v>0</v>
      </c>
      <c r="AA225" s="69">
        <f t="shared" si="35"/>
        <v>0</v>
      </c>
      <c r="AB225" s="69">
        <f t="shared" si="36"/>
        <v>0</v>
      </c>
      <c r="AC225" s="69">
        <f t="shared" si="37"/>
        <v>0</v>
      </c>
      <c r="AD225" s="69">
        <f t="shared" si="38"/>
        <v>0</v>
      </c>
    </row>
    <row r="226" spans="1:30" ht="17.25" customHeight="1">
      <c r="A226" s="95" t="str">
        <f>IF(BASE!B224="","",BASE!B224)</f>
        <v/>
      </c>
      <c r="B226" s="92" t="s">
        <v>2</v>
      </c>
      <c r="C226" s="96">
        <f t="shared" si="39"/>
        <v>0</v>
      </c>
      <c r="D226" s="96">
        <f t="shared" si="40"/>
        <v>0</v>
      </c>
      <c r="E226" s="96">
        <f t="shared" si="43"/>
        <v>0</v>
      </c>
      <c r="F226" s="96">
        <f t="shared" si="41"/>
        <v>0</v>
      </c>
      <c r="G226" s="96">
        <f t="shared" si="42"/>
        <v>0</v>
      </c>
      <c r="H226" s="112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81"/>
      <c r="X226" s="49">
        <f t="shared" si="33"/>
        <v>0</v>
      </c>
      <c r="Y226" s="49">
        <f>[2]BASE!A224</f>
        <v>215</v>
      </c>
      <c r="Z226" s="69">
        <f t="shared" si="34"/>
        <v>0</v>
      </c>
      <c r="AA226" s="69">
        <f t="shared" si="35"/>
        <v>0</v>
      </c>
      <c r="AB226" s="69">
        <f t="shared" si="36"/>
        <v>0</v>
      </c>
      <c r="AC226" s="69">
        <f t="shared" si="37"/>
        <v>0</v>
      </c>
      <c r="AD226" s="69">
        <f t="shared" si="38"/>
        <v>0</v>
      </c>
    </row>
    <row r="227" spans="1:30" ht="17.25" customHeight="1">
      <c r="A227" s="95" t="str">
        <f>IF(BASE!B225="","",BASE!B225)</f>
        <v/>
      </c>
      <c r="B227" s="92" t="s">
        <v>2</v>
      </c>
      <c r="C227" s="96">
        <f t="shared" si="39"/>
        <v>0</v>
      </c>
      <c r="D227" s="96">
        <f t="shared" si="40"/>
        <v>0</v>
      </c>
      <c r="E227" s="96">
        <f t="shared" si="43"/>
        <v>0</v>
      </c>
      <c r="F227" s="96">
        <f t="shared" si="41"/>
        <v>0</v>
      </c>
      <c r="G227" s="96">
        <f t="shared" si="42"/>
        <v>0</v>
      </c>
      <c r="H227" s="112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81"/>
      <c r="X227" s="49">
        <f t="shared" si="33"/>
        <v>0</v>
      </c>
      <c r="Y227" s="49">
        <f>[2]BASE!A225</f>
        <v>216</v>
      </c>
      <c r="Z227" s="69">
        <f t="shared" si="34"/>
        <v>0</v>
      </c>
      <c r="AA227" s="69">
        <f t="shared" si="35"/>
        <v>0</v>
      </c>
      <c r="AB227" s="69">
        <f t="shared" si="36"/>
        <v>0</v>
      </c>
      <c r="AC227" s="69">
        <f t="shared" si="37"/>
        <v>0</v>
      </c>
      <c r="AD227" s="69">
        <f t="shared" si="38"/>
        <v>0</v>
      </c>
    </row>
    <row r="228" spans="1:30" ht="17.25" customHeight="1">
      <c r="A228" s="95" t="str">
        <f>IF(BASE!B226="","",BASE!B226)</f>
        <v/>
      </c>
      <c r="B228" s="92" t="s">
        <v>2</v>
      </c>
      <c r="C228" s="96">
        <f t="shared" si="39"/>
        <v>0</v>
      </c>
      <c r="D228" s="96">
        <f t="shared" si="40"/>
        <v>0</v>
      </c>
      <c r="E228" s="96">
        <f t="shared" si="43"/>
        <v>0</v>
      </c>
      <c r="F228" s="96">
        <f t="shared" si="41"/>
        <v>0</v>
      </c>
      <c r="G228" s="96">
        <f t="shared" si="42"/>
        <v>0</v>
      </c>
      <c r="H228" s="112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81"/>
      <c r="X228" s="49">
        <f t="shared" si="33"/>
        <v>0</v>
      </c>
      <c r="Y228" s="49">
        <f>[2]BASE!A226</f>
        <v>217</v>
      </c>
      <c r="Z228" s="69">
        <f t="shared" si="34"/>
        <v>0</v>
      </c>
      <c r="AA228" s="69">
        <f t="shared" si="35"/>
        <v>0</v>
      </c>
      <c r="AB228" s="69">
        <f t="shared" si="36"/>
        <v>0</v>
      </c>
      <c r="AC228" s="69">
        <f t="shared" si="37"/>
        <v>0</v>
      </c>
      <c r="AD228" s="69">
        <f t="shared" si="38"/>
        <v>0</v>
      </c>
    </row>
    <row r="229" spans="1:30" ht="17.25" customHeight="1">
      <c r="A229" s="95" t="str">
        <f>IF(BASE!B227="","",BASE!B227)</f>
        <v/>
      </c>
      <c r="B229" s="92" t="s">
        <v>2</v>
      </c>
      <c r="C229" s="96">
        <f t="shared" si="39"/>
        <v>0</v>
      </c>
      <c r="D229" s="96">
        <f t="shared" si="40"/>
        <v>0</v>
      </c>
      <c r="E229" s="96">
        <f t="shared" si="43"/>
        <v>0</v>
      </c>
      <c r="F229" s="96">
        <f t="shared" si="41"/>
        <v>0</v>
      </c>
      <c r="G229" s="96">
        <f t="shared" si="42"/>
        <v>0</v>
      </c>
      <c r="H229" s="112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81"/>
      <c r="X229" s="49">
        <f t="shared" si="33"/>
        <v>0</v>
      </c>
      <c r="Y229" s="49">
        <f>[2]BASE!A227</f>
        <v>218</v>
      </c>
      <c r="Z229" s="69">
        <f t="shared" si="34"/>
        <v>0</v>
      </c>
      <c r="AA229" s="69">
        <f t="shared" si="35"/>
        <v>0</v>
      </c>
      <c r="AB229" s="69">
        <f t="shared" si="36"/>
        <v>0</v>
      </c>
      <c r="AC229" s="69">
        <f t="shared" si="37"/>
        <v>0</v>
      </c>
      <c r="AD229" s="69">
        <f t="shared" si="38"/>
        <v>0</v>
      </c>
    </row>
    <row r="230" spans="1:30" ht="17.25" customHeight="1">
      <c r="A230" s="95" t="str">
        <f>IF(BASE!B228="","",BASE!B228)</f>
        <v/>
      </c>
      <c r="B230" s="92" t="s">
        <v>2</v>
      </c>
      <c r="C230" s="96">
        <f t="shared" si="39"/>
        <v>0</v>
      </c>
      <c r="D230" s="96">
        <f t="shared" si="40"/>
        <v>0</v>
      </c>
      <c r="E230" s="96">
        <f t="shared" si="43"/>
        <v>0</v>
      </c>
      <c r="F230" s="96">
        <f t="shared" si="41"/>
        <v>0</v>
      </c>
      <c r="G230" s="96">
        <f t="shared" si="42"/>
        <v>0</v>
      </c>
      <c r="H230" s="112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81"/>
      <c r="X230" s="49">
        <f t="shared" si="33"/>
        <v>0</v>
      </c>
      <c r="Y230" s="49">
        <f>[2]BASE!A228</f>
        <v>219</v>
      </c>
      <c r="Z230" s="69">
        <f t="shared" si="34"/>
        <v>0</v>
      </c>
      <c r="AA230" s="69">
        <f t="shared" si="35"/>
        <v>0</v>
      </c>
      <c r="AB230" s="69">
        <f t="shared" si="36"/>
        <v>0</v>
      </c>
      <c r="AC230" s="69">
        <f t="shared" si="37"/>
        <v>0</v>
      </c>
      <c r="AD230" s="69">
        <f t="shared" si="38"/>
        <v>0</v>
      </c>
    </row>
    <row r="231" spans="1:30" ht="17.25" customHeight="1">
      <c r="A231" s="95" t="str">
        <f>IF(BASE!B229="","",BASE!B229)</f>
        <v/>
      </c>
      <c r="B231" s="92" t="s">
        <v>2</v>
      </c>
      <c r="C231" s="96">
        <f t="shared" si="39"/>
        <v>0</v>
      </c>
      <c r="D231" s="96">
        <f t="shared" si="40"/>
        <v>0</v>
      </c>
      <c r="E231" s="96">
        <f t="shared" si="43"/>
        <v>0</v>
      </c>
      <c r="F231" s="96">
        <f t="shared" si="41"/>
        <v>0</v>
      </c>
      <c r="G231" s="96">
        <f t="shared" si="42"/>
        <v>0</v>
      </c>
      <c r="H231" s="112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81"/>
      <c r="X231" s="49">
        <f t="shared" si="33"/>
        <v>0</v>
      </c>
      <c r="Y231" s="49">
        <f>[2]BASE!A229</f>
        <v>220</v>
      </c>
      <c r="Z231" s="69">
        <f t="shared" si="34"/>
        <v>0</v>
      </c>
      <c r="AA231" s="69">
        <f t="shared" si="35"/>
        <v>0</v>
      </c>
      <c r="AB231" s="69">
        <f t="shared" si="36"/>
        <v>0</v>
      </c>
      <c r="AC231" s="69">
        <f t="shared" si="37"/>
        <v>0</v>
      </c>
      <c r="AD231" s="69">
        <f t="shared" si="38"/>
        <v>0</v>
      </c>
    </row>
    <row r="232" spans="1:30" ht="17.25" customHeight="1">
      <c r="A232" s="95" t="str">
        <f>IF(BASE!B230="","",BASE!B230)</f>
        <v/>
      </c>
      <c r="B232" s="92" t="s">
        <v>2</v>
      </c>
      <c r="C232" s="96">
        <f t="shared" si="39"/>
        <v>0</v>
      </c>
      <c r="D232" s="96">
        <f t="shared" si="40"/>
        <v>0</v>
      </c>
      <c r="E232" s="96">
        <f t="shared" si="43"/>
        <v>0</v>
      </c>
      <c r="F232" s="96">
        <f t="shared" si="41"/>
        <v>0</v>
      </c>
      <c r="G232" s="96">
        <f t="shared" si="42"/>
        <v>0</v>
      </c>
      <c r="H232" s="112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81"/>
      <c r="X232" s="49">
        <f t="shared" si="33"/>
        <v>0</v>
      </c>
      <c r="Y232" s="49">
        <f>[2]BASE!A230</f>
        <v>221</v>
      </c>
      <c r="Z232" s="69">
        <f t="shared" si="34"/>
        <v>0</v>
      </c>
      <c r="AA232" s="69">
        <f t="shared" si="35"/>
        <v>0</v>
      </c>
      <c r="AB232" s="69">
        <f t="shared" si="36"/>
        <v>0</v>
      </c>
      <c r="AC232" s="69">
        <f t="shared" si="37"/>
        <v>0</v>
      </c>
      <c r="AD232" s="69">
        <f t="shared" si="38"/>
        <v>0</v>
      </c>
    </row>
    <row r="233" spans="1:30" ht="17.25" customHeight="1">
      <c r="A233" s="95" t="str">
        <f>IF(BASE!B231="","",BASE!B231)</f>
        <v/>
      </c>
      <c r="B233" s="92" t="s">
        <v>2</v>
      </c>
      <c r="C233" s="96">
        <f t="shared" si="39"/>
        <v>0</v>
      </c>
      <c r="D233" s="96">
        <f t="shared" si="40"/>
        <v>0</v>
      </c>
      <c r="E233" s="96">
        <f t="shared" si="43"/>
        <v>0</v>
      </c>
      <c r="F233" s="96">
        <f t="shared" si="41"/>
        <v>0</v>
      </c>
      <c r="G233" s="96">
        <f t="shared" si="42"/>
        <v>0</v>
      </c>
      <c r="H233" s="112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81"/>
      <c r="X233" s="49">
        <f t="shared" si="33"/>
        <v>0</v>
      </c>
      <c r="Y233" s="49">
        <f>[2]BASE!A231</f>
        <v>222</v>
      </c>
      <c r="Z233" s="69">
        <f t="shared" si="34"/>
        <v>0</v>
      </c>
      <c r="AA233" s="69">
        <f t="shared" si="35"/>
        <v>0</v>
      </c>
      <c r="AB233" s="69">
        <f t="shared" si="36"/>
        <v>0</v>
      </c>
      <c r="AC233" s="69">
        <f t="shared" si="37"/>
        <v>0</v>
      </c>
      <c r="AD233" s="69">
        <f t="shared" si="38"/>
        <v>0</v>
      </c>
    </row>
    <row r="234" spans="1:30" ht="17.25" customHeight="1">
      <c r="A234" s="95" t="str">
        <f>IF(BASE!B232="","",BASE!B232)</f>
        <v/>
      </c>
      <c r="B234" s="92" t="s">
        <v>2</v>
      </c>
      <c r="C234" s="96">
        <f t="shared" si="39"/>
        <v>0</v>
      </c>
      <c r="D234" s="96">
        <f t="shared" si="40"/>
        <v>0</v>
      </c>
      <c r="E234" s="96">
        <f t="shared" si="43"/>
        <v>0</v>
      </c>
      <c r="F234" s="96">
        <f t="shared" si="41"/>
        <v>0</v>
      </c>
      <c r="G234" s="96">
        <f t="shared" si="42"/>
        <v>0</v>
      </c>
      <c r="H234" s="112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81"/>
      <c r="X234" s="49">
        <f t="shared" si="33"/>
        <v>0</v>
      </c>
      <c r="Y234" s="49">
        <f>[2]BASE!A232</f>
        <v>223</v>
      </c>
      <c r="Z234" s="69">
        <f t="shared" si="34"/>
        <v>0</v>
      </c>
      <c r="AA234" s="69">
        <f t="shared" si="35"/>
        <v>0</v>
      </c>
      <c r="AB234" s="69">
        <f t="shared" si="36"/>
        <v>0</v>
      </c>
      <c r="AC234" s="69">
        <f t="shared" si="37"/>
        <v>0</v>
      </c>
      <c r="AD234" s="69">
        <f t="shared" si="38"/>
        <v>0</v>
      </c>
    </row>
    <row r="235" spans="1:30" ht="17.25" customHeight="1">
      <c r="A235" s="95" t="str">
        <f>IF(BASE!B233="","",BASE!B233)</f>
        <v/>
      </c>
      <c r="B235" s="92" t="s">
        <v>2</v>
      </c>
      <c r="C235" s="96">
        <f t="shared" si="39"/>
        <v>0</v>
      </c>
      <c r="D235" s="96">
        <f t="shared" si="40"/>
        <v>0</v>
      </c>
      <c r="E235" s="96">
        <f t="shared" si="43"/>
        <v>0</v>
      </c>
      <c r="F235" s="96">
        <f t="shared" si="41"/>
        <v>0</v>
      </c>
      <c r="G235" s="96">
        <f t="shared" si="42"/>
        <v>0</v>
      </c>
      <c r="H235" s="112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81"/>
      <c r="X235" s="49">
        <f t="shared" si="33"/>
        <v>0</v>
      </c>
      <c r="Y235" s="49">
        <f>[2]BASE!A233</f>
        <v>224</v>
      </c>
      <c r="Z235" s="69">
        <f t="shared" si="34"/>
        <v>0</v>
      </c>
      <c r="AA235" s="69">
        <f t="shared" si="35"/>
        <v>0</v>
      </c>
      <c r="AB235" s="69">
        <f t="shared" si="36"/>
        <v>0</v>
      </c>
      <c r="AC235" s="69">
        <f t="shared" si="37"/>
        <v>0</v>
      </c>
      <c r="AD235" s="69">
        <f t="shared" si="38"/>
        <v>0</v>
      </c>
    </row>
    <row r="236" spans="1:30" ht="17.25" customHeight="1">
      <c r="A236" s="95" t="str">
        <f>IF(BASE!B234="","",BASE!B234)</f>
        <v/>
      </c>
      <c r="B236" s="92" t="s">
        <v>2</v>
      </c>
      <c r="C236" s="96">
        <f t="shared" si="39"/>
        <v>0</v>
      </c>
      <c r="D236" s="96">
        <f t="shared" si="40"/>
        <v>0</v>
      </c>
      <c r="E236" s="96">
        <f t="shared" si="43"/>
        <v>0</v>
      </c>
      <c r="F236" s="96">
        <f t="shared" si="41"/>
        <v>0</v>
      </c>
      <c r="G236" s="96">
        <f t="shared" si="42"/>
        <v>0</v>
      </c>
      <c r="H236" s="112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81"/>
      <c r="X236" s="49">
        <f t="shared" si="33"/>
        <v>0</v>
      </c>
      <c r="Y236" s="49">
        <f>[2]BASE!A234</f>
        <v>225</v>
      </c>
      <c r="Z236" s="69">
        <f t="shared" si="34"/>
        <v>0</v>
      </c>
      <c r="AA236" s="69">
        <f t="shared" si="35"/>
        <v>0</v>
      </c>
      <c r="AB236" s="69">
        <f t="shared" si="36"/>
        <v>0</v>
      </c>
      <c r="AC236" s="69">
        <f t="shared" si="37"/>
        <v>0</v>
      </c>
      <c r="AD236" s="69">
        <f t="shared" si="38"/>
        <v>0</v>
      </c>
    </row>
    <row r="237" spans="1:30" ht="17.25" customHeight="1">
      <c r="A237" s="95" t="str">
        <f>IF(BASE!B235="","",BASE!B235)</f>
        <v/>
      </c>
      <c r="B237" s="92" t="s">
        <v>2</v>
      </c>
      <c r="C237" s="96">
        <f t="shared" si="39"/>
        <v>0</v>
      </c>
      <c r="D237" s="96">
        <f t="shared" si="40"/>
        <v>0</v>
      </c>
      <c r="E237" s="96">
        <f t="shared" si="43"/>
        <v>0</v>
      </c>
      <c r="F237" s="96">
        <f t="shared" si="41"/>
        <v>0</v>
      </c>
      <c r="G237" s="96">
        <f t="shared" si="42"/>
        <v>0</v>
      </c>
      <c r="H237" s="112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81"/>
      <c r="X237" s="49">
        <f t="shared" si="33"/>
        <v>0</v>
      </c>
      <c r="Y237" s="49">
        <f>[2]BASE!A235</f>
        <v>226</v>
      </c>
      <c r="Z237" s="69">
        <f t="shared" si="34"/>
        <v>0</v>
      </c>
      <c r="AA237" s="69">
        <f t="shared" si="35"/>
        <v>0</v>
      </c>
      <c r="AB237" s="69">
        <f t="shared" si="36"/>
        <v>0</v>
      </c>
      <c r="AC237" s="69">
        <f t="shared" si="37"/>
        <v>0</v>
      </c>
      <c r="AD237" s="69">
        <f t="shared" si="38"/>
        <v>0</v>
      </c>
    </row>
    <row r="238" spans="1:30" ht="17.25" customHeight="1">
      <c r="A238" s="95" t="str">
        <f>IF(BASE!B236="","",BASE!B236)</f>
        <v/>
      </c>
      <c r="B238" s="92" t="s">
        <v>2</v>
      </c>
      <c r="C238" s="96">
        <f t="shared" si="39"/>
        <v>0</v>
      </c>
      <c r="D238" s="96">
        <f t="shared" si="40"/>
        <v>0</v>
      </c>
      <c r="E238" s="96">
        <f t="shared" si="43"/>
        <v>0</v>
      </c>
      <c r="F238" s="96">
        <f t="shared" si="41"/>
        <v>0</v>
      </c>
      <c r="G238" s="96">
        <f t="shared" si="42"/>
        <v>0</v>
      </c>
      <c r="H238" s="112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81"/>
      <c r="X238" s="49">
        <f t="shared" si="33"/>
        <v>0</v>
      </c>
      <c r="Y238" s="49">
        <f>[2]BASE!A236</f>
        <v>227</v>
      </c>
      <c r="Z238" s="69">
        <f t="shared" si="34"/>
        <v>0</v>
      </c>
      <c r="AA238" s="69">
        <f t="shared" si="35"/>
        <v>0</v>
      </c>
      <c r="AB238" s="69">
        <f t="shared" si="36"/>
        <v>0</v>
      </c>
      <c r="AC238" s="69">
        <f t="shared" si="37"/>
        <v>0</v>
      </c>
      <c r="AD238" s="69">
        <f t="shared" si="38"/>
        <v>0</v>
      </c>
    </row>
    <row r="239" spans="1:30" ht="17.25" customHeight="1">
      <c r="A239" s="95" t="str">
        <f>IF(BASE!B237="","",BASE!B237)</f>
        <v/>
      </c>
      <c r="B239" s="92" t="s">
        <v>2</v>
      </c>
      <c r="C239" s="96">
        <f t="shared" si="39"/>
        <v>0</v>
      </c>
      <c r="D239" s="96">
        <f t="shared" si="40"/>
        <v>0</v>
      </c>
      <c r="E239" s="96">
        <f t="shared" si="43"/>
        <v>0</v>
      </c>
      <c r="F239" s="96">
        <f t="shared" si="41"/>
        <v>0</v>
      </c>
      <c r="G239" s="96">
        <f t="shared" si="42"/>
        <v>0</v>
      </c>
      <c r="H239" s="112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81"/>
      <c r="X239" s="49">
        <f t="shared" si="33"/>
        <v>0</v>
      </c>
      <c r="Y239" s="49">
        <f>[2]BASE!A237</f>
        <v>228</v>
      </c>
      <c r="Z239" s="69">
        <f t="shared" si="34"/>
        <v>0</v>
      </c>
      <c r="AA239" s="69">
        <f t="shared" si="35"/>
        <v>0</v>
      </c>
      <c r="AB239" s="69">
        <f t="shared" si="36"/>
        <v>0</v>
      </c>
      <c r="AC239" s="69">
        <f t="shared" si="37"/>
        <v>0</v>
      </c>
      <c r="AD239" s="69">
        <f t="shared" si="38"/>
        <v>0</v>
      </c>
    </row>
    <row r="240" spans="1:30" ht="17.25" customHeight="1">
      <c r="A240" s="95" t="str">
        <f>IF(BASE!B238="","",BASE!B238)</f>
        <v/>
      </c>
      <c r="B240" s="92" t="s">
        <v>2</v>
      </c>
      <c r="C240" s="96">
        <f t="shared" si="39"/>
        <v>0</v>
      </c>
      <c r="D240" s="96">
        <f t="shared" si="40"/>
        <v>0</v>
      </c>
      <c r="E240" s="96">
        <f t="shared" si="43"/>
        <v>0</v>
      </c>
      <c r="F240" s="96">
        <f t="shared" si="41"/>
        <v>0</v>
      </c>
      <c r="G240" s="96">
        <f t="shared" si="42"/>
        <v>0</v>
      </c>
      <c r="H240" s="112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81"/>
      <c r="X240" s="49">
        <f t="shared" si="33"/>
        <v>0</v>
      </c>
      <c r="Y240" s="49">
        <f>[2]BASE!A238</f>
        <v>229</v>
      </c>
      <c r="Z240" s="69">
        <f t="shared" si="34"/>
        <v>0</v>
      </c>
      <c r="AA240" s="69">
        <f t="shared" si="35"/>
        <v>0</v>
      </c>
      <c r="AB240" s="69">
        <f t="shared" si="36"/>
        <v>0</v>
      </c>
      <c r="AC240" s="69">
        <f t="shared" si="37"/>
        <v>0</v>
      </c>
      <c r="AD240" s="69">
        <f t="shared" si="38"/>
        <v>0</v>
      </c>
    </row>
    <row r="241" spans="1:30" ht="17.25" customHeight="1">
      <c r="A241" s="95" t="str">
        <f>IF(BASE!B239="","",BASE!B239)</f>
        <v/>
      </c>
      <c r="B241" s="92" t="s">
        <v>2</v>
      </c>
      <c r="C241" s="96">
        <f t="shared" si="39"/>
        <v>0</v>
      </c>
      <c r="D241" s="96">
        <f t="shared" si="40"/>
        <v>0</v>
      </c>
      <c r="E241" s="96">
        <f t="shared" si="43"/>
        <v>0</v>
      </c>
      <c r="F241" s="96">
        <f t="shared" si="41"/>
        <v>0</v>
      </c>
      <c r="G241" s="96">
        <f t="shared" si="42"/>
        <v>0</v>
      </c>
      <c r="H241" s="112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81"/>
      <c r="X241" s="49">
        <f t="shared" si="33"/>
        <v>0</v>
      </c>
      <c r="Y241" s="49">
        <f>[2]BASE!A239</f>
        <v>230</v>
      </c>
      <c r="Z241" s="69">
        <f t="shared" si="34"/>
        <v>0</v>
      </c>
      <c r="AA241" s="69">
        <f t="shared" si="35"/>
        <v>0</v>
      </c>
      <c r="AB241" s="69">
        <f t="shared" si="36"/>
        <v>0</v>
      </c>
      <c r="AC241" s="69">
        <f t="shared" si="37"/>
        <v>0</v>
      </c>
      <c r="AD241" s="69">
        <f t="shared" si="38"/>
        <v>0</v>
      </c>
    </row>
    <row r="242" spans="1:30" ht="17.25" customHeight="1">
      <c r="A242" s="95" t="str">
        <f>IF(BASE!B240="","",BASE!B240)</f>
        <v/>
      </c>
      <c r="B242" s="92" t="s">
        <v>2</v>
      </c>
      <c r="C242" s="96">
        <f t="shared" si="39"/>
        <v>0</v>
      </c>
      <c r="D242" s="96">
        <f t="shared" si="40"/>
        <v>0</v>
      </c>
      <c r="E242" s="96">
        <f t="shared" si="43"/>
        <v>0</v>
      </c>
      <c r="F242" s="96">
        <f t="shared" si="41"/>
        <v>0</v>
      </c>
      <c r="G242" s="96">
        <f t="shared" si="42"/>
        <v>0</v>
      </c>
      <c r="H242" s="112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81"/>
      <c r="X242" s="49">
        <f t="shared" si="33"/>
        <v>0</v>
      </c>
      <c r="Y242" s="49">
        <f>[2]BASE!A240</f>
        <v>231</v>
      </c>
      <c r="Z242" s="69">
        <f t="shared" si="34"/>
        <v>0</v>
      </c>
      <c r="AA242" s="69">
        <f t="shared" si="35"/>
        <v>0</v>
      </c>
      <c r="AB242" s="69">
        <f t="shared" si="36"/>
        <v>0</v>
      </c>
      <c r="AC242" s="69">
        <f t="shared" si="37"/>
        <v>0</v>
      </c>
      <c r="AD242" s="69">
        <f t="shared" si="38"/>
        <v>0</v>
      </c>
    </row>
    <row r="243" spans="1:30" ht="17.25" customHeight="1">
      <c r="A243" s="95" t="str">
        <f>IF(BASE!B241="","",BASE!B241)</f>
        <v/>
      </c>
      <c r="B243" s="92" t="s">
        <v>2</v>
      </c>
      <c r="C243" s="96">
        <f t="shared" si="39"/>
        <v>0</v>
      </c>
      <c r="D243" s="96">
        <f t="shared" si="40"/>
        <v>0</v>
      </c>
      <c r="E243" s="96">
        <f t="shared" si="43"/>
        <v>0</v>
      </c>
      <c r="F243" s="96">
        <f t="shared" si="41"/>
        <v>0</v>
      </c>
      <c r="G243" s="96">
        <f t="shared" si="42"/>
        <v>0</v>
      </c>
      <c r="H243" s="112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81"/>
      <c r="X243" s="49">
        <f t="shared" si="33"/>
        <v>0</v>
      </c>
      <c r="Y243" s="49">
        <f>[2]BASE!A241</f>
        <v>232</v>
      </c>
      <c r="Z243" s="69">
        <f t="shared" si="34"/>
        <v>0</v>
      </c>
      <c r="AA243" s="69">
        <f t="shared" si="35"/>
        <v>0</v>
      </c>
      <c r="AB243" s="69">
        <f t="shared" si="36"/>
        <v>0</v>
      </c>
      <c r="AC243" s="69">
        <f t="shared" si="37"/>
        <v>0</v>
      </c>
      <c r="AD243" s="69">
        <f t="shared" si="38"/>
        <v>0</v>
      </c>
    </row>
    <row r="244" spans="1:30" ht="17.25" customHeight="1">
      <c r="A244" s="95" t="str">
        <f>IF(BASE!B242="","",BASE!B242)</f>
        <v/>
      </c>
      <c r="B244" s="92" t="s">
        <v>2</v>
      </c>
      <c r="C244" s="96">
        <f t="shared" si="39"/>
        <v>0</v>
      </c>
      <c r="D244" s="96">
        <f t="shared" si="40"/>
        <v>0</v>
      </c>
      <c r="E244" s="96">
        <f t="shared" si="43"/>
        <v>0</v>
      </c>
      <c r="F244" s="96">
        <f t="shared" si="41"/>
        <v>0</v>
      </c>
      <c r="G244" s="96">
        <f t="shared" si="42"/>
        <v>0</v>
      </c>
      <c r="H244" s="112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81"/>
      <c r="X244" s="49">
        <f t="shared" si="33"/>
        <v>0</v>
      </c>
      <c r="Y244" s="49">
        <f>[2]BASE!A242</f>
        <v>233</v>
      </c>
      <c r="Z244" s="69">
        <f t="shared" si="34"/>
        <v>0</v>
      </c>
      <c r="AA244" s="69">
        <f t="shared" si="35"/>
        <v>0</v>
      </c>
      <c r="AB244" s="69">
        <f t="shared" si="36"/>
        <v>0</v>
      </c>
      <c r="AC244" s="69">
        <f t="shared" si="37"/>
        <v>0</v>
      </c>
      <c r="AD244" s="69">
        <f t="shared" si="38"/>
        <v>0</v>
      </c>
    </row>
    <row r="245" spans="1:30" ht="17.25" customHeight="1">
      <c r="A245" s="95" t="str">
        <f>IF(BASE!B243="","",BASE!B243)</f>
        <v/>
      </c>
      <c r="B245" s="92" t="s">
        <v>2</v>
      </c>
      <c r="C245" s="96">
        <f t="shared" si="39"/>
        <v>0</v>
      </c>
      <c r="D245" s="96">
        <f t="shared" si="40"/>
        <v>0</v>
      </c>
      <c r="E245" s="96">
        <f t="shared" si="43"/>
        <v>0</v>
      </c>
      <c r="F245" s="96">
        <f t="shared" si="41"/>
        <v>0</v>
      </c>
      <c r="G245" s="96">
        <f t="shared" si="42"/>
        <v>0</v>
      </c>
      <c r="H245" s="112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81"/>
      <c r="X245" s="49">
        <f t="shared" si="33"/>
        <v>0</v>
      </c>
      <c r="Y245" s="49">
        <f>[2]BASE!A243</f>
        <v>234</v>
      </c>
      <c r="Z245" s="69">
        <f t="shared" si="34"/>
        <v>0</v>
      </c>
      <c r="AA245" s="69">
        <f t="shared" si="35"/>
        <v>0</v>
      </c>
      <c r="AB245" s="69">
        <f t="shared" si="36"/>
        <v>0</v>
      </c>
      <c r="AC245" s="69">
        <f t="shared" si="37"/>
        <v>0</v>
      </c>
      <c r="AD245" s="69">
        <f t="shared" si="38"/>
        <v>0</v>
      </c>
    </row>
    <row r="246" spans="1:30" ht="17.25" customHeight="1">
      <c r="A246" s="95" t="str">
        <f>IF(BASE!B244="","",BASE!B244)</f>
        <v/>
      </c>
      <c r="B246" s="92" t="s">
        <v>2</v>
      </c>
      <c r="C246" s="96">
        <f t="shared" si="39"/>
        <v>0</v>
      </c>
      <c r="D246" s="96">
        <f t="shared" si="40"/>
        <v>0</v>
      </c>
      <c r="E246" s="96">
        <f t="shared" si="43"/>
        <v>0</v>
      </c>
      <c r="F246" s="96">
        <f t="shared" si="41"/>
        <v>0</v>
      </c>
      <c r="G246" s="96">
        <f t="shared" si="42"/>
        <v>0</v>
      </c>
      <c r="H246" s="112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81"/>
      <c r="X246" s="49">
        <f t="shared" si="33"/>
        <v>0</v>
      </c>
      <c r="Y246" s="49">
        <f>[2]BASE!A244</f>
        <v>235</v>
      </c>
      <c r="Z246" s="69">
        <f t="shared" si="34"/>
        <v>0</v>
      </c>
      <c r="AA246" s="69">
        <f t="shared" si="35"/>
        <v>0</v>
      </c>
      <c r="AB246" s="69">
        <f t="shared" si="36"/>
        <v>0</v>
      </c>
      <c r="AC246" s="69">
        <f t="shared" si="37"/>
        <v>0</v>
      </c>
      <c r="AD246" s="69">
        <f t="shared" si="38"/>
        <v>0</v>
      </c>
    </row>
    <row r="247" spans="1:30" ht="17.25" customHeight="1">
      <c r="A247" s="95" t="str">
        <f>IF(BASE!B245="","",BASE!B245)</f>
        <v/>
      </c>
      <c r="B247" s="92" t="s">
        <v>2</v>
      </c>
      <c r="C247" s="96">
        <f t="shared" si="39"/>
        <v>0</v>
      </c>
      <c r="D247" s="96">
        <f t="shared" si="40"/>
        <v>0</v>
      </c>
      <c r="E247" s="96">
        <f t="shared" si="43"/>
        <v>0</v>
      </c>
      <c r="F247" s="96">
        <f t="shared" si="41"/>
        <v>0</v>
      </c>
      <c r="G247" s="96">
        <f t="shared" si="42"/>
        <v>0</v>
      </c>
      <c r="H247" s="112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81"/>
      <c r="X247" s="49">
        <f t="shared" si="33"/>
        <v>0</v>
      </c>
      <c r="Y247" s="49">
        <f>[2]BASE!A245</f>
        <v>236</v>
      </c>
      <c r="Z247" s="69">
        <f t="shared" si="34"/>
        <v>0</v>
      </c>
      <c r="AA247" s="69">
        <f t="shared" si="35"/>
        <v>0</v>
      </c>
      <c r="AB247" s="69">
        <f t="shared" si="36"/>
        <v>0</v>
      </c>
      <c r="AC247" s="69">
        <f t="shared" si="37"/>
        <v>0</v>
      </c>
      <c r="AD247" s="69">
        <f t="shared" si="38"/>
        <v>0</v>
      </c>
    </row>
    <row r="248" spans="1:30" ht="17.25" customHeight="1">
      <c r="A248" s="95" t="str">
        <f>IF(BASE!B246="","",BASE!B246)</f>
        <v/>
      </c>
      <c r="B248" s="92" t="s">
        <v>2</v>
      </c>
      <c r="C248" s="96">
        <f t="shared" si="39"/>
        <v>0</v>
      </c>
      <c r="D248" s="96">
        <f t="shared" si="40"/>
        <v>0</v>
      </c>
      <c r="E248" s="96">
        <f t="shared" si="43"/>
        <v>0</v>
      </c>
      <c r="F248" s="96">
        <f t="shared" si="41"/>
        <v>0</v>
      </c>
      <c r="G248" s="96">
        <f t="shared" si="42"/>
        <v>0</v>
      </c>
      <c r="H248" s="112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81"/>
      <c r="X248" s="49">
        <f t="shared" si="33"/>
        <v>0</v>
      </c>
      <c r="Y248" s="49">
        <f>[2]BASE!A246</f>
        <v>237</v>
      </c>
      <c r="Z248" s="69">
        <f t="shared" si="34"/>
        <v>0</v>
      </c>
      <c r="AA248" s="69">
        <f t="shared" si="35"/>
        <v>0</v>
      </c>
      <c r="AB248" s="69">
        <f t="shared" si="36"/>
        <v>0</v>
      </c>
      <c r="AC248" s="69">
        <f t="shared" si="37"/>
        <v>0</v>
      </c>
      <c r="AD248" s="69">
        <f t="shared" si="38"/>
        <v>0</v>
      </c>
    </row>
    <row r="249" spans="1:30" ht="17.25" customHeight="1">
      <c r="A249" s="95" t="str">
        <f>IF(BASE!B247="","",BASE!B247)</f>
        <v/>
      </c>
      <c r="B249" s="92" t="s">
        <v>2</v>
      </c>
      <c r="C249" s="96">
        <f t="shared" si="39"/>
        <v>0</v>
      </c>
      <c r="D249" s="96">
        <f t="shared" si="40"/>
        <v>0</v>
      </c>
      <c r="E249" s="96">
        <f t="shared" si="43"/>
        <v>0</v>
      </c>
      <c r="F249" s="96">
        <f t="shared" si="41"/>
        <v>0</v>
      </c>
      <c r="G249" s="96">
        <f t="shared" si="42"/>
        <v>0</v>
      </c>
      <c r="H249" s="112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81"/>
      <c r="X249" s="49">
        <f t="shared" si="33"/>
        <v>0</v>
      </c>
      <c r="Y249" s="49">
        <f>[2]BASE!A247</f>
        <v>238</v>
      </c>
      <c r="Z249" s="69">
        <f t="shared" si="34"/>
        <v>0</v>
      </c>
      <c r="AA249" s="69">
        <f t="shared" si="35"/>
        <v>0</v>
      </c>
      <c r="AB249" s="69">
        <f t="shared" si="36"/>
        <v>0</v>
      </c>
      <c r="AC249" s="69">
        <f t="shared" si="37"/>
        <v>0</v>
      </c>
      <c r="AD249" s="69">
        <f t="shared" si="38"/>
        <v>0</v>
      </c>
    </row>
    <row r="250" spans="1:30" ht="17.25" customHeight="1">
      <c r="A250" s="95" t="str">
        <f>IF(BASE!B248="","",BASE!B248)</f>
        <v/>
      </c>
      <c r="B250" s="92" t="s">
        <v>2</v>
      </c>
      <c r="C250" s="96">
        <f t="shared" si="39"/>
        <v>0</v>
      </c>
      <c r="D250" s="96">
        <f t="shared" si="40"/>
        <v>0</v>
      </c>
      <c r="E250" s="96">
        <f t="shared" si="43"/>
        <v>0</v>
      </c>
      <c r="F250" s="96">
        <f t="shared" si="41"/>
        <v>0</v>
      </c>
      <c r="G250" s="96">
        <f t="shared" si="42"/>
        <v>0</v>
      </c>
      <c r="H250" s="112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81"/>
      <c r="X250" s="49">
        <f t="shared" si="33"/>
        <v>0</v>
      </c>
      <c r="Y250" s="49">
        <f>[2]BASE!A248</f>
        <v>239</v>
      </c>
      <c r="Z250" s="69">
        <f t="shared" si="34"/>
        <v>0</v>
      </c>
      <c r="AA250" s="69">
        <f t="shared" si="35"/>
        <v>0</v>
      </c>
      <c r="AB250" s="69">
        <f t="shared" si="36"/>
        <v>0</v>
      </c>
      <c r="AC250" s="69">
        <f t="shared" si="37"/>
        <v>0</v>
      </c>
      <c r="AD250" s="69">
        <f t="shared" si="38"/>
        <v>0</v>
      </c>
    </row>
    <row r="251" spans="1:30" ht="17.25" customHeight="1">
      <c r="A251" s="95" t="str">
        <f>IF(BASE!B249="","",BASE!B249)</f>
        <v/>
      </c>
      <c r="B251" s="92" t="s">
        <v>2</v>
      </c>
      <c r="C251" s="96">
        <f t="shared" si="39"/>
        <v>0</v>
      </c>
      <c r="D251" s="96">
        <f t="shared" si="40"/>
        <v>0</v>
      </c>
      <c r="E251" s="96">
        <f t="shared" si="43"/>
        <v>0</v>
      </c>
      <c r="F251" s="96">
        <f t="shared" si="41"/>
        <v>0</v>
      </c>
      <c r="G251" s="96">
        <f t="shared" si="42"/>
        <v>0</v>
      </c>
      <c r="H251" s="112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81"/>
      <c r="X251" s="49">
        <f t="shared" si="33"/>
        <v>0</v>
      </c>
      <c r="Y251" s="49">
        <f>[2]BASE!A249</f>
        <v>240</v>
      </c>
      <c r="Z251" s="69">
        <f t="shared" si="34"/>
        <v>0</v>
      </c>
      <c r="AA251" s="69">
        <f t="shared" si="35"/>
        <v>0</v>
      </c>
      <c r="AB251" s="69">
        <f t="shared" si="36"/>
        <v>0</v>
      </c>
      <c r="AC251" s="69">
        <f t="shared" si="37"/>
        <v>0</v>
      </c>
      <c r="AD251" s="69">
        <f t="shared" si="38"/>
        <v>0</v>
      </c>
    </row>
    <row r="252" spans="1:30" ht="17.25" customHeight="1">
      <c r="A252" s="95" t="str">
        <f>IF(BASE!B250="","",BASE!B250)</f>
        <v/>
      </c>
      <c r="B252" s="92" t="s">
        <v>2</v>
      </c>
      <c r="C252" s="96">
        <f t="shared" si="39"/>
        <v>0</v>
      </c>
      <c r="D252" s="96">
        <f t="shared" si="40"/>
        <v>0</v>
      </c>
      <c r="E252" s="96">
        <f t="shared" si="43"/>
        <v>0</v>
      </c>
      <c r="F252" s="96">
        <f t="shared" si="41"/>
        <v>0</v>
      </c>
      <c r="G252" s="96">
        <f t="shared" si="42"/>
        <v>0</v>
      </c>
      <c r="H252" s="112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89"/>
      <c r="X252" s="49">
        <f t="shared" si="33"/>
        <v>0</v>
      </c>
      <c r="Y252" s="49">
        <f>[2]BASE!A250</f>
        <v>241</v>
      </c>
      <c r="Z252" s="69">
        <f t="shared" si="34"/>
        <v>0</v>
      </c>
      <c r="AA252" s="69">
        <f t="shared" si="35"/>
        <v>0</v>
      </c>
      <c r="AB252" s="69">
        <f t="shared" si="36"/>
        <v>0</v>
      </c>
      <c r="AC252" s="69">
        <f t="shared" si="37"/>
        <v>0</v>
      </c>
      <c r="AD252" s="69">
        <f t="shared" si="38"/>
        <v>0</v>
      </c>
    </row>
    <row r="253" spans="1:30" ht="17.25" customHeight="1">
      <c r="A253" s="95" t="str">
        <f>IF(BASE!B251="","",BASE!B251)</f>
        <v/>
      </c>
      <c r="B253" s="92" t="s">
        <v>2</v>
      </c>
      <c r="C253" s="96">
        <f t="shared" si="39"/>
        <v>0</v>
      </c>
      <c r="D253" s="96">
        <f t="shared" si="40"/>
        <v>0</v>
      </c>
      <c r="E253" s="96">
        <f t="shared" si="43"/>
        <v>0</v>
      </c>
      <c r="F253" s="96">
        <f t="shared" si="41"/>
        <v>0</v>
      </c>
      <c r="G253" s="96">
        <f t="shared" si="42"/>
        <v>0</v>
      </c>
      <c r="H253" s="112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89"/>
      <c r="X253" s="49">
        <f t="shared" si="33"/>
        <v>0</v>
      </c>
      <c r="Y253" s="49">
        <f>[2]BASE!A251</f>
        <v>242</v>
      </c>
      <c r="Z253" s="69">
        <f t="shared" si="34"/>
        <v>0</v>
      </c>
      <c r="AA253" s="69">
        <f t="shared" si="35"/>
        <v>0</v>
      </c>
      <c r="AB253" s="69">
        <f t="shared" si="36"/>
        <v>0</v>
      </c>
      <c r="AC253" s="69">
        <f t="shared" si="37"/>
        <v>0</v>
      </c>
      <c r="AD253" s="69">
        <f t="shared" si="38"/>
        <v>0</v>
      </c>
    </row>
    <row r="254" spans="1:30" ht="17.25" customHeight="1">
      <c r="A254" s="95" t="str">
        <f>IF(BASE!B252="","",BASE!B252)</f>
        <v/>
      </c>
      <c r="B254" s="92" t="s">
        <v>2</v>
      </c>
      <c r="C254" s="96">
        <f t="shared" si="39"/>
        <v>0</v>
      </c>
      <c r="D254" s="96">
        <f t="shared" si="40"/>
        <v>0</v>
      </c>
      <c r="E254" s="96">
        <f t="shared" si="43"/>
        <v>0</v>
      </c>
      <c r="F254" s="96">
        <f t="shared" si="41"/>
        <v>0</v>
      </c>
      <c r="G254" s="96">
        <f t="shared" si="42"/>
        <v>0</v>
      </c>
      <c r="H254" s="112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89"/>
      <c r="X254" s="49">
        <f t="shared" si="33"/>
        <v>0</v>
      </c>
      <c r="Y254" s="49">
        <f>[2]BASE!A252</f>
        <v>243</v>
      </c>
      <c r="Z254" s="69">
        <f t="shared" si="34"/>
        <v>0</v>
      </c>
      <c r="AA254" s="69">
        <f t="shared" si="35"/>
        <v>0</v>
      </c>
      <c r="AB254" s="69">
        <f t="shared" si="36"/>
        <v>0</v>
      </c>
      <c r="AC254" s="69">
        <f t="shared" si="37"/>
        <v>0</v>
      </c>
      <c r="AD254" s="69">
        <f t="shared" si="38"/>
        <v>0</v>
      </c>
    </row>
    <row r="255" spans="1:30" ht="17.25" customHeight="1">
      <c r="A255" s="95" t="str">
        <f>IF(BASE!B253="","",BASE!B253)</f>
        <v/>
      </c>
      <c r="B255" s="92" t="s">
        <v>2</v>
      </c>
      <c r="C255" s="96">
        <f t="shared" si="39"/>
        <v>0</v>
      </c>
      <c r="D255" s="96">
        <f t="shared" si="40"/>
        <v>0</v>
      </c>
      <c r="E255" s="96">
        <f t="shared" si="43"/>
        <v>0</v>
      </c>
      <c r="F255" s="96">
        <f t="shared" si="41"/>
        <v>0</v>
      </c>
      <c r="G255" s="96">
        <f t="shared" si="42"/>
        <v>0</v>
      </c>
      <c r="H255" s="112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89"/>
      <c r="X255" s="49">
        <f t="shared" si="33"/>
        <v>0</v>
      </c>
      <c r="Y255" s="49">
        <f>[2]BASE!A253</f>
        <v>244</v>
      </c>
      <c r="Z255" s="69">
        <f t="shared" si="34"/>
        <v>0</v>
      </c>
      <c r="AA255" s="69">
        <f t="shared" si="35"/>
        <v>0</v>
      </c>
      <c r="AB255" s="69">
        <f t="shared" si="36"/>
        <v>0</v>
      </c>
      <c r="AC255" s="69">
        <f t="shared" si="37"/>
        <v>0</v>
      </c>
      <c r="AD255" s="69">
        <f t="shared" si="38"/>
        <v>0</v>
      </c>
    </row>
    <row r="256" spans="1:30" ht="17.25" customHeight="1">
      <c r="A256" s="95" t="str">
        <f>IF(BASE!B254="","",BASE!B254)</f>
        <v/>
      </c>
      <c r="B256" s="92" t="s">
        <v>2</v>
      </c>
      <c r="C256" s="96">
        <f t="shared" si="39"/>
        <v>0</v>
      </c>
      <c r="D256" s="96">
        <f t="shared" si="40"/>
        <v>0</v>
      </c>
      <c r="E256" s="96">
        <f t="shared" si="43"/>
        <v>0</v>
      </c>
      <c r="F256" s="96">
        <f t="shared" si="41"/>
        <v>0</v>
      </c>
      <c r="G256" s="96">
        <f t="shared" si="42"/>
        <v>0</v>
      </c>
      <c r="H256" s="112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89"/>
      <c r="X256" s="49">
        <f t="shared" si="33"/>
        <v>0</v>
      </c>
      <c r="Y256" s="49">
        <f>[2]BASE!A254</f>
        <v>245</v>
      </c>
      <c r="Z256" s="69">
        <f t="shared" si="34"/>
        <v>0</v>
      </c>
      <c r="AA256" s="69">
        <f t="shared" si="35"/>
        <v>0</v>
      </c>
      <c r="AB256" s="69">
        <f t="shared" si="36"/>
        <v>0</v>
      </c>
      <c r="AC256" s="69">
        <f t="shared" si="37"/>
        <v>0</v>
      </c>
      <c r="AD256" s="69">
        <f t="shared" si="38"/>
        <v>0</v>
      </c>
    </row>
    <row r="257" spans="1:30" ht="17.25" customHeight="1">
      <c r="A257" s="95" t="str">
        <f>IF(BASE!B255="","",BASE!B255)</f>
        <v/>
      </c>
      <c r="B257" s="92" t="s">
        <v>2</v>
      </c>
      <c r="C257" s="96">
        <f t="shared" si="39"/>
        <v>0</v>
      </c>
      <c r="D257" s="96">
        <f t="shared" si="40"/>
        <v>0</v>
      </c>
      <c r="E257" s="96">
        <f t="shared" si="43"/>
        <v>0</v>
      </c>
      <c r="F257" s="96">
        <f t="shared" si="41"/>
        <v>0</v>
      </c>
      <c r="G257" s="96">
        <f t="shared" si="42"/>
        <v>0</v>
      </c>
      <c r="H257" s="112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89"/>
      <c r="X257" s="49">
        <f t="shared" si="33"/>
        <v>0</v>
      </c>
      <c r="Y257" s="49">
        <f>[2]BASE!A255</f>
        <v>246</v>
      </c>
      <c r="Z257" s="69">
        <f t="shared" si="34"/>
        <v>0</v>
      </c>
      <c r="AA257" s="69">
        <f t="shared" si="35"/>
        <v>0</v>
      </c>
      <c r="AB257" s="69">
        <f t="shared" si="36"/>
        <v>0</v>
      </c>
      <c r="AC257" s="69">
        <f t="shared" si="37"/>
        <v>0</v>
      </c>
      <c r="AD257" s="69">
        <f t="shared" si="38"/>
        <v>0</v>
      </c>
    </row>
    <row r="258" spans="1:30" ht="17.25" customHeight="1">
      <c r="A258" s="95" t="str">
        <f>IF(BASE!B256="","",BASE!B256)</f>
        <v/>
      </c>
      <c r="B258" s="92" t="s">
        <v>2</v>
      </c>
      <c r="C258" s="96">
        <f t="shared" si="39"/>
        <v>0</v>
      </c>
      <c r="D258" s="96">
        <f t="shared" si="40"/>
        <v>0</v>
      </c>
      <c r="E258" s="96">
        <f t="shared" si="43"/>
        <v>0</v>
      </c>
      <c r="F258" s="96">
        <f t="shared" si="41"/>
        <v>0</v>
      </c>
      <c r="G258" s="96">
        <f t="shared" si="42"/>
        <v>0</v>
      </c>
      <c r="H258" s="112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89"/>
      <c r="X258" s="49">
        <f t="shared" si="33"/>
        <v>0</v>
      </c>
      <c r="Y258" s="49">
        <f>[2]BASE!A256</f>
        <v>247</v>
      </c>
      <c r="Z258" s="69">
        <f t="shared" si="34"/>
        <v>0</v>
      </c>
      <c r="AA258" s="69">
        <f t="shared" si="35"/>
        <v>0</v>
      </c>
      <c r="AB258" s="69">
        <f t="shared" si="36"/>
        <v>0</v>
      </c>
      <c r="AC258" s="69">
        <f t="shared" si="37"/>
        <v>0</v>
      </c>
      <c r="AD258" s="69">
        <f t="shared" si="38"/>
        <v>0</v>
      </c>
    </row>
    <row r="259" spans="1:30" ht="17.25" customHeight="1">
      <c r="A259" s="95" t="str">
        <f>IF(BASE!B257="","",BASE!B257)</f>
        <v/>
      </c>
      <c r="B259" s="92" t="s">
        <v>2</v>
      </c>
      <c r="C259" s="96">
        <f t="shared" si="39"/>
        <v>0</v>
      </c>
      <c r="D259" s="96">
        <f t="shared" si="40"/>
        <v>0</v>
      </c>
      <c r="E259" s="96">
        <f t="shared" si="43"/>
        <v>0</v>
      </c>
      <c r="F259" s="96">
        <f t="shared" si="41"/>
        <v>0</v>
      </c>
      <c r="G259" s="96">
        <f t="shared" si="42"/>
        <v>0</v>
      </c>
      <c r="H259" s="112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89"/>
      <c r="X259" s="49">
        <f t="shared" si="33"/>
        <v>0</v>
      </c>
      <c r="Y259" s="49">
        <f>[2]BASE!A257</f>
        <v>248</v>
      </c>
      <c r="Z259" s="69">
        <f t="shared" si="34"/>
        <v>0</v>
      </c>
      <c r="AA259" s="69">
        <f t="shared" si="35"/>
        <v>0</v>
      </c>
      <c r="AB259" s="69">
        <f t="shared" si="36"/>
        <v>0</v>
      </c>
      <c r="AC259" s="69">
        <f t="shared" si="37"/>
        <v>0</v>
      </c>
      <c r="AD259" s="69">
        <f t="shared" si="38"/>
        <v>0</v>
      </c>
    </row>
    <row r="260" spans="1:30" ht="17.25" customHeight="1">
      <c r="A260" s="95" t="str">
        <f>IF(BASE!B258="","",BASE!B258)</f>
        <v/>
      </c>
      <c r="B260" s="92" t="s">
        <v>2</v>
      </c>
      <c r="C260" s="96">
        <f t="shared" si="39"/>
        <v>0</v>
      </c>
      <c r="D260" s="96">
        <f t="shared" si="40"/>
        <v>0</v>
      </c>
      <c r="E260" s="96">
        <f t="shared" si="43"/>
        <v>0</v>
      </c>
      <c r="F260" s="96">
        <f t="shared" si="41"/>
        <v>0</v>
      </c>
      <c r="G260" s="96">
        <f t="shared" si="42"/>
        <v>0</v>
      </c>
      <c r="H260" s="112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89"/>
      <c r="X260" s="49">
        <f t="shared" si="33"/>
        <v>0</v>
      </c>
      <c r="Y260" s="49">
        <f>[2]BASE!A258</f>
        <v>249</v>
      </c>
      <c r="Z260" s="69">
        <f t="shared" si="34"/>
        <v>0</v>
      </c>
      <c r="AA260" s="69">
        <f t="shared" si="35"/>
        <v>0</v>
      </c>
      <c r="AB260" s="69">
        <f t="shared" si="36"/>
        <v>0</v>
      </c>
      <c r="AC260" s="69">
        <f t="shared" si="37"/>
        <v>0</v>
      </c>
      <c r="AD260" s="69">
        <f t="shared" si="38"/>
        <v>0</v>
      </c>
    </row>
    <row r="261" spans="1:30" ht="17.25" customHeight="1">
      <c r="A261" s="95" t="str">
        <f>IF(BASE!B259="","",BASE!B259)</f>
        <v/>
      </c>
      <c r="B261" s="92" t="s">
        <v>2</v>
      </c>
      <c r="C261" s="96">
        <f t="shared" si="39"/>
        <v>0</v>
      </c>
      <c r="D261" s="96">
        <f t="shared" si="40"/>
        <v>0</v>
      </c>
      <c r="E261" s="96">
        <f t="shared" si="43"/>
        <v>0</v>
      </c>
      <c r="F261" s="96">
        <f t="shared" si="41"/>
        <v>0</v>
      </c>
      <c r="G261" s="96">
        <f t="shared" si="42"/>
        <v>0</v>
      </c>
      <c r="H261" s="112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89"/>
      <c r="X261" s="49">
        <f t="shared" si="33"/>
        <v>0</v>
      </c>
      <c r="Y261" s="49">
        <f>[2]BASE!A259</f>
        <v>250</v>
      </c>
      <c r="Z261" s="69">
        <f t="shared" si="34"/>
        <v>0</v>
      </c>
      <c r="AA261" s="69">
        <f t="shared" si="35"/>
        <v>0</v>
      </c>
      <c r="AB261" s="69">
        <f t="shared" si="36"/>
        <v>0</v>
      </c>
      <c r="AC261" s="69">
        <f t="shared" si="37"/>
        <v>0</v>
      </c>
      <c r="AD261" s="69">
        <f t="shared" si="38"/>
        <v>0</v>
      </c>
    </row>
    <row r="262" spans="1:30" ht="17.25" customHeight="1">
      <c r="A262" s="95" t="str">
        <f>IF(BASE!B260="","",BASE!B260)</f>
        <v/>
      </c>
      <c r="B262" s="92" t="s">
        <v>2</v>
      </c>
      <c r="C262" s="96">
        <f t="shared" si="39"/>
        <v>0</v>
      </c>
      <c r="D262" s="96">
        <f t="shared" si="40"/>
        <v>0</v>
      </c>
      <c r="E262" s="96">
        <f t="shared" si="43"/>
        <v>0</v>
      </c>
      <c r="F262" s="96">
        <f t="shared" si="41"/>
        <v>0</v>
      </c>
      <c r="G262" s="96">
        <f t="shared" si="42"/>
        <v>0</v>
      </c>
      <c r="H262" s="112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89"/>
      <c r="X262" s="49">
        <f t="shared" si="33"/>
        <v>0</v>
      </c>
      <c r="Y262" s="49">
        <f>[2]BASE!A260</f>
        <v>251</v>
      </c>
      <c r="Z262" s="69">
        <f t="shared" si="34"/>
        <v>0</v>
      </c>
      <c r="AA262" s="69">
        <f t="shared" si="35"/>
        <v>0</v>
      </c>
      <c r="AB262" s="69">
        <f t="shared" si="36"/>
        <v>0</v>
      </c>
      <c r="AC262" s="69">
        <f t="shared" si="37"/>
        <v>0</v>
      </c>
      <c r="AD262" s="69">
        <f t="shared" si="38"/>
        <v>0</v>
      </c>
    </row>
    <row r="263" spans="1:30" ht="17.25" customHeight="1">
      <c r="A263" s="95" t="str">
        <f>IF(BASE!B261="","",BASE!B261)</f>
        <v/>
      </c>
      <c r="B263" s="92" t="s">
        <v>2</v>
      </c>
      <c r="C263" s="96">
        <f t="shared" si="39"/>
        <v>0</v>
      </c>
      <c r="D263" s="96">
        <f t="shared" si="40"/>
        <v>0</v>
      </c>
      <c r="E263" s="96">
        <f t="shared" si="43"/>
        <v>0</v>
      </c>
      <c r="F263" s="96">
        <f t="shared" si="41"/>
        <v>0</v>
      </c>
      <c r="G263" s="96">
        <f t="shared" si="42"/>
        <v>0</v>
      </c>
      <c r="H263" s="112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89"/>
      <c r="X263" s="49">
        <f t="shared" si="33"/>
        <v>0</v>
      </c>
      <c r="Y263" s="49">
        <f>[2]BASE!A261</f>
        <v>252</v>
      </c>
      <c r="Z263" s="69">
        <f t="shared" si="34"/>
        <v>0</v>
      </c>
      <c r="AA263" s="69">
        <f t="shared" si="35"/>
        <v>0</v>
      </c>
      <c r="AB263" s="69">
        <f t="shared" si="36"/>
        <v>0</v>
      </c>
      <c r="AC263" s="69">
        <f t="shared" si="37"/>
        <v>0</v>
      </c>
      <c r="AD263" s="69">
        <f t="shared" si="38"/>
        <v>0</v>
      </c>
    </row>
    <row r="264" spans="1:30" ht="17.25" customHeight="1">
      <c r="A264" s="95" t="str">
        <f>IF(BASE!B262="","",BASE!B262)</f>
        <v/>
      </c>
      <c r="B264" s="92" t="s">
        <v>2</v>
      </c>
      <c r="C264" s="96">
        <f t="shared" si="39"/>
        <v>0</v>
      </c>
      <c r="D264" s="96">
        <f t="shared" si="40"/>
        <v>0</v>
      </c>
      <c r="E264" s="96">
        <f t="shared" si="43"/>
        <v>0</v>
      </c>
      <c r="F264" s="96">
        <f t="shared" si="41"/>
        <v>0</v>
      </c>
      <c r="G264" s="96">
        <f t="shared" si="42"/>
        <v>0</v>
      </c>
      <c r="H264" s="112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89"/>
      <c r="X264" s="49">
        <f t="shared" si="33"/>
        <v>0</v>
      </c>
      <c r="Y264" s="49">
        <f>[2]BASE!A262</f>
        <v>253</v>
      </c>
      <c r="Z264" s="69">
        <f t="shared" si="34"/>
        <v>0</v>
      </c>
      <c r="AA264" s="69">
        <f t="shared" si="35"/>
        <v>0</v>
      </c>
      <c r="AB264" s="69">
        <f t="shared" si="36"/>
        <v>0</v>
      </c>
      <c r="AC264" s="69">
        <f t="shared" si="37"/>
        <v>0</v>
      </c>
      <c r="AD264" s="69">
        <f t="shared" si="38"/>
        <v>0</v>
      </c>
    </row>
    <row r="265" spans="1:30" ht="17.25" customHeight="1">
      <c r="A265" s="95" t="str">
        <f>IF(BASE!B263="","",BASE!B263)</f>
        <v/>
      </c>
      <c r="B265" s="92" t="s">
        <v>2</v>
      </c>
      <c r="C265" s="96">
        <f t="shared" si="39"/>
        <v>0</v>
      </c>
      <c r="D265" s="96">
        <f t="shared" si="40"/>
        <v>0</v>
      </c>
      <c r="E265" s="96">
        <f t="shared" si="43"/>
        <v>0</v>
      </c>
      <c r="F265" s="96">
        <f t="shared" si="41"/>
        <v>0</v>
      </c>
      <c r="G265" s="96">
        <f t="shared" si="42"/>
        <v>0</v>
      </c>
      <c r="H265" s="112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89"/>
      <c r="X265" s="49">
        <f t="shared" si="33"/>
        <v>0</v>
      </c>
      <c r="Y265" s="49">
        <f>[2]BASE!A263</f>
        <v>254</v>
      </c>
      <c r="Z265" s="69">
        <f t="shared" si="34"/>
        <v>0</v>
      </c>
      <c r="AA265" s="69">
        <f t="shared" si="35"/>
        <v>0</v>
      </c>
      <c r="AB265" s="69">
        <f t="shared" si="36"/>
        <v>0</v>
      </c>
      <c r="AC265" s="69">
        <f t="shared" si="37"/>
        <v>0</v>
      </c>
      <c r="AD265" s="69">
        <f t="shared" si="38"/>
        <v>0</v>
      </c>
    </row>
    <row r="266" spans="1:30" ht="17.25" customHeight="1">
      <c r="A266" s="95" t="str">
        <f>IF(BASE!B264="","",BASE!B264)</f>
        <v/>
      </c>
      <c r="B266" s="92" t="s">
        <v>2</v>
      </c>
      <c r="C266" s="96">
        <f t="shared" si="39"/>
        <v>0</v>
      </c>
      <c r="D266" s="96">
        <f t="shared" si="40"/>
        <v>0</v>
      </c>
      <c r="E266" s="96">
        <f t="shared" si="43"/>
        <v>0</v>
      </c>
      <c r="F266" s="96">
        <f t="shared" si="41"/>
        <v>0</v>
      </c>
      <c r="G266" s="96">
        <f t="shared" si="42"/>
        <v>0</v>
      </c>
      <c r="H266" s="112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89"/>
      <c r="X266" s="49">
        <f t="shared" si="33"/>
        <v>0</v>
      </c>
      <c r="Y266" s="49">
        <f>[2]BASE!A264</f>
        <v>255</v>
      </c>
      <c r="Z266" s="69">
        <f t="shared" si="34"/>
        <v>0</v>
      </c>
      <c r="AA266" s="69">
        <f t="shared" si="35"/>
        <v>0</v>
      </c>
      <c r="AB266" s="69">
        <f t="shared" si="36"/>
        <v>0</v>
      </c>
      <c r="AC266" s="69">
        <f t="shared" si="37"/>
        <v>0</v>
      </c>
      <c r="AD266" s="69">
        <f t="shared" si="38"/>
        <v>0</v>
      </c>
    </row>
    <row r="267" spans="1:30" ht="17.25" customHeight="1">
      <c r="A267" s="95" t="str">
        <f>IF(BASE!B265="","",BASE!B265)</f>
        <v/>
      </c>
      <c r="B267" s="92" t="s">
        <v>2</v>
      </c>
      <c r="C267" s="96">
        <f t="shared" si="39"/>
        <v>0</v>
      </c>
      <c r="D267" s="96">
        <f t="shared" si="40"/>
        <v>0</v>
      </c>
      <c r="E267" s="96">
        <f t="shared" si="43"/>
        <v>0</v>
      </c>
      <c r="F267" s="96">
        <f t="shared" si="41"/>
        <v>0</v>
      </c>
      <c r="G267" s="96">
        <f t="shared" si="42"/>
        <v>0</v>
      </c>
      <c r="H267" s="112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89"/>
      <c r="X267" s="49">
        <f t="shared" si="33"/>
        <v>0</v>
      </c>
      <c r="Y267" s="49">
        <f>[2]BASE!A265</f>
        <v>256</v>
      </c>
      <c r="Z267" s="69">
        <f t="shared" si="34"/>
        <v>0</v>
      </c>
      <c r="AA267" s="69">
        <f t="shared" si="35"/>
        <v>0</v>
      </c>
      <c r="AB267" s="69">
        <f t="shared" si="36"/>
        <v>0</v>
      </c>
      <c r="AC267" s="69">
        <f t="shared" si="37"/>
        <v>0</v>
      </c>
      <c r="AD267" s="69">
        <f t="shared" si="38"/>
        <v>0</v>
      </c>
    </row>
    <row r="268" spans="1:30" ht="17.25" customHeight="1">
      <c r="A268" s="95" t="str">
        <f>IF(BASE!B266="","",BASE!B266)</f>
        <v/>
      </c>
      <c r="B268" s="92" t="s">
        <v>2</v>
      </c>
      <c r="C268" s="96">
        <f t="shared" si="39"/>
        <v>0</v>
      </c>
      <c r="D268" s="96">
        <f t="shared" si="40"/>
        <v>0</v>
      </c>
      <c r="E268" s="96">
        <f t="shared" si="43"/>
        <v>0</v>
      </c>
      <c r="F268" s="96">
        <f t="shared" si="41"/>
        <v>0</v>
      </c>
      <c r="G268" s="96">
        <f t="shared" si="42"/>
        <v>0</v>
      </c>
      <c r="H268" s="112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89"/>
      <c r="X268" s="49">
        <f t="shared" ref="X268:X331" si="44">SUM(C268:V268)</f>
        <v>0</v>
      </c>
      <c r="Y268" s="49">
        <f>[2]BASE!A266</f>
        <v>257</v>
      </c>
      <c r="Z268" s="69">
        <f t="shared" ref="Z268:Z331" si="45">SUMIF($C$11:$V$11,1,C268:V268)</f>
        <v>0</v>
      </c>
      <c r="AA268" s="69">
        <f t="shared" ref="AA268:AA331" si="46">SUMIF($C$11:$V$11,2,C268:V268)</f>
        <v>0</v>
      </c>
      <c r="AB268" s="69">
        <f t="shared" ref="AB268:AB331" si="47">SUMIF($C$11:$V$11,3,C268:V268)</f>
        <v>0</v>
      </c>
      <c r="AC268" s="69">
        <f t="shared" ref="AC268:AC331" si="48">SUMIF($C$11:$V$11,4,C268:V268)</f>
        <v>0</v>
      </c>
      <c r="AD268" s="69">
        <f t="shared" ref="AD268:AD331" si="49">SUMIF($C$11:$V$11,5,C268:V268)</f>
        <v>0</v>
      </c>
    </row>
    <row r="269" spans="1:30" ht="17.25" customHeight="1">
      <c r="A269" s="95" t="str">
        <f>IF(BASE!B267="","",BASE!B267)</f>
        <v/>
      </c>
      <c r="B269" s="92" t="s">
        <v>2</v>
      </c>
      <c r="C269" s="96">
        <f t="shared" ref="C269:C332" si="50">(H269/5)</f>
        <v>0</v>
      </c>
      <c r="D269" s="96">
        <f t="shared" ref="D269:D332" si="51">(H269/5)</f>
        <v>0</v>
      </c>
      <c r="E269" s="96">
        <f t="shared" si="43"/>
        <v>0</v>
      </c>
      <c r="F269" s="96">
        <f t="shared" ref="F269:F332" si="52">(H269/5)</f>
        <v>0</v>
      </c>
      <c r="G269" s="96">
        <f t="shared" ref="G269:G332" si="53">(H269/5)</f>
        <v>0</v>
      </c>
      <c r="H269" s="112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89"/>
      <c r="X269" s="49">
        <f t="shared" si="44"/>
        <v>0</v>
      </c>
      <c r="Y269" s="49">
        <f>[2]BASE!A267</f>
        <v>258</v>
      </c>
      <c r="Z269" s="69">
        <f t="shared" si="45"/>
        <v>0</v>
      </c>
      <c r="AA269" s="69">
        <f t="shared" si="46"/>
        <v>0</v>
      </c>
      <c r="AB269" s="69">
        <f t="shared" si="47"/>
        <v>0</v>
      </c>
      <c r="AC269" s="69">
        <f t="shared" si="48"/>
        <v>0</v>
      </c>
      <c r="AD269" s="69">
        <f t="shared" si="49"/>
        <v>0</v>
      </c>
    </row>
    <row r="270" spans="1:30" ht="17.25" customHeight="1">
      <c r="A270" s="95" t="str">
        <f>IF(BASE!B268="","",BASE!B268)</f>
        <v/>
      </c>
      <c r="B270" s="92" t="s">
        <v>2</v>
      </c>
      <c r="C270" s="96">
        <f t="shared" si="50"/>
        <v>0</v>
      </c>
      <c r="D270" s="96">
        <f t="shared" si="51"/>
        <v>0</v>
      </c>
      <c r="E270" s="96">
        <f t="shared" ref="E270:E333" si="54">(H270/5)</f>
        <v>0</v>
      </c>
      <c r="F270" s="96">
        <f t="shared" si="52"/>
        <v>0</v>
      </c>
      <c r="G270" s="96">
        <f t="shared" si="53"/>
        <v>0</v>
      </c>
      <c r="H270" s="112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89"/>
      <c r="X270" s="49">
        <f t="shared" si="44"/>
        <v>0</v>
      </c>
      <c r="Y270" s="49">
        <f>[2]BASE!A268</f>
        <v>259</v>
      </c>
      <c r="Z270" s="69">
        <f t="shared" si="45"/>
        <v>0</v>
      </c>
      <c r="AA270" s="69">
        <f t="shared" si="46"/>
        <v>0</v>
      </c>
      <c r="AB270" s="69">
        <f t="shared" si="47"/>
        <v>0</v>
      </c>
      <c r="AC270" s="69">
        <f t="shared" si="48"/>
        <v>0</v>
      </c>
      <c r="AD270" s="69">
        <f t="shared" si="49"/>
        <v>0</v>
      </c>
    </row>
    <row r="271" spans="1:30" ht="17.25" customHeight="1">
      <c r="A271" s="95" t="str">
        <f>IF(BASE!B269="","",BASE!B269)</f>
        <v/>
      </c>
      <c r="B271" s="92" t="s">
        <v>2</v>
      </c>
      <c r="C271" s="96">
        <f t="shared" si="50"/>
        <v>0</v>
      </c>
      <c r="D271" s="96">
        <f t="shared" si="51"/>
        <v>0</v>
      </c>
      <c r="E271" s="96">
        <f t="shared" si="54"/>
        <v>0</v>
      </c>
      <c r="F271" s="96">
        <f t="shared" si="52"/>
        <v>0</v>
      </c>
      <c r="G271" s="96">
        <f t="shared" si="53"/>
        <v>0</v>
      </c>
      <c r="H271" s="112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89"/>
      <c r="X271" s="49">
        <f t="shared" si="44"/>
        <v>0</v>
      </c>
      <c r="Y271" s="49">
        <f>[2]BASE!A269</f>
        <v>260</v>
      </c>
      <c r="Z271" s="69">
        <f t="shared" si="45"/>
        <v>0</v>
      </c>
      <c r="AA271" s="69">
        <f t="shared" si="46"/>
        <v>0</v>
      </c>
      <c r="AB271" s="69">
        <f t="shared" si="47"/>
        <v>0</v>
      </c>
      <c r="AC271" s="69">
        <f t="shared" si="48"/>
        <v>0</v>
      </c>
      <c r="AD271" s="69">
        <f t="shared" si="49"/>
        <v>0</v>
      </c>
    </row>
    <row r="272" spans="1:30" ht="17.25" customHeight="1">
      <c r="A272" s="95" t="str">
        <f>IF(BASE!B270="","",BASE!B270)</f>
        <v/>
      </c>
      <c r="B272" s="92" t="s">
        <v>2</v>
      </c>
      <c r="C272" s="96">
        <f t="shared" si="50"/>
        <v>0</v>
      </c>
      <c r="D272" s="96">
        <f t="shared" si="51"/>
        <v>0</v>
      </c>
      <c r="E272" s="96">
        <f t="shared" si="54"/>
        <v>0</v>
      </c>
      <c r="F272" s="96">
        <f t="shared" si="52"/>
        <v>0</v>
      </c>
      <c r="G272" s="96">
        <f t="shared" si="53"/>
        <v>0</v>
      </c>
      <c r="H272" s="112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89"/>
      <c r="X272" s="49">
        <f t="shared" si="44"/>
        <v>0</v>
      </c>
      <c r="Y272" s="49">
        <f>[2]BASE!A270</f>
        <v>261</v>
      </c>
      <c r="Z272" s="69">
        <f t="shared" si="45"/>
        <v>0</v>
      </c>
      <c r="AA272" s="69">
        <f t="shared" si="46"/>
        <v>0</v>
      </c>
      <c r="AB272" s="69">
        <f t="shared" si="47"/>
        <v>0</v>
      </c>
      <c r="AC272" s="69">
        <f t="shared" si="48"/>
        <v>0</v>
      </c>
      <c r="AD272" s="69">
        <f t="shared" si="49"/>
        <v>0</v>
      </c>
    </row>
    <row r="273" spans="1:30" ht="17.25" customHeight="1">
      <c r="A273" s="95" t="str">
        <f>IF(BASE!B271="","",BASE!B271)</f>
        <v/>
      </c>
      <c r="B273" s="92" t="s">
        <v>2</v>
      </c>
      <c r="C273" s="96">
        <f t="shared" si="50"/>
        <v>0</v>
      </c>
      <c r="D273" s="96">
        <f t="shared" si="51"/>
        <v>0</v>
      </c>
      <c r="E273" s="96">
        <f t="shared" si="54"/>
        <v>0</v>
      </c>
      <c r="F273" s="96">
        <f t="shared" si="52"/>
        <v>0</v>
      </c>
      <c r="G273" s="96">
        <f t="shared" si="53"/>
        <v>0</v>
      </c>
      <c r="H273" s="112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89"/>
      <c r="X273" s="49">
        <f t="shared" si="44"/>
        <v>0</v>
      </c>
      <c r="Y273" s="49">
        <f>[2]BASE!A271</f>
        <v>262</v>
      </c>
      <c r="Z273" s="69">
        <f t="shared" si="45"/>
        <v>0</v>
      </c>
      <c r="AA273" s="69">
        <f t="shared" si="46"/>
        <v>0</v>
      </c>
      <c r="AB273" s="69">
        <f t="shared" si="47"/>
        <v>0</v>
      </c>
      <c r="AC273" s="69">
        <f t="shared" si="48"/>
        <v>0</v>
      </c>
      <c r="AD273" s="69">
        <f t="shared" si="49"/>
        <v>0</v>
      </c>
    </row>
    <row r="274" spans="1:30" ht="17.25" customHeight="1">
      <c r="A274" s="95" t="str">
        <f>IF(BASE!B272="","",BASE!B272)</f>
        <v/>
      </c>
      <c r="B274" s="92" t="s">
        <v>2</v>
      </c>
      <c r="C274" s="96">
        <f t="shared" si="50"/>
        <v>0</v>
      </c>
      <c r="D274" s="96">
        <f t="shared" si="51"/>
        <v>0</v>
      </c>
      <c r="E274" s="96">
        <f t="shared" si="54"/>
        <v>0</v>
      </c>
      <c r="F274" s="96">
        <f t="shared" si="52"/>
        <v>0</v>
      </c>
      <c r="G274" s="96">
        <f t="shared" si="53"/>
        <v>0</v>
      </c>
      <c r="H274" s="112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89"/>
      <c r="X274" s="49">
        <f t="shared" si="44"/>
        <v>0</v>
      </c>
      <c r="Y274" s="49">
        <f>[2]BASE!A272</f>
        <v>263</v>
      </c>
      <c r="Z274" s="69">
        <f t="shared" si="45"/>
        <v>0</v>
      </c>
      <c r="AA274" s="69">
        <f t="shared" si="46"/>
        <v>0</v>
      </c>
      <c r="AB274" s="69">
        <f t="shared" si="47"/>
        <v>0</v>
      </c>
      <c r="AC274" s="69">
        <f t="shared" si="48"/>
        <v>0</v>
      </c>
      <c r="AD274" s="69">
        <f t="shared" si="49"/>
        <v>0</v>
      </c>
    </row>
    <row r="275" spans="1:30" ht="17.25" customHeight="1">
      <c r="A275" s="95" t="str">
        <f>IF(BASE!B273="","",BASE!B273)</f>
        <v/>
      </c>
      <c r="B275" s="92" t="s">
        <v>2</v>
      </c>
      <c r="C275" s="96">
        <f t="shared" si="50"/>
        <v>0</v>
      </c>
      <c r="D275" s="96">
        <f t="shared" si="51"/>
        <v>0</v>
      </c>
      <c r="E275" s="96">
        <f t="shared" si="54"/>
        <v>0</v>
      </c>
      <c r="F275" s="96">
        <f t="shared" si="52"/>
        <v>0</v>
      </c>
      <c r="G275" s="96">
        <f t="shared" si="53"/>
        <v>0</v>
      </c>
      <c r="H275" s="112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89"/>
      <c r="X275" s="49">
        <f t="shared" si="44"/>
        <v>0</v>
      </c>
      <c r="Y275" s="49">
        <f>[2]BASE!A273</f>
        <v>264</v>
      </c>
      <c r="Z275" s="69">
        <f t="shared" si="45"/>
        <v>0</v>
      </c>
      <c r="AA275" s="69">
        <f t="shared" si="46"/>
        <v>0</v>
      </c>
      <c r="AB275" s="69">
        <f t="shared" si="47"/>
        <v>0</v>
      </c>
      <c r="AC275" s="69">
        <f t="shared" si="48"/>
        <v>0</v>
      </c>
      <c r="AD275" s="69">
        <f t="shared" si="49"/>
        <v>0</v>
      </c>
    </row>
    <row r="276" spans="1:30" ht="17.25" customHeight="1">
      <c r="A276" s="95" t="str">
        <f>IF(BASE!B274="","",BASE!B274)</f>
        <v/>
      </c>
      <c r="B276" s="92" t="s">
        <v>2</v>
      </c>
      <c r="C276" s="96">
        <f t="shared" si="50"/>
        <v>0</v>
      </c>
      <c r="D276" s="96">
        <f t="shared" si="51"/>
        <v>0</v>
      </c>
      <c r="E276" s="96">
        <f t="shared" si="54"/>
        <v>0</v>
      </c>
      <c r="F276" s="96">
        <f t="shared" si="52"/>
        <v>0</v>
      </c>
      <c r="G276" s="96">
        <f t="shared" si="53"/>
        <v>0</v>
      </c>
      <c r="H276" s="112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89"/>
      <c r="X276" s="49">
        <f t="shared" si="44"/>
        <v>0</v>
      </c>
      <c r="Y276" s="49">
        <f>[2]BASE!A274</f>
        <v>265</v>
      </c>
      <c r="Z276" s="69">
        <f t="shared" si="45"/>
        <v>0</v>
      </c>
      <c r="AA276" s="69">
        <f t="shared" si="46"/>
        <v>0</v>
      </c>
      <c r="AB276" s="69">
        <f t="shared" si="47"/>
        <v>0</v>
      </c>
      <c r="AC276" s="69">
        <f t="shared" si="48"/>
        <v>0</v>
      </c>
      <c r="AD276" s="69">
        <f t="shared" si="49"/>
        <v>0</v>
      </c>
    </row>
    <row r="277" spans="1:30" ht="17.25" customHeight="1">
      <c r="A277" s="95" t="str">
        <f>IF(BASE!B275="","",BASE!B275)</f>
        <v/>
      </c>
      <c r="B277" s="92" t="s">
        <v>2</v>
      </c>
      <c r="C277" s="96">
        <f t="shared" si="50"/>
        <v>0</v>
      </c>
      <c r="D277" s="96">
        <f t="shared" si="51"/>
        <v>0</v>
      </c>
      <c r="E277" s="96">
        <f t="shared" si="54"/>
        <v>0</v>
      </c>
      <c r="F277" s="96">
        <f t="shared" si="52"/>
        <v>0</v>
      </c>
      <c r="G277" s="96">
        <f t="shared" si="53"/>
        <v>0</v>
      </c>
      <c r="H277" s="112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89"/>
      <c r="X277" s="49">
        <f t="shared" si="44"/>
        <v>0</v>
      </c>
      <c r="Y277" s="49">
        <f>[2]BASE!A275</f>
        <v>266</v>
      </c>
      <c r="Z277" s="69">
        <f t="shared" si="45"/>
        <v>0</v>
      </c>
      <c r="AA277" s="69">
        <f t="shared" si="46"/>
        <v>0</v>
      </c>
      <c r="AB277" s="69">
        <f t="shared" si="47"/>
        <v>0</v>
      </c>
      <c r="AC277" s="69">
        <f t="shared" si="48"/>
        <v>0</v>
      </c>
      <c r="AD277" s="69">
        <f t="shared" si="49"/>
        <v>0</v>
      </c>
    </row>
    <row r="278" spans="1:30" ht="17.25" customHeight="1">
      <c r="A278" s="95" t="str">
        <f>IF(BASE!B276="","",BASE!B276)</f>
        <v/>
      </c>
      <c r="B278" s="92" t="s">
        <v>2</v>
      </c>
      <c r="C278" s="96">
        <f t="shared" si="50"/>
        <v>0</v>
      </c>
      <c r="D278" s="96">
        <f t="shared" si="51"/>
        <v>0</v>
      </c>
      <c r="E278" s="96">
        <f t="shared" si="54"/>
        <v>0</v>
      </c>
      <c r="F278" s="96">
        <f t="shared" si="52"/>
        <v>0</v>
      </c>
      <c r="G278" s="96">
        <f t="shared" si="53"/>
        <v>0</v>
      </c>
      <c r="H278" s="112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89"/>
      <c r="X278" s="49">
        <f t="shared" si="44"/>
        <v>0</v>
      </c>
      <c r="Y278" s="49">
        <f>[2]BASE!A276</f>
        <v>267</v>
      </c>
      <c r="Z278" s="69">
        <f t="shared" si="45"/>
        <v>0</v>
      </c>
      <c r="AA278" s="69">
        <f t="shared" si="46"/>
        <v>0</v>
      </c>
      <c r="AB278" s="69">
        <f t="shared" si="47"/>
        <v>0</v>
      </c>
      <c r="AC278" s="69">
        <f t="shared" si="48"/>
        <v>0</v>
      </c>
      <c r="AD278" s="69">
        <f t="shared" si="49"/>
        <v>0</v>
      </c>
    </row>
    <row r="279" spans="1:30" ht="17.25" customHeight="1">
      <c r="A279" s="95" t="str">
        <f>IF(BASE!B277="","",BASE!B277)</f>
        <v/>
      </c>
      <c r="B279" s="92" t="s">
        <v>2</v>
      </c>
      <c r="C279" s="96">
        <f t="shared" si="50"/>
        <v>0</v>
      </c>
      <c r="D279" s="96">
        <f t="shared" si="51"/>
        <v>0</v>
      </c>
      <c r="E279" s="96">
        <f t="shared" si="54"/>
        <v>0</v>
      </c>
      <c r="F279" s="96">
        <f t="shared" si="52"/>
        <v>0</v>
      </c>
      <c r="G279" s="96">
        <f t="shared" si="53"/>
        <v>0</v>
      </c>
      <c r="H279" s="112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89"/>
      <c r="X279" s="49">
        <f t="shared" si="44"/>
        <v>0</v>
      </c>
      <c r="Y279" s="49">
        <f>[2]BASE!A277</f>
        <v>268</v>
      </c>
      <c r="Z279" s="69">
        <f t="shared" si="45"/>
        <v>0</v>
      </c>
      <c r="AA279" s="69">
        <f t="shared" si="46"/>
        <v>0</v>
      </c>
      <c r="AB279" s="69">
        <f t="shared" si="47"/>
        <v>0</v>
      </c>
      <c r="AC279" s="69">
        <f t="shared" si="48"/>
        <v>0</v>
      </c>
      <c r="AD279" s="69">
        <f t="shared" si="49"/>
        <v>0</v>
      </c>
    </row>
    <row r="280" spans="1:30" ht="17.25" customHeight="1">
      <c r="A280" s="95" t="str">
        <f>IF(BASE!B278="","",BASE!B278)</f>
        <v/>
      </c>
      <c r="B280" s="92" t="s">
        <v>2</v>
      </c>
      <c r="C280" s="96">
        <f t="shared" si="50"/>
        <v>0</v>
      </c>
      <c r="D280" s="96">
        <f t="shared" si="51"/>
        <v>0</v>
      </c>
      <c r="E280" s="96">
        <f t="shared" si="54"/>
        <v>0</v>
      </c>
      <c r="F280" s="96">
        <f t="shared" si="52"/>
        <v>0</v>
      </c>
      <c r="G280" s="96">
        <f t="shared" si="53"/>
        <v>0</v>
      </c>
      <c r="H280" s="112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89"/>
      <c r="X280" s="49">
        <f t="shared" si="44"/>
        <v>0</v>
      </c>
      <c r="Y280" s="49">
        <f>[2]BASE!A278</f>
        <v>269</v>
      </c>
      <c r="Z280" s="69">
        <f t="shared" si="45"/>
        <v>0</v>
      </c>
      <c r="AA280" s="69">
        <f t="shared" si="46"/>
        <v>0</v>
      </c>
      <c r="AB280" s="69">
        <f t="shared" si="47"/>
        <v>0</v>
      </c>
      <c r="AC280" s="69">
        <f t="shared" si="48"/>
        <v>0</v>
      </c>
      <c r="AD280" s="69">
        <f t="shared" si="49"/>
        <v>0</v>
      </c>
    </row>
    <row r="281" spans="1:30" ht="17.25" customHeight="1">
      <c r="A281" s="95" t="str">
        <f>IF(BASE!B279="","",BASE!B279)</f>
        <v/>
      </c>
      <c r="B281" s="92" t="s">
        <v>2</v>
      </c>
      <c r="C281" s="96">
        <f t="shared" si="50"/>
        <v>0</v>
      </c>
      <c r="D281" s="96">
        <f t="shared" si="51"/>
        <v>0</v>
      </c>
      <c r="E281" s="96">
        <f t="shared" si="54"/>
        <v>0</v>
      </c>
      <c r="F281" s="96">
        <f t="shared" si="52"/>
        <v>0</v>
      </c>
      <c r="G281" s="96">
        <f t="shared" si="53"/>
        <v>0</v>
      </c>
      <c r="H281" s="112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89"/>
      <c r="X281" s="49">
        <f t="shared" si="44"/>
        <v>0</v>
      </c>
      <c r="Y281" s="49">
        <f>[2]BASE!A279</f>
        <v>270</v>
      </c>
      <c r="Z281" s="69">
        <f t="shared" si="45"/>
        <v>0</v>
      </c>
      <c r="AA281" s="69">
        <f t="shared" si="46"/>
        <v>0</v>
      </c>
      <c r="AB281" s="69">
        <f t="shared" si="47"/>
        <v>0</v>
      </c>
      <c r="AC281" s="69">
        <f t="shared" si="48"/>
        <v>0</v>
      </c>
      <c r="AD281" s="69">
        <f t="shared" si="49"/>
        <v>0</v>
      </c>
    </row>
    <row r="282" spans="1:30" ht="17.25" customHeight="1">
      <c r="A282" s="95" t="str">
        <f>IF(BASE!B280="","",BASE!B280)</f>
        <v/>
      </c>
      <c r="B282" s="92" t="s">
        <v>2</v>
      </c>
      <c r="C282" s="96">
        <f t="shared" si="50"/>
        <v>0</v>
      </c>
      <c r="D282" s="96">
        <f t="shared" si="51"/>
        <v>0</v>
      </c>
      <c r="E282" s="96">
        <f t="shared" si="54"/>
        <v>0</v>
      </c>
      <c r="F282" s="96">
        <f t="shared" si="52"/>
        <v>0</v>
      </c>
      <c r="G282" s="96">
        <f t="shared" si="53"/>
        <v>0</v>
      </c>
      <c r="H282" s="112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89"/>
      <c r="X282" s="49">
        <f t="shared" si="44"/>
        <v>0</v>
      </c>
      <c r="Y282" s="49">
        <f>[2]BASE!A280</f>
        <v>271</v>
      </c>
      <c r="Z282" s="69">
        <f t="shared" si="45"/>
        <v>0</v>
      </c>
      <c r="AA282" s="69">
        <f t="shared" si="46"/>
        <v>0</v>
      </c>
      <c r="AB282" s="69">
        <f t="shared" si="47"/>
        <v>0</v>
      </c>
      <c r="AC282" s="69">
        <f t="shared" si="48"/>
        <v>0</v>
      </c>
      <c r="AD282" s="69">
        <f t="shared" si="49"/>
        <v>0</v>
      </c>
    </row>
    <row r="283" spans="1:30" ht="17.25" customHeight="1">
      <c r="A283" s="95" t="str">
        <f>IF(BASE!B281="","",BASE!B281)</f>
        <v/>
      </c>
      <c r="B283" s="92" t="s">
        <v>2</v>
      </c>
      <c r="C283" s="96">
        <f t="shared" si="50"/>
        <v>0</v>
      </c>
      <c r="D283" s="96">
        <f t="shared" si="51"/>
        <v>0</v>
      </c>
      <c r="E283" s="96">
        <f t="shared" si="54"/>
        <v>0</v>
      </c>
      <c r="F283" s="96">
        <f t="shared" si="52"/>
        <v>0</v>
      </c>
      <c r="G283" s="96">
        <f t="shared" si="53"/>
        <v>0</v>
      </c>
      <c r="H283" s="112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89"/>
      <c r="X283" s="49">
        <f t="shared" si="44"/>
        <v>0</v>
      </c>
      <c r="Y283" s="49">
        <f>[2]BASE!A281</f>
        <v>272</v>
      </c>
      <c r="Z283" s="69">
        <f t="shared" si="45"/>
        <v>0</v>
      </c>
      <c r="AA283" s="69">
        <f t="shared" si="46"/>
        <v>0</v>
      </c>
      <c r="AB283" s="69">
        <f t="shared" si="47"/>
        <v>0</v>
      </c>
      <c r="AC283" s="69">
        <f t="shared" si="48"/>
        <v>0</v>
      </c>
      <c r="AD283" s="69">
        <f t="shared" si="49"/>
        <v>0</v>
      </c>
    </row>
    <row r="284" spans="1:30" ht="17.25" customHeight="1">
      <c r="A284" s="95" t="str">
        <f>IF(BASE!B282="","",BASE!B282)</f>
        <v/>
      </c>
      <c r="B284" s="92" t="s">
        <v>2</v>
      </c>
      <c r="C284" s="96">
        <f t="shared" si="50"/>
        <v>0</v>
      </c>
      <c r="D284" s="96">
        <f t="shared" si="51"/>
        <v>0</v>
      </c>
      <c r="E284" s="96">
        <f t="shared" si="54"/>
        <v>0</v>
      </c>
      <c r="F284" s="96">
        <f t="shared" si="52"/>
        <v>0</v>
      </c>
      <c r="G284" s="96">
        <f t="shared" si="53"/>
        <v>0</v>
      </c>
      <c r="H284" s="112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89"/>
      <c r="X284" s="49">
        <f t="shared" si="44"/>
        <v>0</v>
      </c>
      <c r="Y284" s="49">
        <f>[2]BASE!A282</f>
        <v>273</v>
      </c>
      <c r="Z284" s="69">
        <f t="shared" si="45"/>
        <v>0</v>
      </c>
      <c r="AA284" s="69">
        <f t="shared" si="46"/>
        <v>0</v>
      </c>
      <c r="AB284" s="69">
        <f t="shared" si="47"/>
        <v>0</v>
      </c>
      <c r="AC284" s="69">
        <f t="shared" si="48"/>
        <v>0</v>
      </c>
      <c r="AD284" s="69">
        <f t="shared" si="49"/>
        <v>0</v>
      </c>
    </row>
    <row r="285" spans="1:30" ht="17.25" customHeight="1">
      <c r="A285" s="95" t="str">
        <f>IF(BASE!B283="","",BASE!B283)</f>
        <v/>
      </c>
      <c r="B285" s="92" t="s">
        <v>2</v>
      </c>
      <c r="C285" s="96">
        <f t="shared" si="50"/>
        <v>0</v>
      </c>
      <c r="D285" s="96">
        <f t="shared" si="51"/>
        <v>0</v>
      </c>
      <c r="E285" s="96">
        <f t="shared" si="54"/>
        <v>0</v>
      </c>
      <c r="F285" s="96">
        <f t="shared" si="52"/>
        <v>0</v>
      </c>
      <c r="G285" s="96">
        <f t="shared" si="53"/>
        <v>0</v>
      </c>
      <c r="H285" s="112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89"/>
      <c r="X285" s="49">
        <f t="shared" si="44"/>
        <v>0</v>
      </c>
      <c r="Y285" s="49">
        <f>[2]BASE!A283</f>
        <v>274</v>
      </c>
      <c r="Z285" s="69">
        <f t="shared" si="45"/>
        <v>0</v>
      </c>
      <c r="AA285" s="69">
        <f t="shared" si="46"/>
        <v>0</v>
      </c>
      <c r="AB285" s="69">
        <f t="shared" si="47"/>
        <v>0</v>
      </c>
      <c r="AC285" s="69">
        <f t="shared" si="48"/>
        <v>0</v>
      </c>
      <c r="AD285" s="69">
        <f t="shared" si="49"/>
        <v>0</v>
      </c>
    </row>
    <row r="286" spans="1:30" ht="17.25" customHeight="1">
      <c r="A286" s="95" t="str">
        <f>IF(BASE!B284="","",BASE!B284)</f>
        <v/>
      </c>
      <c r="B286" s="92" t="s">
        <v>2</v>
      </c>
      <c r="C286" s="96">
        <f t="shared" si="50"/>
        <v>0</v>
      </c>
      <c r="D286" s="96">
        <f t="shared" si="51"/>
        <v>0</v>
      </c>
      <c r="E286" s="96">
        <f t="shared" si="54"/>
        <v>0</v>
      </c>
      <c r="F286" s="96">
        <f t="shared" si="52"/>
        <v>0</v>
      </c>
      <c r="G286" s="96">
        <f t="shared" si="53"/>
        <v>0</v>
      </c>
      <c r="H286" s="112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89"/>
      <c r="X286" s="49">
        <f t="shared" si="44"/>
        <v>0</v>
      </c>
      <c r="Y286" s="49">
        <f>[2]BASE!A284</f>
        <v>275</v>
      </c>
      <c r="Z286" s="69">
        <f t="shared" si="45"/>
        <v>0</v>
      </c>
      <c r="AA286" s="69">
        <f t="shared" si="46"/>
        <v>0</v>
      </c>
      <c r="AB286" s="69">
        <f t="shared" si="47"/>
        <v>0</v>
      </c>
      <c r="AC286" s="69">
        <f t="shared" si="48"/>
        <v>0</v>
      </c>
      <c r="AD286" s="69">
        <f t="shared" si="49"/>
        <v>0</v>
      </c>
    </row>
    <row r="287" spans="1:30" ht="17.25" customHeight="1">
      <c r="A287" s="95" t="str">
        <f>IF(BASE!B285="","",BASE!B285)</f>
        <v/>
      </c>
      <c r="B287" s="92" t="s">
        <v>2</v>
      </c>
      <c r="C287" s="96">
        <f t="shared" si="50"/>
        <v>0</v>
      </c>
      <c r="D287" s="96">
        <f t="shared" si="51"/>
        <v>0</v>
      </c>
      <c r="E287" s="96">
        <f t="shared" si="54"/>
        <v>0</v>
      </c>
      <c r="F287" s="96">
        <f t="shared" si="52"/>
        <v>0</v>
      </c>
      <c r="G287" s="96">
        <f t="shared" si="53"/>
        <v>0</v>
      </c>
      <c r="H287" s="112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89"/>
      <c r="X287" s="49">
        <f t="shared" si="44"/>
        <v>0</v>
      </c>
      <c r="Y287" s="49">
        <f>[2]BASE!A285</f>
        <v>276</v>
      </c>
      <c r="Z287" s="69">
        <f t="shared" si="45"/>
        <v>0</v>
      </c>
      <c r="AA287" s="69">
        <f t="shared" si="46"/>
        <v>0</v>
      </c>
      <c r="AB287" s="69">
        <f t="shared" si="47"/>
        <v>0</v>
      </c>
      <c r="AC287" s="69">
        <f t="shared" si="48"/>
        <v>0</v>
      </c>
      <c r="AD287" s="69">
        <f t="shared" si="49"/>
        <v>0</v>
      </c>
    </row>
    <row r="288" spans="1:30" ht="17.25" customHeight="1">
      <c r="A288" s="95" t="str">
        <f>IF(BASE!B286="","",BASE!B286)</f>
        <v/>
      </c>
      <c r="B288" s="92" t="s">
        <v>2</v>
      </c>
      <c r="C288" s="96">
        <f t="shared" si="50"/>
        <v>0</v>
      </c>
      <c r="D288" s="96">
        <f t="shared" si="51"/>
        <v>0</v>
      </c>
      <c r="E288" s="96">
        <f t="shared" si="54"/>
        <v>0</v>
      </c>
      <c r="F288" s="96">
        <f t="shared" si="52"/>
        <v>0</v>
      </c>
      <c r="G288" s="96">
        <f t="shared" si="53"/>
        <v>0</v>
      </c>
      <c r="H288" s="112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89"/>
      <c r="X288" s="49">
        <f t="shared" si="44"/>
        <v>0</v>
      </c>
      <c r="Y288" s="49">
        <f>[2]BASE!A286</f>
        <v>277</v>
      </c>
      <c r="Z288" s="69">
        <f t="shared" si="45"/>
        <v>0</v>
      </c>
      <c r="AA288" s="69">
        <f t="shared" si="46"/>
        <v>0</v>
      </c>
      <c r="AB288" s="69">
        <f t="shared" si="47"/>
        <v>0</v>
      </c>
      <c r="AC288" s="69">
        <f t="shared" si="48"/>
        <v>0</v>
      </c>
      <c r="AD288" s="69">
        <f t="shared" si="49"/>
        <v>0</v>
      </c>
    </row>
    <row r="289" spans="1:30" ht="17.25" customHeight="1">
      <c r="A289" s="95" t="str">
        <f>IF(BASE!B287="","",BASE!B287)</f>
        <v/>
      </c>
      <c r="B289" s="92" t="s">
        <v>2</v>
      </c>
      <c r="C289" s="96">
        <f t="shared" si="50"/>
        <v>0</v>
      </c>
      <c r="D289" s="96">
        <f t="shared" si="51"/>
        <v>0</v>
      </c>
      <c r="E289" s="96">
        <f t="shared" si="54"/>
        <v>0</v>
      </c>
      <c r="F289" s="96">
        <f t="shared" si="52"/>
        <v>0</v>
      </c>
      <c r="G289" s="96">
        <f t="shared" si="53"/>
        <v>0</v>
      </c>
      <c r="H289" s="112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89"/>
      <c r="X289" s="49">
        <f t="shared" si="44"/>
        <v>0</v>
      </c>
      <c r="Y289" s="49">
        <f>[2]BASE!A287</f>
        <v>278</v>
      </c>
      <c r="Z289" s="69">
        <f t="shared" si="45"/>
        <v>0</v>
      </c>
      <c r="AA289" s="69">
        <f t="shared" si="46"/>
        <v>0</v>
      </c>
      <c r="AB289" s="69">
        <f t="shared" si="47"/>
        <v>0</v>
      </c>
      <c r="AC289" s="69">
        <f t="shared" si="48"/>
        <v>0</v>
      </c>
      <c r="AD289" s="69">
        <f t="shared" si="49"/>
        <v>0</v>
      </c>
    </row>
    <row r="290" spans="1:30" ht="17.25" customHeight="1">
      <c r="A290" s="95" t="str">
        <f>IF(BASE!B288="","",BASE!B288)</f>
        <v/>
      </c>
      <c r="B290" s="92" t="s">
        <v>2</v>
      </c>
      <c r="C290" s="96">
        <f t="shared" si="50"/>
        <v>0</v>
      </c>
      <c r="D290" s="96">
        <f t="shared" si="51"/>
        <v>0</v>
      </c>
      <c r="E290" s="96">
        <f t="shared" si="54"/>
        <v>0</v>
      </c>
      <c r="F290" s="96">
        <f t="shared" si="52"/>
        <v>0</v>
      </c>
      <c r="G290" s="96">
        <f t="shared" si="53"/>
        <v>0</v>
      </c>
      <c r="H290" s="112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89"/>
      <c r="X290" s="49">
        <f t="shared" si="44"/>
        <v>0</v>
      </c>
      <c r="Y290" s="49">
        <f>[2]BASE!A288</f>
        <v>279</v>
      </c>
      <c r="Z290" s="69">
        <f t="shared" si="45"/>
        <v>0</v>
      </c>
      <c r="AA290" s="69">
        <f t="shared" si="46"/>
        <v>0</v>
      </c>
      <c r="AB290" s="69">
        <f t="shared" si="47"/>
        <v>0</v>
      </c>
      <c r="AC290" s="69">
        <f t="shared" si="48"/>
        <v>0</v>
      </c>
      <c r="AD290" s="69">
        <f t="shared" si="49"/>
        <v>0</v>
      </c>
    </row>
    <row r="291" spans="1:30" ht="17.25" customHeight="1">
      <c r="A291" s="95" t="str">
        <f>IF(BASE!B289="","",BASE!B289)</f>
        <v/>
      </c>
      <c r="B291" s="92" t="s">
        <v>2</v>
      </c>
      <c r="C291" s="96">
        <f t="shared" si="50"/>
        <v>0</v>
      </c>
      <c r="D291" s="96">
        <f t="shared" si="51"/>
        <v>0</v>
      </c>
      <c r="E291" s="96">
        <f t="shared" si="54"/>
        <v>0</v>
      </c>
      <c r="F291" s="96">
        <f t="shared" si="52"/>
        <v>0</v>
      </c>
      <c r="G291" s="96">
        <f t="shared" si="53"/>
        <v>0</v>
      </c>
      <c r="H291" s="112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89"/>
      <c r="X291" s="49">
        <f t="shared" si="44"/>
        <v>0</v>
      </c>
      <c r="Y291" s="49">
        <f>[2]BASE!A289</f>
        <v>280</v>
      </c>
      <c r="Z291" s="69">
        <f t="shared" si="45"/>
        <v>0</v>
      </c>
      <c r="AA291" s="69">
        <f t="shared" si="46"/>
        <v>0</v>
      </c>
      <c r="AB291" s="69">
        <f t="shared" si="47"/>
        <v>0</v>
      </c>
      <c r="AC291" s="69">
        <f t="shared" si="48"/>
        <v>0</v>
      </c>
      <c r="AD291" s="69">
        <f t="shared" si="49"/>
        <v>0</v>
      </c>
    </row>
    <row r="292" spans="1:30" ht="17.25" customHeight="1">
      <c r="A292" s="95" t="str">
        <f>IF(BASE!B290="","",BASE!B290)</f>
        <v/>
      </c>
      <c r="B292" s="92" t="s">
        <v>2</v>
      </c>
      <c r="C292" s="96">
        <f t="shared" si="50"/>
        <v>0</v>
      </c>
      <c r="D292" s="96">
        <f t="shared" si="51"/>
        <v>0</v>
      </c>
      <c r="E292" s="96">
        <f t="shared" si="54"/>
        <v>0</v>
      </c>
      <c r="F292" s="96">
        <f t="shared" si="52"/>
        <v>0</v>
      </c>
      <c r="G292" s="96">
        <f t="shared" si="53"/>
        <v>0</v>
      </c>
      <c r="H292" s="112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89"/>
      <c r="X292" s="49">
        <f t="shared" si="44"/>
        <v>0</v>
      </c>
      <c r="Y292" s="49">
        <f>[2]BASE!A290</f>
        <v>281</v>
      </c>
      <c r="Z292" s="69">
        <f t="shared" si="45"/>
        <v>0</v>
      </c>
      <c r="AA292" s="69">
        <f t="shared" si="46"/>
        <v>0</v>
      </c>
      <c r="AB292" s="69">
        <f t="shared" si="47"/>
        <v>0</v>
      </c>
      <c r="AC292" s="69">
        <f t="shared" si="48"/>
        <v>0</v>
      </c>
      <c r="AD292" s="69">
        <f t="shared" si="49"/>
        <v>0</v>
      </c>
    </row>
    <row r="293" spans="1:30" ht="17.25" customHeight="1">
      <c r="A293" s="95" t="str">
        <f>IF(BASE!B291="","",BASE!B291)</f>
        <v/>
      </c>
      <c r="B293" s="92" t="s">
        <v>2</v>
      </c>
      <c r="C293" s="96">
        <f t="shared" si="50"/>
        <v>0</v>
      </c>
      <c r="D293" s="96">
        <f t="shared" si="51"/>
        <v>0</v>
      </c>
      <c r="E293" s="96">
        <f t="shared" si="54"/>
        <v>0</v>
      </c>
      <c r="F293" s="96">
        <f t="shared" si="52"/>
        <v>0</v>
      </c>
      <c r="G293" s="96">
        <f t="shared" si="53"/>
        <v>0</v>
      </c>
      <c r="H293" s="112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89"/>
      <c r="X293" s="49">
        <f t="shared" si="44"/>
        <v>0</v>
      </c>
      <c r="Y293" s="49">
        <f>[2]BASE!A291</f>
        <v>282</v>
      </c>
      <c r="Z293" s="69">
        <f t="shared" si="45"/>
        <v>0</v>
      </c>
      <c r="AA293" s="69">
        <f t="shared" si="46"/>
        <v>0</v>
      </c>
      <c r="AB293" s="69">
        <f t="shared" si="47"/>
        <v>0</v>
      </c>
      <c r="AC293" s="69">
        <f t="shared" si="48"/>
        <v>0</v>
      </c>
      <c r="AD293" s="69">
        <f t="shared" si="49"/>
        <v>0</v>
      </c>
    </row>
    <row r="294" spans="1:30" ht="17.25" customHeight="1">
      <c r="A294" s="95" t="str">
        <f>IF(BASE!B292="","",BASE!B292)</f>
        <v/>
      </c>
      <c r="B294" s="92" t="s">
        <v>2</v>
      </c>
      <c r="C294" s="96">
        <f t="shared" si="50"/>
        <v>0</v>
      </c>
      <c r="D294" s="96">
        <f t="shared" si="51"/>
        <v>0</v>
      </c>
      <c r="E294" s="96">
        <f t="shared" si="54"/>
        <v>0</v>
      </c>
      <c r="F294" s="96">
        <f t="shared" si="52"/>
        <v>0</v>
      </c>
      <c r="G294" s="96">
        <f t="shared" si="53"/>
        <v>0</v>
      </c>
      <c r="H294" s="112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89"/>
      <c r="X294" s="49">
        <f t="shared" si="44"/>
        <v>0</v>
      </c>
      <c r="Y294" s="49">
        <f>[2]BASE!A292</f>
        <v>283</v>
      </c>
      <c r="Z294" s="69">
        <f t="shared" si="45"/>
        <v>0</v>
      </c>
      <c r="AA294" s="69">
        <f t="shared" si="46"/>
        <v>0</v>
      </c>
      <c r="AB294" s="69">
        <f t="shared" si="47"/>
        <v>0</v>
      </c>
      <c r="AC294" s="69">
        <f t="shared" si="48"/>
        <v>0</v>
      </c>
      <c r="AD294" s="69">
        <f t="shared" si="49"/>
        <v>0</v>
      </c>
    </row>
    <row r="295" spans="1:30" ht="17.25" customHeight="1">
      <c r="A295" s="95" t="str">
        <f>IF(BASE!B293="","",BASE!B293)</f>
        <v/>
      </c>
      <c r="B295" s="92" t="s">
        <v>2</v>
      </c>
      <c r="C295" s="96">
        <f t="shared" si="50"/>
        <v>0</v>
      </c>
      <c r="D295" s="96">
        <f t="shared" si="51"/>
        <v>0</v>
      </c>
      <c r="E295" s="96">
        <f t="shared" si="54"/>
        <v>0</v>
      </c>
      <c r="F295" s="96">
        <f t="shared" si="52"/>
        <v>0</v>
      </c>
      <c r="G295" s="96">
        <f t="shared" si="53"/>
        <v>0</v>
      </c>
      <c r="H295" s="112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89"/>
      <c r="X295" s="49">
        <f t="shared" si="44"/>
        <v>0</v>
      </c>
      <c r="Y295" s="49">
        <f>[2]BASE!A293</f>
        <v>284</v>
      </c>
      <c r="Z295" s="69">
        <f t="shared" si="45"/>
        <v>0</v>
      </c>
      <c r="AA295" s="69">
        <f t="shared" si="46"/>
        <v>0</v>
      </c>
      <c r="AB295" s="69">
        <f t="shared" si="47"/>
        <v>0</v>
      </c>
      <c r="AC295" s="69">
        <f t="shared" si="48"/>
        <v>0</v>
      </c>
      <c r="AD295" s="69">
        <f t="shared" si="49"/>
        <v>0</v>
      </c>
    </row>
    <row r="296" spans="1:30" ht="17.25" customHeight="1">
      <c r="A296" s="95" t="str">
        <f>IF(BASE!B294="","",BASE!B294)</f>
        <v/>
      </c>
      <c r="B296" s="92" t="s">
        <v>2</v>
      </c>
      <c r="C296" s="96">
        <f t="shared" si="50"/>
        <v>0</v>
      </c>
      <c r="D296" s="96">
        <f t="shared" si="51"/>
        <v>0</v>
      </c>
      <c r="E296" s="96">
        <f t="shared" si="54"/>
        <v>0</v>
      </c>
      <c r="F296" s="96">
        <f t="shared" si="52"/>
        <v>0</v>
      </c>
      <c r="G296" s="96">
        <f t="shared" si="53"/>
        <v>0</v>
      </c>
      <c r="H296" s="112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89"/>
      <c r="X296" s="49">
        <f t="shared" si="44"/>
        <v>0</v>
      </c>
      <c r="Y296" s="49">
        <f>[2]BASE!A294</f>
        <v>285</v>
      </c>
      <c r="Z296" s="69">
        <f t="shared" si="45"/>
        <v>0</v>
      </c>
      <c r="AA296" s="69">
        <f t="shared" si="46"/>
        <v>0</v>
      </c>
      <c r="AB296" s="69">
        <f t="shared" si="47"/>
        <v>0</v>
      </c>
      <c r="AC296" s="69">
        <f t="shared" si="48"/>
        <v>0</v>
      </c>
      <c r="AD296" s="69">
        <f t="shared" si="49"/>
        <v>0</v>
      </c>
    </row>
    <row r="297" spans="1:30" ht="17.25" customHeight="1">
      <c r="A297" s="95" t="str">
        <f>IF(BASE!B295="","",BASE!B295)</f>
        <v/>
      </c>
      <c r="B297" s="92" t="s">
        <v>2</v>
      </c>
      <c r="C297" s="96">
        <f t="shared" si="50"/>
        <v>0</v>
      </c>
      <c r="D297" s="96">
        <f t="shared" si="51"/>
        <v>0</v>
      </c>
      <c r="E297" s="96">
        <f t="shared" si="54"/>
        <v>0</v>
      </c>
      <c r="F297" s="96">
        <f t="shared" si="52"/>
        <v>0</v>
      </c>
      <c r="G297" s="96">
        <f t="shared" si="53"/>
        <v>0</v>
      </c>
      <c r="H297" s="112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89"/>
      <c r="X297" s="49">
        <f t="shared" si="44"/>
        <v>0</v>
      </c>
      <c r="Y297" s="49">
        <f>[2]BASE!A295</f>
        <v>286</v>
      </c>
      <c r="Z297" s="69">
        <f t="shared" si="45"/>
        <v>0</v>
      </c>
      <c r="AA297" s="69">
        <f t="shared" si="46"/>
        <v>0</v>
      </c>
      <c r="AB297" s="69">
        <f t="shared" si="47"/>
        <v>0</v>
      </c>
      <c r="AC297" s="69">
        <f t="shared" si="48"/>
        <v>0</v>
      </c>
      <c r="AD297" s="69">
        <f t="shared" si="49"/>
        <v>0</v>
      </c>
    </row>
    <row r="298" spans="1:30" ht="17.25" customHeight="1">
      <c r="A298" s="95" t="str">
        <f>IF(BASE!B296="","",BASE!B296)</f>
        <v/>
      </c>
      <c r="B298" s="92" t="s">
        <v>2</v>
      </c>
      <c r="C298" s="96">
        <f t="shared" si="50"/>
        <v>0</v>
      </c>
      <c r="D298" s="96">
        <f t="shared" si="51"/>
        <v>0</v>
      </c>
      <c r="E298" s="96">
        <f t="shared" si="54"/>
        <v>0</v>
      </c>
      <c r="F298" s="96">
        <f t="shared" si="52"/>
        <v>0</v>
      </c>
      <c r="G298" s="96">
        <f t="shared" si="53"/>
        <v>0</v>
      </c>
      <c r="H298" s="112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89"/>
      <c r="X298" s="49">
        <f t="shared" si="44"/>
        <v>0</v>
      </c>
      <c r="Y298" s="49">
        <f>[2]BASE!A296</f>
        <v>287</v>
      </c>
      <c r="Z298" s="69">
        <f t="shared" si="45"/>
        <v>0</v>
      </c>
      <c r="AA298" s="69">
        <f t="shared" si="46"/>
        <v>0</v>
      </c>
      <c r="AB298" s="69">
        <f t="shared" si="47"/>
        <v>0</v>
      </c>
      <c r="AC298" s="69">
        <f t="shared" si="48"/>
        <v>0</v>
      </c>
      <c r="AD298" s="69">
        <f t="shared" si="49"/>
        <v>0</v>
      </c>
    </row>
    <row r="299" spans="1:30" ht="17.25" customHeight="1">
      <c r="A299" s="95" t="str">
        <f>IF(BASE!B297="","",BASE!B297)</f>
        <v/>
      </c>
      <c r="B299" s="92" t="s">
        <v>2</v>
      </c>
      <c r="C299" s="96">
        <f t="shared" si="50"/>
        <v>0</v>
      </c>
      <c r="D299" s="96">
        <f t="shared" si="51"/>
        <v>0</v>
      </c>
      <c r="E299" s="96">
        <f t="shared" si="54"/>
        <v>0</v>
      </c>
      <c r="F299" s="96">
        <f t="shared" si="52"/>
        <v>0</v>
      </c>
      <c r="G299" s="96">
        <f t="shared" si="53"/>
        <v>0</v>
      </c>
      <c r="H299" s="112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89"/>
      <c r="X299" s="49">
        <f t="shared" si="44"/>
        <v>0</v>
      </c>
      <c r="Y299" s="49">
        <f>[2]BASE!A297</f>
        <v>288</v>
      </c>
      <c r="Z299" s="69">
        <f t="shared" si="45"/>
        <v>0</v>
      </c>
      <c r="AA299" s="69">
        <f t="shared" si="46"/>
        <v>0</v>
      </c>
      <c r="AB299" s="69">
        <f t="shared" si="47"/>
        <v>0</v>
      </c>
      <c r="AC299" s="69">
        <f t="shared" si="48"/>
        <v>0</v>
      </c>
      <c r="AD299" s="69">
        <f t="shared" si="49"/>
        <v>0</v>
      </c>
    </row>
    <row r="300" spans="1:30" ht="17.25" customHeight="1">
      <c r="A300" s="95" t="str">
        <f>IF(BASE!B298="","",BASE!B298)</f>
        <v/>
      </c>
      <c r="B300" s="92" t="s">
        <v>2</v>
      </c>
      <c r="C300" s="96">
        <f t="shared" si="50"/>
        <v>0</v>
      </c>
      <c r="D300" s="96">
        <f t="shared" si="51"/>
        <v>0</v>
      </c>
      <c r="E300" s="96">
        <f t="shared" si="54"/>
        <v>0</v>
      </c>
      <c r="F300" s="96">
        <f t="shared" si="52"/>
        <v>0</v>
      </c>
      <c r="G300" s="96">
        <f t="shared" si="53"/>
        <v>0</v>
      </c>
      <c r="H300" s="112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89"/>
      <c r="X300" s="49">
        <f t="shared" si="44"/>
        <v>0</v>
      </c>
      <c r="Y300" s="49">
        <f>[2]BASE!A298</f>
        <v>289</v>
      </c>
      <c r="Z300" s="69">
        <f t="shared" si="45"/>
        <v>0</v>
      </c>
      <c r="AA300" s="69">
        <f t="shared" si="46"/>
        <v>0</v>
      </c>
      <c r="AB300" s="69">
        <f t="shared" si="47"/>
        <v>0</v>
      </c>
      <c r="AC300" s="69">
        <f t="shared" si="48"/>
        <v>0</v>
      </c>
      <c r="AD300" s="69">
        <f t="shared" si="49"/>
        <v>0</v>
      </c>
    </row>
    <row r="301" spans="1:30" ht="17.25" customHeight="1">
      <c r="A301" s="95" t="str">
        <f>IF(BASE!B299="","",BASE!B299)</f>
        <v/>
      </c>
      <c r="B301" s="92" t="s">
        <v>2</v>
      </c>
      <c r="C301" s="96">
        <f t="shared" si="50"/>
        <v>0</v>
      </c>
      <c r="D301" s="96">
        <f t="shared" si="51"/>
        <v>0</v>
      </c>
      <c r="E301" s="96">
        <f t="shared" si="54"/>
        <v>0</v>
      </c>
      <c r="F301" s="96">
        <f t="shared" si="52"/>
        <v>0</v>
      </c>
      <c r="G301" s="96">
        <f t="shared" si="53"/>
        <v>0</v>
      </c>
      <c r="H301" s="112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89"/>
      <c r="X301" s="49">
        <f t="shared" si="44"/>
        <v>0</v>
      </c>
      <c r="Y301" s="49">
        <f>[2]BASE!A299</f>
        <v>290</v>
      </c>
      <c r="Z301" s="69">
        <f t="shared" si="45"/>
        <v>0</v>
      </c>
      <c r="AA301" s="69">
        <f t="shared" si="46"/>
        <v>0</v>
      </c>
      <c r="AB301" s="69">
        <f t="shared" si="47"/>
        <v>0</v>
      </c>
      <c r="AC301" s="69">
        <f t="shared" si="48"/>
        <v>0</v>
      </c>
      <c r="AD301" s="69">
        <f t="shared" si="49"/>
        <v>0</v>
      </c>
    </row>
    <row r="302" spans="1:30" ht="17.25" customHeight="1">
      <c r="A302" s="95" t="str">
        <f>IF(BASE!B300="","",BASE!B300)</f>
        <v/>
      </c>
      <c r="B302" s="92" t="s">
        <v>2</v>
      </c>
      <c r="C302" s="96">
        <f t="shared" si="50"/>
        <v>0</v>
      </c>
      <c r="D302" s="96">
        <f t="shared" si="51"/>
        <v>0</v>
      </c>
      <c r="E302" s="96">
        <f t="shared" si="54"/>
        <v>0</v>
      </c>
      <c r="F302" s="96">
        <f t="shared" si="52"/>
        <v>0</v>
      </c>
      <c r="G302" s="96">
        <f t="shared" si="53"/>
        <v>0</v>
      </c>
      <c r="H302" s="112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89"/>
      <c r="X302" s="49">
        <f t="shared" si="44"/>
        <v>0</v>
      </c>
      <c r="Y302" s="49">
        <f>[2]BASE!A300</f>
        <v>291</v>
      </c>
      <c r="Z302" s="69">
        <f t="shared" si="45"/>
        <v>0</v>
      </c>
      <c r="AA302" s="69">
        <f t="shared" si="46"/>
        <v>0</v>
      </c>
      <c r="AB302" s="69">
        <f t="shared" si="47"/>
        <v>0</v>
      </c>
      <c r="AC302" s="69">
        <f t="shared" si="48"/>
        <v>0</v>
      </c>
      <c r="AD302" s="69">
        <f t="shared" si="49"/>
        <v>0</v>
      </c>
    </row>
    <row r="303" spans="1:30" ht="17.25" customHeight="1">
      <c r="A303" s="95" t="str">
        <f>IF(BASE!B301="","",BASE!B301)</f>
        <v/>
      </c>
      <c r="B303" s="92" t="s">
        <v>2</v>
      </c>
      <c r="C303" s="96">
        <f t="shared" si="50"/>
        <v>0</v>
      </c>
      <c r="D303" s="96">
        <f t="shared" si="51"/>
        <v>0</v>
      </c>
      <c r="E303" s="96">
        <f t="shared" si="54"/>
        <v>0</v>
      </c>
      <c r="F303" s="96">
        <f t="shared" si="52"/>
        <v>0</v>
      </c>
      <c r="G303" s="96">
        <f t="shared" si="53"/>
        <v>0</v>
      </c>
      <c r="H303" s="112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89"/>
      <c r="X303" s="49">
        <f t="shared" si="44"/>
        <v>0</v>
      </c>
      <c r="Y303" s="49">
        <f>[2]BASE!A301</f>
        <v>292</v>
      </c>
      <c r="Z303" s="69">
        <f t="shared" si="45"/>
        <v>0</v>
      </c>
      <c r="AA303" s="69">
        <f t="shared" si="46"/>
        <v>0</v>
      </c>
      <c r="AB303" s="69">
        <f t="shared" si="47"/>
        <v>0</v>
      </c>
      <c r="AC303" s="69">
        <f t="shared" si="48"/>
        <v>0</v>
      </c>
      <c r="AD303" s="69">
        <f t="shared" si="49"/>
        <v>0</v>
      </c>
    </row>
    <row r="304" spans="1:30" ht="17.25" customHeight="1">
      <c r="A304" s="95" t="str">
        <f>IF(BASE!B302="","",BASE!B302)</f>
        <v/>
      </c>
      <c r="B304" s="92" t="s">
        <v>2</v>
      </c>
      <c r="C304" s="96">
        <f t="shared" si="50"/>
        <v>0</v>
      </c>
      <c r="D304" s="96">
        <f t="shared" si="51"/>
        <v>0</v>
      </c>
      <c r="E304" s="96">
        <f t="shared" si="54"/>
        <v>0</v>
      </c>
      <c r="F304" s="96">
        <f t="shared" si="52"/>
        <v>0</v>
      </c>
      <c r="G304" s="96">
        <f t="shared" si="53"/>
        <v>0</v>
      </c>
      <c r="H304" s="112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89"/>
      <c r="X304" s="49">
        <f t="shared" si="44"/>
        <v>0</v>
      </c>
      <c r="Y304" s="49">
        <f>[2]BASE!A302</f>
        <v>293</v>
      </c>
      <c r="Z304" s="69">
        <f t="shared" si="45"/>
        <v>0</v>
      </c>
      <c r="AA304" s="69">
        <f t="shared" si="46"/>
        <v>0</v>
      </c>
      <c r="AB304" s="69">
        <f t="shared" si="47"/>
        <v>0</v>
      </c>
      <c r="AC304" s="69">
        <f t="shared" si="48"/>
        <v>0</v>
      </c>
      <c r="AD304" s="69">
        <f t="shared" si="49"/>
        <v>0</v>
      </c>
    </row>
    <row r="305" spans="1:30" ht="17.25" customHeight="1">
      <c r="A305" s="95" t="str">
        <f>IF(BASE!B303="","",BASE!B303)</f>
        <v/>
      </c>
      <c r="B305" s="92" t="s">
        <v>2</v>
      </c>
      <c r="C305" s="96">
        <f t="shared" si="50"/>
        <v>0</v>
      </c>
      <c r="D305" s="96">
        <f t="shared" si="51"/>
        <v>0</v>
      </c>
      <c r="E305" s="96">
        <f t="shared" si="54"/>
        <v>0</v>
      </c>
      <c r="F305" s="96">
        <f t="shared" si="52"/>
        <v>0</v>
      </c>
      <c r="G305" s="96">
        <f t="shared" si="53"/>
        <v>0</v>
      </c>
      <c r="H305" s="112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89"/>
      <c r="X305" s="49">
        <f t="shared" si="44"/>
        <v>0</v>
      </c>
      <c r="Y305" s="49">
        <f>[2]BASE!A303</f>
        <v>294</v>
      </c>
      <c r="Z305" s="69">
        <f t="shared" si="45"/>
        <v>0</v>
      </c>
      <c r="AA305" s="69">
        <f t="shared" si="46"/>
        <v>0</v>
      </c>
      <c r="AB305" s="69">
        <f t="shared" si="47"/>
        <v>0</v>
      </c>
      <c r="AC305" s="69">
        <f t="shared" si="48"/>
        <v>0</v>
      </c>
      <c r="AD305" s="69">
        <f t="shared" si="49"/>
        <v>0</v>
      </c>
    </row>
    <row r="306" spans="1:30" ht="17.25" customHeight="1">
      <c r="A306" s="95" t="str">
        <f>IF(BASE!B304="","",BASE!B304)</f>
        <v/>
      </c>
      <c r="B306" s="92" t="s">
        <v>2</v>
      </c>
      <c r="C306" s="96">
        <f t="shared" si="50"/>
        <v>0</v>
      </c>
      <c r="D306" s="96">
        <f t="shared" si="51"/>
        <v>0</v>
      </c>
      <c r="E306" s="96">
        <f t="shared" si="54"/>
        <v>0</v>
      </c>
      <c r="F306" s="96">
        <f t="shared" si="52"/>
        <v>0</v>
      </c>
      <c r="G306" s="96">
        <f t="shared" si="53"/>
        <v>0</v>
      </c>
      <c r="H306" s="112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89"/>
      <c r="X306" s="49">
        <f t="shared" si="44"/>
        <v>0</v>
      </c>
      <c r="Y306" s="49">
        <f>[2]BASE!A304</f>
        <v>295</v>
      </c>
      <c r="Z306" s="69">
        <f t="shared" si="45"/>
        <v>0</v>
      </c>
      <c r="AA306" s="69">
        <f t="shared" si="46"/>
        <v>0</v>
      </c>
      <c r="AB306" s="69">
        <f t="shared" si="47"/>
        <v>0</v>
      </c>
      <c r="AC306" s="69">
        <f t="shared" si="48"/>
        <v>0</v>
      </c>
      <c r="AD306" s="69">
        <f t="shared" si="49"/>
        <v>0</v>
      </c>
    </row>
    <row r="307" spans="1:30" ht="17.25" customHeight="1">
      <c r="A307" s="95" t="str">
        <f>IF(BASE!B305="","",BASE!B305)</f>
        <v/>
      </c>
      <c r="B307" s="92" t="s">
        <v>2</v>
      </c>
      <c r="C307" s="96">
        <f t="shared" si="50"/>
        <v>0</v>
      </c>
      <c r="D307" s="96">
        <f t="shared" si="51"/>
        <v>0</v>
      </c>
      <c r="E307" s="96">
        <f t="shared" si="54"/>
        <v>0</v>
      </c>
      <c r="F307" s="96">
        <f t="shared" si="52"/>
        <v>0</v>
      </c>
      <c r="G307" s="96">
        <f t="shared" si="53"/>
        <v>0</v>
      </c>
      <c r="H307" s="112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89"/>
      <c r="X307" s="49">
        <f t="shared" si="44"/>
        <v>0</v>
      </c>
      <c r="Y307" s="49">
        <f>[2]BASE!A305</f>
        <v>296</v>
      </c>
      <c r="Z307" s="69">
        <f t="shared" si="45"/>
        <v>0</v>
      </c>
      <c r="AA307" s="69">
        <f t="shared" si="46"/>
        <v>0</v>
      </c>
      <c r="AB307" s="69">
        <f t="shared" si="47"/>
        <v>0</v>
      </c>
      <c r="AC307" s="69">
        <f t="shared" si="48"/>
        <v>0</v>
      </c>
      <c r="AD307" s="69">
        <f t="shared" si="49"/>
        <v>0</v>
      </c>
    </row>
    <row r="308" spans="1:30" ht="17.25" customHeight="1">
      <c r="A308" s="95" t="str">
        <f>IF(BASE!B306="","",BASE!B306)</f>
        <v/>
      </c>
      <c r="B308" s="92" t="s">
        <v>2</v>
      </c>
      <c r="C308" s="96">
        <f t="shared" si="50"/>
        <v>0</v>
      </c>
      <c r="D308" s="96">
        <f t="shared" si="51"/>
        <v>0</v>
      </c>
      <c r="E308" s="96">
        <f t="shared" si="54"/>
        <v>0</v>
      </c>
      <c r="F308" s="96">
        <f t="shared" si="52"/>
        <v>0</v>
      </c>
      <c r="G308" s="96">
        <f t="shared" si="53"/>
        <v>0</v>
      </c>
      <c r="H308" s="112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89"/>
      <c r="X308" s="49">
        <f t="shared" si="44"/>
        <v>0</v>
      </c>
      <c r="Y308" s="49">
        <f>[2]BASE!A306</f>
        <v>297</v>
      </c>
      <c r="Z308" s="69">
        <f t="shared" si="45"/>
        <v>0</v>
      </c>
      <c r="AA308" s="69">
        <f t="shared" si="46"/>
        <v>0</v>
      </c>
      <c r="AB308" s="69">
        <f t="shared" si="47"/>
        <v>0</v>
      </c>
      <c r="AC308" s="69">
        <f t="shared" si="48"/>
        <v>0</v>
      </c>
      <c r="AD308" s="69">
        <f t="shared" si="49"/>
        <v>0</v>
      </c>
    </row>
    <row r="309" spans="1:30" ht="17.25" customHeight="1">
      <c r="A309" s="95" t="str">
        <f>IF(BASE!B307="","",BASE!B307)</f>
        <v/>
      </c>
      <c r="B309" s="92" t="s">
        <v>2</v>
      </c>
      <c r="C309" s="96">
        <f t="shared" si="50"/>
        <v>0</v>
      </c>
      <c r="D309" s="96">
        <f t="shared" si="51"/>
        <v>0</v>
      </c>
      <c r="E309" s="96">
        <f t="shared" si="54"/>
        <v>0</v>
      </c>
      <c r="F309" s="96">
        <f t="shared" si="52"/>
        <v>0</v>
      </c>
      <c r="G309" s="96">
        <f t="shared" si="53"/>
        <v>0</v>
      </c>
      <c r="H309" s="112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89"/>
      <c r="X309" s="49">
        <f t="shared" si="44"/>
        <v>0</v>
      </c>
      <c r="Y309" s="49">
        <f>[2]BASE!A307</f>
        <v>298</v>
      </c>
      <c r="Z309" s="69">
        <f t="shared" si="45"/>
        <v>0</v>
      </c>
      <c r="AA309" s="69">
        <f t="shared" si="46"/>
        <v>0</v>
      </c>
      <c r="AB309" s="69">
        <f t="shared" si="47"/>
        <v>0</v>
      </c>
      <c r="AC309" s="69">
        <f t="shared" si="48"/>
        <v>0</v>
      </c>
      <c r="AD309" s="69">
        <f t="shared" si="49"/>
        <v>0</v>
      </c>
    </row>
    <row r="310" spans="1:30" ht="17.25" customHeight="1">
      <c r="A310" s="95" t="str">
        <f>IF(BASE!B308="","",BASE!B308)</f>
        <v/>
      </c>
      <c r="B310" s="92" t="s">
        <v>2</v>
      </c>
      <c r="C310" s="96">
        <f t="shared" si="50"/>
        <v>0</v>
      </c>
      <c r="D310" s="96">
        <f t="shared" si="51"/>
        <v>0</v>
      </c>
      <c r="E310" s="96">
        <f t="shared" si="54"/>
        <v>0</v>
      </c>
      <c r="F310" s="96">
        <f t="shared" si="52"/>
        <v>0</v>
      </c>
      <c r="G310" s="96">
        <f t="shared" si="53"/>
        <v>0</v>
      </c>
      <c r="H310" s="112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89"/>
      <c r="X310" s="49">
        <f t="shared" si="44"/>
        <v>0</v>
      </c>
      <c r="Y310" s="49">
        <f>[2]BASE!A308</f>
        <v>299</v>
      </c>
      <c r="Z310" s="69">
        <f t="shared" si="45"/>
        <v>0</v>
      </c>
      <c r="AA310" s="69">
        <f t="shared" si="46"/>
        <v>0</v>
      </c>
      <c r="AB310" s="69">
        <f t="shared" si="47"/>
        <v>0</v>
      </c>
      <c r="AC310" s="69">
        <f t="shared" si="48"/>
        <v>0</v>
      </c>
      <c r="AD310" s="69">
        <f t="shared" si="49"/>
        <v>0</v>
      </c>
    </row>
    <row r="311" spans="1:30" ht="17.25" customHeight="1">
      <c r="A311" s="95" t="str">
        <f>IF(BASE!B309="","",BASE!B309)</f>
        <v/>
      </c>
      <c r="B311" s="92" t="s">
        <v>2</v>
      </c>
      <c r="C311" s="96">
        <f t="shared" si="50"/>
        <v>0</v>
      </c>
      <c r="D311" s="96">
        <f t="shared" si="51"/>
        <v>0</v>
      </c>
      <c r="E311" s="96">
        <f t="shared" si="54"/>
        <v>0</v>
      </c>
      <c r="F311" s="96">
        <f t="shared" si="52"/>
        <v>0</v>
      </c>
      <c r="G311" s="96">
        <f t="shared" si="53"/>
        <v>0</v>
      </c>
      <c r="H311" s="112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89"/>
      <c r="X311" s="49">
        <f t="shared" si="44"/>
        <v>0</v>
      </c>
      <c r="Y311" s="49">
        <f>[2]BASE!A309</f>
        <v>300</v>
      </c>
      <c r="Z311" s="69">
        <f t="shared" si="45"/>
        <v>0</v>
      </c>
      <c r="AA311" s="69">
        <f t="shared" si="46"/>
        <v>0</v>
      </c>
      <c r="AB311" s="69">
        <f t="shared" si="47"/>
        <v>0</v>
      </c>
      <c r="AC311" s="69">
        <f t="shared" si="48"/>
        <v>0</v>
      </c>
      <c r="AD311" s="69">
        <f t="shared" si="49"/>
        <v>0</v>
      </c>
    </row>
    <row r="312" spans="1:30" ht="17.25" customHeight="1">
      <c r="A312" s="95" t="str">
        <f>IF(BASE!B310="","",BASE!B310)</f>
        <v/>
      </c>
      <c r="B312" s="92" t="s">
        <v>2</v>
      </c>
      <c r="C312" s="96">
        <f t="shared" si="50"/>
        <v>0</v>
      </c>
      <c r="D312" s="96">
        <f t="shared" si="51"/>
        <v>0</v>
      </c>
      <c r="E312" s="96">
        <f t="shared" si="54"/>
        <v>0</v>
      </c>
      <c r="F312" s="96">
        <f t="shared" si="52"/>
        <v>0</v>
      </c>
      <c r="G312" s="96">
        <f t="shared" si="53"/>
        <v>0</v>
      </c>
      <c r="H312" s="112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89"/>
      <c r="X312" s="49">
        <f t="shared" si="44"/>
        <v>0</v>
      </c>
      <c r="Y312" s="49">
        <f>[2]BASE!A310</f>
        <v>301</v>
      </c>
      <c r="Z312" s="69">
        <f t="shared" si="45"/>
        <v>0</v>
      </c>
      <c r="AA312" s="69">
        <f t="shared" si="46"/>
        <v>0</v>
      </c>
      <c r="AB312" s="69">
        <f t="shared" si="47"/>
        <v>0</v>
      </c>
      <c r="AC312" s="69">
        <f t="shared" si="48"/>
        <v>0</v>
      </c>
      <c r="AD312" s="69">
        <f t="shared" si="49"/>
        <v>0</v>
      </c>
    </row>
    <row r="313" spans="1:30" ht="17.25" customHeight="1">
      <c r="A313" s="95" t="str">
        <f>IF(BASE!B311="","",BASE!B311)</f>
        <v/>
      </c>
      <c r="B313" s="92" t="s">
        <v>2</v>
      </c>
      <c r="C313" s="96">
        <f t="shared" si="50"/>
        <v>0</v>
      </c>
      <c r="D313" s="96">
        <f t="shared" si="51"/>
        <v>0</v>
      </c>
      <c r="E313" s="96">
        <f t="shared" si="54"/>
        <v>0</v>
      </c>
      <c r="F313" s="96">
        <f t="shared" si="52"/>
        <v>0</v>
      </c>
      <c r="G313" s="96">
        <f t="shared" si="53"/>
        <v>0</v>
      </c>
      <c r="H313" s="112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89"/>
      <c r="X313" s="49">
        <f t="shared" si="44"/>
        <v>0</v>
      </c>
      <c r="Y313" s="49">
        <f>[2]BASE!A311</f>
        <v>302</v>
      </c>
      <c r="Z313" s="69">
        <f t="shared" si="45"/>
        <v>0</v>
      </c>
      <c r="AA313" s="69">
        <f t="shared" si="46"/>
        <v>0</v>
      </c>
      <c r="AB313" s="69">
        <f t="shared" si="47"/>
        <v>0</v>
      </c>
      <c r="AC313" s="69">
        <f t="shared" si="48"/>
        <v>0</v>
      </c>
      <c r="AD313" s="69">
        <f t="shared" si="49"/>
        <v>0</v>
      </c>
    </row>
    <row r="314" spans="1:30" ht="17.25" customHeight="1">
      <c r="A314" s="95" t="str">
        <f>IF(BASE!B312="","",BASE!B312)</f>
        <v/>
      </c>
      <c r="B314" s="92" t="s">
        <v>2</v>
      </c>
      <c r="C314" s="96">
        <f t="shared" si="50"/>
        <v>0</v>
      </c>
      <c r="D314" s="96">
        <f t="shared" si="51"/>
        <v>0</v>
      </c>
      <c r="E314" s="96">
        <f t="shared" si="54"/>
        <v>0</v>
      </c>
      <c r="F314" s="96">
        <f t="shared" si="52"/>
        <v>0</v>
      </c>
      <c r="G314" s="96">
        <f t="shared" si="53"/>
        <v>0</v>
      </c>
      <c r="H314" s="112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89"/>
      <c r="X314" s="49">
        <f t="shared" si="44"/>
        <v>0</v>
      </c>
      <c r="Y314" s="49">
        <f>[2]BASE!A312</f>
        <v>303</v>
      </c>
      <c r="Z314" s="69">
        <f t="shared" si="45"/>
        <v>0</v>
      </c>
      <c r="AA314" s="69">
        <f t="shared" si="46"/>
        <v>0</v>
      </c>
      <c r="AB314" s="69">
        <f t="shared" si="47"/>
        <v>0</v>
      </c>
      <c r="AC314" s="69">
        <f t="shared" si="48"/>
        <v>0</v>
      </c>
      <c r="AD314" s="69">
        <f t="shared" si="49"/>
        <v>0</v>
      </c>
    </row>
    <row r="315" spans="1:30" ht="17.25" customHeight="1">
      <c r="A315" s="95" t="str">
        <f>IF(BASE!B313="","",BASE!B313)</f>
        <v/>
      </c>
      <c r="B315" s="92" t="s">
        <v>2</v>
      </c>
      <c r="C315" s="96">
        <f t="shared" si="50"/>
        <v>0</v>
      </c>
      <c r="D315" s="96">
        <f t="shared" si="51"/>
        <v>0</v>
      </c>
      <c r="E315" s="96">
        <f t="shared" si="54"/>
        <v>0</v>
      </c>
      <c r="F315" s="96">
        <f t="shared" si="52"/>
        <v>0</v>
      </c>
      <c r="G315" s="96">
        <f t="shared" si="53"/>
        <v>0</v>
      </c>
      <c r="H315" s="112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89"/>
      <c r="X315" s="49">
        <f t="shared" si="44"/>
        <v>0</v>
      </c>
      <c r="Y315" s="49">
        <f>[2]BASE!A313</f>
        <v>304</v>
      </c>
      <c r="Z315" s="69">
        <f t="shared" si="45"/>
        <v>0</v>
      </c>
      <c r="AA315" s="69">
        <f t="shared" si="46"/>
        <v>0</v>
      </c>
      <c r="AB315" s="69">
        <f t="shared" si="47"/>
        <v>0</v>
      </c>
      <c r="AC315" s="69">
        <f t="shared" si="48"/>
        <v>0</v>
      </c>
      <c r="AD315" s="69">
        <f t="shared" si="49"/>
        <v>0</v>
      </c>
    </row>
    <row r="316" spans="1:30" ht="17.25" customHeight="1">
      <c r="A316" s="95" t="str">
        <f>IF(BASE!B314="","",BASE!B314)</f>
        <v/>
      </c>
      <c r="B316" s="92" t="s">
        <v>2</v>
      </c>
      <c r="C316" s="96">
        <f t="shared" si="50"/>
        <v>0</v>
      </c>
      <c r="D316" s="96">
        <f t="shared" si="51"/>
        <v>0</v>
      </c>
      <c r="E316" s="96">
        <f t="shared" si="54"/>
        <v>0</v>
      </c>
      <c r="F316" s="96">
        <f t="shared" si="52"/>
        <v>0</v>
      </c>
      <c r="G316" s="96">
        <f t="shared" si="53"/>
        <v>0</v>
      </c>
      <c r="H316" s="112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89"/>
      <c r="X316" s="49">
        <f t="shared" si="44"/>
        <v>0</v>
      </c>
      <c r="Y316" s="49">
        <f>[2]BASE!A314</f>
        <v>305</v>
      </c>
      <c r="Z316" s="69">
        <f t="shared" si="45"/>
        <v>0</v>
      </c>
      <c r="AA316" s="69">
        <f t="shared" si="46"/>
        <v>0</v>
      </c>
      <c r="AB316" s="69">
        <f t="shared" si="47"/>
        <v>0</v>
      </c>
      <c r="AC316" s="69">
        <f t="shared" si="48"/>
        <v>0</v>
      </c>
      <c r="AD316" s="69">
        <f t="shared" si="49"/>
        <v>0</v>
      </c>
    </row>
    <row r="317" spans="1:30" ht="17.25" customHeight="1">
      <c r="A317" s="95" t="str">
        <f>IF(BASE!B315="","",BASE!B315)</f>
        <v/>
      </c>
      <c r="B317" s="92" t="s">
        <v>2</v>
      </c>
      <c r="C317" s="96">
        <f t="shared" si="50"/>
        <v>0</v>
      </c>
      <c r="D317" s="96">
        <f t="shared" si="51"/>
        <v>0</v>
      </c>
      <c r="E317" s="96">
        <f t="shared" si="54"/>
        <v>0</v>
      </c>
      <c r="F317" s="96">
        <f t="shared" si="52"/>
        <v>0</v>
      </c>
      <c r="G317" s="96">
        <f t="shared" si="53"/>
        <v>0</v>
      </c>
      <c r="H317" s="112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89"/>
      <c r="X317" s="49">
        <f t="shared" si="44"/>
        <v>0</v>
      </c>
      <c r="Y317" s="49">
        <f>[2]BASE!A315</f>
        <v>306</v>
      </c>
      <c r="Z317" s="69">
        <f t="shared" si="45"/>
        <v>0</v>
      </c>
      <c r="AA317" s="69">
        <f t="shared" si="46"/>
        <v>0</v>
      </c>
      <c r="AB317" s="69">
        <f t="shared" si="47"/>
        <v>0</v>
      </c>
      <c r="AC317" s="69">
        <f t="shared" si="48"/>
        <v>0</v>
      </c>
      <c r="AD317" s="69">
        <f t="shared" si="49"/>
        <v>0</v>
      </c>
    </row>
    <row r="318" spans="1:30" ht="17.25" customHeight="1">
      <c r="A318" s="95" t="str">
        <f>IF(BASE!B316="","",BASE!B316)</f>
        <v/>
      </c>
      <c r="B318" s="92" t="s">
        <v>2</v>
      </c>
      <c r="C318" s="96">
        <f t="shared" si="50"/>
        <v>0</v>
      </c>
      <c r="D318" s="96">
        <f t="shared" si="51"/>
        <v>0</v>
      </c>
      <c r="E318" s="96">
        <f t="shared" si="54"/>
        <v>0</v>
      </c>
      <c r="F318" s="96">
        <f t="shared" si="52"/>
        <v>0</v>
      </c>
      <c r="G318" s="96">
        <f t="shared" si="53"/>
        <v>0</v>
      </c>
      <c r="H318" s="112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89"/>
      <c r="X318" s="49">
        <f t="shared" si="44"/>
        <v>0</v>
      </c>
      <c r="Y318" s="49">
        <f>[2]BASE!A316</f>
        <v>307</v>
      </c>
      <c r="Z318" s="69">
        <f t="shared" si="45"/>
        <v>0</v>
      </c>
      <c r="AA318" s="69">
        <f t="shared" si="46"/>
        <v>0</v>
      </c>
      <c r="AB318" s="69">
        <f t="shared" si="47"/>
        <v>0</v>
      </c>
      <c r="AC318" s="69">
        <f t="shared" si="48"/>
        <v>0</v>
      </c>
      <c r="AD318" s="69">
        <f t="shared" si="49"/>
        <v>0</v>
      </c>
    </row>
    <row r="319" spans="1:30" ht="17.25" customHeight="1">
      <c r="A319" s="95" t="str">
        <f>IF(BASE!B317="","",BASE!B317)</f>
        <v/>
      </c>
      <c r="B319" s="92" t="s">
        <v>2</v>
      </c>
      <c r="C319" s="96">
        <f t="shared" si="50"/>
        <v>0</v>
      </c>
      <c r="D319" s="96">
        <f t="shared" si="51"/>
        <v>0</v>
      </c>
      <c r="E319" s="96">
        <f t="shared" si="54"/>
        <v>0</v>
      </c>
      <c r="F319" s="96">
        <f t="shared" si="52"/>
        <v>0</v>
      </c>
      <c r="G319" s="96">
        <f t="shared" si="53"/>
        <v>0</v>
      </c>
      <c r="H319" s="112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89"/>
      <c r="X319" s="49">
        <f t="shared" si="44"/>
        <v>0</v>
      </c>
      <c r="Y319" s="49">
        <f>[2]BASE!A317</f>
        <v>308</v>
      </c>
      <c r="Z319" s="69">
        <f t="shared" si="45"/>
        <v>0</v>
      </c>
      <c r="AA319" s="69">
        <f t="shared" si="46"/>
        <v>0</v>
      </c>
      <c r="AB319" s="69">
        <f t="shared" si="47"/>
        <v>0</v>
      </c>
      <c r="AC319" s="69">
        <f t="shared" si="48"/>
        <v>0</v>
      </c>
      <c r="AD319" s="69">
        <f t="shared" si="49"/>
        <v>0</v>
      </c>
    </row>
    <row r="320" spans="1:30" ht="17.25" customHeight="1">
      <c r="A320" s="95" t="str">
        <f>IF(BASE!B318="","",BASE!B318)</f>
        <v/>
      </c>
      <c r="B320" s="92" t="s">
        <v>2</v>
      </c>
      <c r="C320" s="96">
        <f t="shared" si="50"/>
        <v>0</v>
      </c>
      <c r="D320" s="96">
        <f t="shared" si="51"/>
        <v>0</v>
      </c>
      <c r="E320" s="96">
        <f t="shared" si="54"/>
        <v>0</v>
      </c>
      <c r="F320" s="96">
        <f t="shared" si="52"/>
        <v>0</v>
      </c>
      <c r="G320" s="96">
        <f t="shared" si="53"/>
        <v>0</v>
      </c>
      <c r="H320" s="112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89"/>
      <c r="X320" s="49">
        <f t="shared" si="44"/>
        <v>0</v>
      </c>
      <c r="Y320" s="49">
        <f>[2]BASE!A318</f>
        <v>309</v>
      </c>
      <c r="Z320" s="69">
        <f t="shared" si="45"/>
        <v>0</v>
      </c>
      <c r="AA320" s="69">
        <f t="shared" si="46"/>
        <v>0</v>
      </c>
      <c r="AB320" s="69">
        <f t="shared" si="47"/>
        <v>0</v>
      </c>
      <c r="AC320" s="69">
        <f t="shared" si="48"/>
        <v>0</v>
      </c>
      <c r="AD320" s="69">
        <f t="shared" si="49"/>
        <v>0</v>
      </c>
    </row>
    <row r="321" spans="1:30" ht="17.25" customHeight="1">
      <c r="A321" s="95" t="str">
        <f>IF(BASE!B319="","",BASE!B319)</f>
        <v/>
      </c>
      <c r="B321" s="92" t="s">
        <v>2</v>
      </c>
      <c r="C321" s="96">
        <f t="shared" si="50"/>
        <v>0</v>
      </c>
      <c r="D321" s="96">
        <f t="shared" si="51"/>
        <v>0</v>
      </c>
      <c r="E321" s="96">
        <f t="shared" si="54"/>
        <v>0</v>
      </c>
      <c r="F321" s="96">
        <f t="shared" si="52"/>
        <v>0</v>
      </c>
      <c r="G321" s="96">
        <f t="shared" si="53"/>
        <v>0</v>
      </c>
      <c r="H321" s="112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89"/>
      <c r="X321" s="49">
        <f t="shared" si="44"/>
        <v>0</v>
      </c>
      <c r="Y321" s="49">
        <f>[2]BASE!A319</f>
        <v>310</v>
      </c>
      <c r="Z321" s="69">
        <f t="shared" si="45"/>
        <v>0</v>
      </c>
      <c r="AA321" s="69">
        <f t="shared" si="46"/>
        <v>0</v>
      </c>
      <c r="AB321" s="69">
        <f t="shared" si="47"/>
        <v>0</v>
      </c>
      <c r="AC321" s="69">
        <f t="shared" si="48"/>
        <v>0</v>
      </c>
      <c r="AD321" s="69">
        <f t="shared" si="49"/>
        <v>0</v>
      </c>
    </row>
    <row r="322" spans="1:30" ht="17.25" customHeight="1">
      <c r="A322" s="95" t="str">
        <f>IF(BASE!B320="","",BASE!B320)</f>
        <v/>
      </c>
      <c r="B322" s="92" t="s">
        <v>2</v>
      </c>
      <c r="C322" s="96">
        <f t="shared" si="50"/>
        <v>0</v>
      </c>
      <c r="D322" s="96">
        <f t="shared" si="51"/>
        <v>0</v>
      </c>
      <c r="E322" s="96">
        <f t="shared" si="54"/>
        <v>0</v>
      </c>
      <c r="F322" s="96">
        <f t="shared" si="52"/>
        <v>0</v>
      </c>
      <c r="G322" s="96">
        <f t="shared" si="53"/>
        <v>0</v>
      </c>
      <c r="H322" s="112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89"/>
      <c r="X322" s="49">
        <f t="shared" si="44"/>
        <v>0</v>
      </c>
      <c r="Y322" s="49">
        <f>[2]BASE!A320</f>
        <v>311</v>
      </c>
      <c r="Z322" s="69">
        <f t="shared" si="45"/>
        <v>0</v>
      </c>
      <c r="AA322" s="69">
        <f t="shared" si="46"/>
        <v>0</v>
      </c>
      <c r="AB322" s="69">
        <f t="shared" si="47"/>
        <v>0</v>
      </c>
      <c r="AC322" s="69">
        <f t="shared" si="48"/>
        <v>0</v>
      </c>
      <c r="AD322" s="69">
        <f t="shared" si="49"/>
        <v>0</v>
      </c>
    </row>
    <row r="323" spans="1:30" ht="17.25" customHeight="1">
      <c r="A323" s="95" t="str">
        <f>IF(BASE!B321="","",BASE!B321)</f>
        <v/>
      </c>
      <c r="B323" s="92" t="s">
        <v>2</v>
      </c>
      <c r="C323" s="96">
        <f t="shared" si="50"/>
        <v>0</v>
      </c>
      <c r="D323" s="96">
        <f t="shared" si="51"/>
        <v>0</v>
      </c>
      <c r="E323" s="96">
        <f t="shared" si="54"/>
        <v>0</v>
      </c>
      <c r="F323" s="96">
        <f t="shared" si="52"/>
        <v>0</v>
      </c>
      <c r="G323" s="96">
        <f t="shared" si="53"/>
        <v>0</v>
      </c>
      <c r="H323" s="112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89"/>
      <c r="X323" s="49">
        <f t="shared" si="44"/>
        <v>0</v>
      </c>
      <c r="Y323" s="49">
        <f>[2]BASE!A321</f>
        <v>312</v>
      </c>
      <c r="Z323" s="69">
        <f t="shared" si="45"/>
        <v>0</v>
      </c>
      <c r="AA323" s="69">
        <f t="shared" si="46"/>
        <v>0</v>
      </c>
      <c r="AB323" s="69">
        <f t="shared" si="47"/>
        <v>0</v>
      </c>
      <c r="AC323" s="69">
        <f t="shared" si="48"/>
        <v>0</v>
      </c>
      <c r="AD323" s="69">
        <f t="shared" si="49"/>
        <v>0</v>
      </c>
    </row>
    <row r="324" spans="1:30" ht="17.25" customHeight="1">
      <c r="A324" s="95" t="str">
        <f>IF(BASE!B322="","",BASE!B322)</f>
        <v/>
      </c>
      <c r="B324" s="92" t="s">
        <v>2</v>
      </c>
      <c r="C324" s="96">
        <f t="shared" si="50"/>
        <v>0</v>
      </c>
      <c r="D324" s="96">
        <f t="shared" si="51"/>
        <v>0</v>
      </c>
      <c r="E324" s="96">
        <f t="shared" si="54"/>
        <v>0</v>
      </c>
      <c r="F324" s="96">
        <f t="shared" si="52"/>
        <v>0</v>
      </c>
      <c r="G324" s="96">
        <f t="shared" si="53"/>
        <v>0</v>
      </c>
      <c r="H324" s="112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89"/>
      <c r="X324" s="49">
        <f t="shared" si="44"/>
        <v>0</v>
      </c>
      <c r="Y324" s="49">
        <f>[2]BASE!A322</f>
        <v>313</v>
      </c>
      <c r="Z324" s="69">
        <f t="shared" si="45"/>
        <v>0</v>
      </c>
      <c r="AA324" s="69">
        <f t="shared" si="46"/>
        <v>0</v>
      </c>
      <c r="AB324" s="69">
        <f t="shared" si="47"/>
        <v>0</v>
      </c>
      <c r="AC324" s="69">
        <f t="shared" si="48"/>
        <v>0</v>
      </c>
      <c r="AD324" s="69">
        <f t="shared" si="49"/>
        <v>0</v>
      </c>
    </row>
    <row r="325" spans="1:30" ht="17.25" customHeight="1">
      <c r="A325" s="95" t="str">
        <f>IF(BASE!B323="","",BASE!B323)</f>
        <v/>
      </c>
      <c r="B325" s="92" t="s">
        <v>2</v>
      </c>
      <c r="C325" s="96">
        <f t="shared" si="50"/>
        <v>0</v>
      </c>
      <c r="D325" s="96">
        <f t="shared" si="51"/>
        <v>0</v>
      </c>
      <c r="E325" s="96">
        <f t="shared" si="54"/>
        <v>0</v>
      </c>
      <c r="F325" s="96">
        <f t="shared" si="52"/>
        <v>0</v>
      </c>
      <c r="G325" s="96">
        <f t="shared" si="53"/>
        <v>0</v>
      </c>
      <c r="H325" s="112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89"/>
      <c r="X325" s="49">
        <f t="shared" si="44"/>
        <v>0</v>
      </c>
      <c r="Y325" s="49">
        <f>[2]BASE!A323</f>
        <v>314</v>
      </c>
      <c r="Z325" s="69">
        <f t="shared" si="45"/>
        <v>0</v>
      </c>
      <c r="AA325" s="69">
        <f t="shared" si="46"/>
        <v>0</v>
      </c>
      <c r="AB325" s="69">
        <f t="shared" si="47"/>
        <v>0</v>
      </c>
      <c r="AC325" s="69">
        <f t="shared" si="48"/>
        <v>0</v>
      </c>
      <c r="AD325" s="69">
        <f t="shared" si="49"/>
        <v>0</v>
      </c>
    </row>
    <row r="326" spans="1:30" ht="17.25" customHeight="1">
      <c r="A326" s="95" t="str">
        <f>IF(BASE!B324="","",BASE!B324)</f>
        <v/>
      </c>
      <c r="B326" s="92" t="s">
        <v>2</v>
      </c>
      <c r="C326" s="96">
        <f t="shared" si="50"/>
        <v>0</v>
      </c>
      <c r="D326" s="96">
        <f t="shared" si="51"/>
        <v>0</v>
      </c>
      <c r="E326" s="96">
        <f t="shared" si="54"/>
        <v>0</v>
      </c>
      <c r="F326" s="96">
        <f t="shared" si="52"/>
        <v>0</v>
      </c>
      <c r="G326" s="96">
        <f t="shared" si="53"/>
        <v>0</v>
      </c>
      <c r="H326" s="112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89"/>
      <c r="X326" s="49">
        <f t="shared" si="44"/>
        <v>0</v>
      </c>
      <c r="Y326" s="49">
        <f>[2]BASE!A324</f>
        <v>315</v>
      </c>
      <c r="Z326" s="69">
        <f t="shared" si="45"/>
        <v>0</v>
      </c>
      <c r="AA326" s="69">
        <f t="shared" si="46"/>
        <v>0</v>
      </c>
      <c r="AB326" s="69">
        <f t="shared" si="47"/>
        <v>0</v>
      </c>
      <c r="AC326" s="69">
        <f t="shared" si="48"/>
        <v>0</v>
      </c>
      <c r="AD326" s="69">
        <f t="shared" si="49"/>
        <v>0</v>
      </c>
    </row>
    <row r="327" spans="1:30" ht="17.25" customHeight="1">
      <c r="A327" s="95" t="str">
        <f>IF(BASE!B325="","",BASE!B325)</f>
        <v/>
      </c>
      <c r="B327" s="92" t="s">
        <v>2</v>
      </c>
      <c r="C327" s="96">
        <f t="shared" si="50"/>
        <v>0</v>
      </c>
      <c r="D327" s="96">
        <f t="shared" si="51"/>
        <v>0</v>
      </c>
      <c r="E327" s="96">
        <f t="shared" si="54"/>
        <v>0</v>
      </c>
      <c r="F327" s="96">
        <f t="shared" si="52"/>
        <v>0</v>
      </c>
      <c r="G327" s="96">
        <f t="shared" si="53"/>
        <v>0</v>
      </c>
      <c r="H327" s="112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89"/>
      <c r="X327" s="49">
        <f t="shared" si="44"/>
        <v>0</v>
      </c>
      <c r="Y327" s="49">
        <f>[2]BASE!A325</f>
        <v>316</v>
      </c>
      <c r="Z327" s="69">
        <f t="shared" si="45"/>
        <v>0</v>
      </c>
      <c r="AA327" s="69">
        <f t="shared" si="46"/>
        <v>0</v>
      </c>
      <c r="AB327" s="69">
        <f t="shared" si="47"/>
        <v>0</v>
      </c>
      <c r="AC327" s="69">
        <f t="shared" si="48"/>
        <v>0</v>
      </c>
      <c r="AD327" s="69">
        <f t="shared" si="49"/>
        <v>0</v>
      </c>
    </row>
    <row r="328" spans="1:30" ht="17.25" customHeight="1">
      <c r="A328" s="95" t="str">
        <f>IF(BASE!B326="","",BASE!B326)</f>
        <v/>
      </c>
      <c r="B328" s="92" t="s">
        <v>2</v>
      </c>
      <c r="C328" s="96">
        <f t="shared" si="50"/>
        <v>0</v>
      </c>
      <c r="D328" s="96">
        <f t="shared" si="51"/>
        <v>0</v>
      </c>
      <c r="E328" s="96">
        <f t="shared" si="54"/>
        <v>0</v>
      </c>
      <c r="F328" s="96">
        <f t="shared" si="52"/>
        <v>0</v>
      </c>
      <c r="G328" s="96">
        <f t="shared" si="53"/>
        <v>0</v>
      </c>
      <c r="H328" s="112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89"/>
      <c r="X328" s="49">
        <f t="shared" si="44"/>
        <v>0</v>
      </c>
      <c r="Y328" s="49">
        <f>[2]BASE!A326</f>
        <v>317</v>
      </c>
      <c r="Z328" s="69">
        <f t="shared" si="45"/>
        <v>0</v>
      </c>
      <c r="AA328" s="69">
        <f t="shared" si="46"/>
        <v>0</v>
      </c>
      <c r="AB328" s="69">
        <f t="shared" si="47"/>
        <v>0</v>
      </c>
      <c r="AC328" s="69">
        <f t="shared" si="48"/>
        <v>0</v>
      </c>
      <c r="AD328" s="69">
        <f t="shared" si="49"/>
        <v>0</v>
      </c>
    </row>
    <row r="329" spans="1:30" ht="17.25" customHeight="1">
      <c r="A329" s="95" t="str">
        <f>IF(BASE!B327="","",BASE!B327)</f>
        <v/>
      </c>
      <c r="B329" s="92" t="s">
        <v>2</v>
      </c>
      <c r="C329" s="96">
        <f t="shared" si="50"/>
        <v>0</v>
      </c>
      <c r="D329" s="96">
        <f t="shared" si="51"/>
        <v>0</v>
      </c>
      <c r="E329" s="96">
        <f t="shared" si="54"/>
        <v>0</v>
      </c>
      <c r="F329" s="96">
        <f t="shared" si="52"/>
        <v>0</v>
      </c>
      <c r="G329" s="96">
        <f t="shared" si="53"/>
        <v>0</v>
      </c>
      <c r="H329" s="112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89"/>
      <c r="X329" s="49">
        <f t="shared" si="44"/>
        <v>0</v>
      </c>
      <c r="Y329" s="49">
        <f>[2]BASE!A327</f>
        <v>318</v>
      </c>
      <c r="Z329" s="69">
        <f t="shared" si="45"/>
        <v>0</v>
      </c>
      <c r="AA329" s="69">
        <f t="shared" si="46"/>
        <v>0</v>
      </c>
      <c r="AB329" s="69">
        <f t="shared" si="47"/>
        <v>0</v>
      </c>
      <c r="AC329" s="69">
        <f t="shared" si="48"/>
        <v>0</v>
      </c>
      <c r="AD329" s="69">
        <f t="shared" si="49"/>
        <v>0</v>
      </c>
    </row>
    <row r="330" spans="1:30" ht="17.25" customHeight="1">
      <c r="A330" s="95" t="str">
        <f>IF(BASE!B328="","",BASE!B328)</f>
        <v/>
      </c>
      <c r="B330" s="92" t="s">
        <v>2</v>
      </c>
      <c r="C330" s="96">
        <f t="shared" si="50"/>
        <v>0</v>
      </c>
      <c r="D330" s="96">
        <f t="shared" si="51"/>
        <v>0</v>
      </c>
      <c r="E330" s="96">
        <f t="shared" si="54"/>
        <v>0</v>
      </c>
      <c r="F330" s="96">
        <f t="shared" si="52"/>
        <v>0</v>
      </c>
      <c r="G330" s="96">
        <f t="shared" si="53"/>
        <v>0</v>
      </c>
      <c r="H330" s="112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89"/>
      <c r="X330" s="49">
        <f t="shared" si="44"/>
        <v>0</v>
      </c>
      <c r="Y330" s="49">
        <f>[2]BASE!A328</f>
        <v>319</v>
      </c>
      <c r="Z330" s="69">
        <f t="shared" si="45"/>
        <v>0</v>
      </c>
      <c r="AA330" s="69">
        <f t="shared" si="46"/>
        <v>0</v>
      </c>
      <c r="AB330" s="69">
        <f t="shared" si="47"/>
        <v>0</v>
      </c>
      <c r="AC330" s="69">
        <f t="shared" si="48"/>
        <v>0</v>
      </c>
      <c r="AD330" s="69">
        <f t="shared" si="49"/>
        <v>0</v>
      </c>
    </row>
    <row r="331" spans="1:30" ht="17.25" customHeight="1">
      <c r="A331" s="95" t="str">
        <f>IF(BASE!B329="","",BASE!B329)</f>
        <v/>
      </c>
      <c r="B331" s="92" t="s">
        <v>2</v>
      </c>
      <c r="C331" s="96">
        <f t="shared" si="50"/>
        <v>0</v>
      </c>
      <c r="D331" s="96">
        <f t="shared" si="51"/>
        <v>0</v>
      </c>
      <c r="E331" s="96">
        <f t="shared" si="54"/>
        <v>0</v>
      </c>
      <c r="F331" s="96">
        <f t="shared" si="52"/>
        <v>0</v>
      </c>
      <c r="G331" s="96">
        <f t="shared" si="53"/>
        <v>0</v>
      </c>
      <c r="H331" s="112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89"/>
      <c r="X331" s="49">
        <f t="shared" si="44"/>
        <v>0</v>
      </c>
      <c r="Y331" s="49">
        <f>[2]BASE!A329</f>
        <v>320</v>
      </c>
      <c r="Z331" s="69">
        <f t="shared" si="45"/>
        <v>0</v>
      </c>
      <c r="AA331" s="69">
        <f t="shared" si="46"/>
        <v>0</v>
      </c>
      <c r="AB331" s="69">
        <f t="shared" si="47"/>
        <v>0</v>
      </c>
      <c r="AC331" s="69">
        <f t="shared" si="48"/>
        <v>0</v>
      </c>
      <c r="AD331" s="69">
        <f t="shared" si="49"/>
        <v>0</v>
      </c>
    </row>
    <row r="332" spans="1:30" ht="17.25" customHeight="1">
      <c r="A332" s="95" t="str">
        <f>IF(BASE!B330="","",BASE!B330)</f>
        <v/>
      </c>
      <c r="B332" s="92" t="s">
        <v>2</v>
      </c>
      <c r="C332" s="96">
        <f t="shared" si="50"/>
        <v>0</v>
      </c>
      <c r="D332" s="96">
        <f t="shared" si="51"/>
        <v>0</v>
      </c>
      <c r="E332" s="96">
        <f t="shared" si="54"/>
        <v>0</v>
      </c>
      <c r="F332" s="96">
        <f t="shared" si="52"/>
        <v>0</v>
      </c>
      <c r="G332" s="96">
        <f t="shared" si="53"/>
        <v>0</v>
      </c>
      <c r="H332" s="112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89"/>
      <c r="X332" s="49">
        <f t="shared" ref="X332:X395" si="55">SUM(C332:V332)</f>
        <v>0</v>
      </c>
      <c r="Y332" s="49">
        <f>[2]BASE!A330</f>
        <v>321</v>
      </c>
      <c r="Z332" s="69">
        <f t="shared" ref="Z332:Z395" si="56">SUMIF($C$11:$V$11,1,C332:V332)</f>
        <v>0</v>
      </c>
      <c r="AA332" s="69">
        <f t="shared" ref="AA332:AA395" si="57">SUMIF($C$11:$V$11,2,C332:V332)</f>
        <v>0</v>
      </c>
      <c r="AB332" s="69">
        <f t="shared" ref="AB332:AB395" si="58">SUMIF($C$11:$V$11,3,C332:V332)</f>
        <v>0</v>
      </c>
      <c r="AC332" s="69">
        <f t="shared" ref="AC332:AC395" si="59">SUMIF($C$11:$V$11,4,C332:V332)</f>
        <v>0</v>
      </c>
      <c r="AD332" s="69">
        <f t="shared" ref="AD332:AD395" si="60">SUMIF($C$11:$V$11,5,C332:V332)</f>
        <v>0</v>
      </c>
    </row>
    <row r="333" spans="1:30" ht="17.25" customHeight="1">
      <c r="A333" s="95" t="str">
        <f>IF(BASE!B331="","",BASE!B331)</f>
        <v/>
      </c>
      <c r="B333" s="92" t="s">
        <v>2</v>
      </c>
      <c r="C333" s="96">
        <f t="shared" ref="C333:C396" si="61">(H333/5)</f>
        <v>0</v>
      </c>
      <c r="D333" s="96">
        <f t="shared" ref="D333:D396" si="62">(H333/5)</f>
        <v>0</v>
      </c>
      <c r="E333" s="96">
        <f t="shared" si="54"/>
        <v>0</v>
      </c>
      <c r="F333" s="96">
        <f t="shared" ref="F333:F396" si="63">(H333/5)</f>
        <v>0</v>
      </c>
      <c r="G333" s="96">
        <f t="shared" ref="G333:G396" si="64">(H333/5)</f>
        <v>0</v>
      </c>
      <c r="H333" s="112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89"/>
      <c r="X333" s="49">
        <f t="shared" si="55"/>
        <v>0</v>
      </c>
      <c r="Y333" s="49">
        <f>[2]BASE!A331</f>
        <v>322</v>
      </c>
      <c r="Z333" s="69">
        <f t="shared" si="56"/>
        <v>0</v>
      </c>
      <c r="AA333" s="69">
        <f t="shared" si="57"/>
        <v>0</v>
      </c>
      <c r="AB333" s="69">
        <f t="shared" si="58"/>
        <v>0</v>
      </c>
      <c r="AC333" s="69">
        <f t="shared" si="59"/>
        <v>0</v>
      </c>
      <c r="AD333" s="69">
        <f t="shared" si="60"/>
        <v>0</v>
      </c>
    </row>
    <row r="334" spans="1:30" ht="17.25" customHeight="1">
      <c r="A334" s="95" t="str">
        <f>IF(BASE!B332="","",BASE!B332)</f>
        <v/>
      </c>
      <c r="B334" s="92" t="s">
        <v>2</v>
      </c>
      <c r="C334" s="96">
        <f t="shared" si="61"/>
        <v>0</v>
      </c>
      <c r="D334" s="96">
        <f t="shared" si="62"/>
        <v>0</v>
      </c>
      <c r="E334" s="96">
        <f t="shared" ref="E334:E397" si="65">(H334/5)</f>
        <v>0</v>
      </c>
      <c r="F334" s="96">
        <f t="shared" si="63"/>
        <v>0</v>
      </c>
      <c r="G334" s="96">
        <f t="shared" si="64"/>
        <v>0</v>
      </c>
      <c r="H334" s="112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89"/>
      <c r="X334" s="49">
        <f t="shared" si="55"/>
        <v>0</v>
      </c>
      <c r="Y334" s="49">
        <f>[2]BASE!A332</f>
        <v>323</v>
      </c>
      <c r="Z334" s="69">
        <f t="shared" si="56"/>
        <v>0</v>
      </c>
      <c r="AA334" s="69">
        <f t="shared" si="57"/>
        <v>0</v>
      </c>
      <c r="AB334" s="69">
        <f t="shared" si="58"/>
        <v>0</v>
      </c>
      <c r="AC334" s="69">
        <f t="shared" si="59"/>
        <v>0</v>
      </c>
      <c r="AD334" s="69">
        <f t="shared" si="60"/>
        <v>0</v>
      </c>
    </row>
    <row r="335" spans="1:30" ht="17.25" customHeight="1">
      <c r="A335" s="95" t="str">
        <f>IF(BASE!B333="","",BASE!B333)</f>
        <v/>
      </c>
      <c r="B335" s="92" t="s">
        <v>2</v>
      </c>
      <c r="C335" s="96">
        <f t="shared" si="61"/>
        <v>0</v>
      </c>
      <c r="D335" s="96">
        <f t="shared" si="62"/>
        <v>0</v>
      </c>
      <c r="E335" s="96">
        <f t="shared" si="65"/>
        <v>0</v>
      </c>
      <c r="F335" s="96">
        <f t="shared" si="63"/>
        <v>0</v>
      </c>
      <c r="G335" s="96">
        <f t="shared" si="64"/>
        <v>0</v>
      </c>
      <c r="H335" s="112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89"/>
      <c r="X335" s="49">
        <f t="shared" si="55"/>
        <v>0</v>
      </c>
      <c r="Y335" s="49">
        <f>[2]BASE!A333</f>
        <v>324</v>
      </c>
      <c r="Z335" s="69">
        <f t="shared" si="56"/>
        <v>0</v>
      </c>
      <c r="AA335" s="69">
        <f t="shared" si="57"/>
        <v>0</v>
      </c>
      <c r="AB335" s="69">
        <f t="shared" si="58"/>
        <v>0</v>
      </c>
      <c r="AC335" s="69">
        <f t="shared" si="59"/>
        <v>0</v>
      </c>
      <c r="AD335" s="69">
        <f t="shared" si="60"/>
        <v>0</v>
      </c>
    </row>
    <row r="336" spans="1:30" ht="17.25" customHeight="1">
      <c r="A336" s="95" t="str">
        <f>IF(BASE!B334="","",BASE!B334)</f>
        <v/>
      </c>
      <c r="B336" s="92" t="s">
        <v>2</v>
      </c>
      <c r="C336" s="96">
        <f t="shared" si="61"/>
        <v>0</v>
      </c>
      <c r="D336" s="96">
        <f t="shared" si="62"/>
        <v>0</v>
      </c>
      <c r="E336" s="96">
        <f t="shared" si="65"/>
        <v>0</v>
      </c>
      <c r="F336" s="96">
        <f t="shared" si="63"/>
        <v>0</v>
      </c>
      <c r="G336" s="96">
        <f t="shared" si="64"/>
        <v>0</v>
      </c>
      <c r="H336" s="112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89"/>
      <c r="X336" s="49">
        <f t="shared" si="55"/>
        <v>0</v>
      </c>
      <c r="Y336" s="49">
        <f>[2]BASE!A334</f>
        <v>325</v>
      </c>
      <c r="Z336" s="69">
        <f t="shared" si="56"/>
        <v>0</v>
      </c>
      <c r="AA336" s="69">
        <f t="shared" si="57"/>
        <v>0</v>
      </c>
      <c r="AB336" s="69">
        <f t="shared" si="58"/>
        <v>0</v>
      </c>
      <c r="AC336" s="69">
        <f t="shared" si="59"/>
        <v>0</v>
      </c>
      <c r="AD336" s="69">
        <f t="shared" si="60"/>
        <v>0</v>
      </c>
    </row>
    <row r="337" spans="1:30" ht="17.25" customHeight="1">
      <c r="A337" s="95" t="str">
        <f>IF(BASE!B335="","",BASE!B335)</f>
        <v/>
      </c>
      <c r="B337" s="92" t="s">
        <v>2</v>
      </c>
      <c r="C337" s="96">
        <f t="shared" si="61"/>
        <v>0</v>
      </c>
      <c r="D337" s="96">
        <f t="shared" si="62"/>
        <v>0</v>
      </c>
      <c r="E337" s="96">
        <f t="shared" si="65"/>
        <v>0</v>
      </c>
      <c r="F337" s="96">
        <f t="shared" si="63"/>
        <v>0</v>
      </c>
      <c r="G337" s="96">
        <f t="shared" si="64"/>
        <v>0</v>
      </c>
      <c r="H337" s="112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89"/>
      <c r="X337" s="49">
        <f t="shared" si="55"/>
        <v>0</v>
      </c>
      <c r="Y337" s="49">
        <f>[2]BASE!A335</f>
        <v>326</v>
      </c>
      <c r="Z337" s="69">
        <f t="shared" si="56"/>
        <v>0</v>
      </c>
      <c r="AA337" s="69">
        <f t="shared" si="57"/>
        <v>0</v>
      </c>
      <c r="AB337" s="69">
        <f t="shared" si="58"/>
        <v>0</v>
      </c>
      <c r="AC337" s="69">
        <f t="shared" si="59"/>
        <v>0</v>
      </c>
      <c r="AD337" s="69">
        <f t="shared" si="60"/>
        <v>0</v>
      </c>
    </row>
    <row r="338" spans="1:30" ht="17.25" customHeight="1">
      <c r="A338" s="95" t="str">
        <f>IF(BASE!B336="","",BASE!B336)</f>
        <v/>
      </c>
      <c r="B338" s="92" t="s">
        <v>2</v>
      </c>
      <c r="C338" s="96">
        <f t="shared" si="61"/>
        <v>0</v>
      </c>
      <c r="D338" s="96">
        <f t="shared" si="62"/>
        <v>0</v>
      </c>
      <c r="E338" s="96">
        <f t="shared" si="65"/>
        <v>0</v>
      </c>
      <c r="F338" s="96">
        <f t="shared" si="63"/>
        <v>0</v>
      </c>
      <c r="G338" s="96">
        <f t="shared" si="64"/>
        <v>0</v>
      </c>
      <c r="H338" s="112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89"/>
      <c r="X338" s="49">
        <f t="shared" si="55"/>
        <v>0</v>
      </c>
      <c r="Y338" s="49">
        <f>[2]BASE!A336</f>
        <v>327</v>
      </c>
      <c r="Z338" s="69">
        <f t="shared" si="56"/>
        <v>0</v>
      </c>
      <c r="AA338" s="69">
        <f t="shared" si="57"/>
        <v>0</v>
      </c>
      <c r="AB338" s="69">
        <f t="shared" si="58"/>
        <v>0</v>
      </c>
      <c r="AC338" s="69">
        <f t="shared" si="59"/>
        <v>0</v>
      </c>
      <c r="AD338" s="69">
        <f t="shared" si="60"/>
        <v>0</v>
      </c>
    </row>
    <row r="339" spans="1:30" ht="17.25" customHeight="1">
      <c r="A339" s="95" t="str">
        <f>IF(BASE!B337="","",BASE!B337)</f>
        <v/>
      </c>
      <c r="B339" s="92" t="s">
        <v>2</v>
      </c>
      <c r="C339" s="96">
        <f t="shared" si="61"/>
        <v>0</v>
      </c>
      <c r="D339" s="96">
        <f t="shared" si="62"/>
        <v>0</v>
      </c>
      <c r="E339" s="96">
        <f t="shared" si="65"/>
        <v>0</v>
      </c>
      <c r="F339" s="96">
        <f t="shared" si="63"/>
        <v>0</v>
      </c>
      <c r="G339" s="96">
        <f t="shared" si="64"/>
        <v>0</v>
      </c>
      <c r="H339" s="112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89"/>
      <c r="X339" s="49">
        <f t="shared" si="55"/>
        <v>0</v>
      </c>
      <c r="Y339" s="49">
        <f>[2]BASE!A337</f>
        <v>328</v>
      </c>
      <c r="Z339" s="69">
        <f t="shared" si="56"/>
        <v>0</v>
      </c>
      <c r="AA339" s="69">
        <f t="shared" si="57"/>
        <v>0</v>
      </c>
      <c r="AB339" s="69">
        <f t="shared" si="58"/>
        <v>0</v>
      </c>
      <c r="AC339" s="69">
        <f t="shared" si="59"/>
        <v>0</v>
      </c>
      <c r="AD339" s="69">
        <f t="shared" si="60"/>
        <v>0</v>
      </c>
    </row>
    <row r="340" spans="1:30" ht="17.25" customHeight="1">
      <c r="A340" s="95" t="str">
        <f>IF(BASE!B338="","",BASE!B338)</f>
        <v/>
      </c>
      <c r="B340" s="92" t="s">
        <v>2</v>
      </c>
      <c r="C340" s="96">
        <f t="shared" si="61"/>
        <v>0</v>
      </c>
      <c r="D340" s="96">
        <f t="shared" si="62"/>
        <v>0</v>
      </c>
      <c r="E340" s="96">
        <f t="shared" si="65"/>
        <v>0</v>
      </c>
      <c r="F340" s="96">
        <f t="shared" si="63"/>
        <v>0</v>
      </c>
      <c r="G340" s="96">
        <f t="shared" si="64"/>
        <v>0</v>
      </c>
      <c r="H340" s="112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89"/>
      <c r="X340" s="49">
        <f t="shared" si="55"/>
        <v>0</v>
      </c>
      <c r="Y340" s="49">
        <f>[2]BASE!A338</f>
        <v>329</v>
      </c>
      <c r="Z340" s="69">
        <f t="shared" si="56"/>
        <v>0</v>
      </c>
      <c r="AA340" s="69">
        <f t="shared" si="57"/>
        <v>0</v>
      </c>
      <c r="AB340" s="69">
        <f t="shared" si="58"/>
        <v>0</v>
      </c>
      <c r="AC340" s="69">
        <f t="shared" si="59"/>
        <v>0</v>
      </c>
      <c r="AD340" s="69">
        <f t="shared" si="60"/>
        <v>0</v>
      </c>
    </row>
    <row r="341" spans="1:30" ht="17.25" customHeight="1">
      <c r="A341" s="95" t="str">
        <f>IF(BASE!B339="","",BASE!B339)</f>
        <v/>
      </c>
      <c r="B341" s="92" t="s">
        <v>2</v>
      </c>
      <c r="C341" s="96">
        <f t="shared" si="61"/>
        <v>0</v>
      </c>
      <c r="D341" s="96">
        <f t="shared" si="62"/>
        <v>0</v>
      </c>
      <c r="E341" s="96">
        <f t="shared" si="65"/>
        <v>0</v>
      </c>
      <c r="F341" s="96">
        <f t="shared" si="63"/>
        <v>0</v>
      </c>
      <c r="G341" s="96">
        <f t="shared" si="64"/>
        <v>0</v>
      </c>
      <c r="H341" s="112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89"/>
      <c r="X341" s="49">
        <f t="shared" si="55"/>
        <v>0</v>
      </c>
      <c r="Y341" s="49">
        <f>[2]BASE!A339</f>
        <v>330</v>
      </c>
      <c r="Z341" s="69">
        <f t="shared" si="56"/>
        <v>0</v>
      </c>
      <c r="AA341" s="69">
        <f t="shared" si="57"/>
        <v>0</v>
      </c>
      <c r="AB341" s="69">
        <f t="shared" si="58"/>
        <v>0</v>
      </c>
      <c r="AC341" s="69">
        <f t="shared" si="59"/>
        <v>0</v>
      </c>
      <c r="AD341" s="69">
        <f t="shared" si="60"/>
        <v>0</v>
      </c>
    </row>
    <row r="342" spans="1:30" ht="17.25" customHeight="1">
      <c r="A342" s="95" t="str">
        <f>IF(BASE!B340="","",BASE!B340)</f>
        <v/>
      </c>
      <c r="B342" s="92" t="s">
        <v>2</v>
      </c>
      <c r="C342" s="96">
        <f t="shared" si="61"/>
        <v>0</v>
      </c>
      <c r="D342" s="96">
        <f t="shared" si="62"/>
        <v>0</v>
      </c>
      <c r="E342" s="96">
        <f t="shared" si="65"/>
        <v>0</v>
      </c>
      <c r="F342" s="96">
        <f t="shared" si="63"/>
        <v>0</v>
      </c>
      <c r="G342" s="96">
        <f t="shared" si="64"/>
        <v>0</v>
      </c>
      <c r="H342" s="112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89"/>
      <c r="X342" s="49">
        <f t="shared" si="55"/>
        <v>0</v>
      </c>
      <c r="Y342" s="49">
        <f>[2]BASE!A340</f>
        <v>331</v>
      </c>
      <c r="Z342" s="69">
        <f t="shared" si="56"/>
        <v>0</v>
      </c>
      <c r="AA342" s="69">
        <f t="shared" si="57"/>
        <v>0</v>
      </c>
      <c r="AB342" s="69">
        <f t="shared" si="58"/>
        <v>0</v>
      </c>
      <c r="AC342" s="69">
        <f t="shared" si="59"/>
        <v>0</v>
      </c>
      <c r="AD342" s="69">
        <f t="shared" si="60"/>
        <v>0</v>
      </c>
    </row>
    <row r="343" spans="1:30" ht="17.25" customHeight="1">
      <c r="A343" s="95" t="str">
        <f>IF(BASE!B341="","",BASE!B341)</f>
        <v/>
      </c>
      <c r="B343" s="92" t="s">
        <v>2</v>
      </c>
      <c r="C343" s="96">
        <f t="shared" si="61"/>
        <v>0</v>
      </c>
      <c r="D343" s="96">
        <f t="shared" si="62"/>
        <v>0</v>
      </c>
      <c r="E343" s="96">
        <f t="shared" si="65"/>
        <v>0</v>
      </c>
      <c r="F343" s="96">
        <f t="shared" si="63"/>
        <v>0</v>
      </c>
      <c r="G343" s="96">
        <f t="shared" si="64"/>
        <v>0</v>
      </c>
      <c r="H343" s="112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89"/>
      <c r="X343" s="49">
        <f t="shared" si="55"/>
        <v>0</v>
      </c>
      <c r="Y343" s="49">
        <f>[2]BASE!A341</f>
        <v>332</v>
      </c>
      <c r="Z343" s="69">
        <f t="shared" si="56"/>
        <v>0</v>
      </c>
      <c r="AA343" s="69">
        <f t="shared" si="57"/>
        <v>0</v>
      </c>
      <c r="AB343" s="69">
        <f t="shared" si="58"/>
        <v>0</v>
      </c>
      <c r="AC343" s="69">
        <f t="shared" si="59"/>
        <v>0</v>
      </c>
      <c r="AD343" s="69">
        <f t="shared" si="60"/>
        <v>0</v>
      </c>
    </row>
    <row r="344" spans="1:30" ht="17.25" customHeight="1">
      <c r="A344" s="95" t="str">
        <f>IF(BASE!B342="","",BASE!B342)</f>
        <v/>
      </c>
      <c r="B344" s="92" t="s">
        <v>2</v>
      </c>
      <c r="C344" s="96">
        <f t="shared" si="61"/>
        <v>0</v>
      </c>
      <c r="D344" s="96">
        <f t="shared" si="62"/>
        <v>0</v>
      </c>
      <c r="E344" s="96">
        <f t="shared" si="65"/>
        <v>0</v>
      </c>
      <c r="F344" s="96">
        <f t="shared" si="63"/>
        <v>0</v>
      </c>
      <c r="G344" s="96">
        <f t="shared" si="64"/>
        <v>0</v>
      </c>
      <c r="H344" s="112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89"/>
      <c r="X344" s="49">
        <f t="shared" si="55"/>
        <v>0</v>
      </c>
      <c r="Y344" s="49">
        <f>[2]BASE!A342</f>
        <v>333</v>
      </c>
      <c r="Z344" s="69">
        <f t="shared" si="56"/>
        <v>0</v>
      </c>
      <c r="AA344" s="69">
        <f t="shared" si="57"/>
        <v>0</v>
      </c>
      <c r="AB344" s="69">
        <f t="shared" si="58"/>
        <v>0</v>
      </c>
      <c r="AC344" s="69">
        <f t="shared" si="59"/>
        <v>0</v>
      </c>
      <c r="AD344" s="69">
        <f t="shared" si="60"/>
        <v>0</v>
      </c>
    </row>
    <row r="345" spans="1:30" ht="17.25" customHeight="1">
      <c r="A345" s="95" t="str">
        <f>IF(BASE!B343="","",BASE!B343)</f>
        <v/>
      </c>
      <c r="B345" s="92" t="s">
        <v>2</v>
      </c>
      <c r="C345" s="96">
        <f t="shared" si="61"/>
        <v>0</v>
      </c>
      <c r="D345" s="96">
        <f t="shared" si="62"/>
        <v>0</v>
      </c>
      <c r="E345" s="96">
        <f t="shared" si="65"/>
        <v>0</v>
      </c>
      <c r="F345" s="96">
        <f t="shared" si="63"/>
        <v>0</v>
      </c>
      <c r="G345" s="96">
        <f t="shared" si="64"/>
        <v>0</v>
      </c>
      <c r="H345" s="112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89"/>
      <c r="X345" s="49">
        <f t="shared" si="55"/>
        <v>0</v>
      </c>
      <c r="Y345" s="49">
        <f>[2]BASE!A343</f>
        <v>334</v>
      </c>
      <c r="Z345" s="69">
        <f t="shared" si="56"/>
        <v>0</v>
      </c>
      <c r="AA345" s="69">
        <f t="shared" si="57"/>
        <v>0</v>
      </c>
      <c r="AB345" s="69">
        <f t="shared" si="58"/>
        <v>0</v>
      </c>
      <c r="AC345" s="69">
        <f t="shared" si="59"/>
        <v>0</v>
      </c>
      <c r="AD345" s="69">
        <f t="shared" si="60"/>
        <v>0</v>
      </c>
    </row>
    <row r="346" spans="1:30" ht="17.25" customHeight="1">
      <c r="A346" s="95" t="str">
        <f>IF(BASE!B344="","",BASE!B344)</f>
        <v/>
      </c>
      <c r="B346" s="92" t="s">
        <v>2</v>
      </c>
      <c r="C346" s="96">
        <f t="shared" si="61"/>
        <v>0</v>
      </c>
      <c r="D346" s="96">
        <f t="shared" si="62"/>
        <v>0</v>
      </c>
      <c r="E346" s="96">
        <f t="shared" si="65"/>
        <v>0</v>
      </c>
      <c r="F346" s="96">
        <f t="shared" si="63"/>
        <v>0</v>
      </c>
      <c r="G346" s="96">
        <f t="shared" si="64"/>
        <v>0</v>
      </c>
      <c r="H346" s="112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89"/>
      <c r="X346" s="49">
        <f t="shared" si="55"/>
        <v>0</v>
      </c>
      <c r="Y346" s="49">
        <f>[2]BASE!A344</f>
        <v>335</v>
      </c>
      <c r="Z346" s="69">
        <f t="shared" si="56"/>
        <v>0</v>
      </c>
      <c r="AA346" s="69">
        <f t="shared" si="57"/>
        <v>0</v>
      </c>
      <c r="AB346" s="69">
        <f t="shared" si="58"/>
        <v>0</v>
      </c>
      <c r="AC346" s="69">
        <f t="shared" si="59"/>
        <v>0</v>
      </c>
      <c r="AD346" s="69">
        <f t="shared" si="60"/>
        <v>0</v>
      </c>
    </row>
    <row r="347" spans="1:30" ht="17.25" customHeight="1">
      <c r="A347" s="95" t="str">
        <f>IF(BASE!B345="","",BASE!B345)</f>
        <v/>
      </c>
      <c r="B347" s="92" t="s">
        <v>2</v>
      </c>
      <c r="C347" s="96">
        <f t="shared" si="61"/>
        <v>0</v>
      </c>
      <c r="D347" s="96">
        <f t="shared" si="62"/>
        <v>0</v>
      </c>
      <c r="E347" s="96">
        <f t="shared" si="65"/>
        <v>0</v>
      </c>
      <c r="F347" s="96">
        <f t="shared" si="63"/>
        <v>0</v>
      </c>
      <c r="G347" s="96">
        <f t="shared" si="64"/>
        <v>0</v>
      </c>
      <c r="H347" s="112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89"/>
      <c r="X347" s="49">
        <f t="shared" si="55"/>
        <v>0</v>
      </c>
      <c r="Y347" s="49">
        <f>[2]BASE!A345</f>
        <v>336</v>
      </c>
      <c r="Z347" s="69">
        <f t="shared" si="56"/>
        <v>0</v>
      </c>
      <c r="AA347" s="69">
        <f t="shared" si="57"/>
        <v>0</v>
      </c>
      <c r="AB347" s="69">
        <f t="shared" si="58"/>
        <v>0</v>
      </c>
      <c r="AC347" s="69">
        <f t="shared" si="59"/>
        <v>0</v>
      </c>
      <c r="AD347" s="69">
        <f t="shared" si="60"/>
        <v>0</v>
      </c>
    </row>
    <row r="348" spans="1:30" ht="17.25" customHeight="1">
      <c r="A348" s="95" t="str">
        <f>IF(BASE!B346="","",BASE!B346)</f>
        <v/>
      </c>
      <c r="B348" s="92" t="s">
        <v>2</v>
      </c>
      <c r="C348" s="96">
        <f t="shared" si="61"/>
        <v>0</v>
      </c>
      <c r="D348" s="96">
        <f t="shared" si="62"/>
        <v>0</v>
      </c>
      <c r="E348" s="96">
        <f t="shared" si="65"/>
        <v>0</v>
      </c>
      <c r="F348" s="96">
        <f t="shared" si="63"/>
        <v>0</v>
      </c>
      <c r="G348" s="96">
        <f t="shared" si="64"/>
        <v>0</v>
      </c>
      <c r="H348" s="112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89"/>
      <c r="X348" s="49">
        <f t="shared" si="55"/>
        <v>0</v>
      </c>
      <c r="Y348" s="49">
        <f>[2]BASE!A346</f>
        <v>337</v>
      </c>
      <c r="Z348" s="69">
        <f t="shared" si="56"/>
        <v>0</v>
      </c>
      <c r="AA348" s="69">
        <f t="shared" si="57"/>
        <v>0</v>
      </c>
      <c r="AB348" s="69">
        <f t="shared" si="58"/>
        <v>0</v>
      </c>
      <c r="AC348" s="69">
        <f t="shared" si="59"/>
        <v>0</v>
      </c>
      <c r="AD348" s="69">
        <f t="shared" si="60"/>
        <v>0</v>
      </c>
    </row>
    <row r="349" spans="1:30" ht="17.25" customHeight="1">
      <c r="A349" s="95" t="str">
        <f>IF(BASE!B347="","",BASE!B347)</f>
        <v/>
      </c>
      <c r="B349" s="92" t="s">
        <v>2</v>
      </c>
      <c r="C349" s="96">
        <f t="shared" si="61"/>
        <v>0</v>
      </c>
      <c r="D349" s="96">
        <f t="shared" si="62"/>
        <v>0</v>
      </c>
      <c r="E349" s="96">
        <f t="shared" si="65"/>
        <v>0</v>
      </c>
      <c r="F349" s="96">
        <f t="shared" si="63"/>
        <v>0</v>
      </c>
      <c r="G349" s="96">
        <f t="shared" si="64"/>
        <v>0</v>
      </c>
      <c r="H349" s="112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89"/>
      <c r="X349" s="49">
        <f t="shared" si="55"/>
        <v>0</v>
      </c>
      <c r="Y349" s="49">
        <f>[2]BASE!A347</f>
        <v>338</v>
      </c>
      <c r="Z349" s="69">
        <f t="shared" si="56"/>
        <v>0</v>
      </c>
      <c r="AA349" s="69">
        <f t="shared" si="57"/>
        <v>0</v>
      </c>
      <c r="AB349" s="69">
        <f t="shared" si="58"/>
        <v>0</v>
      </c>
      <c r="AC349" s="69">
        <f t="shared" si="59"/>
        <v>0</v>
      </c>
      <c r="AD349" s="69">
        <f t="shared" si="60"/>
        <v>0</v>
      </c>
    </row>
    <row r="350" spans="1:30" ht="17.25" customHeight="1">
      <c r="A350" s="95" t="str">
        <f>IF(BASE!B348="","",BASE!B348)</f>
        <v/>
      </c>
      <c r="B350" s="92" t="s">
        <v>2</v>
      </c>
      <c r="C350" s="96">
        <f t="shared" si="61"/>
        <v>0</v>
      </c>
      <c r="D350" s="96">
        <f t="shared" si="62"/>
        <v>0</v>
      </c>
      <c r="E350" s="96">
        <f t="shared" si="65"/>
        <v>0</v>
      </c>
      <c r="F350" s="96">
        <f t="shared" si="63"/>
        <v>0</v>
      </c>
      <c r="G350" s="96">
        <f t="shared" si="64"/>
        <v>0</v>
      </c>
      <c r="H350" s="112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89"/>
      <c r="X350" s="49">
        <f t="shared" si="55"/>
        <v>0</v>
      </c>
      <c r="Y350" s="49">
        <f>[2]BASE!A348</f>
        <v>339</v>
      </c>
      <c r="Z350" s="69">
        <f t="shared" si="56"/>
        <v>0</v>
      </c>
      <c r="AA350" s="69">
        <f t="shared" si="57"/>
        <v>0</v>
      </c>
      <c r="AB350" s="69">
        <f t="shared" si="58"/>
        <v>0</v>
      </c>
      <c r="AC350" s="69">
        <f t="shared" si="59"/>
        <v>0</v>
      </c>
      <c r="AD350" s="69">
        <f t="shared" si="60"/>
        <v>0</v>
      </c>
    </row>
    <row r="351" spans="1:30" ht="17.25" customHeight="1">
      <c r="A351" s="95" t="str">
        <f>IF(BASE!B349="","",BASE!B349)</f>
        <v/>
      </c>
      <c r="B351" s="92" t="s">
        <v>2</v>
      </c>
      <c r="C351" s="96">
        <f t="shared" si="61"/>
        <v>0</v>
      </c>
      <c r="D351" s="96">
        <f t="shared" si="62"/>
        <v>0</v>
      </c>
      <c r="E351" s="96">
        <f t="shared" si="65"/>
        <v>0</v>
      </c>
      <c r="F351" s="96">
        <f t="shared" si="63"/>
        <v>0</v>
      </c>
      <c r="G351" s="96">
        <f t="shared" si="64"/>
        <v>0</v>
      </c>
      <c r="H351" s="112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89"/>
      <c r="X351" s="49">
        <f t="shared" si="55"/>
        <v>0</v>
      </c>
      <c r="Y351" s="49">
        <f>[2]BASE!A349</f>
        <v>340</v>
      </c>
      <c r="Z351" s="69">
        <f t="shared" si="56"/>
        <v>0</v>
      </c>
      <c r="AA351" s="69">
        <f t="shared" si="57"/>
        <v>0</v>
      </c>
      <c r="AB351" s="69">
        <f t="shared" si="58"/>
        <v>0</v>
      </c>
      <c r="AC351" s="69">
        <f t="shared" si="59"/>
        <v>0</v>
      </c>
      <c r="AD351" s="69">
        <f t="shared" si="60"/>
        <v>0</v>
      </c>
    </row>
    <row r="352" spans="1:30" ht="17.25" customHeight="1">
      <c r="A352" s="95" t="str">
        <f>IF(BASE!B350="","",BASE!B350)</f>
        <v/>
      </c>
      <c r="B352" s="92" t="s">
        <v>2</v>
      </c>
      <c r="C352" s="96">
        <f t="shared" si="61"/>
        <v>0</v>
      </c>
      <c r="D352" s="96">
        <f t="shared" si="62"/>
        <v>0</v>
      </c>
      <c r="E352" s="96">
        <f t="shared" si="65"/>
        <v>0</v>
      </c>
      <c r="F352" s="96">
        <f t="shared" si="63"/>
        <v>0</v>
      </c>
      <c r="G352" s="96">
        <f t="shared" si="64"/>
        <v>0</v>
      </c>
      <c r="H352" s="112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89"/>
      <c r="X352" s="49">
        <f t="shared" si="55"/>
        <v>0</v>
      </c>
      <c r="Y352" s="49">
        <f>[2]BASE!A350</f>
        <v>341</v>
      </c>
      <c r="Z352" s="69">
        <f t="shared" si="56"/>
        <v>0</v>
      </c>
      <c r="AA352" s="69">
        <f t="shared" si="57"/>
        <v>0</v>
      </c>
      <c r="AB352" s="69">
        <f t="shared" si="58"/>
        <v>0</v>
      </c>
      <c r="AC352" s="69">
        <f t="shared" si="59"/>
        <v>0</v>
      </c>
      <c r="AD352" s="69">
        <f t="shared" si="60"/>
        <v>0</v>
      </c>
    </row>
    <row r="353" spans="1:30" ht="17.25" customHeight="1">
      <c r="A353" s="95" t="str">
        <f>IF(BASE!B351="","",BASE!B351)</f>
        <v/>
      </c>
      <c r="B353" s="92" t="s">
        <v>2</v>
      </c>
      <c r="C353" s="96">
        <f t="shared" si="61"/>
        <v>0</v>
      </c>
      <c r="D353" s="96">
        <f t="shared" si="62"/>
        <v>0</v>
      </c>
      <c r="E353" s="96">
        <f t="shared" si="65"/>
        <v>0</v>
      </c>
      <c r="F353" s="96">
        <f t="shared" si="63"/>
        <v>0</v>
      </c>
      <c r="G353" s="96">
        <f t="shared" si="64"/>
        <v>0</v>
      </c>
      <c r="H353" s="112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89"/>
      <c r="X353" s="49">
        <f t="shared" si="55"/>
        <v>0</v>
      </c>
      <c r="Y353" s="49">
        <f>[2]BASE!A351</f>
        <v>342</v>
      </c>
      <c r="Z353" s="69">
        <f t="shared" si="56"/>
        <v>0</v>
      </c>
      <c r="AA353" s="69">
        <f t="shared" si="57"/>
        <v>0</v>
      </c>
      <c r="AB353" s="69">
        <f t="shared" si="58"/>
        <v>0</v>
      </c>
      <c r="AC353" s="69">
        <f t="shared" si="59"/>
        <v>0</v>
      </c>
      <c r="AD353" s="69">
        <f t="shared" si="60"/>
        <v>0</v>
      </c>
    </row>
    <row r="354" spans="1:30" ht="17.25" customHeight="1">
      <c r="A354" s="95" t="str">
        <f>IF(BASE!B352="","",BASE!B352)</f>
        <v/>
      </c>
      <c r="B354" s="92" t="s">
        <v>2</v>
      </c>
      <c r="C354" s="96">
        <f t="shared" si="61"/>
        <v>0</v>
      </c>
      <c r="D354" s="96">
        <f t="shared" si="62"/>
        <v>0</v>
      </c>
      <c r="E354" s="96">
        <f t="shared" si="65"/>
        <v>0</v>
      </c>
      <c r="F354" s="96">
        <f t="shared" si="63"/>
        <v>0</v>
      </c>
      <c r="G354" s="96">
        <f t="shared" si="64"/>
        <v>0</v>
      </c>
      <c r="H354" s="112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89"/>
      <c r="X354" s="49">
        <f t="shared" si="55"/>
        <v>0</v>
      </c>
      <c r="Y354" s="49">
        <f>[2]BASE!A352</f>
        <v>343</v>
      </c>
      <c r="Z354" s="69">
        <f t="shared" si="56"/>
        <v>0</v>
      </c>
      <c r="AA354" s="69">
        <f t="shared" si="57"/>
        <v>0</v>
      </c>
      <c r="AB354" s="69">
        <f t="shared" si="58"/>
        <v>0</v>
      </c>
      <c r="AC354" s="69">
        <f t="shared" si="59"/>
        <v>0</v>
      </c>
      <c r="AD354" s="69">
        <f t="shared" si="60"/>
        <v>0</v>
      </c>
    </row>
    <row r="355" spans="1:30" ht="17.25" customHeight="1">
      <c r="A355" s="95" t="str">
        <f>IF(BASE!B353="","",BASE!B353)</f>
        <v/>
      </c>
      <c r="B355" s="92" t="s">
        <v>2</v>
      </c>
      <c r="C355" s="96">
        <f t="shared" si="61"/>
        <v>0</v>
      </c>
      <c r="D355" s="96">
        <f t="shared" si="62"/>
        <v>0</v>
      </c>
      <c r="E355" s="96">
        <f t="shared" si="65"/>
        <v>0</v>
      </c>
      <c r="F355" s="96">
        <f t="shared" si="63"/>
        <v>0</v>
      </c>
      <c r="G355" s="96">
        <f t="shared" si="64"/>
        <v>0</v>
      </c>
      <c r="H355" s="112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89"/>
      <c r="X355" s="49">
        <f t="shared" si="55"/>
        <v>0</v>
      </c>
      <c r="Y355" s="49">
        <f>[2]BASE!A353</f>
        <v>344</v>
      </c>
      <c r="Z355" s="69">
        <f t="shared" si="56"/>
        <v>0</v>
      </c>
      <c r="AA355" s="69">
        <f t="shared" si="57"/>
        <v>0</v>
      </c>
      <c r="AB355" s="69">
        <f t="shared" si="58"/>
        <v>0</v>
      </c>
      <c r="AC355" s="69">
        <f t="shared" si="59"/>
        <v>0</v>
      </c>
      <c r="AD355" s="69">
        <f t="shared" si="60"/>
        <v>0</v>
      </c>
    </row>
    <row r="356" spans="1:30" ht="17.25" customHeight="1">
      <c r="A356" s="95" t="str">
        <f>IF(BASE!B354="","",BASE!B354)</f>
        <v/>
      </c>
      <c r="B356" s="92" t="s">
        <v>2</v>
      </c>
      <c r="C356" s="96">
        <f t="shared" si="61"/>
        <v>0</v>
      </c>
      <c r="D356" s="96">
        <f t="shared" si="62"/>
        <v>0</v>
      </c>
      <c r="E356" s="96">
        <f t="shared" si="65"/>
        <v>0</v>
      </c>
      <c r="F356" s="96">
        <f t="shared" si="63"/>
        <v>0</v>
      </c>
      <c r="G356" s="96">
        <f t="shared" si="64"/>
        <v>0</v>
      </c>
      <c r="H356" s="112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89"/>
      <c r="X356" s="49">
        <f t="shared" si="55"/>
        <v>0</v>
      </c>
      <c r="Y356" s="49">
        <f>[2]BASE!A354</f>
        <v>345</v>
      </c>
      <c r="Z356" s="69">
        <f t="shared" si="56"/>
        <v>0</v>
      </c>
      <c r="AA356" s="69">
        <f t="shared" si="57"/>
        <v>0</v>
      </c>
      <c r="AB356" s="69">
        <f t="shared" si="58"/>
        <v>0</v>
      </c>
      <c r="AC356" s="69">
        <f t="shared" si="59"/>
        <v>0</v>
      </c>
      <c r="AD356" s="69">
        <f t="shared" si="60"/>
        <v>0</v>
      </c>
    </row>
    <row r="357" spans="1:30" ht="17.25" customHeight="1">
      <c r="A357" s="95" t="str">
        <f>IF(BASE!B355="","",BASE!B355)</f>
        <v/>
      </c>
      <c r="B357" s="92" t="s">
        <v>2</v>
      </c>
      <c r="C357" s="96">
        <f t="shared" si="61"/>
        <v>0</v>
      </c>
      <c r="D357" s="96">
        <f t="shared" si="62"/>
        <v>0</v>
      </c>
      <c r="E357" s="96">
        <f t="shared" si="65"/>
        <v>0</v>
      </c>
      <c r="F357" s="96">
        <f t="shared" si="63"/>
        <v>0</v>
      </c>
      <c r="G357" s="96">
        <f t="shared" si="64"/>
        <v>0</v>
      </c>
      <c r="H357" s="112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89"/>
      <c r="X357" s="49">
        <f t="shared" si="55"/>
        <v>0</v>
      </c>
      <c r="Y357" s="49">
        <f>[2]BASE!A355</f>
        <v>346</v>
      </c>
      <c r="Z357" s="69">
        <f t="shared" si="56"/>
        <v>0</v>
      </c>
      <c r="AA357" s="69">
        <f t="shared" si="57"/>
        <v>0</v>
      </c>
      <c r="AB357" s="69">
        <f t="shared" si="58"/>
        <v>0</v>
      </c>
      <c r="AC357" s="69">
        <f t="shared" si="59"/>
        <v>0</v>
      </c>
      <c r="AD357" s="69">
        <f t="shared" si="60"/>
        <v>0</v>
      </c>
    </row>
    <row r="358" spans="1:30" ht="17.25" customHeight="1">
      <c r="A358" s="95" t="str">
        <f>IF(BASE!B356="","",BASE!B356)</f>
        <v/>
      </c>
      <c r="B358" s="92" t="s">
        <v>2</v>
      </c>
      <c r="C358" s="96">
        <f t="shared" si="61"/>
        <v>0</v>
      </c>
      <c r="D358" s="96">
        <f t="shared" si="62"/>
        <v>0</v>
      </c>
      <c r="E358" s="96">
        <f t="shared" si="65"/>
        <v>0</v>
      </c>
      <c r="F358" s="96">
        <f t="shared" si="63"/>
        <v>0</v>
      </c>
      <c r="G358" s="96">
        <f t="shared" si="64"/>
        <v>0</v>
      </c>
      <c r="H358" s="112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89"/>
      <c r="X358" s="49">
        <f t="shared" si="55"/>
        <v>0</v>
      </c>
      <c r="Y358" s="49">
        <f>[2]BASE!A356</f>
        <v>347</v>
      </c>
      <c r="Z358" s="69">
        <f t="shared" si="56"/>
        <v>0</v>
      </c>
      <c r="AA358" s="69">
        <f t="shared" si="57"/>
        <v>0</v>
      </c>
      <c r="AB358" s="69">
        <f t="shared" si="58"/>
        <v>0</v>
      </c>
      <c r="AC358" s="69">
        <f t="shared" si="59"/>
        <v>0</v>
      </c>
      <c r="AD358" s="69">
        <f t="shared" si="60"/>
        <v>0</v>
      </c>
    </row>
    <row r="359" spans="1:30" ht="17.25" customHeight="1">
      <c r="A359" s="95" t="str">
        <f>IF(BASE!B357="","",BASE!B357)</f>
        <v/>
      </c>
      <c r="B359" s="92" t="s">
        <v>2</v>
      </c>
      <c r="C359" s="96">
        <f t="shared" si="61"/>
        <v>0</v>
      </c>
      <c r="D359" s="96">
        <f t="shared" si="62"/>
        <v>0</v>
      </c>
      <c r="E359" s="96">
        <f t="shared" si="65"/>
        <v>0</v>
      </c>
      <c r="F359" s="96">
        <f t="shared" si="63"/>
        <v>0</v>
      </c>
      <c r="G359" s="96">
        <f t="shared" si="64"/>
        <v>0</v>
      </c>
      <c r="H359" s="112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89"/>
      <c r="X359" s="49">
        <f t="shared" si="55"/>
        <v>0</v>
      </c>
      <c r="Y359" s="49">
        <f>[2]BASE!A357</f>
        <v>348</v>
      </c>
      <c r="Z359" s="69">
        <f t="shared" si="56"/>
        <v>0</v>
      </c>
      <c r="AA359" s="69">
        <f t="shared" si="57"/>
        <v>0</v>
      </c>
      <c r="AB359" s="69">
        <f t="shared" si="58"/>
        <v>0</v>
      </c>
      <c r="AC359" s="69">
        <f t="shared" si="59"/>
        <v>0</v>
      </c>
      <c r="AD359" s="69">
        <f t="shared" si="60"/>
        <v>0</v>
      </c>
    </row>
    <row r="360" spans="1:30" ht="17.25" customHeight="1">
      <c r="A360" s="95" t="str">
        <f>IF(BASE!B358="","",BASE!B358)</f>
        <v/>
      </c>
      <c r="B360" s="92" t="s">
        <v>2</v>
      </c>
      <c r="C360" s="96">
        <f t="shared" si="61"/>
        <v>0</v>
      </c>
      <c r="D360" s="96">
        <f t="shared" si="62"/>
        <v>0</v>
      </c>
      <c r="E360" s="96">
        <f t="shared" si="65"/>
        <v>0</v>
      </c>
      <c r="F360" s="96">
        <f t="shared" si="63"/>
        <v>0</v>
      </c>
      <c r="G360" s="96">
        <f t="shared" si="64"/>
        <v>0</v>
      </c>
      <c r="H360" s="112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89"/>
      <c r="X360" s="49">
        <f t="shared" si="55"/>
        <v>0</v>
      </c>
      <c r="Y360" s="49">
        <f>[2]BASE!A358</f>
        <v>349</v>
      </c>
      <c r="Z360" s="69">
        <f t="shared" si="56"/>
        <v>0</v>
      </c>
      <c r="AA360" s="69">
        <f t="shared" si="57"/>
        <v>0</v>
      </c>
      <c r="AB360" s="69">
        <f t="shared" si="58"/>
        <v>0</v>
      </c>
      <c r="AC360" s="69">
        <f t="shared" si="59"/>
        <v>0</v>
      </c>
      <c r="AD360" s="69">
        <f t="shared" si="60"/>
        <v>0</v>
      </c>
    </row>
    <row r="361" spans="1:30" ht="17.25" customHeight="1">
      <c r="A361" s="95" t="str">
        <f>IF(BASE!B359="","",BASE!B359)</f>
        <v/>
      </c>
      <c r="B361" s="92" t="s">
        <v>2</v>
      </c>
      <c r="C361" s="96">
        <f t="shared" si="61"/>
        <v>0</v>
      </c>
      <c r="D361" s="96">
        <f t="shared" si="62"/>
        <v>0</v>
      </c>
      <c r="E361" s="96">
        <f t="shared" si="65"/>
        <v>0</v>
      </c>
      <c r="F361" s="96">
        <f t="shared" si="63"/>
        <v>0</v>
      </c>
      <c r="G361" s="96">
        <f t="shared" si="64"/>
        <v>0</v>
      </c>
      <c r="H361" s="112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89"/>
      <c r="X361" s="49">
        <f t="shared" si="55"/>
        <v>0</v>
      </c>
      <c r="Y361" s="49">
        <f>[2]BASE!A359</f>
        <v>350</v>
      </c>
      <c r="Z361" s="69">
        <f t="shared" si="56"/>
        <v>0</v>
      </c>
      <c r="AA361" s="69">
        <f t="shared" si="57"/>
        <v>0</v>
      </c>
      <c r="AB361" s="69">
        <f t="shared" si="58"/>
        <v>0</v>
      </c>
      <c r="AC361" s="69">
        <f t="shared" si="59"/>
        <v>0</v>
      </c>
      <c r="AD361" s="69">
        <f t="shared" si="60"/>
        <v>0</v>
      </c>
    </row>
    <row r="362" spans="1:30" ht="17.25" customHeight="1">
      <c r="A362" s="95" t="str">
        <f>IF(BASE!B360="","",BASE!B360)</f>
        <v/>
      </c>
      <c r="B362" s="92" t="s">
        <v>2</v>
      </c>
      <c r="C362" s="96">
        <f t="shared" si="61"/>
        <v>0</v>
      </c>
      <c r="D362" s="96">
        <f t="shared" si="62"/>
        <v>0</v>
      </c>
      <c r="E362" s="96">
        <f t="shared" si="65"/>
        <v>0</v>
      </c>
      <c r="F362" s="96">
        <f t="shared" si="63"/>
        <v>0</v>
      </c>
      <c r="G362" s="96">
        <f t="shared" si="64"/>
        <v>0</v>
      </c>
      <c r="H362" s="112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89"/>
      <c r="X362" s="49">
        <f t="shared" si="55"/>
        <v>0</v>
      </c>
      <c r="Y362" s="49">
        <f>[2]BASE!A360</f>
        <v>351</v>
      </c>
      <c r="Z362" s="69">
        <f t="shared" si="56"/>
        <v>0</v>
      </c>
      <c r="AA362" s="69">
        <f t="shared" si="57"/>
        <v>0</v>
      </c>
      <c r="AB362" s="69">
        <f t="shared" si="58"/>
        <v>0</v>
      </c>
      <c r="AC362" s="69">
        <f t="shared" si="59"/>
        <v>0</v>
      </c>
      <c r="AD362" s="69">
        <f t="shared" si="60"/>
        <v>0</v>
      </c>
    </row>
    <row r="363" spans="1:30" ht="17.25" customHeight="1">
      <c r="A363" s="95" t="str">
        <f>IF(BASE!B361="","",BASE!B361)</f>
        <v/>
      </c>
      <c r="B363" s="92" t="s">
        <v>2</v>
      </c>
      <c r="C363" s="96">
        <f t="shared" si="61"/>
        <v>0</v>
      </c>
      <c r="D363" s="96">
        <f t="shared" si="62"/>
        <v>0</v>
      </c>
      <c r="E363" s="96">
        <f t="shared" si="65"/>
        <v>0</v>
      </c>
      <c r="F363" s="96">
        <f t="shared" si="63"/>
        <v>0</v>
      </c>
      <c r="G363" s="96">
        <f t="shared" si="64"/>
        <v>0</v>
      </c>
      <c r="H363" s="112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89"/>
      <c r="X363" s="49">
        <f t="shared" si="55"/>
        <v>0</v>
      </c>
      <c r="Y363" s="49">
        <f>[2]BASE!A361</f>
        <v>352</v>
      </c>
      <c r="Z363" s="69">
        <f t="shared" si="56"/>
        <v>0</v>
      </c>
      <c r="AA363" s="69">
        <f t="shared" si="57"/>
        <v>0</v>
      </c>
      <c r="AB363" s="69">
        <f t="shared" si="58"/>
        <v>0</v>
      </c>
      <c r="AC363" s="69">
        <f t="shared" si="59"/>
        <v>0</v>
      </c>
      <c r="AD363" s="69">
        <f t="shared" si="60"/>
        <v>0</v>
      </c>
    </row>
    <row r="364" spans="1:30" ht="17.25" customHeight="1">
      <c r="A364" s="95" t="str">
        <f>IF(BASE!B362="","",BASE!B362)</f>
        <v/>
      </c>
      <c r="B364" s="92" t="s">
        <v>2</v>
      </c>
      <c r="C364" s="96">
        <f t="shared" si="61"/>
        <v>0</v>
      </c>
      <c r="D364" s="96">
        <f t="shared" si="62"/>
        <v>0</v>
      </c>
      <c r="E364" s="96">
        <f t="shared" si="65"/>
        <v>0</v>
      </c>
      <c r="F364" s="96">
        <f t="shared" si="63"/>
        <v>0</v>
      </c>
      <c r="G364" s="96">
        <f t="shared" si="64"/>
        <v>0</v>
      </c>
      <c r="H364" s="112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89"/>
      <c r="X364" s="49">
        <f t="shared" si="55"/>
        <v>0</v>
      </c>
      <c r="Y364" s="49">
        <f>[2]BASE!A362</f>
        <v>353</v>
      </c>
      <c r="Z364" s="69">
        <f t="shared" si="56"/>
        <v>0</v>
      </c>
      <c r="AA364" s="69">
        <f t="shared" si="57"/>
        <v>0</v>
      </c>
      <c r="AB364" s="69">
        <f t="shared" si="58"/>
        <v>0</v>
      </c>
      <c r="AC364" s="69">
        <f t="shared" si="59"/>
        <v>0</v>
      </c>
      <c r="AD364" s="69">
        <f t="shared" si="60"/>
        <v>0</v>
      </c>
    </row>
    <row r="365" spans="1:30" ht="17.25" customHeight="1">
      <c r="A365" s="95" t="str">
        <f>IF(BASE!B363="","",BASE!B363)</f>
        <v/>
      </c>
      <c r="B365" s="92" t="s">
        <v>2</v>
      </c>
      <c r="C365" s="96">
        <f t="shared" si="61"/>
        <v>0</v>
      </c>
      <c r="D365" s="96">
        <f t="shared" si="62"/>
        <v>0</v>
      </c>
      <c r="E365" s="96">
        <f t="shared" si="65"/>
        <v>0</v>
      </c>
      <c r="F365" s="96">
        <f t="shared" si="63"/>
        <v>0</v>
      </c>
      <c r="G365" s="96">
        <f t="shared" si="64"/>
        <v>0</v>
      </c>
      <c r="H365" s="112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89"/>
      <c r="X365" s="49">
        <f t="shared" si="55"/>
        <v>0</v>
      </c>
      <c r="Y365" s="49">
        <f>[2]BASE!A363</f>
        <v>354</v>
      </c>
      <c r="Z365" s="69">
        <f t="shared" si="56"/>
        <v>0</v>
      </c>
      <c r="AA365" s="69">
        <f t="shared" si="57"/>
        <v>0</v>
      </c>
      <c r="AB365" s="69">
        <f t="shared" si="58"/>
        <v>0</v>
      </c>
      <c r="AC365" s="69">
        <f t="shared" si="59"/>
        <v>0</v>
      </c>
      <c r="AD365" s="69">
        <f t="shared" si="60"/>
        <v>0</v>
      </c>
    </row>
    <row r="366" spans="1:30" ht="17.25" customHeight="1">
      <c r="A366" s="95" t="str">
        <f>IF(BASE!B364="","",BASE!B364)</f>
        <v/>
      </c>
      <c r="B366" s="92" t="s">
        <v>2</v>
      </c>
      <c r="C366" s="96">
        <f t="shared" si="61"/>
        <v>0</v>
      </c>
      <c r="D366" s="96">
        <f t="shared" si="62"/>
        <v>0</v>
      </c>
      <c r="E366" s="96">
        <f t="shared" si="65"/>
        <v>0</v>
      </c>
      <c r="F366" s="96">
        <f t="shared" si="63"/>
        <v>0</v>
      </c>
      <c r="G366" s="96">
        <f t="shared" si="64"/>
        <v>0</v>
      </c>
      <c r="H366" s="112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89"/>
      <c r="X366" s="49">
        <f t="shared" si="55"/>
        <v>0</v>
      </c>
      <c r="Y366" s="49">
        <f>[2]BASE!A364</f>
        <v>355</v>
      </c>
      <c r="Z366" s="69">
        <f t="shared" si="56"/>
        <v>0</v>
      </c>
      <c r="AA366" s="69">
        <f t="shared" si="57"/>
        <v>0</v>
      </c>
      <c r="AB366" s="69">
        <f t="shared" si="58"/>
        <v>0</v>
      </c>
      <c r="AC366" s="69">
        <f t="shared" si="59"/>
        <v>0</v>
      </c>
      <c r="AD366" s="69">
        <f t="shared" si="60"/>
        <v>0</v>
      </c>
    </row>
    <row r="367" spans="1:30" ht="17.25" customHeight="1">
      <c r="A367" s="95" t="str">
        <f>IF(BASE!B365="","",BASE!B365)</f>
        <v/>
      </c>
      <c r="B367" s="92" t="s">
        <v>2</v>
      </c>
      <c r="C367" s="96">
        <f t="shared" si="61"/>
        <v>0</v>
      </c>
      <c r="D367" s="96">
        <f t="shared" si="62"/>
        <v>0</v>
      </c>
      <c r="E367" s="96">
        <f t="shared" si="65"/>
        <v>0</v>
      </c>
      <c r="F367" s="96">
        <f t="shared" si="63"/>
        <v>0</v>
      </c>
      <c r="G367" s="96">
        <f t="shared" si="64"/>
        <v>0</v>
      </c>
      <c r="H367" s="112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89"/>
      <c r="X367" s="49">
        <f t="shared" si="55"/>
        <v>0</v>
      </c>
      <c r="Y367" s="49">
        <f>[2]BASE!A365</f>
        <v>356</v>
      </c>
      <c r="Z367" s="69">
        <f t="shared" si="56"/>
        <v>0</v>
      </c>
      <c r="AA367" s="69">
        <f t="shared" si="57"/>
        <v>0</v>
      </c>
      <c r="AB367" s="69">
        <f t="shared" si="58"/>
        <v>0</v>
      </c>
      <c r="AC367" s="69">
        <f t="shared" si="59"/>
        <v>0</v>
      </c>
      <c r="AD367" s="69">
        <f t="shared" si="60"/>
        <v>0</v>
      </c>
    </row>
    <row r="368" spans="1:30" ht="17.25" customHeight="1">
      <c r="A368" s="95" t="str">
        <f>IF(BASE!B366="","",BASE!B366)</f>
        <v/>
      </c>
      <c r="B368" s="92" t="s">
        <v>2</v>
      </c>
      <c r="C368" s="96">
        <f t="shared" si="61"/>
        <v>0</v>
      </c>
      <c r="D368" s="96">
        <f t="shared" si="62"/>
        <v>0</v>
      </c>
      <c r="E368" s="96">
        <f t="shared" si="65"/>
        <v>0</v>
      </c>
      <c r="F368" s="96">
        <f t="shared" si="63"/>
        <v>0</v>
      </c>
      <c r="G368" s="96">
        <f t="shared" si="64"/>
        <v>0</v>
      </c>
      <c r="H368" s="112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89"/>
      <c r="X368" s="49">
        <f t="shared" si="55"/>
        <v>0</v>
      </c>
      <c r="Y368" s="49">
        <f>[2]BASE!A366</f>
        <v>357</v>
      </c>
      <c r="Z368" s="69">
        <f t="shared" si="56"/>
        <v>0</v>
      </c>
      <c r="AA368" s="69">
        <f t="shared" si="57"/>
        <v>0</v>
      </c>
      <c r="AB368" s="69">
        <f t="shared" si="58"/>
        <v>0</v>
      </c>
      <c r="AC368" s="69">
        <f t="shared" si="59"/>
        <v>0</v>
      </c>
      <c r="AD368" s="69">
        <f t="shared" si="60"/>
        <v>0</v>
      </c>
    </row>
    <row r="369" spans="1:30" ht="17.25" customHeight="1">
      <c r="A369" s="95" t="str">
        <f>IF(BASE!B367="","",BASE!B367)</f>
        <v/>
      </c>
      <c r="B369" s="92" t="s">
        <v>2</v>
      </c>
      <c r="C369" s="96">
        <f t="shared" si="61"/>
        <v>0</v>
      </c>
      <c r="D369" s="96">
        <f t="shared" si="62"/>
        <v>0</v>
      </c>
      <c r="E369" s="96">
        <f t="shared" si="65"/>
        <v>0</v>
      </c>
      <c r="F369" s="96">
        <f t="shared" si="63"/>
        <v>0</v>
      </c>
      <c r="G369" s="96">
        <f t="shared" si="64"/>
        <v>0</v>
      </c>
      <c r="H369" s="112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89"/>
      <c r="X369" s="49">
        <f t="shared" si="55"/>
        <v>0</v>
      </c>
      <c r="Y369" s="49">
        <f>[2]BASE!A367</f>
        <v>358</v>
      </c>
      <c r="Z369" s="69">
        <f t="shared" si="56"/>
        <v>0</v>
      </c>
      <c r="AA369" s="69">
        <f t="shared" si="57"/>
        <v>0</v>
      </c>
      <c r="AB369" s="69">
        <f t="shared" si="58"/>
        <v>0</v>
      </c>
      <c r="AC369" s="69">
        <f t="shared" si="59"/>
        <v>0</v>
      </c>
      <c r="AD369" s="69">
        <f t="shared" si="60"/>
        <v>0</v>
      </c>
    </row>
    <row r="370" spans="1:30" ht="17.25" customHeight="1">
      <c r="A370" s="95" t="str">
        <f>IF(BASE!B368="","",BASE!B368)</f>
        <v/>
      </c>
      <c r="B370" s="92" t="s">
        <v>2</v>
      </c>
      <c r="C370" s="96">
        <f t="shared" si="61"/>
        <v>0</v>
      </c>
      <c r="D370" s="96">
        <f t="shared" si="62"/>
        <v>0</v>
      </c>
      <c r="E370" s="96">
        <f t="shared" si="65"/>
        <v>0</v>
      </c>
      <c r="F370" s="96">
        <f t="shared" si="63"/>
        <v>0</v>
      </c>
      <c r="G370" s="96">
        <f t="shared" si="64"/>
        <v>0</v>
      </c>
      <c r="H370" s="112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89"/>
      <c r="X370" s="49">
        <f t="shared" si="55"/>
        <v>0</v>
      </c>
      <c r="Y370" s="49">
        <f>[2]BASE!A368</f>
        <v>359</v>
      </c>
      <c r="Z370" s="69">
        <f t="shared" si="56"/>
        <v>0</v>
      </c>
      <c r="AA370" s="69">
        <f t="shared" si="57"/>
        <v>0</v>
      </c>
      <c r="AB370" s="69">
        <f t="shared" si="58"/>
        <v>0</v>
      </c>
      <c r="AC370" s="69">
        <f t="shared" si="59"/>
        <v>0</v>
      </c>
      <c r="AD370" s="69">
        <f t="shared" si="60"/>
        <v>0</v>
      </c>
    </row>
    <row r="371" spans="1:30" ht="17.25" customHeight="1">
      <c r="A371" s="95" t="str">
        <f>IF(BASE!B369="","",BASE!B369)</f>
        <v/>
      </c>
      <c r="B371" s="92" t="s">
        <v>2</v>
      </c>
      <c r="C371" s="96">
        <f t="shared" si="61"/>
        <v>0</v>
      </c>
      <c r="D371" s="96">
        <f t="shared" si="62"/>
        <v>0</v>
      </c>
      <c r="E371" s="96">
        <f t="shared" si="65"/>
        <v>0</v>
      </c>
      <c r="F371" s="96">
        <f t="shared" si="63"/>
        <v>0</v>
      </c>
      <c r="G371" s="96">
        <f t="shared" si="64"/>
        <v>0</v>
      </c>
      <c r="H371" s="112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89"/>
      <c r="X371" s="49">
        <f t="shared" si="55"/>
        <v>0</v>
      </c>
      <c r="Y371" s="49">
        <f>[2]BASE!A369</f>
        <v>360</v>
      </c>
      <c r="Z371" s="69">
        <f t="shared" si="56"/>
        <v>0</v>
      </c>
      <c r="AA371" s="69">
        <f t="shared" si="57"/>
        <v>0</v>
      </c>
      <c r="AB371" s="69">
        <f t="shared" si="58"/>
        <v>0</v>
      </c>
      <c r="AC371" s="69">
        <f t="shared" si="59"/>
        <v>0</v>
      </c>
      <c r="AD371" s="69">
        <f t="shared" si="60"/>
        <v>0</v>
      </c>
    </row>
    <row r="372" spans="1:30" ht="17.25" customHeight="1">
      <c r="A372" s="95" t="str">
        <f>IF(BASE!B370="","",BASE!B370)</f>
        <v/>
      </c>
      <c r="B372" s="92" t="s">
        <v>2</v>
      </c>
      <c r="C372" s="96">
        <f t="shared" si="61"/>
        <v>0</v>
      </c>
      <c r="D372" s="96">
        <f t="shared" si="62"/>
        <v>0</v>
      </c>
      <c r="E372" s="96">
        <f t="shared" si="65"/>
        <v>0</v>
      </c>
      <c r="F372" s="96">
        <f t="shared" si="63"/>
        <v>0</v>
      </c>
      <c r="G372" s="96">
        <f t="shared" si="64"/>
        <v>0</v>
      </c>
      <c r="H372" s="112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89"/>
      <c r="X372" s="49">
        <f t="shared" si="55"/>
        <v>0</v>
      </c>
      <c r="Y372" s="49">
        <f>[2]BASE!A370</f>
        <v>361</v>
      </c>
      <c r="Z372" s="69">
        <f t="shared" si="56"/>
        <v>0</v>
      </c>
      <c r="AA372" s="69">
        <f t="shared" si="57"/>
        <v>0</v>
      </c>
      <c r="AB372" s="69">
        <f t="shared" si="58"/>
        <v>0</v>
      </c>
      <c r="AC372" s="69">
        <f t="shared" si="59"/>
        <v>0</v>
      </c>
      <c r="AD372" s="69">
        <f t="shared" si="60"/>
        <v>0</v>
      </c>
    </row>
    <row r="373" spans="1:30" ht="17.25" customHeight="1">
      <c r="A373" s="95" t="str">
        <f>IF(BASE!B371="","",BASE!B371)</f>
        <v/>
      </c>
      <c r="B373" s="92" t="s">
        <v>2</v>
      </c>
      <c r="C373" s="96">
        <f t="shared" si="61"/>
        <v>0</v>
      </c>
      <c r="D373" s="96">
        <f t="shared" si="62"/>
        <v>0</v>
      </c>
      <c r="E373" s="96">
        <f t="shared" si="65"/>
        <v>0</v>
      </c>
      <c r="F373" s="96">
        <f t="shared" si="63"/>
        <v>0</v>
      </c>
      <c r="G373" s="96">
        <f t="shared" si="64"/>
        <v>0</v>
      </c>
      <c r="H373" s="112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89"/>
      <c r="X373" s="49">
        <f t="shared" si="55"/>
        <v>0</v>
      </c>
      <c r="Y373" s="49">
        <f>[2]BASE!A371</f>
        <v>362</v>
      </c>
      <c r="Z373" s="69">
        <f t="shared" si="56"/>
        <v>0</v>
      </c>
      <c r="AA373" s="69">
        <f t="shared" si="57"/>
        <v>0</v>
      </c>
      <c r="AB373" s="69">
        <f t="shared" si="58"/>
        <v>0</v>
      </c>
      <c r="AC373" s="69">
        <f t="shared" si="59"/>
        <v>0</v>
      </c>
      <c r="AD373" s="69">
        <f t="shared" si="60"/>
        <v>0</v>
      </c>
    </row>
    <row r="374" spans="1:30" ht="17.25" customHeight="1">
      <c r="A374" s="95" t="str">
        <f>IF(BASE!B372="","",BASE!B372)</f>
        <v/>
      </c>
      <c r="B374" s="92" t="s">
        <v>2</v>
      </c>
      <c r="C374" s="96">
        <f t="shared" si="61"/>
        <v>0</v>
      </c>
      <c r="D374" s="96">
        <f t="shared" si="62"/>
        <v>0</v>
      </c>
      <c r="E374" s="96">
        <f t="shared" si="65"/>
        <v>0</v>
      </c>
      <c r="F374" s="96">
        <f t="shared" si="63"/>
        <v>0</v>
      </c>
      <c r="G374" s="96">
        <f t="shared" si="64"/>
        <v>0</v>
      </c>
      <c r="H374" s="112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89"/>
      <c r="X374" s="49">
        <f t="shared" si="55"/>
        <v>0</v>
      </c>
      <c r="Y374" s="49">
        <f>[2]BASE!A372</f>
        <v>363</v>
      </c>
      <c r="Z374" s="69">
        <f t="shared" si="56"/>
        <v>0</v>
      </c>
      <c r="AA374" s="69">
        <f t="shared" si="57"/>
        <v>0</v>
      </c>
      <c r="AB374" s="69">
        <f t="shared" si="58"/>
        <v>0</v>
      </c>
      <c r="AC374" s="69">
        <f t="shared" si="59"/>
        <v>0</v>
      </c>
      <c r="AD374" s="69">
        <f t="shared" si="60"/>
        <v>0</v>
      </c>
    </row>
    <row r="375" spans="1:30" ht="17.25" customHeight="1">
      <c r="A375" s="95" t="str">
        <f>IF(BASE!B373="","",BASE!B373)</f>
        <v/>
      </c>
      <c r="B375" s="92" t="s">
        <v>2</v>
      </c>
      <c r="C375" s="96">
        <f t="shared" si="61"/>
        <v>0</v>
      </c>
      <c r="D375" s="96">
        <f t="shared" si="62"/>
        <v>0</v>
      </c>
      <c r="E375" s="96">
        <f t="shared" si="65"/>
        <v>0</v>
      </c>
      <c r="F375" s="96">
        <f t="shared" si="63"/>
        <v>0</v>
      </c>
      <c r="G375" s="96">
        <f t="shared" si="64"/>
        <v>0</v>
      </c>
      <c r="H375" s="112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89"/>
      <c r="X375" s="49">
        <f t="shared" si="55"/>
        <v>0</v>
      </c>
      <c r="Y375" s="49">
        <f>[2]BASE!A373</f>
        <v>364</v>
      </c>
      <c r="Z375" s="69">
        <f t="shared" si="56"/>
        <v>0</v>
      </c>
      <c r="AA375" s="69">
        <f t="shared" si="57"/>
        <v>0</v>
      </c>
      <c r="AB375" s="69">
        <f t="shared" si="58"/>
        <v>0</v>
      </c>
      <c r="AC375" s="69">
        <f t="shared" si="59"/>
        <v>0</v>
      </c>
      <c r="AD375" s="69">
        <f t="shared" si="60"/>
        <v>0</v>
      </c>
    </row>
    <row r="376" spans="1:30" ht="17.25" customHeight="1">
      <c r="A376" s="95" t="str">
        <f>IF(BASE!B374="","",BASE!B374)</f>
        <v/>
      </c>
      <c r="B376" s="92" t="s">
        <v>2</v>
      </c>
      <c r="C376" s="96">
        <f t="shared" si="61"/>
        <v>0</v>
      </c>
      <c r="D376" s="96">
        <f t="shared" si="62"/>
        <v>0</v>
      </c>
      <c r="E376" s="96">
        <f t="shared" si="65"/>
        <v>0</v>
      </c>
      <c r="F376" s="96">
        <f t="shared" si="63"/>
        <v>0</v>
      </c>
      <c r="G376" s="96">
        <f t="shared" si="64"/>
        <v>0</v>
      </c>
      <c r="H376" s="112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89"/>
      <c r="X376" s="49">
        <f t="shared" si="55"/>
        <v>0</v>
      </c>
      <c r="Y376" s="49">
        <f>[2]BASE!A374</f>
        <v>365</v>
      </c>
      <c r="Z376" s="69">
        <f t="shared" si="56"/>
        <v>0</v>
      </c>
      <c r="AA376" s="69">
        <f t="shared" si="57"/>
        <v>0</v>
      </c>
      <c r="AB376" s="69">
        <f t="shared" si="58"/>
        <v>0</v>
      </c>
      <c r="AC376" s="69">
        <f t="shared" si="59"/>
        <v>0</v>
      </c>
      <c r="AD376" s="69">
        <f t="shared" si="60"/>
        <v>0</v>
      </c>
    </row>
    <row r="377" spans="1:30" ht="17.25" customHeight="1">
      <c r="A377" s="95" t="str">
        <f>IF(BASE!B375="","",BASE!B375)</f>
        <v/>
      </c>
      <c r="B377" s="92" t="s">
        <v>2</v>
      </c>
      <c r="C377" s="96">
        <f t="shared" si="61"/>
        <v>0</v>
      </c>
      <c r="D377" s="96">
        <f t="shared" si="62"/>
        <v>0</v>
      </c>
      <c r="E377" s="96">
        <f t="shared" si="65"/>
        <v>0</v>
      </c>
      <c r="F377" s="96">
        <f t="shared" si="63"/>
        <v>0</v>
      </c>
      <c r="G377" s="96">
        <f t="shared" si="64"/>
        <v>0</v>
      </c>
      <c r="H377" s="112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89"/>
      <c r="X377" s="49">
        <f t="shared" si="55"/>
        <v>0</v>
      </c>
      <c r="Y377" s="49">
        <f>[2]BASE!A375</f>
        <v>366</v>
      </c>
      <c r="Z377" s="69">
        <f t="shared" si="56"/>
        <v>0</v>
      </c>
      <c r="AA377" s="69">
        <f t="shared" si="57"/>
        <v>0</v>
      </c>
      <c r="AB377" s="69">
        <f t="shared" si="58"/>
        <v>0</v>
      </c>
      <c r="AC377" s="69">
        <f t="shared" si="59"/>
        <v>0</v>
      </c>
      <c r="AD377" s="69">
        <f t="shared" si="60"/>
        <v>0</v>
      </c>
    </row>
    <row r="378" spans="1:30" ht="17.25" customHeight="1">
      <c r="A378" s="95" t="str">
        <f>IF(BASE!B376="","",BASE!B376)</f>
        <v/>
      </c>
      <c r="B378" s="92" t="s">
        <v>2</v>
      </c>
      <c r="C378" s="96">
        <f t="shared" si="61"/>
        <v>0</v>
      </c>
      <c r="D378" s="96">
        <f t="shared" si="62"/>
        <v>0</v>
      </c>
      <c r="E378" s="96">
        <f t="shared" si="65"/>
        <v>0</v>
      </c>
      <c r="F378" s="96">
        <f t="shared" si="63"/>
        <v>0</v>
      </c>
      <c r="G378" s="96">
        <f t="shared" si="64"/>
        <v>0</v>
      </c>
      <c r="H378" s="112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89"/>
      <c r="X378" s="49">
        <f t="shared" si="55"/>
        <v>0</v>
      </c>
      <c r="Y378" s="49">
        <f>[2]BASE!A376</f>
        <v>367</v>
      </c>
      <c r="Z378" s="69">
        <f t="shared" si="56"/>
        <v>0</v>
      </c>
      <c r="AA378" s="69">
        <f t="shared" si="57"/>
        <v>0</v>
      </c>
      <c r="AB378" s="69">
        <f t="shared" si="58"/>
        <v>0</v>
      </c>
      <c r="AC378" s="69">
        <f t="shared" si="59"/>
        <v>0</v>
      </c>
      <c r="AD378" s="69">
        <f t="shared" si="60"/>
        <v>0</v>
      </c>
    </row>
    <row r="379" spans="1:30" ht="17.25" customHeight="1">
      <c r="A379" s="95" t="str">
        <f>IF(BASE!B377="","",BASE!B377)</f>
        <v/>
      </c>
      <c r="B379" s="92" t="s">
        <v>2</v>
      </c>
      <c r="C379" s="96">
        <f t="shared" si="61"/>
        <v>0</v>
      </c>
      <c r="D379" s="96">
        <f t="shared" si="62"/>
        <v>0</v>
      </c>
      <c r="E379" s="96">
        <f t="shared" si="65"/>
        <v>0</v>
      </c>
      <c r="F379" s="96">
        <f t="shared" si="63"/>
        <v>0</v>
      </c>
      <c r="G379" s="96">
        <f t="shared" si="64"/>
        <v>0</v>
      </c>
      <c r="H379" s="112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89"/>
      <c r="X379" s="49">
        <f t="shared" si="55"/>
        <v>0</v>
      </c>
      <c r="Y379" s="49">
        <f>[2]BASE!A377</f>
        <v>368</v>
      </c>
      <c r="Z379" s="69">
        <f t="shared" si="56"/>
        <v>0</v>
      </c>
      <c r="AA379" s="69">
        <f t="shared" si="57"/>
        <v>0</v>
      </c>
      <c r="AB379" s="69">
        <f t="shared" si="58"/>
        <v>0</v>
      </c>
      <c r="AC379" s="69">
        <f t="shared" si="59"/>
        <v>0</v>
      </c>
      <c r="AD379" s="69">
        <f t="shared" si="60"/>
        <v>0</v>
      </c>
    </row>
    <row r="380" spans="1:30" ht="17.25" customHeight="1">
      <c r="A380" s="95" t="str">
        <f>IF(BASE!B378="","",BASE!B378)</f>
        <v/>
      </c>
      <c r="B380" s="92" t="s">
        <v>2</v>
      </c>
      <c r="C380" s="96">
        <f t="shared" si="61"/>
        <v>0</v>
      </c>
      <c r="D380" s="96">
        <f t="shared" si="62"/>
        <v>0</v>
      </c>
      <c r="E380" s="96">
        <f t="shared" si="65"/>
        <v>0</v>
      </c>
      <c r="F380" s="96">
        <f t="shared" si="63"/>
        <v>0</v>
      </c>
      <c r="G380" s="96">
        <f t="shared" si="64"/>
        <v>0</v>
      </c>
      <c r="H380" s="112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89"/>
      <c r="X380" s="49">
        <f t="shared" si="55"/>
        <v>0</v>
      </c>
      <c r="Y380" s="49">
        <f>[2]BASE!A378</f>
        <v>369</v>
      </c>
      <c r="Z380" s="69">
        <f t="shared" si="56"/>
        <v>0</v>
      </c>
      <c r="AA380" s="69">
        <f t="shared" si="57"/>
        <v>0</v>
      </c>
      <c r="AB380" s="69">
        <f t="shared" si="58"/>
        <v>0</v>
      </c>
      <c r="AC380" s="69">
        <f t="shared" si="59"/>
        <v>0</v>
      </c>
      <c r="AD380" s="69">
        <f t="shared" si="60"/>
        <v>0</v>
      </c>
    </row>
    <row r="381" spans="1:30" ht="17.25" customHeight="1">
      <c r="A381" s="95" t="str">
        <f>IF(BASE!B379="","",BASE!B379)</f>
        <v/>
      </c>
      <c r="B381" s="92" t="s">
        <v>2</v>
      </c>
      <c r="C381" s="96">
        <f t="shared" si="61"/>
        <v>0</v>
      </c>
      <c r="D381" s="96">
        <f t="shared" si="62"/>
        <v>0</v>
      </c>
      <c r="E381" s="96">
        <f t="shared" si="65"/>
        <v>0</v>
      </c>
      <c r="F381" s="96">
        <f t="shared" si="63"/>
        <v>0</v>
      </c>
      <c r="G381" s="96">
        <f t="shared" si="64"/>
        <v>0</v>
      </c>
      <c r="H381" s="112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89"/>
      <c r="X381" s="49">
        <f t="shared" si="55"/>
        <v>0</v>
      </c>
      <c r="Y381" s="49">
        <f>[2]BASE!A379</f>
        <v>370</v>
      </c>
      <c r="Z381" s="69">
        <f t="shared" si="56"/>
        <v>0</v>
      </c>
      <c r="AA381" s="69">
        <f t="shared" si="57"/>
        <v>0</v>
      </c>
      <c r="AB381" s="69">
        <f t="shared" si="58"/>
        <v>0</v>
      </c>
      <c r="AC381" s="69">
        <f t="shared" si="59"/>
        <v>0</v>
      </c>
      <c r="AD381" s="69">
        <f t="shared" si="60"/>
        <v>0</v>
      </c>
    </row>
    <row r="382" spans="1:30" ht="17.25" customHeight="1">
      <c r="A382" s="95" t="str">
        <f>IF(BASE!B380="","",BASE!B380)</f>
        <v/>
      </c>
      <c r="B382" s="92" t="s">
        <v>2</v>
      </c>
      <c r="C382" s="96">
        <f t="shared" si="61"/>
        <v>0</v>
      </c>
      <c r="D382" s="96">
        <f t="shared" si="62"/>
        <v>0</v>
      </c>
      <c r="E382" s="96">
        <f t="shared" si="65"/>
        <v>0</v>
      </c>
      <c r="F382" s="96">
        <f t="shared" si="63"/>
        <v>0</v>
      </c>
      <c r="G382" s="96">
        <f t="shared" si="64"/>
        <v>0</v>
      </c>
      <c r="H382" s="112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89"/>
      <c r="X382" s="49">
        <f t="shared" si="55"/>
        <v>0</v>
      </c>
      <c r="Y382" s="49">
        <f>[2]BASE!A380</f>
        <v>371</v>
      </c>
      <c r="Z382" s="69">
        <f t="shared" si="56"/>
        <v>0</v>
      </c>
      <c r="AA382" s="69">
        <f t="shared" si="57"/>
        <v>0</v>
      </c>
      <c r="AB382" s="69">
        <f t="shared" si="58"/>
        <v>0</v>
      </c>
      <c r="AC382" s="69">
        <f t="shared" si="59"/>
        <v>0</v>
      </c>
      <c r="AD382" s="69">
        <f t="shared" si="60"/>
        <v>0</v>
      </c>
    </row>
    <row r="383" spans="1:30" ht="17.25" customHeight="1">
      <c r="A383" s="95" t="str">
        <f>IF(BASE!B381="","",BASE!B381)</f>
        <v/>
      </c>
      <c r="B383" s="92" t="s">
        <v>2</v>
      </c>
      <c r="C383" s="96">
        <f t="shared" si="61"/>
        <v>0</v>
      </c>
      <c r="D383" s="96">
        <f t="shared" si="62"/>
        <v>0</v>
      </c>
      <c r="E383" s="96">
        <f t="shared" si="65"/>
        <v>0</v>
      </c>
      <c r="F383" s="96">
        <f t="shared" si="63"/>
        <v>0</v>
      </c>
      <c r="G383" s="96">
        <f t="shared" si="64"/>
        <v>0</v>
      </c>
      <c r="H383" s="112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89"/>
      <c r="X383" s="49">
        <f t="shared" si="55"/>
        <v>0</v>
      </c>
      <c r="Y383" s="49">
        <f>[2]BASE!A381</f>
        <v>372</v>
      </c>
      <c r="Z383" s="69">
        <f t="shared" si="56"/>
        <v>0</v>
      </c>
      <c r="AA383" s="69">
        <f t="shared" si="57"/>
        <v>0</v>
      </c>
      <c r="AB383" s="69">
        <f t="shared" si="58"/>
        <v>0</v>
      </c>
      <c r="AC383" s="69">
        <f t="shared" si="59"/>
        <v>0</v>
      </c>
      <c r="AD383" s="69">
        <f t="shared" si="60"/>
        <v>0</v>
      </c>
    </row>
    <row r="384" spans="1:30" ht="17.25" customHeight="1">
      <c r="A384" s="95" t="str">
        <f>IF(BASE!B382="","",BASE!B382)</f>
        <v/>
      </c>
      <c r="B384" s="92" t="s">
        <v>2</v>
      </c>
      <c r="C384" s="96">
        <f t="shared" si="61"/>
        <v>0</v>
      </c>
      <c r="D384" s="96">
        <f t="shared" si="62"/>
        <v>0</v>
      </c>
      <c r="E384" s="96">
        <f t="shared" si="65"/>
        <v>0</v>
      </c>
      <c r="F384" s="96">
        <f t="shared" si="63"/>
        <v>0</v>
      </c>
      <c r="G384" s="96">
        <f t="shared" si="64"/>
        <v>0</v>
      </c>
      <c r="H384" s="112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89"/>
      <c r="X384" s="49">
        <f t="shared" si="55"/>
        <v>0</v>
      </c>
      <c r="Y384" s="49">
        <f>[2]BASE!A382</f>
        <v>373</v>
      </c>
      <c r="Z384" s="69">
        <f t="shared" si="56"/>
        <v>0</v>
      </c>
      <c r="AA384" s="69">
        <f t="shared" si="57"/>
        <v>0</v>
      </c>
      <c r="AB384" s="69">
        <f t="shared" si="58"/>
        <v>0</v>
      </c>
      <c r="AC384" s="69">
        <f t="shared" si="59"/>
        <v>0</v>
      </c>
      <c r="AD384" s="69">
        <f t="shared" si="60"/>
        <v>0</v>
      </c>
    </row>
    <row r="385" spans="1:30" ht="17.25" customHeight="1">
      <c r="A385" s="95" t="str">
        <f>IF(BASE!B383="","",BASE!B383)</f>
        <v/>
      </c>
      <c r="B385" s="92" t="s">
        <v>2</v>
      </c>
      <c r="C385" s="96">
        <f t="shared" si="61"/>
        <v>0</v>
      </c>
      <c r="D385" s="96">
        <f t="shared" si="62"/>
        <v>0</v>
      </c>
      <c r="E385" s="96">
        <f t="shared" si="65"/>
        <v>0</v>
      </c>
      <c r="F385" s="96">
        <f t="shared" si="63"/>
        <v>0</v>
      </c>
      <c r="G385" s="96">
        <f t="shared" si="64"/>
        <v>0</v>
      </c>
      <c r="H385" s="112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89"/>
      <c r="X385" s="49">
        <f t="shared" si="55"/>
        <v>0</v>
      </c>
      <c r="Y385" s="49">
        <f>[2]BASE!A383</f>
        <v>374</v>
      </c>
      <c r="Z385" s="69">
        <f t="shared" si="56"/>
        <v>0</v>
      </c>
      <c r="AA385" s="69">
        <f t="shared" si="57"/>
        <v>0</v>
      </c>
      <c r="AB385" s="69">
        <f t="shared" si="58"/>
        <v>0</v>
      </c>
      <c r="AC385" s="69">
        <f t="shared" si="59"/>
        <v>0</v>
      </c>
      <c r="AD385" s="69">
        <f t="shared" si="60"/>
        <v>0</v>
      </c>
    </row>
    <row r="386" spans="1:30" ht="17.25" customHeight="1">
      <c r="A386" s="95" t="str">
        <f>IF(BASE!B384="","",BASE!B384)</f>
        <v/>
      </c>
      <c r="B386" s="92" t="s">
        <v>2</v>
      </c>
      <c r="C386" s="96">
        <f t="shared" si="61"/>
        <v>0</v>
      </c>
      <c r="D386" s="96">
        <f t="shared" si="62"/>
        <v>0</v>
      </c>
      <c r="E386" s="96">
        <f t="shared" si="65"/>
        <v>0</v>
      </c>
      <c r="F386" s="96">
        <f t="shared" si="63"/>
        <v>0</v>
      </c>
      <c r="G386" s="96">
        <f t="shared" si="64"/>
        <v>0</v>
      </c>
      <c r="H386" s="112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89"/>
      <c r="X386" s="49">
        <f t="shared" si="55"/>
        <v>0</v>
      </c>
      <c r="Y386" s="49">
        <f>[2]BASE!A384</f>
        <v>375</v>
      </c>
      <c r="Z386" s="69">
        <f t="shared" si="56"/>
        <v>0</v>
      </c>
      <c r="AA386" s="69">
        <f t="shared" si="57"/>
        <v>0</v>
      </c>
      <c r="AB386" s="69">
        <f t="shared" si="58"/>
        <v>0</v>
      </c>
      <c r="AC386" s="69">
        <f t="shared" si="59"/>
        <v>0</v>
      </c>
      <c r="AD386" s="69">
        <f t="shared" si="60"/>
        <v>0</v>
      </c>
    </row>
    <row r="387" spans="1:30" ht="17.25" customHeight="1">
      <c r="A387" s="95" t="str">
        <f>IF(BASE!B385="","",BASE!B385)</f>
        <v/>
      </c>
      <c r="B387" s="92" t="s">
        <v>2</v>
      </c>
      <c r="C387" s="96">
        <f t="shared" si="61"/>
        <v>0</v>
      </c>
      <c r="D387" s="96">
        <f t="shared" si="62"/>
        <v>0</v>
      </c>
      <c r="E387" s="96">
        <f t="shared" si="65"/>
        <v>0</v>
      </c>
      <c r="F387" s="96">
        <f t="shared" si="63"/>
        <v>0</v>
      </c>
      <c r="G387" s="96">
        <f t="shared" si="64"/>
        <v>0</v>
      </c>
      <c r="H387" s="112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89"/>
      <c r="X387" s="49">
        <f t="shared" si="55"/>
        <v>0</v>
      </c>
      <c r="Y387" s="49">
        <f>[2]BASE!A385</f>
        <v>376</v>
      </c>
      <c r="Z387" s="69">
        <f t="shared" si="56"/>
        <v>0</v>
      </c>
      <c r="AA387" s="69">
        <f t="shared" si="57"/>
        <v>0</v>
      </c>
      <c r="AB387" s="69">
        <f t="shared" si="58"/>
        <v>0</v>
      </c>
      <c r="AC387" s="69">
        <f t="shared" si="59"/>
        <v>0</v>
      </c>
      <c r="AD387" s="69">
        <f t="shared" si="60"/>
        <v>0</v>
      </c>
    </row>
    <row r="388" spans="1:30" ht="17.25" customHeight="1">
      <c r="A388" s="95" t="str">
        <f>IF(BASE!B386="","",BASE!B386)</f>
        <v/>
      </c>
      <c r="B388" s="92" t="s">
        <v>2</v>
      </c>
      <c r="C388" s="96">
        <f t="shared" si="61"/>
        <v>0</v>
      </c>
      <c r="D388" s="96">
        <f t="shared" si="62"/>
        <v>0</v>
      </c>
      <c r="E388" s="96">
        <f t="shared" si="65"/>
        <v>0</v>
      </c>
      <c r="F388" s="96">
        <f t="shared" si="63"/>
        <v>0</v>
      </c>
      <c r="G388" s="96">
        <f t="shared" si="64"/>
        <v>0</v>
      </c>
      <c r="H388" s="112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89"/>
      <c r="X388" s="49">
        <f t="shared" si="55"/>
        <v>0</v>
      </c>
      <c r="Y388" s="49">
        <f>[2]BASE!A386</f>
        <v>377</v>
      </c>
      <c r="Z388" s="69">
        <f t="shared" si="56"/>
        <v>0</v>
      </c>
      <c r="AA388" s="69">
        <f t="shared" si="57"/>
        <v>0</v>
      </c>
      <c r="AB388" s="69">
        <f t="shared" si="58"/>
        <v>0</v>
      </c>
      <c r="AC388" s="69">
        <f t="shared" si="59"/>
        <v>0</v>
      </c>
      <c r="AD388" s="69">
        <f t="shared" si="60"/>
        <v>0</v>
      </c>
    </row>
    <row r="389" spans="1:30" ht="17.25" customHeight="1">
      <c r="A389" s="95" t="str">
        <f>IF(BASE!B387="","",BASE!B387)</f>
        <v/>
      </c>
      <c r="B389" s="92" t="s">
        <v>2</v>
      </c>
      <c r="C389" s="96">
        <f t="shared" si="61"/>
        <v>0</v>
      </c>
      <c r="D389" s="96">
        <f t="shared" si="62"/>
        <v>0</v>
      </c>
      <c r="E389" s="96">
        <f t="shared" si="65"/>
        <v>0</v>
      </c>
      <c r="F389" s="96">
        <f t="shared" si="63"/>
        <v>0</v>
      </c>
      <c r="G389" s="96">
        <f t="shared" si="64"/>
        <v>0</v>
      </c>
      <c r="H389" s="112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89"/>
      <c r="X389" s="49">
        <f t="shared" si="55"/>
        <v>0</v>
      </c>
      <c r="Y389" s="49">
        <f>[2]BASE!A387</f>
        <v>378</v>
      </c>
      <c r="Z389" s="69">
        <f t="shared" si="56"/>
        <v>0</v>
      </c>
      <c r="AA389" s="69">
        <f t="shared" si="57"/>
        <v>0</v>
      </c>
      <c r="AB389" s="69">
        <f t="shared" si="58"/>
        <v>0</v>
      </c>
      <c r="AC389" s="69">
        <f t="shared" si="59"/>
        <v>0</v>
      </c>
      <c r="AD389" s="69">
        <f t="shared" si="60"/>
        <v>0</v>
      </c>
    </row>
    <row r="390" spans="1:30" ht="17.25" customHeight="1">
      <c r="A390" s="95" t="str">
        <f>IF(BASE!B388="","",BASE!B388)</f>
        <v/>
      </c>
      <c r="B390" s="92" t="s">
        <v>2</v>
      </c>
      <c r="C390" s="96">
        <f t="shared" si="61"/>
        <v>0</v>
      </c>
      <c r="D390" s="96">
        <f t="shared" si="62"/>
        <v>0</v>
      </c>
      <c r="E390" s="96">
        <f t="shared" si="65"/>
        <v>0</v>
      </c>
      <c r="F390" s="96">
        <f t="shared" si="63"/>
        <v>0</v>
      </c>
      <c r="G390" s="96">
        <f t="shared" si="64"/>
        <v>0</v>
      </c>
      <c r="H390" s="112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89"/>
      <c r="X390" s="49">
        <f t="shared" si="55"/>
        <v>0</v>
      </c>
      <c r="Y390" s="49">
        <f>[2]BASE!A388</f>
        <v>379</v>
      </c>
      <c r="Z390" s="69">
        <f t="shared" si="56"/>
        <v>0</v>
      </c>
      <c r="AA390" s="69">
        <f t="shared" si="57"/>
        <v>0</v>
      </c>
      <c r="AB390" s="69">
        <f t="shared" si="58"/>
        <v>0</v>
      </c>
      <c r="AC390" s="69">
        <f t="shared" si="59"/>
        <v>0</v>
      </c>
      <c r="AD390" s="69">
        <f t="shared" si="60"/>
        <v>0</v>
      </c>
    </row>
    <row r="391" spans="1:30" ht="17.25" customHeight="1">
      <c r="A391" s="95" t="str">
        <f>IF(BASE!B389="","",BASE!B389)</f>
        <v/>
      </c>
      <c r="B391" s="92" t="s">
        <v>2</v>
      </c>
      <c r="C391" s="96">
        <f t="shared" si="61"/>
        <v>0</v>
      </c>
      <c r="D391" s="96">
        <f t="shared" si="62"/>
        <v>0</v>
      </c>
      <c r="E391" s="96">
        <f t="shared" si="65"/>
        <v>0</v>
      </c>
      <c r="F391" s="96">
        <f t="shared" si="63"/>
        <v>0</v>
      </c>
      <c r="G391" s="96">
        <f t="shared" si="64"/>
        <v>0</v>
      </c>
      <c r="H391" s="112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89"/>
      <c r="X391" s="49">
        <f t="shared" si="55"/>
        <v>0</v>
      </c>
      <c r="Y391" s="49">
        <f>[2]BASE!A389</f>
        <v>380</v>
      </c>
      <c r="Z391" s="69">
        <f t="shared" si="56"/>
        <v>0</v>
      </c>
      <c r="AA391" s="69">
        <f t="shared" si="57"/>
        <v>0</v>
      </c>
      <c r="AB391" s="69">
        <f t="shared" si="58"/>
        <v>0</v>
      </c>
      <c r="AC391" s="69">
        <f t="shared" si="59"/>
        <v>0</v>
      </c>
      <c r="AD391" s="69">
        <f t="shared" si="60"/>
        <v>0</v>
      </c>
    </row>
    <row r="392" spans="1:30" ht="17.25" customHeight="1">
      <c r="A392" s="95" t="str">
        <f>IF(BASE!B390="","",BASE!B390)</f>
        <v/>
      </c>
      <c r="B392" s="92" t="s">
        <v>2</v>
      </c>
      <c r="C392" s="96">
        <f t="shared" si="61"/>
        <v>0</v>
      </c>
      <c r="D392" s="96">
        <f t="shared" si="62"/>
        <v>0</v>
      </c>
      <c r="E392" s="96">
        <f t="shared" si="65"/>
        <v>0</v>
      </c>
      <c r="F392" s="96">
        <f t="shared" si="63"/>
        <v>0</v>
      </c>
      <c r="G392" s="96">
        <f t="shared" si="64"/>
        <v>0</v>
      </c>
      <c r="H392" s="112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89"/>
      <c r="X392" s="49">
        <f t="shared" si="55"/>
        <v>0</v>
      </c>
      <c r="Y392" s="49">
        <f>[2]BASE!A390</f>
        <v>381</v>
      </c>
      <c r="Z392" s="69">
        <f t="shared" si="56"/>
        <v>0</v>
      </c>
      <c r="AA392" s="69">
        <f t="shared" si="57"/>
        <v>0</v>
      </c>
      <c r="AB392" s="69">
        <f t="shared" si="58"/>
        <v>0</v>
      </c>
      <c r="AC392" s="69">
        <f t="shared" si="59"/>
        <v>0</v>
      </c>
      <c r="AD392" s="69">
        <f t="shared" si="60"/>
        <v>0</v>
      </c>
    </row>
    <row r="393" spans="1:30" ht="17.25" customHeight="1">
      <c r="A393" s="95" t="str">
        <f>IF(BASE!B391="","",BASE!B391)</f>
        <v/>
      </c>
      <c r="B393" s="92" t="s">
        <v>2</v>
      </c>
      <c r="C393" s="96">
        <f t="shared" si="61"/>
        <v>0</v>
      </c>
      <c r="D393" s="96">
        <f t="shared" si="62"/>
        <v>0</v>
      </c>
      <c r="E393" s="96">
        <f t="shared" si="65"/>
        <v>0</v>
      </c>
      <c r="F393" s="96">
        <f t="shared" si="63"/>
        <v>0</v>
      </c>
      <c r="G393" s="96">
        <f t="shared" si="64"/>
        <v>0</v>
      </c>
      <c r="H393" s="112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89"/>
      <c r="X393" s="49">
        <f t="shared" si="55"/>
        <v>0</v>
      </c>
      <c r="Y393" s="49">
        <f>[2]BASE!A391</f>
        <v>382</v>
      </c>
      <c r="Z393" s="69">
        <f t="shared" si="56"/>
        <v>0</v>
      </c>
      <c r="AA393" s="69">
        <f t="shared" si="57"/>
        <v>0</v>
      </c>
      <c r="AB393" s="69">
        <f t="shared" si="58"/>
        <v>0</v>
      </c>
      <c r="AC393" s="69">
        <f t="shared" si="59"/>
        <v>0</v>
      </c>
      <c r="AD393" s="69">
        <f t="shared" si="60"/>
        <v>0</v>
      </c>
    </row>
    <row r="394" spans="1:30" ht="17.25" customHeight="1">
      <c r="A394" s="95" t="str">
        <f>IF(BASE!B392="","",BASE!B392)</f>
        <v/>
      </c>
      <c r="B394" s="92" t="s">
        <v>2</v>
      </c>
      <c r="C394" s="96">
        <f t="shared" si="61"/>
        <v>0</v>
      </c>
      <c r="D394" s="96">
        <f t="shared" si="62"/>
        <v>0</v>
      </c>
      <c r="E394" s="96">
        <f t="shared" si="65"/>
        <v>0</v>
      </c>
      <c r="F394" s="96">
        <f t="shared" si="63"/>
        <v>0</v>
      </c>
      <c r="G394" s="96">
        <f t="shared" si="64"/>
        <v>0</v>
      </c>
      <c r="H394" s="112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89"/>
      <c r="X394" s="49">
        <f t="shared" si="55"/>
        <v>0</v>
      </c>
      <c r="Y394" s="49">
        <f>[2]BASE!A392</f>
        <v>383</v>
      </c>
      <c r="Z394" s="69">
        <f t="shared" si="56"/>
        <v>0</v>
      </c>
      <c r="AA394" s="69">
        <f t="shared" si="57"/>
        <v>0</v>
      </c>
      <c r="AB394" s="69">
        <f t="shared" si="58"/>
        <v>0</v>
      </c>
      <c r="AC394" s="69">
        <f t="shared" si="59"/>
        <v>0</v>
      </c>
      <c r="AD394" s="69">
        <f t="shared" si="60"/>
        <v>0</v>
      </c>
    </row>
    <row r="395" spans="1:30" ht="17.25" customHeight="1">
      <c r="A395" s="95" t="str">
        <f>IF(BASE!B393="","",BASE!B393)</f>
        <v/>
      </c>
      <c r="B395" s="92" t="s">
        <v>2</v>
      </c>
      <c r="C395" s="96">
        <f t="shared" si="61"/>
        <v>0</v>
      </c>
      <c r="D395" s="96">
        <f t="shared" si="62"/>
        <v>0</v>
      </c>
      <c r="E395" s="96">
        <f t="shared" si="65"/>
        <v>0</v>
      </c>
      <c r="F395" s="96">
        <f t="shared" si="63"/>
        <v>0</v>
      </c>
      <c r="G395" s="96">
        <f t="shared" si="64"/>
        <v>0</v>
      </c>
      <c r="H395" s="112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89"/>
      <c r="X395" s="49">
        <f t="shared" si="55"/>
        <v>0</v>
      </c>
      <c r="Y395" s="49">
        <f>[2]BASE!A393</f>
        <v>384</v>
      </c>
      <c r="Z395" s="69">
        <f t="shared" si="56"/>
        <v>0</v>
      </c>
      <c r="AA395" s="69">
        <f t="shared" si="57"/>
        <v>0</v>
      </c>
      <c r="AB395" s="69">
        <f t="shared" si="58"/>
        <v>0</v>
      </c>
      <c r="AC395" s="69">
        <f t="shared" si="59"/>
        <v>0</v>
      </c>
      <c r="AD395" s="69">
        <f t="shared" si="60"/>
        <v>0</v>
      </c>
    </row>
    <row r="396" spans="1:30" ht="17.25" customHeight="1">
      <c r="A396" s="95" t="str">
        <f>IF(BASE!B394="","",BASE!B394)</f>
        <v/>
      </c>
      <c r="B396" s="92" t="s">
        <v>2</v>
      </c>
      <c r="C396" s="96">
        <f t="shared" si="61"/>
        <v>0</v>
      </c>
      <c r="D396" s="96">
        <f t="shared" si="62"/>
        <v>0</v>
      </c>
      <c r="E396" s="96">
        <f t="shared" si="65"/>
        <v>0</v>
      </c>
      <c r="F396" s="96">
        <f t="shared" si="63"/>
        <v>0</v>
      </c>
      <c r="G396" s="96">
        <f t="shared" si="64"/>
        <v>0</v>
      </c>
      <c r="H396" s="112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89"/>
      <c r="X396" s="49">
        <f t="shared" ref="X396:X461" si="66">SUM(C396:V396)</f>
        <v>0</v>
      </c>
      <c r="Y396" s="49">
        <f>[2]BASE!A394</f>
        <v>385</v>
      </c>
      <c r="Z396" s="69">
        <f t="shared" ref="Z396:Z461" si="67">SUMIF($C$11:$V$11,1,C396:V396)</f>
        <v>0</v>
      </c>
      <c r="AA396" s="69">
        <f t="shared" ref="AA396:AA461" si="68">SUMIF($C$11:$V$11,2,C396:V396)</f>
        <v>0</v>
      </c>
      <c r="AB396" s="69">
        <f t="shared" ref="AB396:AB461" si="69">SUMIF($C$11:$V$11,3,C396:V396)</f>
        <v>0</v>
      </c>
      <c r="AC396" s="69">
        <f t="shared" ref="AC396:AC461" si="70">SUMIF($C$11:$V$11,4,C396:V396)</f>
        <v>0</v>
      </c>
      <c r="AD396" s="69">
        <f t="shared" ref="AD396:AD461" si="71">SUMIF($C$11:$V$11,5,C396:V396)</f>
        <v>0</v>
      </c>
    </row>
    <row r="397" spans="1:30" ht="17.25" customHeight="1">
      <c r="A397" s="95" t="str">
        <f>IF(BASE!B395="","",BASE!B395)</f>
        <v/>
      </c>
      <c r="B397" s="92" t="s">
        <v>2</v>
      </c>
      <c r="C397" s="96">
        <f t="shared" ref="C397:C460" si="72">(H397/5)</f>
        <v>0</v>
      </c>
      <c r="D397" s="96">
        <f t="shared" ref="D397:D460" si="73">(H397/5)</f>
        <v>0</v>
      </c>
      <c r="E397" s="96">
        <f t="shared" si="65"/>
        <v>0</v>
      </c>
      <c r="F397" s="96">
        <f t="shared" ref="F397:F460" si="74">(H397/5)</f>
        <v>0</v>
      </c>
      <c r="G397" s="96">
        <f t="shared" ref="G397:G460" si="75">(H397/5)</f>
        <v>0</v>
      </c>
      <c r="H397" s="112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89"/>
      <c r="X397" s="49">
        <f t="shared" si="66"/>
        <v>0</v>
      </c>
      <c r="Y397" s="49">
        <f>[2]BASE!A395</f>
        <v>386</v>
      </c>
      <c r="Z397" s="69">
        <f t="shared" si="67"/>
        <v>0</v>
      </c>
      <c r="AA397" s="69">
        <f t="shared" si="68"/>
        <v>0</v>
      </c>
      <c r="AB397" s="69">
        <f t="shared" si="69"/>
        <v>0</v>
      </c>
      <c r="AC397" s="69">
        <f t="shared" si="70"/>
        <v>0</v>
      </c>
      <c r="AD397" s="69">
        <f t="shared" si="71"/>
        <v>0</v>
      </c>
    </row>
    <row r="398" spans="1:30" ht="17.25" customHeight="1">
      <c r="A398" s="95" t="str">
        <f>IF(BASE!B396="","",BASE!B396)</f>
        <v/>
      </c>
      <c r="B398" s="92" t="s">
        <v>2</v>
      </c>
      <c r="C398" s="96">
        <f t="shared" si="72"/>
        <v>0</v>
      </c>
      <c r="D398" s="96">
        <f t="shared" si="73"/>
        <v>0</v>
      </c>
      <c r="E398" s="96">
        <f t="shared" ref="E398:E461" si="76">(H398/5)</f>
        <v>0</v>
      </c>
      <c r="F398" s="96">
        <f t="shared" si="74"/>
        <v>0</v>
      </c>
      <c r="G398" s="96">
        <f t="shared" si="75"/>
        <v>0</v>
      </c>
      <c r="H398" s="112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89"/>
      <c r="X398" s="49">
        <f t="shared" si="66"/>
        <v>0</v>
      </c>
      <c r="Y398" s="49">
        <f>[2]BASE!A396</f>
        <v>387</v>
      </c>
      <c r="Z398" s="69">
        <f t="shared" si="67"/>
        <v>0</v>
      </c>
      <c r="AA398" s="69">
        <f t="shared" si="68"/>
        <v>0</v>
      </c>
      <c r="AB398" s="69">
        <f t="shared" si="69"/>
        <v>0</v>
      </c>
      <c r="AC398" s="69">
        <f t="shared" si="70"/>
        <v>0</v>
      </c>
      <c r="AD398" s="69">
        <f t="shared" si="71"/>
        <v>0</v>
      </c>
    </row>
    <row r="399" spans="1:30" ht="17.25" customHeight="1">
      <c r="A399" s="95" t="str">
        <f>IF(BASE!B397="","",BASE!B397)</f>
        <v/>
      </c>
      <c r="B399" s="92" t="s">
        <v>2</v>
      </c>
      <c r="C399" s="96">
        <f t="shared" si="72"/>
        <v>0</v>
      </c>
      <c r="D399" s="96">
        <f t="shared" si="73"/>
        <v>0</v>
      </c>
      <c r="E399" s="96">
        <f t="shared" si="76"/>
        <v>0</v>
      </c>
      <c r="F399" s="96">
        <f t="shared" si="74"/>
        <v>0</v>
      </c>
      <c r="G399" s="96">
        <f t="shared" si="75"/>
        <v>0</v>
      </c>
      <c r="H399" s="112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89"/>
      <c r="X399" s="49">
        <f t="shared" si="66"/>
        <v>0</v>
      </c>
      <c r="Y399" s="49">
        <f>[2]BASE!A397</f>
        <v>388</v>
      </c>
      <c r="Z399" s="69">
        <f t="shared" si="67"/>
        <v>0</v>
      </c>
      <c r="AA399" s="69">
        <f t="shared" si="68"/>
        <v>0</v>
      </c>
      <c r="AB399" s="69">
        <f t="shared" si="69"/>
        <v>0</v>
      </c>
      <c r="AC399" s="69">
        <f t="shared" si="70"/>
        <v>0</v>
      </c>
      <c r="AD399" s="69">
        <f t="shared" si="71"/>
        <v>0</v>
      </c>
    </row>
    <row r="400" spans="1:30" ht="17.25" customHeight="1">
      <c r="A400" s="95" t="str">
        <f>IF(BASE!B398="","",BASE!B398)</f>
        <v/>
      </c>
      <c r="B400" s="92" t="s">
        <v>2</v>
      </c>
      <c r="C400" s="96">
        <f t="shared" si="72"/>
        <v>0</v>
      </c>
      <c r="D400" s="96">
        <f t="shared" si="73"/>
        <v>0</v>
      </c>
      <c r="E400" s="96">
        <f t="shared" si="76"/>
        <v>0</v>
      </c>
      <c r="F400" s="96">
        <f t="shared" si="74"/>
        <v>0</v>
      </c>
      <c r="G400" s="96">
        <f t="shared" si="75"/>
        <v>0</v>
      </c>
      <c r="H400" s="112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89"/>
      <c r="X400" s="49">
        <f t="shared" si="66"/>
        <v>0</v>
      </c>
      <c r="Y400" s="49">
        <f>[2]BASE!A398</f>
        <v>389</v>
      </c>
      <c r="Z400" s="69">
        <f t="shared" si="67"/>
        <v>0</v>
      </c>
      <c r="AA400" s="69">
        <f t="shared" si="68"/>
        <v>0</v>
      </c>
      <c r="AB400" s="69">
        <f t="shared" si="69"/>
        <v>0</v>
      </c>
      <c r="AC400" s="69">
        <f t="shared" si="70"/>
        <v>0</v>
      </c>
      <c r="AD400" s="69">
        <f t="shared" si="71"/>
        <v>0</v>
      </c>
    </row>
    <row r="401" spans="1:30" ht="17.25" customHeight="1">
      <c r="A401" s="95" t="str">
        <f>IF(BASE!B399="","",BASE!B399)</f>
        <v/>
      </c>
      <c r="B401" s="92" t="s">
        <v>2</v>
      </c>
      <c r="C401" s="96">
        <f t="shared" si="72"/>
        <v>0</v>
      </c>
      <c r="D401" s="96">
        <f t="shared" si="73"/>
        <v>0</v>
      </c>
      <c r="E401" s="96">
        <f t="shared" si="76"/>
        <v>0</v>
      </c>
      <c r="F401" s="96">
        <f t="shared" si="74"/>
        <v>0</v>
      </c>
      <c r="G401" s="96">
        <f t="shared" si="75"/>
        <v>0</v>
      </c>
      <c r="H401" s="112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89"/>
      <c r="X401" s="49">
        <f t="shared" si="66"/>
        <v>0</v>
      </c>
      <c r="Y401" s="49">
        <f>[2]BASE!A399</f>
        <v>390</v>
      </c>
      <c r="Z401" s="69">
        <f t="shared" si="67"/>
        <v>0</v>
      </c>
      <c r="AA401" s="69">
        <f t="shared" si="68"/>
        <v>0</v>
      </c>
      <c r="AB401" s="69">
        <f t="shared" si="69"/>
        <v>0</v>
      </c>
      <c r="AC401" s="69">
        <f t="shared" si="70"/>
        <v>0</v>
      </c>
      <c r="AD401" s="69">
        <f t="shared" si="71"/>
        <v>0</v>
      </c>
    </row>
    <row r="402" spans="1:30" ht="17.25" customHeight="1">
      <c r="A402" s="95" t="str">
        <f>IF(BASE!B400="","",BASE!B400)</f>
        <v/>
      </c>
      <c r="B402" s="92" t="s">
        <v>2</v>
      </c>
      <c r="C402" s="96">
        <f t="shared" si="72"/>
        <v>0</v>
      </c>
      <c r="D402" s="96">
        <f t="shared" si="73"/>
        <v>0</v>
      </c>
      <c r="E402" s="96">
        <f t="shared" si="76"/>
        <v>0</v>
      </c>
      <c r="F402" s="96">
        <f t="shared" si="74"/>
        <v>0</v>
      </c>
      <c r="G402" s="96">
        <f t="shared" si="75"/>
        <v>0</v>
      </c>
      <c r="H402" s="112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89"/>
      <c r="X402" s="49">
        <f t="shared" si="66"/>
        <v>0</v>
      </c>
      <c r="Y402" s="49">
        <f>[2]BASE!A400</f>
        <v>391</v>
      </c>
      <c r="Z402" s="69">
        <f t="shared" si="67"/>
        <v>0</v>
      </c>
      <c r="AA402" s="69">
        <f t="shared" si="68"/>
        <v>0</v>
      </c>
      <c r="AB402" s="69">
        <f t="shared" si="69"/>
        <v>0</v>
      </c>
      <c r="AC402" s="69">
        <f t="shared" si="70"/>
        <v>0</v>
      </c>
      <c r="AD402" s="69">
        <f t="shared" si="71"/>
        <v>0</v>
      </c>
    </row>
    <row r="403" spans="1:30" ht="17.25" customHeight="1">
      <c r="A403" s="95" t="str">
        <f>IF(BASE!B401="","",BASE!B401)</f>
        <v/>
      </c>
      <c r="B403" s="92" t="s">
        <v>2</v>
      </c>
      <c r="C403" s="96">
        <f t="shared" si="72"/>
        <v>0</v>
      </c>
      <c r="D403" s="96">
        <f t="shared" si="73"/>
        <v>0</v>
      </c>
      <c r="E403" s="96">
        <f t="shared" si="76"/>
        <v>0</v>
      </c>
      <c r="F403" s="96">
        <f t="shared" si="74"/>
        <v>0</v>
      </c>
      <c r="G403" s="96">
        <f t="shared" si="75"/>
        <v>0</v>
      </c>
      <c r="H403" s="112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89"/>
      <c r="X403" s="49">
        <f t="shared" si="66"/>
        <v>0</v>
      </c>
      <c r="Y403" s="49">
        <f>[2]BASE!A401</f>
        <v>392</v>
      </c>
      <c r="Z403" s="69">
        <f t="shared" si="67"/>
        <v>0</v>
      </c>
      <c r="AA403" s="69">
        <f t="shared" si="68"/>
        <v>0</v>
      </c>
      <c r="AB403" s="69">
        <f t="shared" si="69"/>
        <v>0</v>
      </c>
      <c r="AC403" s="69">
        <f t="shared" si="70"/>
        <v>0</v>
      </c>
      <c r="AD403" s="69">
        <f t="shared" si="71"/>
        <v>0</v>
      </c>
    </row>
    <row r="404" spans="1:30" ht="17.25" customHeight="1">
      <c r="A404" s="95" t="str">
        <f>IF(BASE!B402="","",BASE!B402)</f>
        <v/>
      </c>
      <c r="B404" s="92" t="s">
        <v>2</v>
      </c>
      <c r="C404" s="96">
        <f t="shared" si="72"/>
        <v>0</v>
      </c>
      <c r="D404" s="96">
        <f t="shared" si="73"/>
        <v>0</v>
      </c>
      <c r="E404" s="96">
        <f t="shared" si="76"/>
        <v>0</v>
      </c>
      <c r="F404" s="96">
        <f t="shared" si="74"/>
        <v>0</v>
      </c>
      <c r="G404" s="96">
        <f t="shared" si="75"/>
        <v>0</v>
      </c>
      <c r="H404" s="112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89"/>
      <c r="X404" s="49">
        <f t="shared" si="66"/>
        <v>0</v>
      </c>
      <c r="Y404" s="49">
        <f>[2]BASE!A402</f>
        <v>393</v>
      </c>
      <c r="Z404" s="69">
        <f t="shared" si="67"/>
        <v>0</v>
      </c>
      <c r="AA404" s="69">
        <f t="shared" si="68"/>
        <v>0</v>
      </c>
      <c r="AB404" s="69">
        <f t="shared" si="69"/>
        <v>0</v>
      </c>
      <c r="AC404" s="69">
        <f t="shared" si="70"/>
        <v>0</v>
      </c>
      <c r="AD404" s="69">
        <f t="shared" si="71"/>
        <v>0</v>
      </c>
    </row>
    <row r="405" spans="1:30" ht="17.25" customHeight="1">
      <c r="A405" s="95" t="str">
        <f>IF(BASE!B403="","",BASE!B403)</f>
        <v/>
      </c>
      <c r="B405" s="92" t="s">
        <v>2</v>
      </c>
      <c r="C405" s="96">
        <f t="shared" si="72"/>
        <v>0</v>
      </c>
      <c r="D405" s="96">
        <f t="shared" si="73"/>
        <v>0</v>
      </c>
      <c r="E405" s="96">
        <f t="shared" si="76"/>
        <v>0</v>
      </c>
      <c r="F405" s="96">
        <f t="shared" si="74"/>
        <v>0</v>
      </c>
      <c r="G405" s="96">
        <f t="shared" si="75"/>
        <v>0</v>
      </c>
      <c r="H405" s="112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89"/>
      <c r="X405" s="49">
        <f t="shared" si="66"/>
        <v>0</v>
      </c>
      <c r="Y405" s="49">
        <f>[2]BASE!A403</f>
        <v>394</v>
      </c>
      <c r="Z405" s="69">
        <f t="shared" si="67"/>
        <v>0</v>
      </c>
      <c r="AA405" s="69">
        <f t="shared" si="68"/>
        <v>0</v>
      </c>
      <c r="AB405" s="69">
        <f t="shared" si="69"/>
        <v>0</v>
      </c>
      <c r="AC405" s="69">
        <f t="shared" si="70"/>
        <v>0</v>
      </c>
      <c r="AD405" s="69">
        <f t="shared" si="71"/>
        <v>0</v>
      </c>
    </row>
    <row r="406" spans="1:30" ht="17.25" customHeight="1">
      <c r="A406" s="95" t="str">
        <f>IF(BASE!B404="","",BASE!B404)</f>
        <v/>
      </c>
      <c r="B406" s="92" t="s">
        <v>2</v>
      </c>
      <c r="C406" s="96">
        <f t="shared" si="72"/>
        <v>0</v>
      </c>
      <c r="D406" s="96">
        <f t="shared" si="73"/>
        <v>0</v>
      </c>
      <c r="E406" s="96">
        <f t="shared" si="76"/>
        <v>0</v>
      </c>
      <c r="F406" s="96">
        <f t="shared" si="74"/>
        <v>0</v>
      </c>
      <c r="G406" s="96">
        <f t="shared" si="75"/>
        <v>0</v>
      </c>
      <c r="H406" s="112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89"/>
      <c r="X406" s="49">
        <f t="shared" si="66"/>
        <v>0</v>
      </c>
      <c r="Y406" s="49">
        <f>[2]BASE!A404</f>
        <v>395</v>
      </c>
      <c r="Z406" s="69">
        <f t="shared" si="67"/>
        <v>0</v>
      </c>
      <c r="AA406" s="69">
        <f t="shared" si="68"/>
        <v>0</v>
      </c>
      <c r="AB406" s="69">
        <f t="shared" si="69"/>
        <v>0</v>
      </c>
      <c r="AC406" s="69">
        <f t="shared" si="70"/>
        <v>0</v>
      </c>
      <c r="AD406" s="69">
        <f t="shared" si="71"/>
        <v>0</v>
      </c>
    </row>
    <row r="407" spans="1:30" ht="17.25" customHeight="1">
      <c r="A407" s="95" t="str">
        <f>IF(BASE!B405="","",BASE!B405)</f>
        <v/>
      </c>
      <c r="B407" s="92" t="s">
        <v>2</v>
      </c>
      <c r="C407" s="96">
        <f t="shared" si="72"/>
        <v>0</v>
      </c>
      <c r="D407" s="96">
        <f t="shared" si="73"/>
        <v>0</v>
      </c>
      <c r="E407" s="96">
        <f t="shared" si="76"/>
        <v>0</v>
      </c>
      <c r="F407" s="96">
        <f t="shared" si="74"/>
        <v>0</v>
      </c>
      <c r="G407" s="96">
        <f t="shared" si="75"/>
        <v>0</v>
      </c>
      <c r="H407" s="112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89"/>
      <c r="X407" s="49">
        <f t="shared" si="66"/>
        <v>0</v>
      </c>
      <c r="Y407" s="49">
        <f>[2]BASE!A405</f>
        <v>396</v>
      </c>
      <c r="Z407" s="69">
        <f t="shared" si="67"/>
        <v>0</v>
      </c>
      <c r="AA407" s="69">
        <f t="shared" si="68"/>
        <v>0</v>
      </c>
      <c r="AB407" s="69">
        <f t="shared" si="69"/>
        <v>0</v>
      </c>
      <c r="AC407" s="69">
        <f t="shared" si="70"/>
        <v>0</v>
      </c>
      <c r="AD407" s="69">
        <f t="shared" si="71"/>
        <v>0</v>
      </c>
    </row>
    <row r="408" spans="1:30" ht="17.25" customHeight="1">
      <c r="A408" s="95" t="str">
        <f>IF(BASE!B406="","",BASE!B406)</f>
        <v/>
      </c>
      <c r="B408" s="92" t="s">
        <v>2</v>
      </c>
      <c r="C408" s="96">
        <f t="shared" si="72"/>
        <v>0</v>
      </c>
      <c r="D408" s="96">
        <f t="shared" si="73"/>
        <v>0</v>
      </c>
      <c r="E408" s="96">
        <f t="shared" si="76"/>
        <v>0</v>
      </c>
      <c r="F408" s="96">
        <f t="shared" si="74"/>
        <v>0</v>
      </c>
      <c r="G408" s="96">
        <f t="shared" si="75"/>
        <v>0</v>
      </c>
      <c r="H408" s="112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89"/>
      <c r="X408" s="49">
        <f t="shared" si="66"/>
        <v>0</v>
      </c>
      <c r="Y408" s="49">
        <f>[2]BASE!A406</f>
        <v>397</v>
      </c>
      <c r="Z408" s="69">
        <f t="shared" si="67"/>
        <v>0</v>
      </c>
      <c r="AA408" s="69">
        <f t="shared" si="68"/>
        <v>0</v>
      </c>
      <c r="AB408" s="69">
        <f t="shared" si="69"/>
        <v>0</v>
      </c>
      <c r="AC408" s="69">
        <f t="shared" si="70"/>
        <v>0</v>
      </c>
      <c r="AD408" s="69">
        <f t="shared" si="71"/>
        <v>0</v>
      </c>
    </row>
    <row r="409" spans="1:30" ht="17.25" customHeight="1">
      <c r="A409" s="95" t="str">
        <f>IF(BASE!B407="","",BASE!B407)</f>
        <v/>
      </c>
      <c r="B409" s="92" t="s">
        <v>2</v>
      </c>
      <c r="C409" s="96">
        <f t="shared" si="72"/>
        <v>0</v>
      </c>
      <c r="D409" s="96">
        <f t="shared" si="73"/>
        <v>0</v>
      </c>
      <c r="E409" s="96">
        <f t="shared" si="76"/>
        <v>0</v>
      </c>
      <c r="F409" s="96">
        <f t="shared" si="74"/>
        <v>0</v>
      </c>
      <c r="G409" s="96">
        <f t="shared" si="75"/>
        <v>0</v>
      </c>
      <c r="H409" s="112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89"/>
      <c r="X409" s="49">
        <f t="shared" si="66"/>
        <v>0</v>
      </c>
      <c r="Y409" s="49">
        <f>[2]BASE!A407</f>
        <v>398</v>
      </c>
      <c r="Z409" s="69">
        <f t="shared" si="67"/>
        <v>0</v>
      </c>
      <c r="AA409" s="69">
        <f t="shared" si="68"/>
        <v>0</v>
      </c>
      <c r="AB409" s="69">
        <f t="shared" si="69"/>
        <v>0</v>
      </c>
      <c r="AC409" s="69">
        <f t="shared" si="70"/>
        <v>0</v>
      </c>
      <c r="AD409" s="69">
        <f t="shared" si="71"/>
        <v>0</v>
      </c>
    </row>
    <row r="410" spans="1:30" ht="17.25" customHeight="1">
      <c r="A410" s="95" t="str">
        <f>IF(BASE!B408="","",BASE!B408)</f>
        <v/>
      </c>
      <c r="B410" s="92" t="s">
        <v>2</v>
      </c>
      <c r="C410" s="96">
        <f t="shared" si="72"/>
        <v>0</v>
      </c>
      <c r="D410" s="96">
        <f t="shared" si="73"/>
        <v>0</v>
      </c>
      <c r="E410" s="96">
        <f t="shared" si="76"/>
        <v>0</v>
      </c>
      <c r="F410" s="96">
        <f t="shared" si="74"/>
        <v>0</v>
      </c>
      <c r="G410" s="96">
        <f t="shared" si="75"/>
        <v>0</v>
      </c>
      <c r="H410" s="112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89"/>
      <c r="X410" s="49">
        <f t="shared" si="66"/>
        <v>0</v>
      </c>
      <c r="Y410" s="49">
        <f>[2]BASE!A408</f>
        <v>399</v>
      </c>
      <c r="Z410" s="69">
        <f t="shared" si="67"/>
        <v>0</v>
      </c>
      <c r="AA410" s="69">
        <f t="shared" si="68"/>
        <v>0</v>
      </c>
      <c r="AB410" s="69">
        <f t="shared" si="69"/>
        <v>0</v>
      </c>
      <c r="AC410" s="69">
        <f t="shared" si="70"/>
        <v>0</v>
      </c>
      <c r="AD410" s="69">
        <f t="shared" si="71"/>
        <v>0</v>
      </c>
    </row>
    <row r="411" spans="1:30" ht="17.25" customHeight="1">
      <c r="A411" s="95" t="str">
        <f>IF(BASE!B409="","",BASE!B409)</f>
        <v/>
      </c>
      <c r="B411" s="92" t="s">
        <v>2</v>
      </c>
      <c r="C411" s="96">
        <f t="shared" si="72"/>
        <v>0</v>
      </c>
      <c r="D411" s="96">
        <f t="shared" si="73"/>
        <v>0</v>
      </c>
      <c r="E411" s="96">
        <f t="shared" si="76"/>
        <v>0</v>
      </c>
      <c r="F411" s="96">
        <f t="shared" si="74"/>
        <v>0</v>
      </c>
      <c r="G411" s="96">
        <f t="shared" si="75"/>
        <v>0</v>
      </c>
      <c r="H411" s="112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89"/>
      <c r="X411" s="49">
        <f t="shared" si="66"/>
        <v>0</v>
      </c>
      <c r="Y411" s="49">
        <f>[2]BASE!A409</f>
        <v>400</v>
      </c>
      <c r="Z411" s="69">
        <f t="shared" si="67"/>
        <v>0</v>
      </c>
      <c r="AA411" s="69">
        <f t="shared" si="68"/>
        <v>0</v>
      </c>
      <c r="AB411" s="69">
        <f t="shared" si="69"/>
        <v>0</v>
      </c>
      <c r="AC411" s="69">
        <f t="shared" si="70"/>
        <v>0</v>
      </c>
      <c r="AD411" s="69">
        <f t="shared" si="71"/>
        <v>0</v>
      </c>
    </row>
    <row r="412" spans="1:30" ht="17.25" customHeight="1">
      <c r="A412" s="95" t="str">
        <f>IF(BASE!B410="","",BASE!B410)</f>
        <v/>
      </c>
      <c r="B412" s="92" t="s">
        <v>2</v>
      </c>
      <c r="C412" s="96">
        <f t="shared" si="72"/>
        <v>0</v>
      </c>
      <c r="D412" s="96">
        <f t="shared" si="73"/>
        <v>0</v>
      </c>
      <c r="E412" s="96">
        <f t="shared" si="76"/>
        <v>0</v>
      </c>
      <c r="F412" s="96">
        <f t="shared" si="74"/>
        <v>0</v>
      </c>
      <c r="G412" s="96">
        <f t="shared" si="75"/>
        <v>0</v>
      </c>
      <c r="H412" s="112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89"/>
      <c r="X412" s="49">
        <f t="shared" si="66"/>
        <v>0</v>
      </c>
      <c r="Y412" s="49">
        <f>[2]BASE!A410</f>
        <v>401</v>
      </c>
      <c r="Z412" s="69">
        <f t="shared" si="67"/>
        <v>0</v>
      </c>
      <c r="AA412" s="69">
        <f t="shared" si="68"/>
        <v>0</v>
      </c>
      <c r="AB412" s="69">
        <f t="shared" si="69"/>
        <v>0</v>
      </c>
      <c r="AC412" s="69">
        <f t="shared" si="70"/>
        <v>0</v>
      </c>
      <c r="AD412" s="69">
        <f t="shared" si="71"/>
        <v>0</v>
      </c>
    </row>
    <row r="413" spans="1:30" ht="17.25" customHeight="1">
      <c r="A413" s="95" t="str">
        <f>IF(BASE!B411="","",BASE!B411)</f>
        <v/>
      </c>
      <c r="B413" s="92" t="s">
        <v>2</v>
      </c>
      <c r="C413" s="96">
        <f t="shared" si="72"/>
        <v>0</v>
      </c>
      <c r="D413" s="96">
        <f t="shared" si="73"/>
        <v>0</v>
      </c>
      <c r="E413" s="96">
        <f t="shared" si="76"/>
        <v>0</v>
      </c>
      <c r="F413" s="96">
        <f t="shared" si="74"/>
        <v>0</v>
      </c>
      <c r="G413" s="96">
        <f t="shared" si="75"/>
        <v>0</v>
      </c>
      <c r="H413" s="112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89"/>
      <c r="X413" s="49">
        <f t="shared" si="66"/>
        <v>0</v>
      </c>
      <c r="Y413" s="49">
        <f>[2]BASE!A411</f>
        <v>402</v>
      </c>
      <c r="Z413" s="69">
        <f t="shared" si="67"/>
        <v>0</v>
      </c>
      <c r="AA413" s="69">
        <f t="shared" si="68"/>
        <v>0</v>
      </c>
      <c r="AB413" s="69">
        <f t="shared" si="69"/>
        <v>0</v>
      </c>
      <c r="AC413" s="69">
        <f t="shared" si="70"/>
        <v>0</v>
      </c>
      <c r="AD413" s="69">
        <f t="shared" si="71"/>
        <v>0</v>
      </c>
    </row>
    <row r="414" spans="1:30" ht="17.25" customHeight="1">
      <c r="A414" s="95" t="str">
        <f>IF(BASE!B412="","",BASE!B412)</f>
        <v/>
      </c>
      <c r="B414" s="92" t="s">
        <v>2</v>
      </c>
      <c r="C414" s="96">
        <f t="shared" si="72"/>
        <v>0</v>
      </c>
      <c r="D414" s="96">
        <f t="shared" si="73"/>
        <v>0</v>
      </c>
      <c r="E414" s="96">
        <f t="shared" si="76"/>
        <v>0</v>
      </c>
      <c r="F414" s="96">
        <f t="shared" si="74"/>
        <v>0</v>
      </c>
      <c r="G414" s="96">
        <f t="shared" si="75"/>
        <v>0</v>
      </c>
      <c r="H414" s="112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89"/>
      <c r="X414" s="49">
        <f t="shared" si="66"/>
        <v>0</v>
      </c>
      <c r="Y414" s="49">
        <f>[2]BASE!A412</f>
        <v>403</v>
      </c>
      <c r="Z414" s="69">
        <f t="shared" si="67"/>
        <v>0</v>
      </c>
      <c r="AA414" s="69">
        <f t="shared" si="68"/>
        <v>0</v>
      </c>
      <c r="AB414" s="69">
        <f t="shared" si="69"/>
        <v>0</v>
      </c>
      <c r="AC414" s="69">
        <f t="shared" si="70"/>
        <v>0</v>
      </c>
      <c r="AD414" s="69">
        <f t="shared" si="71"/>
        <v>0</v>
      </c>
    </row>
    <row r="415" spans="1:30" ht="17.25" customHeight="1">
      <c r="A415" s="95" t="str">
        <f>IF(BASE!B413="","",BASE!B413)</f>
        <v/>
      </c>
      <c r="B415" s="92" t="s">
        <v>2</v>
      </c>
      <c r="C415" s="96">
        <f t="shared" si="72"/>
        <v>0</v>
      </c>
      <c r="D415" s="96">
        <f t="shared" si="73"/>
        <v>0</v>
      </c>
      <c r="E415" s="96">
        <f t="shared" si="76"/>
        <v>0</v>
      </c>
      <c r="F415" s="96">
        <f t="shared" si="74"/>
        <v>0</v>
      </c>
      <c r="G415" s="96">
        <f t="shared" si="75"/>
        <v>0</v>
      </c>
      <c r="H415" s="112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89"/>
      <c r="X415" s="49">
        <f t="shared" si="66"/>
        <v>0</v>
      </c>
      <c r="Y415" s="49">
        <f>[2]BASE!A413</f>
        <v>404</v>
      </c>
      <c r="Z415" s="69">
        <f t="shared" si="67"/>
        <v>0</v>
      </c>
      <c r="AA415" s="69">
        <f t="shared" si="68"/>
        <v>0</v>
      </c>
      <c r="AB415" s="69">
        <f t="shared" si="69"/>
        <v>0</v>
      </c>
      <c r="AC415" s="69">
        <f t="shared" si="70"/>
        <v>0</v>
      </c>
      <c r="AD415" s="69">
        <f t="shared" si="71"/>
        <v>0</v>
      </c>
    </row>
    <row r="416" spans="1:30" ht="17.25" customHeight="1">
      <c r="A416" s="95" t="str">
        <f>IF(BASE!B414="","",BASE!B414)</f>
        <v/>
      </c>
      <c r="B416" s="92" t="s">
        <v>2</v>
      </c>
      <c r="C416" s="96">
        <f t="shared" si="72"/>
        <v>0</v>
      </c>
      <c r="D416" s="96">
        <f t="shared" si="73"/>
        <v>0</v>
      </c>
      <c r="E416" s="96">
        <f t="shared" si="76"/>
        <v>0</v>
      </c>
      <c r="F416" s="96">
        <f t="shared" si="74"/>
        <v>0</v>
      </c>
      <c r="G416" s="96">
        <f t="shared" si="75"/>
        <v>0</v>
      </c>
      <c r="H416" s="112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89"/>
      <c r="X416" s="49">
        <f t="shared" si="66"/>
        <v>0</v>
      </c>
      <c r="Y416" s="49">
        <f>[2]BASE!A414</f>
        <v>405</v>
      </c>
      <c r="Z416" s="69">
        <f t="shared" si="67"/>
        <v>0</v>
      </c>
      <c r="AA416" s="69">
        <f t="shared" si="68"/>
        <v>0</v>
      </c>
      <c r="AB416" s="69">
        <f t="shared" si="69"/>
        <v>0</v>
      </c>
      <c r="AC416" s="69">
        <f t="shared" si="70"/>
        <v>0</v>
      </c>
      <c r="AD416" s="69">
        <f t="shared" si="71"/>
        <v>0</v>
      </c>
    </row>
    <row r="417" spans="1:30" ht="17.25" customHeight="1">
      <c r="A417" s="95" t="str">
        <f>IF(BASE!B415="","",BASE!B415)</f>
        <v/>
      </c>
      <c r="B417" s="92" t="s">
        <v>2</v>
      </c>
      <c r="C417" s="96">
        <f t="shared" si="72"/>
        <v>0</v>
      </c>
      <c r="D417" s="96">
        <f t="shared" si="73"/>
        <v>0</v>
      </c>
      <c r="E417" s="96">
        <f t="shared" si="76"/>
        <v>0</v>
      </c>
      <c r="F417" s="96">
        <f t="shared" si="74"/>
        <v>0</v>
      </c>
      <c r="G417" s="96">
        <f t="shared" si="75"/>
        <v>0</v>
      </c>
      <c r="H417" s="112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89"/>
      <c r="X417" s="49">
        <f t="shared" si="66"/>
        <v>0</v>
      </c>
      <c r="Y417" s="49">
        <f>[2]BASE!A415</f>
        <v>406</v>
      </c>
      <c r="Z417" s="69">
        <f t="shared" si="67"/>
        <v>0</v>
      </c>
      <c r="AA417" s="69">
        <f t="shared" si="68"/>
        <v>0</v>
      </c>
      <c r="AB417" s="69">
        <f t="shared" si="69"/>
        <v>0</v>
      </c>
      <c r="AC417" s="69">
        <f t="shared" si="70"/>
        <v>0</v>
      </c>
      <c r="AD417" s="69">
        <f t="shared" si="71"/>
        <v>0</v>
      </c>
    </row>
    <row r="418" spans="1:30" ht="17.25" customHeight="1">
      <c r="A418" s="95" t="str">
        <f>IF(BASE!B416="","",BASE!B416)</f>
        <v/>
      </c>
      <c r="B418" s="92" t="s">
        <v>2</v>
      </c>
      <c r="C418" s="96">
        <f t="shared" si="72"/>
        <v>0</v>
      </c>
      <c r="D418" s="96">
        <f t="shared" si="73"/>
        <v>0</v>
      </c>
      <c r="E418" s="96">
        <f t="shared" si="76"/>
        <v>0</v>
      </c>
      <c r="F418" s="96">
        <f t="shared" si="74"/>
        <v>0</v>
      </c>
      <c r="G418" s="96">
        <f t="shared" si="75"/>
        <v>0</v>
      </c>
      <c r="H418" s="112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89"/>
      <c r="X418" s="49">
        <f t="shared" si="66"/>
        <v>0</v>
      </c>
      <c r="Y418" s="49">
        <f>[2]BASE!A416</f>
        <v>407</v>
      </c>
      <c r="Z418" s="69">
        <f t="shared" si="67"/>
        <v>0</v>
      </c>
      <c r="AA418" s="69">
        <f t="shared" si="68"/>
        <v>0</v>
      </c>
      <c r="AB418" s="69">
        <f t="shared" si="69"/>
        <v>0</v>
      </c>
      <c r="AC418" s="69">
        <f t="shared" si="70"/>
        <v>0</v>
      </c>
      <c r="AD418" s="69">
        <f t="shared" si="71"/>
        <v>0</v>
      </c>
    </row>
    <row r="419" spans="1:30" ht="17.25" customHeight="1">
      <c r="A419" s="95" t="str">
        <f>IF(BASE!B417="","",BASE!B417)</f>
        <v/>
      </c>
      <c r="B419" s="92" t="s">
        <v>2</v>
      </c>
      <c r="C419" s="96">
        <f t="shared" si="72"/>
        <v>0</v>
      </c>
      <c r="D419" s="96">
        <f t="shared" si="73"/>
        <v>0</v>
      </c>
      <c r="E419" s="96">
        <f t="shared" si="76"/>
        <v>0</v>
      </c>
      <c r="F419" s="96">
        <f t="shared" si="74"/>
        <v>0</v>
      </c>
      <c r="G419" s="96">
        <f t="shared" si="75"/>
        <v>0</v>
      </c>
      <c r="H419" s="112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89"/>
      <c r="X419" s="49">
        <f t="shared" si="66"/>
        <v>0</v>
      </c>
      <c r="Y419" s="49">
        <f>[2]BASE!A417</f>
        <v>408</v>
      </c>
      <c r="Z419" s="69">
        <f t="shared" si="67"/>
        <v>0</v>
      </c>
      <c r="AA419" s="69">
        <f t="shared" si="68"/>
        <v>0</v>
      </c>
      <c r="AB419" s="69">
        <f t="shared" si="69"/>
        <v>0</v>
      </c>
      <c r="AC419" s="69">
        <f t="shared" si="70"/>
        <v>0</v>
      </c>
      <c r="AD419" s="69">
        <f t="shared" si="71"/>
        <v>0</v>
      </c>
    </row>
    <row r="420" spans="1:30" ht="17.25" customHeight="1">
      <c r="A420" s="95" t="str">
        <f>IF(BASE!B418="","",BASE!B418)</f>
        <v/>
      </c>
      <c r="B420" s="92" t="s">
        <v>2</v>
      </c>
      <c r="C420" s="96">
        <f t="shared" si="72"/>
        <v>0</v>
      </c>
      <c r="D420" s="96">
        <f t="shared" si="73"/>
        <v>0</v>
      </c>
      <c r="E420" s="96">
        <f t="shared" si="76"/>
        <v>0</v>
      </c>
      <c r="F420" s="96">
        <f t="shared" si="74"/>
        <v>0</v>
      </c>
      <c r="G420" s="96">
        <f t="shared" si="75"/>
        <v>0</v>
      </c>
      <c r="H420" s="112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89"/>
      <c r="X420" s="49">
        <f t="shared" si="66"/>
        <v>0</v>
      </c>
      <c r="Y420" s="49">
        <f>[2]BASE!A418</f>
        <v>409</v>
      </c>
      <c r="Z420" s="69">
        <f t="shared" si="67"/>
        <v>0</v>
      </c>
      <c r="AA420" s="69">
        <f t="shared" si="68"/>
        <v>0</v>
      </c>
      <c r="AB420" s="69">
        <f t="shared" si="69"/>
        <v>0</v>
      </c>
      <c r="AC420" s="69">
        <f t="shared" si="70"/>
        <v>0</v>
      </c>
      <c r="AD420" s="69">
        <f t="shared" si="71"/>
        <v>0</v>
      </c>
    </row>
    <row r="421" spans="1:30" ht="17.25" customHeight="1">
      <c r="A421" s="95" t="str">
        <f>IF(BASE!B419="","",BASE!B419)</f>
        <v/>
      </c>
      <c r="B421" s="92" t="s">
        <v>2</v>
      </c>
      <c r="C421" s="96">
        <f t="shared" si="72"/>
        <v>0</v>
      </c>
      <c r="D421" s="96">
        <f t="shared" si="73"/>
        <v>0</v>
      </c>
      <c r="E421" s="96">
        <f t="shared" si="76"/>
        <v>0</v>
      </c>
      <c r="F421" s="96">
        <f t="shared" si="74"/>
        <v>0</v>
      </c>
      <c r="G421" s="96">
        <f t="shared" si="75"/>
        <v>0</v>
      </c>
      <c r="H421" s="112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89"/>
      <c r="X421" s="49">
        <f t="shared" si="66"/>
        <v>0</v>
      </c>
      <c r="Y421" s="49">
        <f>[2]BASE!A419</f>
        <v>410</v>
      </c>
      <c r="Z421" s="69">
        <f t="shared" si="67"/>
        <v>0</v>
      </c>
      <c r="AA421" s="69">
        <f t="shared" si="68"/>
        <v>0</v>
      </c>
      <c r="AB421" s="69">
        <f t="shared" si="69"/>
        <v>0</v>
      </c>
      <c r="AC421" s="69">
        <f t="shared" si="70"/>
        <v>0</v>
      </c>
      <c r="AD421" s="69">
        <f t="shared" si="71"/>
        <v>0</v>
      </c>
    </row>
    <row r="422" spans="1:30" ht="17.25" customHeight="1">
      <c r="A422" s="95" t="str">
        <f>IF(BASE!B420="","",BASE!B420)</f>
        <v/>
      </c>
      <c r="B422" s="92" t="s">
        <v>2</v>
      </c>
      <c r="C422" s="96">
        <f t="shared" si="72"/>
        <v>0</v>
      </c>
      <c r="D422" s="96">
        <f t="shared" si="73"/>
        <v>0</v>
      </c>
      <c r="E422" s="96">
        <f t="shared" si="76"/>
        <v>0</v>
      </c>
      <c r="F422" s="96">
        <f t="shared" si="74"/>
        <v>0</v>
      </c>
      <c r="G422" s="96">
        <f t="shared" si="75"/>
        <v>0</v>
      </c>
      <c r="H422" s="112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89"/>
      <c r="X422" s="49">
        <f t="shared" si="66"/>
        <v>0</v>
      </c>
      <c r="Y422" s="49">
        <f>[2]BASE!A420</f>
        <v>411</v>
      </c>
      <c r="Z422" s="69">
        <f t="shared" si="67"/>
        <v>0</v>
      </c>
      <c r="AA422" s="69">
        <f t="shared" si="68"/>
        <v>0</v>
      </c>
      <c r="AB422" s="69">
        <f t="shared" si="69"/>
        <v>0</v>
      </c>
      <c r="AC422" s="69">
        <f t="shared" si="70"/>
        <v>0</v>
      </c>
      <c r="AD422" s="69">
        <f t="shared" si="71"/>
        <v>0</v>
      </c>
    </row>
    <row r="423" spans="1:30" ht="17.25" customHeight="1">
      <c r="A423" s="95" t="str">
        <f>IF(BASE!B421="","",BASE!B421)</f>
        <v/>
      </c>
      <c r="B423" s="92" t="s">
        <v>2</v>
      </c>
      <c r="C423" s="96">
        <f t="shared" si="72"/>
        <v>0</v>
      </c>
      <c r="D423" s="96">
        <f t="shared" si="73"/>
        <v>0</v>
      </c>
      <c r="E423" s="96">
        <f t="shared" si="76"/>
        <v>0</v>
      </c>
      <c r="F423" s="96">
        <f t="shared" si="74"/>
        <v>0</v>
      </c>
      <c r="G423" s="96">
        <f t="shared" si="75"/>
        <v>0</v>
      </c>
      <c r="H423" s="112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89"/>
      <c r="X423" s="49">
        <f t="shared" si="66"/>
        <v>0</v>
      </c>
      <c r="Y423" s="49">
        <f>[2]BASE!A421</f>
        <v>412</v>
      </c>
      <c r="Z423" s="69">
        <f t="shared" si="67"/>
        <v>0</v>
      </c>
      <c r="AA423" s="69">
        <f t="shared" si="68"/>
        <v>0</v>
      </c>
      <c r="AB423" s="69">
        <f t="shared" si="69"/>
        <v>0</v>
      </c>
      <c r="AC423" s="69">
        <f t="shared" si="70"/>
        <v>0</v>
      </c>
      <c r="AD423" s="69">
        <f t="shared" si="71"/>
        <v>0</v>
      </c>
    </row>
    <row r="424" spans="1:30" ht="17.25" customHeight="1">
      <c r="A424" s="95" t="str">
        <f>IF(BASE!B422="","",BASE!B422)</f>
        <v/>
      </c>
      <c r="B424" s="92" t="s">
        <v>2</v>
      </c>
      <c r="C424" s="96">
        <f t="shared" si="72"/>
        <v>0</v>
      </c>
      <c r="D424" s="96">
        <f t="shared" si="73"/>
        <v>0</v>
      </c>
      <c r="E424" s="96">
        <f t="shared" si="76"/>
        <v>0</v>
      </c>
      <c r="F424" s="96">
        <f t="shared" si="74"/>
        <v>0</v>
      </c>
      <c r="G424" s="96">
        <f t="shared" si="75"/>
        <v>0</v>
      </c>
      <c r="H424" s="112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89"/>
      <c r="X424" s="49">
        <f t="shared" si="66"/>
        <v>0</v>
      </c>
      <c r="Y424" s="49">
        <f>[2]BASE!A422</f>
        <v>413</v>
      </c>
      <c r="Z424" s="69">
        <f t="shared" si="67"/>
        <v>0</v>
      </c>
      <c r="AA424" s="69">
        <f t="shared" si="68"/>
        <v>0</v>
      </c>
      <c r="AB424" s="69">
        <f t="shared" si="69"/>
        <v>0</v>
      </c>
      <c r="AC424" s="69">
        <f t="shared" si="70"/>
        <v>0</v>
      </c>
      <c r="AD424" s="69">
        <f t="shared" si="71"/>
        <v>0</v>
      </c>
    </row>
    <row r="425" spans="1:30" ht="17.25" customHeight="1">
      <c r="A425" s="95" t="str">
        <f>IF(BASE!B423="","",BASE!B423)</f>
        <v/>
      </c>
      <c r="B425" s="92" t="s">
        <v>2</v>
      </c>
      <c r="C425" s="96">
        <f t="shared" si="72"/>
        <v>0</v>
      </c>
      <c r="D425" s="96">
        <f t="shared" si="73"/>
        <v>0</v>
      </c>
      <c r="E425" s="96">
        <f t="shared" si="76"/>
        <v>0</v>
      </c>
      <c r="F425" s="96">
        <f t="shared" si="74"/>
        <v>0</v>
      </c>
      <c r="G425" s="96">
        <f t="shared" si="75"/>
        <v>0</v>
      </c>
      <c r="H425" s="112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89"/>
      <c r="X425" s="49">
        <f t="shared" si="66"/>
        <v>0</v>
      </c>
      <c r="Y425" s="49">
        <f>[2]BASE!A423</f>
        <v>414</v>
      </c>
      <c r="Z425" s="69">
        <f t="shared" si="67"/>
        <v>0</v>
      </c>
      <c r="AA425" s="69">
        <f t="shared" si="68"/>
        <v>0</v>
      </c>
      <c r="AB425" s="69">
        <f t="shared" si="69"/>
        <v>0</v>
      </c>
      <c r="AC425" s="69">
        <f t="shared" si="70"/>
        <v>0</v>
      </c>
      <c r="AD425" s="69">
        <f t="shared" si="71"/>
        <v>0</v>
      </c>
    </row>
    <row r="426" spans="1:30" ht="17.25" customHeight="1">
      <c r="A426" s="95" t="str">
        <f>IF(BASE!B424="","",BASE!B424)</f>
        <v/>
      </c>
      <c r="B426" s="92" t="s">
        <v>2</v>
      </c>
      <c r="C426" s="96">
        <f t="shared" si="72"/>
        <v>0</v>
      </c>
      <c r="D426" s="96">
        <f t="shared" si="73"/>
        <v>0</v>
      </c>
      <c r="E426" s="96">
        <f t="shared" si="76"/>
        <v>0</v>
      </c>
      <c r="F426" s="96">
        <f t="shared" si="74"/>
        <v>0</v>
      </c>
      <c r="G426" s="96">
        <f t="shared" si="75"/>
        <v>0</v>
      </c>
      <c r="H426" s="112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89"/>
      <c r="X426" s="49">
        <f t="shared" si="66"/>
        <v>0</v>
      </c>
      <c r="Y426" s="49">
        <f>[2]BASE!A424</f>
        <v>415</v>
      </c>
      <c r="Z426" s="69">
        <f t="shared" si="67"/>
        <v>0</v>
      </c>
      <c r="AA426" s="69">
        <f t="shared" si="68"/>
        <v>0</v>
      </c>
      <c r="AB426" s="69">
        <f t="shared" si="69"/>
        <v>0</v>
      </c>
      <c r="AC426" s="69">
        <f t="shared" si="70"/>
        <v>0</v>
      </c>
      <c r="AD426" s="69">
        <f t="shared" si="71"/>
        <v>0</v>
      </c>
    </row>
    <row r="427" spans="1:30" ht="17.25" customHeight="1">
      <c r="A427" s="95" t="str">
        <f>IF(BASE!B425="","",BASE!B425)</f>
        <v/>
      </c>
      <c r="B427" s="92" t="s">
        <v>2</v>
      </c>
      <c r="C427" s="96">
        <f t="shared" si="72"/>
        <v>0</v>
      </c>
      <c r="D427" s="96">
        <f t="shared" si="73"/>
        <v>0</v>
      </c>
      <c r="E427" s="96">
        <f t="shared" si="76"/>
        <v>0</v>
      </c>
      <c r="F427" s="96">
        <f t="shared" si="74"/>
        <v>0</v>
      </c>
      <c r="G427" s="96">
        <f t="shared" si="75"/>
        <v>0</v>
      </c>
      <c r="H427" s="112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89"/>
      <c r="X427" s="49">
        <f t="shared" si="66"/>
        <v>0</v>
      </c>
      <c r="Y427" s="49">
        <f>[2]BASE!A425</f>
        <v>416</v>
      </c>
      <c r="Z427" s="69">
        <f t="shared" si="67"/>
        <v>0</v>
      </c>
      <c r="AA427" s="69">
        <f t="shared" si="68"/>
        <v>0</v>
      </c>
      <c r="AB427" s="69">
        <f t="shared" si="69"/>
        <v>0</v>
      </c>
      <c r="AC427" s="69">
        <f t="shared" si="70"/>
        <v>0</v>
      </c>
      <c r="AD427" s="69">
        <f t="shared" si="71"/>
        <v>0</v>
      </c>
    </row>
    <row r="428" spans="1:30" ht="17.25" customHeight="1">
      <c r="A428" s="95" t="str">
        <f>IF(BASE!B426="","",BASE!B426)</f>
        <v/>
      </c>
      <c r="B428" s="92" t="s">
        <v>2</v>
      </c>
      <c r="C428" s="96">
        <f t="shared" si="72"/>
        <v>0</v>
      </c>
      <c r="D428" s="96">
        <f t="shared" si="73"/>
        <v>0</v>
      </c>
      <c r="E428" s="96">
        <f t="shared" si="76"/>
        <v>0</v>
      </c>
      <c r="F428" s="96">
        <f t="shared" si="74"/>
        <v>0</v>
      </c>
      <c r="G428" s="96">
        <f t="shared" si="75"/>
        <v>0</v>
      </c>
      <c r="H428" s="112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89"/>
      <c r="X428" s="49">
        <f t="shared" si="66"/>
        <v>0</v>
      </c>
      <c r="Y428" s="49">
        <f>[2]BASE!A426</f>
        <v>417</v>
      </c>
      <c r="Z428" s="69">
        <f t="shared" si="67"/>
        <v>0</v>
      </c>
      <c r="AA428" s="69">
        <f t="shared" si="68"/>
        <v>0</v>
      </c>
      <c r="AB428" s="69">
        <f t="shared" si="69"/>
        <v>0</v>
      </c>
      <c r="AC428" s="69">
        <f t="shared" si="70"/>
        <v>0</v>
      </c>
      <c r="AD428" s="69">
        <f t="shared" si="71"/>
        <v>0</v>
      </c>
    </row>
    <row r="429" spans="1:30" ht="17.25" customHeight="1">
      <c r="A429" s="95" t="str">
        <f>IF(BASE!B427="","",BASE!B427)</f>
        <v/>
      </c>
      <c r="B429" s="92" t="s">
        <v>2</v>
      </c>
      <c r="C429" s="96">
        <f t="shared" si="72"/>
        <v>0</v>
      </c>
      <c r="D429" s="96">
        <f t="shared" si="73"/>
        <v>0</v>
      </c>
      <c r="E429" s="96">
        <f t="shared" si="76"/>
        <v>0</v>
      </c>
      <c r="F429" s="96">
        <f t="shared" si="74"/>
        <v>0</v>
      </c>
      <c r="G429" s="96">
        <f t="shared" si="75"/>
        <v>0</v>
      </c>
      <c r="H429" s="112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89"/>
      <c r="X429" s="49">
        <f t="shared" si="66"/>
        <v>0</v>
      </c>
      <c r="Y429" s="49">
        <f>[2]BASE!A427</f>
        <v>418</v>
      </c>
      <c r="Z429" s="69">
        <f t="shared" si="67"/>
        <v>0</v>
      </c>
      <c r="AA429" s="69">
        <f t="shared" si="68"/>
        <v>0</v>
      </c>
      <c r="AB429" s="69">
        <f t="shared" si="69"/>
        <v>0</v>
      </c>
      <c r="AC429" s="69">
        <f t="shared" si="70"/>
        <v>0</v>
      </c>
      <c r="AD429" s="69">
        <f t="shared" si="71"/>
        <v>0</v>
      </c>
    </row>
    <row r="430" spans="1:30" ht="17.25" customHeight="1">
      <c r="A430" s="95" t="str">
        <f>IF(BASE!B428="","",BASE!B428)</f>
        <v/>
      </c>
      <c r="B430" s="92" t="s">
        <v>2</v>
      </c>
      <c r="C430" s="96">
        <f t="shared" si="72"/>
        <v>0</v>
      </c>
      <c r="D430" s="96">
        <f t="shared" si="73"/>
        <v>0</v>
      </c>
      <c r="E430" s="96">
        <f t="shared" si="76"/>
        <v>0</v>
      </c>
      <c r="F430" s="96">
        <f t="shared" si="74"/>
        <v>0</v>
      </c>
      <c r="G430" s="96">
        <f t="shared" si="75"/>
        <v>0</v>
      </c>
      <c r="H430" s="112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89"/>
      <c r="X430" s="49">
        <f t="shared" si="66"/>
        <v>0</v>
      </c>
      <c r="Y430" s="49">
        <f>[2]BASE!A428</f>
        <v>419</v>
      </c>
      <c r="Z430" s="69">
        <f t="shared" si="67"/>
        <v>0</v>
      </c>
      <c r="AA430" s="69">
        <f t="shared" si="68"/>
        <v>0</v>
      </c>
      <c r="AB430" s="69">
        <f t="shared" si="69"/>
        <v>0</v>
      </c>
      <c r="AC430" s="69">
        <f t="shared" si="70"/>
        <v>0</v>
      </c>
      <c r="AD430" s="69">
        <f t="shared" si="71"/>
        <v>0</v>
      </c>
    </row>
    <row r="431" spans="1:30" ht="17.25" customHeight="1">
      <c r="A431" s="95" t="str">
        <f>IF(BASE!B429="","",BASE!B429)</f>
        <v/>
      </c>
      <c r="B431" s="92" t="s">
        <v>2</v>
      </c>
      <c r="C431" s="96">
        <f t="shared" si="72"/>
        <v>0</v>
      </c>
      <c r="D431" s="96">
        <f t="shared" si="73"/>
        <v>0</v>
      </c>
      <c r="E431" s="96">
        <f t="shared" si="76"/>
        <v>0</v>
      </c>
      <c r="F431" s="96">
        <f t="shared" si="74"/>
        <v>0</v>
      </c>
      <c r="G431" s="96">
        <f t="shared" si="75"/>
        <v>0</v>
      </c>
      <c r="H431" s="112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89"/>
      <c r="X431" s="49">
        <f t="shared" si="66"/>
        <v>0</v>
      </c>
      <c r="Y431" s="49">
        <f>[2]BASE!A429</f>
        <v>420</v>
      </c>
      <c r="Z431" s="69">
        <f t="shared" si="67"/>
        <v>0</v>
      </c>
      <c r="AA431" s="69">
        <f t="shared" si="68"/>
        <v>0</v>
      </c>
      <c r="AB431" s="69">
        <f t="shared" si="69"/>
        <v>0</v>
      </c>
      <c r="AC431" s="69">
        <f t="shared" si="70"/>
        <v>0</v>
      </c>
      <c r="AD431" s="69">
        <f t="shared" si="71"/>
        <v>0</v>
      </c>
    </row>
    <row r="432" spans="1:30" ht="17.25" customHeight="1">
      <c r="A432" s="95" t="str">
        <f>IF(BASE!B430="","",BASE!B430)</f>
        <v/>
      </c>
      <c r="B432" s="92" t="s">
        <v>2</v>
      </c>
      <c r="C432" s="96">
        <f t="shared" si="72"/>
        <v>0</v>
      </c>
      <c r="D432" s="96">
        <f t="shared" si="73"/>
        <v>0</v>
      </c>
      <c r="E432" s="96">
        <f t="shared" si="76"/>
        <v>0</v>
      </c>
      <c r="F432" s="96">
        <f t="shared" si="74"/>
        <v>0</v>
      </c>
      <c r="G432" s="96">
        <f t="shared" si="75"/>
        <v>0</v>
      </c>
      <c r="H432" s="112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89"/>
      <c r="X432" s="49">
        <f t="shared" si="66"/>
        <v>0</v>
      </c>
      <c r="Y432" s="49">
        <f>[2]BASE!A430</f>
        <v>421</v>
      </c>
      <c r="Z432" s="69">
        <f t="shared" si="67"/>
        <v>0</v>
      </c>
      <c r="AA432" s="69">
        <f t="shared" si="68"/>
        <v>0</v>
      </c>
      <c r="AB432" s="69">
        <f t="shared" si="69"/>
        <v>0</v>
      </c>
      <c r="AC432" s="69">
        <f t="shared" si="70"/>
        <v>0</v>
      </c>
      <c r="AD432" s="69">
        <f t="shared" si="71"/>
        <v>0</v>
      </c>
    </row>
    <row r="433" spans="1:30" ht="17.25" customHeight="1">
      <c r="A433" s="95" t="str">
        <f>IF(BASE!B431="","",BASE!B431)</f>
        <v/>
      </c>
      <c r="B433" s="92" t="s">
        <v>2</v>
      </c>
      <c r="C433" s="96">
        <f t="shared" si="72"/>
        <v>0</v>
      </c>
      <c r="D433" s="96">
        <f t="shared" si="73"/>
        <v>0</v>
      </c>
      <c r="E433" s="96">
        <f t="shared" si="76"/>
        <v>0</v>
      </c>
      <c r="F433" s="96">
        <f t="shared" si="74"/>
        <v>0</v>
      </c>
      <c r="G433" s="96">
        <f t="shared" si="75"/>
        <v>0</v>
      </c>
      <c r="H433" s="112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89"/>
      <c r="X433" s="49">
        <f t="shared" si="66"/>
        <v>0</v>
      </c>
      <c r="Y433" s="49">
        <f>[2]BASE!A431</f>
        <v>422</v>
      </c>
      <c r="Z433" s="69">
        <f t="shared" si="67"/>
        <v>0</v>
      </c>
      <c r="AA433" s="69">
        <f t="shared" si="68"/>
        <v>0</v>
      </c>
      <c r="AB433" s="69">
        <f t="shared" si="69"/>
        <v>0</v>
      </c>
      <c r="AC433" s="69">
        <f t="shared" si="70"/>
        <v>0</v>
      </c>
      <c r="AD433" s="69">
        <f t="shared" si="71"/>
        <v>0</v>
      </c>
    </row>
    <row r="434" spans="1:30" ht="17.25" customHeight="1">
      <c r="A434" s="95" t="str">
        <f>IF(BASE!B432="","",BASE!B432)</f>
        <v/>
      </c>
      <c r="B434" s="92" t="s">
        <v>2</v>
      </c>
      <c r="C434" s="96">
        <f t="shared" si="72"/>
        <v>0</v>
      </c>
      <c r="D434" s="96">
        <f t="shared" si="73"/>
        <v>0</v>
      </c>
      <c r="E434" s="96">
        <f t="shared" si="76"/>
        <v>0</v>
      </c>
      <c r="F434" s="96">
        <f t="shared" si="74"/>
        <v>0</v>
      </c>
      <c r="G434" s="96">
        <f t="shared" si="75"/>
        <v>0</v>
      </c>
      <c r="H434" s="112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89"/>
      <c r="X434" s="49">
        <f t="shared" si="66"/>
        <v>0</v>
      </c>
      <c r="Y434" s="49">
        <f>[2]BASE!A432</f>
        <v>423</v>
      </c>
      <c r="Z434" s="69">
        <f t="shared" si="67"/>
        <v>0</v>
      </c>
      <c r="AA434" s="69">
        <f t="shared" si="68"/>
        <v>0</v>
      </c>
      <c r="AB434" s="69">
        <f t="shared" si="69"/>
        <v>0</v>
      </c>
      <c r="AC434" s="69">
        <f t="shared" si="70"/>
        <v>0</v>
      </c>
      <c r="AD434" s="69">
        <f t="shared" si="71"/>
        <v>0</v>
      </c>
    </row>
    <row r="435" spans="1:30" ht="17.25" customHeight="1">
      <c r="A435" s="95" t="str">
        <f>IF(BASE!B433="","",BASE!B433)</f>
        <v/>
      </c>
      <c r="B435" s="92" t="s">
        <v>2</v>
      </c>
      <c r="C435" s="96">
        <f t="shared" si="72"/>
        <v>0</v>
      </c>
      <c r="D435" s="96">
        <f t="shared" si="73"/>
        <v>0</v>
      </c>
      <c r="E435" s="96">
        <f t="shared" si="76"/>
        <v>0</v>
      </c>
      <c r="F435" s="96">
        <f t="shared" si="74"/>
        <v>0</v>
      </c>
      <c r="G435" s="96">
        <f t="shared" si="75"/>
        <v>0</v>
      </c>
      <c r="H435" s="112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89"/>
      <c r="X435" s="49">
        <f t="shared" si="66"/>
        <v>0</v>
      </c>
      <c r="Y435" s="49">
        <f>[2]BASE!A433</f>
        <v>424</v>
      </c>
      <c r="Z435" s="69">
        <f t="shared" si="67"/>
        <v>0</v>
      </c>
      <c r="AA435" s="69">
        <f t="shared" si="68"/>
        <v>0</v>
      </c>
      <c r="AB435" s="69">
        <f t="shared" si="69"/>
        <v>0</v>
      </c>
      <c r="AC435" s="69">
        <f t="shared" si="70"/>
        <v>0</v>
      </c>
      <c r="AD435" s="69">
        <f t="shared" si="71"/>
        <v>0</v>
      </c>
    </row>
    <row r="436" spans="1:30" ht="17.25" customHeight="1">
      <c r="A436" s="95" t="str">
        <f>IF(BASE!B434="","",BASE!B434)</f>
        <v/>
      </c>
      <c r="B436" s="92" t="s">
        <v>2</v>
      </c>
      <c r="C436" s="96">
        <f t="shared" si="72"/>
        <v>0</v>
      </c>
      <c r="D436" s="96">
        <f t="shared" si="73"/>
        <v>0</v>
      </c>
      <c r="E436" s="96">
        <f t="shared" si="76"/>
        <v>0</v>
      </c>
      <c r="F436" s="96">
        <f t="shared" si="74"/>
        <v>0</v>
      </c>
      <c r="G436" s="96">
        <f t="shared" si="75"/>
        <v>0</v>
      </c>
      <c r="H436" s="112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89"/>
      <c r="X436" s="49">
        <f t="shared" si="66"/>
        <v>0</v>
      </c>
      <c r="Y436" s="49">
        <f>[2]BASE!A434</f>
        <v>425</v>
      </c>
      <c r="Z436" s="69">
        <f t="shared" si="67"/>
        <v>0</v>
      </c>
      <c r="AA436" s="69">
        <f t="shared" si="68"/>
        <v>0</v>
      </c>
      <c r="AB436" s="69">
        <f t="shared" si="69"/>
        <v>0</v>
      </c>
      <c r="AC436" s="69">
        <f t="shared" si="70"/>
        <v>0</v>
      </c>
      <c r="AD436" s="69">
        <f t="shared" si="71"/>
        <v>0</v>
      </c>
    </row>
    <row r="437" spans="1:30" ht="17.25" customHeight="1">
      <c r="A437" s="95" t="str">
        <f>IF(BASE!B435="","",BASE!B435)</f>
        <v/>
      </c>
      <c r="B437" s="92" t="s">
        <v>2</v>
      </c>
      <c r="C437" s="96">
        <f t="shared" si="72"/>
        <v>0</v>
      </c>
      <c r="D437" s="96">
        <f t="shared" si="73"/>
        <v>0</v>
      </c>
      <c r="E437" s="96">
        <f t="shared" si="76"/>
        <v>0</v>
      </c>
      <c r="F437" s="96">
        <f t="shared" si="74"/>
        <v>0</v>
      </c>
      <c r="G437" s="96">
        <f t="shared" si="75"/>
        <v>0</v>
      </c>
      <c r="H437" s="112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89"/>
      <c r="X437" s="49">
        <f t="shared" si="66"/>
        <v>0</v>
      </c>
      <c r="Y437" s="49">
        <f>[2]BASE!A435</f>
        <v>426</v>
      </c>
      <c r="Z437" s="69">
        <f t="shared" si="67"/>
        <v>0</v>
      </c>
      <c r="AA437" s="69">
        <f t="shared" si="68"/>
        <v>0</v>
      </c>
      <c r="AB437" s="69">
        <f t="shared" si="69"/>
        <v>0</v>
      </c>
      <c r="AC437" s="69">
        <f t="shared" si="70"/>
        <v>0</v>
      </c>
      <c r="AD437" s="69">
        <f t="shared" si="71"/>
        <v>0</v>
      </c>
    </row>
    <row r="438" spans="1:30" ht="17.25" customHeight="1">
      <c r="A438" s="95" t="str">
        <f>IF(BASE!B436="","",BASE!B436)</f>
        <v/>
      </c>
      <c r="B438" s="92" t="s">
        <v>2</v>
      </c>
      <c r="C438" s="96">
        <f t="shared" si="72"/>
        <v>0</v>
      </c>
      <c r="D438" s="96">
        <f t="shared" si="73"/>
        <v>0</v>
      </c>
      <c r="E438" s="96">
        <f t="shared" si="76"/>
        <v>0</v>
      </c>
      <c r="F438" s="96">
        <f t="shared" si="74"/>
        <v>0</v>
      </c>
      <c r="G438" s="96">
        <f t="shared" si="75"/>
        <v>0</v>
      </c>
      <c r="H438" s="112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89"/>
      <c r="X438" s="49">
        <f t="shared" si="66"/>
        <v>0</v>
      </c>
      <c r="Y438" s="49">
        <f>[2]BASE!A436</f>
        <v>427</v>
      </c>
      <c r="Z438" s="69">
        <f t="shared" si="67"/>
        <v>0</v>
      </c>
      <c r="AA438" s="69">
        <f t="shared" si="68"/>
        <v>0</v>
      </c>
      <c r="AB438" s="69">
        <f t="shared" si="69"/>
        <v>0</v>
      </c>
      <c r="AC438" s="69">
        <f t="shared" si="70"/>
        <v>0</v>
      </c>
      <c r="AD438" s="69">
        <f t="shared" si="71"/>
        <v>0</v>
      </c>
    </row>
    <row r="439" spans="1:30" ht="17.25" customHeight="1">
      <c r="A439" s="95" t="str">
        <f>IF(BASE!B437="","",BASE!B437)</f>
        <v/>
      </c>
      <c r="B439" s="92" t="s">
        <v>2</v>
      </c>
      <c r="C439" s="96">
        <f t="shared" si="72"/>
        <v>0</v>
      </c>
      <c r="D439" s="96">
        <f t="shared" si="73"/>
        <v>0</v>
      </c>
      <c r="E439" s="96">
        <f t="shared" si="76"/>
        <v>0</v>
      </c>
      <c r="F439" s="96">
        <f t="shared" si="74"/>
        <v>0</v>
      </c>
      <c r="G439" s="96">
        <f t="shared" si="75"/>
        <v>0</v>
      </c>
      <c r="H439" s="112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89"/>
      <c r="X439" s="49">
        <f t="shared" si="66"/>
        <v>0</v>
      </c>
      <c r="Y439" s="49">
        <f>[2]BASE!A437</f>
        <v>428</v>
      </c>
      <c r="Z439" s="69">
        <f t="shared" si="67"/>
        <v>0</v>
      </c>
      <c r="AA439" s="69">
        <f t="shared" si="68"/>
        <v>0</v>
      </c>
      <c r="AB439" s="69">
        <f t="shared" si="69"/>
        <v>0</v>
      </c>
      <c r="AC439" s="69">
        <f t="shared" si="70"/>
        <v>0</v>
      </c>
      <c r="AD439" s="69">
        <f t="shared" si="71"/>
        <v>0</v>
      </c>
    </row>
    <row r="440" spans="1:30" ht="17.25" customHeight="1">
      <c r="A440" s="95" t="str">
        <f>IF(BASE!B438="","",BASE!B438)</f>
        <v/>
      </c>
      <c r="B440" s="92" t="s">
        <v>2</v>
      </c>
      <c r="C440" s="96">
        <f t="shared" si="72"/>
        <v>0</v>
      </c>
      <c r="D440" s="96">
        <f t="shared" si="73"/>
        <v>0</v>
      </c>
      <c r="E440" s="96">
        <f t="shared" si="76"/>
        <v>0</v>
      </c>
      <c r="F440" s="96">
        <f t="shared" si="74"/>
        <v>0</v>
      </c>
      <c r="G440" s="96">
        <f t="shared" si="75"/>
        <v>0</v>
      </c>
      <c r="H440" s="112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89"/>
      <c r="X440" s="49">
        <f t="shared" si="66"/>
        <v>0</v>
      </c>
      <c r="Y440" s="49">
        <f>[2]BASE!A438</f>
        <v>429</v>
      </c>
      <c r="Z440" s="69">
        <f t="shared" si="67"/>
        <v>0</v>
      </c>
      <c r="AA440" s="69">
        <f t="shared" si="68"/>
        <v>0</v>
      </c>
      <c r="AB440" s="69">
        <f t="shared" si="69"/>
        <v>0</v>
      </c>
      <c r="AC440" s="69">
        <f t="shared" si="70"/>
        <v>0</v>
      </c>
      <c r="AD440" s="69">
        <f t="shared" si="71"/>
        <v>0</v>
      </c>
    </row>
    <row r="441" spans="1:30" ht="17.25" customHeight="1">
      <c r="A441" s="95" t="str">
        <f>IF(BASE!B439="","",BASE!B439)</f>
        <v/>
      </c>
      <c r="B441" s="92" t="s">
        <v>2</v>
      </c>
      <c r="C441" s="96">
        <f t="shared" si="72"/>
        <v>0</v>
      </c>
      <c r="D441" s="96">
        <f t="shared" si="73"/>
        <v>0</v>
      </c>
      <c r="E441" s="96">
        <f t="shared" si="76"/>
        <v>0</v>
      </c>
      <c r="F441" s="96">
        <f t="shared" si="74"/>
        <v>0</v>
      </c>
      <c r="G441" s="96">
        <f t="shared" si="75"/>
        <v>0</v>
      </c>
      <c r="H441" s="112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89"/>
      <c r="X441" s="49">
        <f t="shared" si="66"/>
        <v>0</v>
      </c>
      <c r="Y441" s="49">
        <f>[2]BASE!A439</f>
        <v>430</v>
      </c>
      <c r="Z441" s="69">
        <f t="shared" si="67"/>
        <v>0</v>
      </c>
      <c r="AA441" s="69">
        <f t="shared" si="68"/>
        <v>0</v>
      </c>
      <c r="AB441" s="69">
        <f t="shared" si="69"/>
        <v>0</v>
      </c>
      <c r="AC441" s="69">
        <f t="shared" si="70"/>
        <v>0</v>
      </c>
      <c r="AD441" s="69">
        <f t="shared" si="71"/>
        <v>0</v>
      </c>
    </row>
    <row r="442" spans="1:30" ht="17.25" customHeight="1">
      <c r="A442" s="95" t="str">
        <f>IF(BASE!B440="","",BASE!B440)</f>
        <v/>
      </c>
      <c r="B442" s="92" t="s">
        <v>2</v>
      </c>
      <c r="C442" s="96">
        <f t="shared" si="72"/>
        <v>0</v>
      </c>
      <c r="D442" s="96">
        <f t="shared" si="73"/>
        <v>0</v>
      </c>
      <c r="E442" s="96">
        <f t="shared" si="76"/>
        <v>0</v>
      </c>
      <c r="F442" s="96">
        <f t="shared" si="74"/>
        <v>0</v>
      </c>
      <c r="G442" s="96">
        <f t="shared" si="75"/>
        <v>0</v>
      </c>
      <c r="H442" s="112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89"/>
      <c r="X442" s="49">
        <f t="shared" si="66"/>
        <v>0</v>
      </c>
      <c r="Y442" s="49">
        <f>[2]BASE!A440</f>
        <v>431</v>
      </c>
      <c r="Z442" s="69">
        <f t="shared" si="67"/>
        <v>0</v>
      </c>
      <c r="AA442" s="69">
        <f t="shared" si="68"/>
        <v>0</v>
      </c>
      <c r="AB442" s="69">
        <f t="shared" si="69"/>
        <v>0</v>
      </c>
      <c r="AC442" s="69">
        <f t="shared" si="70"/>
        <v>0</v>
      </c>
      <c r="AD442" s="69">
        <f t="shared" si="71"/>
        <v>0</v>
      </c>
    </row>
    <row r="443" spans="1:30" ht="17.25" customHeight="1">
      <c r="A443" s="95" t="str">
        <f>IF(BASE!B441="","",BASE!B441)</f>
        <v/>
      </c>
      <c r="B443" s="92" t="s">
        <v>2</v>
      </c>
      <c r="C443" s="96">
        <f t="shared" si="72"/>
        <v>0</v>
      </c>
      <c r="D443" s="96">
        <f t="shared" si="73"/>
        <v>0</v>
      </c>
      <c r="E443" s="96">
        <f t="shared" si="76"/>
        <v>0</v>
      </c>
      <c r="F443" s="96">
        <f t="shared" si="74"/>
        <v>0</v>
      </c>
      <c r="G443" s="96">
        <f t="shared" si="75"/>
        <v>0</v>
      </c>
      <c r="H443" s="112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89"/>
      <c r="X443" s="49">
        <f t="shared" si="66"/>
        <v>0</v>
      </c>
      <c r="Y443" s="49">
        <f>[2]BASE!A441</f>
        <v>432</v>
      </c>
      <c r="Z443" s="69">
        <f t="shared" si="67"/>
        <v>0</v>
      </c>
      <c r="AA443" s="69">
        <f t="shared" si="68"/>
        <v>0</v>
      </c>
      <c r="AB443" s="69">
        <f t="shared" si="69"/>
        <v>0</v>
      </c>
      <c r="AC443" s="69">
        <f t="shared" si="70"/>
        <v>0</v>
      </c>
      <c r="AD443" s="69">
        <f t="shared" si="71"/>
        <v>0</v>
      </c>
    </row>
    <row r="444" spans="1:30" ht="17.25" customHeight="1">
      <c r="A444" s="95" t="str">
        <f>IF(BASE!B442="","",BASE!B442)</f>
        <v/>
      </c>
      <c r="B444" s="92" t="s">
        <v>2</v>
      </c>
      <c r="C444" s="96">
        <f t="shared" si="72"/>
        <v>0</v>
      </c>
      <c r="D444" s="96">
        <f t="shared" si="73"/>
        <v>0</v>
      </c>
      <c r="E444" s="96">
        <f t="shared" si="76"/>
        <v>0</v>
      </c>
      <c r="F444" s="96">
        <f t="shared" si="74"/>
        <v>0</v>
      </c>
      <c r="G444" s="96">
        <f t="shared" si="75"/>
        <v>0</v>
      </c>
      <c r="H444" s="112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89"/>
      <c r="X444" s="49">
        <f t="shared" si="66"/>
        <v>0</v>
      </c>
      <c r="Y444" s="49">
        <f>[2]BASE!A442</f>
        <v>433</v>
      </c>
      <c r="Z444" s="69">
        <f t="shared" si="67"/>
        <v>0</v>
      </c>
      <c r="AA444" s="69">
        <f t="shared" si="68"/>
        <v>0</v>
      </c>
      <c r="AB444" s="69">
        <f t="shared" si="69"/>
        <v>0</v>
      </c>
      <c r="AC444" s="69">
        <f t="shared" si="70"/>
        <v>0</v>
      </c>
      <c r="AD444" s="69">
        <f t="shared" si="71"/>
        <v>0</v>
      </c>
    </row>
    <row r="445" spans="1:30" ht="17.25" customHeight="1">
      <c r="A445" s="95" t="str">
        <f>IF(BASE!B443="","",BASE!B443)</f>
        <v/>
      </c>
      <c r="B445" s="92" t="s">
        <v>2</v>
      </c>
      <c r="C445" s="96">
        <f t="shared" si="72"/>
        <v>0</v>
      </c>
      <c r="D445" s="96">
        <f t="shared" si="73"/>
        <v>0</v>
      </c>
      <c r="E445" s="96">
        <f t="shared" si="76"/>
        <v>0</v>
      </c>
      <c r="F445" s="96">
        <f t="shared" si="74"/>
        <v>0</v>
      </c>
      <c r="G445" s="96">
        <f t="shared" si="75"/>
        <v>0</v>
      </c>
      <c r="H445" s="112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89"/>
      <c r="X445" s="49">
        <f t="shared" si="66"/>
        <v>0</v>
      </c>
      <c r="Y445" s="49">
        <f>[2]BASE!A443</f>
        <v>434</v>
      </c>
      <c r="Z445" s="69">
        <f t="shared" si="67"/>
        <v>0</v>
      </c>
      <c r="AA445" s="69">
        <f t="shared" si="68"/>
        <v>0</v>
      </c>
      <c r="AB445" s="69">
        <f t="shared" si="69"/>
        <v>0</v>
      </c>
      <c r="AC445" s="69">
        <f t="shared" si="70"/>
        <v>0</v>
      </c>
      <c r="AD445" s="69">
        <f t="shared" si="71"/>
        <v>0</v>
      </c>
    </row>
    <row r="446" spans="1:30" ht="17.25" customHeight="1">
      <c r="A446" s="95" t="str">
        <f>IF(BASE!B444="","",BASE!B444)</f>
        <v/>
      </c>
      <c r="B446" s="92" t="s">
        <v>2</v>
      </c>
      <c r="C446" s="96">
        <f t="shared" si="72"/>
        <v>0</v>
      </c>
      <c r="D446" s="96">
        <f t="shared" si="73"/>
        <v>0</v>
      </c>
      <c r="E446" s="96">
        <f t="shared" si="76"/>
        <v>0</v>
      </c>
      <c r="F446" s="96">
        <f t="shared" si="74"/>
        <v>0</v>
      </c>
      <c r="G446" s="96">
        <f t="shared" si="75"/>
        <v>0</v>
      </c>
      <c r="H446" s="112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89"/>
      <c r="X446" s="49">
        <f t="shared" si="66"/>
        <v>0</v>
      </c>
      <c r="Y446" s="49">
        <f>[2]BASE!A444</f>
        <v>435</v>
      </c>
      <c r="Z446" s="69">
        <f t="shared" si="67"/>
        <v>0</v>
      </c>
      <c r="AA446" s="69">
        <f t="shared" si="68"/>
        <v>0</v>
      </c>
      <c r="AB446" s="69">
        <f t="shared" si="69"/>
        <v>0</v>
      </c>
      <c r="AC446" s="69">
        <f t="shared" si="70"/>
        <v>0</v>
      </c>
      <c r="AD446" s="69">
        <f t="shared" si="71"/>
        <v>0</v>
      </c>
    </row>
    <row r="447" spans="1:30" ht="17.25" customHeight="1">
      <c r="A447" s="95" t="str">
        <f>IF(BASE!B445="","",BASE!B445)</f>
        <v/>
      </c>
      <c r="B447" s="92" t="s">
        <v>2</v>
      </c>
      <c r="C447" s="96">
        <f t="shared" si="72"/>
        <v>0</v>
      </c>
      <c r="D447" s="96">
        <f t="shared" si="73"/>
        <v>0</v>
      </c>
      <c r="E447" s="96">
        <f t="shared" si="76"/>
        <v>0</v>
      </c>
      <c r="F447" s="96">
        <f t="shared" si="74"/>
        <v>0</v>
      </c>
      <c r="G447" s="96">
        <f t="shared" si="75"/>
        <v>0</v>
      </c>
      <c r="H447" s="112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89"/>
      <c r="X447" s="49">
        <f t="shared" si="66"/>
        <v>0</v>
      </c>
      <c r="Y447" s="49">
        <f>[2]BASE!A445</f>
        <v>436</v>
      </c>
      <c r="Z447" s="69">
        <f t="shared" si="67"/>
        <v>0</v>
      </c>
      <c r="AA447" s="69">
        <f t="shared" si="68"/>
        <v>0</v>
      </c>
      <c r="AB447" s="69">
        <f t="shared" si="69"/>
        <v>0</v>
      </c>
      <c r="AC447" s="69">
        <f t="shared" si="70"/>
        <v>0</v>
      </c>
      <c r="AD447" s="69">
        <f t="shared" si="71"/>
        <v>0</v>
      </c>
    </row>
    <row r="448" spans="1:30" ht="17.25" customHeight="1">
      <c r="A448" s="95" t="str">
        <f>IF(BASE!B446="","",BASE!B446)</f>
        <v/>
      </c>
      <c r="B448" s="92" t="s">
        <v>2</v>
      </c>
      <c r="C448" s="96">
        <f t="shared" si="72"/>
        <v>0</v>
      </c>
      <c r="D448" s="96">
        <f t="shared" si="73"/>
        <v>0</v>
      </c>
      <c r="E448" s="96">
        <f t="shared" si="76"/>
        <v>0</v>
      </c>
      <c r="F448" s="96">
        <f t="shared" si="74"/>
        <v>0</v>
      </c>
      <c r="G448" s="96">
        <f t="shared" si="75"/>
        <v>0</v>
      </c>
      <c r="H448" s="112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89"/>
      <c r="X448" s="49">
        <f t="shared" si="66"/>
        <v>0</v>
      </c>
      <c r="Y448" s="49">
        <f>[2]BASE!A446</f>
        <v>437</v>
      </c>
      <c r="Z448" s="69">
        <f t="shared" si="67"/>
        <v>0</v>
      </c>
      <c r="AA448" s="69">
        <f t="shared" si="68"/>
        <v>0</v>
      </c>
      <c r="AB448" s="69">
        <f t="shared" si="69"/>
        <v>0</v>
      </c>
      <c r="AC448" s="69">
        <f t="shared" si="70"/>
        <v>0</v>
      </c>
      <c r="AD448" s="69">
        <f t="shared" si="71"/>
        <v>0</v>
      </c>
    </row>
    <row r="449" spans="1:30" ht="17.25" customHeight="1">
      <c r="A449" s="95" t="str">
        <f>IF(BASE!B447="","",BASE!B447)</f>
        <v/>
      </c>
      <c r="B449" s="92" t="s">
        <v>2</v>
      </c>
      <c r="C449" s="96">
        <f t="shared" si="72"/>
        <v>0</v>
      </c>
      <c r="D449" s="96">
        <f t="shared" si="73"/>
        <v>0</v>
      </c>
      <c r="E449" s="96">
        <f t="shared" si="76"/>
        <v>0</v>
      </c>
      <c r="F449" s="96">
        <f t="shared" si="74"/>
        <v>0</v>
      </c>
      <c r="G449" s="96">
        <f t="shared" si="75"/>
        <v>0</v>
      </c>
      <c r="H449" s="112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89"/>
      <c r="X449" s="49">
        <f t="shared" si="66"/>
        <v>0</v>
      </c>
      <c r="Y449" s="49">
        <f>[2]BASE!A447</f>
        <v>438</v>
      </c>
      <c r="Z449" s="69">
        <f t="shared" si="67"/>
        <v>0</v>
      </c>
      <c r="AA449" s="69">
        <f t="shared" si="68"/>
        <v>0</v>
      </c>
      <c r="AB449" s="69">
        <f t="shared" si="69"/>
        <v>0</v>
      </c>
      <c r="AC449" s="69">
        <f t="shared" si="70"/>
        <v>0</v>
      </c>
      <c r="AD449" s="69">
        <f t="shared" si="71"/>
        <v>0</v>
      </c>
    </row>
    <row r="450" spans="1:30" ht="17.25" customHeight="1">
      <c r="A450" s="95" t="str">
        <f>IF(BASE!B448="","",BASE!B448)</f>
        <v/>
      </c>
      <c r="B450" s="92" t="s">
        <v>2</v>
      </c>
      <c r="C450" s="96">
        <f t="shared" si="72"/>
        <v>0</v>
      </c>
      <c r="D450" s="96">
        <f t="shared" si="73"/>
        <v>0</v>
      </c>
      <c r="E450" s="96">
        <f t="shared" si="76"/>
        <v>0</v>
      </c>
      <c r="F450" s="96">
        <f t="shared" si="74"/>
        <v>0</v>
      </c>
      <c r="G450" s="96">
        <f t="shared" si="75"/>
        <v>0</v>
      </c>
      <c r="H450" s="112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89"/>
      <c r="X450" s="49">
        <f t="shared" si="66"/>
        <v>0</v>
      </c>
      <c r="Y450" s="49">
        <f>[2]BASE!A448</f>
        <v>439</v>
      </c>
      <c r="Z450" s="69">
        <f t="shared" si="67"/>
        <v>0</v>
      </c>
      <c r="AA450" s="69">
        <f t="shared" si="68"/>
        <v>0</v>
      </c>
      <c r="AB450" s="69">
        <f t="shared" si="69"/>
        <v>0</v>
      </c>
      <c r="AC450" s="69">
        <f t="shared" si="70"/>
        <v>0</v>
      </c>
      <c r="AD450" s="69">
        <f t="shared" si="71"/>
        <v>0</v>
      </c>
    </row>
    <row r="451" spans="1:30" ht="17.25" customHeight="1">
      <c r="A451" s="95" t="str">
        <f>IF(BASE!B449="","",BASE!B449)</f>
        <v/>
      </c>
      <c r="B451" s="92" t="s">
        <v>2</v>
      </c>
      <c r="C451" s="96">
        <f t="shared" si="72"/>
        <v>0</v>
      </c>
      <c r="D451" s="96">
        <f t="shared" si="73"/>
        <v>0</v>
      </c>
      <c r="E451" s="96">
        <f t="shared" si="76"/>
        <v>0</v>
      </c>
      <c r="F451" s="96">
        <f t="shared" si="74"/>
        <v>0</v>
      </c>
      <c r="G451" s="96">
        <f t="shared" si="75"/>
        <v>0</v>
      </c>
      <c r="H451" s="112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89"/>
      <c r="X451" s="49">
        <f t="shared" si="66"/>
        <v>0</v>
      </c>
      <c r="Y451" s="49">
        <f>[2]BASE!A449</f>
        <v>440</v>
      </c>
      <c r="Z451" s="69">
        <f t="shared" si="67"/>
        <v>0</v>
      </c>
      <c r="AA451" s="69">
        <f t="shared" si="68"/>
        <v>0</v>
      </c>
      <c r="AB451" s="69">
        <f t="shared" si="69"/>
        <v>0</v>
      </c>
      <c r="AC451" s="69">
        <f t="shared" si="70"/>
        <v>0</v>
      </c>
      <c r="AD451" s="69">
        <f t="shared" si="71"/>
        <v>0</v>
      </c>
    </row>
    <row r="452" spans="1:30" ht="15.75" customHeight="1">
      <c r="A452" s="95" t="str">
        <f>IF(BASE!B450="","",BASE!B450)</f>
        <v/>
      </c>
      <c r="B452" s="92" t="s">
        <v>2</v>
      </c>
      <c r="C452" s="96">
        <f t="shared" si="72"/>
        <v>0</v>
      </c>
      <c r="D452" s="96">
        <f t="shared" si="73"/>
        <v>0</v>
      </c>
      <c r="E452" s="96">
        <f t="shared" si="76"/>
        <v>0</v>
      </c>
      <c r="F452" s="96">
        <f t="shared" si="74"/>
        <v>0</v>
      </c>
      <c r="G452" s="96">
        <f t="shared" si="75"/>
        <v>0</v>
      </c>
      <c r="H452" s="11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X452" s="49">
        <f t="shared" si="66"/>
        <v>0</v>
      </c>
      <c r="Y452" s="49">
        <f>[2]BASE!A450</f>
        <v>441</v>
      </c>
      <c r="Z452" s="69">
        <f t="shared" si="67"/>
        <v>0</v>
      </c>
      <c r="AA452" s="69">
        <f t="shared" si="68"/>
        <v>0</v>
      </c>
      <c r="AB452" s="69">
        <f t="shared" si="69"/>
        <v>0</v>
      </c>
      <c r="AC452" s="69">
        <f t="shared" si="70"/>
        <v>0</v>
      </c>
      <c r="AD452" s="69">
        <f t="shared" si="71"/>
        <v>0</v>
      </c>
    </row>
    <row r="453" spans="1:30" ht="15.75" customHeight="1">
      <c r="A453" s="95" t="str">
        <f>IF(BASE!B451="","",BASE!B451)</f>
        <v/>
      </c>
      <c r="B453" s="92" t="s">
        <v>2</v>
      </c>
      <c r="C453" s="96">
        <f t="shared" si="72"/>
        <v>0</v>
      </c>
      <c r="D453" s="96">
        <f t="shared" si="73"/>
        <v>0</v>
      </c>
      <c r="E453" s="96">
        <f t="shared" si="76"/>
        <v>0</v>
      </c>
      <c r="F453" s="96">
        <f t="shared" si="74"/>
        <v>0</v>
      </c>
      <c r="G453" s="96">
        <f t="shared" si="75"/>
        <v>0</v>
      </c>
      <c r="H453" s="11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X453" s="49">
        <f t="shared" si="66"/>
        <v>0</v>
      </c>
      <c r="Y453" s="49">
        <f>[2]BASE!A451</f>
        <v>442</v>
      </c>
      <c r="Z453" s="69">
        <f t="shared" si="67"/>
        <v>0</v>
      </c>
      <c r="AA453" s="69">
        <f t="shared" si="68"/>
        <v>0</v>
      </c>
      <c r="AB453" s="69">
        <f t="shared" si="69"/>
        <v>0</v>
      </c>
      <c r="AC453" s="69">
        <f t="shared" si="70"/>
        <v>0</v>
      </c>
      <c r="AD453" s="69">
        <f t="shared" si="71"/>
        <v>0</v>
      </c>
    </row>
    <row r="454" spans="1:30" ht="15.75" customHeight="1">
      <c r="A454" s="95" t="str">
        <f>IF(BASE!B452="","",BASE!B452)</f>
        <v/>
      </c>
      <c r="B454" s="92" t="s">
        <v>2</v>
      </c>
      <c r="C454" s="96">
        <f t="shared" si="72"/>
        <v>0</v>
      </c>
      <c r="D454" s="96">
        <f t="shared" si="73"/>
        <v>0</v>
      </c>
      <c r="E454" s="96">
        <f t="shared" si="76"/>
        <v>0</v>
      </c>
      <c r="F454" s="96">
        <f t="shared" si="74"/>
        <v>0</v>
      </c>
      <c r="G454" s="96">
        <f t="shared" si="75"/>
        <v>0</v>
      </c>
      <c r="H454" s="11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X454" s="49">
        <f t="shared" si="66"/>
        <v>0</v>
      </c>
      <c r="Y454" s="49">
        <f>[2]BASE!A452</f>
        <v>443</v>
      </c>
      <c r="Z454" s="69">
        <f t="shared" si="67"/>
        <v>0</v>
      </c>
      <c r="AA454" s="69">
        <f t="shared" si="68"/>
        <v>0</v>
      </c>
      <c r="AB454" s="69">
        <f t="shared" si="69"/>
        <v>0</v>
      </c>
      <c r="AC454" s="69">
        <f t="shared" si="70"/>
        <v>0</v>
      </c>
      <c r="AD454" s="69">
        <f t="shared" si="71"/>
        <v>0</v>
      </c>
    </row>
    <row r="455" spans="1:30" ht="15.75" customHeight="1">
      <c r="A455" s="95" t="str">
        <f>IF(BASE!B453="","",BASE!B453)</f>
        <v/>
      </c>
      <c r="B455" s="92" t="s">
        <v>2</v>
      </c>
      <c r="C455" s="96">
        <f t="shared" si="72"/>
        <v>0</v>
      </c>
      <c r="D455" s="96">
        <f t="shared" si="73"/>
        <v>0</v>
      </c>
      <c r="E455" s="96">
        <f t="shared" si="76"/>
        <v>0</v>
      </c>
      <c r="F455" s="96">
        <f t="shared" si="74"/>
        <v>0</v>
      </c>
      <c r="G455" s="96">
        <f t="shared" si="75"/>
        <v>0</v>
      </c>
      <c r="H455" s="11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X455" s="49">
        <f t="shared" si="66"/>
        <v>0</v>
      </c>
      <c r="Y455" s="49">
        <f>[2]BASE!A453</f>
        <v>444</v>
      </c>
      <c r="Z455" s="69">
        <f t="shared" si="67"/>
        <v>0</v>
      </c>
      <c r="AA455" s="69">
        <f t="shared" si="68"/>
        <v>0</v>
      </c>
      <c r="AB455" s="69">
        <f t="shared" si="69"/>
        <v>0</v>
      </c>
      <c r="AC455" s="69">
        <f t="shared" si="70"/>
        <v>0</v>
      </c>
      <c r="AD455" s="69">
        <f t="shared" si="71"/>
        <v>0</v>
      </c>
    </row>
    <row r="456" spans="1:30" ht="15.75" customHeight="1">
      <c r="A456" s="95" t="str">
        <f>IF(BASE!B454="","",BASE!B454)</f>
        <v/>
      </c>
      <c r="B456" s="92" t="s">
        <v>2</v>
      </c>
      <c r="C456" s="96">
        <f t="shared" si="72"/>
        <v>0</v>
      </c>
      <c r="D456" s="96">
        <f t="shared" si="73"/>
        <v>0</v>
      </c>
      <c r="E456" s="96">
        <f t="shared" si="76"/>
        <v>0</v>
      </c>
      <c r="F456" s="96">
        <f t="shared" si="74"/>
        <v>0</v>
      </c>
      <c r="G456" s="96">
        <f t="shared" si="75"/>
        <v>0</v>
      </c>
      <c r="H456" s="11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X456" s="49">
        <f t="shared" si="66"/>
        <v>0</v>
      </c>
      <c r="Y456" s="49">
        <f>[2]BASE!A454</f>
        <v>445</v>
      </c>
      <c r="Z456" s="69">
        <f t="shared" si="67"/>
        <v>0</v>
      </c>
      <c r="AA456" s="69">
        <f t="shared" si="68"/>
        <v>0</v>
      </c>
      <c r="AB456" s="69">
        <f t="shared" si="69"/>
        <v>0</v>
      </c>
      <c r="AC456" s="69">
        <f t="shared" si="70"/>
        <v>0</v>
      </c>
      <c r="AD456" s="69">
        <f t="shared" si="71"/>
        <v>0</v>
      </c>
    </row>
    <row r="457" spans="1:30" ht="15.75" customHeight="1">
      <c r="A457" s="95" t="str">
        <f>IF(BASE!B455="","",BASE!B455)</f>
        <v/>
      </c>
      <c r="B457" s="92" t="s">
        <v>2</v>
      </c>
      <c r="C457" s="96">
        <f t="shared" si="72"/>
        <v>0</v>
      </c>
      <c r="D457" s="96">
        <f t="shared" si="73"/>
        <v>0</v>
      </c>
      <c r="E457" s="96">
        <f t="shared" si="76"/>
        <v>0</v>
      </c>
      <c r="F457" s="96">
        <f t="shared" si="74"/>
        <v>0</v>
      </c>
      <c r="G457" s="96">
        <f t="shared" si="75"/>
        <v>0</v>
      </c>
      <c r="H457" s="11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X457" s="49">
        <f t="shared" si="66"/>
        <v>0</v>
      </c>
      <c r="Y457" s="49">
        <f>[2]BASE!A455</f>
        <v>446</v>
      </c>
      <c r="Z457" s="69">
        <f t="shared" si="67"/>
        <v>0</v>
      </c>
      <c r="AA457" s="69">
        <f t="shared" si="68"/>
        <v>0</v>
      </c>
      <c r="AB457" s="69">
        <f t="shared" si="69"/>
        <v>0</v>
      </c>
      <c r="AC457" s="69">
        <f t="shared" si="70"/>
        <v>0</v>
      </c>
      <c r="AD457" s="69">
        <f t="shared" si="71"/>
        <v>0</v>
      </c>
    </row>
    <row r="458" spans="1:30" ht="15.75" customHeight="1">
      <c r="A458" s="95" t="str">
        <f>IF(BASE!B456="","",BASE!B456)</f>
        <v/>
      </c>
      <c r="B458" s="92" t="s">
        <v>2</v>
      </c>
      <c r="C458" s="96">
        <f t="shared" si="72"/>
        <v>0</v>
      </c>
      <c r="D458" s="96">
        <f t="shared" si="73"/>
        <v>0</v>
      </c>
      <c r="E458" s="96">
        <f t="shared" si="76"/>
        <v>0</v>
      </c>
      <c r="F458" s="96">
        <f t="shared" si="74"/>
        <v>0</v>
      </c>
      <c r="G458" s="96">
        <f t="shared" si="75"/>
        <v>0</v>
      </c>
      <c r="H458" s="11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X458" s="49">
        <f t="shared" si="66"/>
        <v>0</v>
      </c>
      <c r="Y458" s="49">
        <f>[2]BASE!A456</f>
        <v>447</v>
      </c>
      <c r="Z458" s="69">
        <f t="shared" si="67"/>
        <v>0</v>
      </c>
      <c r="AA458" s="69">
        <f t="shared" si="68"/>
        <v>0</v>
      </c>
      <c r="AB458" s="69">
        <f t="shared" si="69"/>
        <v>0</v>
      </c>
      <c r="AC458" s="69">
        <f t="shared" si="70"/>
        <v>0</v>
      </c>
      <c r="AD458" s="69">
        <f t="shared" si="71"/>
        <v>0</v>
      </c>
    </row>
    <row r="459" spans="1:30" ht="15.75" customHeight="1">
      <c r="A459" s="95" t="str">
        <f>IF(BASE!B457="","",BASE!B457)</f>
        <v/>
      </c>
      <c r="B459" s="92" t="s">
        <v>2</v>
      </c>
      <c r="C459" s="96">
        <f t="shared" si="72"/>
        <v>0</v>
      </c>
      <c r="D459" s="96">
        <f t="shared" si="73"/>
        <v>0</v>
      </c>
      <c r="E459" s="96">
        <f t="shared" si="76"/>
        <v>0</v>
      </c>
      <c r="F459" s="96">
        <f t="shared" si="74"/>
        <v>0</v>
      </c>
      <c r="G459" s="96">
        <f t="shared" si="75"/>
        <v>0</v>
      </c>
      <c r="H459" s="11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X459" s="49">
        <f t="shared" si="66"/>
        <v>0</v>
      </c>
      <c r="Y459" s="49">
        <f>[2]BASE!A457</f>
        <v>448</v>
      </c>
      <c r="Z459" s="69">
        <f t="shared" si="67"/>
        <v>0</v>
      </c>
      <c r="AA459" s="69">
        <f t="shared" si="68"/>
        <v>0</v>
      </c>
      <c r="AB459" s="69">
        <f t="shared" si="69"/>
        <v>0</v>
      </c>
      <c r="AC459" s="69">
        <f t="shared" si="70"/>
        <v>0</v>
      </c>
      <c r="AD459" s="69">
        <f t="shared" si="71"/>
        <v>0</v>
      </c>
    </row>
    <row r="460" spans="1:30" ht="15.75" customHeight="1">
      <c r="A460" s="95" t="str">
        <f>IF(BASE!B458="","",BASE!B458)</f>
        <v/>
      </c>
      <c r="B460" s="92" t="s">
        <v>2</v>
      </c>
      <c r="C460" s="96">
        <f t="shared" si="72"/>
        <v>0</v>
      </c>
      <c r="D460" s="96">
        <f t="shared" si="73"/>
        <v>0</v>
      </c>
      <c r="E460" s="96">
        <f t="shared" si="76"/>
        <v>0</v>
      </c>
      <c r="F460" s="96">
        <f t="shared" si="74"/>
        <v>0</v>
      </c>
      <c r="G460" s="96">
        <f t="shared" si="75"/>
        <v>0</v>
      </c>
      <c r="H460" s="11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X460" s="49">
        <f t="shared" si="66"/>
        <v>0</v>
      </c>
      <c r="Y460" s="49">
        <f>[2]BASE!A458</f>
        <v>449</v>
      </c>
      <c r="Z460" s="69">
        <f t="shared" si="67"/>
        <v>0</v>
      </c>
      <c r="AA460" s="69">
        <f t="shared" si="68"/>
        <v>0</v>
      </c>
      <c r="AB460" s="69">
        <f t="shared" si="69"/>
        <v>0</v>
      </c>
      <c r="AC460" s="69">
        <f t="shared" si="70"/>
        <v>0</v>
      </c>
      <c r="AD460" s="69">
        <f t="shared" si="71"/>
        <v>0</v>
      </c>
    </row>
    <row r="461" spans="1:30" ht="15.75" customHeight="1">
      <c r="A461" s="95" t="str">
        <f>IF(BASE!B459="","",BASE!B459)</f>
        <v/>
      </c>
      <c r="B461" s="92" t="s">
        <v>2</v>
      </c>
      <c r="C461" s="96">
        <f t="shared" ref="C461" si="77">(H461/5)</f>
        <v>0</v>
      </c>
      <c r="D461" s="96">
        <f t="shared" ref="D461" si="78">(H461/5)</f>
        <v>0</v>
      </c>
      <c r="E461" s="96">
        <f t="shared" si="76"/>
        <v>0</v>
      </c>
      <c r="F461" s="96">
        <f t="shared" ref="F461" si="79">(H461/5)</f>
        <v>0</v>
      </c>
      <c r="G461" s="96">
        <f t="shared" ref="G461" si="80">(H461/5)</f>
        <v>0</v>
      </c>
      <c r="H461" s="11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X461" s="49">
        <f t="shared" si="66"/>
        <v>0</v>
      </c>
      <c r="Y461" s="49">
        <f>[2]BASE!A459</f>
        <v>450</v>
      </c>
      <c r="Z461" s="69">
        <f t="shared" si="67"/>
        <v>0</v>
      </c>
      <c r="AA461" s="69">
        <f t="shared" si="68"/>
        <v>0</v>
      </c>
      <c r="AB461" s="69">
        <f t="shared" si="69"/>
        <v>0</v>
      </c>
      <c r="AC461" s="69">
        <f t="shared" si="70"/>
        <v>0</v>
      </c>
      <c r="AD461" s="69">
        <f t="shared" si="71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/>
  <mergeCells count="36">
    <mergeCell ref="Y9:Y11"/>
    <mergeCell ref="Z11:AD11"/>
    <mergeCell ref="Y6:Z6"/>
    <mergeCell ref="AA6:AB6"/>
    <mergeCell ref="C7:F7"/>
    <mergeCell ref="G7:J7"/>
    <mergeCell ref="L7:N7"/>
    <mergeCell ref="O7:Q7"/>
    <mergeCell ref="S7:X7"/>
    <mergeCell ref="Y7:Z7"/>
    <mergeCell ref="AA7:AD7"/>
    <mergeCell ref="Y4:Z4"/>
    <mergeCell ref="AA4:AD4"/>
    <mergeCell ref="G5:X5"/>
    <mergeCell ref="Y5:Z5"/>
    <mergeCell ref="AA5:AD5"/>
    <mergeCell ref="Y1:AD1"/>
    <mergeCell ref="A2:X2"/>
    <mergeCell ref="Y2:AD2"/>
    <mergeCell ref="A3:X3"/>
    <mergeCell ref="Y3:AD3"/>
    <mergeCell ref="A9:A11"/>
    <mergeCell ref="A1:X1"/>
    <mergeCell ref="C4:G4"/>
    <mergeCell ref="H4:M4"/>
    <mergeCell ref="N4:R4"/>
    <mergeCell ref="S4:X4"/>
    <mergeCell ref="G6:H6"/>
    <mergeCell ref="I6:J6"/>
    <mergeCell ref="K6:M6"/>
    <mergeCell ref="O6:R6"/>
    <mergeCell ref="S6:X6"/>
    <mergeCell ref="C9:G9"/>
    <mergeCell ref="X9:X11"/>
    <mergeCell ref="C5:F5"/>
    <mergeCell ref="C6:F6"/>
  </mergeCells>
  <conditionalFormatting sqref="B16:B22 B24:B27 D135:E235 B234:B245 B250:B310">
    <cfRule type="cellIs" dxfId="8" priority="7" operator="equal">
      <formula>"AB"</formula>
    </cfRule>
    <cfRule type="cellIs" dxfId="7" priority="8" operator="equal">
      <formula>"WH"</formula>
    </cfRule>
    <cfRule type="cellIs" dxfId="6" priority="9" operator="equal">
      <formula>"RA"</formula>
    </cfRule>
  </conditionalFormatting>
  <conditionalFormatting sqref="B79:B192 B194:B197 B199:B215 B217:B219">
    <cfRule type="cellIs" dxfId="5" priority="4" operator="equal">
      <formula>"AB"</formula>
    </cfRule>
    <cfRule type="cellIs" dxfId="4" priority="5" operator="equal">
      <formula>"WH"</formula>
    </cfRule>
    <cfRule type="cellIs" dxfId="3" priority="6" operator="equal">
      <formula>"RA"</formula>
    </cfRule>
  </conditionalFormatting>
  <conditionalFormatting sqref="B221:B231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3">
    <dataValidation type="decimal" allowBlank="1" showInputMessage="1" showErrorMessage="1" sqref="H12:H461">
      <formula1>0</formula1>
      <formula2>100</formula2>
    </dataValidation>
    <dataValidation type="decimal" allowBlank="1" showInputMessage="1" showErrorMessage="1" sqref="M12:V461">
      <formula1>0</formula1>
      <formula2>16</formula2>
    </dataValidation>
    <dataValidation type="decimal" allowBlank="1" showErrorMessage="1" sqref="I12:L461">
      <formula1>0</formula1>
      <formula2>2</formula2>
    </dataValidation>
  </dataValidations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W1209"/>
  <sheetViews>
    <sheetView topLeftCell="A457" zoomScale="85" zoomScaleNormal="85" workbookViewId="0">
      <selection activeCell="G464" sqref="G464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64" t="str">
        <f>BASE!A1</f>
        <v>KONGU ENGINEERING COLLEGE, ERODE - 638 060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23" ht="24" customHeight="1">
      <c r="A2" s="264" t="str">
        <f>BASE!A2</f>
        <v>DEPARTMENT OF ______________________________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24" customHeight="1">
      <c r="A3" s="264" t="str">
        <f>BASE!A3</f>
        <v>PROJECT WORK  COURSE OUTCOME ANALYSIS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 ht="38.25" customHeight="1">
      <c r="A4" s="82" t="str">
        <f>[2]BASE!A5</f>
        <v>Name of Faculty(s)</v>
      </c>
      <c r="B4" s="64" t="s">
        <v>2</v>
      </c>
      <c r="C4" s="219">
        <f>BASE!D5</f>
        <v>1</v>
      </c>
      <c r="D4" s="211"/>
      <c r="E4" s="208">
        <f>BASE!G5</f>
        <v>1</v>
      </c>
      <c r="F4" s="201"/>
      <c r="G4" s="203"/>
      <c r="H4" s="208">
        <f>BASE!J5</f>
        <v>1</v>
      </c>
      <c r="I4" s="201"/>
      <c r="J4" s="203"/>
      <c r="K4" s="265">
        <f>BASE!M5</f>
        <v>1</v>
      </c>
      <c r="L4" s="201"/>
      <c r="M4" s="203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ht="38.25" customHeight="1">
      <c r="A5" s="82" t="str">
        <f>[2]BASE!A6</f>
        <v>Course Code and Name</v>
      </c>
      <c r="B5" s="64" t="s">
        <v>2</v>
      </c>
      <c r="C5" s="263" t="str">
        <f>BASE!D6</f>
        <v>22CDCXX</v>
      </c>
      <c r="D5" s="210"/>
      <c r="E5" s="219" t="str">
        <f>BASE!G6</f>
        <v>XXXXXXXX XXXXX XXXXXXXX</v>
      </c>
      <c r="F5" s="210"/>
      <c r="G5" s="210"/>
      <c r="H5" s="210"/>
      <c r="I5" s="210"/>
      <c r="J5" s="210"/>
      <c r="K5" s="210"/>
      <c r="L5" s="210"/>
      <c r="M5" s="211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spans="1:23" ht="38.25" customHeight="1">
      <c r="A6" s="82" t="str">
        <f>[2]BASE!A7</f>
        <v>Branch / Year / Semester</v>
      </c>
      <c r="B6" s="64" t="s">
        <v>2</v>
      </c>
      <c r="C6" s="263" t="str">
        <f>BASE!D7</f>
        <v>CSD</v>
      </c>
      <c r="D6" s="210"/>
      <c r="E6" s="211"/>
      <c r="F6" s="102">
        <f>BASE!H7</f>
        <v>1</v>
      </c>
      <c r="G6" s="102" t="str">
        <f>BASE!L7</f>
        <v>IV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1:23" ht="39" customHeight="1">
      <c r="A7" s="82" t="s">
        <v>4</v>
      </c>
      <c r="B7" s="64">
        <f>BASE!I16</f>
        <v>70</v>
      </c>
      <c r="C7" s="219" t="s">
        <v>105</v>
      </c>
      <c r="D7" s="210"/>
      <c r="E7" s="210"/>
      <c r="F7" s="210"/>
      <c r="G7" s="62">
        <f>BASE!N16</f>
        <v>4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3" ht="17.25" customHeight="1">
      <c r="A8" s="103"/>
      <c r="B8" s="58"/>
      <c r="C8" s="62" t="s">
        <v>106</v>
      </c>
      <c r="D8" s="62" t="s">
        <v>107</v>
      </c>
      <c r="E8" s="62" t="s">
        <v>108</v>
      </c>
      <c r="F8" s="62" t="s">
        <v>109</v>
      </c>
      <c r="G8" s="62" t="s">
        <v>110</v>
      </c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1:23" ht="54">
      <c r="A9" s="104" t="s">
        <v>111</v>
      </c>
      <c r="B9" s="58"/>
      <c r="C9" s="62">
        <f>[2]ESE!Z10</f>
        <v>20</v>
      </c>
      <c r="D9" s="62">
        <f>[2]ESE!AA10</f>
        <v>20</v>
      </c>
      <c r="E9" s="62">
        <f>[2]ESE!AB10</f>
        <v>20</v>
      </c>
      <c r="F9" s="62">
        <f>[2]ESE!AC10</f>
        <v>20</v>
      </c>
      <c r="G9" s="62">
        <f>[2]ESE!AD10</f>
        <v>20</v>
      </c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spans="1:23" ht="38.25" customHeight="1">
      <c r="A10" s="104" t="s">
        <v>3</v>
      </c>
      <c r="B10" s="105"/>
      <c r="C10" s="209"/>
      <c r="D10" s="210"/>
      <c r="E10" s="210"/>
      <c r="F10" s="210"/>
      <c r="G10" s="211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spans="1:23" ht="16.5" customHeight="1">
      <c r="A11" s="106" t="str">
        <f>BASE!B10</f>
        <v>20MER074</v>
      </c>
      <c r="B11" s="80" t="s">
        <v>2</v>
      </c>
      <c r="C11" s="62">
        <f>'Review I &amp; II'!T12+ESE!Z12</f>
        <v>0</v>
      </c>
      <c r="D11" s="62">
        <f>'Review I &amp; II'!U12+ESE!AA12</f>
        <v>0</v>
      </c>
      <c r="E11" s="62">
        <f>'Review I &amp; II'!V12+ESE!AB12</f>
        <v>0</v>
      </c>
      <c r="F11" s="62">
        <f>'Review I &amp; II'!W12+ESE!AC12</f>
        <v>0</v>
      </c>
      <c r="G11" s="62">
        <f>'Review I &amp; II'!X12+ESE!AD12</f>
        <v>0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spans="1:23" ht="16.5" customHeight="1">
      <c r="A12" s="106" t="str">
        <f>BASE!B11</f>
        <v>21MEL115</v>
      </c>
      <c r="B12" s="80" t="s">
        <v>2</v>
      </c>
      <c r="C12" s="62">
        <f>'Review I &amp; II'!T13+ESE!Z13</f>
        <v>0</v>
      </c>
      <c r="D12" s="62">
        <f>'Review I &amp; II'!U13+ESE!AA13</f>
        <v>0</v>
      </c>
      <c r="E12" s="62">
        <f>'Review I &amp; II'!V13+ESE!AB13</f>
        <v>0</v>
      </c>
      <c r="F12" s="62">
        <f>'Review I &amp; II'!W13+ESE!AC13</f>
        <v>0</v>
      </c>
      <c r="G12" s="62">
        <f>'Review I &amp; II'!X13+ESE!AD13</f>
        <v>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16.5" customHeight="1">
      <c r="A13" s="106" t="str">
        <f>BASE!B12</f>
        <v>21MEL116</v>
      </c>
      <c r="B13" s="80" t="s">
        <v>2</v>
      </c>
      <c r="C13" s="62">
        <f>'Review I &amp; II'!T14+ESE!Z14</f>
        <v>0</v>
      </c>
      <c r="D13" s="62">
        <f>'Review I &amp; II'!U14+ESE!AA14</f>
        <v>0</v>
      </c>
      <c r="E13" s="62">
        <f>'Review I &amp; II'!V14+ESE!AB14</f>
        <v>0</v>
      </c>
      <c r="F13" s="62">
        <f>'Review I &amp; II'!W14+ESE!AC14</f>
        <v>0</v>
      </c>
      <c r="G13" s="62">
        <f>'Review I &amp; II'!X14+ESE!AD14</f>
        <v>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spans="1:23" ht="16.5" customHeight="1">
      <c r="A14" s="106" t="str">
        <f>BASE!B13</f>
        <v>21MEL117</v>
      </c>
      <c r="B14" s="80" t="s">
        <v>2</v>
      </c>
      <c r="C14" s="62">
        <f>'Review I &amp; II'!T15+ESE!Z15</f>
        <v>0</v>
      </c>
      <c r="D14" s="62">
        <f>'Review I &amp; II'!U15+ESE!AA15</f>
        <v>0</v>
      </c>
      <c r="E14" s="62">
        <f>'Review I &amp; II'!V15+ESE!AB15</f>
        <v>0</v>
      </c>
      <c r="F14" s="62">
        <f>'Review I &amp; II'!W15+ESE!AC15</f>
        <v>0</v>
      </c>
      <c r="G14" s="62">
        <f>'Review I &amp; II'!X15+ESE!AD15</f>
        <v>0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16.5" customHeight="1">
      <c r="A15" s="106" t="str">
        <f>BASE!B14</f>
        <v>21MEL118</v>
      </c>
      <c r="B15" s="80" t="s">
        <v>2</v>
      </c>
      <c r="C15" s="62">
        <f>'Review I &amp; II'!T16+ESE!Z16</f>
        <v>0</v>
      </c>
      <c r="D15" s="62">
        <f>'Review I &amp; II'!U16+ESE!AA16</f>
        <v>0</v>
      </c>
      <c r="E15" s="62">
        <f>'Review I &amp; II'!V16+ESE!AB16</f>
        <v>0</v>
      </c>
      <c r="F15" s="62">
        <f>'Review I &amp; II'!W16+ESE!AC16</f>
        <v>0</v>
      </c>
      <c r="G15" s="62">
        <f>'Review I &amp; II'!X16+ESE!AD16</f>
        <v>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spans="1:23" ht="16.5" customHeight="1">
      <c r="A16" s="106" t="str">
        <f>BASE!B15</f>
        <v>21MEL119</v>
      </c>
      <c r="B16" s="80" t="s">
        <v>2</v>
      </c>
      <c r="C16" s="62">
        <f>'Review I &amp; II'!T17+ESE!Z17</f>
        <v>0</v>
      </c>
      <c r="D16" s="62">
        <f>'Review I &amp; II'!U17+ESE!AA17</f>
        <v>0</v>
      </c>
      <c r="E16" s="62">
        <f>'Review I &amp; II'!V17+ESE!AB17</f>
        <v>0</v>
      </c>
      <c r="F16" s="62">
        <f>'Review I &amp; II'!W17+ESE!AC17</f>
        <v>0</v>
      </c>
      <c r="G16" s="62">
        <f>'Review I &amp; II'!X17+ESE!AD17</f>
        <v>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3" ht="16.5" customHeight="1">
      <c r="A17" s="106" t="str">
        <f>BASE!B16</f>
        <v>21MEL120</v>
      </c>
      <c r="B17" s="80" t="s">
        <v>2</v>
      </c>
      <c r="C17" s="62">
        <f>'Review I &amp; II'!T18+ESE!Z18</f>
        <v>0</v>
      </c>
      <c r="D17" s="62">
        <f>'Review I &amp; II'!U18+ESE!AA18</f>
        <v>0</v>
      </c>
      <c r="E17" s="62">
        <f>'Review I &amp; II'!V18+ESE!AB18</f>
        <v>0</v>
      </c>
      <c r="F17" s="62">
        <f>'Review I &amp; II'!W18+ESE!AC18</f>
        <v>0</v>
      </c>
      <c r="G17" s="62">
        <f>'Review I &amp; II'!X18+ESE!AD18</f>
        <v>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spans="1:23" ht="16.5" customHeight="1">
      <c r="A18" s="106" t="str">
        <f>BASE!B17</f>
        <v>21MEL121</v>
      </c>
      <c r="B18" s="80" t="s">
        <v>2</v>
      </c>
      <c r="C18" s="62">
        <f>'Review I &amp; II'!T19+ESE!Z19</f>
        <v>0</v>
      </c>
      <c r="D18" s="62">
        <f>'Review I &amp; II'!U19+ESE!AA19</f>
        <v>0</v>
      </c>
      <c r="E18" s="62">
        <f>'Review I &amp; II'!V19+ESE!AB19</f>
        <v>0</v>
      </c>
      <c r="F18" s="62">
        <f>'Review I &amp; II'!W19+ESE!AC19</f>
        <v>0</v>
      </c>
      <c r="G18" s="62">
        <f>'Review I &amp; II'!X19+ESE!AD19</f>
        <v>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</row>
    <row r="19" spans="1:23" ht="16.5" customHeight="1">
      <c r="A19" s="106" t="str">
        <f>BASE!B18</f>
        <v>21MEL122</v>
      </c>
      <c r="B19" s="80" t="s">
        <v>2</v>
      </c>
      <c r="C19" s="62">
        <f>'Review I &amp; II'!T20+ESE!Z20</f>
        <v>0</v>
      </c>
      <c r="D19" s="62">
        <f>'Review I &amp; II'!U20+ESE!AA20</f>
        <v>0</v>
      </c>
      <c r="E19" s="62">
        <f>'Review I &amp; II'!V20+ESE!AB20</f>
        <v>0</v>
      </c>
      <c r="F19" s="62">
        <f>'Review I &amp; II'!W20+ESE!AC20</f>
        <v>0</v>
      </c>
      <c r="G19" s="62">
        <f>'Review I &amp; II'!X20+ESE!AD20</f>
        <v>0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</row>
    <row r="20" spans="1:23" ht="16.5" customHeight="1">
      <c r="A20" s="106" t="str">
        <f>BASE!B19</f>
        <v>21MEL123</v>
      </c>
      <c r="B20" s="80" t="s">
        <v>2</v>
      </c>
      <c r="C20" s="62">
        <f>'Review I &amp; II'!T21+ESE!Z21</f>
        <v>0</v>
      </c>
      <c r="D20" s="62">
        <f>'Review I &amp; II'!U21+ESE!AA21</f>
        <v>0</v>
      </c>
      <c r="E20" s="62">
        <f>'Review I &amp; II'!V21+ESE!AB21</f>
        <v>0</v>
      </c>
      <c r="F20" s="62">
        <f>'Review I &amp; II'!W21+ESE!AC21</f>
        <v>0</v>
      </c>
      <c r="G20" s="62">
        <f>'Review I &amp; II'!X21+ESE!AD21</f>
        <v>0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</row>
    <row r="21" spans="1:23" ht="16.5" customHeight="1">
      <c r="A21" s="106" t="str">
        <f>BASE!B20</f>
        <v>21MEL124</v>
      </c>
      <c r="B21" s="80" t="s">
        <v>2</v>
      </c>
      <c r="C21" s="62">
        <f>'Review I &amp; II'!T22+ESE!Z22</f>
        <v>0</v>
      </c>
      <c r="D21" s="62">
        <f>'Review I &amp; II'!U22+ESE!AA22</f>
        <v>0</v>
      </c>
      <c r="E21" s="62">
        <f>'Review I &amp; II'!V22+ESE!AB22</f>
        <v>0</v>
      </c>
      <c r="F21" s="62">
        <f>'Review I &amp; II'!W22+ESE!AC22</f>
        <v>0</v>
      </c>
      <c r="G21" s="62">
        <f>'Review I &amp; II'!X22+ESE!AD22</f>
        <v>0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</row>
    <row r="22" spans="1:23" ht="16.5" customHeight="1">
      <c r="A22" s="106" t="str">
        <f>BASE!B21</f>
        <v>21MEL125</v>
      </c>
      <c r="B22" s="80" t="s">
        <v>2</v>
      </c>
      <c r="C22" s="62">
        <f>'Review I &amp; II'!T23+ESE!Z23</f>
        <v>0</v>
      </c>
      <c r="D22" s="62">
        <f>'Review I &amp; II'!U23+ESE!AA23</f>
        <v>0</v>
      </c>
      <c r="E22" s="62">
        <f>'Review I &amp; II'!V23+ESE!AB23</f>
        <v>0</v>
      </c>
      <c r="F22" s="62">
        <f>'Review I &amp; II'!W23+ESE!AC23</f>
        <v>0</v>
      </c>
      <c r="G22" s="62">
        <f>'Review I &amp; II'!X23+ESE!AD23</f>
        <v>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</row>
    <row r="23" spans="1:23" ht="16.5" customHeight="1">
      <c r="A23" s="106" t="str">
        <f>BASE!B22</f>
        <v>21MEL126</v>
      </c>
      <c r="B23" s="80" t="s">
        <v>2</v>
      </c>
      <c r="C23" s="62">
        <f>'Review I &amp; II'!T24+ESE!Z24</f>
        <v>0</v>
      </c>
      <c r="D23" s="62">
        <f>'Review I &amp; II'!U24+ESE!AA24</f>
        <v>0</v>
      </c>
      <c r="E23" s="62">
        <f>'Review I &amp; II'!V24+ESE!AB24</f>
        <v>0</v>
      </c>
      <c r="F23" s="62">
        <f>'Review I &amp; II'!W24+ESE!AC24</f>
        <v>0</v>
      </c>
      <c r="G23" s="62">
        <f>'Review I &amp; II'!X24+ESE!AD24</f>
        <v>0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</row>
    <row r="24" spans="1:23" ht="16.5" customHeight="1">
      <c r="A24" s="106" t="str">
        <f>BASE!B23</f>
        <v>21MEL127</v>
      </c>
      <c r="B24" s="80" t="s">
        <v>2</v>
      </c>
      <c r="C24" s="62">
        <f>'Review I &amp; II'!T25+ESE!Z25</f>
        <v>0</v>
      </c>
      <c r="D24" s="62">
        <f>'Review I &amp; II'!U25+ESE!AA25</f>
        <v>0</v>
      </c>
      <c r="E24" s="62">
        <f>'Review I &amp; II'!V25+ESE!AB25</f>
        <v>0</v>
      </c>
      <c r="F24" s="62">
        <f>'Review I &amp; II'!W25+ESE!AC25</f>
        <v>0</v>
      </c>
      <c r="G24" s="62">
        <f>'Review I &amp; II'!X25+ESE!AD25</f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</row>
    <row r="25" spans="1:23" ht="16.5" customHeight="1">
      <c r="A25" s="106" t="str">
        <f>BASE!B24</f>
        <v>21MEL128</v>
      </c>
      <c r="B25" s="80" t="s">
        <v>2</v>
      </c>
      <c r="C25" s="62">
        <f>'Review I &amp; II'!T26+ESE!Z26</f>
        <v>0</v>
      </c>
      <c r="D25" s="62">
        <f>'Review I &amp; II'!U26+ESE!AA26</f>
        <v>0</v>
      </c>
      <c r="E25" s="62">
        <f>'Review I &amp; II'!V26+ESE!AB26</f>
        <v>0</v>
      </c>
      <c r="F25" s="62">
        <f>'Review I &amp; II'!W26+ESE!AC26</f>
        <v>0</v>
      </c>
      <c r="G25" s="62">
        <f>'Review I &amp; II'!X26+ESE!AD26</f>
        <v>0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</row>
    <row r="26" spans="1:23" ht="16.5" customHeight="1">
      <c r="A26" s="106" t="str">
        <f>BASE!B25</f>
        <v>21MEL129</v>
      </c>
      <c r="B26" s="80" t="s">
        <v>2</v>
      </c>
      <c r="C26" s="62">
        <f>'Review I &amp; II'!T27+ESE!Z27</f>
        <v>0</v>
      </c>
      <c r="D26" s="62">
        <f>'Review I &amp; II'!U27+ESE!AA27</f>
        <v>0</v>
      </c>
      <c r="E26" s="62">
        <f>'Review I &amp; II'!V27+ESE!AB27</f>
        <v>0</v>
      </c>
      <c r="F26" s="62">
        <f>'Review I &amp; II'!W27+ESE!AC27</f>
        <v>0</v>
      </c>
      <c r="G26" s="62">
        <f>'Review I &amp; II'!X27+ESE!AD27</f>
        <v>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</row>
    <row r="27" spans="1:23" ht="16.5" customHeight="1">
      <c r="A27" s="106" t="str">
        <f>BASE!B26</f>
        <v>21MEL130</v>
      </c>
      <c r="B27" s="80" t="s">
        <v>2</v>
      </c>
      <c r="C27" s="62">
        <f>'Review I &amp; II'!T28+ESE!Z28</f>
        <v>0</v>
      </c>
      <c r="D27" s="62">
        <f>'Review I &amp; II'!U28+ESE!AA28</f>
        <v>0</v>
      </c>
      <c r="E27" s="62">
        <f>'Review I &amp; II'!V28+ESE!AB28</f>
        <v>0</v>
      </c>
      <c r="F27" s="62">
        <f>'Review I &amp; II'!W28+ESE!AC28</f>
        <v>0</v>
      </c>
      <c r="G27" s="62">
        <f>'Review I &amp; II'!X28+ESE!AD28</f>
        <v>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</row>
    <row r="28" spans="1:23" ht="16.5" customHeight="1">
      <c r="A28" s="106" t="str">
        <f>BASE!B27</f>
        <v>21MEL131</v>
      </c>
      <c r="B28" s="80" t="s">
        <v>2</v>
      </c>
      <c r="C28" s="62">
        <f>'Review I &amp; II'!T29+ESE!Z29</f>
        <v>0</v>
      </c>
      <c r="D28" s="62">
        <f>'Review I &amp; II'!U29+ESE!AA29</f>
        <v>0</v>
      </c>
      <c r="E28" s="62">
        <f>'Review I &amp; II'!V29+ESE!AB29</f>
        <v>0</v>
      </c>
      <c r="F28" s="62">
        <f>'Review I &amp; II'!W29+ESE!AC29</f>
        <v>0</v>
      </c>
      <c r="G28" s="62">
        <f>'Review I &amp; II'!X29+ESE!AD29</f>
        <v>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</row>
    <row r="29" spans="1:23" ht="16.5" customHeight="1">
      <c r="A29" s="106" t="str">
        <f>BASE!B28</f>
        <v>21MER051</v>
      </c>
      <c r="B29" s="80" t="s">
        <v>2</v>
      </c>
      <c r="C29" s="62">
        <f>'Review I &amp; II'!T30+ESE!Z30</f>
        <v>0</v>
      </c>
      <c r="D29" s="62">
        <f>'Review I &amp; II'!U30+ESE!AA30</f>
        <v>0</v>
      </c>
      <c r="E29" s="62">
        <f>'Review I &amp; II'!V30+ESE!AB30</f>
        <v>0</v>
      </c>
      <c r="F29" s="62">
        <f>'Review I &amp; II'!W30+ESE!AC30</f>
        <v>0</v>
      </c>
      <c r="G29" s="62">
        <f>'Review I &amp; II'!X30+ESE!AD30</f>
        <v>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</row>
    <row r="30" spans="1:23" ht="16.5" customHeight="1">
      <c r="A30" s="106" t="str">
        <f>BASE!B29</f>
        <v>21MER052</v>
      </c>
      <c r="B30" s="80" t="s">
        <v>2</v>
      </c>
      <c r="C30" s="62">
        <f>'Review I &amp; II'!T31+ESE!Z31</f>
        <v>0</v>
      </c>
      <c r="D30" s="62">
        <f>'Review I &amp; II'!U31+ESE!AA31</f>
        <v>0</v>
      </c>
      <c r="E30" s="62">
        <f>'Review I &amp; II'!V31+ESE!AB31</f>
        <v>0</v>
      </c>
      <c r="F30" s="62">
        <f>'Review I &amp; II'!W31+ESE!AC31</f>
        <v>0</v>
      </c>
      <c r="G30" s="62">
        <f>'Review I &amp; II'!X31+ESE!AD31</f>
        <v>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</row>
    <row r="31" spans="1:23" ht="16.5" customHeight="1">
      <c r="A31" s="106" t="str">
        <f>BASE!B30</f>
        <v>21MER053</v>
      </c>
      <c r="B31" s="80" t="s">
        <v>2</v>
      </c>
      <c r="C31" s="62">
        <f>'Review I &amp; II'!T32+ESE!Z32</f>
        <v>0</v>
      </c>
      <c r="D31" s="62">
        <f>'Review I &amp; II'!U32+ESE!AA32</f>
        <v>0</v>
      </c>
      <c r="E31" s="62">
        <f>'Review I &amp; II'!V32+ESE!AB32</f>
        <v>0</v>
      </c>
      <c r="F31" s="62">
        <f>'Review I &amp; II'!W32+ESE!AC32</f>
        <v>0</v>
      </c>
      <c r="G31" s="62">
        <f>'Review I &amp; II'!X32+ESE!AD32</f>
        <v>0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</row>
    <row r="32" spans="1:23" ht="16.5" customHeight="1">
      <c r="A32" s="106" t="str">
        <f>BASE!B31</f>
        <v>21MER054</v>
      </c>
      <c r="B32" s="80" t="s">
        <v>2</v>
      </c>
      <c r="C32" s="62">
        <f>'Review I &amp; II'!T33+ESE!Z33</f>
        <v>0</v>
      </c>
      <c r="D32" s="62">
        <f>'Review I &amp; II'!U33+ESE!AA33</f>
        <v>0</v>
      </c>
      <c r="E32" s="62">
        <f>'Review I &amp; II'!V33+ESE!AB33</f>
        <v>0</v>
      </c>
      <c r="F32" s="62">
        <f>'Review I &amp; II'!W33+ESE!AC33</f>
        <v>0</v>
      </c>
      <c r="G32" s="62">
        <f>'Review I &amp; II'!X33+ESE!AD33</f>
        <v>0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</row>
    <row r="33" spans="1:23" ht="16.5" customHeight="1">
      <c r="A33" s="106" t="str">
        <f>BASE!B32</f>
        <v>21MER055</v>
      </c>
      <c r="B33" s="80" t="s">
        <v>2</v>
      </c>
      <c r="C33" s="62">
        <f>'Review I &amp; II'!T34+ESE!Z34</f>
        <v>0</v>
      </c>
      <c r="D33" s="62">
        <f>'Review I &amp; II'!U34+ESE!AA34</f>
        <v>0</v>
      </c>
      <c r="E33" s="62">
        <f>'Review I &amp; II'!V34+ESE!AB34</f>
        <v>0</v>
      </c>
      <c r="F33" s="62">
        <f>'Review I &amp; II'!W34+ESE!AC34</f>
        <v>0</v>
      </c>
      <c r="G33" s="62">
        <f>'Review I &amp; II'!X34+ESE!AD34</f>
        <v>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</row>
    <row r="34" spans="1:23" ht="16.5" customHeight="1">
      <c r="A34" s="106" t="str">
        <f>BASE!B33</f>
        <v>21MER056</v>
      </c>
      <c r="B34" s="80" t="s">
        <v>2</v>
      </c>
      <c r="C34" s="62">
        <f>'Review I &amp; II'!T35+ESE!Z35</f>
        <v>0</v>
      </c>
      <c r="D34" s="62">
        <f>'Review I &amp; II'!U35+ESE!AA35</f>
        <v>0</v>
      </c>
      <c r="E34" s="62">
        <f>'Review I &amp; II'!V35+ESE!AB35</f>
        <v>0</v>
      </c>
      <c r="F34" s="62">
        <f>'Review I &amp; II'!W35+ESE!AC35</f>
        <v>0</v>
      </c>
      <c r="G34" s="62">
        <f>'Review I &amp; II'!X35+ESE!AD35</f>
        <v>0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</row>
    <row r="35" spans="1:23" ht="16.5" customHeight="1">
      <c r="A35" s="106" t="str">
        <f>BASE!B34</f>
        <v>21MER057</v>
      </c>
      <c r="B35" s="80" t="s">
        <v>2</v>
      </c>
      <c r="C35" s="62">
        <f>'Review I &amp; II'!T36+ESE!Z36</f>
        <v>0</v>
      </c>
      <c r="D35" s="62">
        <f>'Review I &amp; II'!U36+ESE!AA36</f>
        <v>0</v>
      </c>
      <c r="E35" s="62">
        <f>'Review I &amp; II'!V36+ESE!AB36</f>
        <v>0</v>
      </c>
      <c r="F35" s="62">
        <f>'Review I &amp; II'!W36+ESE!AC36</f>
        <v>0</v>
      </c>
      <c r="G35" s="62">
        <f>'Review I &amp; II'!X36+ESE!AD36</f>
        <v>0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</row>
    <row r="36" spans="1:23" ht="16.5" customHeight="1">
      <c r="A36" s="106" t="str">
        <f>BASE!B35</f>
        <v>21MER059</v>
      </c>
      <c r="B36" s="80" t="s">
        <v>2</v>
      </c>
      <c r="C36" s="62">
        <f>'Review I &amp; II'!T37+ESE!Z37</f>
        <v>0</v>
      </c>
      <c r="D36" s="62">
        <f>'Review I &amp; II'!U37+ESE!AA37</f>
        <v>0</v>
      </c>
      <c r="E36" s="62">
        <f>'Review I &amp; II'!V37+ESE!AB37</f>
        <v>0</v>
      </c>
      <c r="F36" s="62">
        <f>'Review I &amp; II'!W37+ESE!AC37</f>
        <v>0</v>
      </c>
      <c r="G36" s="62">
        <f>'Review I &amp; II'!X37+ESE!AD37</f>
        <v>0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</row>
    <row r="37" spans="1:23" ht="16.5" customHeight="1">
      <c r="A37" s="106" t="str">
        <f>BASE!B36</f>
        <v>21MER060</v>
      </c>
      <c r="B37" s="80" t="s">
        <v>2</v>
      </c>
      <c r="C37" s="62">
        <f>'Review I &amp; II'!T38+ESE!Z38</f>
        <v>0</v>
      </c>
      <c r="D37" s="62">
        <f>'Review I &amp; II'!U38+ESE!AA38</f>
        <v>0</v>
      </c>
      <c r="E37" s="62">
        <f>'Review I &amp; II'!V38+ESE!AB38</f>
        <v>0</v>
      </c>
      <c r="F37" s="62">
        <f>'Review I &amp; II'!W38+ESE!AC38</f>
        <v>0</v>
      </c>
      <c r="G37" s="62">
        <f>'Review I &amp; II'!X38+ESE!AD38</f>
        <v>0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</row>
    <row r="38" spans="1:23" ht="16.5" customHeight="1">
      <c r="A38" s="106" t="str">
        <f>BASE!B37</f>
        <v>21MER061</v>
      </c>
      <c r="B38" s="80" t="s">
        <v>2</v>
      </c>
      <c r="C38" s="62">
        <f>'Review I &amp; II'!T39+ESE!Z39</f>
        <v>0</v>
      </c>
      <c r="D38" s="62">
        <f>'Review I &amp; II'!U39+ESE!AA39</f>
        <v>0</v>
      </c>
      <c r="E38" s="62">
        <f>'Review I &amp; II'!V39+ESE!AB39</f>
        <v>0</v>
      </c>
      <c r="F38" s="62">
        <f>'Review I &amp; II'!W39+ESE!AC39</f>
        <v>0</v>
      </c>
      <c r="G38" s="62">
        <f>'Review I &amp; II'!X39+ESE!AD39</f>
        <v>0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</row>
    <row r="39" spans="1:23" ht="16.5" customHeight="1">
      <c r="A39" s="106" t="str">
        <f>BASE!B38</f>
        <v>21MER062</v>
      </c>
      <c r="B39" s="80" t="s">
        <v>2</v>
      </c>
      <c r="C39" s="62">
        <f>'Review I &amp; II'!T40+ESE!Z40</f>
        <v>0</v>
      </c>
      <c r="D39" s="62">
        <f>'Review I &amp; II'!U40+ESE!AA40</f>
        <v>0</v>
      </c>
      <c r="E39" s="62">
        <f>'Review I &amp; II'!V40+ESE!AB40</f>
        <v>0</v>
      </c>
      <c r="F39" s="62">
        <f>'Review I &amp; II'!W40+ESE!AC40</f>
        <v>0</v>
      </c>
      <c r="G39" s="62">
        <f>'Review I &amp; II'!X40+ESE!AD40</f>
        <v>0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</row>
    <row r="40" spans="1:23" ht="16.5" customHeight="1">
      <c r="A40" s="106" t="str">
        <f>BASE!B39</f>
        <v>21MER063</v>
      </c>
      <c r="B40" s="80" t="s">
        <v>2</v>
      </c>
      <c r="C40" s="62">
        <f>'Review I &amp; II'!T41+ESE!Z41</f>
        <v>0</v>
      </c>
      <c r="D40" s="62">
        <f>'Review I &amp; II'!U41+ESE!AA41</f>
        <v>0</v>
      </c>
      <c r="E40" s="62">
        <f>'Review I &amp; II'!V41+ESE!AB41</f>
        <v>0</v>
      </c>
      <c r="F40" s="62">
        <f>'Review I &amp; II'!W41+ESE!AC41</f>
        <v>0</v>
      </c>
      <c r="G40" s="62">
        <f>'Review I &amp; II'!X41+ESE!AD41</f>
        <v>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</row>
    <row r="41" spans="1:23" ht="16.5" customHeight="1">
      <c r="A41" s="106" t="str">
        <f>BASE!B40</f>
        <v>21MER064</v>
      </c>
      <c r="B41" s="80" t="s">
        <v>2</v>
      </c>
      <c r="C41" s="62">
        <f>'Review I &amp; II'!T42+ESE!Z42</f>
        <v>0</v>
      </c>
      <c r="D41" s="62">
        <f>'Review I &amp; II'!U42+ESE!AA42</f>
        <v>0</v>
      </c>
      <c r="E41" s="62">
        <f>'Review I &amp; II'!V42+ESE!AB42</f>
        <v>0</v>
      </c>
      <c r="F41" s="62">
        <f>'Review I &amp; II'!W42+ESE!AC42</f>
        <v>0</v>
      </c>
      <c r="G41" s="62">
        <f>'Review I &amp; II'!X42+ESE!AD42</f>
        <v>0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</row>
    <row r="42" spans="1:23" ht="16.5" customHeight="1">
      <c r="A42" s="106" t="str">
        <f>BASE!B41</f>
        <v>21MER065</v>
      </c>
      <c r="B42" s="80" t="s">
        <v>2</v>
      </c>
      <c r="C42" s="62">
        <f>'Review I &amp; II'!T43+ESE!Z43</f>
        <v>0</v>
      </c>
      <c r="D42" s="62">
        <f>'Review I &amp; II'!U43+ESE!AA43</f>
        <v>0</v>
      </c>
      <c r="E42" s="62">
        <f>'Review I &amp; II'!V43+ESE!AB43</f>
        <v>0</v>
      </c>
      <c r="F42" s="62">
        <f>'Review I &amp; II'!W43+ESE!AC43</f>
        <v>0</v>
      </c>
      <c r="G42" s="62">
        <f>'Review I &amp; II'!X43+ESE!AD43</f>
        <v>0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</row>
    <row r="43" spans="1:23" ht="16.5" customHeight="1">
      <c r="A43" s="106" t="str">
        <f>BASE!B42</f>
        <v>21MER066</v>
      </c>
      <c r="B43" s="80" t="s">
        <v>2</v>
      </c>
      <c r="C43" s="62">
        <f>'Review I &amp; II'!T44+ESE!Z44</f>
        <v>0</v>
      </c>
      <c r="D43" s="62">
        <f>'Review I &amp; II'!U44+ESE!AA44</f>
        <v>0</v>
      </c>
      <c r="E43" s="62">
        <f>'Review I &amp; II'!V44+ESE!AB44</f>
        <v>0</v>
      </c>
      <c r="F43" s="62">
        <f>'Review I &amp; II'!W44+ESE!AC44</f>
        <v>0</v>
      </c>
      <c r="G43" s="62">
        <f>'Review I &amp; II'!X44+ESE!AD44</f>
        <v>0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</row>
    <row r="44" spans="1:23" ht="16.5" customHeight="1">
      <c r="A44" s="106" t="str">
        <f>BASE!B43</f>
        <v>21MER067</v>
      </c>
      <c r="B44" s="80" t="s">
        <v>2</v>
      </c>
      <c r="C44" s="62">
        <f>'Review I &amp; II'!T45+ESE!Z45</f>
        <v>0</v>
      </c>
      <c r="D44" s="62">
        <f>'Review I &amp; II'!U45+ESE!AA45</f>
        <v>0</v>
      </c>
      <c r="E44" s="62">
        <f>'Review I &amp; II'!V45+ESE!AB45</f>
        <v>0</v>
      </c>
      <c r="F44" s="62">
        <f>'Review I &amp; II'!W45+ESE!AC45</f>
        <v>0</v>
      </c>
      <c r="G44" s="62">
        <f>'Review I &amp; II'!X45+ESE!AD45</f>
        <v>0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</row>
    <row r="45" spans="1:23" ht="16.5" customHeight="1">
      <c r="A45" s="106" t="str">
        <f>BASE!B44</f>
        <v>21MER068</v>
      </c>
      <c r="B45" s="80" t="s">
        <v>2</v>
      </c>
      <c r="C45" s="62">
        <f>'Review I &amp; II'!T46+ESE!Z46</f>
        <v>0</v>
      </c>
      <c r="D45" s="62">
        <f>'Review I &amp; II'!U46+ESE!AA46</f>
        <v>0</v>
      </c>
      <c r="E45" s="62">
        <f>'Review I &amp; II'!V46+ESE!AB46</f>
        <v>0</v>
      </c>
      <c r="F45" s="62">
        <f>'Review I &amp; II'!W46+ESE!AC46</f>
        <v>0</v>
      </c>
      <c r="G45" s="62">
        <f>'Review I &amp; II'!X46+ESE!AD46</f>
        <v>0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</row>
    <row r="46" spans="1:23" ht="16.5" customHeight="1">
      <c r="A46" s="106" t="str">
        <f>BASE!B45</f>
        <v>21MER069</v>
      </c>
      <c r="B46" s="80" t="s">
        <v>2</v>
      </c>
      <c r="C46" s="62">
        <f>'Review I &amp; II'!T47+ESE!Z47</f>
        <v>0</v>
      </c>
      <c r="D46" s="62">
        <f>'Review I &amp; II'!U47+ESE!AA47</f>
        <v>0</v>
      </c>
      <c r="E46" s="62">
        <f>'Review I &amp; II'!V47+ESE!AB47</f>
        <v>0</v>
      </c>
      <c r="F46" s="62">
        <f>'Review I &amp; II'!W47+ESE!AC47</f>
        <v>0</v>
      </c>
      <c r="G46" s="62">
        <f>'Review I &amp; II'!X47+ESE!AD47</f>
        <v>0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</row>
    <row r="47" spans="1:23" ht="16.5" customHeight="1">
      <c r="A47" s="106" t="str">
        <f>BASE!B46</f>
        <v>21MER070</v>
      </c>
      <c r="B47" s="80" t="s">
        <v>2</v>
      </c>
      <c r="C47" s="62">
        <f>'Review I &amp; II'!T48+ESE!Z48</f>
        <v>0</v>
      </c>
      <c r="D47" s="62">
        <f>'Review I &amp; II'!U48+ESE!AA48</f>
        <v>0</v>
      </c>
      <c r="E47" s="62">
        <f>'Review I &amp; II'!V48+ESE!AB48</f>
        <v>0</v>
      </c>
      <c r="F47" s="62">
        <f>'Review I &amp; II'!W48+ESE!AC48</f>
        <v>0</v>
      </c>
      <c r="G47" s="62">
        <f>'Review I &amp; II'!X48+ESE!AD48</f>
        <v>0</v>
      </c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</row>
    <row r="48" spans="1:23" ht="16.5" customHeight="1">
      <c r="A48" s="106" t="str">
        <f>BASE!B47</f>
        <v>21MER071</v>
      </c>
      <c r="B48" s="80" t="s">
        <v>2</v>
      </c>
      <c r="C48" s="62">
        <f>'Review I &amp; II'!T49+ESE!Z49</f>
        <v>0</v>
      </c>
      <c r="D48" s="62">
        <f>'Review I &amp; II'!U49+ESE!AA49</f>
        <v>0</v>
      </c>
      <c r="E48" s="62">
        <f>'Review I &amp; II'!V49+ESE!AB49</f>
        <v>0</v>
      </c>
      <c r="F48" s="62">
        <f>'Review I &amp; II'!W49+ESE!AC49</f>
        <v>0</v>
      </c>
      <c r="G48" s="62">
        <f>'Review I &amp; II'!X49+ESE!AD49</f>
        <v>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</row>
    <row r="49" spans="1:23" ht="16.5" customHeight="1">
      <c r="A49" s="106" t="str">
        <f>BASE!B48</f>
        <v>21MER072</v>
      </c>
      <c r="B49" s="80" t="s">
        <v>2</v>
      </c>
      <c r="C49" s="62">
        <f>'Review I &amp; II'!T50+ESE!Z50</f>
        <v>0</v>
      </c>
      <c r="D49" s="62">
        <f>'Review I &amp; II'!U50+ESE!AA50</f>
        <v>0</v>
      </c>
      <c r="E49" s="62">
        <f>'Review I &amp; II'!V50+ESE!AB50</f>
        <v>0</v>
      </c>
      <c r="F49" s="62">
        <f>'Review I &amp; II'!W50+ESE!AC50</f>
        <v>0</v>
      </c>
      <c r="G49" s="62">
        <f>'Review I &amp; II'!X50+ESE!AD50</f>
        <v>0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</row>
    <row r="50" spans="1:23" ht="16.5" customHeight="1">
      <c r="A50" s="106" t="str">
        <f>BASE!B49</f>
        <v>21MER073</v>
      </c>
      <c r="B50" s="80" t="s">
        <v>2</v>
      </c>
      <c r="C50" s="62">
        <f>'Review I &amp; II'!T51+ESE!Z51</f>
        <v>0</v>
      </c>
      <c r="D50" s="62">
        <f>'Review I &amp; II'!U51+ESE!AA51</f>
        <v>0</v>
      </c>
      <c r="E50" s="62">
        <f>'Review I &amp; II'!V51+ESE!AB51</f>
        <v>0</v>
      </c>
      <c r="F50" s="62">
        <f>'Review I &amp; II'!W51+ESE!AC51</f>
        <v>0</v>
      </c>
      <c r="G50" s="62">
        <f>'Review I &amp; II'!X51+ESE!AD51</f>
        <v>0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</row>
    <row r="51" spans="1:23" ht="16.5" customHeight="1">
      <c r="A51" s="106" t="str">
        <f>BASE!B50</f>
        <v>21MER074</v>
      </c>
      <c r="B51" s="80" t="s">
        <v>2</v>
      </c>
      <c r="C51" s="62">
        <f>'Review I &amp; II'!T52+ESE!Z52</f>
        <v>0</v>
      </c>
      <c r="D51" s="62">
        <f>'Review I &amp; II'!U52+ESE!AA52</f>
        <v>0</v>
      </c>
      <c r="E51" s="62">
        <f>'Review I &amp; II'!V52+ESE!AB52</f>
        <v>0</v>
      </c>
      <c r="F51" s="62">
        <f>'Review I &amp; II'!W52+ESE!AC52</f>
        <v>0</v>
      </c>
      <c r="G51" s="62">
        <f>'Review I &amp; II'!X52+ESE!AD52</f>
        <v>0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</row>
    <row r="52" spans="1:23" ht="16.5" customHeight="1">
      <c r="A52" s="106" t="str">
        <f>BASE!B51</f>
        <v>21MER075</v>
      </c>
      <c r="B52" s="80" t="s">
        <v>2</v>
      </c>
      <c r="C52" s="62">
        <f>'Review I &amp; II'!T53+ESE!Z53</f>
        <v>0</v>
      </c>
      <c r="D52" s="62">
        <f>'Review I &amp; II'!U53+ESE!AA53</f>
        <v>0</v>
      </c>
      <c r="E52" s="62">
        <f>'Review I &amp; II'!V53+ESE!AB53</f>
        <v>0</v>
      </c>
      <c r="F52" s="62">
        <f>'Review I &amp; II'!W53+ESE!AC53</f>
        <v>0</v>
      </c>
      <c r="G52" s="62">
        <f>'Review I &amp; II'!X53+ESE!AD53</f>
        <v>0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</row>
    <row r="53" spans="1:23" ht="16.5" customHeight="1">
      <c r="A53" s="106" t="str">
        <f>BASE!B52</f>
        <v>21MER076</v>
      </c>
      <c r="B53" s="80" t="s">
        <v>2</v>
      </c>
      <c r="C53" s="62">
        <f>'Review I &amp; II'!T54+ESE!Z54</f>
        <v>0</v>
      </c>
      <c r="D53" s="62">
        <f>'Review I &amp; II'!U54+ESE!AA54</f>
        <v>0</v>
      </c>
      <c r="E53" s="62">
        <f>'Review I &amp; II'!V54+ESE!AB54</f>
        <v>0</v>
      </c>
      <c r="F53" s="62">
        <f>'Review I &amp; II'!W54+ESE!AC54</f>
        <v>0</v>
      </c>
      <c r="G53" s="62">
        <f>'Review I &amp; II'!X54+ESE!AD54</f>
        <v>0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</row>
    <row r="54" spans="1:23" ht="16.5" customHeight="1">
      <c r="A54" s="106" t="str">
        <f>BASE!B53</f>
        <v>21MER077</v>
      </c>
      <c r="B54" s="80" t="s">
        <v>2</v>
      </c>
      <c r="C54" s="62">
        <f>'Review I &amp; II'!T55+ESE!Z55</f>
        <v>0</v>
      </c>
      <c r="D54" s="62">
        <f>'Review I &amp; II'!U55+ESE!AA55</f>
        <v>0</v>
      </c>
      <c r="E54" s="62">
        <f>'Review I &amp; II'!V55+ESE!AB55</f>
        <v>0</v>
      </c>
      <c r="F54" s="62">
        <f>'Review I &amp; II'!W55+ESE!AC55</f>
        <v>0</v>
      </c>
      <c r="G54" s="62">
        <f>'Review I &amp; II'!X55+ESE!AD55</f>
        <v>0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</row>
    <row r="55" spans="1:23" ht="16.5" customHeight="1">
      <c r="A55" s="106" t="str">
        <f>BASE!B54</f>
        <v>21MER078</v>
      </c>
      <c r="B55" s="80" t="s">
        <v>2</v>
      </c>
      <c r="C55" s="62">
        <f>'Review I &amp; II'!T56+ESE!Z56</f>
        <v>0</v>
      </c>
      <c r="D55" s="62">
        <f>'Review I &amp; II'!U56+ESE!AA56</f>
        <v>0</v>
      </c>
      <c r="E55" s="62">
        <f>'Review I &amp; II'!V56+ESE!AB56</f>
        <v>0</v>
      </c>
      <c r="F55" s="62">
        <f>'Review I &amp; II'!W56+ESE!AC56</f>
        <v>0</v>
      </c>
      <c r="G55" s="62">
        <f>'Review I &amp; II'!X56+ESE!AD56</f>
        <v>0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</row>
    <row r="56" spans="1:23" ht="16.5" customHeight="1">
      <c r="A56" s="106" t="str">
        <f>BASE!B55</f>
        <v>21MER079</v>
      </c>
      <c r="B56" s="80" t="s">
        <v>2</v>
      </c>
      <c r="C56" s="62">
        <f>'Review I &amp; II'!T57+ESE!Z57</f>
        <v>0</v>
      </c>
      <c r="D56" s="62">
        <f>'Review I &amp; II'!U57+ESE!AA57</f>
        <v>0</v>
      </c>
      <c r="E56" s="62">
        <f>'Review I &amp; II'!V57+ESE!AB57</f>
        <v>0</v>
      </c>
      <c r="F56" s="62">
        <f>'Review I &amp; II'!W57+ESE!AC57</f>
        <v>0</v>
      </c>
      <c r="G56" s="62">
        <f>'Review I &amp; II'!X57+ESE!AD57</f>
        <v>0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</row>
    <row r="57" spans="1:23" ht="16.5" customHeight="1">
      <c r="A57" s="106" t="str">
        <f>BASE!B56</f>
        <v>21MER080</v>
      </c>
      <c r="B57" s="80" t="s">
        <v>2</v>
      </c>
      <c r="C57" s="62">
        <f>'Review I &amp; II'!T58+ESE!Z58</f>
        <v>0</v>
      </c>
      <c r="D57" s="62">
        <f>'Review I &amp; II'!U58+ESE!AA58</f>
        <v>0</v>
      </c>
      <c r="E57" s="62">
        <f>'Review I &amp; II'!V58+ESE!AB58</f>
        <v>0</v>
      </c>
      <c r="F57" s="62">
        <f>'Review I &amp; II'!W58+ESE!AC58</f>
        <v>0</v>
      </c>
      <c r="G57" s="62">
        <f>'Review I &amp; II'!X58+ESE!AD58</f>
        <v>0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</row>
    <row r="58" spans="1:23" ht="16.5" customHeight="1">
      <c r="A58" s="106" t="str">
        <f>BASE!B57</f>
        <v>21MER081</v>
      </c>
      <c r="B58" s="80" t="s">
        <v>2</v>
      </c>
      <c r="C58" s="62">
        <f>'Review I &amp; II'!T59+ESE!Z59</f>
        <v>0</v>
      </c>
      <c r="D58" s="62">
        <f>'Review I &amp; II'!U59+ESE!AA59</f>
        <v>0</v>
      </c>
      <c r="E58" s="62">
        <f>'Review I &amp; II'!V59+ESE!AB59</f>
        <v>0</v>
      </c>
      <c r="F58" s="62">
        <f>'Review I &amp; II'!W59+ESE!AC59</f>
        <v>0</v>
      </c>
      <c r="G58" s="62">
        <f>'Review I &amp; II'!X59+ESE!AD59</f>
        <v>0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</row>
    <row r="59" spans="1:23" ht="16.5" customHeight="1">
      <c r="A59" s="106" t="str">
        <f>BASE!B58</f>
        <v>21MER082</v>
      </c>
      <c r="B59" s="80" t="s">
        <v>2</v>
      </c>
      <c r="C59" s="62">
        <f>'Review I &amp; II'!T60+ESE!Z60</f>
        <v>0</v>
      </c>
      <c r="D59" s="62">
        <f>'Review I &amp; II'!U60+ESE!AA60</f>
        <v>0</v>
      </c>
      <c r="E59" s="62">
        <f>'Review I &amp; II'!V60+ESE!AB60</f>
        <v>0</v>
      </c>
      <c r="F59" s="62">
        <f>'Review I &amp; II'!W60+ESE!AC60</f>
        <v>0</v>
      </c>
      <c r="G59" s="62">
        <f>'Review I &amp; II'!X60+ESE!AD60</f>
        <v>0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</row>
    <row r="60" spans="1:23" ht="16.5" customHeight="1">
      <c r="A60" s="106" t="str">
        <f>BASE!B59</f>
        <v>21MER083</v>
      </c>
      <c r="B60" s="80" t="s">
        <v>2</v>
      </c>
      <c r="C60" s="62">
        <f>'Review I &amp; II'!T61+ESE!Z61</f>
        <v>0</v>
      </c>
      <c r="D60" s="62">
        <f>'Review I &amp; II'!U61+ESE!AA61</f>
        <v>0</v>
      </c>
      <c r="E60" s="62">
        <f>'Review I &amp; II'!V61+ESE!AB61</f>
        <v>0</v>
      </c>
      <c r="F60" s="62">
        <f>'Review I &amp; II'!W61+ESE!AC61</f>
        <v>0</v>
      </c>
      <c r="G60" s="62">
        <f>'Review I &amp; II'!X61+ESE!AD61</f>
        <v>0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</row>
    <row r="61" spans="1:23" ht="16.5" customHeight="1">
      <c r="A61" s="106" t="str">
        <f>BASE!B60</f>
        <v>21MER084</v>
      </c>
      <c r="B61" s="80" t="s">
        <v>2</v>
      </c>
      <c r="C61" s="62">
        <f>'Review I &amp; II'!T62+ESE!Z62</f>
        <v>0</v>
      </c>
      <c r="D61" s="62">
        <f>'Review I &amp; II'!U62+ESE!AA62</f>
        <v>0</v>
      </c>
      <c r="E61" s="62">
        <f>'Review I &amp; II'!V62+ESE!AB62</f>
        <v>0</v>
      </c>
      <c r="F61" s="62">
        <f>'Review I &amp; II'!W62+ESE!AC62</f>
        <v>0</v>
      </c>
      <c r="G61" s="62">
        <f>'Review I &amp; II'!X62+ESE!AD62</f>
        <v>0</v>
      </c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</row>
    <row r="62" spans="1:23" ht="16.5" customHeight="1">
      <c r="A62" s="106" t="str">
        <f>BASE!B61</f>
        <v>21MER085</v>
      </c>
      <c r="B62" s="80" t="s">
        <v>2</v>
      </c>
      <c r="C62" s="62">
        <f>'Review I &amp; II'!T63+ESE!Z63</f>
        <v>0</v>
      </c>
      <c r="D62" s="62">
        <f>'Review I &amp; II'!U63+ESE!AA63</f>
        <v>0</v>
      </c>
      <c r="E62" s="62">
        <f>'Review I &amp; II'!V63+ESE!AB63</f>
        <v>0</v>
      </c>
      <c r="F62" s="62">
        <f>'Review I &amp; II'!W63+ESE!AC63</f>
        <v>0</v>
      </c>
      <c r="G62" s="62">
        <f>'Review I &amp; II'!X63+ESE!AD63</f>
        <v>0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</row>
    <row r="63" spans="1:23" ht="16.5" customHeight="1">
      <c r="A63" s="106" t="str">
        <f>BASE!B62</f>
        <v>21MER086</v>
      </c>
      <c r="B63" s="80" t="s">
        <v>2</v>
      </c>
      <c r="C63" s="62">
        <f>'Review I &amp; II'!T64+ESE!Z64</f>
        <v>0</v>
      </c>
      <c r="D63" s="62">
        <f>'Review I &amp; II'!U64+ESE!AA64</f>
        <v>0</v>
      </c>
      <c r="E63" s="62">
        <f>'Review I &amp; II'!V64+ESE!AB64</f>
        <v>0</v>
      </c>
      <c r="F63" s="62">
        <f>'Review I &amp; II'!W64+ESE!AC64</f>
        <v>0</v>
      </c>
      <c r="G63" s="62">
        <f>'Review I &amp; II'!X64+ESE!AD64</f>
        <v>0</v>
      </c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</row>
    <row r="64" spans="1:23" ht="16.5" customHeight="1">
      <c r="A64" s="106" t="str">
        <f>BASE!B63</f>
        <v>21MER087</v>
      </c>
      <c r="B64" s="80" t="s">
        <v>2</v>
      </c>
      <c r="C64" s="62">
        <f>'Review I &amp; II'!T65+ESE!Z65</f>
        <v>0</v>
      </c>
      <c r="D64" s="62">
        <f>'Review I &amp; II'!U65+ESE!AA65</f>
        <v>0</v>
      </c>
      <c r="E64" s="62">
        <f>'Review I &amp; II'!V65+ESE!AB65</f>
        <v>0</v>
      </c>
      <c r="F64" s="62">
        <f>'Review I &amp; II'!W65+ESE!AC65</f>
        <v>0</v>
      </c>
      <c r="G64" s="62">
        <f>'Review I &amp; II'!X65+ESE!AD65</f>
        <v>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</row>
    <row r="65" spans="1:23" ht="16.5" customHeight="1">
      <c r="A65" s="106" t="str">
        <f>BASE!B64</f>
        <v>21MER088</v>
      </c>
      <c r="B65" s="80" t="s">
        <v>2</v>
      </c>
      <c r="C65" s="62">
        <f>'Review I &amp; II'!T66+ESE!Z66</f>
        <v>0</v>
      </c>
      <c r="D65" s="62">
        <f>'Review I &amp; II'!U66+ESE!AA66</f>
        <v>0</v>
      </c>
      <c r="E65" s="62">
        <f>'Review I &amp; II'!V66+ESE!AB66</f>
        <v>0</v>
      </c>
      <c r="F65" s="62">
        <f>'Review I &amp; II'!W66+ESE!AC66</f>
        <v>0</v>
      </c>
      <c r="G65" s="62">
        <f>'Review I &amp; II'!X66+ESE!AD66</f>
        <v>0</v>
      </c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</row>
    <row r="66" spans="1:23" ht="16.5" customHeight="1">
      <c r="A66" s="106" t="str">
        <f>BASE!B65</f>
        <v>21MER089</v>
      </c>
      <c r="B66" s="80" t="s">
        <v>2</v>
      </c>
      <c r="C66" s="62">
        <f>'Review I &amp; II'!T67+ESE!Z67</f>
        <v>0</v>
      </c>
      <c r="D66" s="62">
        <f>'Review I &amp; II'!U67+ESE!AA67</f>
        <v>0</v>
      </c>
      <c r="E66" s="62">
        <f>'Review I &amp; II'!V67+ESE!AB67</f>
        <v>0</v>
      </c>
      <c r="F66" s="62">
        <f>'Review I &amp; II'!W67+ESE!AC67</f>
        <v>0</v>
      </c>
      <c r="G66" s="62">
        <f>'Review I &amp; II'!X67+ESE!AD67</f>
        <v>0</v>
      </c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</row>
    <row r="67" spans="1:23" ht="16.5" customHeight="1">
      <c r="A67" s="106" t="str">
        <f>BASE!B66</f>
        <v>21MER090</v>
      </c>
      <c r="B67" s="80" t="s">
        <v>2</v>
      </c>
      <c r="C67" s="62">
        <f>'Review I &amp; II'!T68+ESE!Z68</f>
        <v>0</v>
      </c>
      <c r="D67" s="62">
        <f>'Review I &amp; II'!U68+ESE!AA68</f>
        <v>0</v>
      </c>
      <c r="E67" s="62">
        <f>'Review I &amp; II'!V68+ESE!AB68</f>
        <v>0</v>
      </c>
      <c r="F67" s="62">
        <f>'Review I &amp; II'!W68+ESE!AC68</f>
        <v>0</v>
      </c>
      <c r="G67" s="62">
        <f>'Review I &amp; II'!X68+ESE!AD68</f>
        <v>0</v>
      </c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</row>
    <row r="68" spans="1:23" ht="16.5" customHeight="1">
      <c r="A68" s="106" t="str">
        <f>BASE!B67</f>
        <v>21MER091</v>
      </c>
      <c r="B68" s="80" t="s">
        <v>2</v>
      </c>
      <c r="C68" s="62">
        <f>'Review I &amp; II'!T69+ESE!Z69</f>
        <v>0</v>
      </c>
      <c r="D68" s="62">
        <f>'Review I &amp; II'!U69+ESE!AA69</f>
        <v>0</v>
      </c>
      <c r="E68" s="62">
        <f>'Review I &amp; II'!V69+ESE!AB69</f>
        <v>0</v>
      </c>
      <c r="F68" s="62">
        <f>'Review I &amp; II'!W69+ESE!AC69</f>
        <v>0</v>
      </c>
      <c r="G68" s="62">
        <f>'Review I &amp; II'!X69+ESE!AD69</f>
        <v>0</v>
      </c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</row>
    <row r="69" spans="1:23" ht="16.5" customHeight="1">
      <c r="A69" s="106" t="str">
        <f>BASE!B68</f>
        <v>21MER092</v>
      </c>
      <c r="B69" s="80" t="s">
        <v>2</v>
      </c>
      <c r="C69" s="62">
        <f>'Review I &amp; II'!T70+ESE!Z70</f>
        <v>0</v>
      </c>
      <c r="D69" s="62">
        <f>'Review I &amp; II'!U70+ESE!AA70</f>
        <v>0</v>
      </c>
      <c r="E69" s="62">
        <f>'Review I &amp; II'!V70+ESE!AB70</f>
        <v>0</v>
      </c>
      <c r="F69" s="62">
        <f>'Review I &amp; II'!W70+ESE!AC70</f>
        <v>0</v>
      </c>
      <c r="G69" s="62">
        <f>'Review I &amp; II'!X70+ESE!AD70</f>
        <v>0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</row>
    <row r="70" spans="1:23" ht="16.5" customHeight="1">
      <c r="A70" s="106" t="str">
        <f>BASE!B69</f>
        <v>21MER093</v>
      </c>
      <c r="B70" s="80" t="s">
        <v>2</v>
      </c>
      <c r="C70" s="62">
        <f>'Review I &amp; II'!T71+ESE!Z71</f>
        <v>0</v>
      </c>
      <c r="D70" s="62">
        <f>'Review I &amp; II'!U71+ESE!AA71</f>
        <v>0</v>
      </c>
      <c r="E70" s="62">
        <f>'Review I &amp; II'!V71+ESE!AB71</f>
        <v>0</v>
      </c>
      <c r="F70" s="62">
        <f>'Review I &amp; II'!W71+ESE!AC71</f>
        <v>0</v>
      </c>
      <c r="G70" s="62">
        <f>'Review I &amp; II'!X71+ESE!AD71</f>
        <v>0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</row>
    <row r="71" spans="1:23" ht="16.5" customHeight="1">
      <c r="A71" s="106" t="str">
        <f>BASE!B70</f>
        <v>21MER094</v>
      </c>
      <c r="B71" s="80" t="s">
        <v>2</v>
      </c>
      <c r="C71" s="62">
        <f>'Review I &amp; II'!T72+ESE!Z72</f>
        <v>0</v>
      </c>
      <c r="D71" s="62">
        <f>'Review I &amp; II'!U72+ESE!AA72</f>
        <v>0</v>
      </c>
      <c r="E71" s="62">
        <f>'Review I &amp; II'!V72+ESE!AB72</f>
        <v>0</v>
      </c>
      <c r="F71" s="62">
        <f>'Review I &amp; II'!W72+ESE!AC72</f>
        <v>0</v>
      </c>
      <c r="G71" s="62">
        <f>'Review I &amp; II'!X72+ESE!AD72</f>
        <v>0</v>
      </c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</row>
    <row r="72" spans="1:23" ht="16.5" customHeight="1">
      <c r="A72" s="106" t="str">
        <f>BASE!B71</f>
        <v>21MER095</v>
      </c>
      <c r="B72" s="80" t="s">
        <v>2</v>
      </c>
      <c r="C72" s="62">
        <f>'Review I &amp; II'!T73+ESE!Z73</f>
        <v>0</v>
      </c>
      <c r="D72" s="62">
        <f>'Review I &amp; II'!U73+ESE!AA73</f>
        <v>0</v>
      </c>
      <c r="E72" s="62">
        <f>'Review I &amp; II'!V73+ESE!AB73</f>
        <v>0</v>
      </c>
      <c r="F72" s="62">
        <f>'Review I &amp; II'!W73+ESE!AC73</f>
        <v>0</v>
      </c>
      <c r="G72" s="62">
        <f>'Review I &amp; II'!X73+ESE!AD73</f>
        <v>0</v>
      </c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</row>
    <row r="73" spans="1:23" ht="16.5" customHeight="1">
      <c r="A73" s="106" t="str">
        <f>BASE!B72</f>
        <v>21MER096</v>
      </c>
      <c r="B73" s="80" t="s">
        <v>2</v>
      </c>
      <c r="C73" s="62">
        <f>'Review I &amp; II'!T74+ESE!Z74</f>
        <v>0</v>
      </c>
      <c r="D73" s="62">
        <f>'Review I &amp; II'!U74+ESE!AA74</f>
        <v>0</v>
      </c>
      <c r="E73" s="62">
        <f>'Review I &amp; II'!V74+ESE!AB74</f>
        <v>0</v>
      </c>
      <c r="F73" s="62">
        <f>'Review I &amp; II'!W74+ESE!AC74</f>
        <v>0</v>
      </c>
      <c r="G73" s="62">
        <f>'Review I &amp; II'!X74+ESE!AD74</f>
        <v>0</v>
      </c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</row>
    <row r="74" spans="1:23" ht="16.5" customHeight="1">
      <c r="A74" s="106" t="str">
        <f>BASE!B73</f>
        <v>21MER097</v>
      </c>
      <c r="B74" s="80" t="s">
        <v>2</v>
      </c>
      <c r="C74" s="62">
        <f>'Review I &amp; II'!T75+ESE!Z75</f>
        <v>0</v>
      </c>
      <c r="D74" s="62">
        <f>'Review I &amp; II'!U75+ESE!AA75</f>
        <v>0</v>
      </c>
      <c r="E74" s="62">
        <f>'Review I &amp; II'!V75+ESE!AB75</f>
        <v>0</v>
      </c>
      <c r="F74" s="62">
        <f>'Review I &amp; II'!W75+ESE!AC75</f>
        <v>0</v>
      </c>
      <c r="G74" s="62">
        <f>'Review I &amp; II'!X75+ESE!AD75</f>
        <v>0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</row>
    <row r="75" spans="1:23" ht="16.5" customHeight="1">
      <c r="A75" s="106" t="str">
        <f>BASE!B74</f>
        <v>21MER098</v>
      </c>
      <c r="B75" s="80" t="s">
        <v>2</v>
      </c>
      <c r="C75" s="62">
        <f>'Review I &amp; II'!T76+ESE!Z76</f>
        <v>0</v>
      </c>
      <c r="D75" s="62">
        <f>'Review I &amp; II'!U76+ESE!AA76</f>
        <v>0</v>
      </c>
      <c r="E75" s="62">
        <f>'Review I &amp; II'!V76+ESE!AB76</f>
        <v>0</v>
      </c>
      <c r="F75" s="62">
        <f>'Review I &amp; II'!W76+ESE!AC76</f>
        <v>0</v>
      </c>
      <c r="G75" s="62">
        <f>'Review I &amp; II'!X76+ESE!AD76</f>
        <v>0</v>
      </c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</row>
    <row r="76" spans="1:23" ht="16.5" customHeight="1">
      <c r="A76" s="106" t="str">
        <f>BASE!B75</f>
        <v>21MER099</v>
      </c>
      <c r="B76" s="80" t="s">
        <v>2</v>
      </c>
      <c r="C76" s="62">
        <f>'Review I &amp; II'!T77+ESE!Z77</f>
        <v>0</v>
      </c>
      <c r="D76" s="62">
        <f>'Review I &amp; II'!U77+ESE!AA77</f>
        <v>0</v>
      </c>
      <c r="E76" s="62">
        <f>'Review I &amp; II'!V77+ESE!AB77</f>
        <v>0</v>
      </c>
      <c r="F76" s="62">
        <f>'Review I &amp; II'!W77+ESE!AC77</f>
        <v>0</v>
      </c>
      <c r="G76" s="62">
        <f>'Review I &amp; II'!X77+ESE!AD77</f>
        <v>0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</row>
    <row r="77" spans="1:23" ht="16.5" customHeight="1">
      <c r="A77" s="106" t="str">
        <f>BASE!B76</f>
        <v>21MER100</v>
      </c>
      <c r="B77" s="80" t="s">
        <v>2</v>
      </c>
      <c r="C77" s="62">
        <f>'Review I &amp; II'!T78+ESE!Z78</f>
        <v>0</v>
      </c>
      <c r="D77" s="62">
        <f>'Review I &amp; II'!U78+ESE!AA78</f>
        <v>0</v>
      </c>
      <c r="E77" s="62">
        <f>'Review I &amp; II'!V78+ESE!AB78</f>
        <v>0</v>
      </c>
      <c r="F77" s="62">
        <f>'Review I &amp; II'!W78+ESE!AC78</f>
        <v>0</v>
      </c>
      <c r="G77" s="62">
        <f>'Review I &amp; II'!X78+ESE!AD78</f>
        <v>0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</row>
    <row r="78" spans="1:23" ht="16.5" customHeight="1">
      <c r="A78" s="106" t="str">
        <f>BASE!B77</f>
        <v>21MER101</v>
      </c>
      <c r="B78" s="80" t="s">
        <v>2</v>
      </c>
      <c r="C78" s="62">
        <f>'Review I &amp; II'!T79+ESE!Z79</f>
        <v>0</v>
      </c>
      <c r="D78" s="62">
        <f>'Review I &amp; II'!U79+ESE!AA79</f>
        <v>0</v>
      </c>
      <c r="E78" s="62">
        <f>'Review I &amp; II'!V79+ESE!AB79</f>
        <v>0</v>
      </c>
      <c r="F78" s="62">
        <f>'Review I &amp; II'!W79+ESE!AC79</f>
        <v>0</v>
      </c>
      <c r="G78" s="62">
        <f>'Review I &amp; II'!X79+ESE!AD79</f>
        <v>0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</row>
    <row r="79" spans="1:23" ht="16.5" customHeight="1">
      <c r="A79" s="106" t="str">
        <f>BASE!B78</f>
        <v>21MER102</v>
      </c>
      <c r="B79" s="80" t="s">
        <v>2</v>
      </c>
      <c r="C79" s="62">
        <f>'Review I &amp; II'!T80+ESE!Z80</f>
        <v>0</v>
      </c>
      <c r="D79" s="62">
        <f>'Review I &amp; II'!U80+ESE!AA80</f>
        <v>0</v>
      </c>
      <c r="E79" s="62">
        <f>'Review I &amp; II'!V80+ESE!AB80</f>
        <v>0</v>
      </c>
      <c r="F79" s="62">
        <f>'Review I &amp; II'!W80+ESE!AC80</f>
        <v>0</v>
      </c>
      <c r="G79" s="62">
        <f>'Review I &amp; II'!X80+ESE!AD80</f>
        <v>0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</row>
    <row r="80" spans="1:23" ht="16.5" customHeight="1">
      <c r="A80" s="106" t="str">
        <f>BASE!B79</f>
        <v>21MER103</v>
      </c>
      <c r="B80" s="80" t="s">
        <v>2</v>
      </c>
      <c r="C80" s="62">
        <f>'Review I &amp; II'!T81+ESE!Z81</f>
        <v>0</v>
      </c>
      <c r="D80" s="62">
        <f>'Review I &amp; II'!U81+ESE!AA81</f>
        <v>0</v>
      </c>
      <c r="E80" s="62">
        <f>'Review I &amp; II'!V81+ESE!AB81</f>
        <v>0</v>
      </c>
      <c r="F80" s="62">
        <f>'Review I &amp; II'!W81+ESE!AC81</f>
        <v>0</v>
      </c>
      <c r="G80" s="62">
        <f>'Review I &amp; II'!X81+ESE!AD81</f>
        <v>0</v>
      </c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</row>
    <row r="81" spans="1:23" ht="16.5" customHeight="1">
      <c r="A81" s="106">
        <f>BASE!B80</f>
        <v>0</v>
      </c>
      <c r="B81" s="80" t="s">
        <v>2</v>
      </c>
      <c r="C81" s="62">
        <f>'Review I &amp; II'!T82+ESE!Z82</f>
        <v>0</v>
      </c>
      <c r="D81" s="62">
        <f>'Review I &amp; II'!U82+ESE!AA82</f>
        <v>0</v>
      </c>
      <c r="E81" s="62">
        <f>'Review I &amp; II'!V82+ESE!AB82</f>
        <v>0</v>
      </c>
      <c r="F81" s="62">
        <f>'Review I &amp; II'!W82+ESE!AC82</f>
        <v>0</v>
      </c>
      <c r="G81" s="62">
        <f>'Review I &amp; II'!X82+ESE!AD82</f>
        <v>0</v>
      </c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</row>
    <row r="82" spans="1:23" ht="16.5" customHeight="1">
      <c r="A82" s="106">
        <f>BASE!B81</f>
        <v>0</v>
      </c>
      <c r="B82" s="80" t="s">
        <v>2</v>
      </c>
      <c r="C82" s="62">
        <f>'Review I &amp; II'!T83+ESE!Z83</f>
        <v>0</v>
      </c>
      <c r="D82" s="62">
        <f>'Review I &amp; II'!U83+ESE!AA83</f>
        <v>0</v>
      </c>
      <c r="E82" s="62">
        <f>'Review I &amp; II'!V83+ESE!AB83</f>
        <v>0</v>
      </c>
      <c r="F82" s="62">
        <f>'Review I &amp; II'!W83+ESE!AC83</f>
        <v>0</v>
      </c>
      <c r="G82" s="62">
        <f>'Review I &amp; II'!X83+ESE!AD83</f>
        <v>0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</row>
    <row r="83" spans="1:23" ht="16.5" customHeight="1">
      <c r="A83" s="106">
        <f>BASE!B82</f>
        <v>0</v>
      </c>
      <c r="B83" s="80" t="s">
        <v>2</v>
      </c>
      <c r="C83" s="62">
        <f>'Review I &amp; II'!T84+ESE!Z84</f>
        <v>0</v>
      </c>
      <c r="D83" s="62">
        <f>'Review I &amp; II'!U84+ESE!AA84</f>
        <v>0</v>
      </c>
      <c r="E83" s="62">
        <f>'Review I &amp; II'!V84+ESE!AB84</f>
        <v>0</v>
      </c>
      <c r="F83" s="62">
        <f>'Review I &amp; II'!W84+ESE!AC84</f>
        <v>0</v>
      </c>
      <c r="G83" s="62">
        <f>'Review I &amp; II'!X84+ESE!AD84</f>
        <v>0</v>
      </c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</row>
    <row r="84" spans="1:23" ht="16.5" customHeight="1">
      <c r="A84" s="106">
        <f>BASE!B83</f>
        <v>0</v>
      </c>
      <c r="B84" s="80" t="s">
        <v>2</v>
      </c>
      <c r="C84" s="62">
        <f>'Review I &amp; II'!T85+ESE!Z85</f>
        <v>0</v>
      </c>
      <c r="D84" s="62">
        <f>'Review I &amp; II'!U85+ESE!AA85</f>
        <v>0</v>
      </c>
      <c r="E84" s="62">
        <f>'Review I &amp; II'!V85+ESE!AB85</f>
        <v>0</v>
      </c>
      <c r="F84" s="62">
        <f>'Review I &amp; II'!W85+ESE!AC85</f>
        <v>0</v>
      </c>
      <c r="G84" s="62">
        <f>'Review I &amp; II'!X85+ESE!AD85</f>
        <v>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</row>
    <row r="85" spans="1:23" ht="16.5" customHeight="1">
      <c r="A85" s="106">
        <f>BASE!B84</f>
        <v>0</v>
      </c>
      <c r="B85" s="80" t="s">
        <v>2</v>
      </c>
      <c r="C85" s="62">
        <f>'Review I &amp; II'!T86+ESE!Z86</f>
        <v>0</v>
      </c>
      <c r="D85" s="62">
        <f>'Review I &amp; II'!U86+ESE!AA86</f>
        <v>0</v>
      </c>
      <c r="E85" s="62">
        <f>'Review I &amp; II'!V86+ESE!AB86</f>
        <v>0</v>
      </c>
      <c r="F85" s="62">
        <f>'Review I &amp; II'!W86+ESE!AC86</f>
        <v>0</v>
      </c>
      <c r="G85" s="62">
        <f>'Review I &amp; II'!X86+ESE!AD86</f>
        <v>0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</row>
    <row r="86" spans="1:23" ht="16.5" customHeight="1">
      <c r="A86" s="106">
        <f>BASE!B85</f>
        <v>0</v>
      </c>
      <c r="B86" s="80" t="s">
        <v>2</v>
      </c>
      <c r="C86" s="62">
        <f>'Review I &amp; II'!T87+ESE!Z87</f>
        <v>0</v>
      </c>
      <c r="D86" s="62">
        <f>'Review I &amp; II'!U87+ESE!AA87</f>
        <v>0</v>
      </c>
      <c r="E86" s="62">
        <f>'Review I &amp; II'!V87+ESE!AB87</f>
        <v>0</v>
      </c>
      <c r="F86" s="62">
        <f>'Review I &amp; II'!W87+ESE!AC87</f>
        <v>0</v>
      </c>
      <c r="G86" s="62">
        <f>'Review I &amp; II'!X87+ESE!AD87</f>
        <v>0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</row>
    <row r="87" spans="1:23" ht="16.5" customHeight="1">
      <c r="A87" s="106">
        <f>BASE!B86</f>
        <v>0</v>
      </c>
      <c r="B87" s="80" t="s">
        <v>2</v>
      </c>
      <c r="C87" s="62">
        <f>'Review I &amp; II'!T88+ESE!Z88</f>
        <v>0</v>
      </c>
      <c r="D87" s="62">
        <f>'Review I &amp; II'!U88+ESE!AA88</f>
        <v>0</v>
      </c>
      <c r="E87" s="62">
        <f>'Review I &amp; II'!V88+ESE!AB88</f>
        <v>0</v>
      </c>
      <c r="F87" s="62">
        <f>'Review I &amp; II'!W88+ESE!AC88</f>
        <v>0</v>
      </c>
      <c r="G87" s="62">
        <f>'Review I &amp; II'!X88+ESE!AD88</f>
        <v>0</v>
      </c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</row>
    <row r="88" spans="1:23" ht="16.5" customHeight="1">
      <c r="A88" s="106">
        <f>BASE!B87</f>
        <v>0</v>
      </c>
      <c r="B88" s="80" t="s">
        <v>2</v>
      </c>
      <c r="C88" s="62">
        <f>'Review I &amp; II'!T89+ESE!Z89</f>
        <v>0</v>
      </c>
      <c r="D88" s="62">
        <f>'Review I &amp; II'!U89+ESE!AA89</f>
        <v>0</v>
      </c>
      <c r="E88" s="62">
        <f>'Review I &amp; II'!V89+ESE!AB89</f>
        <v>0</v>
      </c>
      <c r="F88" s="62">
        <f>'Review I &amp; II'!W89+ESE!AC89</f>
        <v>0</v>
      </c>
      <c r="G88" s="62">
        <f>'Review I &amp; II'!X89+ESE!AD89</f>
        <v>0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</row>
    <row r="89" spans="1:23" ht="16.5" customHeight="1">
      <c r="A89" s="106">
        <f>BASE!B88</f>
        <v>0</v>
      </c>
      <c r="B89" s="80" t="s">
        <v>2</v>
      </c>
      <c r="C89" s="62">
        <f>'Review I &amp; II'!T90+ESE!Z90</f>
        <v>0</v>
      </c>
      <c r="D89" s="62">
        <f>'Review I &amp; II'!U90+ESE!AA90</f>
        <v>0</v>
      </c>
      <c r="E89" s="62">
        <f>'Review I &amp; II'!V90+ESE!AB90</f>
        <v>0</v>
      </c>
      <c r="F89" s="62">
        <f>'Review I &amp; II'!W90+ESE!AC90</f>
        <v>0</v>
      </c>
      <c r="G89" s="62">
        <f>'Review I &amp; II'!X90+ESE!AD90</f>
        <v>0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</row>
    <row r="90" spans="1:23" ht="16.5" customHeight="1">
      <c r="A90" s="106">
        <f>BASE!B89</f>
        <v>0</v>
      </c>
      <c r="B90" s="80" t="s">
        <v>2</v>
      </c>
      <c r="C90" s="62">
        <f>'Review I &amp; II'!T91+ESE!Z91</f>
        <v>0</v>
      </c>
      <c r="D90" s="62">
        <f>'Review I &amp; II'!U91+ESE!AA91</f>
        <v>0</v>
      </c>
      <c r="E90" s="62">
        <f>'Review I &amp; II'!V91+ESE!AB91</f>
        <v>0</v>
      </c>
      <c r="F90" s="62">
        <f>'Review I &amp; II'!W91+ESE!AC91</f>
        <v>0</v>
      </c>
      <c r="G90" s="62">
        <f>'Review I &amp; II'!X91+ESE!AD91</f>
        <v>0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</row>
    <row r="91" spans="1:23" ht="16.5" customHeight="1">
      <c r="A91" s="106">
        <f>BASE!B90</f>
        <v>0</v>
      </c>
      <c r="B91" s="80" t="s">
        <v>2</v>
      </c>
      <c r="C91" s="62">
        <f>'Review I &amp; II'!T92+ESE!Z92</f>
        <v>0</v>
      </c>
      <c r="D91" s="62">
        <f>'Review I &amp; II'!U92+ESE!AA92</f>
        <v>0</v>
      </c>
      <c r="E91" s="62">
        <f>'Review I &amp; II'!V92+ESE!AB92</f>
        <v>0</v>
      </c>
      <c r="F91" s="62">
        <f>'Review I &amp; II'!W92+ESE!AC92</f>
        <v>0</v>
      </c>
      <c r="G91" s="62">
        <f>'Review I &amp; II'!X92+ESE!AD92</f>
        <v>0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</row>
    <row r="92" spans="1:23" ht="16.5" customHeight="1">
      <c r="A92" s="106">
        <f>BASE!B91</f>
        <v>0</v>
      </c>
      <c r="B92" s="80" t="s">
        <v>2</v>
      </c>
      <c r="C92" s="62">
        <f>'Review I &amp; II'!T93+ESE!Z93</f>
        <v>0</v>
      </c>
      <c r="D92" s="62">
        <f>'Review I &amp; II'!U93+ESE!AA93</f>
        <v>0</v>
      </c>
      <c r="E92" s="62">
        <f>'Review I &amp; II'!V93+ESE!AB93</f>
        <v>0</v>
      </c>
      <c r="F92" s="62">
        <f>'Review I &amp; II'!W93+ESE!AC93</f>
        <v>0</v>
      </c>
      <c r="G92" s="62">
        <f>'Review I &amp; II'!X93+ESE!AD93</f>
        <v>0</v>
      </c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</row>
    <row r="93" spans="1:23" ht="16.5" customHeight="1">
      <c r="A93" s="106">
        <f>BASE!B92</f>
        <v>0</v>
      </c>
      <c r="B93" s="80" t="s">
        <v>2</v>
      </c>
      <c r="C93" s="62">
        <f>'Review I &amp; II'!T94+ESE!Z94</f>
        <v>0</v>
      </c>
      <c r="D93" s="62">
        <f>'Review I &amp; II'!U94+ESE!AA94</f>
        <v>0</v>
      </c>
      <c r="E93" s="62">
        <f>'Review I &amp; II'!V94+ESE!AB94</f>
        <v>0</v>
      </c>
      <c r="F93" s="62">
        <f>'Review I &amp; II'!W94+ESE!AC94</f>
        <v>0</v>
      </c>
      <c r="G93" s="62">
        <f>'Review I &amp; II'!X94+ESE!AD94</f>
        <v>0</v>
      </c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</row>
    <row r="94" spans="1:23" ht="16.5" customHeight="1">
      <c r="A94" s="106">
        <f>BASE!B93</f>
        <v>0</v>
      </c>
      <c r="B94" s="80" t="s">
        <v>2</v>
      </c>
      <c r="C94" s="62">
        <f>'Review I &amp; II'!T95+ESE!Z95</f>
        <v>0</v>
      </c>
      <c r="D94" s="62">
        <f>'Review I &amp; II'!U95+ESE!AA95</f>
        <v>0</v>
      </c>
      <c r="E94" s="62">
        <f>'Review I &amp; II'!V95+ESE!AB95</f>
        <v>0</v>
      </c>
      <c r="F94" s="62">
        <f>'Review I &amp; II'!W95+ESE!AC95</f>
        <v>0</v>
      </c>
      <c r="G94" s="62">
        <f>'Review I &amp; II'!X95+ESE!AD95</f>
        <v>0</v>
      </c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</row>
    <row r="95" spans="1:23" ht="16.5" customHeight="1">
      <c r="A95" s="106">
        <f>BASE!B94</f>
        <v>0</v>
      </c>
      <c r="B95" s="80" t="s">
        <v>2</v>
      </c>
      <c r="C95" s="62">
        <f>'Review I &amp; II'!T96+ESE!Z96</f>
        <v>0</v>
      </c>
      <c r="D95" s="62">
        <f>'Review I &amp; II'!U96+ESE!AA96</f>
        <v>0</v>
      </c>
      <c r="E95" s="62">
        <f>'Review I &amp; II'!V96+ESE!AB96</f>
        <v>0</v>
      </c>
      <c r="F95" s="62">
        <f>'Review I &amp; II'!W96+ESE!AC96</f>
        <v>0</v>
      </c>
      <c r="G95" s="62">
        <f>'Review I &amp; II'!X96+ESE!AD96</f>
        <v>0</v>
      </c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</row>
    <row r="96" spans="1:23" ht="16.5" customHeight="1">
      <c r="A96" s="106">
        <f>BASE!B95</f>
        <v>0</v>
      </c>
      <c r="B96" s="80" t="s">
        <v>2</v>
      </c>
      <c r="C96" s="62">
        <f>'Review I &amp; II'!T97+ESE!Z97</f>
        <v>0</v>
      </c>
      <c r="D96" s="62">
        <f>'Review I &amp; II'!U97+ESE!AA97</f>
        <v>0</v>
      </c>
      <c r="E96" s="62">
        <f>'Review I &amp; II'!V97+ESE!AB97</f>
        <v>0</v>
      </c>
      <c r="F96" s="62">
        <f>'Review I &amp; II'!W97+ESE!AC97</f>
        <v>0</v>
      </c>
      <c r="G96" s="62">
        <f>'Review I &amp; II'!X97+ESE!AD97</f>
        <v>0</v>
      </c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</row>
    <row r="97" spans="1:23" ht="16.5" customHeight="1">
      <c r="A97" s="106">
        <f>BASE!B96</f>
        <v>0</v>
      </c>
      <c r="B97" s="80" t="s">
        <v>2</v>
      </c>
      <c r="C97" s="62">
        <f>'Review I &amp; II'!T98+ESE!Z98</f>
        <v>0</v>
      </c>
      <c r="D97" s="62">
        <f>'Review I &amp; II'!U98+ESE!AA98</f>
        <v>0</v>
      </c>
      <c r="E97" s="62">
        <f>'Review I &amp; II'!V98+ESE!AB98</f>
        <v>0</v>
      </c>
      <c r="F97" s="62">
        <f>'Review I &amp; II'!W98+ESE!AC98</f>
        <v>0</v>
      </c>
      <c r="G97" s="62">
        <f>'Review I &amp; II'!X98+ESE!AD98</f>
        <v>0</v>
      </c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</row>
    <row r="98" spans="1:23" ht="16.5" customHeight="1">
      <c r="A98" s="106">
        <f>BASE!B97</f>
        <v>0</v>
      </c>
      <c r="B98" s="80" t="s">
        <v>2</v>
      </c>
      <c r="C98" s="62">
        <f>'Review I &amp; II'!T99+ESE!Z99</f>
        <v>0</v>
      </c>
      <c r="D98" s="62">
        <f>'Review I &amp; II'!U99+ESE!AA99</f>
        <v>0</v>
      </c>
      <c r="E98" s="62">
        <f>'Review I &amp; II'!V99+ESE!AB99</f>
        <v>0</v>
      </c>
      <c r="F98" s="62">
        <f>'Review I &amp; II'!W99+ESE!AC99</f>
        <v>0</v>
      </c>
      <c r="G98" s="62">
        <f>'Review I &amp; II'!X99+ESE!AD99</f>
        <v>0</v>
      </c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</row>
    <row r="99" spans="1:23" ht="16.5" customHeight="1">
      <c r="A99" s="106">
        <f>BASE!B98</f>
        <v>0</v>
      </c>
      <c r="B99" s="80" t="s">
        <v>2</v>
      </c>
      <c r="C99" s="62">
        <f>'Review I &amp; II'!T100+ESE!Z100</f>
        <v>0</v>
      </c>
      <c r="D99" s="62">
        <f>'Review I &amp; II'!U100+ESE!AA100</f>
        <v>0</v>
      </c>
      <c r="E99" s="62">
        <f>'Review I &amp; II'!V100+ESE!AB100</f>
        <v>0</v>
      </c>
      <c r="F99" s="62">
        <f>'Review I &amp; II'!W100+ESE!AC100</f>
        <v>0</v>
      </c>
      <c r="G99" s="62">
        <f>'Review I &amp; II'!X100+ESE!AD100</f>
        <v>0</v>
      </c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</row>
    <row r="100" spans="1:23" ht="16.5" customHeight="1">
      <c r="A100" s="106">
        <f>BASE!B99</f>
        <v>0</v>
      </c>
      <c r="B100" s="80" t="s">
        <v>2</v>
      </c>
      <c r="C100" s="62">
        <f>'Review I &amp; II'!T101+ESE!Z101</f>
        <v>0</v>
      </c>
      <c r="D100" s="62">
        <f>'Review I &amp; II'!U101+ESE!AA101</f>
        <v>0</v>
      </c>
      <c r="E100" s="62">
        <f>'Review I &amp; II'!V101+ESE!AB101</f>
        <v>0</v>
      </c>
      <c r="F100" s="62">
        <f>'Review I &amp; II'!W101+ESE!AC101</f>
        <v>0</v>
      </c>
      <c r="G100" s="62">
        <f>'Review I &amp; II'!X101+ESE!AD101</f>
        <v>0</v>
      </c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</row>
    <row r="101" spans="1:23" ht="16.5" customHeight="1">
      <c r="A101" s="106">
        <f>BASE!B100</f>
        <v>0</v>
      </c>
      <c r="B101" s="80" t="s">
        <v>2</v>
      </c>
      <c r="C101" s="62">
        <f>'Review I &amp; II'!T102+ESE!Z102</f>
        <v>0</v>
      </c>
      <c r="D101" s="62">
        <f>'Review I &amp; II'!U102+ESE!AA102</f>
        <v>0</v>
      </c>
      <c r="E101" s="62">
        <f>'Review I &amp; II'!V102+ESE!AB102</f>
        <v>0</v>
      </c>
      <c r="F101" s="62">
        <f>'Review I &amp; II'!W102+ESE!AC102</f>
        <v>0</v>
      </c>
      <c r="G101" s="62">
        <f>'Review I &amp; II'!X102+ESE!AD102</f>
        <v>0</v>
      </c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</row>
    <row r="102" spans="1:23" ht="16.5" customHeight="1">
      <c r="A102" s="106">
        <f>BASE!B101</f>
        <v>0</v>
      </c>
      <c r="B102" s="80" t="s">
        <v>2</v>
      </c>
      <c r="C102" s="62">
        <f>'Review I &amp; II'!T103+ESE!Z103</f>
        <v>0</v>
      </c>
      <c r="D102" s="62">
        <f>'Review I &amp; II'!U103+ESE!AA103</f>
        <v>0</v>
      </c>
      <c r="E102" s="62">
        <f>'Review I &amp; II'!V103+ESE!AB103</f>
        <v>0</v>
      </c>
      <c r="F102" s="62">
        <f>'Review I &amp; II'!W103+ESE!AC103</f>
        <v>0</v>
      </c>
      <c r="G102" s="62">
        <f>'Review I &amp; II'!X103+ESE!AD103</f>
        <v>0</v>
      </c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</row>
    <row r="103" spans="1:23" ht="16.5" customHeight="1">
      <c r="A103" s="106">
        <f>BASE!B102</f>
        <v>0</v>
      </c>
      <c r="B103" s="80" t="s">
        <v>2</v>
      </c>
      <c r="C103" s="62">
        <f>'Review I &amp; II'!T104+ESE!Z104</f>
        <v>0</v>
      </c>
      <c r="D103" s="62">
        <f>'Review I &amp; II'!U104+ESE!AA104</f>
        <v>0</v>
      </c>
      <c r="E103" s="62">
        <f>'Review I &amp; II'!V104+ESE!AB104</f>
        <v>0</v>
      </c>
      <c r="F103" s="62">
        <f>'Review I &amp; II'!W104+ESE!AC104</f>
        <v>0</v>
      </c>
      <c r="G103" s="62">
        <f>'Review I &amp; II'!X104+ESE!AD104</f>
        <v>0</v>
      </c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</row>
    <row r="104" spans="1:23" ht="16.5" customHeight="1">
      <c r="A104" s="106">
        <f>BASE!B103</f>
        <v>0</v>
      </c>
      <c r="B104" s="80" t="s">
        <v>2</v>
      </c>
      <c r="C104" s="62">
        <f>'Review I &amp; II'!T105+ESE!Z105</f>
        <v>0</v>
      </c>
      <c r="D104" s="62">
        <f>'Review I &amp; II'!U105+ESE!AA105</f>
        <v>0</v>
      </c>
      <c r="E104" s="62">
        <f>'Review I &amp; II'!V105+ESE!AB105</f>
        <v>0</v>
      </c>
      <c r="F104" s="62">
        <f>'Review I &amp; II'!W105+ESE!AC105</f>
        <v>0</v>
      </c>
      <c r="G104" s="62">
        <f>'Review I &amp; II'!X105+ESE!AD105</f>
        <v>0</v>
      </c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</row>
    <row r="105" spans="1:23" ht="16.5" customHeight="1">
      <c r="A105" s="106">
        <f>BASE!B104</f>
        <v>0</v>
      </c>
      <c r="B105" s="80" t="s">
        <v>2</v>
      </c>
      <c r="C105" s="62">
        <f>'Review I &amp; II'!T106+ESE!Z106</f>
        <v>0</v>
      </c>
      <c r="D105" s="62">
        <f>'Review I &amp; II'!U106+ESE!AA106</f>
        <v>0</v>
      </c>
      <c r="E105" s="62">
        <f>'Review I &amp; II'!V106+ESE!AB106</f>
        <v>0</v>
      </c>
      <c r="F105" s="62">
        <f>'Review I &amp; II'!W106+ESE!AC106</f>
        <v>0</v>
      </c>
      <c r="G105" s="62">
        <f>'Review I &amp; II'!X106+ESE!AD106</f>
        <v>0</v>
      </c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</row>
    <row r="106" spans="1:23" ht="16.5" customHeight="1">
      <c r="A106" s="106">
        <f>BASE!B105</f>
        <v>0</v>
      </c>
      <c r="B106" s="80" t="s">
        <v>2</v>
      </c>
      <c r="C106" s="62">
        <f>'Review I &amp; II'!T107+ESE!Z107</f>
        <v>0</v>
      </c>
      <c r="D106" s="62">
        <f>'Review I &amp; II'!U107+ESE!AA107</f>
        <v>0</v>
      </c>
      <c r="E106" s="62">
        <f>'Review I &amp; II'!V107+ESE!AB107</f>
        <v>0</v>
      </c>
      <c r="F106" s="62">
        <f>'Review I &amp; II'!W107+ESE!AC107</f>
        <v>0</v>
      </c>
      <c r="G106" s="62">
        <f>'Review I &amp; II'!X107+ESE!AD107</f>
        <v>0</v>
      </c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</row>
    <row r="107" spans="1:23" ht="16.5" customHeight="1">
      <c r="A107" s="106">
        <f>BASE!B106</f>
        <v>0</v>
      </c>
      <c r="B107" s="80" t="s">
        <v>2</v>
      </c>
      <c r="C107" s="62">
        <f>'Review I &amp; II'!T108+ESE!Z108</f>
        <v>0</v>
      </c>
      <c r="D107" s="62">
        <f>'Review I &amp; II'!U108+ESE!AA108</f>
        <v>0</v>
      </c>
      <c r="E107" s="62">
        <f>'Review I &amp; II'!V108+ESE!AB108</f>
        <v>0</v>
      </c>
      <c r="F107" s="62">
        <f>'Review I &amp; II'!W108+ESE!AC108</f>
        <v>0</v>
      </c>
      <c r="G107" s="62">
        <f>'Review I &amp; II'!X108+ESE!AD108</f>
        <v>0</v>
      </c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</row>
    <row r="108" spans="1:23" ht="16.5" customHeight="1">
      <c r="A108" s="106">
        <f>BASE!B107</f>
        <v>0</v>
      </c>
      <c r="B108" s="80" t="s">
        <v>2</v>
      </c>
      <c r="C108" s="62">
        <f>'Review I &amp; II'!T109+ESE!Z109</f>
        <v>0</v>
      </c>
      <c r="D108" s="62">
        <f>'Review I &amp; II'!U109+ESE!AA109</f>
        <v>0</v>
      </c>
      <c r="E108" s="62">
        <f>'Review I &amp; II'!V109+ESE!AB109</f>
        <v>0</v>
      </c>
      <c r="F108" s="62">
        <f>'Review I &amp; II'!W109+ESE!AC109</f>
        <v>0</v>
      </c>
      <c r="G108" s="62">
        <f>'Review I &amp; II'!X109+ESE!AD109</f>
        <v>0</v>
      </c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</row>
    <row r="109" spans="1:23" ht="16.5" customHeight="1">
      <c r="A109" s="106">
        <f>BASE!B108</f>
        <v>0</v>
      </c>
      <c r="B109" s="80" t="s">
        <v>2</v>
      </c>
      <c r="C109" s="62">
        <f>'Review I &amp; II'!T110+ESE!Z110</f>
        <v>0</v>
      </c>
      <c r="D109" s="62">
        <f>'Review I &amp; II'!U110+ESE!AA110</f>
        <v>0</v>
      </c>
      <c r="E109" s="62">
        <f>'Review I &amp; II'!V110+ESE!AB110</f>
        <v>0</v>
      </c>
      <c r="F109" s="62">
        <f>'Review I &amp; II'!W110+ESE!AC110</f>
        <v>0</v>
      </c>
      <c r="G109" s="62">
        <f>'Review I &amp; II'!X110+ESE!AD110</f>
        <v>0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</row>
    <row r="110" spans="1:23" ht="16.5" customHeight="1">
      <c r="A110" s="106">
        <f>BASE!B109</f>
        <v>0</v>
      </c>
      <c r="B110" s="80" t="s">
        <v>2</v>
      </c>
      <c r="C110" s="62">
        <f>'Review I &amp; II'!T111+ESE!Z111</f>
        <v>0</v>
      </c>
      <c r="D110" s="62">
        <f>'Review I &amp; II'!U111+ESE!AA111</f>
        <v>0</v>
      </c>
      <c r="E110" s="62">
        <f>'Review I &amp; II'!V111+ESE!AB111</f>
        <v>0</v>
      </c>
      <c r="F110" s="62">
        <f>'Review I &amp; II'!W111+ESE!AC111</f>
        <v>0</v>
      </c>
      <c r="G110" s="62">
        <f>'Review I &amp; II'!X111+ESE!AD111</f>
        <v>0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</row>
    <row r="111" spans="1:23" ht="16.5" customHeight="1">
      <c r="A111" s="106">
        <f>BASE!B110</f>
        <v>0</v>
      </c>
      <c r="B111" s="80" t="s">
        <v>2</v>
      </c>
      <c r="C111" s="62">
        <f>'Review I &amp; II'!T112+ESE!Z112</f>
        <v>0</v>
      </c>
      <c r="D111" s="62">
        <f>'Review I &amp; II'!U112+ESE!AA112</f>
        <v>0</v>
      </c>
      <c r="E111" s="62">
        <f>'Review I &amp; II'!V112+ESE!AB112</f>
        <v>0</v>
      </c>
      <c r="F111" s="62">
        <f>'Review I &amp; II'!W112+ESE!AC112</f>
        <v>0</v>
      </c>
      <c r="G111" s="62">
        <f>'Review I &amp; II'!X112+ESE!AD112</f>
        <v>0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</row>
    <row r="112" spans="1:23" ht="16.5" customHeight="1">
      <c r="A112" s="106">
        <f>BASE!B111</f>
        <v>0</v>
      </c>
      <c r="B112" s="80" t="s">
        <v>2</v>
      </c>
      <c r="C112" s="62">
        <f>'Review I &amp; II'!T113+ESE!Z113</f>
        <v>0</v>
      </c>
      <c r="D112" s="62">
        <f>'Review I &amp; II'!U113+ESE!AA113</f>
        <v>0</v>
      </c>
      <c r="E112" s="62">
        <f>'Review I &amp; II'!V113+ESE!AB113</f>
        <v>0</v>
      </c>
      <c r="F112" s="62">
        <f>'Review I &amp; II'!W113+ESE!AC113</f>
        <v>0</v>
      </c>
      <c r="G112" s="62">
        <f>'Review I &amp; II'!X113+ESE!AD113</f>
        <v>0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</row>
    <row r="113" spans="1:23" ht="16.5" customHeight="1">
      <c r="A113" s="106">
        <f>BASE!B112</f>
        <v>0</v>
      </c>
      <c r="B113" s="80" t="s">
        <v>2</v>
      </c>
      <c r="C113" s="62">
        <f>'Review I &amp; II'!T114+ESE!Z114</f>
        <v>0</v>
      </c>
      <c r="D113" s="62">
        <f>'Review I &amp; II'!U114+ESE!AA114</f>
        <v>0</v>
      </c>
      <c r="E113" s="62">
        <f>'Review I &amp; II'!V114+ESE!AB114</f>
        <v>0</v>
      </c>
      <c r="F113" s="62">
        <f>'Review I &amp; II'!W114+ESE!AC114</f>
        <v>0</v>
      </c>
      <c r="G113" s="62">
        <f>'Review I &amp; II'!X114+ESE!AD114</f>
        <v>0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</row>
    <row r="114" spans="1:23" ht="16.5" customHeight="1">
      <c r="A114" s="106">
        <f>BASE!B113</f>
        <v>0</v>
      </c>
      <c r="B114" s="80" t="s">
        <v>2</v>
      </c>
      <c r="C114" s="62">
        <f>'Review I &amp; II'!T115+ESE!Z115</f>
        <v>0</v>
      </c>
      <c r="D114" s="62">
        <f>'Review I &amp; II'!U115+ESE!AA115</f>
        <v>0</v>
      </c>
      <c r="E114" s="62">
        <f>'Review I &amp; II'!V115+ESE!AB115</f>
        <v>0</v>
      </c>
      <c r="F114" s="62">
        <f>'Review I &amp; II'!W115+ESE!AC115</f>
        <v>0</v>
      </c>
      <c r="G114" s="62">
        <f>'Review I &amp; II'!X115+ESE!AD115</f>
        <v>0</v>
      </c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</row>
    <row r="115" spans="1:23" ht="16.5" customHeight="1">
      <c r="A115" s="106">
        <f>BASE!B114</f>
        <v>0</v>
      </c>
      <c r="B115" s="80" t="s">
        <v>2</v>
      </c>
      <c r="C115" s="62">
        <f>'Review I &amp; II'!T116+ESE!Z116</f>
        <v>0</v>
      </c>
      <c r="D115" s="62">
        <f>'Review I &amp; II'!U116+ESE!AA116</f>
        <v>0</v>
      </c>
      <c r="E115" s="62">
        <f>'Review I &amp; II'!V116+ESE!AB116</f>
        <v>0</v>
      </c>
      <c r="F115" s="62">
        <f>'Review I &amp; II'!W116+ESE!AC116</f>
        <v>0</v>
      </c>
      <c r="G115" s="62">
        <f>'Review I &amp; II'!X116+ESE!AD116</f>
        <v>0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</row>
    <row r="116" spans="1:23" ht="16.5" customHeight="1">
      <c r="A116" s="106">
        <f>BASE!B115</f>
        <v>0</v>
      </c>
      <c r="B116" s="80" t="s">
        <v>2</v>
      </c>
      <c r="C116" s="62">
        <f>'Review I &amp; II'!T117+ESE!Z117</f>
        <v>0</v>
      </c>
      <c r="D116" s="62">
        <f>'Review I &amp; II'!U117+ESE!AA117</f>
        <v>0</v>
      </c>
      <c r="E116" s="62">
        <f>'Review I &amp; II'!V117+ESE!AB117</f>
        <v>0</v>
      </c>
      <c r="F116" s="62">
        <f>'Review I &amp; II'!W117+ESE!AC117</f>
        <v>0</v>
      </c>
      <c r="G116" s="62">
        <f>'Review I &amp; II'!X117+ESE!AD117</f>
        <v>0</v>
      </c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</row>
    <row r="117" spans="1:23" ht="16.5" customHeight="1">
      <c r="A117" s="106">
        <f>BASE!B116</f>
        <v>0</v>
      </c>
      <c r="B117" s="80" t="s">
        <v>2</v>
      </c>
      <c r="C117" s="62">
        <f>'Review I &amp; II'!T118+ESE!Z118</f>
        <v>0</v>
      </c>
      <c r="D117" s="62">
        <f>'Review I &amp; II'!U118+ESE!AA118</f>
        <v>0</v>
      </c>
      <c r="E117" s="62">
        <f>'Review I &amp; II'!V118+ESE!AB118</f>
        <v>0</v>
      </c>
      <c r="F117" s="62">
        <f>'Review I &amp; II'!W118+ESE!AC118</f>
        <v>0</v>
      </c>
      <c r="G117" s="62">
        <f>'Review I &amp; II'!X118+ESE!AD118</f>
        <v>0</v>
      </c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</row>
    <row r="118" spans="1:23" ht="16.5" customHeight="1">
      <c r="A118" s="106">
        <f>BASE!B117</f>
        <v>0</v>
      </c>
      <c r="B118" s="80" t="s">
        <v>2</v>
      </c>
      <c r="C118" s="62">
        <f>'Review I &amp; II'!T119+ESE!Z119</f>
        <v>0</v>
      </c>
      <c r="D118" s="62">
        <f>'Review I &amp; II'!U119+ESE!AA119</f>
        <v>0</v>
      </c>
      <c r="E118" s="62">
        <f>'Review I &amp; II'!V119+ESE!AB119</f>
        <v>0</v>
      </c>
      <c r="F118" s="62">
        <f>'Review I &amp; II'!W119+ESE!AC119</f>
        <v>0</v>
      </c>
      <c r="G118" s="62">
        <f>'Review I &amp; II'!X119+ESE!AD119</f>
        <v>0</v>
      </c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</row>
    <row r="119" spans="1:23" ht="16.5" customHeight="1">
      <c r="A119" s="106">
        <f>BASE!B118</f>
        <v>0</v>
      </c>
      <c r="B119" s="80" t="s">
        <v>2</v>
      </c>
      <c r="C119" s="62">
        <f>'Review I &amp; II'!T120+ESE!Z120</f>
        <v>0</v>
      </c>
      <c r="D119" s="62">
        <f>'Review I &amp; II'!U120+ESE!AA120</f>
        <v>0</v>
      </c>
      <c r="E119" s="62">
        <f>'Review I &amp; II'!V120+ESE!AB120</f>
        <v>0</v>
      </c>
      <c r="F119" s="62">
        <f>'Review I &amp; II'!W120+ESE!AC120</f>
        <v>0</v>
      </c>
      <c r="G119" s="62">
        <f>'Review I &amp; II'!X120+ESE!AD120</f>
        <v>0</v>
      </c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</row>
    <row r="120" spans="1:23" ht="16.5" customHeight="1">
      <c r="A120" s="106">
        <f>BASE!B119</f>
        <v>0</v>
      </c>
      <c r="B120" s="80" t="s">
        <v>2</v>
      </c>
      <c r="C120" s="62">
        <f>'Review I &amp; II'!T121+ESE!Z121</f>
        <v>0</v>
      </c>
      <c r="D120" s="62">
        <f>'Review I &amp; II'!U121+ESE!AA121</f>
        <v>0</v>
      </c>
      <c r="E120" s="62">
        <f>'Review I &amp; II'!V121+ESE!AB121</f>
        <v>0</v>
      </c>
      <c r="F120" s="62">
        <f>'Review I &amp; II'!W121+ESE!AC121</f>
        <v>0</v>
      </c>
      <c r="G120" s="62">
        <f>'Review I &amp; II'!X121+ESE!AD121</f>
        <v>0</v>
      </c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</row>
    <row r="121" spans="1:23" ht="16.5" customHeight="1">
      <c r="A121" s="106">
        <f>BASE!B120</f>
        <v>0</v>
      </c>
      <c r="B121" s="80" t="s">
        <v>2</v>
      </c>
      <c r="C121" s="62">
        <f>'Review I &amp; II'!T122+ESE!Z122</f>
        <v>0</v>
      </c>
      <c r="D121" s="62">
        <f>'Review I &amp; II'!U122+ESE!AA122</f>
        <v>0</v>
      </c>
      <c r="E121" s="62">
        <f>'Review I &amp; II'!V122+ESE!AB122</f>
        <v>0</v>
      </c>
      <c r="F121" s="62">
        <f>'Review I &amp; II'!W122+ESE!AC122</f>
        <v>0</v>
      </c>
      <c r="G121" s="62">
        <f>'Review I &amp; II'!X122+ESE!AD122</f>
        <v>0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23" ht="16.5" customHeight="1">
      <c r="A122" s="106">
        <f>BASE!B121</f>
        <v>0</v>
      </c>
      <c r="B122" s="80" t="s">
        <v>2</v>
      </c>
      <c r="C122" s="62">
        <f>'Review I &amp; II'!T123+ESE!Z123</f>
        <v>0</v>
      </c>
      <c r="D122" s="62">
        <f>'Review I &amp; II'!U123+ESE!AA123</f>
        <v>0</v>
      </c>
      <c r="E122" s="62">
        <f>'Review I &amp; II'!V123+ESE!AB123</f>
        <v>0</v>
      </c>
      <c r="F122" s="62">
        <f>'Review I &amp; II'!W123+ESE!AC123</f>
        <v>0</v>
      </c>
      <c r="G122" s="62">
        <f>'Review I &amp; II'!X123+ESE!AD123</f>
        <v>0</v>
      </c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23" ht="16.5" customHeight="1">
      <c r="A123" s="106">
        <f>BASE!B122</f>
        <v>0</v>
      </c>
      <c r="B123" s="80" t="s">
        <v>2</v>
      </c>
      <c r="C123" s="62">
        <f>'Review I &amp; II'!T124+ESE!Z124</f>
        <v>0</v>
      </c>
      <c r="D123" s="62">
        <f>'Review I &amp; II'!U124+ESE!AA124</f>
        <v>0</v>
      </c>
      <c r="E123" s="62">
        <f>'Review I &amp; II'!V124+ESE!AB124</f>
        <v>0</v>
      </c>
      <c r="F123" s="62">
        <f>'Review I &amp; II'!W124+ESE!AC124</f>
        <v>0</v>
      </c>
      <c r="G123" s="62">
        <f>'Review I &amp; II'!X124+ESE!AD124</f>
        <v>0</v>
      </c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23" ht="16.5" customHeight="1">
      <c r="A124" s="106">
        <f>BASE!B123</f>
        <v>0</v>
      </c>
      <c r="B124" s="80" t="s">
        <v>2</v>
      </c>
      <c r="C124" s="62">
        <f>'Review I &amp; II'!T125+ESE!Z125</f>
        <v>0</v>
      </c>
      <c r="D124" s="62">
        <f>'Review I &amp; II'!U125+ESE!AA125</f>
        <v>0</v>
      </c>
      <c r="E124" s="62">
        <f>'Review I &amp; II'!V125+ESE!AB125</f>
        <v>0</v>
      </c>
      <c r="F124" s="62">
        <f>'Review I &amp; II'!W125+ESE!AC125</f>
        <v>0</v>
      </c>
      <c r="G124" s="62">
        <f>'Review I &amp; II'!X125+ESE!AD125</f>
        <v>0</v>
      </c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23" ht="16.5" customHeight="1">
      <c r="A125" s="106">
        <f>BASE!B124</f>
        <v>0</v>
      </c>
      <c r="B125" s="80" t="s">
        <v>2</v>
      </c>
      <c r="C125" s="62">
        <f>'Review I &amp; II'!T126+ESE!Z126</f>
        <v>0</v>
      </c>
      <c r="D125" s="62">
        <f>'Review I &amp; II'!U126+ESE!AA126</f>
        <v>0</v>
      </c>
      <c r="E125" s="62">
        <f>'Review I &amp; II'!V126+ESE!AB126</f>
        <v>0</v>
      </c>
      <c r="F125" s="62">
        <f>'Review I &amp; II'!W126+ESE!AC126</f>
        <v>0</v>
      </c>
      <c r="G125" s="62">
        <f>'Review I &amp; II'!X126+ESE!AD126</f>
        <v>0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23" ht="16.5" customHeight="1">
      <c r="A126" s="106">
        <f>BASE!B125</f>
        <v>0</v>
      </c>
      <c r="B126" s="80" t="s">
        <v>2</v>
      </c>
      <c r="C126" s="62">
        <f>'Review I &amp; II'!T127+ESE!Z127</f>
        <v>0</v>
      </c>
      <c r="D126" s="62">
        <f>'Review I &amp; II'!U127+ESE!AA127</f>
        <v>0</v>
      </c>
      <c r="E126" s="62">
        <f>'Review I &amp; II'!V127+ESE!AB127</f>
        <v>0</v>
      </c>
      <c r="F126" s="62">
        <f>'Review I &amp; II'!W127+ESE!AC127</f>
        <v>0</v>
      </c>
      <c r="G126" s="62">
        <f>'Review I &amp; II'!X127+ESE!AD127</f>
        <v>0</v>
      </c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23" ht="16.5" customHeight="1">
      <c r="A127" s="106">
        <f>BASE!B126</f>
        <v>0</v>
      </c>
      <c r="B127" s="80" t="s">
        <v>2</v>
      </c>
      <c r="C127" s="62">
        <f>'Review I &amp; II'!T128+ESE!Z128</f>
        <v>0</v>
      </c>
      <c r="D127" s="62">
        <f>'Review I &amp; II'!U128+ESE!AA128</f>
        <v>0</v>
      </c>
      <c r="E127" s="62">
        <f>'Review I &amp; II'!V128+ESE!AB128</f>
        <v>0</v>
      </c>
      <c r="F127" s="62">
        <f>'Review I &amp; II'!W128+ESE!AC128</f>
        <v>0</v>
      </c>
      <c r="G127" s="62">
        <f>'Review I &amp; II'!X128+ESE!AD128</f>
        <v>0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23" ht="16.5" customHeight="1">
      <c r="A128" s="106">
        <f>BASE!B127</f>
        <v>0</v>
      </c>
      <c r="B128" s="80" t="s">
        <v>2</v>
      </c>
      <c r="C128" s="62">
        <f>'Review I &amp; II'!T129+ESE!Z129</f>
        <v>0</v>
      </c>
      <c r="D128" s="62">
        <f>'Review I &amp; II'!U129+ESE!AA129</f>
        <v>0</v>
      </c>
      <c r="E128" s="62">
        <f>'Review I &amp; II'!V129+ESE!AB129</f>
        <v>0</v>
      </c>
      <c r="F128" s="62">
        <f>'Review I &amp; II'!W129+ESE!AC129</f>
        <v>0</v>
      </c>
      <c r="G128" s="62">
        <f>'Review I &amp; II'!X129+ESE!AD129</f>
        <v>0</v>
      </c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</row>
    <row r="129" spans="1:23" ht="16.5" customHeight="1">
      <c r="A129" s="106">
        <f>BASE!B128</f>
        <v>0</v>
      </c>
      <c r="B129" s="80" t="s">
        <v>2</v>
      </c>
      <c r="C129" s="62">
        <f>'Review I &amp; II'!T130+ESE!Z130</f>
        <v>0</v>
      </c>
      <c r="D129" s="62">
        <f>'Review I &amp; II'!U130+ESE!AA130</f>
        <v>0</v>
      </c>
      <c r="E129" s="62">
        <f>'Review I &amp; II'!V130+ESE!AB130</f>
        <v>0</v>
      </c>
      <c r="F129" s="62">
        <f>'Review I &amp; II'!W130+ESE!AC130</f>
        <v>0</v>
      </c>
      <c r="G129" s="62">
        <f>'Review I &amp; II'!X130+ESE!AD130</f>
        <v>0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</row>
    <row r="130" spans="1:23" ht="16.5" customHeight="1">
      <c r="A130" s="106">
        <f>BASE!B129</f>
        <v>0</v>
      </c>
      <c r="B130" s="80" t="s">
        <v>2</v>
      </c>
      <c r="C130" s="62">
        <f>'Review I &amp; II'!T131+ESE!Z131</f>
        <v>0</v>
      </c>
      <c r="D130" s="62">
        <f>'Review I &amp; II'!U131+ESE!AA131</f>
        <v>0</v>
      </c>
      <c r="E130" s="62">
        <f>'Review I &amp; II'!V131+ESE!AB131</f>
        <v>0</v>
      </c>
      <c r="F130" s="62">
        <f>'Review I &amp; II'!W131+ESE!AC131</f>
        <v>0</v>
      </c>
      <c r="G130" s="62">
        <f>'Review I &amp; II'!X131+ESE!AD131</f>
        <v>0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</row>
    <row r="131" spans="1:23" ht="16.5" customHeight="1">
      <c r="A131" s="106">
        <f>BASE!B130</f>
        <v>0</v>
      </c>
      <c r="B131" s="80" t="s">
        <v>2</v>
      </c>
      <c r="C131" s="62">
        <f>'Review I &amp; II'!T132+ESE!Z132</f>
        <v>0</v>
      </c>
      <c r="D131" s="62">
        <f>'Review I &amp; II'!U132+ESE!AA132</f>
        <v>0</v>
      </c>
      <c r="E131" s="62">
        <f>'Review I &amp; II'!V132+ESE!AB132</f>
        <v>0</v>
      </c>
      <c r="F131" s="62">
        <f>'Review I &amp; II'!W132+ESE!AC132</f>
        <v>0</v>
      </c>
      <c r="G131" s="62">
        <f>'Review I &amp; II'!X132+ESE!AD132</f>
        <v>0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</row>
    <row r="132" spans="1:23" ht="16.5" customHeight="1">
      <c r="A132" s="106">
        <f>BASE!B131</f>
        <v>0</v>
      </c>
      <c r="B132" s="80" t="s">
        <v>2</v>
      </c>
      <c r="C132" s="62">
        <f>'Review I &amp; II'!T133+ESE!Z133</f>
        <v>0</v>
      </c>
      <c r="D132" s="62">
        <f>'Review I &amp; II'!U133+ESE!AA133</f>
        <v>0</v>
      </c>
      <c r="E132" s="62">
        <f>'Review I &amp; II'!V133+ESE!AB133</f>
        <v>0</v>
      </c>
      <c r="F132" s="62">
        <f>'Review I &amp; II'!W133+ESE!AC133</f>
        <v>0</v>
      </c>
      <c r="G132" s="62">
        <f>'Review I &amp; II'!X133+ESE!AD133</f>
        <v>0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</row>
    <row r="133" spans="1:23" ht="16.5" customHeight="1">
      <c r="A133" s="106">
        <f>BASE!B132</f>
        <v>0</v>
      </c>
      <c r="B133" s="80" t="s">
        <v>2</v>
      </c>
      <c r="C133" s="62">
        <f>'Review I &amp; II'!T134+ESE!Z134</f>
        <v>0</v>
      </c>
      <c r="D133" s="62">
        <f>'Review I &amp; II'!U134+ESE!AA134</f>
        <v>0</v>
      </c>
      <c r="E133" s="62">
        <f>'Review I &amp; II'!V134+ESE!AB134</f>
        <v>0</v>
      </c>
      <c r="F133" s="62">
        <f>'Review I &amp; II'!W134+ESE!AC134</f>
        <v>0</v>
      </c>
      <c r="G133" s="62">
        <f>'Review I &amp; II'!X134+ESE!AD134</f>
        <v>0</v>
      </c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</row>
    <row r="134" spans="1:23" ht="16.5" customHeight="1">
      <c r="A134" s="106">
        <f>BASE!B133</f>
        <v>0</v>
      </c>
      <c r="B134" s="80" t="s">
        <v>2</v>
      </c>
      <c r="C134" s="62">
        <f>'Review I &amp; II'!T135+ESE!Z135</f>
        <v>0</v>
      </c>
      <c r="D134" s="62">
        <f>'Review I &amp; II'!U135+ESE!AA135</f>
        <v>0</v>
      </c>
      <c r="E134" s="62">
        <f>'Review I &amp; II'!V135+ESE!AB135</f>
        <v>0</v>
      </c>
      <c r="F134" s="62">
        <f>'Review I &amp; II'!W135+ESE!AC135</f>
        <v>0</v>
      </c>
      <c r="G134" s="62">
        <f>'Review I &amp; II'!X135+ESE!AD135</f>
        <v>0</v>
      </c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</row>
    <row r="135" spans="1:23" ht="16.5" customHeight="1">
      <c r="A135" s="106">
        <f>BASE!B134</f>
        <v>0</v>
      </c>
      <c r="B135" s="80" t="s">
        <v>2</v>
      </c>
      <c r="C135" s="62">
        <f>'Review I &amp; II'!T136+ESE!Z136</f>
        <v>0</v>
      </c>
      <c r="D135" s="62">
        <f>'Review I &amp; II'!U136+ESE!AA136</f>
        <v>0</v>
      </c>
      <c r="E135" s="62">
        <f>'Review I &amp; II'!V136+ESE!AB136</f>
        <v>0</v>
      </c>
      <c r="F135" s="62">
        <f>'Review I &amp; II'!W136+ESE!AC136</f>
        <v>0</v>
      </c>
      <c r="G135" s="62">
        <f>'Review I &amp; II'!X136+ESE!AD136</f>
        <v>0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</row>
    <row r="136" spans="1:23" ht="16.5" customHeight="1">
      <c r="A136" s="106">
        <f>BASE!B135</f>
        <v>0</v>
      </c>
      <c r="B136" s="80" t="s">
        <v>2</v>
      </c>
      <c r="C136" s="62">
        <f>'Review I &amp; II'!T137+ESE!Z137</f>
        <v>0</v>
      </c>
      <c r="D136" s="62">
        <f>'Review I &amp; II'!U137+ESE!AA137</f>
        <v>0</v>
      </c>
      <c r="E136" s="62">
        <f>'Review I &amp; II'!V137+ESE!AB137</f>
        <v>0</v>
      </c>
      <c r="F136" s="62">
        <f>'Review I &amp; II'!W137+ESE!AC137</f>
        <v>0</v>
      </c>
      <c r="G136" s="62">
        <f>'Review I &amp; II'!X137+ESE!AD137</f>
        <v>0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</row>
    <row r="137" spans="1:23" ht="16.5" customHeight="1">
      <c r="A137" s="106">
        <f>BASE!B136</f>
        <v>0</v>
      </c>
      <c r="B137" s="80" t="s">
        <v>2</v>
      </c>
      <c r="C137" s="62">
        <f>'Review I &amp; II'!T138+ESE!Z138</f>
        <v>0</v>
      </c>
      <c r="D137" s="62">
        <f>'Review I &amp; II'!U138+ESE!AA138</f>
        <v>0</v>
      </c>
      <c r="E137" s="62">
        <f>'Review I &amp; II'!V138+ESE!AB138</f>
        <v>0</v>
      </c>
      <c r="F137" s="62">
        <f>'Review I &amp; II'!W138+ESE!AC138</f>
        <v>0</v>
      </c>
      <c r="G137" s="62">
        <f>'Review I &amp; II'!X138+ESE!AD138</f>
        <v>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</row>
    <row r="138" spans="1:23" ht="16.5" customHeight="1">
      <c r="A138" s="106">
        <f>BASE!B137</f>
        <v>0</v>
      </c>
      <c r="B138" s="80" t="s">
        <v>2</v>
      </c>
      <c r="C138" s="62">
        <f>'Review I &amp; II'!T139+ESE!Z139</f>
        <v>0</v>
      </c>
      <c r="D138" s="62">
        <f>'Review I &amp; II'!U139+ESE!AA139</f>
        <v>0</v>
      </c>
      <c r="E138" s="62">
        <f>'Review I &amp; II'!V139+ESE!AB139</f>
        <v>0</v>
      </c>
      <c r="F138" s="62">
        <f>'Review I &amp; II'!W139+ESE!AC139</f>
        <v>0</v>
      </c>
      <c r="G138" s="62">
        <f>'Review I &amp; II'!X139+ESE!AD139</f>
        <v>0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</row>
    <row r="139" spans="1:23" ht="16.5" customHeight="1">
      <c r="A139" s="106">
        <f>BASE!B138</f>
        <v>0</v>
      </c>
      <c r="B139" s="80" t="s">
        <v>2</v>
      </c>
      <c r="C139" s="62">
        <f>'Review I &amp; II'!T140+ESE!Z140</f>
        <v>0</v>
      </c>
      <c r="D139" s="62">
        <f>'Review I &amp; II'!U140+ESE!AA140</f>
        <v>0</v>
      </c>
      <c r="E139" s="62">
        <f>'Review I &amp; II'!V140+ESE!AB140</f>
        <v>0</v>
      </c>
      <c r="F139" s="62">
        <f>'Review I &amp; II'!W140+ESE!AC140</f>
        <v>0</v>
      </c>
      <c r="G139" s="62">
        <f>'Review I &amp; II'!X140+ESE!AD140</f>
        <v>0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</row>
    <row r="140" spans="1:23" ht="16.5" customHeight="1">
      <c r="A140" s="106">
        <f>BASE!B139</f>
        <v>0</v>
      </c>
      <c r="B140" s="80" t="s">
        <v>2</v>
      </c>
      <c r="C140" s="62">
        <f>'Review I &amp; II'!T141+ESE!Z141</f>
        <v>0</v>
      </c>
      <c r="D140" s="62">
        <f>'Review I &amp; II'!U141+ESE!AA141</f>
        <v>0</v>
      </c>
      <c r="E140" s="62">
        <f>'Review I &amp; II'!V141+ESE!AB141</f>
        <v>0</v>
      </c>
      <c r="F140" s="62">
        <f>'Review I &amp; II'!W141+ESE!AC141</f>
        <v>0</v>
      </c>
      <c r="G140" s="62">
        <f>'Review I &amp; II'!X141+ESE!AD141</f>
        <v>0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</row>
    <row r="141" spans="1:23" ht="16.5" customHeight="1">
      <c r="A141" s="106">
        <f>BASE!B140</f>
        <v>0</v>
      </c>
      <c r="B141" s="80" t="s">
        <v>2</v>
      </c>
      <c r="C141" s="62">
        <f>'Review I &amp; II'!T142+ESE!Z142</f>
        <v>0</v>
      </c>
      <c r="D141" s="62">
        <f>'Review I &amp; II'!U142+ESE!AA142</f>
        <v>0</v>
      </c>
      <c r="E141" s="62">
        <f>'Review I &amp; II'!V142+ESE!AB142</f>
        <v>0</v>
      </c>
      <c r="F141" s="62">
        <f>'Review I &amp; II'!W142+ESE!AC142</f>
        <v>0</v>
      </c>
      <c r="G141" s="62">
        <f>'Review I &amp; II'!X142+ESE!AD142</f>
        <v>0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</row>
    <row r="142" spans="1:23" ht="16.5" customHeight="1">
      <c r="A142" s="106">
        <f>BASE!B141</f>
        <v>0</v>
      </c>
      <c r="B142" s="80" t="s">
        <v>2</v>
      </c>
      <c r="C142" s="62">
        <f>'Review I &amp; II'!T143+ESE!Z143</f>
        <v>0</v>
      </c>
      <c r="D142" s="62">
        <f>'Review I &amp; II'!U143+ESE!AA143</f>
        <v>0</v>
      </c>
      <c r="E142" s="62">
        <f>'Review I &amp; II'!V143+ESE!AB143</f>
        <v>0</v>
      </c>
      <c r="F142" s="62">
        <f>'Review I &amp; II'!W143+ESE!AC143</f>
        <v>0</v>
      </c>
      <c r="G142" s="62">
        <f>'Review I &amp; II'!X143+ESE!AD143</f>
        <v>0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</row>
    <row r="143" spans="1:23" ht="16.5" customHeight="1">
      <c r="A143" s="106">
        <f>BASE!B142</f>
        <v>0</v>
      </c>
      <c r="B143" s="80" t="s">
        <v>2</v>
      </c>
      <c r="C143" s="62">
        <f>'Review I &amp; II'!T144+ESE!Z144</f>
        <v>0</v>
      </c>
      <c r="D143" s="62">
        <f>'Review I &amp; II'!U144+ESE!AA144</f>
        <v>0</v>
      </c>
      <c r="E143" s="62">
        <f>'Review I &amp; II'!V144+ESE!AB144</f>
        <v>0</v>
      </c>
      <c r="F143" s="62">
        <f>'Review I &amp; II'!W144+ESE!AC144</f>
        <v>0</v>
      </c>
      <c r="G143" s="62">
        <f>'Review I &amp; II'!X144+ESE!AD144</f>
        <v>0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</row>
    <row r="144" spans="1:23" ht="16.5" customHeight="1">
      <c r="A144" s="106">
        <f>BASE!B143</f>
        <v>0</v>
      </c>
      <c r="B144" s="80" t="s">
        <v>2</v>
      </c>
      <c r="C144" s="62">
        <f>'Review I &amp; II'!T145+ESE!Z145</f>
        <v>0</v>
      </c>
      <c r="D144" s="62">
        <f>'Review I &amp; II'!U145+ESE!AA145</f>
        <v>0</v>
      </c>
      <c r="E144" s="62">
        <f>'Review I &amp; II'!V145+ESE!AB145</f>
        <v>0</v>
      </c>
      <c r="F144" s="62">
        <f>'Review I &amp; II'!W145+ESE!AC145</f>
        <v>0</v>
      </c>
      <c r="G144" s="62">
        <f>'Review I &amp; II'!X145+ESE!AD145</f>
        <v>0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</row>
    <row r="145" spans="1:23" ht="16.5" customHeight="1">
      <c r="A145" s="106">
        <f>BASE!B144</f>
        <v>0</v>
      </c>
      <c r="B145" s="80" t="s">
        <v>2</v>
      </c>
      <c r="C145" s="62">
        <f>'Review I &amp; II'!T146+ESE!Z146</f>
        <v>0</v>
      </c>
      <c r="D145" s="62">
        <f>'Review I &amp; II'!U146+ESE!AA146</f>
        <v>0</v>
      </c>
      <c r="E145" s="62">
        <f>'Review I &amp; II'!V146+ESE!AB146</f>
        <v>0</v>
      </c>
      <c r="F145" s="62">
        <f>'Review I &amp; II'!W146+ESE!AC146</f>
        <v>0</v>
      </c>
      <c r="G145" s="62">
        <f>'Review I &amp; II'!X146+ESE!AD146</f>
        <v>0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</row>
    <row r="146" spans="1:23" ht="16.5" customHeight="1">
      <c r="A146" s="106">
        <f>BASE!B145</f>
        <v>0</v>
      </c>
      <c r="B146" s="80" t="s">
        <v>2</v>
      </c>
      <c r="C146" s="62">
        <f>'Review I &amp; II'!T147+ESE!Z147</f>
        <v>0</v>
      </c>
      <c r="D146" s="62">
        <f>'Review I &amp; II'!U147+ESE!AA147</f>
        <v>0</v>
      </c>
      <c r="E146" s="62">
        <f>'Review I &amp; II'!V147+ESE!AB147</f>
        <v>0</v>
      </c>
      <c r="F146" s="62">
        <f>'Review I &amp; II'!W147+ESE!AC147</f>
        <v>0</v>
      </c>
      <c r="G146" s="62">
        <f>'Review I &amp; II'!X147+ESE!AD147</f>
        <v>0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</row>
    <row r="147" spans="1:23" ht="16.5" customHeight="1">
      <c r="A147" s="106">
        <f>BASE!B146</f>
        <v>0</v>
      </c>
      <c r="B147" s="80" t="s">
        <v>2</v>
      </c>
      <c r="C147" s="62">
        <f>'Review I &amp; II'!T148+ESE!Z148</f>
        <v>0</v>
      </c>
      <c r="D147" s="62">
        <f>'Review I &amp; II'!U148+ESE!AA148</f>
        <v>0</v>
      </c>
      <c r="E147" s="62">
        <f>'Review I &amp; II'!V148+ESE!AB148</f>
        <v>0</v>
      </c>
      <c r="F147" s="62">
        <f>'Review I &amp; II'!W148+ESE!AC148</f>
        <v>0</v>
      </c>
      <c r="G147" s="62">
        <f>'Review I &amp; II'!X148+ESE!AD148</f>
        <v>0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</row>
    <row r="148" spans="1:23" ht="16.5" customHeight="1">
      <c r="A148" s="106">
        <f>BASE!B147</f>
        <v>0</v>
      </c>
      <c r="B148" s="80" t="s">
        <v>2</v>
      </c>
      <c r="C148" s="62">
        <f>'Review I &amp; II'!T149+ESE!Z149</f>
        <v>0</v>
      </c>
      <c r="D148" s="62">
        <f>'Review I &amp; II'!U149+ESE!AA149</f>
        <v>0</v>
      </c>
      <c r="E148" s="62">
        <f>'Review I &amp; II'!V149+ESE!AB149</f>
        <v>0</v>
      </c>
      <c r="F148" s="62">
        <f>'Review I &amp; II'!W149+ESE!AC149</f>
        <v>0</v>
      </c>
      <c r="G148" s="62">
        <f>'Review I &amp; II'!X149+ESE!AD149</f>
        <v>0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</row>
    <row r="149" spans="1:23" ht="16.5" customHeight="1">
      <c r="A149" s="106">
        <f>BASE!B148</f>
        <v>0</v>
      </c>
      <c r="B149" s="80" t="s">
        <v>2</v>
      </c>
      <c r="C149" s="62">
        <f>'Review I &amp; II'!T150+ESE!Z150</f>
        <v>0</v>
      </c>
      <c r="D149" s="62">
        <f>'Review I &amp; II'!U150+ESE!AA150</f>
        <v>0</v>
      </c>
      <c r="E149" s="62">
        <f>'Review I &amp; II'!V150+ESE!AB150</f>
        <v>0</v>
      </c>
      <c r="F149" s="62">
        <f>'Review I &amp; II'!W150+ESE!AC150</f>
        <v>0</v>
      </c>
      <c r="G149" s="62">
        <f>'Review I &amp; II'!X150+ESE!AD150</f>
        <v>0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</row>
    <row r="150" spans="1:23" ht="16.5" customHeight="1">
      <c r="A150" s="106">
        <f>BASE!B149</f>
        <v>0</v>
      </c>
      <c r="B150" s="80" t="s">
        <v>2</v>
      </c>
      <c r="C150" s="62">
        <f>'Review I &amp; II'!T151+ESE!Z151</f>
        <v>0</v>
      </c>
      <c r="D150" s="62">
        <f>'Review I &amp; II'!U151+ESE!AA151</f>
        <v>0</v>
      </c>
      <c r="E150" s="62">
        <f>'Review I &amp; II'!V151+ESE!AB151</f>
        <v>0</v>
      </c>
      <c r="F150" s="62">
        <f>'Review I &amp; II'!W151+ESE!AC151</f>
        <v>0</v>
      </c>
      <c r="G150" s="62">
        <f>'Review I &amp; II'!X151+ESE!AD151</f>
        <v>0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</row>
    <row r="151" spans="1:23" ht="16.5" customHeight="1">
      <c r="A151" s="106">
        <f>BASE!B150</f>
        <v>0</v>
      </c>
      <c r="B151" s="80" t="s">
        <v>2</v>
      </c>
      <c r="C151" s="62">
        <f>'Review I &amp; II'!T152+ESE!Z152</f>
        <v>0</v>
      </c>
      <c r="D151" s="62">
        <f>'Review I &amp; II'!U152+ESE!AA152</f>
        <v>0</v>
      </c>
      <c r="E151" s="62">
        <f>'Review I &amp; II'!V152+ESE!AB152</f>
        <v>0</v>
      </c>
      <c r="F151" s="62">
        <f>'Review I &amp; II'!W152+ESE!AC152</f>
        <v>0</v>
      </c>
      <c r="G151" s="62">
        <f>'Review I &amp; II'!X152+ESE!AD152</f>
        <v>0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</row>
    <row r="152" spans="1:23" ht="16.5" customHeight="1">
      <c r="A152" s="106">
        <f>BASE!B151</f>
        <v>0</v>
      </c>
      <c r="B152" s="80" t="s">
        <v>2</v>
      </c>
      <c r="C152" s="62">
        <f>'Review I &amp; II'!T153+ESE!Z153</f>
        <v>0</v>
      </c>
      <c r="D152" s="62">
        <f>'Review I &amp; II'!U153+ESE!AA153</f>
        <v>0</v>
      </c>
      <c r="E152" s="62">
        <f>'Review I &amp; II'!V153+ESE!AB153</f>
        <v>0</v>
      </c>
      <c r="F152" s="62">
        <f>'Review I &amp; II'!W153+ESE!AC153</f>
        <v>0</v>
      </c>
      <c r="G152" s="62">
        <f>'Review I &amp; II'!X153+ESE!AD153</f>
        <v>0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</row>
    <row r="153" spans="1:23" ht="16.5" customHeight="1">
      <c r="A153" s="106">
        <f>BASE!B152</f>
        <v>0</v>
      </c>
      <c r="B153" s="80" t="s">
        <v>2</v>
      </c>
      <c r="C153" s="62">
        <f>'Review I &amp; II'!T154+ESE!Z154</f>
        <v>0</v>
      </c>
      <c r="D153" s="62">
        <f>'Review I &amp; II'!U154+ESE!AA154</f>
        <v>0</v>
      </c>
      <c r="E153" s="62">
        <f>'Review I &amp; II'!V154+ESE!AB154</f>
        <v>0</v>
      </c>
      <c r="F153" s="62">
        <f>'Review I &amp; II'!W154+ESE!AC154</f>
        <v>0</v>
      </c>
      <c r="G153" s="62">
        <f>'Review I &amp; II'!X154+ESE!AD154</f>
        <v>0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</row>
    <row r="154" spans="1:23" ht="16.5" customHeight="1">
      <c r="A154" s="106">
        <f>BASE!B153</f>
        <v>0</v>
      </c>
      <c r="B154" s="80" t="s">
        <v>2</v>
      </c>
      <c r="C154" s="62">
        <f>'Review I &amp; II'!T155+ESE!Z155</f>
        <v>0</v>
      </c>
      <c r="D154" s="62">
        <f>'Review I &amp; II'!U155+ESE!AA155</f>
        <v>0</v>
      </c>
      <c r="E154" s="62">
        <f>'Review I &amp; II'!V155+ESE!AB155</f>
        <v>0</v>
      </c>
      <c r="F154" s="62">
        <f>'Review I &amp; II'!W155+ESE!AC155</f>
        <v>0</v>
      </c>
      <c r="G154" s="62">
        <f>'Review I &amp; II'!X155+ESE!AD155</f>
        <v>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</row>
    <row r="155" spans="1:23" ht="16.5" customHeight="1">
      <c r="A155" s="106">
        <f>BASE!B154</f>
        <v>0</v>
      </c>
      <c r="B155" s="80" t="s">
        <v>2</v>
      </c>
      <c r="C155" s="62">
        <f>'Review I &amp; II'!T156+ESE!Z156</f>
        <v>0</v>
      </c>
      <c r="D155" s="62">
        <f>'Review I &amp; II'!U156+ESE!AA156</f>
        <v>0</v>
      </c>
      <c r="E155" s="62">
        <f>'Review I &amp; II'!V156+ESE!AB156</f>
        <v>0</v>
      </c>
      <c r="F155" s="62">
        <f>'Review I &amp; II'!W156+ESE!AC156</f>
        <v>0</v>
      </c>
      <c r="G155" s="62">
        <f>'Review I &amp; II'!X156+ESE!AD156</f>
        <v>0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</row>
    <row r="156" spans="1:23" ht="16.5" customHeight="1">
      <c r="A156" s="106">
        <f>BASE!B155</f>
        <v>0</v>
      </c>
      <c r="B156" s="80" t="s">
        <v>2</v>
      </c>
      <c r="C156" s="62">
        <f>'Review I &amp; II'!T157+ESE!Z157</f>
        <v>0</v>
      </c>
      <c r="D156" s="62">
        <f>'Review I &amp; II'!U157+ESE!AA157</f>
        <v>0</v>
      </c>
      <c r="E156" s="62">
        <f>'Review I &amp; II'!V157+ESE!AB157</f>
        <v>0</v>
      </c>
      <c r="F156" s="62">
        <f>'Review I &amp; II'!W157+ESE!AC157</f>
        <v>0</v>
      </c>
      <c r="G156" s="62">
        <f>'Review I &amp; II'!X157+ESE!AD157</f>
        <v>0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</row>
    <row r="157" spans="1:23" ht="16.5" customHeight="1">
      <c r="A157" s="106">
        <f>BASE!B156</f>
        <v>0</v>
      </c>
      <c r="B157" s="80" t="s">
        <v>2</v>
      </c>
      <c r="C157" s="62">
        <f>'Review I &amp; II'!T158+ESE!Z158</f>
        <v>0</v>
      </c>
      <c r="D157" s="62">
        <f>'Review I &amp; II'!U158+ESE!AA158</f>
        <v>0</v>
      </c>
      <c r="E157" s="62">
        <f>'Review I &amp; II'!V158+ESE!AB158</f>
        <v>0</v>
      </c>
      <c r="F157" s="62">
        <f>'Review I &amp; II'!W158+ESE!AC158</f>
        <v>0</v>
      </c>
      <c r="G157" s="62">
        <f>'Review I &amp; II'!X158+ESE!AD158</f>
        <v>0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</row>
    <row r="158" spans="1:23" ht="16.5" customHeight="1">
      <c r="A158" s="106">
        <f>BASE!B157</f>
        <v>0</v>
      </c>
      <c r="B158" s="80" t="s">
        <v>2</v>
      </c>
      <c r="C158" s="62">
        <f>'Review I &amp; II'!T159+ESE!Z159</f>
        <v>0</v>
      </c>
      <c r="D158" s="62">
        <f>'Review I &amp; II'!U159+ESE!AA159</f>
        <v>0</v>
      </c>
      <c r="E158" s="62">
        <f>'Review I &amp; II'!V159+ESE!AB159</f>
        <v>0</v>
      </c>
      <c r="F158" s="62">
        <f>'Review I &amp; II'!W159+ESE!AC159</f>
        <v>0</v>
      </c>
      <c r="G158" s="62">
        <f>'Review I &amp; II'!X159+ESE!AD159</f>
        <v>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</row>
    <row r="159" spans="1:23" ht="16.5" customHeight="1">
      <c r="A159" s="106">
        <f>BASE!B158</f>
        <v>0</v>
      </c>
      <c r="B159" s="80" t="s">
        <v>2</v>
      </c>
      <c r="C159" s="62">
        <f>'Review I &amp; II'!T160+ESE!Z160</f>
        <v>0</v>
      </c>
      <c r="D159" s="62">
        <f>'Review I &amp; II'!U160+ESE!AA160</f>
        <v>0</v>
      </c>
      <c r="E159" s="62">
        <f>'Review I &amp; II'!V160+ESE!AB160</f>
        <v>0</v>
      </c>
      <c r="F159" s="62">
        <f>'Review I &amp; II'!W160+ESE!AC160</f>
        <v>0</v>
      </c>
      <c r="G159" s="62">
        <f>'Review I &amp; II'!X160+ESE!AD160</f>
        <v>0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</row>
    <row r="160" spans="1:23" ht="16.5" customHeight="1">
      <c r="A160" s="106">
        <f>BASE!B159</f>
        <v>0</v>
      </c>
      <c r="B160" s="80" t="s">
        <v>2</v>
      </c>
      <c r="C160" s="62">
        <f>'Review I &amp; II'!T161+ESE!Z161</f>
        <v>0</v>
      </c>
      <c r="D160" s="62">
        <f>'Review I &amp; II'!U161+ESE!AA161</f>
        <v>0</v>
      </c>
      <c r="E160" s="62">
        <f>'Review I &amp; II'!V161+ESE!AB161</f>
        <v>0</v>
      </c>
      <c r="F160" s="62">
        <f>'Review I &amp; II'!W161+ESE!AC161</f>
        <v>0</v>
      </c>
      <c r="G160" s="62">
        <f>'Review I &amp; II'!X161+ESE!AD161</f>
        <v>0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</row>
    <row r="161" spans="1:23" ht="16.5" customHeight="1">
      <c r="A161" s="106">
        <f>BASE!B160</f>
        <v>0</v>
      </c>
      <c r="B161" s="80" t="s">
        <v>2</v>
      </c>
      <c r="C161" s="62">
        <f>'Review I &amp; II'!T162+ESE!Z162</f>
        <v>0</v>
      </c>
      <c r="D161" s="62">
        <f>'Review I &amp; II'!U162+ESE!AA162</f>
        <v>0</v>
      </c>
      <c r="E161" s="62">
        <f>'Review I &amp; II'!V162+ESE!AB162</f>
        <v>0</v>
      </c>
      <c r="F161" s="62">
        <f>'Review I &amp; II'!W162+ESE!AC162</f>
        <v>0</v>
      </c>
      <c r="G161" s="62">
        <f>'Review I &amp; II'!X162+ESE!AD162</f>
        <v>0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</row>
    <row r="162" spans="1:23" ht="16.5" customHeight="1">
      <c r="A162" s="106">
        <f>BASE!B161</f>
        <v>0</v>
      </c>
      <c r="B162" s="80" t="s">
        <v>2</v>
      </c>
      <c r="C162" s="62">
        <f>'Review I &amp; II'!T163+ESE!Z163</f>
        <v>0</v>
      </c>
      <c r="D162" s="62">
        <f>'Review I &amp; II'!U163+ESE!AA163</f>
        <v>0</v>
      </c>
      <c r="E162" s="62">
        <f>'Review I &amp; II'!V163+ESE!AB163</f>
        <v>0</v>
      </c>
      <c r="F162" s="62">
        <f>'Review I &amp; II'!W163+ESE!AC163</f>
        <v>0</v>
      </c>
      <c r="G162" s="62">
        <f>'Review I &amp; II'!X163+ESE!AD163</f>
        <v>0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</row>
    <row r="163" spans="1:23" ht="16.5" customHeight="1">
      <c r="A163" s="106">
        <f>BASE!B162</f>
        <v>0</v>
      </c>
      <c r="B163" s="80" t="s">
        <v>2</v>
      </c>
      <c r="C163" s="62">
        <f>'Review I &amp; II'!T164+ESE!Z164</f>
        <v>0</v>
      </c>
      <c r="D163" s="62">
        <f>'Review I &amp; II'!U164+ESE!AA164</f>
        <v>0</v>
      </c>
      <c r="E163" s="62">
        <f>'Review I &amp; II'!V164+ESE!AB164</f>
        <v>0</v>
      </c>
      <c r="F163" s="62">
        <f>'Review I &amp; II'!W164+ESE!AC164</f>
        <v>0</v>
      </c>
      <c r="G163" s="62">
        <f>'Review I &amp; II'!X164+ESE!AD164</f>
        <v>0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</row>
    <row r="164" spans="1:23" ht="16.5" customHeight="1">
      <c r="A164" s="106">
        <f>BASE!B163</f>
        <v>0</v>
      </c>
      <c r="B164" s="80" t="s">
        <v>2</v>
      </c>
      <c r="C164" s="62">
        <f>'Review I &amp; II'!T165+ESE!Z165</f>
        <v>0</v>
      </c>
      <c r="D164" s="62">
        <f>'Review I &amp; II'!U165+ESE!AA165</f>
        <v>0</v>
      </c>
      <c r="E164" s="62">
        <f>'Review I &amp; II'!V165+ESE!AB165</f>
        <v>0</v>
      </c>
      <c r="F164" s="62">
        <f>'Review I &amp; II'!W165+ESE!AC165</f>
        <v>0</v>
      </c>
      <c r="G164" s="62">
        <f>'Review I &amp; II'!X165+ESE!AD165</f>
        <v>0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</row>
    <row r="165" spans="1:23" ht="16.5" customHeight="1">
      <c r="A165" s="106">
        <f>BASE!B164</f>
        <v>0</v>
      </c>
      <c r="B165" s="80" t="s">
        <v>2</v>
      </c>
      <c r="C165" s="62">
        <f>'Review I &amp; II'!T166+ESE!Z166</f>
        <v>0</v>
      </c>
      <c r="D165" s="62">
        <f>'Review I &amp; II'!U166+ESE!AA166</f>
        <v>0</v>
      </c>
      <c r="E165" s="62">
        <f>'Review I &amp; II'!V166+ESE!AB166</f>
        <v>0</v>
      </c>
      <c r="F165" s="62">
        <f>'Review I &amp; II'!W166+ESE!AC166</f>
        <v>0</v>
      </c>
      <c r="G165" s="62">
        <f>'Review I &amp; II'!X166+ESE!AD166</f>
        <v>0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</row>
    <row r="166" spans="1:23" ht="16.5" customHeight="1">
      <c r="A166" s="106">
        <f>BASE!B165</f>
        <v>0</v>
      </c>
      <c r="B166" s="80" t="s">
        <v>2</v>
      </c>
      <c r="C166" s="62">
        <f>'Review I &amp; II'!T167+ESE!Z167</f>
        <v>0</v>
      </c>
      <c r="D166" s="62">
        <f>'Review I &amp; II'!U167+ESE!AA167</f>
        <v>0</v>
      </c>
      <c r="E166" s="62">
        <f>'Review I &amp; II'!V167+ESE!AB167</f>
        <v>0</v>
      </c>
      <c r="F166" s="62">
        <f>'Review I &amp; II'!W167+ESE!AC167</f>
        <v>0</v>
      </c>
      <c r="G166" s="62">
        <f>'Review I &amp; II'!X167+ESE!AD167</f>
        <v>0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</row>
    <row r="167" spans="1:23" ht="16.5" customHeight="1">
      <c r="A167" s="106">
        <f>BASE!B166</f>
        <v>0</v>
      </c>
      <c r="B167" s="80" t="s">
        <v>2</v>
      </c>
      <c r="C167" s="62">
        <f>'Review I &amp; II'!T168+ESE!Z168</f>
        <v>0</v>
      </c>
      <c r="D167" s="62">
        <f>'Review I &amp; II'!U168+ESE!AA168</f>
        <v>0</v>
      </c>
      <c r="E167" s="62">
        <f>'Review I &amp; II'!V168+ESE!AB168</f>
        <v>0</v>
      </c>
      <c r="F167" s="62">
        <f>'Review I &amp; II'!W168+ESE!AC168</f>
        <v>0</v>
      </c>
      <c r="G167" s="62">
        <f>'Review I &amp; II'!X168+ESE!AD168</f>
        <v>0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</row>
    <row r="168" spans="1:23" ht="16.5" customHeight="1">
      <c r="A168" s="106">
        <f>BASE!B167</f>
        <v>0</v>
      </c>
      <c r="B168" s="80" t="s">
        <v>2</v>
      </c>
      <c r="C168" s="62">
        <f>'Review I &amp; II'!T169+ESE!Z169</f>
        <v>0</v>
      </c>
      <c r="D168" s="62">
        <f>'Review I &amp; II'!U169+ESE!AA169</f>
        <v>0</v>
      </c>
      <c r="E168" s="62">
        <f>'Review I &amp; II'!V169+ESE!AB169</f>
        <v>0</v>
      </c>
      <c r="F168" s="62">
        <f>'Review I &amp; II'!W169+ESE!AC169</f>
        <v>0</v>
      </c>
      <c r="G168" s="62">
        <f>'Review I &amp; II'!X169+ESE!AD169</f>
        <v>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</row>
    <row r="169" spans="1:23" ht="16.5" customHeight="1">
      <c r="A169" s="106">
        <f>BASE!B168</f>
        <v>0</v>
      </c>
      <c r="B169" s="80" t="s">
        <v>2</v>
      </c>
      <c r="C169" s="62">
        <f>'Review I &amp; II'!T170+ESE!Z170</f>
        <v>0</v>
      </c>
      <c r="D169" s="62">
        <f>'Review I &amp; II'!U170+ESE!AA170</f>
        <v>0</v>
      </c>
      <c r="E169" s="62">
        <f>'Review I &amp; II'!V170+ESE!AB170</f>
        <v>0</v>
      </c>
      <c r="F169" s="62">
        <f>'Review I &amp; II'!W170+ESE!AC170</f>
        <v>0</v>
      </c>
      <c r="G169" s="62">
        <f>'Review I &amp; II'!X170+ESE!AD170</f>
        <v>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</row>
    <row r="170" spans="1:23" ht="16.5" customHeight="1">
      <c r="A170" s="106">
        <f>BASE!B169</f>
        <v>0</v>
      </c>
      <c r="B170" s="80" t="s">
        <v>2</v>
      </c>
      <c r="C170" s="62">
        <f>'Review I &amp; II'!T171+ESE!Z171</f>
        <v>0</v>
      </c>
      <c r="D170" s="62">
        <f>'Review I &amp; II'!U171+ESE!AA171</f>
        <v>0</v>
      </c>
      <c r="E170" s="62">
        <f>'Review I &amp; II'!V171+ESE!AB171</f>
        <v>0</v>
      </c>
      <c r="F170" s="62">
        <f>'Review I &amp; II'!W171+ESE!AC171</f>
        <v>0</v>
      </c>
      <c r="G170" s="62">
        <f>'Review I &amp; II'!X171+ESE!AD171</f>
        <v>0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</row>
    <row r="171" spans="1:23" ht="16.5" customHeight="1">
      <c r="A171" s="106">
        <f>BASE!B170</f>
        <v>0</v>
      </c>
      <c r="B171" s="80" t="s">
        <v>2</v>
      </c>
      <c r="C171" s="62">
        <f>'Review I &amp; II'!T172+ESE!Z172</f>
        <v>0</v>
      </c>
      <c r="D171" s="62">
        <f>'Review I &amp; II'!U172+ESE!AA172</f>
        <v>0</v>
      </c>
      <c r="E171" s="62">
        <f>'Review I &amp; II'!V172+ESE!AB172</f>
        <v>0</v>
      </c>
      <c r="F171" s="62">
        <f>'Review I &amp; II'!W172+ESE!AC172</f>
        <v>0</v>
      </c>
      <c r="G171" s="62">
        <f>'Review I &amp; II'!X172+ESE!AD172</f>
        <v>0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</row>
    <row r="172" spans="1:23" ht="16.5" customHeight="1">
      <c r="A172" s="106">
        <f>BASE!B171</f>
        <v>0</v>
      </c>
      <c r="B172" s="80" t="s">
        <v>2</v>
      </c>
      <c r="C172" s="62">
        <f>'Review I &amp; II'!T173+ESE!Z173</f>
        <v>0</v>
      </c>
      <c r="D172" s="62">
        <f>'Review I &amp; II'!U173+ESE!AA173</f>
        <v>0</v>
      </c>
      <c r="E172" s="62">
        <f>'Review I &amp; II'!V173+ESE!AB173</f>
        <v>0</v>
      </c>
      <c r="F172" s="62">
        <f>'Review I &amp; II'!W173+ESE!AC173</f>
        <v>0</v>
      </c>
      <c r="G172" s="62">
        <f>'Review I &amp; II'!X173+ESE!AD173</f>
        <v>0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</row>
    <row r="173" spans="1:23" ht="16.5" customHeight="1">
      <c r="A173" s="106">
        <f>BASE!B172</f>
        <v>0</v>
      </c>
      <c r="B173" s="80" t="s">
        <v>2</v>
      </c>
      <c r="C173" s="62">
        <f>'Review I &amp; II'!T174+ESE!Z174</f>
        <v>0</v>
      </c>
      <c r="D173" s="62">
        <f>'Review I &amp; II'!U174+ESE!AA174</f>
        <v>0</v>
      </c>
      <c r="E173" s="62">
        <f>'Review I &amp; II'!V174+ESE!AB174</f>
        <v>0</v>
      </c>
      <c r="F173" s="62">
        <f>'Review I &amp; II'!W174+ESE!AC174</f>
        <v>0</v>
      </c>
      <c r="G173" s="62">
        <f>'Review I &amp; II'!X174+ESE!AD174</f>
        <v>0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</row>
    <row r="174" spans="1:23" ht="16.5" customHeight="1">
      <c r="A174" s="106">
        <f>BASE!B173</f>
        <v>0</v>
      </c>
      <c r="B174" s="80" t="s">
        <v>2</v>
      </c>
      <c r="C174" s="62">
        <f>'Review I &amp; II'!T175+ESE!Z175</f>
        <v>0</v>
      </c>
      <c r="D174" s="62">
        <f>'Review I &amp; II'!U175+ESE!AA175</f>
        <v>0</v>
      </c>
      <c r="E174" s="62">
        <f>'Review I &amp; II'!V175+ESE!AB175</f>
        <v>0</v>
      </c>
      <c r="F174" s="62">
        <f>'Review I &amp; II'!W175+ESE!AC175</f>
        <v>0</v>
      </c>
      <c r="G174" s="62">
        <f>'Review I &amp; II'!X175+ESE!AD175</f>
        <v>0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</row>
    <row r="175" spans="1:23" ht="16.5" customHeight="1">
      <c r="A175" s="106">
        <f>BASE!B174</f>
        <v>0</v>
      </c>
      <c r="B175" s="80" t="s">
        <v>2</v>
      </c>
      <c r="C175" s="62">
        <f>'Review I &amp; II'!T176+ESE!Z176</f>
        <v>0</v>
      </c>
      <c r="D175" s="62">
        <f>'Review I &amp; II'!U176+ESE!AA176</f>
        <v>0</v>
      </c>
      <c r="E175" s="62">
        <f>'Review I &amp; II'!V176+ESE!AB176</f>
        <v>0</v>
      </c>
      <c r="F175" s="62">
        <f>'Review I &amp; II'!W176+ESE!AC176</f>
        <v>0</v>
      </c>
      <c r="G175" s="62">
        <f>'Review I &amp; II'!X176+ESE!AD176</f>
        <v>0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</row>
    <row r="176" spans="1:23" ht="16.5" customHeight="1">
      <c r="A176" s="106">
        <f>BASE!B175</f>
        <v>0</v>
      </c>
      <c r="B176" s="80" t="s">
        <v>2</v>
      </c>
      <c r="C176" s="62">
        <f>'Review I &amp; II'!T177+ESE!Z177</f>
        <v>0</v>
      </c>
      <c r="D176" s="62">
        <f>'Review I &amp; II'!U177+ESE!AA177</f>
        <v>0</v>
      </c>
      <c r="E176" s="62">
        <f>'Review I &amp; II'!V177+ESE!AB177</f>
        <v>0</v>
      </c>
      <c r="F176" s="62">
        <f>'Review I &amp; II'!W177+ESE!AC177</f>
        <v>0</v>
      </c>
      <c r="G176" s="62">
        <f>'Review I &amp; II'!X177+ESE!AD177</f>
        <v>0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</row>
    <row r="177" spans="1:23" ht="16.5" customHeight="1">
      <c r="A177" s="106">
        <f>BASE!B176</f>
        <v>0</v>
      </c>
      <c r="B177" s="80" t="s">
        <v>2</v>
      </c>
      <c r="C177" s="62">
        <f>'Review I &amp; II'!T178+ESE!Z178</f>
        <v>0</v>
      </c>
      <c r="D177" s="62">
        <f>'Review I &amp; II'!U178+ESE!AA178</f>
        <v>0</v>
      </c>
      <c r="E177" s="62">
        <f>'Review I &amp; II'!V178+ESE!AB178</f>
        <v>0</v>
      </c>
      <c r="F177" s="62">
        <f>'Review I &amp; II'!W178+ESE!AC178</f>
        <v>0</v>
      </c>
      <c r="G177" s="62">
        <f>'Review I &amp; II'!X178+ESE!AD178</f>
        <v>0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</row>
    <row r="178" spans="1:23" ht="16.5" customHeight="1">
      <c r="A178" s="106">
        <f>BASE!B177</f>
        <v>0</v>
      </c>
      <c r="B178" s="80" t="s">
        <v>2</v>
      </c>
      <c r="C178" s="62">
        <f>'Review I &amp; II'!T179+ESE!Z179</f>
        <v>0</v>
      </c>
      <c r="D178" s="62">
        <f>'Review I &amp; II'!U179+ESE!AA179</f>
        <v>0</v>
      </c>
      <c r="E178" s="62">
        <f>'Review I &amp; II'!V179+ESE!AB179</f>
        <v>0</v>
      </c>
      <c r="F178" s="62">
        <f>'Review I &amp; II'!W179+ESE!AC179</f>
        <v>0</v>
      </c>
      <c r="G178" s="62">
        <f>'Review I &amp; II'!X179+ESE!AD179</f>
        <v>0</v>
      </c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</row>
    <row r="179" spans="1:23" ht="16.5" customHeight="1">
      <c r="A179" s="106">
        <f>BASE!B178</f>
        <v>0</v>
      </c>
      <c r="B179" s="80" t="s">
        <v>2</v>
      </c>
      <c r="C179" s="62">
        <f>'Review I &amp; II'!T180+ESE!Z180</f>
        <v>0</v>
      </c>
      <c r="D179" s="62">
        <f>'Review I &amp; II'!U180+ESE!AA180</f>
        <v>0</v>
      </c>
      <c r="E179" s="62">
        <f>'Review I &amp; II'!V180+ESE!AB180</f>
        <v>0</v>
      </c>
      <c r="F179" s="62">
        <f>'Review I &amp; II'!W180+ESE!AC180</f>
        <v>0</v>
      </c>
      <c r="G179" s="62">
        <f>'Review I &amp; II'!X180+ESE!AD180</f>
        <v>0</v>
      </c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</row>
    <row r="180" spans="1:23" ht="16.5" customHeight="1">
      <c r="A180" s="106">
        <f>BASE!B179</f>
        <v>0</v>
      </c>
      <c r="B180" s="80" t="s">
        <v>2</v>
      </c>
      <c r="C180" s="62">
        <f>'Review I &amp; II'!T181+ESE!Z181</f>
        <v>0</v>
      </c>
      <c r="D180" s="62">
        <f>'Review I &amp; II'!U181+ESE!AA181</f>
        <v>0</v>
      </c>
      <c r="E180" s="62">
        <f>'Review I &amp; II'!V181+ESE!AB181</f>
        <v>0</v>
      </c>
      <c r="F180" s="62">
        <f>'Review I &amp; II'!W181+ESE!AC181</f>
        <v>0</v>
      </c>
      <c r="G180" s="62">
        <f>'Review I &amp; II'!X181+ESE!AD181</f>
        <v>0</v>
      </c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</row>
    <row r="181" spans="1:23" ht="16.5" customHeight="1">
      <c r="A181" s="106">
        <f>BASE!B180</f>
        <v>0</v>
      </c>
      <c r="B181" s="80" t="s">
        <v>2</v>
      </c>
      <c r="C181" s="62">
        <f>'Review I &amp; II'!T182+ESE!Z182</f>
        <v>0</v>
      </c>
      <c r="D181" s="62">
        <f>'Review I &amp; II'!U182+ESE!AA182</f>
        <v>0</v>
      </c>
      <c r="E181" s="62">
        <f>'Review I &amp; II'!V182+ESE!AB182</f>
        <v>0</v>
      </c>
      <c r="F181" s="62">
        <f>'Review I &amp; II'!W182+ESE!AC182</f>
        <v>0</v>
      </c>
      <c r="G181" s="62">
        <f>'Review I &amp; II'!X182+ESE!AD182</f>
        <v>0</v>
      </c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</row>
    <row r="182" spans="1:23" ht="16.5" customHeight="1">
      <c r="A182" s="106">
        <f>BASE!B181</f>
        <v>0</v>
      </c>
      <c r="B182" s="80" t="s">
        <v>2</v>
      </c>
      <c r="C182" s="62">
        <f>'Review I &amp; II'!T183+ESE!Z183</f>
        <v>0</v>
      </c>
      <c r="D182" s="62">
        <f>'Review I &amp; II'!U183+ESE!AA183</f>
        <v>0</v>
      </c>
      <c r="E182" s="62">
        <f>'Review I &amp; II'!V183+ESE!AB183</f>
        <v>0</v>
      </c>
      <c r="F182" s="62">
        <f>'Review I &amp; II'!W183+ESE!AC183</f>
        <v>0</v>
      </c>
      <c r="G182" s="62">
        <f>'Review I &amp; II'!X183+ESE!AD183</f>
        <v>0</v>
      </c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</row>
    <row r="183" spans="1:23" ht="16.5" customHeight="1">
      <c r="A183" s="106">
        <f>BASE!B182</f>
        <v>0</v>
      </c>
      <c r="B183" s="80" t="s">
        <v>2</v>
      </c>
      <c r="C183" s="62">
        <f>'Review I &amp; II'!T184+ESE!Z184</f>
        <v>0</v>
      </c>
      <c r="D183" s="62">
        <f>'Review I &amp; II'!U184+ESE!AA184</f>
        <v>0</v>
      </c>
      <c r="E183" s="62">
        <f>'Review I &amp; II'!V184+ESE!AB184</f>
        <v>0</v>
      </c>
      <c r="F183" s="62">
        <f>'Review I &amp; II'!W184+ESE!AC184</f>
        <v>0</v>
      </c>
      <c r="G183" s="62">
        <f>'Review I &amp; II'!X184+ESE!AD184</f>
        <v>0</v>
      </c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</row>
    <row r="184" spans="1:23" ht="16.5" customHeight="1">
      <c r="A184" s="106">
        <f>BASE!B183</f>
        <v>0</v>
      </c>
      <c r="B184" s="80" t="s">
        <v>2</v>
      </c>
      <c r="C184" s="62">
        <f>'Review I &amp; II'!T185+ESE!Z185</f>
        <v>0</v>
      </c>
      <c r="D184" s="62">
        <f>'Review I &amp; II'!U185+ESE!AA185</f>
        <v>0</v>
      </c>
      <c r="E184" s="62">
        <f>'Review I &amp; II'!V185+ESE!AB185</f>
        <v>0</v>
      </c>
      <c r="F184" s="62">
        <f>'Review I &amp; II'!W185+ESE!AC185</f>
        <v>0</v>
      </c>
      <c r="G184" s="62">
        <f>'Review I &amp; II'!X185+ESE!AD185</f>
        <v>0</v>
      </c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</row>
    <row r="185" spans="1:23" ht="16.5" customHeight="1">
      <c r="A185" s="106">
        <f>BASE!B184</f>
        <v>0</v>
      </c>
      <c r="B185" s="80" t="s">
        <v>2</v>
      </c>
      <c r="C185" s="62">
        <f>'Review I &amp; II'!T186+ESE!Z186</f>
        <v>0</v>
      </c>
      <c r="D185" s="62">
        <f>'Review I &amp; II'!U186+ESE!AA186</f>
        <v>0</v>
      </c>
      <c r="E185" s="62">
        <f>'Review I &amp; II'!V186+ESE!AB186</f>
        <v>0</v>
      </c>
      <c r="F185" s="62">
        <f>'Review I &amp; II'!W186+ESE!AC186</f>
        <v>0</v>
      </c>
      <c r="G185" s="62">
        <f>'Review I &amp; II'!X186+ESE!AD186</f>
        <v>0</v>
      </c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</row>
    <row r="186" spans="1:23" ht="16.5" customHeight="1">
      <c r="A186" s="106">
        <f>BASE!B185</f>
        <v>0</v>
      </c>
      <c r="B186" s="80" t="s">
        <v>2</v>
      </c>
      <c r="C186" s="62">
        <f>'Review I &amp; II'!T187+ESE!Z187</f>
        <v>0</v>
      </c>
      <c r="D186" s="62">
        <f>'Review I &amp; II'!U187+ESE!AA187</f>
        <v>0</v>
      </c>
      <c r="E186" s="62">
        <f>'Review I &amp; II'!V187+ESE!AB187</f>
        <v>0</v>
      </c>
      <c r="F186" s="62">
        <f>'Review I &amp; II'!W187+ESE!AC187</f>
        <v>0</v>
      </c>
      <c r="G186" s="62">
        <f>'Review I &amp; II'!X187+ESE!AD187</f>
        <v>0</v>
      </c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</row>
    <row r="187" spans="1:23" ht="16.5" customHeight="1">
      <c r="A187" s="106">
        <f>BASE!B186</f>
        <v>0</v>
      </c>
      <c r="B187" s="80" t="s">
        <v>2</v>
      </c>
      <c r="C187" s="62">
        <f>'Review I &amp; II'!T188+ESE!Z188</f>
        <v>0</v>
      </c>
      <c r="D187" s="62">
        <f>'Review I &amp; II'!U188+ESE!AA188</f>
        <v>0</v>
      </c>
      <c r="E187" s="62">
        <f>'Review I &amp; II'!V188+ESE!AB188</f>
        <v>0</v>
      </c>
      <c r="F187" s="62">
        <f>'Review I &amp; II'!W188+ESE!AC188</f>
        <v>0</v>
      </c>
      <c r="G187" s="62">
        <f>'Review I &amp; II'!X188+ESE!AD188</f>
        <v>0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</row>
    <row r="188" spans="1:23" ht="16.5" customHeight="1">
      <c r="A188" s="106">
        <f>BASE!B187</f>
        <v>0</v>
      </c>
      <c r="B188" s="80" t="s">
        <v>2</v>
      </c>
      <c r="C188" s="62">
        <f>'Review I &amp; II'!T189+ESE!Z189</f>
        <v>0</v>
      </c>
      <c r="D188" s="62">
        <f>'Review I &amp; II'!U189+ESE!AA189</f>
        <v>0</v>
      </c>
      <c r="E188" s="62">
        <f>'Review I &amp; II'!V189+ESE!AB189</f>
        <v>0</v>
      </c>
      <c r="F188" s="62">
        <f>'Review I &amp; II'!W189+ESE!AC189</f>
        <v>0</v>
      </c>
      <c r="G188" s="62">
        <f>'Review I &amp; II'!X189+ESE!AD189</f>
        <v>0</v>
      </c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</row>
    <row r="189" spans="1:23" ht="16.5" customHeight="1">
      <c r="A189" s="106">
        <f>BASE!B188</f>
        <v>0</v>
      </c>
      <c r="B189" s="80" t="s">
        <v>2</v>
      </c>
      <c r="C189" s="62">
        <f>'Review I &amp; II'!T190+ESE!Z190</f>
        <v>0</v>
      </c>
      <c r="D189" s="62">
        <f>'Review I &amp; II'!U190+ESE!AA190</f>
        <v>0</v>
      </c>
      <c r="E189" s="62">
        <f>'Review I &amp; II'!V190+ESE!AB190</f>
        <v>0</v>
      </c>
      <c r="F189" s="62">
        <f>'Review I &amp; II'!W190+ESE!AC190</f>
        <v>0</v>
      </c>
      <c r="G189" s="62">
        <f>'Review I &amp; II'!X190+ESE!AD190</f>
        <v>0</v>
      </c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</row>
    <row r="190" spans="1:23" ht="16.5" customHeight="1">
      <c r="A190" s="106">
        <f>BASE!B189</f>
        <v>0</v>
      </c>
      <c r="B190" s="80" t="s">
        <v>2</v>
      </c>
      <c r="C190" s="62">
        <f>'Review I &amp; II'!T191+ESE!Z191</f>
        <v>0</v>
      </c>
      <c r="D190" s="62">
        <f>'Review I &amp; II'!U191+ESE!AA191</f>
        <v>0</v>
      </c>
      <c r="E190" s="62">
        <f>'Review I &amp; II'!V191+ESE!AB191</f>
        <v>0</v>
      </c>
      <c r="F190" s="62">
        <f>'Review I &amp; II'!W191+ESE!AC191</f>
        <v>0</v>
      </c>
      <c r="G190" s="62">
        <f>'Review I &amp; II'!X191+ESE!AD191</f>
        <v>0</v>
      </c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</row>
    <row r="191" spans="1:23" ht="16.5" customHeight="1">
      <c r="A191" s="106">
        <f>BASE!B190</f>
        <v>0</v>
      </c>
      <c r="B191" s="80" t="s">
        <v>2</v>
      </c>
      <c r="C191" s="62">
        <f>'Review I &amp; II'!T192+ESE!Z192</f>
        <v>0</v>
      </c>
      <c r="D191" s="62">
        <f>'Review I &amp; II'!U192+ESE!AA192</f>
        <v>0</v>
      </c>
      <c r="E191" s="62">
        <f>'Review I &amp; II'!V192+ESE!AB192</f>
        <v>0</v>
      </c>
      <c r="F191" s="62">
        <f>'Review I &amp; II'!W192+ESE!AC192</f>
        <v>0</v>
      </c>
      <c r="G191" s="62">
        <f>'Review I &amp; II'!X192+ESE!AD192</f>
        <v>0</v>
      </c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</row>
    <row r="192" spans="1:23" ht="16.5" customHeight="1">
      <c r="A192" s="106">
        <f>BASE!B191</f>
        <v>0</v>
      </c>
      <c r="B192" s="80" t="s">
        <v>2</v>
      </c>
      <c r="C192" s="62">
        <f>'Review I &amp; II'!T193+ESE!Z193</f>
        <v>0</v>
      </c>
      <c r="D192" s="62">
        <f>'Review I &amp; II'!U193+ESE!AA193</f>
        <v>0</v>
      </c>
      <c r="E192" s="62">
        <f>'Review I &amp; II'!V193+ESE!AB193</f>
        <v>0</v>
      </c>
      <c r="F192" s="62">
        <f>'Review I &amp; II'!W193+ESE!AC193</f>
        <v>0</v>
      </c>
      <c r="G192" s="62">
        <f>'Review I &amp; II'!X193+ESE!AD193</f>
        <v>0</v>
      </c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</row>
    <row r="193" spans="1:23" ht="16.5" customHeight="1">
      <c r="A193" s="106">
        <f>BASE!B192</f>
        <v>0</v>
      </c>
      <c r="B193" s="80" t="s">
        <v>2</v>
      </c>
      <c r="C193" s="62">
        <f>'Review I &amp; II'!T194+ESE!Z194</f>
        <v>0</v>
      </c>
      <c r="D193" s="62">
        <f>'Review I &amp; II'!U194+ESE!AA194</f>
        <v>0</v>
      </c>
      <c r="E193" s="62">
        <f>'Review I &amp; II'!V194+ESE!AB194</f>
        <v>0</v>
      </c>
      <c r="F193" s="62">
        <f>'Review I &amp; II'!W194+ESE!AC194</f>
        <v>0</v>
      </c>
      <c r="G193" s="62">
        <f>'Review I &amp; II'!X194+ESE!AD194</f>
        <v>0</v>
      </c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</row>
    <row r="194" spans="1:23" ht="16.5" customHeight="1">
      <c r="A194" s="106">
        <f>BASE!B193</f>
        <v>0</v>
      </c>
      <c r="B194" s="80" t="s">
        <v>2</v>
      </c>
      <c r="C194" s="62">
        <f>'Review I &amp; II'!T195+ESE!Z195</f>
        <v>0</v>
      </c>
      <c r="D194" s="62">
        <f>'Review I &amp; II'!U195+ESE!AA195</f>
        <v>0</v>
      </c>
      <c r="E194" s="62">
        <f>'Review I &amp; II'!V195+ESE!AB195</f>
        <v>0</v>
      </c>
      <c r="F194" s="62">
        <f>'Review I &amp; II'!W195+ESE!AC195</f>
        <v>0</v>
      </c>
      <c r="G194" s="62">
        <f>'Review I &amp; II'!X195+ESE!AD195</f>
        <v>0</v>
      </c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</row>
    <row r="195" spans="1:23" ht="16.5" customHeight="1">
      <c r="A195" s="106">
        <f>BASE!B194</f>
        <v>0</v>
      </c>
      <c r="B195" s="80" t="s">
        <v>2</v>
      </c>
      <c r="C195" s="62">
        <f>'Review I &amp; II'!T196+ESE!Z196</f>
        <v>0</v>
      </c>
      <c r="D195" s="62">
        <f>'Review I &amp; II'!U196+ESE!AA196</f>
        <v>0</v>
      </c>
      <c r="E195" s="62">
        <f>'Review I &amp; II'!V196+ESE!AB196</f>
        <v>0</v>
      </c>
      <c r="F195" s="62">
        <f>'Review I &amp; II'!W196+ESE!AC196</f>
        <v>0</v>
      </c>
      <c r="G195" s="62">
        <f>'Review I &amp; II'!X196+ESE!AD196</f>
        <v>0</v>
      </c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</row>
    <row r="196" spans="1:23" ht="16.5" customHeight="1">
      <c r="A196" s="106">
        <f>BASE!B195</f>
        <v>0</v>
      </c>
      <c r="B196" s="80" t="s">
        <v>2</v>
      </c>
      <c r="C196" s="62">
        <f>'Review I &amp; II'!T197+ESE!Z197</f>
        <v>0</v>
      </c>
      <c r="D196" s="62">
        <f>'Review I &amp; II'!U197+ESE!AA197</f>
        <v>0</v>
      </c>
      <c r="E196" s="62">
        <f>'Review I &amp; II'!V197+ESE!AB197</f>
        <v>0</v>
      </c>
      <c r="F196" s="62">
        <f>'Review I &amp; II'!W197+ESE!AC197</f>
        <v>0</v>
      </c>
      <c r="G196" s="62">
        <f>'Review I &amp; II'!X197+ESE!AD197</f>
        <v>0</v>
      </c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</row>
    <row r="197" spans="1:23" ht="16.5" customHeight="1">
      <c r="A197" s="106">
        <f>BASE!B196</f>
        <v>0</v>
      </c>
      <c r="B197" s="80" t="s">
        <v>2</v>
      </c>
      <c r="C197" s="62">
        <f>'Review I &amp; II'!T198+ESE!Z198</f>
        <v>0</v>
      </c>
      <c r="D197" s="62">
        <f>'Review I &amp; II'!U198+ESE!AA198</f>
        <v>0</v>
      </c>
      <c r="E197" s="62">
        <f>'Review I &amp; II'!V198+ESE!AB198</f>
        <v>0</v>
      </c>
      <c r="F197" s="62">
        <f>'Review I &amp; II'!W198+ESE!AC198</f>
        <v>0</v>
      </c>
      <c r="G197" s="62">
        <f>'Review I &amp; II'!X198+ESE!AD198</f>
        <v>0</v>
      </c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</row>
    <row r="198" spans="1:23" ht="16.5" customHeight="1">
      <c r="A198" s="106">
        <f>BASE!B197</f>
        <v>0</v>
      </c>
      <c r="B198" s="80" t="s">
        <v>2</v>
      </c>
      <c r="C198" s="62">
        <f>'Review I &amp; II'!T199+ESE!Z199</f>
        <v>0</v>
      </c>
      <c r="D198" s="62">
        <f>'Review I &amp; II'!U199+ESE!AA199</f>
        <v>0</v>
      </c>
      <c r="E198" s="62">
        <f>'Review I &amp; II'!V199+ESE!AB199</f>
        <v>0</v>
      </c>
      <c r="F198" s="62">
        <f>'Review I &amp; II'!W199+ESE!AC199</f>
        <v>0</v>
      </c>
      <c r="G198" s="62">
        <f>'Review I &amp; II'!X199+ESE!AD199</f>
        <v>0</v>
      </c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</row>
    <row r="199" spans="1:23" ht="16.5" customHeight="1">
      <c r="A199" s="106">
        <f>BASE!B198</f>
        <v>0</v>
      </c>
      <c r="B199" s="80" t="s">
        <v>2</v>
      </c>
      <c r="C199" s="62">
        <f>'Review I &amp; II'!T200+ESE!Z200</f>
        <v>0</v>
      </c>
      <c r="D199" s="62">
        <f>'Review I &amp; II'!U200+ESE!AA200</f>
        <v>0</v>
      </c>
      <c r="E199" s="62">
        <f>'Review I &amp; II'!V200+ESE!AB200</f>
        <v>0</v>
      </c>
      <c r="F199" s="62">
        <f>'Review I &amp; II'!W200+ESE!AC200</f>
        <v>0</v>
      </c>
      <c r="G199" s="62">
        <f>'Review I &amp; II'!X200+ESE!AD200</f>
        <v>0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</row>
    <row r="200" spans="1:23" ht="16.5" customHeight="1">
      <c r="A200" s="106">
        <f>BASE!B199</f>
        <v>0</v>
      </c>
      <c r="B200" s="80" t="s">
        <v>2</v>
      </c>
      <c r="C200" s="62">
        <f>'Review I &amp; II'!T201+ESE!Z201</f>
        <v>0</v>
      </c>
      <c r="D200" s="62">
        <f>'Review I &amp; II'!U201+ESE!AA201</f>
        <v>0</v>
      </c>
      <c r="E200" s="62">
        <f>'Review I &amp; II'!V201+ESE!AB201</f>
        <v>0</v>
      </c>
      <c r="F200" s="62">
        <f>'Review I &amp; II'!W201+ESE!AC201</f>
        <v>0</v>
      </c>
      <c r="G200" s="62">
        <f>'Review I &amp; II'!X201+ESE!AD201</f>
        <v>0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</row>
    <row r="201" spans="1:23" ht="16.5" customHeight="1">
      <c r="A201" s="106">
        <f>BASE!B200</f>
        <v>0</v>
      </c>
      <c r="B201" s="80" t="s">
        <v>2</v>
      </c>
      <c r="C201" s="62">
        <f>'Review I &amp; II'!T202+ESE!Z202</f>
        <v>0</v>
      </c>
      <c r="D201" s="62">
        <f>'Review I &amp; II'!U202+ESE!AA202</f>
        <v>0</v>
      </c>
      <c r="E201" s="62">
        <f>'Review I &amp; II'!V202+ESE!AB202</f>
        <v>0</v>
      </c>
      <c r="F201" s="62">
        <f>'Review I &amp; II'!W202+ESE!AC202</f>
        <v>0</v>
      </c>
      <c r="G201" s="62">
        <f>'Review I &amp; II'!X202+ESE!AD202</f>
        <v>0</v>
      </c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</row>
    <row r="202" spans="1:23" ht="16.5" customHeight="1">
      <c r="A202" s="106">
        <f>BASE!B201</f>
        <v>0</v>
      </c>
      <c r="B202" s="80" t="s">
        <v>2</v>
      </c>
      <c r="C202" s="62">
        <f>'Review I &amp; II'!T203+ESE!Z203</f>
        <v>0</v>
      </c>
      <c r="D202" s="62">
        <f>'Review I &amp; II'!U203+ESE!AA203</f>
        <v>0</v>
      </c>
      <c r="E202" s="62">
        <f>'Review I &amp; II'!V203+ESE!AB203</f>
        <v>0</v>
      </c>
      <c r="F202" s="62">
        <f>'Review I &amp; II'!W203+ESE!AC203</f>
        <v>0</v>
      </c>
      <c r="G202" s="62">
        <f>'Review I &amp; II'!X203+ESE!AD203</f>
        <v>0</v>
      </c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</row>
    <row r="203" spans="1:23" ht="16.5" customHeight="1">
      <c r="A203" s="106">
        <f>BASE!B202</f>
        <v>0</v>
      </c>
      <c r="B203" s="80" t="s">
        <v>2</v>
      </c>
      <c r="C203" s="62">
        <f>'Review I &amp; II'!T204+ESE!Z204</f>
        <v>0</v>
      </c>
      <c r="D203" s="62">
        <f>'Review I &amp; II'!U204+ESE!AA204</f>
        <v>0</v>
      </c>
      <c r="E203" s="62">
        <f>'Review I &amp; II'!V204+ESE!AB204</f>
        <v>0</v>
      </c>
      <c r="F203" s="62">
        <f>'Review I &amp; II'!W204+ESE!AC204</f>
        <v>0</v>
      </c>
      <c r="G203" s="62">
        <f>'Review I &amp; II'!X204+ESE!AD204</f>
        <v>0</v>
      </c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</row>
    <row r="204" spans="1:23" ht="16.5" customHeight="1">
      <c r="A204" s="106">
        <f>BASE!B203</f>
        <v>0</v>
      </c>
      <c r="B204" s="80" t="s">
        <v>2</v>
      </c>
      <c r="C204" s="62">
        <f>'Review I &amp; II'!T205+ESE!Z205</f>
        <v>0</v>
      </c>
      <c r="D204" s="62">
        <f>'Review I &amp; II'!U205+ESE!AA205</f>
        <v>0</v>
      </c>
      <c r="E204" s="62">
        <f>'Review I &amp; II'!V205+ESE!AB205</f>
        <v>0</v>
      </c>
      <c r="F204" s="62">
        <f>'Review I &amp; II'!W205+ESE!AC205</f>
        <v>0</v>
      </c>
      <c r="G204" s="62">
        <f>'Review I &amp; II'!X205+ESE!AD205</f>
        <v>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 spans="1:23" ht="16.5" customHeight="1">
      <c r="A205" s="106">
        <f>BASE!B204</f>
        <v>0</v>
      </c>
      <c r="B205" s="80" t="s">
        <v>2</v>
      </c>
      <c r="C205" s="62">
        <f>'Review I &amp; II'!T206+ESE!Z206</f>
        <v>0</v>
      </c>
      <c r="D205" s="62">
        <f>'Review I &amp; II'!U206+ESE!AA206</f>
        <v>0</v>
      </c>
      <c r="E205" s="62">
        <f>'Review I &amp; II'!V206+ESE!AB206</f>
        <v>0</v>
      </c>
      <c r="F205" s="62">
        <f>'Review I &amp; II'!W206+ESE!AC206</f>
        <v>0</v>
      </c>
      <c r="G205" s="62">
        <f>'Review I &amp; II'!X206+ESE!AD206</f>
        <v>0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</row>
    <row r="206" spans="1:23" ht="16.5" customHeight="1">
      <c r="A206" s="106">
        <f>BASE!B205</f>
        <v>0</v>
      </c>
      <c r="B206" s="80" t="s">
        <v>2</v>
      </c>
      <c r="C206" s="62">
        <f>'Review I &amp; II'!T207+ESE!Z207</f>
        <v>0</v>
      </c>
      <c r="D206" s="62">
        <f>'Review I &amp; II'!U207+ESE!AA207</f>
        <v>0</v>
      </c>
      <c r="E206" s="62">
        <f>'Review I &amp; II'!V207+ESE!AB207</f>
        <v>0</v>
      </c>
      <c r="F206" s="62">
        <f>'Review I &amp; II'!W207+ESE!AC207</f>
        <v>0</v>
      </c>
      <c r="G206" s="62">
        <f>'Review I &amp; II'!X207+ESE!AD207</f>
        <v>0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</row>
    <row r="207" spans="1:23" ht="16.5" customHeight="1">
      <c r="A207" s="106">
        <f>BASE!B206</f>
        <v>0</v>
      </c>
      <c r="B207" s="80" t="s">
        <v>2</v>
      </c>
      <c r="C207" s="62">
        <f>'Review I &amp; II'!T208+ESE!Z208</f>
        <v>0</v>
      </c>
      <c r="D207" s="62">
        <f>'Review I &amp; II'!U208+ESE!AA208</f>
        <v>0</v>
      </c>
      <c r="E207" s="62">
        <f>'Review I &amp; II'!V208+ESE!AB208</f>
        <v>0</v>
      </c>
      <c r="F207" s="62">
        <f>'Review I &amp; II'!W208+ESE!AC208</f>
        <v>0</v>
      </c>
      <c r="G207" s="62">
        <f>'Review I &amp; II'!X208+ESE!AD208</f>
        <v>0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</row>
    <row r="208" spans="1:23" ht="16.5" customHeight="1">
      <c r="A208" s="106">
        <f>BASE!B207</f>
        <v>0</v>
      </c>
      <c r="B208" s="80" t="s">
        <v>2</v>
      </c>
      <c r="C208" s="62">
        <f>'Review I &amp; II'!T209+ESE!Z209</f>
        <v>0</v>
      </c>
      <c r="D208" s="62">
        <f>'Review I &amp; II'!U209+ESE!AA209</f>
        <v>0</v>
      </c>
      <c r="E208" s="62">
        <f>'Review I &amp; II'!V209+ESE!AB209</f>
        <v>0</v>
      </c>
      <c r="F208" s="62">
        <f>'Review I &amp; II'!W209+ESE!AC209</f>
        <v>0</v>
      </c>
      <c r="G208" s="62">
        <f>'Review I &amp; II'!X209+ESE!AD209</f>
        <v>0</v>
      </c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</row>
    <row r="209" spans="1:23" ht="16.5" customHeight="1">
      <c r="A209" s="106">
        <f>BASE!B208</f>
        <v>0</v>
      </c>
      <c r="B209" s="80" t="s">
        <v>2</v>
      </c>
      <c r="C209" s="62">
        <f>'Review I &amp; II'!T210+ESE!Z210</f>
        <v>0</v>
      </c>
      <c r="D209" s="62">
        <f>'Review I &amp; II'!U210+ESE!AA210</f>
        <v>0</v>
      </c>
      <c r="E209" s="62">
        <f>'Review I &amp; II'!V210+ESE!AB210</f>
        <v>0</v>
      </c>
      <c r="F209" s="62">
        <f>'Review I &amp; II'!W210+ESE!AC210</f>
        <v>0</v>
      </c>
      <c r="G209" s="62">
        <f>'Review I &amp; II'!X210+ESE!AD210</f>
        <v>0</v>
      </c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</row>
    <row r="210" spans="1:23" ht="16.5" customHeight="1">
      <c r="A210" s="106">
        <f>BASE!B209</f>
        <v>0</v>
      </c>
      <c r="B210" s="80" t="s">
        <v>2</v>
      </c>
      <c r="C210" s="62">
        <f>'Review I &amp; II'!T211+ESE!Z211</f>
        <v>0</v>
      </c>
      <c r="D210" s="62">
        <f>'Review I &amp; II'!U211+ESE!AA211</f>
        <v>0</v>
      </c>
      <c r="E210" s="62">
        <f>'Review I &amp; II'!V211+ESE!AB211</f>
        <v>0</v>
      </c>
      <c r="F210" s="62">
        <f>'Review I &amp; II'!W211+ESE!AC211</f>
        <v>0</v>
      </c>
      <c r="G210" s="62">
        <f>'Review I &amp; II'!X211+ESE!AD211</f>
        <v>0</v>
      </c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</row>
    <row r="211" spans="1:23" ht="16.5" customHeight="1">
      <c r="A211" s="106">
        <f>BASE!B210</f>
        <v>0</v>
      </c>
      <c r="B211" s="80" t="s">
        <v>2</v>
      </c>
      <c r="C211" s="62">
        <f>'Review I &amp; II'!T212+ESE!Z212</f>
        <v>0</v>
      </c>
      <c r="D211" s="62">
        <f>'Review I &amp; II'!U212+ESE!AA212</f>
        <v>0</v>
      </c>
      <c r="E211" s="62">
        <f>'Review I &amp; II'!V212+ESE!AB212</f>
        <v>0</v>
      </c>
      <c r="F211" s="62">
        <f>'Review I &amp; II'!W212+ESE!AC212</f>
        <v>0</v>
      </c>
      <c r="G211" s="62">
        <f>'Review I &amp; II'!X212+ESE!AD212</f>
        <v>0</v>
      </c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</row>
    <row r="212" spans="1:23" ht="16.5" customHeight="1">
      <c r="A212" s="106">
        <f>BASE!B211</f>
        <v>0</v>
      </c>
      <c r="B212" s="80" t="s">
        <v>2</v>
      </c>
      <c r="C212" s="62">
        <f>'Review I &amp; II'!T213+ESE!Z213</f>
        <v>0</v>
      </c>
      <c r="D212" s="62">
        <f>'Review I &amp; II'!U213+ESE!AA213</f>
        <v>0</v>
      </c>
      <c r="E212" s="62">
        <f>'Review I &amp; II'!V213+ESE!AB213</f>
        <v>0</v>
      </c>
      <c r="F212" s="62">
        <f>'Review I &amp; II'!W213+ESE!AC213</f>
        <v>0</v>
      </c>
      <c r="G212" s="62">
        <f>'Review I &amp; II'!X213+ESE!AD213</f>
        <v>0</v>
      </c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</row>
    <row r="213" spans="1:23" ht="16.5" customHeight="1">
      <c r="A213" s="106">
        <f>BASE!B212</f>
        <v>0</v>
      </c>
      <c r="B213" s="80" t="s">
        <v>2</v>
      </c>
      <c r="C213" s="62">
        <f>'Review I &amp; II'!T214+ESE!Z214</f>
        <v>0</v>
      </c>
      <c r="D213" s="62">
        <f>'Review I &amp; II'!U214+ESE!AA214</f>
        <v>0</v>
      </c>
      <c r="E213" s="62">
        <f>'Review I &amp; II'!V214+ESE!AB214</f>
        <v>0</v>
      </c>
      <c r="F213" s="62">
        <f>'Review I &amp; II'!W214+ESE!AC214</f>
        <v>0</v>
      </c>
      <c r="G213" s="62">
        <f>'Review I &amp; II'!X214+ESE!AD214</f>
        <v>0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</row>
    <row r="214" spans="1:23" ht="16.5" customHeight="1">
      <c r="A214" s="106">
        <f>BASE!B213</f>
        <v>0</v>
      </c>
      <c r="B214" s="80" t="s">
        <v>2</v>
      </c>
      <c r="C214" s="62">
        <f>'Review I &amp; II'!T215+ESE!Z215</f>
        <v>0</v>
      </c>
      <c r="D214" s="62">
        <f>'Review I &amp; II'!U215+ESE!AA215</f>
        <v>0</v>
      </c>
      <c r="E214" s="62">
        <f>'Review I &amp; II'!V215+ESE!AB215</f>
        <v>0</v>
      </c>
      <c r="F214" s="62">
        <f>'Review I &amp; II'!W215+ESE!AC215</f>
        <v>0</v>
      </c>
      <c r="G214" s="62">
        <f>'Review I &amp; II'!X215+ESE!AD215</f>
        <v>0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</row>
    <row r="215" spans="1:23" ht="16.5" customHeight="1">
      <c r="A215" s="106">
        <f>BASE!B214</f>
        <v>0</v>
      </c>
      <c r="B215" s="80" t="s">
        <v>2</v>
      </c>
      <c r="C215" s="62">
        <f>'Review I &amp; II'!T216+ESE!Z216</f>
        <v>0</v>
      </c>
      <c r="D215" s="62">
        <f>'Review I &amp; II'!U216+ESE!AA216</f>
        <v>0</v>
      </c>
      <c r="E215" s="62">
        <f>'Review I &amp; II'!V216+ESE!AB216</f>
        <v>0</v>
      </c>
      <c r="F215" s="62">
        <f>'Review I &amp; II'!W216+ESE!AC216</f>
        <v>0</v>
      </c>
      <c r="G215" s="62">
        <f>'Review I &amp; II'!X216+ESE!AD216</f>
        <v>0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</row>
    <row r="216" spans="1:23" ht="16.5" customHeight="1">
      <c r="A216" s="106">
        <f>BASE!B215</f>
        <v>0</v>
      </c>
      <c r="B216" s="80" t="s">
        <v>2</v>
      </c>
      <c r="C216" s="62">
        <f>'Review I &amp; II'!T217+ESE!Z217</f>
        <v>0</v>
      </c>
      <c r="D216" s="62">
        <f>'Review I &amp; II'!U217+ESE!AA217</f>
        <v>0</v>
      </c>
      <c r="E216" s="62">
        <f>'Review I &amp; II'!V217+ESE!AB217</f>
        <v>0</v>
      </c>
      <c r="F216" s="62">
        <f>'Review I &amp; II'!W217+ESE!AC217</f>
        <v>0</v>
      </c>
      <c r="G216" s="62">
        <f>'Review I &amp; II'!X217+ESE!AD217</f>
        <v>0</v>
      </c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</row>
    <row r="217" spans="1:23" ht="16.5" customHeight="1">
      <c r="A217" s="106">
        <f>BASE!B216</f>
        <v>0</v>
      </c>
      <c r="B217" s="80" t="s">
        <v>2</v>
      </c>
      <c r="C217" s="62">
        <f>'Review I &amp; II'!T218+ESE!Z218</f>
        <v>0</v>
      </c>
      <c r="D217" s="62">
        <f>'Review I &amp; II'!U218+ESE!AA218</f>
        <v>0</v>
      </c>
      <c r="E217" s="62">
        <f>'Review I &amp; II'!V218+ESE!AB218</f>
        <v>0</v>
      </c>
      <c r="F217" s="62">
        <f>'Review I &amp; II'!W218+ESE!AC218</f>
        <v>0</v>
      </c>
      <c r="G217" s="62">
        <f>'Review I &amp; II'!X218+ESE!AD218</f>
        <v>0</v>
      </c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</row>
    <row r="218" spans="1:23" ht="16.5" customHeight="1">
      <c r="A218" s="106">
        <f>BASE!B217</f>
        <v>0</v>
      </c>
      <c r="B218" s="80" t="s">
        <v>2</v>
      </c>
      <c r="C218" s="62">
        <f>'Review I &amp; II'!T219+ESE!Z219</f>
        <v>0</v>
      </c>
      <c r="D218" s="62">
        <f>'Review I &amp; II'!U219+ESE!AA219</f>
        <v>0</v>
      </c>
      <c r="E218" s="62">
        <f>'Review I &amp; II'!V219+ESE!AB219</f>
        <v>0</v>
      </c>
      <c r="F218" s="62">
        <f>'Review I &amp; II'!W219+ESE!AC219</f>
        <v>0</v>
      </c>
      <c r="G218" s="62">
        <f>'Review I &amp; II'!X219+ESE!AD219</f>
        <v>0</v>
      </c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</row>
    <row r="219" spans="1:23" ht="16.5" customHeight="1">
      <c r="A219" s="106">
        <f>BASE!B218</f>
        <v>0</v>
      </c>
      <c r="B219" s="80" t="s">
        <v>2</v>
      </c>
      <c r="C219" s="62">
        <f>'Review I &amp; II'!T220+ESE!Z220</f>
        <v>0</v>
      </c>
      <c r="D219" s="62">
        <f>'Review I &amp; II'!U220+ESE!AA220</f>
        <v>0</v>
      </c>
      <c r="E219" s="62">
        <f>'Review I &amp; II'!V220+ESE!AB220</f>
        <v>0</v>
      </c>
      <c r="F219" s="62">
        <f>'Review I &amp; II'!W220+ESE!AC220</f>
        <v>0</v>
      </c>
      <c r="G219" s="62">
        <f>'Review I &amp; II'!X220+ESE!AD220</f>
        <v>0</v>
      </c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</row>
    <row r="220" spans="1:23" ht="16.5" customHeight="1">
      <c r="A220" s="106">
        <f>BASE!B219</f>
        <v>0</v>
      </c>
      <c r="B220" s="80" t="s">
        <v>2</v>
      </c>
      <c r="C220" s="62">
        <f>'Review I &amp; II'!T221+ESE!Z221</f>
        <v>0</v>
      </c>
      <c r="D220" s="62">
        <f>'Review I &amp; II'!U221+ESE!AA221</f>
        <v>0</v>
      </c>
      <c r="E220" s="62">
        <f>'Review I &amp; II'!V221+ESE!AB221</f>
        <v>0</v>
      </c>
      <c r="F220" s="62">
        <f>'Review I &amp; II'!W221+ESE!AC221</f>
        <v>0</v>
      </c>
      <c r="G220" s="62">
        <f>'Review I &amp; II'!X221+ESE!AD221</f>
        <v>0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</row>
    <row r="221" spans="1:23" ht="16.5" customHeight="1">
      <c r="A221" s="106">
        <f>BASE!B220</f>
        <v>0</v>
      </c>
      <c r="B221" s="80" t="s">
        <v>2</v>
      </c>
      <c r="C221" s="62">
        <f>'Review I &amp; II'!T222+ESE!Z222</f>
        <v>0</v>
      </c>
      <c r="D221" s="62">
        <f>'Review I &amp; II'!U222+ESE!AA222</f>
        <v>0</v>
      </c>
      <c r="E221" s="62">
        <f>'Review I &amp; II'!V222+ESE!AB222</f>
        <v>0</v>
      </c>
      <c r="F221" s="62">
        <f>'Review I &amp; II'!W222+ESE!AC222</f>
        <v>0</v>
      </c>
      <c r="G221" s="62">
        <f>'Review I &amp; II'!X222+ESE!AD222</f>
        <v>0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</row>
    <row r="222" spans="1:23" ht="16.5" customHeight="1">
      <c r="A222" s="106">
        <f>BASE!B221</f>
        <v>0</v>
      </c>
      <c r="B222" s="80" t="s">
        <v>2</v>
      </c>
      <c r="C222" s="62">
        <f>'Review I &amp; II'!T223+ESE!Z223</f>
        <v>0</v>
      </c>
      <c r="D222" s="62">
        <f>'Review I &amp; II'!U223+ESE!AA223</f>
        <v>0</v>
      </c>
      <c r="E222" s="62">
        <f>'Review I &amp; II'!V223+ESE!AB223</f>
        <v>0</v>
      </c>
      <c r="F222" s="62">
        <f>'Review I &amp; II'!W223+ESE!AC223</f>
        <v>0</v>
      </c>
      <c r="G222" s="62">
        <f>'Review I &amp; II'!X223+ESE!AD223</f>
        <v>0</v>
      </c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</row>
    <row r="223" spans="1:23" ht="16.5" customHeight="1">
      <c r="A223" s="106">
        <f>BASE!B222</f>
        <v>0</v>
      </c>
      <c r="B223" s="80" t="s">
        <v>2</v>
      </c>
      <c r="C223" s="62">
        <f>'Review I &amp; II'!T224+ESE!Z224</f>
        <v>0</v>
      </c>
      <c r="D223" s="62">
        <f>'Review I &amp; II'!U224+ESE!AA224</f>
        <v>0</v>
      </c>
      <c r="E223" s="62">
        <f>'Review I &amp; II'!V224+ESE!AB224</f>
        <v>0</v>
      </c>
      <c r="F223" s="62">
        <f>'Review I &amp; II'!W224+ESE!AC224</f>
        <v>0</v>
      </c>
      <c r="G223" s="62">
        <f>'Review I &amp; II'!X224+ESE!AD224</f>
        <v>0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</row>
    <row r="224" spans="1:23" ht="16.5" customHeight="1">
      <c r="A224" s="106">
        <f>BASE!B223</f>
        <v>0</v>
      </c>
      <c r="B224" s="80" t="s">
        <v>2</v>
      </c>
      <c r="C224" s="62">
        <f>'Review I &amp; II'!T225+ESE!Z225</f>
        <v>0</v>
      </c>
      <c r="D224" s="62">
        <f>'Review I &amp; II'!U225+ESE!AA225</f>
        <v>0</v>
      </c>
      <c r="E224" s="62">
        <f>'Review I &amp; II'!V225+ESE!AB225</f>
        <v>0</v>
      </c>
      <c r="F224" s="62">
        <f>'Review I &amp; II'!W225+ESE!AC225</f>
        <v>0</v>
      </c>
      <c r="G224" s="62">
        <f>'Review I &amp; II'!X225+ESE!AD225</f>
        <v>0</v>
      </c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</row>
    <row r="225" spans="1:23" ht="16.5" customHeight="1">
      <c r="A225" s="106">
        <f>BASE!B224</f>
        <v>0</v>
      </c>
      <c r="B225" s="80" t="s">
        <v>2</v>
      </c>
      <c r="C225" s="62">
        <f>'Review I &amp; II'!T226+ESE!Z226</f>
        <v>0</v>
      </c>
      <c r="D225" s="62">
        <f>'Review I &amp; II'!U226+ESE!AA226</f>
        <v>0</v>
      </c>
      <c r="E225" s="62">
        <f>'Review I &amp; II'!V226+ESE!AB226</f>
        <v>0</v>
      </c>
      <c r="F225" s="62">
        <f>'Review I &amp; II'!W226+ESE!AC226</f>
        <v>0</v>
      </c>
      <c r="G225" s="62">
        <f>'Review I &amp; II'!X226+ESE!AD226</f>
        <v>0</v>
      </c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</row>
    <row r="226" spans="1:23" ht="16.5" customHeight="1">
      <c r="A226" s="106">
        <f>BASE!B225</f>
        <v>0</v>
      </c>
      <c r="B226" s="80" t="s">
        <v>2</v>
      </c>
      <c r="C226" s="62">
        <f>'Review I &amp; II'!T227+ESE!Z227</f>
        <v>0</v>
      </c>
      <c r="D226" s="62">
        <f>'Review I &amp; II'!U227+ESE!AA227</f>
        <v>0</v>
      </c>
      <c r="E226" s="62">
        <f>'Review I &amp; II'!V227+ESE!AB227</f>
        <v>0</v>
      </c>
      <c r="F226" s="62">
        <f>'Review I &amp; II'!W227+ESE!AC227</f>
        <v>0</v>
      </c>
      <c r="G226" s="62">
        <f>'Review I &amp; II'!X227+ESE!AD227</f>
        <v>0</v>
      </c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</row>
    <row r="227" spans="1:23" ht="16.5" customHeight="1">
      <c r="A227" s="106">
        <f>BASE!B226</f>
        <v>0</v>
      </c>
      <c r="B227" s="80" t="s">
        <v>2</v>
      </c>
      <c r="C227" s="62">
        <f>'Review I &amp; II'!T228+ESE!Z228</f>
        <v>0</v>
      </c>
      <c r="D227" s="62">
        <f>'Review I &amp; II'!U228+ESE!AA228</f>
        <v>0</v>
      </c>
      <c r="E227" s="62">
        <f>'Review I &amp; II'!V228+ESE!AB228</f>
        <v>0</v>
      </c>
      <c r="F227" s="62">
        <f>'Review I &amp; II'!W228+ESE!AC228</f>
        <v>0</v>
      </c>
      <c r="G227" s="62">
        <f>'Review I &amp; II'!X228+ESE!AD228</f>
        <v>0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</row>
    <row r="228" spans="1:23" ht="16.5" customHeight="1">
      <c r="A228" s="106">
        <f>BASE!B227</f>
        <v>0</v>
      </c>
      <c r="B228" s="80" t="s">
        <v>2</v>
      </c>
      <c r="C228" s="62">
        <f>'Review I &amp; II'!T229+ESE!Z229</f>
        <v>0</v>
      </c>
      <c r="D228" s="62">
        <f>'Review I &amp; II'!U229+ESE!AA229</f>
        <v>0</v>
      </c>
      <c r="E228" s="62">
        <f>'Review I &amp; II'!V229+ESE!AB229</f>
        <v>0</v>
      </c>
      <c r="F228" s="62">
        <f>'Review I &amp; II'!W229+ESE!AC229</f>
        <v>0</v>
      </c>
      <c r="G228" s="62">
        <f>'Review I &amp; II'!X229+ESE!AD229</f>
        <v>0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</row>
    <row r="229" spans="1:23" ht="16.5" customHeight="1">
      <c r="A229" s="106">
        <f>BASE!B228</f>
        <v>0</v>
      </c>
      <c r="B229" s="80" t="s">
        <v>2</v>
      </c>
      <c r="C229" s="62">
        <f>'Review I &amp; II'!T230+ESE!Z230</f>
        <v>0</v>
      </c>
      <c r="D229" s="62">
        <f>'Review I &amp; II'!U230+ESE!AA230</f>
        <v>0</v>
      </c>
      <c r="E229" s="62">
        <f>'Review I &amp; II'!V230+ESE!AB230</f>
        <v>0</v>
      </c>
      <c r="F229" s="62">
        <f>'Review I &amp; II'!W230+ESE!AC230</f>
        <v>0</v>
      </c>
      <c r="G229" s="62">
        <f>'Review I &amp; II'!X230+ESE!AD230</f>
        <v>0</v>
      </c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</row>
    <row r="230" spans="1:23" ht="16.5" customHeight="1">
      <c r="A230" s="106">
        <f>BASE!B229</f>
        <v>0</v>
      </c>
      <c r="B230" s="80" t="s">
        <v>2</v>
      </c>
      <c r="C230" s="62">
        <f>'Review I &amp; II'!T231+ESE!Z231</f>
        <v>0</v>
      </c>
      <c r="D230" s="62">
        <f>'Review I &amp; II'!U231+ESE!AA231</f>
        <v>0</v>
      </c>
      <c r="E230" s="62">
        <f>'Review I &amp; II'!V231+ESE!AB231</f>
        <v>0</v>
      </c>
      <c r="F230" s="62">
        <f>'Review I &amp; II'!W231+ESE!AC231</f>
        <v>0</v>
      </c>
      <c r="G230" s="62">
        <f>'Review I &amp; II'!X231+ESE!AD231</f>
        <v>0</v>
      </c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</row>
    <row r="231" spans="1:23" ht="16.5" customHeight="1">
      <c r="A231" s="106">
        <f>BASE!B230</f>
        <v>0</v>
      </c>
      <c r="B231" s="80" t="s">
        <v>2</v>
      </c>
      <c r="C231" s="62">
        <f>'Review I &amp; II'!T232+ESE!Z232</f>
        <v>0</v>
      </c>
      <c r="D231" s="62">
        <f>'Review I &amp; II'!U232+ESE!AA232</f>
        <v>0</v>
      </c>
      <c r="E231" s="62">
        <f>'Review I &amp; II'!V232+ESE!AB232</f>
        <v>0</v>
      </c>
      <c r="F231" s="62">
        <f>'Review I &amp; II'!W232+ESE!AC232</f>
        <v>0</v>
      </c>
      <c r="G231" s="62">
        <f>'Review I &amp; II'!X232+ESE!AD232</f>
        <v>0</v>
      </c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</row>
    <row r="232" spans="1:23" ht="16.5" customHeight="1">
      <c r="A232" s="106">
        <f>BASE!B231</f>
        <v>0</v>
      </c>
      <c r="B232" s="80" t="s">
        <v>2</v>
      </c>
      <c r="C232" s="62">
        <f>'Review I &amp; II'!T233+ESE!Z233</f>
        <v>0</v>
      </c>
      <c r="D232" s="62">
        <f>'Review I &amp; II'!U233+ESE!AA233</f>
        <v>0</v>
      </c>
      <c r="E232" s="62">
        <f>'Review I &amp; II'!V233+ESE!AB233</f>
        <v>0</v>
      </c>
      <c r="F232" s="62">
        <f>'Review I &amp; II'!W233+ESE!AC233</f>
        <v>0</v>
      </c>
      <c r="G232" s="62">
        <f>'Review I &amp; II'!X233+ESE!AD233</f>
        <v>0</v>
      </c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</row>
    <row r="233" spans="1:23" ht="16.5" customHeight="1">
      <c r="A233" s="106">
        <f>BASE!B232</f>
        <v>0</v>
      </c>
      <c r="B233" s="80" t="s">
        <v>2</v>
      </c>
      <c r="C233" s="62">
        <f>'Review I &amp; II'!T234+ESE!Z234</f>
        <v>0</v>
      </c>
      <c r="D233" s="62">
        <f>'Review I &amp; II'!U234+ESE!AA234</f>
        <v>0</v>
      </c>
      <c r="E233" s="62">
        <f>'Review I &amp; II'!V234+ESE!AB234</f>
        <v>0</v>
      </c>
      <c r="F233" s="62">
        <f>'Review I &amp; II'!W234+ESE!AC234</f>
        <v>0</v>
      </c>
      <c r="G233" s="62">
        <f>'Review I &amp; II'!X234+ESE!AD234</f>
        <v>0</v>
      </c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</row>
    <row r="234" spans="1:23" ht="16.5" customHeight="1">
      <c r="A234" s="106">
        <f>BASE!B233</f>
        <v>0</v>
      </c>
      <c r="B234" s="80" t="s">
        <v>2</v>
      </c>
      <c r="C234" s="62">
        <f>'Review I &amp; II'!T235+ESE!Z235</f>
        <v>0</v>
      </c>
      <c r="D234" s="62">
        <f>'Review I &amp; II'!U235+ESE!AA235</f>
        <v>0</v>
      </c>
      <c r="E234" s="62">
        <f>'Review I &amp; II'!V235+ESE!AB235</f>
        <v>0</v>
      </c>
      <c r="F234" s="62">
        <f>'Review I &amp; II'!W235+ESE!AC235</f>
        <v>0</v>
      </c>
      <c r="G234" s="62">
        <f>'Review I &amp; II'!X235+ESE!AD235</f>
        <v>0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</row>
    <row r="235" spans="1:23" ht="16.5" customHeight="1">
      <c r="A235" s="106">
        <f>BASE!B234</f>
        <v>0</v>
      </c>
      <c r="B235" s="80" t="s">
        <v>2</v>
      </c>
      <c r="C235" s="62">
        <f>'Review I &amp; II'!T236+ESE!Z236</f>
        <v>0</v>
      </c>
      <c r="D235" s="62">
        <f>'Review I &amp; II'!U236+ESE!AA236</f>
        <v>0</v>
      </c>
      <c r="E235" s="62">
        <f>'Review I &amp; II'!V236+ESE!AB236</f>
        <v>0</v>
      </c>
      <c r="F235" s="62">
        <f>'Review I &amp; II'!W236+ESE!AC236</f>
        <v>0</v>
      </c>
      <c r="G235" s="62">
        <f>'Review I &amp; II'!X236+ESE!AD236</f>
        <v>0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</row>
    <row r="236" spans="1:23" ht="16.5" customHeight="1">
      <c r="A236" s="106">
        <f>BASE!B235</f>
        <v>0</v>
      </c>
      <c r="B236" s="80" t="s">
        <v>2</v>
      </c>
      <c r="C236" s="62">
        <f>'Review I &amp; II'!T237+ESE!Z237</f>
        <v>0</v>
      </c>
      <c r="D236" s="62">
        <f>'Review I &amp; II'!U237+ESE!AA237</f>
        <v>0</v>
      </c>
      <c r="E236" s="62">
        <f>'Review I &amp; II'!V237+ESE!AB237</f>
        <v>0</v>
      </c>
      <c r="F236" s="62">
        <f>'Review I &amp; II'!W237+ESE!AC237</f>
        <v>0</v>
      </c>
      <c r="G236" s="62">
        <f>'Review I &amp; II'!X237+ESE!AD237</f>
        <v>0</v>
      </c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</row>
    <row r="237" spans="1:23" ht="16.5" customHeight="1">
      <c r="A237" s="106">
        <f>BASE!B236</f>
        <v>0</v>
      </c>
      <c r="B237" s="80" t="s">
        <v>2</v>
      </c>
      <c r="C237" s="62">
        <f>'Review I &amp; II'!T238+ESE!Z238</f>
        <v>0</v>
      </c>
      <c r="D237" s="62">
        <f>'Review I &amp; II'!U238+ESE!AA238</f>
        <v>0</v>
      </c>
      <c r="E237" s="62">
        <f>'Review I &amp; II'!V238+ESE!AB238</f>
        <v>0</v>
      </c>
      <c r="F237" s="62">
        <f>'Review I &amp; II'!W238+ESE!AC238</f>
        <v>0</v>
      </c>
      <c r="G237" s="62">
        <f>'Review I &amp; II'!X238+ESE!AD238</f>
        <v>0</v>
      </c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</row>
    <row r="238" spans="1:23" ht="16.5" customHeight="1">
      <c r="A238" s="106">
        <f>BASE!B237</f>
        <v>0</v>
      </c>
      <c r="B238" s="80" t="s">
        <v>2</v>
      </c>
      <c r="C238" s="62">
        <f>'Review I &amp; II'!T239+ESE!Z239</f>
        <v>0</v>
      </c>
      <c r="D238" s="62">
        <f>'Review I &amp; II'!U239+ESE!AA239</f>
        <v>0</v>
      </c>
      <c r="E238" s="62">
        <f>'Review I &amp; II'!V239+ESE!AB239</f>
        <v>0</v>
      </c>
      <c r="F238" s="62">
        <f>'Review I &amp; II'!W239+ESE!AC239</f>
        <v>0</v>
      </c>
      <c r="G238" s="62">
        <f>'Review I &amp; II'!X239+ESE!AD239</f>
        <v>0</v>
      </c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</row>
    <row r="239" spans="1:23" ht="16.5" customHeight="1">
      <c r="A239" s="106">
        <f>BASE!B238</f>
        <v>0</v>
      </c>
      <c r="B239" s="80" t="s">
        <v>2</v>
      </c>
      <c r="C239" s="62">
        <f>'Review I &amp; II'!T240+ESE!Z240</f>
        <v>0</v>
      </c>
      <c r="D239" s="62">
        <f>'Review I &amp; II'!U240+ESE!AA240</f>
        <v>0</v>
      </c>
      <c r="E239" s="62">
        <f>'Review I &amp; II'!V240+ESE!AB240</f>
        <v>0</v>
      </c>
      <c r="F239" s="62">
        <f>'Review I &amp; II'!W240+ESE!AC240</f>
        <v>0</v>
      </c>
      <c r="G239" s="62">
        <f>'Review I &amp; II'!X240+ESE!AD240</f>
        <v>0</v>
      </c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</row>
    <row r="240" spans="1:23" ht="16.5" customHeight="1">
      <c r="A240" s="106">
        <f>BASE!B239</f>
        <v>0</v>
      </c>
      <c r="B240" s="80" t="s">
        <v>2</v>
      </c>
      <c r="C240" s="62">
        <f>'Review I &amp; II'!T241+ESE!Z241</f>
        <v>0</v>
      </c>
      <c r="D240" s="62">
        <f>'Review I &amp; II'!U241+ESE!AA241</f>
        <v>0</v>
      </c>
      <c r="E240" s="62">
        <f>'Review I &amp; II'!V241+ESE!AB241</f>
        <v>0</v>
      </c>
      <c r="F240" s="62">
        <f>'Review I &amp; II'!W241+ESE!AC241</f>
        <v>0</v>
      </c>
      <c r="G240" s="62">
        <f>'Review I &amp; II'!X241+ESE!AD241</f>
        <v>0</v>
      </c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</row>
    <row r="241" spans="1:23" ht="16.5" customHeight="1">
      <c r="A241" s="106">
        <f>BASE!B240</f>
        <v>0</v>
      </c>
      <c r="B241" s="80" t="s">
        <v>2</v>
      </c>
      <c r="C241" s="62">
        <f>'Review I &amp; II'!T242+ESE!Z242</f>
        <v>0</v>
      </c>
      <c r="D241" s="62">
        <f>'Review I &amp; II'!U242+ESE!AA242</f>
        <v>0</v>
      </c>
      <c r="E241" s="62">
        <f>'Review I &amp; II'!V242+ESE!AB242</f>
        <v>0</v>
      </c>
      <c r="F241" s="62">
        <f>'Review I &amp; II'!W242+ESE!AC242</f>
        <v>0</v>
      </c>
      <c r="G241" s="62">
        <f>'Review I &amp; II'!X242+ESE!AD242</f>
        <v>0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</row>
    <row r="242" spans="1:23" ht="16.5" customHeight="1">
      <c r="A242" s="106">
        <f>BASE!B241</f>
        <v>0</v>
      </c>
      <c r="B242" s="80" t="s">
        <v>2</v>
      </c>
      <c r="C242" s="62">
        <f>'Review I &amp; II'!T243+ESE!Z243</f>
        <v>0</v>
      </c>
      <c r="D242" s="62">
        <f>'Review I &amp; II'!U243+ESE!AA243</f>
        <v>0</v>
      </c>
      <c r="E242" s="62">
        <f>'Review I &amp; II'!V243+ESE!AB243</f>
        <v>0</v>
      </c>
      <c r="F242" s="62">
        <f>'Review I &amp; II'!W243+ESE!AC243</f>
        <v>0</v>
      </c>
      <c r="G242" s="62">
        <f>'Review I &amp; II'!X243+ESE!AD243</f>
        <v>0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</row>
    <row r="243" spans="1:23" ht="16.5" customHeight="1">
      <c r="A243" s="106">
        <f>BASE!B242</f>
        <v>0</v>
      </c>
      <c r="B243" s="80" t="s">
        <v>2</v>
      </c>
      <c r="C243" s="62">
        <f>'Review I &amp; II'!T244+ESE!Z244</f>
        <v>0</v>
      </c>
      <c r="D243" s="62">
        <f>'Review I &amp; II'!U244+ESE!AA244</f>
        <v>0</v>
      </c>
      <c r="E243" s="62">
        <f>'Review I &amp; II'!V244+ESE!AB244</f>
        <v>0</v>
      </c>
      <c r="F243" s="62">
        <f>'Review I &amp; II'!W244+ESE!AC244</f>
        <v>0</v>
      </c>
      <c r="G243" s="62">
        <f>'Review I &amp; II'!X244+ESE!AD244</f>
        <v>0</v>
      </c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</row>
    <row r="244" spans="1:23" ht="16.5" customHeight="1">
      <c r="A244" s="106">
        <f>BASE!B243</f>
        <v>0</v>
      </c>
      <c r="B244" s="80" t="s">
        <v>2</v>
      </c>
      <c r="C244" s="62">
        <f>'Review I &amp; II'!T245+ESE!Z245</f>
        <v>0</v>
      </c>
      <c r="D244" s="62">
        <f>'Review I &amp; II'!U245+ESE!AA245</f>
        <v>0</v>
      </c>
      <c r="E244" s="62">
        <f>'Review I &amp; II'!V245+ESE!AB245</f>
        <v>0</v>
      </c>
      <c r="F244" s="62">
        <f>'Review I &amp; II'!W245+ESE!AC245</f>
        <v>0</v>
      </c>
      <c r="G244" s="62">
        <f>'Review I &amp; II'!X245+ESE!AD245</f>
        <v>0</v>
      </c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</row>
    <row r="245" spans="1:23" ht="16.5" customHeight="1">
      <c r="A245" s="106">
        <f>BASE!B244</f>
        <v>0</v>
      </c>
      <c r="B245" s="80" t="s">
        <v>2</v>
      </c>
      <c r="C245" s="62">
        <f>'Review I &amp; II'!T246+ESE!Z246</f>
        <v>0</v>
      </c>
      <c r="D245" s="62">
        <f>'Review I &amp; II'!U246+ESE!AA246</f>
        <v>0</v>
      </c>
      <c r="E245" s="62">
        <f>'Review I &amp; II'!V246+ESE!AB246</f>
        <v>0</v>
      </c>
      <c r="F245" s="62">
        <f>'Review I &amp; II'!W246+ESE!AC246</f>
        <v>0</v>
      </c>
      <c r="G245" s="62">
        <f>'Review I &amp; II'!X246+ESE!AD246</f>
        <v>0</v>
      </c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</row>
    <row r="246" spans="1:23" ht="16.5" customHeight="1">
      <c r="A246" s="106">
        <f>BASE!B245</f>
        <v>0</v>
      </c>
      <c r="B246" s="80" t="s">
        <v>2</v>
      </c>
      <c r="C246" s="62">
        <f>'Review I &amp; II'!T247+ESE!Z247</f>
        <v>0</v>
      </c>
      <c r="D246" s="62">
        <f>'Review I &amp; II'!U247+ESE!AA247</f>
        <v>0</v>
      </c>
      <c r="E246" s="62">
        <f>'Review I &amp; II'!V247+ESE!AB247</f>
        <v>0</v>
      </c>
      <c r="F246" s="62">
        <f>'Review I &amp; II'!W247+ESE!AC247</f>
        <v>0</v>
      </c>
      <c r="G246" s="62">
        <f>'Review I &amp; II'!X247+ESE!AD247</f>
        <v>0</v>
      </c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</row>
    <row r="247" spans="1:23" ht="16.5" customHeight="1">
      <c r="A247" s="106">
        <f>BASE!B246</f>
        <v>0</v>
      </c>
      <c r="B247" s="80" t="s">
        <v>2</v>
      </c>
      <c r="C247" s="62">
        <f>'Review I &amp; II'!T248+ESE!Z248</f>
        <v>0</v>
      </c>
      <c r="D247" s="62">
        <f>'Review I &amp; II'!U248+ESE!AA248</f>
        <v>0</v>
      </c>
      <c r="E247" s="62">
        <f>'Review I &amp; II'!V248+ESE!AB248</f>
        <v>0</v>
      </c>
      <c r="F247" s="62">
        <f>'Review I &amp; II'!W248+ESE!AC248</f>
        <v>0</v>
      </c>
      <c r="G247" s="62">
        <f>'Review I &amp; II'!X248+ESE!AD248</f>
        <v>0</v>
      </c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</row>
    <row r="248" spans="1:23" ht="16.5" customHeight="1">
      <c r="A248" s="106">
        <f>BASE!B247</f>
        <v>0</v>
      </c>
      <c r="B248" s="80" t="s">
        <v>2</v>
      </c>
      <c r="C248" s="62">
        <f>'Review I &amp; II'!T249+ESE!Z249</f>
        <v>0</v>
      </c>
      <c r="D248" s="62">
        <f>'Review I &amp; II'!U249+ESE!AA249</f>
        <v>0</v>
      </c>
      <c r="E248" s="62">
        <f>'Review I &amp; II'!V249+ESE!AB249</f>
        <v>0</v>
      </c>
      <c r="F248" s="62">
        <f>'Review I &amp; II'!W249+ESE!AC249</f>
        <v>0</v>
      </c>
      <c r="G248" s="62">
        <f>'Review I &amp; II'!X249+ESE!AD249</f>
        <v>0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</row>
    <row r="249" spans="1:23" ht="16.5" customHeight="1">
      <c r="A249" s="106">
        <f>BASE!B248</f>
        <v>0</v>
      </c>
      <c r="B249" s="80" t="s">
        <v>2</v>
      </c>
      <c r="C249" s="62">
        <f>'Review I &amp; II'!T250+ESE!Z250</f>
        <v>0</v>
      </c>
      <c r="D249" s="62">
        <f>'Review I &amp; II'!U250+ESE!AA250</f>
        <v>0</v>
      </c>
      <c r="E249" s="62">
        <f>'Review I &amp; II'!V250+ESE!AB250</f>
        <v>0</v>
      </c>
      <c r="F249" s="62">
        <f>'Review I &amp; II'!W250+ESE!AC250</f>
        <v>0</v>
      </c>
      <c r="G249" s="62">
        <f>'Review I &amp; II'!X250+ESE!AD250</f>
        <v>0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</row>
    <row r="250" spans="1:23" ht="16.5" customHeight="1">
      <c r="A250" s="106">
        <f>BASE!B249</f>
        <v>0</v>
      </c>
      <c r="B250" s="80" t="s">
        <v>2</v>
      </c>
      <c r="C250" s="62">
        <f>'Review I &amp; II'!T251+ESE!Z251</f>
        <v>0</v>
      </c>
      <c r="D250" s="62">
        <f>'Review I &amp; II'!U251+ESE!AA251</f>
        <v>0</v>
      </c>
      <c r="E250" s="62">
        <f>'Review I &amp; II'!V251+ESE!AB251</f>
        <v>0</v>
      </c>
      <c r="F250" s="62">
        <f>'Review I &amp; II'!W251+ESE!AC251</f>
        <v>0</v>
      </c>
      <c r="G250" s="62">
        <f>'Review I &amp; II'!X251+ESE!AD251</f>
        <v>0</v>
      </c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</row>
    <row r="251" spans="1:23" ht="16.5" customHeight="1">
      <c r="A251" s="106">
        <f>BASE!B250</f>
        <v>0</v>
      </c>
      <c r="B251" s="80" t="s">
        <v>2</v>
      </c>
      <c r="C251" s="62">
        <f>'Review I &amp; II'!T252+ESE!Z252</f>
        <v>0</v>
      </c>
      <c r="D251" s="62">
        <f>'Review I &amp; II'!U252+ESE!AA252</f>
        <v>0</v>
      </c>
      <c r="E251" s="62">
        <f>'Review I &amp; II'!V252+ESE!AB252</f>
        <v>0</v>
      </c>
      <c r="F251" s="62">
        <f>'Review I &amp; II'!W252+ESE!AC252</f>
        <v>0</v>
      </c>
      <c r="G251" s="62">
        <f>'Review I &amp; II'!X252+ESE!AD252</f>
        <v>0</v>
      </c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</row>
    <row r="252" spans="1:23" ht="16.5" customHeight="1">
      <c r="A252" s="106">
        <f>BASE!B251</f>
        <v>0</v>
      </c>
      <c r="B252" s="80" t="s">
        <v>2</v>
      </c>
      <c r="C252" s="62">
        <f>'Review I &amp; II'!T253+ESE!Z253</f>
        <v>0</v>
      </c>
      <c r="D252" s="62">
        <f>'Review I &amp; II'!U253+ESE!AA253</f>
        <v>0</v>
      </c>
      <c r="E252" s="62">
        <f>'Review I &amp; II'!V253+ESE!AB253</f>
        <v>0</v>
      </c>
      <c r="F252" s="62">
        <f>'Review I &amp; II'!W253+ESE!AC253</f>
        <v>0</v>
      </c>
      <c r="G252" s="62">
        <f>'Review I &amp; II'!X253+ESE!AD253</f>
        <v>0</v>
      </c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</row>
    <row r="253" spans="1:23" ht="16.5" customHeight="1">
      <c r="A253" s="106">
        <f>BASE!B252</f>
        <v>0</v>
      </c>
      <c r="B253" s="80" t="s">
        <v>2</v>
      </c>
      <c r="C253" s="62">
        <f>'Review I &amp; II'!T254+ESE!Z254</f>
        <v>0</v>
      </c>
      <c r="D253" s="62">
        <f>'Review I &amp; II'!U254+ESE!AA254</f>
        <v>0</v>
      </c>
      <c r="E253" s="62">
        <f>'Review I &amp; II'!V254+ESE!AB254</f>
        <v>0</v>
      </c>
      <c r="F253" s="62">
        <f>'Review I &amp; II'!W254+ESE!AC254</f>
        <v>0</v>
      </c>
      <c r="G253" s="62">
        <f>'Review I &amp; II'!X254+ESE!AD254</f>
        <v>0</v>
      </c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</row>
    <row r="254" spans="1:23" ht="16.5" customHeight="1">
      <c r="A254" s="106">
        <f>BASE!B253</f>
        <v>0</v>
      </c>
      <c r="B254" s="80" t="s">
        <v>2</v>
      </c>
      <c r="C254" s="62">
        <f>'Review I &amp; II'!T255+ESE!Z255</f>
        <v>0</v>
      </c>
      <c r="D254" s="62">
        <f>'Review I &amp; II'!U255+ESE!AA255</f>
        <v>0</v>
      </c>
      <c r="E254" s="62">
        <f>'Review I &amp; II'!V255+ESE!AB255</f>
        <v>0</v>
      </c>
      <c r="F254" s="62">
        <f>'Review I &amp; II'!W255+ESE!AC255</f>
        <v>0</v>
      </c>
      <c r="G254" s="62">
        <f>'Review I &amp; II'!X255+ESE!AD255</f>
        <v>0</v>
      </c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</row>
    <row r="255" spans="1:23" ht="16.5" customHeight="1">
      <c r="A255" s="106">
        <f>BASE!B254</f>
        <v>0</v>
      </c>
      <c r="B255" s="80" t="s">
        <v>2</v>
      </c>
      <c r="C255" s="62">
        <f>'Review I &amp; II'!T256+ESE!Z256</f>
        <v>0</v>
      </c>
      <c r="D255" s="62">
        <f>'Review I &amp; II'!U256+ESE!AA256</f>
        <v>0</v>
      </c>
      <c r="E255" s="62">
        <f>'Review I &amp; II'!V256+ESE!AB256</f>
        <v>0</v>
      </c>
      <c r="F255" s="62">
        <f>'Review I &amp; II'!W256+ESE!AC256</f>
        <v>0</v>
      </c>
      <c r="G255" s="62">
        <f>'Review I &amp; II'!X256+ESE!AD256</f>
        <v>0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</row>
    <row r="256" spans="1:23" ht="16.5" customHeight="1">
      <c r="A256" s="106">
        <f>BASE!B255</f>
        <v>0</v>
      </c>
      <c r="B256" s="80" t="s">
        <v>2</v>
      </c>
      <c r="C256" s="62">
        <f>'Review I &amp; II'!T257+ESE!Z257</f>
        <v>0</v>
      </c>
      <c r="D256" s="62">
        <f>'Review I &amp; II'!U257+ESE!AA257</f>
        <v>0</v>
      </c>
      <c r="E256" s="62">
        <f>'Review I &amp; II'!V257+ESE!AB257</f>
        <v>0</v>
      </c>
      <c r="F256" s="62">
        <f>'Review I &amp; II'!W257+ESE!AC257</f>
        <v>0</v>
      </c>
      <c r="G256" s="62">
        <f>'Review I &amp; II'!X257+ESE!AD257</f>
        <v>0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</row>
    <row r="257" spans="1:23" ht="16.5" customHeight="1">
      <c r="A257" s="106">
        <f>BASE!B256</f>
        <v>0</v>
      </c>
      <c r="B257" s="80" t="s">
        <v>2</v>
      </c>
      <c r="C257" s="62">
        <f>'Review I &amp; II'!T258+ESE!Z258</f>
        <v>0</v>
      </c>
      <c r="D257" s="62">
        <f>'Review I &amp; II'!U258+ESE!AA258</f>
        <v>0</v>
      </c>
      <c r="E257" s="62">
        <f>'Review I &amp; II'!V258+ESE!AB258</f>
        <v>0</v>
      </c>
      <c r="F257" s="62">
        <f>'Review I &amp; II'!W258+ESE!AC258</f>
        <v>0</v>
      </c>
      <c r="G257" s="62">
        <f>'Review I &amp; II'!X258+ESE!AD258</f>
        <v>0</v>
      </c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</row>
    <row r="258" spans="1:23" ht="16.5" customHeight="1">
      <c r="A258" s="106">
        <f>BASE!B257</f>
        <v>0</v>
      </c>
      <c r="B258" s="80" t="s">
        <v>2</v>
      </c>
      <c r="C258" s="62">
        <f>'Review I &amp; II'!T259+ESE!Z259</f>
        <v>0</v>
      </c>
      <c r="D258" s="62">
        <f>'Review I &amp; II'!U259+ESE!AA259</f>
        <v>0</v>
      </c>
      <c r="E258" s="62">
        <f>'Review I &amp; II'!V259+ESE!AB259</f>
        <v>0</v>
      </c>
      <c r="F258" s="62">
        <f>'Review I &amp; II'!W259+ESE!AC259</f>
        <v>0</v>
      </c>
      <c r="G258" s="62">
        <f>'Review I &amp; II'!X259+ESE!AD259</f>
        <v>0</v>
      </c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</row>
    <row r="259" spans="1:23" ht="16.5" customHeight="1">
      <c r="A259" s="106">
        <f>BASE!B258</f>
        <v>0</v>
      </c>
      <c r="B259" s="80" t="s">
        <v>2</v>
      </c>
      <c r="C259" s="62">
        <f>'Review I &amp; II'!T260+ESE!Z260</f>
        <v>0</v>
      </c>
      <c r="D259" s="62">
        <f>'Review I &amp; II'!U260+ESE!AA260</f>
        <v>0</v>
      </c>
      <c r="E259" s="62">
        <f>'Review I &amp; II'!V260+ESE!AB260</f>
        <v>0</v>
      </c>
      <c r="F259" s="62">
        <f>'Review I &amp; II'!W260+ESE!AC260</f>
        <v>0</v>
      </c>
      <c r="G259" s="62">
        <f>'Review I &amp; II'!X260+ESE!AD260</f>
        <v>0</v>
      </c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</row>
    <row r="260" spans="1:23" ht="16.5" customHeight="1">
      <c r="A260" s="106">
        <f>BASE!B259</f>
        <v>0</v>
      </c>
      <c r="B260" s="80" t="s">
        <v>2</v>
      </c>
      <c r="C260" s="62">
        <f>'Review I &amp; II'!T261+ESE!Z261</f>
        <v>0</v>
      </c>
      <c r="D260" s="62">
        <f>'Review I &amp; II'!U261+ESE!AA261</f>
        <v>0</v>
      </c>
      <c r="E260" s="62">
        <f>'Review I &amp; II'!V261+ESE!AB261</f>
        <v>0</v>
      </c>
      <c r="F260" s="62">
        <f>'Review I &amp; II'!W261+ESE!AC261</f>
        <v>0</v>
      </c>
      <c r="G260" s="62">
        <f>'Review I &amp; II'!X261+ESE!AD261</f>
        <v>0</v>
      </c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</row>
    <row r="261" spans="1:23" ht="16.5" customHeight="1">
      <c r="A261" s="106">
        <f>BASE!B260</f>
        <v>0</v>
      </c>
      <c r="B261" s="80" t="s">
        <v>2</v>
      </c>
      <c r="C261" s="62">
        <f>'Review I &amp; II'!T262+ESE!Z262</f>
        <v>0</v>
      </c>
      <c r="D261" s="62">
        <f>'Review I &amp; II'!U262+ESE!AA262</f>
        <v>0</v>
      </c>
      <c r="E261" s="62">
        <f>'Review I &amp; II'!V262+ESE!AB262</f>
        <v>0</v>
      </c>
      <c r="F261" s="62">
        <f>'Review I &amp; II'!W262+ESE!AC262</f>
        <v>0</v>
      </c>
      <c r="G261" s="62">
        <f>'Review I &amp; II'!X262+ESE!AD262</f>
        <v>0</v>
      </c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</row>
    <row r="262" spans="1:23" ht="16.5" customHeight="1">
      <c r="A262" s="106">
        <f>BASE!B261</f>
        <v>0</v>
      </c>
      <c r="B262" s="80" t="s">
        <v>2</v>
      </c>
      <c r="C262" s="62">
        <f>'Review I &amp; II'!T263+ESE!Z263</f>
        <v>0</v>
      </c>
      <c r="D262" s="62">
        <f>'Review I &amp; II'!U263+ESE!AA263</f>
        <v>0</v>
      </c>
      <c r="E262" s="62">
        <f>'Review I &amp; II'!V263+ESE!AB263</f>
        <v>0</v>
      </c>
      <c r="F262" s="62">
        <f>'Review I &amp; II'!W263+ESE!AC263</f>
        <v>0</v>
      </c>
      <c r="G262" s="62">
        <f>'Review I &amp; II'!X263+ESE!AD263</f>
        <v>0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</row>
    <row r="263" spans="1:23" ht="16.5" customHeight="1">
      <c r="A263" s="106">
        <f>BASE!B262</f>
        <v>0</v>
      </c>
      <c r="B263" s="80" t="s">
        <v>2</v>
      </c>
      <c r="C263" s="62">
        <f>'Review I &amp; II'!T264+ESE!Z264</f>
        <v>0</v>
      </c>
      <c r="D263" s="62">
        <f>'Review I &amp; II'!U264+ESE!AA264</f>
        <v>0</v>
      </c>
      <c r="E263" s="62">
        <f>'Review I &amp; II'!V264+ESE!AB264</f>
        <v>0</v>
      </c>
      <c r="F263" s="62">
        <f>'Review I &amp; II'!W264+ESE!AC264</f>
        <v>0</v>
      </c>
      <c r="G263" s="62">
        <f>'Review I &amp; II'!X264+ESE!AD264</f>
        <v>0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</row>
    <row r="264" spans="1:23" ht="16.5" customHeight="1">
      <c r="A264" s="106">
        <f>BASE!B263</f>
        <v>0</v>
      </c>
      <c r="B264" s="80" t="s">
        <v>2</v>
      </c>
      <c r="C264" s="62">
        <f>'Review I &amp; II'!T265+ESE!Z265</f>
        <v>0</v>
      </c>
      <c r="D264" s="62">
        <f>'Review I &amp; II'!U265+ESE!AA265</f>
        <v>0</v>
      </c>
      <c r="E264" s="62">
        <f>'Review I &amp; II'!V265+ESE!AB265</f>
        <v>0</v>
      </c>
      <c r="F264" s="62">
        <f>'Review I &amp; II'!W265+ESE!AC265</f>
        <v>0</v>
      </c>
      <c r="G264" s="62">
        <f>'Review I &amp; II'!X265+ESE!AD265</f>
        <v>0</v>
      </c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</row>
    <row r="265" spans="1:23" ht="16.5" customHeight="1">
      <c r="A265" s="106">
        <f>BASE!B264</f>
        <v>0</v>
      </c>
      <c r="B265" s="80" t="s">
        <v>2</v>
      </c>
      <c r="C265" s="62">
        <f>'Review I &amp; II'!T266+ESE!Z266</f>
        <v>0</v>
      </c>
      <c r="D265" s="62">
        <f>'Review I &amp; II'!U266+ESE!AA266</f>
        <v>0</v>
      </c>
      <c r="E265" s="62">
        <f>'Review I &amp; II'!V266+ESE!AB266</f>
        <v>0</v>
      </c>
      <c r="F265" s="62">
        <f>'Review I &amp; II'!W266+ESE!AC266</f>
        <v>0</v>
      </c>
      <c r="G265" s="62">
        <f>'Review I &amp; II'!X266+ESE!AD266</f>
        <v>0</v>
      </c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</row>
    <row r="266" spans="1:23" ht="16.5" customHeight="1">
      <c r="A266" s="106">
        <f>BASE!B265</f>
        <v>0</v>
      </c>
      <c r="B266" s="80" t="s">
        <v>2</v>
      </c>
      <c r="C266" s="62">
        <f>'Review I &amp; II'!T267+ESE!Z267</f>
        <v>0</v>
      </c>
      <c r="D266" s="62">
        <f>'Review I &amp; II'!U267+ESE!AA267</f>
        <v>0</v>
      </c>
      <c r="E266" s="62">
        <f>'Review I &amp; II'!V267+ESE!AB267</f>
        <v>0</v>
      </c>
      <c r="F266" s="62">
        <f>'Review I &amp; II'!W267+ESE!AC267</f>
        <v>0</v>
      </c>
      <c r="G266" s="62">
        <f>'Review I &amp; II'!X267+ESE!AD267</f>
        <v>0</v>
      </c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</row>
    <row r="267" spans="1:23" ht="16.5" customHeight="1">
      <c r="A267" s="106">
        <f>BASE!B266</f>
        <v>0</v>
      </c>
      <c r="B267" s="80" t="s">
        <v>2</v>
      </c>
      <c r="C267" s="62">
        <f>'Review I &amp; II'!T268+ESE!Z268</f>
        <v>0</v>
      </c>
      <c r="D267" s="62">
        <f>'Review I &amp; II'!U268+ESE!AA268</f>
        <v>0</v>
      </c>
      <c r="E267" s="62">
        <f>'Review I &amp; II'!V268+ESE!AB268</f>
        <v>0</v>
      </c>
      <c r="F267" s="62">
        <f>'Review I &amp; II'!W268+ESE!AC268</f>
        <v>0</v>
      </c>
      <c r="G267" s="62">
        <f>'Review I &amp; II'!X268+ESE!AD268</f>
        <v>0</v>
      </c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</row>
    <row r="268" spans="1:23" ht="16.5" customHeight="1">
      <c r="A268" s="106">
        <f>BASE!B267</f>
        <v>0</v>
      </c>
      <c r="B268" s="80" t="s">
        <v>2</v>
      </c>
      <c r="C268" s="62">
        <f>'Review I &amp; II'!T269+ESE!Z269</f>
        <v>0</v>
      </c>
      <c r="D268" s="62">
        <f>'Review I &amp; II'!U269+ESE!AA269</f>
        <v>0</v>
      </c>
      <c r="E268" s="62">
        <f>'Review I &amp; II'!V269+ESE!AB269</f>
        <v>0</v>
      </c>
      <c r="F268" s="62">
        <f>'Review I &amp; II'!W269+ESE!AC269</f>
        <v>0</v>
      </c>
      <c r="G268" s="62">
        <f>'Review I &amp; II'!X269+ESE!AD269</f>
        <v>0</v>
      </c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</row>
    <row r="269" spans="1:23" ht="16.5" customHeight="1">
      <c r="A269" s="106">
        <f>BASE!B268</f>
        <v>0</v>
      </c>
      <c r="B269" s="80" t="s">
        <v>2</v>
      </c>
      <c r="C269" s="62">
        <f>'Review I &amp; II'!T270+ESE!Z270</f>
        <v>0</v>
      </c>
      <c r="D269" s="62">
        <f>'Review I &amp; II'!U270+ESE!AA270</f>
        <v>0</v>
      </c>
      <c r="E269" s="62">
        <f>'Review I &amp; II'!V270+ESE!AB270</f>
        <v>0</v>
      </c>
      <c r="F269" s="62">
        <f>'Review I &amp; II'!W270+ESE!AC270</f>
        <v>0</v>
      </c>
      <c r="G269" s="62">
        <f>'Review I &amp; II'!X270+ESE!AD270</f>
        <v>0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</row>
    <row r="270" spans="1:23" ht="16.5" customHeight="1">
      <c r="A270" s="106">
        <f>BASE!B269</f>
        <v>0</v>
      </c>
      <c r="B270" s="80" t="s">
        <v>2</v>
      </c>
      <c r="C270" s="62">
        <f>'Review I &amp; II'!T271+ESE!Z271</f>
        <v>0</v>
      </c>
      <c r="D270" s="62">
        <f>'Review I &amp; II'!U271+ESE!AA271</f>
        <v>0</v>
      </c>
      <c r="E270" s="62">
        <f>'Review I &amp; II'!V271+ESE!AB271</f>
        <v>0</v>
      </c>
      <c r="F270" s="62">
        <f>'Review I &amp; II'!W271+ESE!AC271</f>
        <v>0</v>
      </c>
      <c r="G270" s="62">
        <f>'Review I &amp; II'!X271+ESE!AD271</f>
        <v>0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</row>
    <row r="271" spans="1:23" ht="16.5" customHeight="1">
      <c r="A271" s="106">
        <f>BASE!B270</f>
        <v>0</v>
      </c>
      <c r="B271" s="80" t="s">
        <v>2</v>
      </c>
      <c r="C271" s="62">
        <f>'Review I &amp; II'!T272+ESE!Z272</f>
        <v>0</v>
      </c>
      <c r="D271" s="62">
        <f>'Review I &amp; II'!U272+ESE!AA272</f>
        <v>0</v>
      </c>
      <c r="E271" s="62">
        <f>'Review I &amp; II'!V272+ESE!AB272</f>
        <v>0</v>
      </c>
      <c r="F271" s="62">
        <f>'Review I &amp; II'!W272+ESE!AC272</f>
        <v>0</v>
      </c>
      <c r="G271" s="62">
        <f>'Review I &amp; II'!X272+ESE!AD272</f>
        <v>0</v>
      </c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</row>
    <row r="272" spans="1:23" ht="16.5" customHeight="1">
      <c r="A272" s="106">
        <f>BASE!B271</f>
        <v>0</v>
      </c>
      <c r="B272" s="80" t="s">
        <v>2</v>
      </c>
      <c r="C272" s="62">
        <f>'Review I &amp; II'!T273+ESE!Z273</f>
        <v>0</v>
      </c>
      <c r="D272" s="62">
        <f>'Review I &amp; II'!U273+ESE!AA273</f>
        <v>0</v>
      </c>
      <c r="E272" s="62">
        <f>'Review I &amp; II'!V273+ESE!AB273</f>
        <v>0</v>
      </c>
      <c r="F272" s="62">
        <f>'Review I &amp; II'!W273+ESE!AC273</f>
        <v>0</v>
      </c>
      <c r="G272" s="62">
        <f>'Review I &amp; II'!X273+ESE!AD273</f>
        <v>0</v>
      </c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</row>
    <row r="273" spans="1:23" ht="16.5" customHeight="1">
      <c r="A273" s="106">
        <f>BASE!B272</f>
        <v>0</v>
      </c>
      <c r="B273" s="80" t="s">
        <v>2</v>
      </c>
      <c r="C273" s="62">
        <f>'Review I &amp; II'!T274+ESE!Z274</f>
        <v>0</v>
      </c>
      <c r="D273" s="62">
        <f>'Review I &amp; II'!U274+ESE!AA274</f>
        <v>0</v>
      </c>
      <c r="E273" s="62">
        <f>'Review I &amp; II'!V274+ESE!AB274</f>
        <v>0</v>
      </c>
      <c r="F273" s="62">
        <f>'Review I &amp; II'!W274+ESE!AC274</f>
        <v>0</v>
      </c>
      <c r="G273" s="62">
        <f>'Review I &amp; II'!X274+ESE!AD274</f>
        <v>0</v>
      </c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</row>
    <row r="274" spans="1:23" ht="16.5" customHeight="1">
      <c r="A274" s="106">
        <f>BASE!B273</f>
        <v>0</v>
      </c>
      <c r="B274" s="80" t="s">
        <v>2</v>
      </c>
      <c r="C274" s="62">
        <f>'Review I &amp; II'!T275+ESE!Z275</f>
        <v>0</v>
      </c>
      <c r="D274" s="62">
        <f>'Review I &amp; II'!U275+ESE!AA275</f>
        <v>0</v>
      </c>
      <c r="E274" s="62">
        <f>'Review I &amp; II'!V275+ESE!AB275</f>
        <v>0</v>
      </c>
      <c r="F274" s="62">
        <f>'Review I &amp; II'!W275+ESE!AC275</f>
        <v>0</v>
      </c>
      <c r="G274" s="62">
        <f>'Review I &amp; II'!X275+ESE!AD275</f>
        <v>0</v>
      </c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</row>
    <row r="275" spans="1:23" ht="16.5" customHeight="1">
      <c r="A275" s="106">
        <f>BASE!B274</f>
        <v>0</v>
      </c>
      <c r="B275" s="80" t="s">
        <v>2</v>
      </c>
      <c r="C275" s="62">
        <f>'Review I &amp; II'!T276+ESE!Z276</f>
        <v>0</v>
      </c>
      <c r="D275" s="62">
        <f>'Review I &amp; II'!U276+ESE!AA276</f>
        <v>0</v>
      </c>
      <c r="E275" s="62">
        <f>'Review I &amp; II'!V276+ESE!AB276</f>
        <v>0</v>
      </c>
      <c r="F275" s="62">
        <f>'Review I &amp; II'!W276+ESE!AC276</f>
        <v>0</v>
      </c>
      <c r="G275" s="62">
        <f>'Review I &amp; II'!X276+ESE!AD276</f>
        <v>0</v>
      </c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</row>
    <row r="276" spans="1:23" ht="16.5" customHeight="1">
      <c r="A276" s="106">
        <f>BASE!B275</f>
        <v>0</v>
      </c>
      <c r="B276" s="80" t="s">
        <v>2</v>
      </c>
      <c r="C276" s="62">
        <f>'Review I &amp; II'!T277+ESE!Z277</f>
        <v>0</v>
      </c>
      <c r="D276" s="62">
        <f>'Review I &amp; II'!U277+ESE!AA277</f>
        <v>0</v>
      </c>
      <c r="E276" s="62">
        <f>'Review I &amp; II'!V277+ESE!AB277</f>
        <v>0</v>
      </c>
      <c r="F276" s="62">
        <f>'Review I &amp; II'!W277+ESE!AC277</f>
        <v>0</v>
      </c>
      <c r="G276" s="62">
        <f>'Review I &amp; II'!X277+ESE!AD277</f>
        <v>0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</row>
    <row r="277" spans="1:23" ht="16.5" customHeight="1">
      <c r="A277" s="106">
        <f>BASE!B276</f>
        <v>0</v>
      </c>
      <c r="B277" s="80" t="s">
        <v>2</v>
      </c>
      <c r="C277" s="62">
        <f>'Review I &amp; II'!T278+ESE!Z278</f>
        <v>0</v>
      </c>
      <c r="D277" s="62">
        <f>'Review I &amp; II'!U278+ESE!AA278</f>
        <v>0</v>
      </c>
      <c r="E277" s="62">
        <f>'Review I &amp; II'!V278+ESE!AB278</f>
        <v>0</v>
      </c>
      <c r="F277" s="62">
        <f>'Review I &amp; II'!W278+ESE!AC278</f>
        <v>0</v>
      </c>
      <c r="G277" s="62">
        <f>'Review I &amp; II'!X278+ESE!AD278</f>
        <v>0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</row>
    <row r="278" spans="1:23" ht="16.5" customHeight="1">
      <c r="A278" s="106">
        <f>BASE!B277</f>
        <v>0</v>
      </c>
      <c r="B278" s="80" t="s">
        <v>2</v>
      </c>
      <c r="C278" s="62">
        <f>'Review I &amp; II'!T279+ESE!Z279</f>
        <v>0</v>
      </c>
      <c r="D278" s="62">
        <f>'Review I &amp; II'!U279+ESE!AA279</f>
        <v>0</v>
      </c>
      <c r="E278" s="62">
        <f>'Review I &amp; II'!V279+ESE!AB279</f>
        <v>0</v>
      </c>
      <c r="F278" s="62">
        <f>'Review I &amp; II'!W279+ESE!AC279</f>
        <v>0</v>
      </c>
      <c r="G278" s="62">
        <f>'Review I &amp; II'!X279+ESE!AD279</f>
        <v>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</row>
    <row r="279" spans="1:23" ht="16.5" customHeight="1">
      <c r="A279" s="106">
        <f>BASE!B278</f>
        <v>0</v>
      </c>
      <c r="B279" s="80" t="s">
        <v>2</v>
      </c>
      <c r="C279" s="62">
        <f>'Review I &amp; II'!T280+ESE!Z280</f>
        <v>0</v>
      </c>
      <c r="D279" s="62">
        <f>'Review I &amp; II'!U280+ESE!AA280</f>
        <v>0</v>
      </c>
      <c r="E279" s="62">
        <f>'Review I &amp; II'!V280+ESE!AB280</f>
        <v>0</v>
      </c>
      <c r="F279" s="62">
        <f>'Review I &amp; II'!W280+ESE!AC280</f>
        <v>0</v>
      </c>
      <c r="G279" s="62">
        <f>'Review I &amp; II'!X280+ESE!AD280</f>
        <v>0</v>
      </c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</row>
    <row r="280" spans="1:23" ht="16.5" customHeight="1">
      <c r="A280" s="106">
        <f>BASE!B279</f>
        <v>0</v>
      </c>
      <c r="B280" s="80" t="s">
        <v>2</v>
      </c>
      <c r="C280" s="62">
        <f>'Review I &amp; II'!T281+ESE!Z281</f>
        <v>0</v>
      </c>
      <c r="D280" s="62">
        <f>'Review I &amp; II'!U281+ESE!AA281</f>
        <v>0</v>
      </c>
      <c r="E280" s="62">
        <f>'Review I &amp; II'!V281+ESE!AB281</f>
        <v>0</v>
      </c>
      <c r="F280" s="62">
        <f>'Review I &amp; II'!W281+ESE!AC281</f>
        <v>0</v>
      </c>
      <c r="G280" s="62">
        <f>'Review I &amp; II'!X281+ESE!AD281</f>
        <v>0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</row>
    <row r="281" spans="1:23" ht="16.5" customHeight="1">
      <c r="A281" s="106">
        <f>BASE!B280</f>
        <v>0</v>
      </c>
      <c r="B281" s="80" t="s">
        <v>2</v>
      </c>
      <c r="C281" s="62">
        <f>'Review I &amp; II'!T282+ESE!Z282</f>
        <v>0</v>
      </c>
      <c r="D281" s="62">
        <f>'Review I &amp; II'!U282+ESE!AA282</f>
        <v>0</v>
      </c>
      <c r="E281" s="62">
        <f>'Review I &amp; II'!V282+ESE!AB282</f>
        <v>0</v>
      </c>
      <c r="F281" s="62">
        <f>'Review I &amp; II'!W282+ESE!AC282</f>
        <v>0</v>
      </c>
      <c r="G281" s="62">
        <f>'Review I &amp; II'!X282+ESE!AD282</f>
        <v>0</v>
      </c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</row>
    <row r="282" spans="1:23" ht="16.5" customHeight="1">
      <c r="A282" s="106">
        <f>BASE!B281</f>
        <v>0</v>
      </c>
      <c r="B282" s="80" t="s">
        <v>2</v>
      </c>
      <c r="C282" s="62">
        <f>'Review I &amp; II'!T283+ESE!Z283</f>
        <v>0</v>
      </c>
      <c r="D282" s="62">
        <f>'Review I &amp; II'!U283+ESE!AA283</f>
        <v>0</v>
      </c>
      <c r="E282" s="62">
        <f>'Review I &amp; II'!V283+ESE!AB283</f>
        <v>0</v>
      </c>
      <c r="F282" s="62">
        <f>'Review I &amp; II'!W283+ESE!AC283</f>
        <v>0</v>
      </c>
      <c r="G282" s="62">
        <f>'Review I &amp; II'!X283+ESE!AD283</f>
        <v>0</v>
      </c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</row>
    <row r="283" spans="1:23" ht="16.5" customHeight="1">
      <c r="A283" s="106">
        <f>BASE!B282</f>
        <v>0</v>
      </c>
      <c r="B283" s="80" t="s">
        <v>2</v>
      </c>
      <c r="C283" s="62">
        <f>'Review I &amp; II'!T284+ESE!Z284</f>
        <v>0</v>
      </c>
      <c r="D283" s="62">
        <f>'Review I &amp; II'!U284+ESE!AA284</f>
        <v>0</v>
      </c>
      <c r="E283" s="62">
        <f>'Review I &amp; II'!V284+ESE!AB284</f>
        <v>0</v>
      </c>
      <c r="F283" s="62">
        <f>'Review I &amp; II'!W284+ESE!AC284</f>
        <v>0</v>
      </c>
      <c r="G283" s="62">
        <f>'Review I &amp; II'!X284+ESE!AD284</f>
        <v>0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</row>
    <row r="284" spans="1:23" ht="16.5" customHeight="1">
      <c r="A284" s="106">
        <f>BASE!B283</f>
        <v>0</v>
      </c>
      <c r="B284" s="80" t="s">
        <v>2</v>
      </c>
      <c r="C284" s="62">
        <f>'Review I &amp; II'!T285+ESE!Z285</f>
        <v>0</v>
      </c>
      <c r="D284" s="62">
        <f>'Review I &amp; II'!U285+ESE!AA285</f>
        <v>0</v>
      </c>
      <c r="E284" s="62">
        <f>'Review I &amp; II'!V285+ESE!AB285</f>
        <v>0</v>
      </c>
      <c r="F284" s="62">
        <f>'Review I &amp; II'!W285+ESE!AC285</f>
        <v>0</v>
      </c>
      <c r="G284" s="62">
        <f>'Review I &amp; II'!X285+ESE!AD285</f>
        <v>0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</row>
    <row r="285" spans="1:23" ht="16.5" customHeight="1">
      <c r="A285" s="106">
        <f>BASE!B284</f>
        <v>0</v>
      </c>
      <c r="B285" s="80" t="s">
        <v>2</v>
      </c>
      <c r="C285" s="62">
        <f>'Review I &amp; II'!T286+ESE!Z286</f>
        <v>0</v>
      </c>
      <c r="D285" s="62">
        <f>'Review I &amp; II'!U286+ESE!AA286</f>
        <v>0</v>
      </c>
      <c r="E285" s="62">
        <f>'Review I &amp; II'!V286+ESE!AB286</f>
        <v>0</v>
      </c>
      <c r="F285" s="62">
        <f>'Review I &amp; II'!W286+ESE!AC286</f>
        <v>0</v>
      </c>
      <c r="G285" s="62">
        <f>'Review I &amp; II'!X286+ESE!AD286</f>
        <v>0</v>
      </c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</row>
    <row r="286" spans="1:23" ht="16.5" customHeight="1">
      <c r="A286" s="106">
        <f>BASE!B285</f>
        <v>0</v>
      </c>
      <c r="B286" s="80" t="s">
        <v>2</v>
      </c>
      <c r="C286" s="62">
        <f>'Review I &amp; II'!T287+ESE!Z287</f>
        <v>0</v>
      </c>
      <c r="D286" s="62">
        <f>'Review I &amp; II'!U287+ESE!AA287</f>
        <v>0</v>
      </c>
      <c r="E286" s="62">
        <f>'Review I &amp; II'!V287+ESE!AB287</f>
        <v>0</v>
      </c>
      <c r="F286" s="62">
        <f>'Review I &amp; II'!W287+ESE!AC287</f>
        <v>0</v>
      </c>
      <c r="G286" s="62">
        <f>'Review I &amp; II'!X287+ESE!AD287</f>
        <v>0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</row>
    <row r="287" spans="1:23" ht="16.5" customHeight="1">
      <c r="A287" s="106">
        <f>BASE!B286</f>
        <v>0</v>
      </c>
      <c r="B287" s="80" t="s">
        <v>2</v>
      </c>
      <c r="C287" s="62">
        <f>'Review I &amp; II'!T288+ESE!Z288</f>
        <v>0</v>
      </c>
      <c r="D287" s="62">
        <f>'Review I &amp; II'!U288+ESE!AA288</f>
        <v>0</v>
      </c>
      <c r="E287" s="62">
        <f>'Review I &amp; II'!V288+ESE!AB288</f>
        <v>0</v>
      </c>
      <c r="F287" s="62">
        <f>'Review I &amp; II'!W288+ESE!AC288</f>
        <v>0</v>
      </c>
      <c r="G287" s="62">
        <f>'Review I &amp; II'!X288+ESE!AD288</f>
        <v>0</v>
      </c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</row>
    <row r="288" spans="1:23" ht="16.5" customHeight="1">
      <c r="A288" s="106">
        <f>BASE!B287</f>
        <v>0</v>
      </c>
      <c r="B288" s="80" t="s">
        <v>2</v>
      </c>
      <c r="C288" s="62">
        <f>'Review I &amp; II'!T289+ESE!Z289</f>
        <v>0</v>
      </c>
      <c r="D288" s="62">
        <f>'Review I &amp; II'!U289+ESE!AA289</f>
        <v>0</v>
      </c>
      <c r="E288" s="62">
        <f>'Review I &amp; II'!V289+ESE!AB289</f>
        <v>0</v>
      </c>
      <c r="F288" s="62">
        <f>'Review I &amp; II'!W289+ESE!AC289</f>
        <v>0</v>
      </c>
      <c r="G288" s="62">
        <f>'Review I &amp; II'!X289+ESE!AD289</f>
        <v>0</v>
      </c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</row>
    <row r="289" spans="1:23" ht="16.5" customHeight="1">
      <c r="A289" s="106">
        <f>BASE!B288</f>
        <v>0</v>
      </c>
      <c r="B289" s="80" t="s">
        <v>2</v>
      </c>
      <c r="C289" s="62">
        <f>'Review I &amp; II'!T290+ESE!Z290</f>
        <v>0</v>
      </c>
      <c r="D289" s="62">
        <f>'Review I &amp; II'!U290+ESE!AA290</f>
        <v>0</v>
      </c>
      <c r="E289" s="62">
        <f>'Review I &amp; II'!V290+ESE!AB290</f>
        <v>0</v>
      </c>
      <c r="F289" s="62">
        <f>'Review I &amp; II'!W290+ESE!AC290</f>
        <v>0</v>
      </c>
      <c r="G289" s="62">
        <f>'Review I &amp; II'!X290+ESE!AD290</f>
        <v>0</v>
      </c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</row>
    <row r="290" spans="1:23" ht="16.5" customHeight="1">
      <c r="A290" s="106">
        <f>BASE!B289</f>
        <v>0</v>
      </c>
      <c r="B290" s="80" t="s">
        <v>2</v>
      </c>
      <c r="C290" s="62">
        <f>'Review I &amp; II'!T291+ESE!Z291</f>
        <v>0</v>
      </c>
      <c r="D290" s="62">
        <f>'Review I &amp; II'!U291+ESE!AA291</f>
        <v>0</v>
      </c>
      <c r="E290" s="62">
        <f>'Review I &amp; II'!V291+ESE!AB291</f>
        <v>0</v>
      </c>
      <c r="F290" s="62">
        <f>'Review I &amp; II'!W291+ESE!AC291</f>
        <v>0</v>
      </c>
      <c r="G290" s="62">
        <f>'Review I &amp; II'!X291+ESE!AD291</f>
        <v>0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</row>
    <row r="291" spans="1:23" ht="16.5" customHeight="1">
      <c r="A291" s="106">
        <f>BASE!B290</f>
        <v>0</v>
      </c>
      <c r="B291" s="80" t="s">
        <v>2</v>
      </c>
      <c r="C291" s="62">
        <f>'Review I &amp; II'!T292+ESE!Z292</f>
        <v>0</v>
      </c>
      <c r="D291" s="62">
        <f>'Review I &amp; II'!U292+ESE!AA292</f>
        <v>0</v>
      </c>
      <c r="E291" s="62">
        <f>'Review I &amp; II'!V292+ESE!AB292</f>
        <v>0</v>
      </c>
      <c r="F291" s="62">
        <f>'Review I &amp; II'!W292+ESE!AC292</f>
        <v>0</v>
      </c>
      <c r="G291" s="62">
        <f>'Review I &amp; II'!X292+ESE!AD292</f>
        <v>0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</row>
    <row r="292" spans="1:23" ht="16.5" customHeight="1">
      <c r="A292" s="106">
        <f>BASE!B291</f>
        <v>0</v>
      </c>
      <c r="B292" s="80" t="s">
        <v>2</v>
      </c>
      <c r="C292" s="62">
        <f>'Review I &amp; II'!T293+ESE!Z293</f>
        <v>0</v>
      </c>
      <c r="D292" s="62">
        <f>'Review I &amp; II'!U293+ESE!AA293</f>
        <v>0</v>
      </c>
      <c r="E292" s="62">
        <f>'Review I &amp; II'!V293+ESE!AB293</f>
        <v>0</v>
      </c>
      <c r="F292" s="62">
        <f>'Review I &amp; II'!W293+ESE!AC293</f>
        <v>0</v>
      </c>
      <c r="G292" s="62">
        <f>'Review I &amp; II'!X293+ESE!AD293</f>
        <v>0</v>
      </c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</row>
    <row r="293" spans="1:23" ht="16.5" customHeight="1">
      <c r="A293" s="106">
        <f>BASE!B292</f>
        <v>0</v>
      </c>
      <c r="B293" s="80" t="s">
        <v>2</v>
      </c>
      <c r="C293" s="62">
        <f>'Review I &amp; II'!T294+ESE!Z294</f>
        <v>0</v>
      </c>
      <c r="D293" s="62">
        <f>'Review I &amp; II'!U294+ESE!AA294</f>
        <v>0</v>
      </c>
      <c r="E293" s="62">
        <f>'Review I &amp; II'!V294+ESE!AB294</f>
        <v>0</v>
      </c>
      <c r="F293" s="62">
        <f>'Review I &amp; II'!W294+ESE!AC294</f>
        <v>0</v>
      </c>
      <c r="G293" s="62">
        <f>'Review I &amp; II'!X294+ESE!AD294</f>
        <v>0</v>
      </c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</row>
    <row r="294" spans="1:23" ht="16.5" customHeight="1">
      <c r="A294" s="106">
        <f>BASE!B293</f>
        <v>0</v>
      </c>
      <c r="B294" s="80" t="s">
        <v>2</v>
      </c>
      <c r="C294" s="62">
        <f>'Review I &amp; II'!T295+ESE!Z295</f>
        <v>0</v>
      </c>
      <c r="D294" s="62">
        <f>'Review I &amp; II'!U295+ESE!AA295</f>
        <v>0</v>
      </c>
      <c r="E294" s="62">
        <f>'Review I &amp; II'!V295+ESE!AB295</f>
        <v>0</v>
      </c>
      <c r="F294" s="62">
        <f>'Review I &amp; II'!W295+ESE!AC295</f>
        <v>0</v>
      </c>
      <c r="G294" s="62">
        <f>'Review I &amp; II'!X295+ESE!AD295</f>
        <v>0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</row>
    <row r="295" spans="1:23" ht="16.5" customHeight="1">
      <c r="A295" s="106">
        <f>BASE!B294</f>
        <v>0</v>
      </c>
      <c r="B295" s="80" t="s">
        <v>2</v>
      </c>
      <c r="C295" s="62">
        <f>'Review I &amp; II'!T296+ESE!Z296</f>
        <v>0</v>
      </c>
      <c r="D295" s="62">
        <f>'Review I &amp; II'!U296+ESE!AA296</f>
        <v>0</v>
      </c>
      <c r="E295" s="62">
        <f>'Review I &amp; II'!V296+ESE!AB296</f>
        <v>0</v>
      </c>
      <c r="F295" s="62">
        <f>'Review I &amp; II'!W296+ESE!AC296</f>
        <v>0</v>
      </c>
      <c r="G295" s="62">
        <f>'Review I &amp; II'!X296+ESE!AD296</f>
        <v>0</v>
      </c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</row>
    <row r="296" spans="1:23" ht="16.5" customHeight="1">
      <c r="A296" s="106">
        <f>BASE!B295</f>
        <v>0</v>
      </c>
      <c r="B296" s="80" t="s">
        <v>2</v>
      </c>
      <c r="C296" s="62">
        <f>'Review I &amp; II'!T297+ESE!Z297</f>
        <v>0</v>
      </c>
      <c r="D296" s="62">
        <f>'Review I &amp; II'!U297+ESE!AA297</f>
        <v>0</v>
      </c>
      <c r="E296" s="62">
        <f>'Review I &amp; II'!V297+ESE!AB297</f>
        <v>0</v>
      </c>
      <c r="F296" s="62">
        <f>'Review I &amp; II'!W297+ESE!AC297</f>
        <v>0</v>
      </c>
      <c r="G296" s="62">
        <f>'Review I &amp; II'!X297+ESE!AD297</f>
        <v>0</v>
      </c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</row>
    <row r="297" spans="1:23" ht="16.5" customHeight="1">
      <c r="A297" s="106">
        <f>BASE!B296</f>
        <v>0</v>
      </c>
      <c r="B297" s="80" t="s">
        <v>2</v>
      </c>
      <c r="C297" s="62">
        <f>'Review I &amp; II'!T298+ESE!Z298</f>
        <v>0</v>
      </c>
      <c r="D297" s="62">
        <f>'Review I &amp; II'!U298+ESE!AA298</f>
        <v>0</v>
      </c>
      <c r="E297" s="62">
        <f>'Review I &amp; II'!V298+ESE!AB298</f>
        <v>0</v>
      </c>
      <c r="F297" s="62">
        <f>'Review I &amp; II'!W298+ESE!AC298</f>
        <v>0</v>
      </c>
      <c r="G297" s="62">
        <f>'Review I &amp; II'!X298+ESE!AD298</f>
        <v>0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</row>
    <row r="298" spans="1:23" ht="16.5" customHeight="1">
      <c r="A298" s="106">
        <f>BASE!B297</f>
        <v>0</v>
      </c>
      <c r="B298" s="80" t="s">
        <v>2</v>
      </c>
      <c r="C298" s="62">
        <f>'Review I &amp; II'!T299+ESE!Z299</f>
        <v>0</v>
      </c>
      <c r="D298" s="62">
        <f>'Review I &amp; II'!U299+ESE!AA299</f>
        <v>0</v>
      </c>
      <c r="E298" s="62">
        <f>'Review I &amp; II'!V299+ESE!AB299</f>
        <v>0</v>
      </c>
      <c r="F298" s="62">
        <f>'Review I &amp; II'!W299+ESE!AC299</f>
        <v>0</v>
      </c>
      <c r="G298" s="62">
        <f>'Review I &amp; II'!X299+ESE!AD299</f>
        <v>0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</row>
    <row r="299" spans="1:23" ht="16.5" customHeight="1">
      <c r="A299" s="106">
        <f>BASE!B298</f>
        <v>0</v>
      </c>
      <c r="B299" s="80" t="s">
        <v>2</v>
      </c>
      <c r="C299" s="62">
        <f>'Review I &amp; II'!T300+ESE!Z300</f>
        <v>0</v>
      </c>
      <c r="D299" s="62">
        <f>'Review I &amp; II'!U300+ESE!AA300</f>
        <v>0</v>
      </c>
      <c r="E299" s="62">
        <f>'Review I &amp; II'!V300+ESE!AB300</f>
        <v>0</v>
      </c>
      <c r="F299" s="62">
        <f>'Review I &amp; II'!W300+ESE!AC300</f>
        <v>0</v>
      </c>
      <c r="G299" s="62">
        <f>'Review I &amp; II'!X300+ESE!AD300</f>
        <v>0</v>
      </c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</row>
    <row r="300" spans="1:23" ht="16.5" customHeight="1">
      <c r="A300" s="106">
        <f>BASE!B299</f>
        <v>0</v>
      </c>
      <c r="B300" s="80" t="s">
        <v>2</v>
      </c>
      <c r="C300" s="62">
        <f>'Review I &amp; II'!T301+ESE!Z301</f>
        <v>0</v>
      </c>
      <c r="D300" s="62">
        <f>'Review I &amp; II'!U301+ESE!AA301</f>
        <v>0</v>
      </c>
      <c r="E300" s="62">
        <f>'Review I &amp; II'!V301+ESE!AB301</f>
        <v>0</v>
      </c>
      <c r="F300" s="62">
        <f>'Review I &amp; II'!W301+ESE!AC301</f>
        <v>0</v>
      </c>
      <c r="G300" s="62">
        <f>'Review I &amp; II'!X301+ESE!AD301</f>
        <v>0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</row>
    <row r="301" spans="1:23" ht="16.5" customHeight="1">
      <c r="A301" s="106">
        <f>BASE!B300</f>
        <v>0</v>
      </c>
      <c r="B301" s="80" t="s">
        <v>2</v>
      </c>
      <c r="C301" s="62">
        <f>'Review I &amp; II'!T302+ESE!Z302</f>
        <v>0</v>
      </c>
      <c r="D301" s="62">
        <f>'Review I &amp; II'!U302+ESE!AA302</f>
        <v>0</v>
      </c>
      <c r="E301" s="62">
        <f>'Review I &amp; II'!V302+ESE!AB302</f>
        <v>0</v>
      </c>
      <c r="F301" s="62">
        <f>'Review I &amp; II'!W302+ESE!AC302</f>
        <v>0</v>
      </c>
      <c r="G301" s="62">
        <f>'Review I &amp; II'!X302+ESE!AD302</f>
        <v>0</v>
      </c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</row>
    <row r="302" spans="1:23" ht="16.5" customHeight="1">
      <c r="A302" s="106">
        <f>BASE!B301</f>
        <v>0</v>
      </c>
      <c r="B302" s="80" t="s">
        <v>2</v>
      </c>
      <c r="C302" s="62">
        <f>'Review I &amp; II'!T303+ESE!Z303</f>
        <v>0</v>
      </c>
      <c r="D302" s="62">
        <f>'Review I &amp; II'!U303+ESE!AA303</f>
        <v>0</v>
      </c>
      <c r="E302" s="62">
        <f>'Review I &amp; II'!V303+ESE!AB303</f>
        <v>0</v>
      </c>
      <c r="F302" s="62">
        <f>'Review I &amp; II'!W303+ESE!AC303</f>
        <v>0</v>
      </c>
      <c r="G302" s="62">
        <f>'Review I &amp; II'!X303+ESE!AD303</f>
        <v>0</v>
      </c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</row>
    <row r="303" spans="1:23" ht="16.5" customHeight="1">
      <c r="A303" s="106">
        <f>BASE!B302</f>
        <v>0</v>
      </c>
      <c r="B303" s="80" t="s">
        <v>2</v>
      </c>
      <c r="C303" s="62">
        <f>'Review I &amp; II'!T304+ESE!Z304</f>
        <v>0</v>
      </c>
      <c r="D303" s="62">
        <f>'Review I &amp; II'!U304+ESE!AA304</f>
        <v>0</v>
      </c>
      <c r="E303" s="62">
        <f>'Review I &amp; II'!V304+ESE!AB304</f>
        <v>0</v>
      </c>
      <c r="F303" s="62">
        <f>'Review I &amp; II'!W304+ESE!AC304</f>
        <v>0</v>
      </c>
      <c r="G303" s="62">
        <f>'Review I &amp; II'!X304+ESE!AD304</f>
        <v>0</v>
      </c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</row>
    <row r="304" spans="1:23" ht="16.5" customHeight="1">
      <c r="A304" s="106">
        <f>BASE!B303</f>
        <v>0</v>
      </c>
      <c r="B304" s="80" t="s">
        <v>2</v>
      </c>
      <c r="C304" s="62">
        <f>'Review I &amp; II'!T305+ESE!Z305</f>
        <v>0</v>
      </c>
      <c r="D304" s="62">
        <f>'Review I &amp; II'!U305+ESE!AA305</f>
        <v>0</v>
      </c>
      <c r="E304" s="62">
        <f>'Review I &amp; II'!V305+ESE!AB305</f>
        <v>0</v>
      </c>
      <c r="F304" s="62">
        <f>'Review I &amp; II'!W305+ESE!AC305</f>
        <v>0</v>
      </c>
      <c r="G304" s="62">
        <f>'Review I &amp; II'!X305+ESE!AD305</f>
        <v>0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</row>
    <row r="305" spans="1:23" ht="16.5" customHeight="1">
      <c r="A305" s="106">
        <f>BASE!B304</f>
        <v>0</v>
      </c>
      <c r="B305" s="80" t="s">
        <v>2</v>
      </c>
      <c r="C305" s="62">
        <f>'Review I &amp; II'!T306+ESE!Z306</f>
        <v>0</v>
      </c>
      <c r="D305" s="62">
        <f>'Review I &amp; II'!U306+ESE!AA306</f>
        <v>0</v>
      </c>
      <c r="E305" s="62">
        <f>'Review I &amp; II'!V306+ESE!AB306</f>
        <v>0</v>
      </c>
      <c r="F305" s="62">
        <f>'Review I &amp; II'!W306+ESE!AC306</f>
        <v>0</v>
      </c>
      <c r="G305" s="62">
        <f>'Review I &amp; II'!X306+ESE!AD306</f>
        <v>0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</row>
    <row r="306" spans="1:23" ht="16.5" customHeight="1">
      <c r="A306" s="106">
        <f>BASE!B305</f>
        <v>0</v>
      </c>
      <c r="B306" s="80" t="s">
        <v>2</v>
      </c>
      <c r="C306" s="62">
        <f>'Review I &amp; II'!T307+ESE!Z307</f>
        <v>0</v>
      </c>
      <c r="D306" s="62">
        <f>'Review I &amp; II'!U307+ESE!AA307</f>
        <v>0</v>
      </c>
      <c r="E306" s="62">
        <f>'Review I &amp; II'!V307+ESE!AB307</f>
        <v>0</v>
      </c>
      <c r="F306" s="62">
        <f>'Review I &amp; II'!W307+ESE!AC307</f>
        <v>0</v>
      </c>
      <c r="G306" s="62">
        <f>'Review I &amp; II'!X307+ESE!AD307</f>
        <v>0</v>
      </c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</row>
    <row r="307" spans="1:23" ht="16.5" customHeight="1">
      <c r="A307" s="106">
        <f>BASE!B306</f>
        <v>0</v>
      </c>
      <c r="B307" s="80" t="s">
        <v>2</v>
      </c>
      <c r="C307" s="62">
        <f>'Review I &amp; II'!T308+ESE!Z308</f>
        <v>0</v>
      </c>
      <c r="D307" s="62">
        <f>'Review I &amp; II'!U308+ESE!AA308</f>
        <v>0</v>
      </c>
      <c r="E307" s="62">
        <f>'Review I &amp; II'!V308+ESE!AB308</f>
        <v>0</v>
      </c>
      <c r="F307" s="62">
        <f>'Review I &amp; II'!W308+ESE!AC308</f>
        <v>0</v>
      </c>
      <c r="G307" s="62">
        <f>'Review I &amp; II'!X308+ESE!AD308</f>
        <v>0</v>
      </c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</row>
    <row r="308" spans="1:23" ht="16.5" customHeight="1">
      <c r="A308" s="106">
        <f>BASE!B307</f>
        <v>0</v>
      </c>
      <c r="B308" s="80" t="s">
        <v>2</v>
      </c>
      <c r="C308" s="62">
        <f>'Review I &amp; II'!T309+ESE!Z309</f>
        <v>0</v>
      </c>
      <c r="D308" s="62">
        <f>'Review I &amp; II'!U309+ESE!AA309</f>
        <v>0</v>
      </c>
      <c r="E308" s="62">
        <f>'Review I &amp; II'!V309+ESE!AB309</f>
        <v>0</v>
      </c>
      <c r="F308" s="62">
        <f>'Review I &amp; II'!W309+ESE!AC309</f>
        <v>0</v>
      </c>
      <c r="G308" s="62">
        <f>'Review I &amp; II'!X309+ESE!AD309</f>
        <v>0</v>
      </c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</row>
    <row r="309" spans="1:23" ht="16.5" customHeight="1">
      <c r="A309" s="106">
        <f>BASE!B308</f>
        <v>0</v>
      </c>
      <c r="B309" s="80" t="s">
        <v>2</v>
      </c>
      <c r="C309" s="62">
        <f>'Review I &amp; II'!T310+ESE!Z310</f>
        <v>0</v>
      </c>
      <c r="D309" s="62">
        <f>'Review I &amp; II'!U310+ESE!AA310</f>
        <v>0</v>
      </c>
      <c r="E309" s="62">
        <f>'Review I &amp; II'!V310+ESE!AB310</f>
        <v>0</v>
      </c>
      <c r="F309" s="62">
        <f>'Review I &amp; II'!W310+ESE!AC310</f>
        <v>0</v>
      </c>
      <c r="G309" s="62">
        <f>'Review I &amp; II'!X310+ESE!AD310</f>
        <v>0</v>
      </c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</row>
    <row r="310" spans="1:23" ht="16.5" customHeight="1">
      <c r="A310" s="106">
        <f>BASE!B309</f>
        <v>0</v>
      </c>
      <c r="B310" s="80" t="s">
        <v>2</v>
      </c>
      <c r="C310" s="62">
        <f>'Review I &amp; II'!T311+ESE!Z311</f>
        <v>0</v>
      </c>
      <c r="D310" s="62">
        <f>'Review I &amp; II'!U311+ESE!AA311</f>
        <v>0</v>
      </c>
      <c r="E310" s="62">
        <f>'Review I &amp; II'!V311+ESE!AB311</f>
        <v>0</v>
      </c>
      <c r="F310" s="62">
        <f>'Review I &amp; II'!W311+ESE!AC311</f>
        <v>0</v>
      </c>
      <c r="G310" s="62">
        <f>'Review I &amp; II'!X311+ESE!AD311</f>
        <v>0</v>
      </c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</row>
    <row r="311" spans="1:23" ht="16.5" customHeight="1">
      <c r="A311" s="106">
        <f>BASE!B310</f>
        <v>0</v>
      </c>
      <c r="B311" s="80" t="s">
        <v>2</v>
      </c>
      <c r="C311" s="62">
        <f>'Review I &amp; II'!T312+ESE!Z312</f>
        <v>0</v>
      </c>
      <c r="D311" s="62">
        <f>'Review I &amp; II'!U312+ESE!AA312</f>
        <v>0</v>
      </c>
      <c r="E311" s="62">
        <f>'Review I &amp; II'!V312+ESE!AB312</f>
        <v>0</v>
      </c>
      <c r="F311" s="62">
        <f>'Review I &amp; II'!W312+ESE!AC312</f>
        <v>0</v>
      </c>
      <c r="G311" s="62">
        <f>'Review I &amp; II'!X312+ESE!AD312</f>
        <v>0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</row>
    <row r="312" spans="1:23" ht="16.5" customHeight="1">
      <c r="A312" s="106">
        <f>BASE!B311</f>
        <v>0</v>
      </c>
      <c r="B312" s="80" t="s">
        <v>2</v>
      </c>
      <c r="C312" s="62">
        <f>'Review I &amp; II'!T313+ESE!Z313</f>
        <v>0</v>
      </c>
      <c r="D312" s="62">
        <f>'Review I &amp; II'!U313+ESE!AA313</f>
        <v>0</v>
      </c>
      <c r="E312" s="62">
        <f>'Review I &amp; II'!V313+ESE!AB313</f>
        <v>0</v>
      </c>
      <c r="F312" s="62">
        <f>'Review I &amp; II'!W313+ESE!AC313</f>
        <v>0</v>
      </c>
      <c r="G312" s="62">
        <f>'Review I &amp; II'!X313+ESE!AD313</f>
        <v>0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</row>
    <row r="313" spans="1:23" ht="16.5" customHeight="1">
      <c r="A313" s="106">
        <f>BASE!B312</f>
        <v>0</v>
      </c>
      <c r="B313" s="80" t="s">
        <v>2</v>
      </c>
      <c r="C313" s="62">
        <f>'Review I &amp; II'!T314+ESE!Z314</f>
        <v>0</v>
      </c>
      <c r="D313" s="62">
        <f>'Review I &amp; II'!U314+ESE!AA314</f>
        <v>0</v>
      </c>
      <c r="E313" s="62">
        <f>'Review I &amp; II'!V314+ESE!AB314</f>
        <v>0</v>
      </c>
      <c r="F313" s="62">
        <f>'Review I &amp; II'!W314+ESE!AC314</f>
        <v>0</v>
      </c>
      <c r="G313" s="62">
        <f>'Review I &amp; II'!X314+ESE!AD314</f>
        <v>0</v>
      </c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</row>
    <row r="314" spans="1:23" ht="16.5" customHeight="1">
      <c r="A314" s="106">
        <f>BASE!B313</f>
        <v>0</v>
      </c>
      <c r="B314" s="80" t="s">
        <v>2</v>
      </c>
      <c r="C314" s="62">
        <f>'Review I &amp; II'!T315+ESE!Z315</f>
        <v>0</v>
      </c>
      <c r="D314" s="62">
        <f>'Review I &amp; II'!U315+ESE!AA315</f>
        <v>0</v>
      </c>
      <c r="E314" s="62">
        <f>'Review I &amp; II'!V315+ESE!AB315</f>
        <v>0</v>
      </c>
      <c r="F314" s="62">
        <f>'Review I &amp; II'!W315+ESE!AC315</f>
        <v>0</v>
      </c>
      <c r="G314" s="62">
        <f>'Review I &amp; II'!X315+ESE!AD315</f>
        <v>0</v>
      </c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</row>
    <row r="315" spans="1:23" ht="16.5" customHeight="1">
      <c r="A315" s="106">
        <f>BASE!B314</f>
        <v>0</v>
      </c>
      <c r="B315" s="80" t="s">
        <v>2</v>
      </c>
      <c r="C315" s="62">
        <f>'Review I &amp; II'!T316+ESE!Z316</f>
        <v>0</v>
      </c>
      <c r="D315" s="62">
        <f>'Review I &amp; II'!U316+ESE!AA316</f>
        <v>0</v>
      </c>
      <c r="E315" s="62">
        <f>'Review I &amp; II'!V316+ESE!AB316</f>
        <v>0</v>
      </c>
      <c r="F315" s="62">
        <f>'Review I &amp; II'!W316+ESE!AC316</f>
        <v>0</v>
      </c>
      <c r="G315" s="62">
        <f>'Review I &amp; II'!X316+ESE!AD316</f>
        <v>0</v>
      </c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</row>
    <row r="316" spans="1:23" ht="16.5" customHeight="1">
      <c r="A316" s="106">
        <f>BASE!B315</f>
        <v>0</v>
      </c>
      <c r="B316" s="80" t="s">
        <v>2</v>
      </c>
      <c r="C316" s="62">
        <f>'Review I &amp; II'!T317+ESE!Z317</f>
        <v>0</v>
      </c>
      <c r="D316" s="62">
        <f>'Review I &amp; II'!U317+ESE!AA317</f>
        <v>0</v>
      </c>
      <c r="E316" s="62">
        <f>'Review I &amp; II'!V317+ESE!AB317</f>
        <v>0</v>
      </c>
      <c r="F316" s="62">
        <f>'Review I &amp; II'!W317+ESE!AC317</f>
        <v>0</v>
      </c>
      <c r="G316" s="62">
        <f>'Review I &amp; II'!X317+ESE!AD317</f>
        <v>0</v>
      </c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</row>
    <row r="317" spans="1:23" ht="16.5" customHeight="1">
      <c r="A317" s="106">
        <f>BASE!B316</f>
        <v>0</v>
      </c>
      <c r="B317" s="80" t="s">
        <v>2</v>
      </c>
      <c r="C317" s="62">
        <f>'Review I &amp; II'!T318+ESE!Z318</f>
        <v>0</v>
      </c>
      <c r="D317" s="62">
        <f>'Review I &amp; II'!U318+ESE!AA318</f>
        <v>0</v>
      </c>
      <c r="E317" s="62">
        <f>'Review I &amp; II'!V318+ESE!AB318</f>
        <v>0</v>
      </c>
      <c r="F317" s="62">
        <f>'Review I &amp; II'!W318+ESE!AC318</f>
        <v>0</v>
      </c>
      <c r="G317" s="62">
        <f>'Review I &amp; II'!X318+ESE!AD318</f>
        <v>0</v>
      </c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</row>
    <row r="318" spans="1:23" ht="16.5" customHeight="1">
      <c r="A318" s="106">
        <f>BASE!B317</f>
        <v>0</v>
      </c>
      <c r="B318" s="80" t="s">
        <v>2</v>
      </c>
      <c r="C318" s="62">
        <f>'Review I &amp; II'!T319+ESE!Z319</f>
        <v>0</v>
      </c>
      <c r="D318" s="62">
        <f>'Review I &amp; II'!U319+ESE!AA319</f>
        <v>0</v>
      </c>
      <c r="E318" s="62">
        <f>'Review I &amp; II'!V319+ESE!AB319</f>
        <v>0</v>
      </c>
      <c r="F318" s="62">
        <f>'Review I &amp; II'!W319+ESE!AC319</f>
        <v>0</v>
      </c>
      <c r="G318" s="62">
        <f>'Review I &amp; II'!X319+ESE!AD319</f>
        <v>0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</row>
    <row r="319" spans="1:23" ht="16.5" customHeight="1">
      <c r="A319" s="106">
        <f>BASE!B318</f>
        <v>0</v>
      </c>
      <c r="B319" s="80" t="s">
        <v>2</v>
      </c>
      <c r="C319" s="62">
        <f>'Review I &amp; II'!T320+ESE!Z320</f>
        <v>0</v>
      </c>
      <c r="D319" s="62">
        <f>'Review I &amp; II'!U320+ESE!AA320</f>
        <v>0</v>
      </c>
      <c r="E319" s="62">
        <f>'Review I &amp; II'!V320+ESE!AB320</f>
        <v>0</v>
      </c>
      <c r="F319" s="62">
        <f>'Review I &amp; II'!W320+ESE!AC320</f>
        <v>0</v>
      </c>
      <c r="G319" s="62">
        <f>'Review I &amp; II'!X320+ESE!AD320</f>
        <v>0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</row>
    <row r="320" spans="1:23" ht="16.5" customHeight="1">
      <c r="A320" s="106">
        <f>BASE!B319</f>
        <v>0</v>
      </c>
      <c r="B320" s="80" t="s">
        <v>2</v>
      </c>
      <c r="C320" s="62">
        <f>'Review I &amp; II'!T321+ESE!Z321</f>
        <v>0</v>
      </c>
      <c r="D320" s="62">
        <f>'Review I &amp; II'!U321+ESE!AA321</f>
        <v>0</v>
      </c>
      <c r="E320" s="62">
        <f>'Review I &amp; II'!V321+ESE!AB321</f>
        <v>0</v>
      </c>
      <c r="F320" s="62">
        <f>'Review I &amp; II'!W321+ESE!AC321</f>
        <v>0</v>
      </c>
      <c r="G320" s="62">
        <f>'Review I &amp; II'!X321+ESE!AD321</f>
        <v>0</v>
      </c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</row>
    <row r="321" spans="1:23" ht="16.5" customHeight="1">
      <c r="A321" s="106">
        <f>BASE!B320</f>
        <v>0</v>
      </c>
      <c r="B321" s="80" t="s">
        <v>2</v>
      </c>
      <c r="C321" s="62">
        <f>'Review I &amp; II'!T322+ESE!Z322</f>
        <v>0</v>
      </c>
      <c r="D321" s="62">
        <f>'Review I &amp; II'!U322+ESE!AA322</f>
        <v>0</v>
      </c>
      <c r="E321" s="62">
        <f>'Review I &amp; II'!V322+ESE!AB322</f>
        <v>0</v>
      </c>
      <c r="F321" s="62">
        <f>'Review I &amp; II'!W322+ESE!AC322</f>
        <v>0</v>
      </c>
      <c r="G321" s="62">
        <f>'Review I &amp; II'!X322+ESE!AD322</f>
        <v>0</v>
      </c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</row>
    <row r="322" spans="1:23" ht="16.5" customHeight="1">
      <c r="A322" s="106">
        <f>BASE!B321</f>
        <v>0</v>
      </c>
      <c r="B322" s="80" t="s">
        <v>2</v>
      </c>
      <c r="C322" s="62">
        <f>'Review I &amp; II'!T323+ESE!Z323</f>
        <v>0</v>
      </c>
      <c r="D322" s="62">
        <f>'Review I &amp; II'!U323+ESE!AA323</f>
        <v>0</v>
      </c>
      <c r="E322" s="62">
        <f>'Review I &amp; II'!V323+ESE!AB323</f>
        <v>0</v>
      </c>
      <c r="F322" s="62">
        <f>'Review I &amp; II'!W323+ESE!AC323</f>
        <v>0</v>
      </c>
      <c r="G322" s="62">
        <f>'Review I &amp; II'!X323+ESE!AD323</f>
        <v>0</v>
      </c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</row>
    <row r="323" spans="1:23" ht="16.5" customHeight="1">
      <c r="A323" s="106">
        <f>BASE!B322</f>
        <v>0</v>
      </c>
      <c r="B323" s="80" t="s">
        <v>2</v>
      </c>
      <c r="C323" s="62">
        <f>'Review I &amp; II'!T324+ESE!Z324</f>
        <v>0</v>
      </c>
      <c r="D323" s="62">
        <f>'Review I &amp; II'!U324+ESE!AA324</f>
        <v>0</v>
      </c>
      <c r="E323" s="62">
        <f>'Review I &amp; II'!V324+ESE!AB324</f>
        <v>0</v>
      </c>
      <c r="F323" s="62">
        <f>'Review I &amp; II'!W324+ESE!AC324</f>
        <v>0</v>
      </c>
      <c r="G323" s="62">
        <f>'Review I &amp; II'!X324+ESE!AD324</f>
        <v>0</v>
      </c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</row>
    <row r="324" spans="1:23" ht="16.5" customHeight="1">
      <c r="A324" s="106">
        <f>BASE!B323</f>
        <v>0</v>
      </c>
      <c r="B324" s="80" t="s">
        <v>2</v>
      </c>
      <c r="C324" s="62">
        <f>'Review I &amp; II'!T325+ESE!Z325</f>
        <v>0</v>
      </c>
      <c r="D324" s="62">
        <f>'Review I &amp; II'!U325+ESE!AA325</f>
        <v>0</v>
      </c>
      <c r="E324" s="62">
        <f>'Review I &amp; II'!V325+ESE!AB325</f>
        <v>0</v>
      </c>
      <c r="F324" s="62">
        <f>'Review I &amp; II'!W325+ESE!AC325</f>
        <v>0</v>
      </c>
      <c r="G324" s="62">
        <f>'Review I &amp; II'!X325+ESE!AD325</f>
        <v>0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</row>
    <row r="325" spans="1:23" ht="16.5" customHeight="1">
      <c r="A325" s="106">
        <f>BASE!B324</f>
        <v>0</v>
      </c>
      <c r="B325" s="80" t="s">
        <v>2</v>
      </c>
      <c r="C325" s="62">
        <f>'Review I &amp; II'!T326+ESE!Z326</f>
        <v>0</v>
      </c>
      <c r="D325" s="62">
        <f>'Review I &amp; II'!U326+ESE!AA326</f>
        <v>0</v>
      </c>
      <c r="E325" s="62">
        <f>'Review I &amp; II'!V326+ESE!AB326</f>
        <v>0</v>
      </c>
      <c r="F325" s="62">
        <f>'Review I &amp; II'!W326+ESE!AC326</f>
        <v>0</v>
      </c>
      <c r="G325" s="62">
        <f>'Review I &amp; II'!X326+ESE!AD326</f>
        <v>0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</row>
    <row r="326" spans="1:23" ht="16.5" customHeight="1">
      <c r="A326" s="106">
        <f>BASE!B325</f>
        <v>0</v>
      </c>
      <c r="B326" s="80" t="s">
        <v>2</v>
      </c>
      <c r="C326" s="62">
        <f>'Review I &amp; II'!T327+ESE!Z327</f>
        <v>0</v>
      </c>
      <c r="D326" s="62">
        <f>'Review I &amp; II'!U327+ESE!AA327</f>
        <v>0</v>
      </c>
      <c r="E326" s="62">
        <f>'Review I &amp; II'!V327+ESE!AB327</f>
        <v>0</v>
      </c>
      <c r="F326" s="62">
        <f>'Review I &amp; II'!W327+ESE!AC327</f>
        <v>0</v>
      </c>
      <c r="G326" s="62">
        <f>'Review I &amp; II'!X327+ESE!AD327</f>
        <v>0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</row>
    <row r="327" spans="1:23" ht="16.5" customHeight="1">
      <c r="A327" s="106">
        <f>BASE!B326</f>
        <v>0</v>
      </c>
      <c r="B327" s="80" t="s">
        <v>2</v>
      </c>
      <c r="C327" s="62">
        <f>'Review I &amp; II'!T328+ESE!Z328</f>
        <v>0</v>
      </c>
      <c r="D327" s="62">
        <f>'Review I &amp; II'!U328+ESE!AA328</f>
        <v>0</v>
      </c>
      <c r="E327" s="62">
        <f>'Review I &amp; II'!V328+ESE!AB328</f>
        <v>0</v>
      </c>
      <c r="F327" s="62">
        <f>'Review I &amp; II'!W328+ESE!AC328</f>
        <v>0</v>
      </c>
      <c r="G327" s="62">
        <f>'Review I &amp; II'!X328+ESE!AD328</f>
        <v>0</v>
      </c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</row>
    <row r="328" spans="1:23" ht="16.5" customHeight="1">
      <c r="A328" s="106">
        <f>BASE!B327</f>
        <v>0</v>
      </c>
      <c r="B328" s="80" t="s">
        <v>2</v>
      </c>
      <c r="C328" s="62">
        <f>'Review I &amp; II'!T329+ESE!Z329</f>
        <v>0</v>
      </c>
      <c r="D328" s="62">
        <f>'Review I &amp; II'!U329+ESE!AA329</f>
        <v>0</v>
      </c>
      <c r="E328" s="62">
        <f>'Review I &amp; II'!V329+ESE!AB329</f>
        <v>0</v>
      </c>
      <c r="F328" s="62">
        <f>'Review I &amp; II'!W329+ESE!AC329</f>
        <v>0</v>
      </c>
      <c r="G328" s="62">
        <f>'Review I &amp; II'!X329+ESE!AD329</f>
        <v>0</v>
      </c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</row>
    <row r="329" spans="1:23" ht="16.5" customHeight="1">
      <c r="A329" s="106">
        <f>BASE!B328</f>
        <v>0</v>
      </c>
      <c r="B329" s="80" t="s">
        <v>2</v>
      </c>
      <c r="C329" s="62">
        <f>'Review I &amp; II'!T330+ESE!Z330</f>
        <v>0</v>
      </c>
      <c r="D329" s="62">
        <f>'Review I &amp; II'!U330+ESE!AA330</f>
        <v>0</v>
      </c>
      <c r="E329" s="62">
        <f>'Review I &amp; II'!V330+ESE!AB330</f>
        <v>0</v>
      </c>
      <c r="F329" s="62">
        <f>'Review I &amp; II'!W330+ESE!AC330</f>
        <v>0</v>
      </c>
      <c r="G329" s="62">
        <f>'Review I &amp; II'!X330+ESE!AD330</f>
        <v>0</v>
      </c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</row>
    <row r="330" spans="1:23" ht="16.5" customHeight="1">
      <c r="A330" s="106">
        <f>BASE!B329</f>
        <v>0</v>
      </c>
      <c r="B330" s="80" t="s">
        <v>2</v>
      </c>
      <c r="C330" s="62">
        <f>'Review I &amp; II'!T331+ESE!Z331</f>
        <v>0</v>
      </c>
      <c r="D330" s="62">
        <f>'Review I &amp; II'!U331+ESE!AA331</f>
        <v>0</v>
      </c>
      <c r="E330" s="62">
        <f>'Review I &amp; II'!V331+ESE!AB331</f>
        <v>0</v>
      </c>
      <c r="F330" s="62">
        <f>'Review I &amp; II'!W331+ESE!AC331</f>
        <v>0</v>
      </c>
      <c r="G330" s="62">
        <f>'Review I &amp; II'!X331+ESE!AD331</f>
        <v>0</v>
      </c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</row>
    <row r="331" spans="1:23" ht="16.5" customHeight="1">
      <c r="A331" s="106">
        <f>BASE!B330</f>
        <v>0</v>
      </c>
      <c r="B331" s="80" t="s">
        <v>2</v>
      </c>
      <c r="C331" s="62">
        <f>'Review I &amp; II'!T332+ESE!Z332</f>
        <v>0</v>
      </c>
      <c r="D331" s="62">
        <f>'Review I &amp; II'!U332+ESE!AA332</f>
        <v>0</v>
      </c>
      <c r="E331" s="62">
        <f>'Review I &amp; II'!V332+ESE!AB332</f>
        <v>0</v>
      </c>
      <c r="F331" s="62">
        <f>'Review I &amp; II'!W332+ESE!AC332</f>
        <v>0</v>
      </c>
      <c r="G331" s="62">
        <f>'Review I &amp; II'!X332+ESE!AD332</f>
        <v>0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</row>
    <row r="332" spans="1:23" ht="16.5" customHeight="1">
      <c r="A332" s="106">
        <f>BASE!B331</f>
        <v>0</v>
      </c>
      <c r="B332" s="80" t="s">
        <v>2</v>
      </c>
      <c r="C332" s="62">
        <f>'Review I &amp; II'!T333+ESE!Z333</f>
        <v>0</v>
      </c>
      <c r="D332" s="62">
        <f>'Review I &amp; II'!U333+ESE!AA333</f>
        <v>0</v>
      </c>
      <c r="E332" s="62">
        <f>'Review I &amp; II'!V333+ESE!AB333</f>
        <v>0</v>
      </c>
      <c r="F332" s="62">
        <f>'Review I &amp; II'!W333+ESE!AC333</f>
        <v>0</v>
      </c>
      <c r="G332" s="62">
        <f>'Review I &amp; II'!X333+ESE!AD333</f>
        <v>0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</row>
    <row r="333" spans="1:23" ht="16.5" customHeight="1">
      <c r="A333" s="106">
        <f>BASE!B332</f>
        <v>0</v>
      </c>
      <c r="B333" s="80" t="s">
        <v>2</v>
      </c>
      <c r="C333" s="62">
        <f>'Review I &amp; II'!T334+ESE!Z334</f>
        <v>0</v>
      </c>
      <c r="D333" s="62">
        <f>'Review I &amp; II'!U334+ESE!AA334</f>
        <v>0</v>
      </c>
      <c r="E333" s="62">
        <f>'Review I &amp; II'!V334+ESE!AB334</f>
        <v>0</v>
      </c>
      <c r="F333" s="62">
        <f>'Review I &amp; II'!W334+ESE!AC334</f>
        <v>0</v>
      </c>
      <c r="G333" s="62">
        <f>'Review I &amp; II'!X334+ESE!AD334</f>
        <v>0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</row>
    <row r="334" spans="1:23" ht="16.5" customHeight="1">
      <c r="A334" s="106">
        <f>BASE!B333</f>
        <v>0</v>
      </c>
      <c r="B334" s="80" t="s">
        <v>2</v>
      </c>
      <c r="C334" s="62">
        <f>'Review I &amp; II'!T335+ESE!Z335</f>
        <v>0</v>
      </c>
      <c r="D334" s="62">
        <f>'Review I &amp; II'!U335+ESE!AA335</f>
        <v>0</v>
      </c>
      <c r="E334" s="62">
        <f>'Review I &amp; II'!V335+ESE!AB335</f>
        <v>0</v>
      </c>
      <c r="F334" s="62">
        <f>'Review I &amp; II'!W335+ESE!AC335</f>
        <v>0</v>
      </c>
      <c r="G334" s="62">
        <f>'Review I &amp; II'!X335+ESE!AD335</f>
        <v>0</v>
      </c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</row>
    <row r="335" spans="1:23" ht="16.5" customHeight="1">
      <c r="A335" s="106">
        <f>BASE!B334</f>
        <v>0</v>
      </c>
      <c r="B335" s="80" t="s">
        <v>2</v>
      </c>
      <c r="C335" s="62">
        <f>'Review I &amp; II'!T336+ESE!Z336</f>
        <v>0</v>
      </c>
      <c r="D335" s="62">
        <f>'Review I &amp; II'!U336+ESE!AA336</f>
        <v>0</v>
      </c>
      <c r="E335" s="62">
        <f>'Review I &amp; II'!V336+ESE!AB336</f>
        <v>0</v>
      </c>
      <c r="F335" s="62">
        <f>'Review I &amp; II'!W336+ESE!AC336</f>
        <v>0</v>
      </c>
      <c r="G335" s="62">
        <f>'Review I &amp; II'!X336+ESE!AD336</f>
        <v>0</v>
      </c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</row>
    <row r="336" spans="1:23" ht="16.5" customHeight="1">
      <c r="A336" s="106">
        <f>BASE!B335</f>
        <v>0</v>
      </c>
      <c r="B336" s="80" t="s">
        <v>2</v>
      </c>
      <c r="C336" s="62">
        <f>'Review I &amp; II'!T337+ESE!Z337</f>
        <v>0</v>
      </c>
      <c r="D336" s="62">
        <f>'Review I &amp; II'!U337+ESE!AA337</f>
        <v>0</v>
      </c>
      <c r="E336" s="62">
        <f>'Review I &amp; II'!V337+ESE!AB337</f>
        <v>0</v>
      </c>
      <c r="F336" s="62">
        <f>'Review I &amp; II'!W337+ESE!AC337</f>
        <v>0</v>
      </c>
      <c r="G336" s="62">
        <f>'Review I &amp; II'!X337+ESE!AD337</f>
        <v>0</v>
      </c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</row>
    <row r="337" spans="1:23" ht="16.5" customHeight="1">
      <c r="A337" s="106">
        <f>BASE!B336</f>
        <v>0</v>
      </c>
      <c r="B337" s="80" t="s">
        <v>2</v>
      </c>
      <c r="C337" s="62">
        <f>'Review I &amp; II'!T338+ESE!Z338</f>
        <v>0</v>
      </c>
      <c r="D337" s="62">
        <f>'Review I &amp; II'!U338+ESE!AA338</f>
        <v>0</v>
      </c>
      <c r="E337" s="62">
        <f>'Review I &amp; II'!V338+ESE!AB338</f>
        <v>0</v>
      </c>
      <c r="F337" s="62">
        <f>'Review I &amp; II'!W338+ESE!AC338</f>
        <v>0</v>
      </c>
      <c r="G337" s="62">
        <f>'Review I &amp; II'!X338+ESE!AD338</f>
        <v>0</v>
      </c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</row>
    <row r="338" spans="1:23" ht="16.5" customHeight="1">
      <c r="A338" s="106">
        <f>BASE!B337</f>
        <v>0</v>
      </c>
      <c r="B338" s="80" t="s">
        <v>2</v>
      </c>
      <c r="C338" s="62">
        <f>'Review I &amp; II'!T339+ESE!Z339</f>
        <v>0</v>
      </c>
      <c r="D338" s="62">
        <f>'Review I &amp; II'!U339+ESE!AA339</f>
        <v>0</v>
      </c>
      <c r="E338" s="62">
        <f>'Review I &amp; II'!V339+ESE!AB339</f>
        <v>0</v>
      </c>
      <c r="F338" s="62">
        <f>'Review I &amp; II'!W339+ESE!AC339</f>
        <v>0</v>
      </c>
      <c r="G338" s="62">
        <f>'Review I &amp; II'!X339+ESE!AD339</f>
        <v>0</v>
      </c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</row>
    <row r="339" spans="1:23" ht="16.5" customHeight="1">
      <c r="A339" s="106">
        <f>BASE!B338</f>
        <v>0</v>
      </c>
      <c r="B339" s="80" t="s">
        <v>2</v>
      </c>
      <c r="C339" s="62">
        <f>'Review I &amp; II'!T340+ESE!Z340</f>
        <v>0</v>
      </c>
      <c r="D339" s="62">
        <f>'Review I &amp; II'!U340+ESE!AA340</f>
        <v>0</v>
      </c>
      <c r="E339" s="62">
        <f>'Review I &amp; II'!V340+ESE!AB340</f>
        <v>0</v>
      </c>
      <c r="F339" s="62">
        <f>'Review I &amp; II'!W340+ESE!AC340</f>
        <v>0</v>
      </c>
      <c r="G339" s="62">
        <f>'Review I &amp; II'!X340+ESE!AD340</f>
        <v>0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</row>
    <row r="340" spans="1:23" ht="16.5" customHeight="1">
      <c r="A340" s="106">
        <f>BASE!B339</f>
        <v>0</v>
      </c>
      <c r="B340" s="80" t="s">
        <v>2</v>
      </c>
      <c r="C340" s="62">
        <f>'Review I &amp; II'!T341+ESE!Z341</f>
        <v>0</v>
      </c>
      <c r="D340" s="62">
        <f>'Review I &amp; II'!U341+ESE!AA341</f>
        <v>0</v>
      </c>
      <c r="E340" s="62">
        <f>'Review I &amp; II'!V341+ESE!AB341</f>
        <v>0</v>
      </c>
      <c r="F340" s="62">
        <f>'Review I &amp; II'!W341+ESE!AC341</f>
        <v>0</v>
      </c>
      <c r="G340" s="62">
        <f>'Review I &amp; II'!X341+ESE!AD341</f>
        <v>0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</row>
    <row r="341" spans="1:23" ht="16.5" customHeight="1">
      <c r="A341" s="106">
        <f>BASE!B340</f>
        <v>0</v>
      </c>
      <c r="B341" s="80" t="s">
        <v>2</v>
      </c>
      <c r="C341" s="62">
        <f>'Review I &amp; II'!T342+ESE!Z342</f>
        <v>0</v>
      </c>
      <c r="D341" s="62">
        <f>'Review I &amp; II'!U342+ESE!AA342</f>
        <v>0</v>
      </c>
      <c r="E341" s="62">
        <f>'Review I &amp; II'!V342+ESE!AB342</f>
        <v>0</v>
      </c>
      <c r="F341" s="62">
        <f>'Review I &amp; II'!W342+ESE!AC342</f>
        <v>0</v>
      </c>
      <c r="G341" s="62">
        <f>'Review I &amp; II'!X342+ESE!AD342</f>
        <v>0</v>
      </c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</row>
    <row r="342" spans="1:23" ht="16.5" customHeight="1">
      <c r="A342" s="106">
        <f>BASE!B341</f>
        <v>0</v>
      </c>
      <c r="B342" s="80" t="s">
        <v>2</v>
      </c>
      <c r="C342" s="62">
        <f>'Review I &amp; II'!T343+ESE!Z343</f>
        <v>0</v>
      </c>
      <c r="D342" s="62">
        <f>'Review I &amp; II'!U343+ESE!AA343</f>
        <v>0</v>
      </c>
      <c r="E342" s="62">
        <f>'Review I &amp; II'!V343+ESE!AB343</f>
        <v>0</v>
      </c>
      <c r="F342" s="62">
        <f>'Review I &amp; II'!W343+ESE!AC343</f>
        <v>0</v>
      </c>
      <c r="G342" s="62">
        <f>'Review I &amp; II'!X343+ESE!AD343</f>
        <v>0</v>
      </c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</row>
    <row r="343" spans="1:23" ht="16.5" customHeight="1">
      <c r="A343" s="106">
        <f>BASE!B342</f>
        <v>0</v>
      </c>
      <c r="B343" s="80" t="s">
        <v>2</v>
      </c>
      <c r="C343" s="62">
        <f>'Review I &amp; II'!T344+ESE!Z344</f>
        <v>0</v>
      </c>
      <c r="D343" s="62">
        <f>'Review I &amp; II'!U344+ESE!AA344</f>
        <v>0</v>
      </c>
      <c r="E343" s="62">
        <f>'Review I &amp; II'!V344+ESE!AB344</f>
        <v>0</v>
      </c>
      <c r="F343" s="62">
        <f>'Review I &amp; II'!W344+ESE!AC344</f>
        <v>0</v>
      </c>
      <c r="G343" s="62">
        <f>'Review I &amp; II'!X344+ESE!AD344</f>
        <v>0</v>
      </c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</row>
    <row r="344" spans="1:23" ht="16.5" customHeight="1">
      <c r="A344" s="106">
        <f>BASE!B343</f>
        <v>0</v>
      </c>
      <c r="B344" s="80" t="s">
        <v>2</v>
      </c>
      <c r="C344" s="62">
        <f>'Review I &amp; II'!T345+ESE!Z345</f>
        <v>0</v>
      </c>
      <c r="D344" s="62">
        <f>'Review I &amp; II'!U345+ESE!AA345</f>
        <v>0</v>
      </c>
      <c r="E344" s="62">
        <f>'Review I &amp; II'!V345+ESE!AB345</f>
        <v>0</v>
      </c>
      <c r="F344" s="62">
        <f>'Review I &amp; II'!W345+ESE!AC345</f>
        <v>0</v>
      </c>
      <c r="G344" s="62">
        <f>'Review I &amp; II'!X345+ESE!AD345</f>
        <v>0</v>
      </c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</row>
    <row r="345" spans="1:23" ht="16.5" customHeight="1">
      <c r="A345" s="106">
        <f>BASE!B344</f>
        <v>0</v>
      </c>
      <c r="B345" s="80" t="s">
        <v>2</v>
      </c>
      <c r="C345" s="62">
        <f>'Review I &amp; II'!T346+ESE!Z346</f>
        <v>0</v>
      </c>
      <c r="D345" s="62">
        <f>'Review I &amp; II'!U346+ESE!AA346</f>
        <v>0</v>
      </c>
      <c r="E345" s="62">
        <f>'Review I &amp; II'!V346+ESE!AB346</f>
        <v>0</v>
      </c>
      <c r="F345" s="62">
        <f>'Review I &amp; II'!W346+ESE!AC346</f>
        <v>0</v>
      </c>
      <c r="G345" s="62">
        <f>'Review I &amp; II'!X346+ESE!AD346</f>
        <v>0</v>
      </c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</row>
    <row r="346" spans="1:23" ht="16.5" customHeight="1">
      <c r="A346" s="106">
        <f>BASE!B345</f>
        <v>0</v>
      </c>
      <c r="B346" s="80" t="s">
        <v>2</v>
      </c>
      <c r="C346" s="62">
        <f>'Review I &amp; II'!T347+ESE!Z347</f>
        <v>0</v>
      </c>
      <c r="D346" s="62">
        <f>'Review I &amp; II'!U347+ESE!AA347</f>
        <v>0</v>
      </c>
      <c r="E346" s="62">
        <f>'Review I &amp; II'!V347+ESE!AB347</f>
        <v>0</v>
      </c>
      <c r="F346" s="62">
        <f>'Review I &amp; II'!W347+ESE!AC347</f>
        <v>0</v>
      </c>
      <c r="G346" s="62">
        <f>'Review I &amp; II'!X347+ESE!AD347</f>
        <v>0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</row>
    <row r="347" spans="1:23" ht="16.5" customHeight="1">
      <c r="A347" s="106">
        <f>BASE!B346</f>
        <v>0</v>
      </c>
      <c r="B347" s="80" t="s">
        <v>2</v>
      </c>
      <c r="C347" s="62">
        <f>'Review I &amp; II'!T348+ESE!Z348</f>
        <v>0</v>
      </c>
      <c r="D347" s="62">
        <f>'Review I &amp; II'!U348+ESE!AA348</f>
        <v>0</v>
      </c>
      <c r="E347" s="62">
        <f>'Review I &amp; II'!V348+ESE!AB348</f>
        <v>0</v>
      </c>
      <c r="F347" s="62">
        <f>'Review I &amp; II'!W348+ESE!AC348</f>
        <v>0</v>
      </c>
      <c r="G347" s="62">
        <f>'Review I &amp; II'!X348+ESE!AD348</f>
        <v>0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</row>
    <row r="348" spans="1:23" ht="16.5" customHeight="1">
      <c r="A348" s="106">
        <f>BASE!B347</f>
        <v>0</v>
      </c>
      <c r="B348" s="80" t="s">
        <v>2</v>
      </c>
      <c r="C348" s="62">
        <f>'Review I &amp; II'!T349+ESE!Z349</f>
        <v>0</v>
      </c>
      <c r="D348" s="62">
        <f>'Review I &amp; II'!U349+ESE!AA349</f>
        <v>0</v>
      </c>
      <c r="E348" s="62">
        <f>'Review I &amp; II'!V349+ESE!AB349</f>
        <v>0</v>
      </c>
      <c r="F348" s="62">
        <f>'Review I &amp; II'!W349+ESE!AC349</f>
        <v>0</v>
      </c>
      <c r="G348" s="62">
        <f>'Review I &amp; II'!X349+ESE!AD349</f>
        <v>0</v>
      </c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</row>
    <row r="349" spans="1:23" ht="16.5" customHeight="1">
      <c r="A349" s="106">
        <f>BASE!B348</f>
        <v>0</v>
      </c>
      <c r="B349" s="80" t="s">
        <v>2</v>
      </c>
      <c r="C349" s="62">
        <f>'Review I &amp; II'!T350+ESE!Z350</f>
        <v>0</v>
      </c>
      <c r="D349" s="62">
        <f>'Review I &amp; II'!U350+ESE!AA350</f>
        <v>0</v>
      </c>
      <c r="E349" s="62">
        <f>'Review I &amp; II'!V350+ESE!AB350</f>
        <v>0</v>
      </c>
      <c r="F349" s="62">
        <f>'Review I &amp; II'!W350+ESE!AC350</f>
        <v>0</v>
      </c>
      <c r="G349" s="62">
        <f>'Review I &amp; II'!X350+ESE!AD350</f>
        <v>0</v>
      </c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</row>
    <row r="350" spans="1:23" ht="16.5" customHeight="1">
      <c r="A350" s="106">
        <f>BASE!B349</f>
        <v>0</v>
      </c>
      <c r="B350" s="80" t="s">
        <v>2</v>
      </c>
      <c r="C350" s="62">
        <f>'Review I &amp; II'!T351+ESE!Z351</f>
        <v>0</v>
      </c>
      <c r="D350" s="62">
        <f>'Review I &amp; II'!U351+ESE!AA351</f>
        <v>0</v>
      </c>
      <c r="E350" s="62">
        <f>'Review I &amp; II'!V351+ESE!AB351</f>
        <v>0</v>
      </c>
      <c r="F350" s="62">
        <f>'Review I &amp; II'!W351+ESE!AC351</f>
        <v>0</v>
      </c>
      <c r="G350" s="62">
        <f>'Review I &amp; II'!X351+ESE!AD351</f>
        <v>0</v>
      </c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</row>
    <row r="351" spans="1:23" ht="16.5" customHeight="1">
      <c r="A351" s="106">
        <f>BASE!B350</f>
        <v>0</v>
      </c>
      <c r="B351" s="80" t="s">
        <v>2</v>
      </c>
      <c r="C351" s="62">
        <f>'Review I &amp; II'!T352+ESE!Z352</f>
        <v>0</v>
      </c>
      <c r="D351" s="62">
        <f>'Review I &amp; II'!U352+ESE!AA352</f>
        <v>0</v>
      </c>
      <c r="E351" s="62">
        <f>'Review I &amp; II'!V352+ESE!AB352</f>
        <v>0</v>
      </c>
      <c r="F351" s="62">
        <f>'Review I &amp; II'!W352+ESE!AC352</f>
        <v>0</v>
      </c>
      <c r="G351" s="62">
        <f>'Review I &amp; II'!X352+ESE!AD352</f>
        <v>0</v>
      </c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</row>
    <row r="352" spans="1:23" ht="16.5" customHeight="1">
      <c r="A352" s="106">
        <f>BASE!B351</f>
        <v>0</v>
      </c>
      <c r="B352" s="80" t="s">
        <v>2</v>
      </c>
      <c r="C352" s="62">
        <f>'Review I &amp; II'!T353+ESE!Z353</f>
        <v>0</v>
      </c>
      <c r="D352" s="62">
        <f>'Review I &amp; II'!U353+ESE!AA353</f>
        <v>0</v>
      </c>
      <c r="E352" s="62">
        <f>'Review I &amp; II'!V353+ESE!AB353</f>
        <v>0</v>
      </c>
      <c r="F352" s="62">
        <f>'Review I &amp; II'!W353+ESE!AC353</f>
        <v>0</v>
      </c>
      <c r="G352" s="62">
        <f>'Review I &amp; II'!X353+ESE!AD353</f>
        <v>0</v>
      </c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</row>
    <row r="353" spans="1:23" ht="16.5" customHeight="1">
      <c r="A353" s="106">
        <f>BASE!B352</f>
        <v>0</v>
      </c>
      <c r="B353" s="80" t="s">
        <v>2</v>
      </c>
      <c r="C353" s="62">
        <f>'Review I &amp; II'!T354+ESE!Z354</f>
        <v>0</v>
      </c>
      <c r="D353" s="62">
        <f>'Review I &amp; II'!U354+ESE!AA354</f>
        <v>0</v>
      </c>
      <c r="E353" s="62">
        <f>'Review I &amp; II'!V354+ESE!AB354</f>
        <v>0</v>
      </c>
      <c r="F353" s="62">
        <f>'Review I &amp; II'!W354+ESE!AC354</f>
        <v>0</v>
      </c>
      <c r="G353" s="62">
        <f>'Review I &amp; II'!X354+ESE!AD354</f>
        <v>0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</row>
    <row r="354" spans="1:23" ht="16.5" customHeight="1">
      <c r="A354" s="106">
        <f>BASE!B353</f>
        <v>0</v>
      </c>
      <c r="B354" s="80" t="s">
        <v>2</v>
      </c>
      <c r="C354" s="62">
        <f>'Review I &amp; II'!T355+ESE!Z355</f>
        <v>0</v>
      </c>
      <c r="D354" s="62">
        <f>'Review I &amp; II'!U355+ESE!AA355</f>
        <v>0</v>
      </c>
      <c r="E354" s="62">
        <f>'Review I &amp; II'!V355+ESE!AB355</f>
        <v>0</v>
      </c>
      <c r="F354" s="62">
        <f>'Review I &amp; II'!W355+ESE!AC355</f>
        <v>0</v>
      </c>
      <c r="G354" s="62">
        <f>'Review I &amp; II'!X355+ESE!AD355</f>
        <v>0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</row>
    <row r="355" spans="1:23" ht="16.5" customHeight="1">
      <c r="A355" s="106">
        <f>BASE!B354</f>
        <v>0</v>
      </c>
      <c r="B355" s="80" t="s">
        <v>2</v>
      </c>
      <c r="C355" s="62">
        <f>'Review I &amp; II'!T356+ESE!Z356</f>
        <v>0</v>
      </c>
      <c r="D355" s="62">
        <f>'Review I &amp; II'!U356+ESE!AA356</f>
        <v>0</v>
      </c>
      <c r="E355" s="62">
        <f>'Review I &amp; II'!V356+ESE!AB356</f>
        <v>0</v>
      </c>
      <c r="F355" s="62">
        <f>'Review I &amp; II'!W356+ESE!AC356</f>
        <v>0</v>
      </c>
      <c r="G355" s="62">
        <f>'Review I &amp; II'!X356+ESE!AD356</f>
        <v>0</v>
      </c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</row>
    <row r="356" spans="1:23" ht="16.5" customHeight="1">
      <c r="A356" s="106">
        <f>BASE!B355</f>
        <v>0</v>
      </c>
      <c r="B356" s="80" t="s">
        <v>2</v>
      </c>
      <c r="C356" s="62">
        <f>'Review I &amp; II'!T357+ESE!Z357</f>
        <v>0</v>
      </c>
      <c r="D356" s="62">
        <f>'Review I &amp; II'!U357+ESE!AA357</f>
        <v>0</v>
      </c>
      <c r="E356" s="62">
        <f>'Review I &amp; II'!V357+ESE!AB357</f>
        <v>0</v>
      </c>
      <c r="F356" s="62">
        <f>'Review I &amp; II'!W357+ESE!AC357</f>
        <v>0</v>
      </c>
      <c r="G356" s="62">
        <f>'Review I &amp; II'!X357+ESE!AD357</f>
        <v>0</v>
      </c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</row>
    <row r="357" spans="1:23" ht="16.5" customHeight="1">
      <c r="A357" s="106">
        <f>BASE!B356</f>
        <v>0</v>
      </c>
      <c r="B357" s="80" t="s">
        <v>2</v>
      </c>
      <c r="C357" s="62">
        <f>'Review I &amp; II'!T358+ESE!Z358</f>
        <v>0</v>
      </c>
      <c r="D357" s="62">
        <f>'Review I &amp; II'!U358+ESE!AA358</f>
        <v>0</v>
      </c>
      <c r="E357" s="62">
        <f>'Review I &amp; II'!V358+ESE!AB358</f>
        <v>0</v>
      </c>
      <c r="F357" s="62">
        <f>'Review I &amp; II'!W358+ESE!AC358</f>
        <v>0</v>
      </c>
      <c r="G357" s="62">
        <f>'Review I &amp; II'!X358+ESE!AD358</f>
        <v>0</v>
      </c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</row>
    <row r="358" spans="1:23" ht="16.5" customHeight="1">
      <c r="A358" s="106">
        <f>BASE!B357</f>
        <v>0</v>
      </c>
      <c r="B358" s="80" t="s">
        <v>2</v>
      </c>
      <c r="C358" s="62">
        <f>'Review I &amp; II'!T359+ESE!Z359</f>
        <v>0</v>
      </c>
      <c r="D358" s="62">
        <f>'Review I &amp; II'!U359+ESE!AA359</f>
        <v>0</v>
      </c>
      <c r="E358" s="62">
        <f>'Review I &amp; II'!V359+ESE!AB359</f>
        <v>0</v>
      </c>
      <c r="F358" s="62">
        <f>'Review I &amp; II'!W359+ESE!AC359</f>
        <v>0</v>
      </c>
      <c r="G358" s="62">
        <f>'Review I &amp; II'!X359+ESE!AD359</f>
        <v>0</v>
      </c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</row>
    <row r="359" spans="1:23" ht="16.5" customHeight="1">
      <c r="A359" s="106">
        <f>BASE!B358</f>
        <v>0</v>
      </c>
      <c r="B359" s="80" t="s">
        <v>2</v>
      </c>
      <c r="C359" s="62">
        <f>'Review I &amp; II'!T360+ESE!Z360</f>
        <v>0</v>
      </c>
      <c r="D359" s="62">
        <f>'Review I &amp; II'!U360+ESE!AA360</f>
        <v>0</v>
      </c>
      <c r="E359" s="62">
        <f>'Review I &amp; II'!V360+ESE!AB360</f>
        <v>0</v>
      </c>
      <c r="F359" s="62">
        <f>'Review I &amp; II'!W360+ESE!AC360</f>
        <v>0</v>
      </c>
      <c r="G359" s="62">
        <f>'Review I &amp; II'!X360+ESE!AD360</f>
        <v>0</v>
      </c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</row>
    <row r="360" spans="1:23" ht="16.5" customHeight="1">
      <c r="A360" s="106">
        <f>BASE!B359</f>
        <v>0</v>
      </c>
      <c r="B360" s="80" t="s">
        <v>2</v>
      </c>
      <c r="C360" s="62">
        <f>'Review I &amp; II'!T361+ESE!Z361</f>
        <v>0</v>
      </c>
      <c r="D360" s="62">
        <f>'Review I &amp; II'!U361+ESE!AA361</f>
        <v>0</v>
      </c>
      <c r="E360" s="62">
        <f>'Review I &amp; II'!V361+ESE!AB361</f>
        <v>0</v>
      </c>
      <c r="F360" s="62">
        <f>'Review I &amp; II'!W361+ESE!AC361</f>
        <v>0</v>
      </c>
      <c r="G360" s="62">
        <f>'Review I &amp; II'!X361+ESE!AD361</f>
        <v>0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</row>
    <row r="361" spans="1:23" ht="16.5" customHeight="1">
      <c r="A361" s="106">
        <f>BASE!B360</f>
        <v>0</v>
      </c>
      <c r="B361" s="80" t="s">
        <v>2</v>
      </c>
      <c r="C361" s="62">
        <f>'Review I &amp; II'!T362+ESE!Z362</f>
        <v>0</v>
      </c>
      <c r="D361" s="62">
        <f>'Review I &amp; II'!U362+ESE!AA362</f>
        <v>0</v>
      </c>
      <c r="E361" s="62">
        <f>'Review I &amp; II'!V362+ESE!AB362</f>
        <v>0</v>
      </c>
      <c r="F361" s="62">
        <f>'Review I &amp; II'!W362+ESE!AC362</f>
        <v>0</v>
      </c>
      <c r="G361" s="62">
        <f>'Review I &amp; II'!X362+ESE!AD362</f>
        <v>0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</row>
    <row r="362" spans="1:23" ht="16.5" customHeight="1">
      <c r="A362" s="106">
        <f>BASE!B361</f>
        <v>0</v>
      </c>
      <c r="B362" s="80" t="s">
        <v>2</v>
      </c>
      <c r="C362" s="62">
        <f>'Review I &amp; II'!T363+ESE!Z363</f>
        <v>0</v>
      </c>
      <c r="D362" s="62">
        <f>'Review I &amp; II'!U363+ESE!AA363</f>
        <v>0</v>
      </c>
      <c r="E362" s="62">
        <f>'Review I &amp; II'!V363+ESE!AB363</f>
        <v>0</v>
      </c>
      <c r="F362" s="62">
        <f>'Review I &amp; II'!W363+ESE!AC363</f>
        <v>0</v>
      </c>
      <c r="G362" s="62">
        <f>'Review I &amp; II'!X363+ESE!AD363</f>
        <v>0</v>
      </c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</row>
    <row r="363" spans="1:23" ht="16.5" customHeight="1">
      <c r="A363" s="106">
        <f>BASE!B362</f>
        <v>0</v>
      </c>
      <c r="B363" s="80" t="s">
        <v>2</v>
      </c>
      <c r="C363" s="62">
        <f>'Review I &amp; II'!T364+ESE!Z364</f>
        <v>0</v>
      </c>
      <c r="D363" s="62">
        <f>'Review I &amp; II'!U364+ESE!AA364</f>
        <v>0</v>
      </c>
      <c r="E363" s="62">
        <f>'Review I &amp; II'!V364+ESE!AB364</f>
        <v>0</v>
      </c>
      <c r="F363" s="62">
        <f>'Review I &amp; II'!W364+ESE!AC364</f>
        <v>0</v>
      </c>
      <c r="G363" s="62">
        <f>'Review I &amp; II'!X364+ESE!AD364</f>
        <v>0</v>
      </c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</row>
    <row r="364" spans="1:23" ht="16.5" customHeight="1">
      <c r="A364" s="106">
        <f>BASE!B363</f>
        <v>0</v>
      </c>
      <c r="B364" s="80" t="s">
        <v>2</v>
      </c>
      <c r="C364" s="62">
        <f>'Review I &amp; II'!T365+ESE!Z365</f>
        <v>0</v>
      </c>
      <c r="D364" s="62">
        <f>'Review I &amp; II'!U365+ESE!AA365</f>
        <v>0</v>
      </c>
      <c r="E364" s="62">
        <f>'Review I &amp; II'!V365+ESE!AB365</f>
        <v>0</v>
      </c>
      <c r="F364" s="62">
        <f>'Review I &amp; II'!W365+ESE!AC365</f>
        <v>0</v>
      </c>
      <c r="G364" s="62">
        <f>'Review I &amp; II'!X365+ESE!AD365</f>
        <v>0</v>
      </c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</row>
    <row r="365" spans="1:23" ht="16.5" customHeight="1">
      <c r="A365" s="106">
        <f>BASE!B364</f>
        <v>0</v>
      </c>
      <c r="B365" s="80" t="s">
        <v>2</v>
      </c>
      <c r="C365" s="62">
        <f>'Review I &amp; II'!T366+ESE!Z366</f>
        <v>0</v>
      </c>
      <c r="D365" s="62">
        <f>'Review I &amp; II'!U366+ESE!AA366</f>
        <v>0</v>
      </c>
      <c r="E365" s="62">
        <f>'Review I &amp; II'!V366+ESE!AB366</f>
        <v>0</v>
      </c>
      <c r="F365" s="62">
        <f>'Review I &amp; II'!W366+ESE!AC366</f>
        <v>0</v>
      </c>
      <c r="G365" s="62">
        <f>'Review I &amp; II'!X366+ESE!AD366</f>
        <v>0</v>
      </c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</row>
    <row r="366" spans="1:23" ht="16.5" customHeight="1">
      <c r="A366" s="106">
        <f>BASE!B365</f>
        <v>0</v>
      </c>
      <c r="B366" s="80" t="s">
        <v>2</v>
      </c>
      <c r="C366" s="62">
        <f>'Review I &amp; II'!T367+ESE!Z367</f>
        <v>0</v>
      </c>
      <c r="D366" s="62">
        <f>'Review I &amp; II'!U367+ESE!AA367</f>
        <v>0</v>
      </c>
      <c r="E366" s="62">
        <f>'Review I &amp; II'!V367+ESE!AB367</f>
        <v>0</v>
      </c>
      <c r="F366" s="62">
        <f>'Review I &amp; II'!W367+ESE!AC367</f>
        <v>0</v>
      </c>
      <c r="G366" s="62">
        <f>'Review I &amp; II'!X367+ESE!AD367</f>
        <v>0</v>
      </c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</row>
    <row r="367" spans="1:23" ht="16.5" customHeight="1">
      <c r="A367" s="106">
        <f>BASE!B366</f>
        <v>0</v>
      </c>
      <c r="B367" s="80" t="s">
        <v>2</v>
      </c>
      <c r="C367" s="62">
        <f>'Review I &amp; II'!T368+ESE!Z368</f>
        <v>0</v>
      </c>
      <c r="D367" s="62">
        <f>'Review I &amp; II'!U368+ESE!AA368</f>
        <v>0</v>
      </c>
      <c r="E367" s="62">
        <f>'Review I &amp; II'!V368+ESE!AB368</f>
        <v>0</v>
      </c>
      <c r="F367" s="62">
        <f>'Review I &amp; II'!W368+ESE!AC368</f>
        <v>0</v>
      </c>
      <c r="G367" s="62">
        <f>'Review I &amp; II'!X368+ESE!AD368</f>
        <v>0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</row>
    <row r="368" spans="1:23" ht="16.5" customHeight="1">
      <c r="A368" s="106">
        <f>BASE!B367</f>
        <v>0</v>
      </c>
      <c r="B368" s="80" t="s">
        <v>2</v>
      </c>
      <c r="C368" s="62">
        <f>'Review I &amp; II'!T369+ESE!Z369</f>
        <v>0</v>
      </c>
      <c r="D368" s="62">
        <f>'Review I &amp; II'!U369+ESE!AA369</f>
        <v>0</v>
      </c>
      <c r="E368" s="62">
        <f>'Review I &amp; II'!V369+ESE!AB369</f>
        <v>0</v>
      </c>
      <c r="F368" s="62">
        <f>'Review I &amp; II'!W369+ESE!AC369</f>
        <v>0</v>
      </c>
      <c r="G368" s="62">
        <f>'Review I &amp; II'!X369+ESE!AD369</f>
        <v>0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</row>
    <row r="369" spans="1:23" ht="16.5" customHeight="1">
      <c r="A369" s="106">
        <f>BASE!B368</f>
        <v>0</v>
      </c>
      <c r="B369" s="80" t="s">
        <v>2</v>
      </c>
      <c r="C369" s="62">
        <f>'Review I &amp; II'!T370+ESE!Z370</f>
        <v>0</v>
      </c>
      <c r="D369" s="62">
        <f>'Review I &amp; II'!U370+ESE!AA370</f>
        <v>0</v>
      </c>
      <c r="E369" s="62">
        <f>'Review I &amp; II'!V370+ESE!AB370</f>
        <v>0</v>
      </c>
      <c r="F369" s="62">
        <f>'Review I &amp; II'!W370+ESE!AC370</f>
        <v>0</v>
      </c>
      <c r="G369" s="62">
        <f>'Review I &amp; II'!X370+ESE!AD370</f>
        <v>0</v>
      </c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</row>
    <row r="370" spans="1:23" ht="16.5" customHeight="1">
      <c r="A370" s="106">
        <f>BASE!B369</f>
        <v>0</v>
      </c>
      <c r="B370" s="80" t="s">
        <v>2</v>
      </c>
      <c r="C370" s="62">
        <f>'Review I &amp; II'!T371+ESE!Z371</f>
        <v>0</v>
      </c>
      <c r="D370" s="62">
        <f>'Review I &amp; II'!U371+ESE!AA371</f>
        <v>0</v>
      </c>
      <c r="E370" s="62">
        <f>'Review I &amp; II'!V371+ESE!AB371</f>
        <v>0</v>
      </c>
      <c r="F370" s="62">
        <f>'Review I &amp; II'!W371+ESE!AC371</f>
        <v>0</v>
      </c>
      <c r="G370" s="62">
        <f>'Review I &amp; II'!X371+ESE!AD371</f>
        <v>0</v>
      </c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</row>
    <row r="371" spans="1:23" ht="16.5" customHeight="1">
      <c r="A371" s="106">
        <f>BASE!B370</f>
        <v>0</v>
      </c>
      <c r="B371" s="80" t="s">
        <v>2</v>
      </c>
      <c r="C371" s="62">
        <f>'Review I &amp; II'!T372+ESE!Z372</f>
        <v>0</v>
      </c>
      <c r="D371" s="62">
        <f>'Review I &amp; II'!U372+ESE!AA372</f>
        <v>0</v>
      </c>
      <c r="E371" s="62">
        <f>'Review I &amp; II'!V372+ESE!AB372</f>
        <v>0</v>
      </c>
      <c r="F371" s="62">
        <f>'Review I &amp; II'!W372+ESE!AC372</f>
        <v>0</v>
      </c>
      <c r="G371" s="62">
        <f>'Review I &amp; II'!X372+ESE!AD372</f>
        <v>0</v>
      </c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</row>
    <row r="372" spans="1:23" ht="16.5" customHeight="1">
      <c r="A372" s="106">
        <f>BASE!B371</f>
        <v>0</v>
      </c>
      <c r="B372" s="80" t="s">
        <v>2</v>
      </c>
      <c r="C372" s="62">
        <f>'Review I &amp; II'!T373+ESE!Z373</f>
        <v>0</v>
      </c>
      <c r="D372" s="62">
        <f>'Review I &amp; II'!U373+ESE!AA373</f>
        <v>0</v>
      </c>
      <c r="E372" s="62">
        <f>'Review I &amp; II'!V373+ESE!AB373</f>
        <v>0</v>
      </c>
      <c r="F372" s="62">
        <f>'Review I &amp; II'!W373+ESE!AC373</f>
        <v>0</v>
      </c>
      <c r="G372" s="62">
        <f>'Review I &amp; II'!X373+ESE!AD373</f>
        <v>0</v>
      </c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</row>
    <row r="373" spans="1:23" ht="16.5" customHeight="1">
      <c r="A373" s="106">
        <f>BASE!B372</f>
        <v>0</v>
      </c>
      <c r="B373" s="80" t="s">
        <v>2</v>
      </c>
      <c r="C373" s="62">
        <f>'Review I &amp; II'!T374+ESE!Z374</f>
        <v>0</v>
      </c>
      <c r="D373" s="62">
        <f>'Review I &amp; II'!U374+ESE!AA374</f>
        <v>0</v>
      </c>
      <c r="E373" s="62">
        <f>'Review I &amp; II'!V374+ESE!AB374</f>
        <v>0</v>
      </c>
      <c r="F373" s="62">
        <f>'Review I &amp; II'!W374+ESE!AC374</f>
        <v>0</v>
      </c>
      <c r="G373" s="62">
        <f>'Review I &amp; II'!X374+ESE!AD374</f>
        <v>0</v>
      </c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</row>
    <row r="374" spans="1:23" ht="16.5" customHeight="1">
      <c r="A374" s="106">
        <f>BASE!B373</f>
        <v>0</v>
      </c>
      <c r="B374" s="80" t="s">
        <v>2</v>
      </c>
      <c r="C374" s="62">
        <f>'Review I &amp; II'!T375+ESE!Z375</f>
        <v>0</v>
      </c>
      <c r="D374" s="62">
        <f>'Review I &amp; II'!U375+ESE!AA375</f>
        <v>0</v>
      </c>
      <c r="E374" s="62">
        <f>'Review I &amp; II'!V375+ESE!AB375</f>
        <v>0</v>
      </c>
      <c r="F374" s="62">
        <f>'Review I &amp; II'!W375+ESE!AC375</f>
        <v>0</v>
      </c>
      <c r="G374" s="62">
        <f>'Review I &amp; II'!X375+ESE!AD375</f>
        <v>0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</row>
    <row r="375" spans="1:23" ht="16.5" customHeight="1">
      <c r="A375" s="106">
        <f>BASE!B374</f>
        <v>0</v>
      </c>
      <c r="B375" s="80" t="s">
        <v>2</v>
      </c>
      <c r="C375" s="62">
        <f>'Review I &amp; II'!T376+ESE!Z376</f>
        <v>0</v>
      </c>
      <c r="D375" s="62">
        <f>'Review I &amp; II'!U376+ESE!AA376</f>
        <v>0</v>
      </c>
      <c r="E375" s="62">
        <f>'Review I &amp; II'!V376+ESE!AB376</f>
        <v>0</v>
      </c>
      <c r="F375" s="62">
        <f>'Review I &amp; II'!W376+ESE!AC376</f>
        <v>0</v>
      </c>
      <c r="G375" s="62">
        <f>'Review I &amp; II'!X376+ESE!AD376</f>
        <v>0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</row>
    <row r="376" spans="1:23" ht="16.5" customHeight="1">
      <c r="A376" s="106">
        <f>BASE!B375</f>
        <v>0</v>
      </c>
      <c r="B376" s="80" t="s">
        <v>2</v>
      </c>
      <c r="C376" s="62">
        <f>'Review I &amp; II'!T377+ESE!Z377</f>
        <v>0</v>
      </c>
      <c r="D376" s="62">
        <f>'Review I &amp; II'!U377+ESE!AA377</f>
        <v>0</v>
      </c>
      <c r="E376" s="62">
        <f>'Review I &amp; II'!V377+ESE!AB377</f>
        <v>0</v>
      </c>
      <c r="F376" s="62">
        <f>'Review I &amp; II'!W377+ESE!AC377</f>
        <v>0</v>
      </c>
      <c r="G376" s="62">
        <f>'Review I &amp; II'!X377+ESE!AD377</f>
        <v>0</v>
      </c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</row>
    <row r="377" spans="1:23" ht="16.5" customHeight="1">
      <c r="A377" s="106">
        <f>BASE!B376</f>
        <v>0</v>
      </c>
      <c r="B377" s="80" t="s">
        <v>2</v>
      </c>
      <c r="C377" s="62">
        <f>'Review I &amp; II'!T378+ESE!Z378</f>
        <v>0</v>
      </c>
      <c r="D377" s="62">
        <f>'Review I &amp; II'!U378+ESE!AA378</f>
        <v>0</v>
      </c>
      <c r="E377" s="62">
        <f>'Review I &amp; II'!V378+ESE!AB378</f>
        <v>0</v>
      </c>
      <c r="F377" s="62">
        <f>'Review I &amp; II'!W378+ESE!AC378</f>
        <v>0</v>
      </c>
      <c r="G377" s="62">
        <f>'Review I &amp; II'!X378+ESE!AD378</f>
        <v>0</v>
      </c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</row>
    <row r="378" spans="1:23" ht="16.5" customHeight="1">
      <c r="A378" s="106">
        <f>BASE!B377</f>
        <v>0</v>
      </c>
      <c r="B378" s="80" t="s">
        <v>2</v>
      </c>
      <c r="C378" s="62">
        <f>'Review I &amp; II'!T379+ESE!Z379</f>
        <v>0</v>
      </c>
      <c r="D378" s="62">
        <f>'Review I &amp; II'!U379+ESE!AA379</f>
        <v>0</v>
      </c>
      <c r="E378" s="62">
        <f>'Review I &amp; II'!V379+ESE!AB379</f>
        <v>0</v>
      </c>
      <c r="F378" s="62">
        <f>'Review I &amp; II'!W379+ESE!AC379</f>
        <v>0</v>
      </c>
      <c r="G378" s="62">
        <f>'Review I &amp; II'!X379+ESE!AD379</f>
        <v>0</v>
      </c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</row>
    <row r="379" spans="1:23" ht="16.5" customHeight="1">
      <c r="A379" s="106">
        <f>BASE!B378</f>
        <v>0</v>
      </c>
      <c r="B379" s="80" t="s">
        <v>2</v>
      </c>
      <c r="C379" s="62">
        <f>'Review I &amp; II'!T380+ESE!Z380</f>
        <v>0</v>
      </c>
      <c r="D379" s="62">
        <f>'Review I &amp; II'!U380+ESE!AA380</f>
        <v>0</v>
      </c>
      <c r="E379" s="62">
        <f>'Review I &amp; II'!V380+ESE!AB380</f>
        <v>0</v>
      </c>
      <c r="F379" s="62">
        <f>'Review I &amp; II'!W380+ESE!AC380</f>
        <v>0</v>
      </c>
      <c r="G379" s="62">
        <f>'Review I &amp; II'!X380+ESE!AD380</f>
        <v>0</v>
      </c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</row>
    <row r="380" spans="1:23" ht="16.5" customHeight="1">
      <c r="A380" s="106">
        <f>BASE!B379</f>
        <v>0</v>
      </c>
      <c r="B380" s="80" t="s">
        <v>2</v>
      </c>
      <c r="C380" s="62">
        <f>'Review I &amp; II'!T381+ESE!Z381</f>
        <v>0</v>
      </c>
      <c r="D380" s="62">
        <f>'Review I &amp; II'!U381+ESE!AA381</f>
        <v>0</v>
      </c>
      <c r="E380" s="62">
        <f>'Review I &amp; II'!V381+ESE!AB381</f>
        <v>0</v>
      </c>
      <c r="F380" s="62">
        <f>'Review I &amp; II'!W381+ESE!AC381</f>
        <v>0</v>
      </c>
      <c r="G380" s="62">
        <f>'Review I &amp; II'!X381+ESE!AD381</f>
        <v>0</v>
      </c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</row>
    <row r="381" spans="1:23" ht="16.5" customHeight="1">
      <c r="A381" s="106">
        <f>BASE!B380</f>
        <v>0</v>
      </c>
      <c r="B381" s="80" t="s">
        <v>2</v>
      </c>
      <c r="C381" s="62">
        <f>'Review I &amp; II'!T382+ESE!Z382</f>
        <v>0</v>
      </c>
      <c r="D381" s="62">
        <f>'Review I &amp; II'!U382+ESE!AA382</f>
        <v>0</v>
      </c>
      <c r="E381" s="62">
        <f>'Review I &amp; II'!V382+ESE!AB382</f>
        <v>0</v>
      </c>
      <c r="F381" s="62">
        <f>'Review I &amp; II'!W382+ESE!AC382</f>
        <v>0</v>
      </c>
      <c r="G381" s="62">
        <f>'Review I &amp; II'!X382+ESE!AD382</f>
        <v>0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</row>
    <row r="382" spans="1:23" ht="16.5" customHeight="1">
      <c r="A382" s="106">
        <f>BASE!B381</f>
        <v>0</v>
      </c>
      <c r="B382" s="80" t="s">
        <v>2</v>
      </c>
      <c r="C382" s="62">
        <f>'Review I &amp; II'!T383+ESE!Z383</f>
        <v>0</v>
      </c>
      <c r="D382" s="62">
        <f>'Review I &amp; II'!U383+ESE!AA383</f>
        <v>0</v>
      </c>
      <c r="E382" s="62">
        <f>'Review I &amp; II'!V383+ESE!AB383</f>
        <v>0</v>
      </c>
      <c r="F382" s="62">
        <f>'Review I &amp; II'!W383+ESE!AC383</f>
        <v>0</v>
      </c>
      <c r="G382" s="62">
        <f>'Review I &amp; II'!X383+ESE!AD383</f>
        <v>0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</row>
    <row r="383" spans="1:23" ht="16.5" customHeight="1">
      <c r="A383" s="106">
        <f>BASE!B382</f>
        <v>0</v>
      </c>
      <c r="B383" s="80" t="s">
        <v>2</v>
      </c>
      <c r="C383" s="62">
        <f>'Review I &amp; II'!T384+ESE!Z384</f>
        <v>0</v>
      </c>
      <c r="D383" s="62">
        <f>'Review I &amp; II'!U384+ESE!AA384</f>
        <v>0</v>
      </c>
      <c r="E383" s="62">
        <f>'Review I &amp; II'!V384+ESE!AB384</f>
        <v>0</v>
      </c>
      <c r="F383" s="62">
        <f>'Review I &amp; II'!W384+ESE!AC384</f>
        <v>0</v>
      </c>
      <c r="G383" s="62">
        <f>'Review I &amp; II'!X384+ESE!AD384</f>
        <v>0</v>
      </c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</row>
    <row r="384" spans="1:23" ht="16.5" customHeight="1">
      <c r="A384" s="106">
        <f>BASE!B383</f>
        <v>0</v>
      </c>
      <c r="B384" s="80" t="s">
        <v>2</v>
      </c>
      <c r="C384" s="62">
        <f>'Review I &amp; II'!T385+ESE!Z385</f>
        <v>0</v>
      </c>
      <c r="D384" s="62">
        <f>'Review I &amp; II'!U385+ESE!AA385</f>
        <v>0</v>
      </c>
      <c r="E384" s="62">
        <f>'Review I &amp; II'!V385+ESE!AB385</f>
        <v>0</v>
      </c>
      <c r="F384" s="62">
        <f>'Review I &amp; II'!W385+ESE!AC385</f>
        <v>0</v>
      </c>
      <c r="G384" s="62">
        <f>'Review I &amp; II'!X385+ESE!AD385</f>
        <v>0</v>
      </c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</row>
    <row r="385" spans="1:23" ht="16.5" customHeight="1">
      <c r="A385" s="106">
        <f>BASE!B384</f>
        <v>0</v>
      </c>
      <c r="B385" s="80" t="s">
        <v>2</v>
      </c>
      <c r="C385" s="62">
        <f>'Review I &amp; II'!T386+ESE!Z386</f>
        <v>0</v>
      </c>
      <c r="D385" s="62">
        <f>'Review I &amp; II'!U386+ESE!AA386</f>
        <v>0</v>
      </c>
      <c r="E385" s="62">
        <f>'Review I &amp; II'!V386+ESE!AB386</f>
        <v>0</v>
      </c>
      <c r="F385" s="62">
        <f>'Review I &amp; II'!W386+ESE!AC386</f>
        <v>0</v>
      </c>
      <c r="G385" s="62">
        <f>'Review I &amp; II'!X386+ESE!AD386</f>
        <v>0</v>
      </c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</row>
    <row r="386" spans="1:23" ht="16.5" customHeight="1">
      <c r="A386" s="106">
        <f>BASE!B385</f>
        <v>0</v>
      </c>
      <c r="B386" s="80" t="s">
        <v>2</v>
      </c>
      <c r="C386" s="62">
        <f>'Review I &amp; II'!T387+ESE!Z387</f>
        <v>0</v>
      </c>
      <c r="D386" s="62">
        <f>'Review I &amp; II'!U387+ESE!AA387</f>
        <v>0</v>
      </c>
      <c r="E386" s="62">
        <f>'Review I &amp; II'!V387+ESE!AB387</f>
        <v>0</v>
      </c>
      <c r="F386" s="62">
        <f>'Review I &amp; II'!W387+ESE!AC387</f>
        <v>0</v>
      </c>
      <c r="G386" s="62">
        <f>'Review I &amp; II'!X387+ESE!AD387</f>
        <v>0</v>
      </c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</row>
    <row r="387" spans="1:23" ht="16.5" customHeight="1">
      <c r="A387" s="106">
        <f>BASE!B386</f>
        <v>0</v>
      </c>
      <c r="B387" s="80" t="s">
        <v>2</v>
      </c>
      <c r="C387" s="62">
        <f>'Review I &amp; II'!T388+ESE!Z388</f>
        <v>0</v>
      </c>
      <c r="D387" s="62">
        <f>'Review I &amp; II'!U388+ESE!AA388</f>
        <v>0</v>
      </c>
      <c r="E387" s="62">
        <f>'Review I &amp; II'!V388+ESE!AB388</f>
        <v>0</v>
      </c>
      <c r="F387" s="62">
        <f>'Review I &amp; II'!W388+ESE!AC388</f>
        <v>0</v>
      </c>
      <c r="G387" s="62">
        <f>'Review I &amp; II'!X388+ESE!AD388</f>
        <v>0</v>
      </c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</row>
    <row r="388" spans="1:23" ht="16.5" customHeight="1">
      <c r="A388" s="106">
        <f>BASE!B387</f>
        <v>0</v>
      </c>
      <c r="B388" s="80" t="s">
        <v>2</v>
      </c>
      <c r="C388" s="62">
        <f>'Review I &amp; II'!T389+ESE!Z389</f>
        <v>0</v>
      </c>
      <c r="D388" s="62">
        <f>'Review I &amp; II'!U389+ESE!AA389</f>
        <v>0</v>
      </c>
      <c r="E388" s="62">
        <f>'Review I &amp; II'!V389+ESE!AB389</f>
        <v>0</v>
      </c>
      <c r="F388" s="62">
        <f>'Review I &amp; II'!W389+ESE!AC389</f>
        <v>0</v>
      </c>
      <c r="G388" s="62">
        <f>'Review I &amp; II'!X389+ESE!AD389</f>
        <v>0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</row>
    <row r="389" spans="1:23" ht="16.5" customHeight="1">
      <c r="A389" s="106">
        <f>BASE!B388</f>
        <v>0</v>
      </c>
      <c r="B389" s="80" t="s">
        <v>2</v>
      </c>
      <c r="C389" s="62">
        <f>'Review I &amp; II'!T390+ESE!Z390</f>
        <v>0</v>
      </c>
      <c r="D389" s="62">
        <f>'Review I &amp; II'!U390+ESE!AA390</f>
        <v>0</v>
      </c>
      <c r="E389" s="62">
        <f>'Review I &amp; II'!V390+ESE!AB390</f>
        <v>0</v>
      </c>
      <c r="F389" s="62">
        <f>'Review I &amp; II'!W390+ESE!AC390</f>
        <v>0</v>
      </c>
      <c r="G389" s="62">
        <f>'Review I &amp; II'!X390+ESE!AD390</f>
        <v>0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</row>
    <row r="390" spans="1:23" ht="16.5" customHeight="1">
      <c r="A390" s="106">
        <f>BASE!B389</f>
        <v>0</v>
      </c>
      <c r="B390" s="80" t="s">
        <v>2</v>
      </c>
      <c r="C390" s="62">
        <f>'Review I &amp; II'!T391+ESE!Z391</f>
        <v>0</v>
      </c>
      <c r="D390" s="62">
        <f>'Review I &amp; II'!U391+ESE!AA391</f>
        <v>0</v>
      </c>
      <c r="E390" s="62">
        <f>'Review I &amp; II'!V391+ESE!AB391</f>
        <v>0</v>
      </c>
      <c r="F390" s="62">
        <f>'Review I &amp; II'!W391+ESE!AC391</f>
        <v>0</v>
      </c>
      <c r="G390" s="62">
        <f>'Review I &amp; II'!X391+ESE!AD391</f>
        <v>0</v>
      </c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</row>
    <row r="391" spans="1:23" ht="16.5" customHeight="1">
      <c r="A391" s="106">
        <f>BASE!B390</f>
        <v>0</v>
      </c>
      <c r="B391" s="80" t="s">
        <v>2</v>
      </c>
      <c r="C391" s="62">
        <f>'Review I &amp; II'!T392+ESE!Z392</f>
        <v>0</v>
      </c>
      <c r="D391" s="62">
        <f>'Review I &amp; II'!U392+ESE!AA392</f>
        <v>0</v>
      </c>
      <c r="E391" s="62">
        <f>'Review I &amp; II'!V392+ESE!AB392</f>
        <v>0</v>
      </c>
      <c r="F391" s="62">
        <f>'Review I &amp; II'!W392+ESE!AC392</f>
        <v>0</v>
      </c>
      <c r="G391" s="62">
        <f>'Review I &amp; II'!X392+ESE!AD392</f>
        <v>0</v>
      </c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</row>
    <row r="392" spans="1:23" ht="16.5" customHeight="1">
      <c r="A392" s="106">
        <f>BASE!B391</f>
        <v>0</v>
      </c>
      <c r="B392" s="80" t="s">
        <v>2</v>
      </c>
      <c r="C392" s="62">
        <f>'Review I &amp; II'!T393+ESE!Z393</f>
        <v>0</v>
      </c>
      <c r="D392" s="62">
        <f>'Review I &amp; II'!U393+ESE!AA393</f>
        <v>0</v>
      </c>
      <c r="E392" s="62">
        <f>'Review I &amp; II'!V393+ESE!AB393</f>
        <v>0</v>
      </c>
      <c r="F392" s="62">
        <f>'Review I &amp; II'!W393+ESE!AC393</f>
        <v>0</v>
      </c>
      <c r="G392" s="62">
        <f>'Review I &amp; II'!X393+ESE!AD393</f>
        <v>0</v>
      </c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</row>
    <row r="393" spans="1:23" ht="16.5" customHeight="1">
      <c r="A393" s="106">
        <f>BASE!B392</f>
        <v>0</v>
      </c>
      <c r="B393" s="80" t="s">
        <v>2</v>
      </c>
      <c r="C393" s="62">
        <f>'Review I &amp; II'!T394+ESE!Z394</f>
        <v>0</v>
      </c>
      <c r="D393" s="62">
        <f>'Review I &amp; II'!U394+ESE!AA394</f>
        <v>0</v>
      </c>
      <c r="E393" s="62">
        <f>'Review I &amp; II'!V394+ESE!AB394</f>
        <v>0</v>
      </c>
      <c r="F393" s="62">
        <f>'Review I &amp; II'!W394+ESE!AC394</f>
        <v>0</v>
      </c>
      <c r="G393" s="62">
        <f>'Review I &amp; II'!X394+ESE!AD394</f>
        <v>0</v>
      </c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</row>
    <row r="394" spans="1:23" ht="16.5" customHeight="1">
      <c r="A394" s="106">
        <f>BASE!B393</f>
        <v>0</v>
      </c>
      <c r="B394" s="80" t="s">
        <v>2</v>
      </c>
      <c r="C394" s="62">
        <f>'Review I &amp; II'!T395+ESE!Z395</f>
        <v>0</v>
      </c>
      <c r="D394" s="62">
        <f>'Review I &amp; II'!U395+ESE!AA395</f>
        <v>0</v>
      </c>
      <c r="E394" s="62">
        <f>'Review I &amp; II'!V395+ESE!AB395</f>
        <v>0</v>
      </c>
      <c r="F394" s="62">
        <f>'Review I &amp; II'!W395+ESE!AC395</f>
        <v>0</v>
      </c>
      <c r="G394" s="62">
        <f>'Review I &amp; II'!X395+ESE!AD395</f>
        <v>0</v>
      </c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</row>
    <row r="395" spans="1:23" ht="16.5" customHeight="1">
      <c r="A395" s="106">
        <f>BASE!B394</f>
        <v>0</v>
      </c>
      <c r="B395" s="80" t="s">
        <v>2</v>
      </c>
      <c r="C395" s="62">
        <f>'Review I &amp; II'!T396+ESE!Z396</f>
        <v>0</v>
      </c>
      <c r="D395" s="62">
        <f>'Review I &amp; II'!U396+ESE!AA396</f>
        <v>0</v>
      </c>
      <c r="E395" s="62">
        <f>'Review I &amp; II'!V396+ESE!AB396</f>
        <v>0</v>
      </c>
      <c r="F395" s="62">
        <f>'Review I &amp; II'!W396+ESE!AC396</f>
        <v>0</v>
      </c>
      <c r="G395" s="62">
        <f>'Review I &amp; II'!X396+ESE!AD396</f>
        <v>0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</row>
    <row r="396" spans="1:23" ht="16.5" customHeight="1">
      <c r="A396" s="106">
        <f>BASE!B395</f>
        <v>0</v>
      </c>
      <c r="B396" s="80" t="s">
        <v>2</v>
      </c>
      <c r="C396" s="62">
        <f>'Review I &amp; II'!T397+ESE!Z397</f>
        <v>0</v>
      </c>
      <c r="D396" s="62">
        <f>'Review I &amp; II'!U397+ESE!AA397</f>
        <v>0</v>
      </c>
      <c r="E396" s="62">
        <f>'Review I &amp; II'!V397+ESE!AB397</f>
        <v>0</v>
      </c>
      <c r="F396" s="62">
        <f>'Review I &amp; II'!W397+ESE!AC397</f>
        <v>0</v>
      </c>
      <c r="G396" s="62">
        <f>'Review I &amp; II'!X397+ESE!AD397</f>
        <v>0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</row>
    <row r="397" spans="1:23" ht="16.5" customHeight="1">
      <c r="A397" s="106">
        <f>BASE!B396</f>
        <v>0</v>
      </c>
      <c r="B397" s="80" t="s">
        <v>2</v>
      </c>
      <c r="C397" s="62">
        <f>'Review I &amp; II'!T398+ESE!Z398</f>
        <v>0</v>
      </c>
      <c r="D397" s="62">
        <f>'Review I &amp; II'!U398+ESE!AA398</f>
        <v>0</v>
      </c>
      <c r="E397" s="62">
        <f>'Review I &amp; II'!V398+ESE!AB398</f>
        <v>0</v>
      </c>
      <c r="F397" s="62">
        <f>'Review I &amp; II'!W398+ESE!AC398</f>
        <v>0</v>
      </c>
      <c r="G397" s="62">
        <f>'Review I &amp; II'!X398+ESE!AD398</f>
        <v>0</v>
      </c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</row>
    <row r="398" spans="1:23" ht="16.5" customHeight="1">
      <c r="A398" s="106">
        <f>BASE!B397</f>
        <v>0</v>
      </c>
      <c r="B398" s="80" t="s">
        <v>2</v>
      </c>
      <c r="C398" s="62">
        <f>'Review I &amp; II'!T399+ESE!Z399</f>
        <v>0</v>
      </c>
      <c r="D398" s="62">
        <f>'Review I &amp; II'!U399+ESE!AA399</f>
        <v>0</v>
      </c>
      <c r="E398" s="62">
        <f>'Review I &amp; II'!V399+ESE!AB399</f>
        <v>0</v>
      </c>
      <c r="F398" s="62">
        <f>'Review I &amp; II'!W399+ESE!AC399</f>
        <v>0</v>
      </c>
      <c r="G398" s="62">
        <f>'Review I &amp; II'!X399+ESE!AD399</f>
        <v>0</v>
      </c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</row>
    <row r="399" spans="1:23" ht="16.5" customHeight="1">
      <c r="A399" s="106">
        <f>BASE!B398</f>
        <v>0</v>
      </c>
      <c r="B399" s="80" t="s">
        <v>2</v>
      </c>
      <c r="C399" s="62">
        <f>'Review I &amp; II'!T400+ESE!Z400</f>
        <v>0</v>
      </c>
      <c r="D399" s="62">
        <f>'Review I &amp; II'!U400+ESE!AA400</f>
        <v>0</v>
      </c>
      <c r="E399" s="62">
        <f>'Review I &amp; II'!V400+ESE!AB400</f>
        <v>0</v>
      </c>
      <c r="F399" s="62">
        <f>'Review I &amp; II'!W400+ESE!AC400</f>
        <v>0</v>
      </c>
      <c r="G399" s="62">
        <f>'Review I &amp; II'!X400+ESE!AD400</f>
        <v>0</v>
      </c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</row>
    <row r="400" spans="1:23" ht="16.5" customHeight="1">
      <c r="A400" s="106">
        <f>BASE!B399</f>
        <v>0</v>
      </c>
      <c r="B400" s="80" t="s">
        <v>2</v>
      </c>
      <c r="C400" s="62">
        <f>'Review I &amp; II'!T401+ESE!Z401</f>
        <v>0</v>
      </c>
      <c r="D400" s="62">
        <f>'Review I &amp; II'!U401+ESE!AA401</f>
        <v>0</v>
      </c>
      <c r="E400" s="62">
        <f>'Review I &amp; II'!V401+ESE!AB401</f>
        <v>0</v>
      </c>
      <c r="F400" s="62">
        <f>'Review I &amp; II'!W401+ESE!AC401</f>
        <v>0</v>
      </c>
      <c r="G400" s="62">
        <f>'Review I &amp; II'!X401+ESE!AD401</f>
        <v>0</v>
      </c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</row>
    <row r="401" spans="1:23" ht="16.5" customHeight="1">
      <c r="A401" s="106">
        <f>BASE!B400</f>
        <v>0</v>
      </c>
      <c r="B401" s="80" t="s">
        <v>2</v>
      </c>
      <c r="C401" s="62">
        <f>'Review I &amp; II'!T402+ESE!Z402</f>
        <v>0</v>
      </c>
      <c r="D401" s="62">
        <f>'Review I &amp; II'!U402+ESE!AA402</f>
        <v>0</v>
      </c>
      <c r="E401" s="62">
        <f>'Review I &amp; II'!V402+ESE!AB402</f>
        <v>0</v>
      </c>
      <c r="F401" s="62">
        <f>'Review I &amp; II'!W402+ESE!AC402</f>
        <v>0</v>
      </c>
      <c r="G401" s="62">
        <f>'Review I &amp; II'!X402+ESE!AD402</f>
        <v>0</v>
      </c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</row>
    <row r="402" spans="1:23" ht="16.5" customHeight="1">
      <c r="A402" s="106">
        <f>BASE!B401</f>
        <v>0</v>
      </c>
      <c r="B402" s="80" t="s">
        <v>2</v>
      </c>
      <c r="C402" s="62">
        <f>'Review I &amp; II'!T403+ESE!Z403</f>
        <v>0</v>
      </c>
      <c r="D402" s="62">
        <f>'Review I &amp; II'!U403+ESE!AA403</f>
        <v>0</v>
      </c>
      <c r="E402" s="62">
        <f>'Review I &amp; II'!V403+ESE!AB403</f>
        <v>0</v>
      </c>
      <c r="F402" s="62">
        <f>'Review I &amp; II'!W403+ESE!AC403</f>
        <v>0</v>
      </c>
      <c r="G402" s="62">
        <f>'Review I &amp; II'!X403+ESE!AD403</f>
        <v>0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</row>
    <row r="403" spans="1:23" ht="16.5" customHeight="1">
      <c r="A403" s="106">
        <f>BASE!B402</f>
        <v>0</v>
      </c>
      <c r="B403" s="80" t="s">
        <v>2</v>
      </c>
      <c r="C403" s="62">
        <f>'Review I &amp; II'!T404+ESE!Z404</f>
        <v>0</v>
      </c>
      <c r="D403" s="62">
        <f>'Review I &amp; II'!U404+ESE!AA404</f>
        <v>0</v>
      </c>
      <c r="E403" s="62">
        <f>'Review I &amp; II'!V404+ESE!AB404</f>
        <v>0</v>
      </c>
      <c r="F403" s="62">
        <f>'Review I &amp; II'!W404+ESE!AC404</f>
        <v>0</v>
      </c>
      <c r="G403" s="62">
        <f>'Review I &amp; II'!X404+ESE!AD404</f>
        <v>0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</row>
    <row r="404" spans="1:23" ht="16.5" customHeight="1">
      <c r="A404" s="106">
        <f>BASE!B403</f>
        <v>0</v>
      </c>
      <c r="B404" s="80" t="s">
        <v>2</v>
      </c>
      <c r="C404" s="62">
        <f>'Review I &amp; II'!T405+ESE!Z405</f>
        <v>0</v>
      </c>
      <c r="D404" s="62">
        <f>'Review I &amp; II'!U405+ESE!AA405</f>
        <v>0</v>
      </c>
      <c r="E404" s="62">
        <f>'Review I &amp; II'!V405+ESE!AB405</f>
        <v>0</v>
      </c>
      <c r="F404" s="62">
        <f>'Review I &amp; II'!W405+ESE!AC405</f>
        <v>0</v>
      </c>
      <c r="G404" s="62">
        <f>'Review I &amp; II'!X405+ESE!AD405</f>
        <v>0</v>
      </c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</row>
    <row r="405" spans="1:23" ht="16.5" customHeight="1">
      <c r="A405" s="106">
        <f>BASE!B404</f>
        <v>0</v>
      </c>
      <c r="B405" s="80" t="s">
        <v>2</v>
      </c>
      <c r="C405" s="62">
        <f>'Review I &amp; II'!T406+ESE!Z406</f>
        <v>0</v>
      </c>
      <c r="D405" s="62">
        <f>'Review I &amp; II'!U406+ESE!AA406</f>
        <v>0</v>
      </c>
      <c r="E405" s="62">
        <f>'Review I &amp; II'!V406+ESE!AB406</f>
        <v>0</v>
      </c>
      <c r="F405" s="62">
        <f>'Review I &amp; II'!W406+ESE!AC406</f>
        <v>0</v>
      </c>
      <c r="G405" s="62">
        <f>'Review I &amp; II'!X406+ESE!AD406</f>
        <v>0</v>
      </c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</row>
    <row r="406" spans="1:23" ht="16.5" customHeight="1">
      <c r="A406" s="106">
        <f>BASE!B405</f>
        <v>0</v>
      </c>
      <c r="B406" s="80" t="s">
        <v>2</v>
      </c>
      <c r="C406" s="62">
        <f>'Review I &amp; II'!T407+ESE!Z407</f>
        <v>0</v>
      </c>
      <c r="D406" s="62">
        <f>'Review I &amp; II'!U407+ESE!AA407</f>
        <v>0</v>
      </c>
      <c r="E406" s="62">
        <f>'Review I &amp; II'!V407+ESE!AB407</f>
        <v>0</v>
      </c>
      <c r="F406" s="62">
        <f>'Review I &amp; II'!W407+ESE!AC407</f>
        <v>0</v>
      </c>
      <c r="G406" s="62">
        <f>'Review I &amp; II'!X407+ESE!AD407</f>
        <v>0</v>
      </c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</row>
    <row r="407" spans="1:23" ht="16.5" customHeight="1">
      <c r="A407" s="106">
        <f>BASE!B406</f>
        <v>0</v>
      </c>
      <c r="B407" s="80" t="s">
        <v>2</v>
      </c>
      <c r="C407" s="62">
        <f>'Review I &amp; II'!T408+ESE!Z408</f>
        <v>0</v>
      </c>
      <c r="D407" s="62">
        <f>'Review I &amp; II'!U408+ESE!AA408</f>
        <v>0</v>
      </c>
      <c r="E407" s="62">
        <f>'Review I &amp; II'!V408+ESE!AB408</f>
        <v>0</v>
      </c>
      <c r="F407" s="62">
        <f>'Review I &amp; II'!W408+ESE!AC408</f>
        <v>0</v>
      </c>
      <c r="G407" s="62">
        <f>'Review I &amp; II'!X408+ESE!AD408</f>
        <v>0</v>
      </c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</row>
    <row r="408" spans="1:23" ht="16.5" customHeight="1">
      <c r="A408" s="106">
        <f>BASE!B407</f>
        <v>0</v>
      </c>
      <c r="B408" s="80" t="s">
        <v>2</v>
      </c>
      <c r="C408" s="62">
        <f>'Review I &amp; II'!T409+ESE!Z409</f>
        <v>0</v>
      </c>
      <c r="D408" s="62">
        <f>'Review I &amp; II'!U409+ESE!AA409</f>
        <v>0</v>
      </c>
      <c r="E408" s="62">
        <f>'Review I &amp; II'!V409+ESE!AB409</f>
        <v>0</v>
      </c>
      <c r="F408" s="62">
        <f>'Review I &amp; II'!W409+ESE!AC409</f>
        <v>0</v>
      </c>
      <c r="G408" s="62">
        <f>'Review I &amp; II'!X409+ESE!AD409</f>
        <v>0</v>
      </c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</row>
    <row r="409" spans="1:23" ht="16.5" customHeight="1">
      <c r="A409" s="106">
        <f>BASE!B408</f>
        <v>0</v>
      </c>
      <c r="B409" s="80" t="s">
        <v>2</v>
      </c>
      <c r="C409" s="62">
        <f>'Review I &amp; II'!T410+ESE!Z410</f>
        <v>0</v>
      </c>
      <c r="D409" s="62">
        <f>'Review I &amp; II'!U410+ESE!AA410</f>
        <v>0</v>
      </c>
      <c r="E409" s="62">
        <f>'Review I &amp; II'!V410+ESE!AB410</f>
        <v>0</v>
      </c>
      <c r="F409" s="62">
        <f>'Review I &amp; II'!W410+ESE!AC410</f>
        <v>0</v>
      </c>
      <c r="G409" s="62">
        <f>'Review I &amp; II'!X410+ESE!AD410</f>
        <v>0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</row>
    <row r="410" spans="1:23" ht="16.5" customHeight="1">
      <c r="A410" s="106">
        <f>BASE!B409</f>
        <v>0</v>
      </c>
      <c r="B410" s="80" t="s">
        <v>2</v>
      </c>
      <c r="C410" s="62">
        <f>'Review I &amp; II'!T411+ESE!Z411</f>
        <v>0</v>
      </c>
      <c r="D410" s="62">
        <f>'Review I &amp; II'!U411+ESE!AA411</f>
        <v>0</v>
      </c>
      <c r="E410" s="62">
        <f>'Review I &amp; II'!V411+ESE!AB411</f>
        <v>0</v>
      </c>
      <c r="F410" s="62">
        <f>'Review I &amp; II'!W411+ESE!AC411</f>
        <v>0</v>
      </c>
      <c r="G410" s="62">
        <f>'Review I &amp; II'!X411+ESE!AD411</f>
        <v>0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</row>
    <row r="411" spans="1:23" ht="16.5" customHeight="1">
      <c r="A411" s="106">
        <f>BASE!B410</f>
        <v>0</v>
      </c>
      <c r="B411" s="80" t="s">
        <v>2</v>
      </c>
      <c r="C411" s="62">
        <f>'Review I &amp; II'!T412+ESE!Z412</f>
        <v>0</v>
      </c>
      <c r="D411" s="62">
        <f>'Review I &amp; II'!U412+ESE!AA412</f>
        <v>0</v>
      </c>
      <c r="E411" s="62">
        <f>'Review I &amp; II'!V412+ESE!AB412</f>
        <v>0</v>
      </c>
      <c r="F411" s="62">
        <f>'Review I &amp; II'!W412+ESE!AC412</f>
        <v>0</v>
      </c>
      <c r="G411" s="62">
        <f>'Review I &amp; II'!X412+ESE!AD412</f>
        <v>0</v>
      </c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</row>
    <row r="412" spans="1:23" ht="16.5" customHeight="1">
      <c r="A412" s="106">
        <f>BASE!B411</f>
        <v>0</v>
      </c>
      <c r="B412" s="80" t="s">
        <v>2</v>
      </c>
      <c r="C412" s="62">
        <f>'Review I &amp; II'!T413+ESE!Z413</f>
        <v>0</v>
      </c>
      <c r="D412" s="62">
        <f>'Review I &amp; II'!U413+ESE!AA413</f>
        <v>0</v>
      </c>
      <c r="E412" s="62">
        <f>'Review I &amp; II'!V413+ESE!AB413</f>
        <v>0</v>
      </c>
      <c r="F412" s="62">
        <f>'Review I &amp; II'!W413+ESE!AC413</f>
        <v>0</v>
      </c>
      <c r="G412" s="62">
        <f>'Review I &amp; II'!X413+ESE!AD413</f>
        <v>0</v>
      </c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</row>
    <row r="413" spans="1:23" ht="16.5" customHeight="1">
      <c r="A413" s="106">
        <f>BASE!B412</f>
        <v>0</v>
      </c>
      <c r="B413" s="80" t="s">
        <v>2</v>
      </c>
      <c r="C413" s="62">
        <f>'Review I &amp; II'!T414+ESE!Z414</f>
        <v>0</v>
      </c>
      <c r="D413" s="62">
        <f>'Review I &amp; II'!U414+ESE!AA414</f>
        <v>0</v>
      </c>
      <c r="E413" s="62">
        <f>'Review I &amp; II'!V414+ESE!AB414</f>
        <v>0</v>
      </c>
      <c r="F413" s="62">
        <f>'Review I &amp; II'!W414+ESE!AC414</f>
        <v>0</v>
      </c>
      <c r="G413" s="62">
        <f>'Review I &amp; II'!X414+ESE!AD414</f>
        <v>0</v>
      </c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</row>
    <row r="414" spans="1:23" ht="16.5" customHeight="1">
      <c r="A414" s="106">
        <f>BASE!B413</f>
        <v>0</v>
      </c>
      <c r="B414" s="80" t="s">
        <v>2</v>
      </c>
      <c r="C414" s="62">
        <f>'Review I &amp; II'!T415+ESE!Z415</f>
        <v>0</v>
      </c>
      <c r="D414" s="62">
        <f>'Review I &amp; II'!U415+ESE!AA415</f>
        <v>0</v>
      </c>
      <c r="E414" s="62">
        <f>'Review I &amp; II'!V415+ESE!AB415</f>
        <v>0</v>
      </c>
      <c r="F414" s="62">
        <f>'Review I &amp; II'!W415+ESE!AC415</f>
        <v>0</v>
      </c>
      <c r="G414" s="62">
        <f>'Review I &amp; II'!X415+ESE!AD415</f>
        <v>0</v>
      </c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</row>
    <row r="415" spans="1:23" ht="16.5" customHeight="1">
      <c r="A415" s="106">
        <f>BASE!B414</f>
        <v>0</v>
      </c>
      <c r="B415" s="80" t="s">
        <v>2</v>
      </c>
      <c r="C415" s="62">
        <f>'Review I &amp; II'!T416+ESE!Z416</f>
        <v>0</v>
      </c>
      <c r="D415" s="62">
        <f>'Review I &amp; II'!U416+ESE!AA416</f>
        <v>0</v>
      </c>
      <c r="E415" s="62">
        <f>'Review I &amp; II'!V416+ESE!AB416</f>
        <v>0</v>
      </c>
      <c r="F415" s="62">
        <f>'Review I &amp; II'!W416+ESE!AC416</f>
        <v>0</v>
      </c>
      <c r="G415" s="62">
        <f>'Review I &amp; II'!X416+ESE!AD416</f>
        <v>0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</row>
    <row r="416" spans="1:23" ht="16.5" customHeight="1">
      <c r="A416" s="106">
        <f>BASE!B415</f>
        <v>0</v>
      </c>
      <c r="B416" s="80" t="s">
        <v>2</v>
      </c>
      <c r="C416" s="62">
        <f>'Review I &amp; II'!T417+ESE!Z417</f>
        <v>0</v>
      </c>
      <c r="D416" s="62">
        <f>'Review I &amp; II'!U417+ESE!AA417</f>
        <v>0</v>
      </c>
      <c r="E416" s="62">
        <f>'Review I &amp; II'!V417+ESE!AB417</f>
        <v>0</v>
      </c>
      <c r="F416" s="62">
        <f>'Review I &amp; II'!W417+ESE!AC417</f>
        <v>0</v>
      </c>
      <c r="G416" s="62">
        <f>'Review I &amp; II'!X417+ESE!AD417</f>
        <v>0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</row>
    <row r="417" spans="1:23" ht="16.5" customHeight="1">
      <c r="A417" s="106">
        <f>BASE!B416</f>
        <v>0</v>
      </c>
      <c r="B417" s="80" t="s">
        <v>2</v>
      </c>
      <c r="C417" s="62">
        <f>'Review I &amp; II'!T418+ESE!Z418</f>
        <v>0</v>
      </c>
      <c r="D417" s="62">
        <f>'Review I &amp; II'!U418+ESE!AA418</f>
        <v>0</v>
      </c>
      <c r="E417" s="62">
        <f>'Review I &amp; II'!V418+ESE!AB418</f>
        <v>0</v>
      </c>
      <c r="F417" s="62">
        <f>'Review I &amp; II'!W418+ESE!AC418</f>
        <v>0</v>
      </c>
      <c r="G417" s="62">
        <f>'Review I &amp; II'!X418+ESE!AD418</f>
        <v>0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</row>
    <row r="418" spans="1:23" ht="16.5" customHeight="1">
      <c r="A418" s="106">
        <f>BASE!B417</f>
        <v>0</v>
      </c>
      <c r="B418" s="80" t="s">
        <v>2</v>
      </c>
      <c r="C418" s="62">
        <f>'Review I &amp; II'!T419+ESE!Z419</f>
        <v>0</v>
      </c>
      <c r="D418" s="62">
        <f>'Review I &amp; II'!U419+ESE!AA419</f>
        <v>0</v>
      </c>
      <c r="E418" s="62">
        <f>'Review I &amp; II'!V419+ESE!AB419</f>
        <v>0</v>
      </c>
      <c r="F418" s="62">
        <f>'Review I &amp; II'!W419+ESE!AC419</f>
        <v>0</v>
      </c>
      <c r="G418" s="62">
        <f>'Review I &amp; II'!X419+ESE!AD419</f>
        <v>0</v>
      </c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</row>
    <row r="419" spans="1:23" ht="16.5" customHeight="1">
      <c r="A419" s="106">
        <f>BASE!B418</f>
        <v>0</v>
      </c>
      <c r="B419" s="80" t="s">
        <v>2</v>
      </c>
      <c r="C419" s="62">
        <f>'Review I &amp; II'!T420+ESE!Z420</f>
        <v>0</v>
      </c>
      <c r="D419" s="62">
        <f>'Review I &amp; II'!U420+ESE!AA420</f>
        <v>0</v>
      </c>
      <c r="E419" s="62">
        <f>'Review I &amp; II'!V420+ESE!AB420</f>
        <v>0</v>
      </c>
      <c r="F419" s="62">
        <f>'Review I &amp; II'!W420+ESE!AC420</f>
        <v>0</v>
      </c>
      <c r="G419" s="62">
        <f>'Review I &amp; II'!X420+ESE!AD420</f>
        <v>0</v>
      </c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</row>
    <row r="420" spans="1:23" ht="16.5" customHeight="1">
      <c r="A420" s="106">
        <f>BASE!B419</f>
        <v>0</v>
      </c>
      <c r="B420" s="80" t="s">
        <v>2</v>
      </c>
      <c r="C420" s="62">
        <f>'Review I &amp; II'!T421+ESE!Z421</f>
        <v>0</v>
      </c>
      <c r="D420" s="62">
        <f>'Review I &amp; II'!U421+ESE!AA421</f>
        <v>0</v>
      </c>
      <c r="E420" s="62">
        <f>'Review I &amp; II'!V421+ESE!AB421</f>
        <v>0</v>
      </c>
      <c r="F420" s="62">
        <f>'Review I &amp; II'!W421+ESE!AC421</f>
        <v>0</v>
      </c>
      <c r="G420" s="62">
        <f>'Review I &amp; II'!X421+ESE!AD421</f>
        <v>0</v>
      </c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</row>
    <row r="421" spans="1:23" ht="16.5" customHeight="1">
      <c r="A421" s="106">
        <f>BASE!B420</f>
        <v>0</v>
      </c>
      <c r="B421" s="80" t="s">
        <v>2</v>
      </c>
      <c r="C421" s="62">
        <f>'Review I &amp; II'!T422+ESE!Z422</f>
        <v>0</v>
      </c>
      <c r="D421" s="62">
        <f>'Review I &amp; II'!U422+ESE!AA422</f>
        <v>0</v>
      </c>
      <c r="E421" s="62">
        <f>'Review I &amp; II'!V422+ESE!AB422</f>
        <v>0</v>
      </c>
      <c r="F421" s="62">
        <f>'Review I &amp; II'!W422+ESE!AC422</f>
        <v>0</v>
      </c>
      <c r="G421" s="62">
        <f>'Review I &amp; II'!X422+ESE!AD422</f>
        <v>0</v>
      </c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</row>
    <row r="422" spans="1:23" ht="16.5" customHeight="1">
      <c r="A422" s="106">
        <f>BASE!B421</f>
        <v>0</v>
      </c>
      <c r="B422" s="80" t="s">
        <v>2</v>
      </c>
      <c r="C422" s="62">
        <f>'Review I &amp; II'!T423+ESE!Z423</f>
        <v>0</v>
      </c>
      <c r="D422" s="62">
        <f>'Review I &amp; II'!U423+ESE!AA423</f>
        <v>0</v>
      </c>
      <c r="E422" s="62">
        <f>'Review I &amp; II'!V423+ESE!AB423</f>
        <v>0</v>
      </c>
      <c r="F422" s="62">
        <f>'Review I &amp; II'!W423+ESE!AC423</f>
        <v>0</v>
      </c>
      <c r="G422" s="62">
        <f>'Review I &amp; II'!X423+ESE!AD423</f>
        <v>0</v>
      </c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</row>
    <row r="423" spans="1:23" ht="16.5" customHeight="1">
      <c r="A423" s="106">
        <f>BASE!B422</f>
        <v>0</v>
      </c>
      <c r="B423" s="80" t="s">
        <v>2</v>
      </c>
      <c r="C423" s="62">
        <f>'Review I &amp; II'!T424+ESE!Z424</f>
        <v>0</v>
      </c>
      <c r="D423" s="62">
        <f>'Review I &amp; II'!U424+ESE!AA424</f>
        <v>0</v>
      </c>
      <c r="E423" s="62">
        <f>'Review I &amp; II'!V424+ESE!AB424</f>
        <v>0</v>
      </c>
      <c r="F423" s="62">
        <f>'Review I &amp; II'!W424+ESE!AC424</f>
        <v>0</v>
      </c>
      <c r="G423" s="62">
        <f>'Review I &amp; II'!X424+ESE!AD424</f>
        <v>0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</row>
    <row r="424" spans="1:23" ht="16.5" customHeight="1">
      <c r="A424" s="106">
        <f>BASE!B423</f>
        <v>0</v>
      </c>
      <c r="B424" s="80" t="s">
        <v>2</v>
      </c>
      <c r="C424" s="62">
        <f>'Review I &amp; II'!T425+ESE!Z425</f>
        <v>0</v>
      </c>
      <c r="D424" s="62">
        <f>'Review I &amp; II'!U425+ESE!AA425</f>
        <v>0</v>
      </c>
      <c r="E424" s="62">
        <f>'Review I &amp; II'!V425+ESE!AB425</f>
        <v>0</v>
      </c>
      <c r="F424" s="62">
        <f>'Review I &amp; II'!W425+ESE!AC425</f>
        <v>0</v>
      </c>
      <c r="G424" s="62">
        <f>'Review I &amp; II'!X425+ESE!AD425</f>
        <v>0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</row>
    <row r="425" spans="1:23" ht="16.5" customHeight="1">
      <c r="A425" s="106">
        <f>BASE!B424</f>
        <v>0</v>
      </c>
      <c r="B425" s="80" t="s">
        <v>2</v>
      </c>
      <c r="C425" s="62">
        <f>'Review I &amp; II'!T426+ESE!Z426</f>
        <v>0</v>
      </c>
      <c r="D425" s="62">
        <f>'Review I &amp; II'!U426+ESE!AA426</f>
        <v>0</v>
      </c>
      <c r="E425" s="62">
        <f>'Review I &amp; II'!V426+ESE!AB426</f>
        <v>0</v>
      </c>
      <c r="F425" s="62">
        <f>'Review I &amp; II'!W426+ESE!AC426</f>
        <v>0</v>
      </c>
      <c r="G425" s="62">
        <f>'Review I &amp; II'!X426+ESE!AD426</f>
        <v>0</v>
      </c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</row>
    <row r="426" spans="1:23" ht="16.5" customHeight="1">
      <c r="A426" s="106">
        <f>BASE!B425</f>
        <v>0</v>
      </c>
      <c r="B426" s="80" t="s">
        <v>2</v>
      </c>
      <c r="C426" s="62">
        <f>'Review I &amp; II'!T427+ESE!Z427</f>
        <v>0</v>
      </c>
      <c r="D426" s="62">
        <f>'Review I &amp; II'!U427+ESE!AA427</f>
        <v>0</v>
      </c>
      <c r="E426" s="62">
        <f>'Review I &amp; II'!V427+ESE!AB427</f>
        <v>0</v>
      </c>
      <c r="F426" s="62">
        <f>'Review I &amp; II'!W427+ESE!AC427</f>
        <v>0</v>
      </c>
      <c r="G426" s="62">
        <f>'Review I &amp; II'!X427+ESE!AD427</f>
        <v>0</v>
      </c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</row>
    <row r="427" spans="1:23" ht="16.5" customHeight="1">
      <c r="A427" s="106">
        <f>BASE!B426</f>
        <v>0</v>
      </c>
      <c r="B427" s="80" t="s">
        <v>2</v>
      </c>
      <c r="C427" s="62">
        <f>'Review I &amp; II'!T428+ESE!Z428</f>
        <v>0</v>
      </c>
      <c r="D427" s="62">
        <f>'Review I &amp; II'!U428+ESE!AA428</f>
        <v>0</v>
      </c>
      <c r="E427" s="62">
        <f>'Review I &amp; II'!V428+ESE!AB428</f>
        <v>0</v>
      </c>
      <c r="F427" s="62">
        <f>'Review I &amp; II'!W428+ESE!AC428</f>
        <v>0</v>
      </c>
      <c r="G427" s="62">
        <f>'Review I &amp; II'!X428+ESE!AD428</f>
        <v>0</v>
      </c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</row>
    <row r="428" spans="1:23" ht="16.5" customHeight="1">
      <c r="A428" s="106">
        <f>BASE!B427</f>
        <v>0</v>
      </c>
      <c r="B428" s="80" t="s">
        <v>2</v>
      </c>
      <c r="C428" s="62">
        <f>'Review I &amp; II'!T429+ESE!Z429</f>
        <v>0</v>
      </c>
      <c r="D428" s="62">
        <f>'Review I &amp; II'!U429+ESE!AA429</f>
        <v>0</v>
      </c>
      <c r="E428" s="62">
        <f>'Review I &amp; II'!V429+ESE!AB429</f>
        <v>0</v>
      </c>
      <c r="F428" s="62">
        <f>'Review I &amp; II'!W429+ESE!AC429</f>
        <v>0</v>
      </c>
      <c r="G428" s="62">
        <f>'Review I &amp; II'!X429+ESE!AD429</f>
        <v>0</v>
      </c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</row>
    <row r="429" spans="1:23" ht="16.5" customHeight="1">
      <c r="A429" s="106">
        <f>BASE!B428</f>
        <v>0</v>
      </c>
      <c r="B429" s="80" t="s">
        <v>2</v>
      </c>
      <c r="C429" s="62">
        <f>'Review I &amp; II'!T430+ESE!Z430</f>
        <v>0</v>
      </c>
      <c r="D429" s="62">
        <f>'Review I &amp; II'!U430+ESE!AA430</f>
        <v>0</v>
      </c>
      <c r="E429" s="62">
        <f>'Review I &amp; II'!V430+ESE!AB430</f>
        <v>0</v>
      </c>
      <c r="F429" s="62">
        <f>'Review I &amp; II'!W430+ESE!AC430</f>
        <v>0</v>
      </c>
      <c r="G429" s="62">
        <f>'Review I &amp; II'!X430+ESE!AD430</f>
        <v>0</v>
      </c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</row>
    <row r="430" spans="1:23" ht="16.5" customHeight="1">
      <c r="A430" s="106">
        <f>BASE!B429</f>
        <v>0</v>
      </c>
      <c r="B430" s="80" t="s">
        <v>2</v>
      </c>
      <c r="C430" s="62">
        <f>'Review I &amp; II'!T431+ESE!Z431</f>
        <v>0</v>
      </c>
      <c r="D430" s="62">
        <f>'Review I &amp; II'!U431+ESE!AA431</f>
        <v>0</v>
      </c>
      <c r="E430" s="62">
        <f>'Review I &amp; II'!V431+ESE!AB431</f>
        <v>0</v>
      </c>
      <c r="F430" s="62">
        <f>'Review I &amp; II'!W431+ESE!AC431</f>
        <v>0</v>
      </c>
      <c r="G430" s="62">
        <f>'Review I &amp; II'!X431+ESE!AD431</f>
        <v>0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</row>
    <row r="431" spans="1:23" ht="16.5" customHeight="1">
      <c r="A431" s="106">
        <f>BASE!B430</f>
        <v>0</v>
      </c>
      <c r="B431" s="80" t="s">
        <v>2</v>
      </c>
      <c r="C431" s="62">
        <f>'Review I &amp; II'!T432+ESE!Z432</f>
        <v>0</v>
      </c>
      <c r="D431" s="62">
        <f>'Review I &amp; II'!U432+ESE!AA432</f>
        <v>0</v>
      </c>
      <c r="E431" s="62">
        <f>'Review I &amp; II'!V432+ESE!AB432</f>
        <v>0</v>
      </c>
      <c r="F431" s="62">
        <f>'Review I &amp; II'!W432+ESE!AC432</f>
        <v>0</v>
      </c>
      <c r="G431" s="62">
        <f>'Review I &amp; II'!X432+ESE!AD432</f>
        <v>0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</row>
    <row r="432" spans="1:23" ht="16.5" customHeight="1">
      <c r="A432" s="106">
        <f>BASE!B431</f>
        <v>0</v>
      </c>
      <c r="B432" s="80" t="s">
        <v>2</v>
      </c>
      <c r="C432" s="62">
        <f>'Review I &amp; II'!T433+ESE!Z433</f>
        <v>0</v>
      </c>
      <c r="D432" s="62">
        <f>'Review I &amp; II'!U433+ESE!AA433</f>
        <v>0</v>
      </c>
      <c r="E432" s="62">
        <f>'Review I &amp; II'!V433+ESE!AB433</f>
        <v>0</v>
      </c>
      <c r="F432" s="62">
        <f>'Review I &amp; II'!W433+ESE!AC433</f>
        <v>0</v>
      </c>
      <c r="G432" s="62">
        <f>'Review I &amp; II'!X433+ESE!AD433</f>
        <v>0</v>
      </c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</row>
    <row r="433" spans="1:23" ht="16.5" customHeight="1">
      <c r="A433" s="106">
        <f>BASE!B432</f>
        <v>0</v>
      </c>
      <c r="B433" s="80" t="s">
        <v>2</v>
      </c>
      <c r="C433" s="62">
        <f>'Review I &amp; II'!T434+ESE!Z434</f>
        <v>0</v>
      </c>
      <c r="D433" s="62">
        <f>'Review I &amp; II'!U434+ESE!AA434</f>
        <v>0</v>
      </c>
      <c r="E433" s="62">
        <f>'Review I &amp; II'!V434+ESE!AB434</f>
        <v>0</v>
      </c>
      <c r="F433" s="62">
        <f>'Review I &amp; II'!W434+ESE!AC434</f>
        <v>0</v>
      </c>
      <c r="G433" s="62">
        <f>'Review I &amp; II'!X434+ESE!AD434</f>
        <v>0</v>
      </c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</row>
    <row r="434" spans="1:23" ht="16.5" customHeight="1">
      <c r="A434" s="106">
        <f>BASE!B433</f>
        <v>0</v>
      </c>
      <c r="B434" s="80" t="s">
        <v>2</v>
      </c>
      <c r="C434" s="62">
        <f>'Review I &amp; II'!T435+ESE!Z435</f>
        <v>0</v>
      </c>
      <c r="D434" s="62">
        <f>'Review I &amp; II'!U435+ESE!AA435</f>
        <v>0</v>
      </c>
      <c r="E434" s="62">
        <f>'Review I &amp; II'!V435+ESE!AB435</f>
        <v>0</v>
      </c>
      <c r="F434" s="62">
        <f>'Review I &amp; II'!W435+ESE!AC435</f>
        <v>0</v>
      </c>
      <c r="G434" s="62">
        <f>'Review I &amp; II'!X435+ESE!AD435</f>
        <v>0</v>
      </c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</row>
    <row r="435" spans="1:23" ht="16.5" customHeight="1">
      <c r="A435" s="106">
        <f>BASE!B434</f>
        <v>0</v>
      </c>
      <c r="B435" s="80" t="s">
        <v>2</v>
      </c>
      <c r="C435" s="62">
        <f>'Review I &amp; II'!T436+ESE!Z436</f>
        <v>0</v>
      </c>
      <c r="D435" s="62">
        <f>'Review I &amp; II'!U436+ESE!AA436</f>
        <v>0</v>
      </c>
      <c r="E435" s="62">
        <f>'Review I &amp; II'!V436+ESE!AB436</f>
        <v>0</v>
      </c>
      <c r="F435" s="62">
        <f>'Review I &amp; II'!W436+ESE!AC436</f>
        <v>0</v>
      </c>
      <c r="G435" s="62">
        <f>'Review I &amp; II'!X436+ESE!AD436</f>
        <v>0</v>
      </c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</row>
    <row r="436" spans="1:23" ht="16.5" customHeight="1">
      <c r="A436" s="106">
        <f>BASE!B435</f>
        <v>0</v>
      </c>
      <c r="B436" s="80" t="s">
        <v>2</v>
      </c>
      <c r="C436" s="62">
        <f>'Review I &amp; II'!T437+ESE!Z437</f>
        <v>0</v>
      </c>
      <c r="D436" s="62">
        <f>'Review I &amp; II'!U437+ESE!AA437</f>
        <v>0</v>
      </c>
      <c r="E436" s="62">
        <f>'Review I &amp; II'!V437+ESE!AB437</f>
        <v>0</v>
      </c>
      <c r="F436" s="62">
        <f>'Review I &amp; II'!W437+ESE!AC437</f>
        <v>0</v>
      </c>
      <c r="G436" s="62">
        <f>'Review I &amp; II'!X437+ESE!AD437</f>
        <v>0</v>
      </c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</row>
    <row r="437" spans="1:23" ht="16.5" customHeight="1">
      <c r="A437" s="106">
        <f>BASE!B436</f>
        <v>0</v>
      </c>
      <c r="B437" s="80" t="s">
        <v>2</v>
      </c>
      <c r="C437" s="62">
        <f>'Review I &amp; II'!T438+ESE!Z438</f>
        <v>0</v>
      </c>
      <c r="D437" s="62">
        <f>'Review I &amp; II'!U438+ESE!AA438</f>
        <v>0</v>
      </c>
      <c r="E437" s="62">
        <f>'Review I &amp; II'!V438+ESE!AB438</f>
        <v>0</v>
      </c>
      <c r="F437" s="62">
        <f>'Review I &amp; II'!W438+ESE!AC438</f>
        <v>0</v>
      </c>
      <c r="G437" s="62">
        <f>'Review I &amp; II'!X438+ESE!AD438</f>
        <v>0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</row>
    <row r="438" spans="1:23" ht="16.5" customHeight="1">
      <c r="A438" s="106">
        <f>BASE!B437</f>
        <v>0</v>
      </c>
      <c r="B438" s="80" t="s">
        <v>2</v>
      </c>
      <c r="C438" s="62">
        <f>'Review I &amp; II'!T439+ESE!Z439</f>
        <v>0</v>
      </c>
      <c r="D438" s="62">
        <f>'Review I &amp; II'!U439+ESE!AA439</f>
        <v>0</v>
      </c>
      <c r="E438" s="62">
        <f>'Review I &amp; II'!V439+ESE!AB439</f>
        <v>0</v>
      </c>
      <c r="F438" s="62">
        <f>'Review I &amp; II'!W439+ESE!AC439</f>
        <v>0</v>
      </c>
      <c r="G438" s="62">
        <f>'Review I &amp; II'!X439+ESE!AD439</f>
        <v>0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</row>
    <row r="439" spans="1:23" ht="16.5" customHeight="1">
      <c r="A439" s="106">
        <f>BASE!B438</f>
        <v>0</v>
      </c>
      <c r="B439" s="80" t="s">
        <v>2</v>
      </c>
      <c r="C439" s="62">
        <f>'Review I &amp; II'!T440+ESE!Z440</f>
        <v>0</v>
      </c>
      <c r="D439" s="62">
        <f>'Review I &amp; II'!U440+ESE!AA440</f>
        <v>0</v>
      </c>
      <c r="E439" s="62">
        <f>'Review I &amp; II'!V440+ESE!AB440</f>
        <v>0</v>
      </c>
      <c r="F439" s="62">
        <f>'Review I &amp; II'!W440+ESE!AC440</f>
        <v>0</v>
      </c>
      <c r="G439" s="62">
        <f>'Review I &amp; II'!X440+ESE!AD440</f>
        <v>0</v>
      </c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</row>
    <row r="440" spans="1:23" ht="16.5" customHeight="1">
      <c r="A440" s="106">
        <f>BASE!B439</f>
        <v>0</v>
      </c>
      <c r="B440" s="80" t="s">
        <v>2</v>
      </c>
      <c r="C440" s="62">
        <f>'Review I &amp; II'!T441+ESE!Z441</f>
        <v>0</v>
      </c>
      <c r="D440" s="62">
        <f>'Review I &amp; II'!U441+ESE!AA441</f>
        <v>0</v>
      </c>
      <c r="E440" s="62">
        <f>'Review I &amp; II'!V441+ESE!AB441</f>
        <v>0</v>
      </c>
      <c r="F440" s="62">
        <f>'Review I &amp; II'!W441+ESE!AC441</f>
        <v>0</v>
      </c>
      <c r="G440" s="62">
        <f>'Review I &amp; II'!X441+ESE!AD441</f>
        <v>0</v>
      </c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</row>
    <row r="441" spans="1:23" ht="16.5" customHeight="1">
      <c r="A441" s="106">
        <f>BASE!B440</f>
        <v>0</v>
      </c>
      <c r="B441" s="80" t="s">
        <v>2</v>
      </c>
      <c r="C441" s="62">
        <f>'Review I &amp; II'!T442+ESE!Z442</f>
        <v>0</v>
      </c>
      <c r="D441" s="62">
        <f>'Review I &amp; II'!U442+ESE!AA442</f>
        <v>0</v>
      </c>
      <c r="E441" s="62">
        <f>'Review I &amp; II'!V442+ESE!AB442</f>
        <v>0</v>
      </c>
      <c r="F441" s="62">
        <f>'Review I &amp; II'!W442+ESE!AC442</f>
        <v>0</v>
      </c>
      <c r="G441" s="62">
        <f>'Review I &amp; II'!X442+ESE!AD442</f>
        <v>0</v>
      </c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</row>
    <row r="442" spans="1:23" ht="16.5" customHeight="1">
      <c r="A442" s="106">
        <f>BASE!B441</f>
        <v>0</v>
      </c>
      <c r="B442" s="80" t="s">
        <v>2</v>
      </c>
      <c r="C442" s="62">
        <f>'Review I &amp; II'!T443+ESE!Z443</f>
        <v>0</v>
      </c>
      <c r="D442" s="62">
        <f>'Review I &amp; II'!U443+ESE!AA443</f>
        <v>0</v>
      </c>
      <c r="E442" s="62">
        <f>'Review I &amp; II'!V443+ESE!AB443</f>
        <v>0</v>
      </c>
      <c r="F442" s="62">
        <f>'Review I &amp; II'!W443+ESE!AC443</f>
        <v>0</v>
      </c>
      <c r="G442" s="62">
        <f>'Review I &amp; II'!X443+ESE!AD443</f>
        <v>0</v>
      </c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</row>
    <row r="443" spans="1:23" ht="16.5" customHeight="1">
      <c r="A443" s="106">
        <f>BASE!B442</f>
        <v>0</v>
      </c>
      <c r="B443" s="80" t="s">
        <v>2</v>
      </c>
      <c r="C443" s="62">
        <f>'Review I &amp; II'!T444+ESE!Z444</f>
        <v>0</v>
      </c>
      <c r="D443" s="62">
        <f>'Review I &amp; II'!U444+ESE!AA444</f>
        <v>0</v>
      </c>
      <c r="E443" s="62">
        <f>'Review I &amp; II'!V444+ESE!AB444</f>
        <v>0</v>
      </c>
      <c r="F443" s="62">
        <f>'Review I &amp; II'!W444+ESE!AC444</f>
        <v>0</v>
      </c>
      <c r="G443" s="62">
        <f>'Review I &amp; II'!X444+ESE!AD444</f>
        <v>0</v>
      </c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</row>
    <row r="444" spans="1:23" ht="16.5" customHeight="1">
      <c r="A444" s="106">
        <f>BASE!B443</f>
        <v>0</v>
      </c>
      <c r="B444" s="80" t="s">
        <v>2</v>
      </c>
      <c r="C444" s="62">
        <f>'Review I &amp; II'!T445+ESE!Z445</f>
        <v>0</v>
      </c>
      <c r="D444" s="62">
        <f>'Review I &amp; II'!U445+ESE!AA445</f>
        <v>0</v>
      </c>
      <c r="E444" s="62">
        <f>'Review I &amp; II'!V445+ESE!AB445</f>
        <v>0</v>
      </c>
      <c r="F444" s="62">
        <f>'Review I &amp; II'!W445+ESE!AC445</f>
        <v>0</v>
      </c>
      <c r="G444" s="62">
        <f>'Review I &amp; II'!X445+ESE!AD445</f>
        <v>0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</row>
    <row r="445" spans="1:23" ht="16.5" customHeight="1">
      <c r="A445" s="106">
        <f>BASE!B444</f>
        <v>0</v>
      </c>
      <c r="B445" s="80" t="s">
        <v>2</v>
      </c>
      <c r="C445" s="62">
        <f>'Review I &amp; II'!T446+ESE!Z446</f>
        <v>0</v>
      </c>
      <c r="D445" s="62">
        <f>'Review I &amp; II'!U446+ESE!AA446</f>
        <v>0</v>
      </c>
      <c r="E445" s="62">
        <f>'Review I &amp; II'!V446+ESE!AB446</f>
        <v>0</v>
      </c>
      <c r="F445" s="62">
        <f>'Review I &amp; II'!W446+ESE!AC446</f>
        <v>0</v>
      </c>
      <c r="G445" s="62">
        <f>'Review I &amp; II'!X446+ESE!AD446</f>
        <v>0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</row>
    <row r="446" spans="1:23" ht="16.5" customHeight="1">
      <c r="A446" s="106">
        <f>BASE!B445</f>
        <v>0</v>
      </c>
      <c r="B446" s="80" t="s">
        <v>2</v>
      </c>
      <c r="C446" s="62">
        <f>'Review I &amp; II'!T447+ESE!Z447</f>
        <v>0</v>
      </c>
      <c r="D446" s="62">
        <f>'Review I &amp; II'!U447+ESE!AA447</f>
        <v>0</v>
      </c>
      <c r="E446" s="62">
        <f>'Review I &amp; II'!V447+ESE!AB447</f>
        <v>0</v>
      </c>
      <c r="F446" s="62">
        <f>'Review I &amp; II'!W447+ESE!AC447</f>
        <v>0</v>
      </c>
      <c r="G446" s="62">
        <f>'Review I &amp; II'!X447+ESE!AD447</f>
        <v>0</v>
      </c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</row>
    <row r="447" spans="1:23" ht="16.5" customHeight="1">
      <c r="A447" s="106">
        <f>BASE!B446</f>
        <v>0</v>
      </c>
      <c r="B447" s="80" t="s">
        <v>2</v>
      </c>
      <c r="C447" s="62">
        <f>'Review I &amp; II'!T448+ESE!Z448</f>
        <v>0</v>
      </c>
      <c r="D447" s="62">
        <f>'Review I &amp; II'!U448+ESE!AA448</f>
        <v>0</v>
      </c>
      <c r="E447" s="62">
        <f>'Review I &amp; II'!V448+ESE!AB448</f>
        <v>0</v>
      </c>
      <c r="F447" s="62">
        <f>'Review I &amp; II'!W448+ESE!AC448</f>
        <v>0</v>
      </c>
      <c r="G447" s="62">
        <f>'Review I &amp; II'!X448+ESE!AD448</f>
        <v>0</v>
      </c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</row>
    <row r="448" spans="1:23" ht="16.5" customHeight="1">
      <c r="A448" s="106">
        <f>BASE!B447</f>
        <v>0</v>
      </c>
      <c r="B448" s="80" t="s">
        <v>2</v>
      </c>
      <c r="C448" s="62">
        <f>'Review I &amp; II'!T449+ESE!Z449</f>
        <v>0</v>
      </c>
      <c r="D448" s="62">
        <f>'Review I &amp; II'!U449+ESE!AA449</f>
        <v>0</v>
      </c>
      <c r="E448" s="62">
        <f>'Review I &amp; II'!V449+ESE!AB449</f>
        <v>0</v>
      </c>
      <c r="F448" s="62">
        <f>'Review I &amp; II'!W449+ESE!AC449</f>
        <v>0</v>
      </c>
      <c r="G448" s="62">
        <f>'Review I &amp; II'!X449+ESE!AD449</f>
        <v>0</v>
      </c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</row>
    <row r="449" spans="1:23" ht="16.5" customHeight="1">
      <c r="A449" s="106">
        <f>BASE!B448</f>
        <v>0</v>
      </c>
      <c r="B449" s="80" t="s">
        <v>2</v>
      </c>
      <c r="C449" s="62">
        <f>'Review I &amp; II'!T450+ESE!Z450</f>
        <v>0</v>
      </c>
      <c r="D449" s="62">
        <f>'Review I &amp; II'!U450+ESE!AA450</f>
        <v>0</v>
      </c>
      <c r="E449" s="62">
        <f>'Review I &amp; II'!V450+ESE!AB450</f>
        <v>0</v>
      </c>
      <c r="F449" s="62">
        <f>'Review I &amp; II'!W450+ESE!AC450</f>
        <v>0</v>
      </c>
      <c r="G449" s="62">
        <f>'Review I &amp; II'!X450+ESE!AD450</f>
        <v>0</v>
      </c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</row>
    <row r="450" spans="1:23" ht="16.5" customHeight="1">
      <c r="A450" s="106">
        <f>BASE!B449</f>
        <v>0</v>
      </c>
      <c r="B450" s="80" t="s">
        <v>2</v>
      </c>
      <c r="C450" s="62">
        <f>'Review I &amp; II'!T451+ESE!Z451</f>
        <v>0</v>
      </c>
      <c r="D450" s="62">
        <f>'Review I &amp; II'!U451+ESE!AA451</f>
        <v>0</v>
      </c>
      <c r="E450" s="62">
        <f>'Review I &amp; II'!V451+ESE!AB451</f>
        <v>0</v>
      </c>
      <c r="F450" s="62">
        <f>'Review I &amp; II'!W451+ESE!AC451</f>
        <v>0</v>
      </c>
      <c r="G450" s="62">
        <f>'Review I &amp; II'!X451+ESE!AD451</f>
        <v>0</v>
      </c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</row>
    <row r="451" spans="1:23" ht="16.5" customHeight="1">
      <c r="A451" s="106">
        <f>BASE!B450</f>
        <v>0</v>
      </c>
      <c r="B451" s="80" t="s">
        <v>2</v>
      </c>
      <c r="C451" s="62">
        <f>'Review I &amp; II'!T452+ESE!Z452</f>
        <v>0</v>
      </c>
      <c r="D451" s="62">
        <f>'Review I &amp; II'!U452+ESE!AA452</f>
        <v>0</v>
      </c>
      <c r="E451" s="62">
        <f>'Review I &amp; II'!V452+ESE!AB452</f>
        <v>0</v>
      </c>
      <c r="F451" s="62">
        <f>'Review I &amp; II'!W452+ESE!AC452</f>
        <v>0</v>
      </c>
      <c r="G451" s="62">
        <f>'Review I &amp; II'!X452+ESE!AD452</f>
        <v>0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</row>
    <row r="452" spans="1:23" ht="16.5" customHeight="1">
      <c r="A452" s="106">
        <f>BASE!B451</f>
        <v>0</v>
      </c>
      <c r="B452" s="80" t="s">
        <v>2</v>
      </c>
      <c r="C452" s="62">
        <f>'Review I &amp; II'!T453+ESE!Z453</f>
        <v>0</v>
      </c>
      <c r="D452" s="62">
        <f>'Review I &amp; II'!U453+ESE!AA453</f>
        <v>0</v>
      </c>
      <c r="E452" s="62">
        <f>'Review I &amp; II'!V453+ESE!AB453</f>
        <v>0</v>
      </c>
      <c r="F452" s="62">
        <f>'Review I &amp; II'!W453+ESE!AC453</f>
        <v>0</v>
      </c>
      <c r="G452" s="62">
        <f>'Review I &amp; II'!X453+ESE!AD453</f>
        <v>0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</row>
    <row r="453" spans="1:23" ht="16.5" customHeight="1">
      <c r="A453" s="106">
        <f>BASE!B452</f>
        <v>0</v>
      </c>
      <c r="B453" s="80" t="s">
        <v>2</v>
      </c>
      <c r="C453" s="62">
        <f>'Review I &amp; II'!T454+ESE!Z454</f>
        <v>0</v>
      </c>
      <c r="D453" s="62">
        <f>'Review I &amp; II'!U454+ESE!AA454</f>
        <v>0</v>
      </c>
      <c r="E453" s="62">
        <f>'Review I &amp; II'!V454+ESE!AB454</f>
        <v>0</v>
      </c>
      <c r="F453" s="62">
        <f>'Review I &amp; II'!W454+ESE!AC454</f>
        <v>0</v>
      </c>
      <c r="G453" s="62">
        <f>'Review I &amp; II'!X454+ESE!AD454</f>
        <v>0</v>
      </c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</row>
    <row r="454" spans="1:23" ht="16.5" customHeight="1">
      <c r="A454" s="106">
        <f>BASE!B453</f>
        <v>0</v>
      </c>
      <c r="B454" s="80" t="s">
        <v>2</v>
      </c>
      <c r="C454" s="62">
        <f>'Review I &amp; II'!T455+ESE!Z455</f>
        <v>0</v>
      </c>
      <c r="D454" s="62">
        <f>'Review I &amp; II'!U455+ESE!AA455</f>
        <v>0</v>
      </c>
      <c r="E454" s="62">
        <f>'Review I &amp; II'!V455+ESE!AB455</f>
        <v>0</v>
      </c>
      <c r="F454" s="62">
        <f>'Review I &amp; II'!W455+ESE!AC455</f>
        <v>0</v>
      </c>
      <c r="G454" s="62">
        <f>'Review I &amp; II'!X455+ESE!AD455</f>
        <v>0</v>
      </c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</row>
    <row r="455" spans="1:23" ht="16.5" customHeight="1">
      <c r="A455" s="106">
        <f>BASE!B454</f>
        <v>0</v>
      </c>
      <c r="B455" s="80" t="s">
        <v>2</v>
      </c>
      <c r="C455" s="62">
        <f>'Review I &amp; II'!T456+ESE!Z456</f>
        <v>0</v>
      </c>
      <c r="D455" s="62">
        <f>'Review I &amp; II'!U456+ESE!AA456</f>
        <v>0</v>
      </c>
      <c r="E455" s="62">
        <f>'Review I &amp; II'!V456+ESE!AB456</f>
        <v>0</v>
      </c>
      <c r="F455" s="62">
        <f>'Review I &amp; II'!W456+ESE!AC456</f>
        <v>0</v>
      </c>
      <c r="G455" s="62">
        <f>'Review I &amp; II'!X456+ESE!AD456</f>
        <v>0</v>
      </c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</row>
    <row r="456" spans="1:23" ht="16.5" customHeight="1">
      <c r="A456" s="106">
        <f>BASE!B455</f>
        <v>0</v>
      </c>
      <c r="B456" s="80" t="s">
        <v>2</v>
      </c>
      <c r="C456" s="62">
        <f>'Review I &amp; II'!T457+ESE!Z457</f>
        <v>0</v>
      </c>
      <c r="D456" s="62">
        <f>'Review I &amp; II'!U457+ESE!AA457</f>
        <v>0</v>
      </c>
      <c r="E456" s="62">
        <f>'Review I &amp; II'!V457+ESE!AB457</f>
        <v>0</v>
      </c>
      <c r="F456" s="62">
        <f>'Review I &amp; II'!W457+ESE!AC457</f>
        <v>0</v>
      </c>
      <c r="G456" s="62">
        <f>'Review I &amp; II'!X457+ESE!AD457</f>
        <v>0</v>
      </c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</row>
    <row r="457" spans="1:23" ht="16.5" customHeight="1">
      <c r="A457" s="106">
        <f>BASE!B456</f>
        <v>0</v>
      </c>
      <c r="B457" s="80" t="s">
        <v>2</v>
      </c>
      <c r="C457" s="62">
        <f>'Review I &amp; II'!T458+ESE!Z458</f>
        <v>0</v>
      </c>
      <c r="D457" s="62">
        <f>'Review I &amp; II'!U458+ESE!AA458</f>
        <v>0</v>
      </c>
      <c r="E457" s="62">
        <f>'Review I &amp; II'!V458+ESE!AB458</f>
        <v>0</v>
      </c>
      <c r="F457" s="62">
        <f>'Review I &amp; II'!W458+ESE!AC458</f>
        <v>0</v>
      </c>
      <c r="G457" s="62">
        <f>'Review I &amp; II'!X458+ESE!AD458</f>
        <v>0</v>
      </c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</row>
    <row r="458" spans="1:23" ht="16.5" customHeight="1">
      <c r="A458" s="106">
        <f>BASE!B457</f>
        <v>0</v>
      </c>
      <c r="B458" s="80" t="s">
        <v>2</v>
      </c>
      <c r="C458" s="62">
        <f>'Review I &amp; II'!T459+ESE!Z459</f>
        <v>0</v>
      </c>
      <c r="D458" s="62">
        <f>'Review I &amp; II'!U459+ESE!AA459</f>
        <v>0</v>
      </c>
      <c r="E458" s="62">
        <f>'Review I &amp; II'!V459+ESE!AB459</f>
        <v>0</v>
      </c>
      <c r="F458" s="62">
        <f>'Review I &amp; II'!W459+ESE!AC459</f>
        <v>0</v>
      </c>
      <c r="G458" s="62">
        <f>'Review I &amp; II'!X459+ESE!AD459</f>
        <v>0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</row>
    <row r="459" spans="1:23" ht="16.5" customHeight="1">
      <c r="A459" s="106">
        <f>BASE!B458</f>
        <v>0</v>
      </c>
      <c r="B459" s="80" t="s">
        <v>2</v>
      </c>
      <c r="C459" s="62">
        <f>'Review I &amp; II'!T460+ESE!Z460</f>
        <v>0</v>
      </c>
      <c r="D459" s="62">
        <f>'Review I &amp; II'!U460+ESE!AA460</f>
        <v>0</v>
      </c>
      <c r="E459" s="62">
        <f>'Review I &amp; II'!V460+ESE!AB460</f>
        <v>0</v>
      </c>
      <c r="F459" s="62">
        <f>'Review I &amp; II'!W460+ESE!AC460</f>
        <v>0</v>
      </c>
      <c r="G459" s="62">
        <f>'Review I &amp; II'!X460+ESE!AD460</f>
        <v>0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</row>
    <row r="460" spans="1:23" ht="16.5" customHeight="1">
      <c r="A460" s="106">
        <f>BASE!B459</f>
        <v>0</v>
      </c>
      <c r="B460" s="80" t="s">
        <v>2</v>
      </c>
      <c r="C460" s="62">
        <f>'Review I &amp; II'!T461+ESE!Z461</f>
        <v>0</v>
      </c>
      <c r="D460" s="62">
        <f>'Review I &amp; II'!U461+ESE!AA461</f>
        <v>0</v>
      </c>
      <c r="E460" s="62">
        <f>'Review I &amp; II'!V461+ESE!AB461</f>
        <v>0</v>
      </c>
      <c r="F460" s="62">
        <f>'Review I &amp; II'!W461+ESE!AC461</f>
        <v>0</v>
      </c>
      <c r="G460" s="62">
        <f>'Review I &amp; II'!X461+ESE!AD461</f>
        <v>0</v>
      </c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</row>
    <row r="461" spans="1:23" ht="15.75" customHeight="1">
      <c r="A461" s="107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</row>
    <row r="462" spans="1:23" ht="24.75" customHeight="1">
      <c r="A462" s="209" t="s">
        <v>112</v>
      </c>
      <c r="B462" s="211"/>
      <c r="C462" s="108" t="str">
        <f>IFERROR(AVERAGEIF(C11:C460,"&lt;&gt;0"),"")</f>
        <v/>
      </c>
      <c r="D462" s="108" t="str">
        <f t="shared" ref="D462:G462" si="0">IFERROR(AVERAGEIF(D11:D460,"&lt;&gt;0"),"")</f>
        <v/>
      </c>
      <c r="E462" s="108" t="str">
        <f t="shared" si="0"/>
        <v/>
      </c>
      <c r="F462" s="108" t="str">
        <f t="shared" si="0"/>
        <v/>
      </c>
      <c r="G462" s="108" t="str">
        <f t="shared" si="0"/>
        <v/>
      </c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</row>
    <row r="463" spans="1:23" ht="36.75" customHeight="1">
      <c r="A463" s="266" t="s">
        <v>113</v>
      </c>
      <c r="B463" s="211"/>
      <c r="C463" s="62">
        <f>COUNTIF(C11:C460,"&gt;="&amp;C462)</f>
        <v>0</v>
      </c>
      <c r="D463" s="62">
        <f t="shared" ref="D463:F463" si="1">COUNTIF(D11:D460,"&gt;="&amp;D462)</f>
        <v>0</v>
      </c>
      <c r="E463" s="62">
        <f t="shared" si="1"/>
        <v>0</v>
      </c>
      <c r="F463" s="62">
        <f t="shared" si="1"/>
        <v>0</v>
      </c>
      <c r="G463" s="62">
        <f>COUNTIF(G11:G460,"&gt;="&amp;G462)</f>
        <v>0</v>
      </c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</row>
    <row r="464" spans="1:23" ht="40.5" customHeight="1">
      <c r="A464" s="219" t="s">
        <v>114</v>
      </c>
      <c r="B464" s="211"/>
      <c r="C464" s="108">
        <f>IFERROR(MIN((C463/$G$7)*100,100),"")</f>
        <v>0</v>
      </c>
      <c r="D464" s="108">
        <f t="shared" ref="D464:G464" si="2">IFERROR(MIN((D463/$G$7)*100,100),"")</f>
        <v>0</v>
      </c>
      <c r="E464" s="108">
        <f t="shared" si="2"/>
        <v>0</v>
      </c>
      <c r="F464" s="108">
        <f t="shared" si="2"/>
        <v>0</v>
      </c>
      <c r="G464" s="108">
        <f t="shared" si="2"/>
        <v>0</v>
      </c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</row>
    <row r="465" spans="1:23" ht="17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</row>
    <row r="466" spans="1:23" ht="17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</row>
    <row r="467" spans="1:23" ht="17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</row>
    <row r="468" spans="1:23" ht="17.25" customHeight="1">
      <c r="A468" s="58"/>
      <c r="B468" s="109"/>
      <c r="C468" s="109"/>
      <c r="D468" s="109"/>
      <c r="E468" s="109"/>
      <c r="F468" s="109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</row>
    <row r="469" spans="1:23" ht="17.25" customHeight="1">
      <c r="A469" s="58"/>
      <c r="B469" s="109"/>
      <c r="C469" s="109"/>
      <c r="D469" s="109"/>
      <c r="E469" s="109"/>
      <c r="F469" s="109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</row>
    <row r="470" spans="1:23" ht="17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</row>
    <row r="471" spans="1:23" ht="17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</row>
    <row r="472" spans="1:23" ht="17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</row>
    <row r="473" spans="1:23" ht="17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</row>
    <row r="474" spans="1:23" ht="17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</row>
    <row r="475" spans="1:23" ht="17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</row>
    <row r="476" spans="1:23" ht="17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</row>
    <row r="477" spans="1:23" ht="17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</row>
    <row r="478" spans="1:23" ht="17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</row>
    <row r="479" spans="1:23" ht="17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</row>
    <row r="480" spans="1:23" ht="17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</row>
    <row r="481" spans="1:23" ht="17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</row>
    <row r="482" spans="1:23" ht="17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</row>
    <row r="483" spans="1:23" ht="17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</row>
    <row r="484" spans="1:23" ht="17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</row>
    <row r="485" spans="1:23" ht="17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</row>
    <row r="486" spans="1:23" ht="17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</row>
    <row r="487" spans="1:23" ht="17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</row>
    <row r="488" spans="1:23" ht="17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</row>
    <row r="489" spans="1:23" ht="17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</row>
    <row r="490" spans="1:23" ht="17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</row>
    <row r="491" spans="1:23" ht="17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</row>
    <row r="492" spans="1:23" ht="17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</row>
    <row r="493" spans="1:23" ht="17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</row>
    <row r="494" spans="1:23" ht="17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</row>
    <row r="495" spans="1:23" ht="17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</row>
    <row r="496" spans="1:23" ht="17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</row>
    <row r="497" spans="1:23" ht="17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</row>
    <row r="498" spans="1:23" ht="17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</row>
    <row r="499" spans="1:23" ht="17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</row>
    <row r="500" spans="1:23" ht="17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</row>
    <row r="501" spans="1:23" ht="17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</row>
    <row r="502" spans="1:23" ht="17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</row>
    <row r="503" spans="1:23" ht="17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</row>
    <row r="504" spans="1:23" ht="17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</row>
    <row r="505" spans="1:23" ht="17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</row>
    <row r="506" spans="1:23" ht="17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</row>
    <row r="507" spans="1:23" ht="17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</row>
    <row r="508" spans="1:23" ht="17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</row>
    <row r="509" spans="1:23" ht="17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</row>
    <row r="510" spans="1:23" ht="17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</row>
    <row r="511" spans="1:23" ht="17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</row>
    <row r="512" spans="1:23" ht="17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</row>
    <row r="513" spans="1:23" ht="17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</row>
    <row r="514" spans="1:23" ht="17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</row>
    <row r="515" spans="1:23" ht="17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</row>
    <row r="516" spans="1:23" ht="17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</row>
    <row r="517" spans="1:23" ht="17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</row>
    <row r="518" spans="1:23" ht="17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</row>
    <row r="519" spans="1:23" ht="17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</row>
    <row r="520" spans="1:23" ht="17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</row>
    <row r="521" spans="1:23" ht="17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</row>
    <row r="522" spans="1:23" ht="17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</row>
    <row r="523" spans="1:23" ht="17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</row>
    <row r="524" spans="1:23" ht="17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</row>
    <row r="525" spans="1:23" ht="17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</row>
    <row r="526" spans="1:23" ht="17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</row>
    <row r="527" spans="1:23" ht="17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</row>
    <row r="528" spans="1:23" ht="17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</row>
    <row r="529" spans="1:23" ht="17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</row>
    <row r="530" spans="1:23" ht="17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</row>
    <row r="531" spans="1:23" ht="17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</row>
    <row r="532" spans="1:23" ht="17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</row>
    <row r="533" spans="1:23" ht="17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</row>
    <row r="534" spans="1:23" ht="17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</row>
    <row r="535" spans="1:23" ht="17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</row>
    <row r="536" spans="1:23" ht="17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</row>
    <row r="537" spans="1:23" ht="17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</row>
    <row r="538" spans="1:23" ht="17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</row>
    <row r="539" spans="1:23" ht="17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</row>
    <row r="540" spans="1:23" ht="17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</row>
    <row r="541" spans="1:23" ht="17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</row>
    <row r="542" spans="1:23" ht="17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</row>
    <row r="543" spans="1:23" ht="17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</row>
    <row r="544" spans="1:23" ht="17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</row>
    <row r="545" spans="1:23" ht="17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</row>
    <row r="546" spans="1:23" ht="17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</row>
    <row r="547" spans="1:23" ht="17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</row>
    <row r="548" spans="1:23" ht="17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</row>
    <row r="549" spans="1:23" ht="17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</row>
    <row r="550" spans="1:23" ht="17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</row>
    <row r="551" spans="1:23" ht="17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</row>
    <row r="552" spans="1:23" ht="17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</row>
    <row r="553" spans="1:23" ht="17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</row>
    <row r="554" spans="1:23" ht="17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</row>
    <row r="555" spans="1:23" ht="17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</row>
    <row r="556" spans="1:23" ht="17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</row>
    <row r="557" spans="1:23" ht="17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</row>
    <row r="558" spans="1:23" ht="17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</row>
    <row r="559" spans="1:23" ht="17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</row>
    <row r="560" spans="1:23" ht="17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</row>
    <row r="561" spans="1:23" ht="17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</row>
    <row r="562" spans="1:23" ht="17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</row>
    <row r="563" spans="1:23" ht="17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</row>
    <row r="564" spans="1:23" ht="17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</row>
    <row r="565" spans="1:23" ht="17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</row>
    <row r="566" spans="1:23" ht="17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</row>
    <row r="567" spans="1:23" ht="17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</row>
    <row r="568" spans="1:23" ht="17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</row>
    <row r="569" spans="1:23" ht="17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</row>
    <row r="570" spans="1:23" ht="17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</row>
    <row r="571" spans="1:23" ht="17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</row>
    <row r="572" spans="1:23" ht="17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</row>
    <row r="573" spans="1:23" ht="17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</row>
    <row r="574" spans="1:23" ht="17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</row>
    <row r="575" spans="1:23" ht="17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</row>
    <row r="576" spans="1:23" ht="17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</row>
    <row r="577" spans="1:23" ht="17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</row>
    <row r="578" spans="1:23" ht="17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</row>
    <row r="579" spans="1:23" ht="17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</row>
    <row r="580" spans="1:23" ht="17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</row>
    <row r="581" spans="1:23" ht="17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</row>
    <row r="582" spans="1:23" ht="17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</row>
    <row r="583" spans="1:23" ht="17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</row>
    <row r="584" spans="1:23" ht="17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</row>
    <row r="585" spans="1:23" ht="17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</row>
    <row r="586" spans="1:23" ht="17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</row>
    <row r="587" spans="1:23" ht="17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</row>
    <row r="588" spans="1:23" ht="17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</row>
    <row r="589" spans="1:23" ht="17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</row>
    <row r="590" spans="1:23" ht="17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</row>
    <row r="591" spans="1:23" ht="17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</row>
    <row r="592" spans="1:23" ht="17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</row>
    <row r="593" spans="1:23" ht="17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</row>
    <row r="594" spans="1:23" ht="17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</row>
    <row r="595" spans="1:23" ht="17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</row>
    <row r="596" spans="1:23" ht="17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</row>
    <row r="597" spans="1:23" ht="17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</row>
    <row r="598" spans="1:23" ht="17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</row>
    <row r="599" spans="1:23" ht="17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</row>
    <row r="600" spans="1:23" ht="17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</row>
    <row r="601" spans="1:23" ht="17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</row>
    <row r="602" spans="1:23" ht="17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</row>
    <row r="603" spans="1:23" ht="17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</row>
    <row r="604" spans="1:23" ht="17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</row>
    <row r="605" spans="1:23" ht="17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</row>
    <row r="606" spans="1:23" ht="17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</row>
    <row r="607" spans="1:23" ht="17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</row>
    <row r="608" spans="1:23" ht="17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</row>
    <row r="609" spans="1:23" ht="17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</row>
    <row r="610" spans="1:23" ht="17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</row>
    <row r="611" spans="1:23" ht="17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</row>
    <row r="612" spans="1:23" ht="17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</row>
    <row r="613" spans="1:23" ht="17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</row>
    <row r="614" spans="1:23" ht="17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</row>
    <row r="615" spans="1:23" ht="17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</row>
    <row r="616" spans="1:23" ht="17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</row>
    <row r="617" spans="1:23" ht="17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</row>
    <row r="618" spans="1:23" ht="17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</row>
    <row r="619" spans="1:23" ht="17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</row>
    <row r="620" spans="1:23" ht="17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</row>
    <row r="621" spans="1:23" ht="17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</row>
    <row r="622" spans="1:23" ht="17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</row>
    <row r="623" spans="1:23" ht="17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</row>
    <row r="624" spans="1:23" ht="17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</row>
    <row r="625" spans="1:23" ht="17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</row>
    <row r="626" spans="1:23" ht="17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</row>
    <row r="627" spans="1:23" ht="17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</row>
    <row r="628" spans="1:23" ht="17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</row>
    <row r="629" spans="1:23" ht="17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</row>
    <row r="630" spans="1:23" ht="17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</row>
    <row r="631" spans="1:23" ht="17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</row>
    <row r="632" spans="1:23" ht="17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</row>
    <row r="633" spans="1:23" ht="17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</row>
    <row r="634" spans="1:23" ht="17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</row>
    <row r="635" spans="1:23" ht="17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</row>
    <row r="636" spans="1:23" ht="17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</row>
    <row r="637" spans="1:23" ht="17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</row>
    <row r="638" spans="1:23" ht="17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</row>
    <row r="639" spans="1:23" ht="17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</row>
    <row r="640" spans="1:23" ht="17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</row>
    <row r="641" spans="1:23" ht="17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</row>
    <row r="642" spans="1:23" ht="17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</row>
    <row r="643" spans="1:23" ht="17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</row>
    <row r="644" spans="1:23" ht="17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</row>
    <row r="645" spans="1:23" ht="17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</row>
    <row r="646" spans="1:23" ht="17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</row>
    <row r="647" spans="1:23" ht="17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</row>
    <row r="648" spans="1:23" ht="17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</row>
    <row r="649" spans="1:23" ht="17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</row>
    <row r="650" spans="1:23" ht="17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</row>
    <row r="651" spans="1:23" ht="17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</row>
    <row r="652" spans="1:23" ht="17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</row>
    <row r="653" spans="1:23" ht="17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</row>
    <row r="654" spans="1:23" ht="17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</row>
    <row r="655" spans="1:23" ht="17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</row>
    <row r="656" spans="1:23" ht="17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</row>
    <row r="657" spans="1:23" ht="17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</row>
    <row r="658" spans="1:23" ht="17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</row>
    <row r="659" spans="1:23" ht="17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</row>
    <row r="660" spans="1:23" ht="17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</row>
    <row r="661" spans="1:23" ht="17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</row>
    <row r="662" spans="1:23" ht="17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</row>
    <row r="663" spans="1:23" ht="17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</row>
    <row r="664" spans="1:23" ht="17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4:B464"/>
    <mergeCell ref="C6:E6"/>
    <mergeCell ref="C7:F7"/>
    <mergeCell ref="C10:G10"/>
    <mergeCell ref="A462:B462"/>
    <mergeCell ref="A463:B463"/>
    <mergeCell ref="C5:D5"/>
    <mergeCell ref="C4:D4"/>
    <mergeCell ref="A1:M1"/>
    <mergeCell ref="A2:M2"/>
    <mergeCell ref="A3:M3"/>
    <mergeCell ref="E4:G4"/>
    <mergeCell ref="H4:J4"/>
    <mergeCell ref="K4:M4"/>
    <mergeCell ref="E5:M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/>
  <dimension ref="A1:Z995"/>
  <sheetViews>
    <sheetView topLeftCell="A34" workbookViewId="0">
      <selection activeCell="J45" sqref="J45"/>
    </sheetView>
  </sheetViews>
  <sheetFormatPr defaultColWidth="14.42578125" defaultRowHeight="15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7" width="3.85546875" customWidth="1"/>
    <col min="8" max="10" width="3.42578125" customWidth="1"/>
    <col min="11" max="11" width="5.14062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264" t="str">
        <f>BASE!A1</f>
        <v>KONGU ENGINEERING COLLEGE, ERODE - 638 060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1" customHeight="1">
      <c r="A2" s="264" t="str">
        <f>BASE!A2</f>
        <v>DEPARTMENT OF ______________________________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1" customHeight="1">
      <c r="A3" s="264" t="str">
        <f>BASE!A3</f>
        <v>PROJECT WORK  COURSE OUTCOME ANALYSIS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33.7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31.5" customHeight="1">
      <c r="A5" s="219" t="str">
        <f>BASE!A5</f>
        <v>Name of Faculty(s)</v>
      </c>
      <c r="B5" s="210"/>
      <c r="C5" s="211"/>
      <c r="D5" s="219">
        <f>BASE!D5</f>
        <v>1</v>
      </c>
      <c r="E5" s="210"/>
      <c r="F5" s="211"/>
      <c r="G5" s="219">
        <f>BASE!G5</f>
        <v>1</v>
      </c>
      <c r="H5" s="210"/>
      <c r="I5" s="211"/>
      <c r="J5" s="219">
        <f>BASE!J5</f>
        <v>1</v>
      </c>
      <c r="K5" s="210"/>
      <c r="L5" s="211"/>
      <c r="M5" s="219">
        <f>BASE!M5</f>
        <v>1</v>
      </c>
      <c r="N5" s="210"/>
      <c r="O5" s="211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31.5" customHeight="1">
      <c r="A6" s="219" t="str">
        <f>BASE!A6</f>
        <v>Course Code and Name</v>
      </c>
      <c r="B6" s="210"/>
      <c r="C6" s="211"/>
      <c r="D6" s="263" t="str">
        <f>BASE!D6</f>
        <v>22CDCXX</v>
      </c>
      <c r="E6" s="210"/>
      <c r="F6" s="211"/>
      <c r="G6" s="263" t="str">
        <f>BASE!G6</f>
        <v>XXXXXXXX XXXXX XXXXXXXX</v>
      </c>
      <c r="H6" s="210"/>
      <c r="I6" s="210"/>
      <c r="J6" s="210"/>
      <c r="K6" s="210"/>
      <c r="L6" s="210"/>
      <c r="M6" s="210"/>
      <c r="N6" s="210"/>
      <c r="O6" s="211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31.5" customHeight="1">
      <c r="A7" s="219" t="str">
        <f>BASE!A7</f>
        <v>Branch / Year / Semester</v>
      </c>
      <c r="B7" s="210"/>
      <c r="C7" s="211"/>
      <c r="D7" s="263" t="str">
        <f>BASE!D7</f>
        <v>CSD</v>
      </c>
      <c r="E7" s="210"/>
      <c r="F7" s="210"/>
      <c r="G7" s="211"/>
      <c r="H7" s="263">
        <f>BASE!H7</f>
        <v>1</v>
      </c>
      <c r="I7" s="210"/>
      <c r="J7" s="210"/>
      <c r="K7" s="211"/>
      <c r="L7" s="263" t="str">
        <f>BASE!L7</f>
        <v>IV</v>
      </c>
      <c r="M7" s="210"/>
      <c r="N7" s="210"/>
      <c r="O7" s="211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7.25" customHeight="1" thickBo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7.25" customHeight="1">
      <c r="A9" s="267" t="s">
        <v>94</v>
      </c>
      <c r="B9" s="227"/>
      <c r="C9" s="227"/>
      <c r="D9" s="268"/>
      <c r="E9" s="274"/>
      <c r="F9" s="275"/>
      <c r="G9" s="275"/>
      <c r="H9" s="275"/>
      <c r="I9" s="275"/>
      <c r="J9" s="275"/>
      <c r="K9" s="275"/>
      <c r="L9" s="275"/>
      <c r="M9" s="275"/>
      <c r="N9" s="275"/>
      <c r="O9" s="276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31.5" customHeight="1">
      <c r="A10" s="269"/>
      <c r="B10" s="149"/>
      <c r="C10" s="149"/>
      <c r="D10" s="270"/>
      <c r="E10" s="277"/>
      <c r="F10" s="278"/>
      <c r="G10" s="278"/>
      <c r="H10" s="278"/>
      <c r="I10" s="278"/>
      <c r="J10" s="278"/>
      <c r="K10" s="278"/>
      <c r="L10" s="278"/>
      <c r="M10" s="278"/>
      <c r="N10" s="278"/>
      <c r="O10" s="27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38.25" customHeight="1">
      <c r="A11" s="269"/>
      <c r="B11" s="149"/>
      <c r="C11" s="149"/>
      <c r="D11" s="270"/>
      <c r="E11" s="277"/>
      <c r="F11" s="278"/>
      <c r="G11" s="278"/>
      <c r="H11" s="278"/>
      <c r="I11" s="278"/>
      <c r="J11" s="278"/>
      <c r="K11" s="278"/>
      <c r="L11" s="278"/>
      <c r="M11" s="278"/>
      <c r="N11" s="278"/>
      <c r="O11" s="27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38.25" customHeight="1">
      <c r="A12" s="269"/>
      <c r="B12" s="149"/>
      <c r="C12" s="149"/>
      <c r="D12" s="270"/>
      <c r="E12" s="277"/>
      <c r="F12" s="278"/>
      <c r="G12" s="278"/>
      <c r="H12" s="278"/>
      <c r="I12" s="278"/>
      <c r="J12" s="278"/>
      <c r="K12" s="278"/>
      <c r="L12" s="278"/>
      <c r="M12" s="278"/>
      <c r="N12" s="278"/>
      <c r="O12" s="27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39" customHeight="1" thickBot="1">
      <c r="A13" s="271"/>
      <c r="B13" s="272"/>
      <c r="C13" s="272"/>
      <c r="D13" s="273"/>
      <c r="E13" s="280"/>
      <c r="F13" s="281"/>
      <c r="G13" s="281"/>
      <c r="H13" s="281"/>
      <c r="I13" s="281"/>
      <c r="J13" s="281"/>
      <c r="K13" s="281"/>
      <c r="L13" s="281"/>
      <c r="M13" s="281"/>
      <c r="N13" s="281"/>
      <c r="O13" s="28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31.5" customHeight="1" thickBot="1">
      <c r="A14" s="283" t="s">
        <v>95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5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25.5" customHeight="1">
      <c r="A15" s="286" t="s">
        <v>96</v>
      </c>
      <c r="B15" s="288" t="s">
        <v>97</v>
      </c>
      <c r="C15" s="288" t="s">
        <v>98</v>
      </c>
      <c r="D15" s="289" t="s">
        <v>99</v>
      </c>
      <c r="E15" s="290" t="s">
        <v>100</v>
      </c>
      <c r="F15" s="227"/>
      <c r="G15" s="268"/>
      <c r="H15" s="290" t="s">
        <v>101</v>
      </c>
      <c r="I15" s="227"/>
      <c r="J15" s="227"/>
      <c r="K15" s="227"/>
      <c r="L15" s="227"/>
      <c r="M15" s="227"/>
      <c r="N15" s="227"/>
      <c r="O15" s="268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27" customHeight="1">
      <c r="A16" s="287"/>
      <c r="B16" s="270"/>
      <c r="C16" s="270"/>
      <c r="D16" s="287"/>
      <c r="E16" s="222"/>
      <c r="F16" s="222"/>
      <c r="G16" s="270"/>
      <c r="H16" s="222"/>
      <c r="I16" s="222"/>
      <c r="J16" s="222"/>
      <c r="K16" s="222"/>
      <c r="L16" s="222"/>
      <c r="M16" s="222"/>
      <c r="N16" s="222"/>
      <c r="O16" s="27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30" customHeight="1">
      <c r="A17" s="98" t="s">
        <v>11</v>
      </c>
      <c r="B17" s="99" t="str">
        <f>BASE!F28</f>
        <v>-</v>
      </c>
      <c r="C17" s="99" t="str">
        <f>BASE!F43</f>
        <v>-</v>
      </c>
      <c r="D17" s="100" t="str">
        <f t="shared" ref="D17:D30" si="0">IF(C17="-","-",(C17/B17))</f>
        <v>-</v>
      </c>
      <c r="E17" s="291"/>
      <c r="F17" s="292"/>
      <c r="G17" s="293"/>
      <c r="H17" s="291"/>
      <c r="I17" s="292"/>
      <c r="J17" s="292"/>
      <c r="K17" s="292"/>
      <c r="L17" s="292"/>
      <c r="M17" s="292"/>
      <c r="N17" s="292"/>
      <c r="O17" s="293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30" customHeight="1">
      <c r="A18" s="98" t="s">
        <v>12</v>
      </c>
      <c r="B18" s="99" t="str">
        <f>BASE!G28</f>
        <v>-</v>
      </c>
      <c r="C18" s="99" t="str">
        <f>BASE!G43</f>
        <v>-</v>
      </c>
      <c r="D18" s="100" t="str">
        <f t="shared" si="0"/>
        <v>-</v>
      </c>
      <c r="E18" s="291"/>
      <c r="F18" s="292"/>
      <c r="G18" s="293"/>
      <c r="H18" s="291"/>
      <c r="I18" s="292"/>
      <c r="J18" s="292"/>
      <c r="K18" s="292"/>
      <c r="L18" s="292"/>
      <c r="M18" s="292"/>
      <c r="N18" s="292"/>
      <c r="O18" s="293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30" customHeight="1">
      <c r="A19" s="98" t="s">
        <v>13</v>
      </c>
      <c r="B19" s="99" t="str">
        <f>BASE!H28</f>
        <v>-</v>
      </c>
      <c r="C19" s="99" t="str">
        <f>BASE!H43</f>
        <v>-</v>
      </c>
      <c r="D19" s="100" t="str">
        <f t="shared" si="0"/>
        <v>-</v>
      </c>
      <c r="E19" s="291"/>
      <c r="F19" s="292"/>
      <c r="G19" s="293"/>
      <c r="H19" s="291"/>
      <c r="I19" s="292"/>
      <c r="J19" s="292"/>
      <c r="K19" s="292"/>
      <c r="L19" s="292"/>
      <c r="M19" s="292"/>
      <c r="N19" s="292"/>
      <c r="O19" s="293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30" customHeight="1">
      <c r="A20" s="98" t="s">
        <v>14</v>
      </c>
      <c r="B20" s="99" t="str">
        <f>BASE!I28</f>
        <v>-</v>
      </c>
      <c r="C20" s="99" t="str">
        <f>BASE!I43</f>
        <v>-</v>
      </c>
      <c r="D20" s="100" t="str">
        <f t="shared" si="0"/>
        <v>-</v>
      </c>
      <c r="E20" s="291"/>
      <c r="F20" s="292"/>
      <c r="G20" s="293"/>
      <c r="H20" s="291"/>
      <c r="I20" s="292"/>
      <c r="J20" s="292"/>
      <c r="K20" s="292"/>
      <c r="L20" s="292"/>
      <c r="M20" s="292"/>
      <c r="N20" s="292"/>
      <c r="O20" s="293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30" customHeight="1">
      <c r="A21" s="98" t="s">
        <v>15</v>
      </c>
      <c r="B21" s="99" t="str">
        <f>BASE!J28</f>
        <v>-</v>
      </c>
      <c r="C21" s="99" t="str">
        <f>BASE!J43</f>
        <v>-</v>
      </c>
      <c r="D21" s="100" t="str">
        <f t="shared" si="0"/>
        <v>-</v>
      </c>
      <c r="E21" s="291"/>
      <c r="F21" s="292"/>
      <c r="G21" s="293"/>
      <c r="H21" s="291"/>
      <c r="I21" s="292"/>
      <c r="J21" s="292"/>
      <c r="K21" s="292"/>
      <c r="L21" s="292"/>
      <c r="M21" s="292"/>
      <c r="N21" s="292"/>
      <c r="O21" s="293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30" customHeight="1">
      <c r="A22" s="98" t="s">
        <v>16</v>
      </c>
      <c r="B22" s="99" t="str">
        <f>BASE!K28</f>
        <v>-</v>
      </c>
      <c r="C22" s="99" t="str">
        <f>BASE!K43</f>
        <v>-</v>
      </c>
      <c r="D22" s="100" t="str">
        <f t="shared" si="0"/>
        <v>-</v>
      </c>
      <c r="E22" s="291"/>
      <c r="F22" s="292"/>
      <c r="G22" s="293"/>
      <c r="H22" s="291"/>
      <c r="I22" s="292"/>
      <c r="J22" s="292"/>
      <c r="K22" s="292"/>
      <c r="L22" s="292"/>
      <c r="M22" s="292"/>
      <c r="N22" s="292"/>
      <c r="O22" s="293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30" customHeight="1">
      <c r="A23" s="98" t="s">
        <v>17</v>
      </c>
      <c r="B23" s="99" t="str">
        <f>BASE!L28</f>
        <v>-</v>
      </c>
      <c r="C23" s="99" t="str">
        <f>BASE!L43</f>
        <v>-</v>
      </c>
      <c r="D23" s="100" t="str">
        <f t="shared" si="0"/>
        <v>-</v>
      </c>
      <c r="E23" s="291"/>
      <c r="F23" s="292"/>
      <c r="G23" s="293"/>
      <c r="H23" s="291"/>
      <c r="I23" s="292"/>
      <c r="J23" s="292"/>
      <c r="K23" s="292"/>
      <c r="L23" s="292"/>
      <c r="M23" s="292"/>
      <c r="N23" s="292"/>
      <c r="O23" s="293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30" customHeight="1">
      <c r="A24" s="98" t="s">
        <v>18</v>
      </c>
      <c r="B24" s="99" t="str">
        <f>BASE!M28</f>
        <v>-</v>
      </c>
      <c r="C24" s="99" t="str">
        <f>BASE!M43</f>
        <v>-</v>
      </c>
      <c r="D24" s="100" t="str">
        <f t="shared" si="0"/>
        <v>-</v>
      </c>
      <c r="E24" s="291"/>
      <c r="F24" s="292"/>
      <c r="G24" s="293"/>
      <c r="H24" s="291"/>
      <c r="I24" s="292"/>
      <c r="J24" s="292"/>
      <c r="K24" s="292"/>
      <c r="L24" s="292"/>
      <c r="M24" s="292"/>
      <c r="N24" s="292"/>
      <c r="O24" s="293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30" customHeight="1">
      <c r="A25" s="98" t="s">
        <v>19</v>
      </c>
      <c r="B25" s="99" t="str">
        <f>BASE!N28</f>
        <v>-</v>
      </c>
      <c r="C25" s="99" t="str">
        <f>BASE!N43</f>
        <v>-</v>
      </c>
      <c r="D25" s="100" t="str">
        <f t="shared" si="0"/>
        <v>-</v>
      </c>
      <c r="E25" s="291"/>
      <c r="F25" s="292"/>
      <c r="G25" s="293"/>
      <c r="H25" s="291"/>
      <c r="I25" s="292"/>
      <c r="J25" s="292"/>
      <c r="K25" s="292"/>
      <c r="L25" s="292"/>
      <c r="M25" s="292"/>
      <c r="N25" s="292"/>
      <c r="O25" s="293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30" customHeight="1">
      <c r="A26" s="98" t="s">
        <v>20</v>
      </c>
      <c r="B26" s="99" t="str">
        <f>BASE!O28</f>
        <v>-</v>
      </c>
      <c r="C26" s="99" t="str">
        <f>BASE!O43</f>
        <v>-</v>
      </c>
      <c r="D26" s="100" t="str">
        <f t="shared" si="0"/>
        <v>-</v>
      </c>
      <c r="E26" s="291"/>
      <c r="F26" s="292"/>
      <c r="G26" s="293"/>
      <c r="H26" s="291"/>
      <c r="I26" s="292"/>
      <c r="J26" s="292"/>
      <c r="K26" s="292"/>
      <c r="L26" s="292"/>
      <c r="M26" s="292"/>
      <c r="N26" s="292"/>
      <c r="O26" s="293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30" customHeight="1">
      <c r="A27" s="98" t="s">
        <v>21</v>
      </c>
      <c r="B27" s="99" t="str">
        <f>BASE!P28</f>
        <v>-</v>
      </c>
      <c r="C27" s="99" t="str">
        <f>BASE!P43</f>
        <v>-</v>
      </c>
      <c r="D27" s="100" t="str">
        <f t="shared" si="0"/>
        <v>-</v>
      </c>
      <c r="E27" s="291"/>
      <c r="F27" s="292"/>
      <c r="G27" s="293"/>
      <c r="H27" s="291"/>
      <c r="I27" s="292"/>
      <c r="J27" s="292"/>
      <c r="K27" s="292"/>
      <c r="L27" s="292"/>
      <c r="M27" s="292"/>
      <c r="N27" s="292"/>
      <c r="O27" s="293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30" customHeight="1">
      <c r="A28" s="98" t="s">
        <v>22</v>
      </c>
      <c r="B28" s="99" t="str">
        <f>BASE!Q28</f>
        <v>-</v>
      </c>
      <c r="C28" s="99" t="str">
        <f>BASE!Q43</f>
        <v>-</v>
      </c>
      <c r="D28" s="100" t="str">
        <f t="shared" si="0"/>
        <v>-</v>
      </c>
      <c r="E28" s="291"/>
      <c r="F28" s="292"/>
      <c r="G28" s="293"/>
      <c r="H28" s="291"/>
      <c r="I28" s="292"/>
      <c r="J28" s="292"/>
      <c r="K28" s="292"/>
      <c r="L28" s="292"/>
      <c r="M28" s="292"/>
      <c r="N28" s="292"/>
      <c r="O28" s="293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30" customHeight="1">
      <c r="A29" s="98" t="s">
        <v>23</v>
      </c>
      <c r="B29" s="99" t="str">
        <f>[2]BASE!R28</f>
        <v>-</v>
      </c>
      <c r="C29" s="99" t="str">
        <f>[2]BASE!R43</f>
        <v>-</v>
      </c>
      <c r="D29" s="100" t="str">
        <f t="shared" si="0"/>
        <v>-</v>
      </c>
      <c r="E29" s="291"/>
      <c r="F29" s="292"/>
      <c r="G29" s="293"/>
      <c r="H29" s="291"/>
      <c r="I29" s="292"/>
      <c r="J29" s="292"/>
      <c r="K29" s="292"/>
      <c r="L29" s="292"/>
      <c r="M29" s="292"/>
      <c r="N29" s="292"/>
      <c r="O29" s="293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30" customHeight="1">
      <c r="A30" s="98" t="s">
        <v>24</v>
      </c>
      <c r="B30" s="99" t="str">
        <f>[2]BASE!S28</f>
        <v>-</v>
      </c>
      <c r="C30" s="99" t="str">
        <f>[2]BASE!S43</f>
        <v>-</v>
      </c>
      <c r="D30" s="100" t="str">
        <f t="shared" si="0"/>
        <v>-</v>
      </c>
      <c r="E30" s="291"/>
      <c r="F30" s="292"/>
      <c r="G30" s="293"/>
      <c r="H30" s="291"/>
      <c r="I30" s="292"/>
      <c r="J30" s="292"/>
      <c r="K30" s="292"/>
      <c r="L30" s="292"/>
      <c r="M30" s="292"/>
      <c r="N30" s="292"/>
      <c r="O30" s="293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7.2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7.2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7.25" customHeight="1">
      <c r="A35" s="60"/>
      <c r="B35" s="101" t="s">
        <v>102</v>
      </c>
      <c r="C35" s="60"/>
      <c r="D35" s="60"/>
      <c r="E35" s="60" t="s">
        <v>103</v>
      </c>
      <c r="F35" s="60"/>
      <c r="G35" s="60"/>
      <c r="H35" s="60"/>
      <c r="I35" s="60" t="s">
        <v>190</v>
      </c>
      <c r="J35" s="60"/>
      <c r="K35" s="60"/>
      <c r="L35" s="60"/>
      <c r="M35" s="60" t="s">
        <v>104</v>
      </c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7.2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7.2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7.2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7.2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7.2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7.2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7.2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7.2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7.2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7.2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7.2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7.2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7.2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7.2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7.2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7.2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.2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.2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.2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.2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.2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.2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.2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.2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.2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.2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.2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.2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.2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.2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.2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.2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.2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.2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.2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.2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.2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.2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.2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.2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.2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.2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.2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.2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.2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.2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.2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.2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.2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.2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.2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.2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.2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.2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.2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.2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.2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.2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.2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.2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.2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.2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.2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.2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.2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.2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.2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.2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.2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.2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.2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.2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.2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.2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.2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.2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.2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.2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.2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.2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.2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.2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.2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.2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.2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.2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.2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.2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.2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.2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.2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.2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.2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.2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.2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.2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.2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.2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.2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.2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.2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.2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.2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.2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.2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.2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.2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.2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.2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.2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.2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.2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.2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.2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.2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.2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.2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.2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.2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.2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.2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.2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.2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.2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.2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.2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.2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.2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.2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.2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.2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.2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.2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.2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.2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.2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.2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.2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.2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.2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.2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.2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.2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.2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.2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.2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.2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.2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.2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.2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.2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.2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.2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.2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.2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.2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.2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.2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.2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.2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.2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.2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.2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.2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.2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.2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.2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.2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.2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.2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.2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.2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.2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.2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.2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.2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.2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.2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.2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.2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.2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.2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.2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.2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.2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heetProtection password="CC28" sheet="1" objects="1" scenarios="1"/>
  <protectedRanges>
    <protectedRange sqref="B5:P10" name="Range1"/>
  </protectedRanges>
  <mergeCells count="52">
    <mergeCell ref="E29:G29"/>
    <mergeCell ref="H29:O29"/>
    <mergeCell ref="E30:G30"/>
    <mergeCell ref="H30:O30"/>
    <mergeCell ref="E26:G26"/>
    <mergeCell ref="H26:O26"/>
    <mergeCell ref="E27:G27"/>
    <mergeCell ref="H27:O27"/>
    <mergeCell ref="E28:G28"/>
    <mergeCell ref="H28:O28"/>
    <mergeCell ref="E23:G23"/>
    <mergeCell ref="H23:O23"/>
    <mergeCell ref="E24:G24"/>
    <mergeCell ref="H24:O24"/>
    <mergeCell ref="E25:G25"/>
    <mergeCell ref="H25:O25"/>
    <mergeCell ref="E20:G20"/>
    <mergeCell ref="H20:O20"/>
    <mergeCell ref="E21:G21"/>
    <mergeCell ref="H21:O21"/>
    <mergeCell ref="E22:G22"/>
    <mergeCell ref="H22:O22"/>
    <mergeCell ref="E17:G17"/>
    <mergeCell ref="H17:O17"/>
    <mergeCell ref="E18:G18"/>
    <mergeCell ref="H18:O18"/>
    <mergeCell ref="E19:G19"/>
    <mergeCell ref="H19:O19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A6:C6"/>
    <mergeCell ref="D6:F6"/>
    <mergeCell ref="G6:O6"/>
    <mergeCell ref="A7:C7"/>
    <mergeCell ref="D7:G7"/>
    <mergeCell ref="H7:K7"/>
    <mergeCell ref="L7:O7"/>
    <mergeCell ref="A1:O1"/>
    <mergeCell ref="A2:O2"/>
    <mergeCell ref="A3:O3"/>
    <mergeCell ref="A5:C5"/>
    <mergeCell ref="D5:F5"/>
    <mergeCell ref="G5:I5"/>
    <mergeCell ref="J5:L5"/>
    <mergeCell ref="M5:O5"/>
  </mergeCells>
  <pageMargins left="0.7" right="0.7" top="0.75" bottom="0.7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Target</vt:lpstr>
      <vt:lpstr>BASE</vt:lpstr>
      <vt:lpstr>Review I &amp; II</vt:lpstr>
      <vt:lpstr>ESE</vt:lpstr>
      <vt:lpstr>Course Outcome</vt:lpstr>
      <vt:lpstr>Course Ass Report</vt:lpstr>
      <vt:lpstr>'Course Ass Report'!_GoBack</vt:lpstr>
      <vt:lpstr>BASE!Print_Area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2024-10-01T09:01:35Z</cp:lastPrinted>
  <dcterms:created xsi:type="dcterms:W3CDTF">2018-03-07T04:31:46Z</dcterms:created>
  <dcterms:modified xsi:type="dcterms:W3CDTF">2025-09-01T05:57:06Z</dcterms:modified>
</cp:coreProperties>
</file>